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 bord" sheetId="1" r:id="rId4"/>
    <sheet state="visible" name="Paramètres" sheetId="2" r:id="rId5"/>
    <sheet state="visible" name="Articles" sheetId="3" r:id="rId6"/>
    <sheet state="visible" name="Mouvements" sheetId="4" r:id="rId7"/>
    <sheet state="visible" name="Stock Global" sheetId="5" r:id="rId8"/>
    <sheet state="visible" name="Synthèse Chantiers" sheetId="6" r:id="rId9"/>
    <sheet state="visible" name="Chantier A" sheetId="7" r:id="rId10"/>
    <sheet state="visible" name="Chantier B" sheetId="8" r:id="rId11"/>
    <sheet state="visible" name="Chantier C" sheetId="9" r:id="rId12"/>
    <sheet state="visible" name="Mode emploi" sheetId="10" r:id="rId13"/>
  </sheets>
  <definedNames/>
  <calcPr/>
</workbook>
</file>

<file path=xl/sharedStrings.xml><?xml version="1.0" encoding="utf-8"?>
<sst xmlns="http://schemas.openxmlformats.org/spreadsheetml/2006/main" count="394" uniqueCount="117">
  <si>
    <t>Tableau de bord stock &amp; chantiers</t>
  </si>
  <si>
    <t>Articles actifs</t>
  </si>
  <si>
    <t>Alertes seuil</t>
  </si>
  <si>
    <t>Valeur stock</t>
  </si>
  <si>
    <t>Stock négatif</t>
  </si>
  <si>
    <t>À commander ?</t>
  </si>
  <si>
    <t>Référence</t>
  </si>
  <si>
    <t>Désignation</t>
  </si>
  <si>
    <t>Stock actuel</t>
  </si>
  <si>
    <t>Seuil</t>
  </si>
  <si>
    <t>Statut</t>
  </si>
  <si>
    <t>Résumé par chantier</t>
  </si>
  <si>
    <t>Départs</t>
  </si>
  <si>
    <t>Retours</t>
  </si>
  <si>
    <t>Reste sur chantier</t>
  </si>
  <si>
    <t>Valeur départs</t>
  </si>
  <si>
    <t>Paramètres et listes déroulantes</t>
  </si>
  <si>
    <t>Types de mouvement</t>
  </si>
  <si>
    <t>Catégories</t>
  </si>
  <si>
    <t>Unités</t>
  </si>
  <si>
    <t>Chantiers</t>
  </si>
  <si>
    <t>Emplacements</t>
  </si>
  <si>
    <t>Départ</t>
  </si>
  <si>
    <t>Outillage</t>
  </si>
  <si>
    <t>u</t>
  </si>
  <si>
    <t>Chantier A</t>
  </si>
  <si>
    <t>Dépôt principal</t>
  </si>
  <si>
    <t>Retour</t>
  </si>
  <si>
    <t>Consommable</t>
  </si>
  <si>
    <t>paire</t>
  </si>
  <si>
    <t>Chantier B</t>
  </si>
  <si>
    <t>Fourgon</t>
  </si>
  <si>
    <t>Entrée stock</t>
  </si>
  <si>
    <t>Matériaux</t>
  </si>
  <si>
    <t>ml</t>
  </si>
  <si>
    <t>Chantier C</t>
  </si>
  <si>
    <t>Atelier</t>
  </si>
  <si>
    <t>Correction +</t>
  </si>
  <si>
    <t>EPI</t>
  </si>
  <si>
    <t>m²</t>
  </si>
  <si>
    <t>Zone A</t>
  </si>
  <si>
    <t>Correction -</t>
  </si>
  <si>
    <t>Location</t>
  </si>
  <si>
    <t>m³</t>
  </si>
  <si>
    <t>Dépôt</t>
  </si>
  <si>
    <t>Zone B</t>
  </si>
  <si>
    <t>Autre</t>
  </si>
  <si>
    <t>kg</t>
  </si>
  <si>
    <t>L</t>
  </si>
  <si>
    <t>boîte</t>
  </si>
  <si>
    <t>palette</t>
  </si>
  <si>
    <t>Ajoute ici tes types, catégories, unités, chantiers ou emplacements si besoin.</t>
  </si>
  <si>
    <t>Base articles - références, seuils et stock initial</t>
  </si>
  <si>
    <t>Saisir une ligne par article. La référence est recommandée pour automatiser les mouvements.</t>
  </si>
  <si>
    <t>Catégorie</t>
  </si>
  <si>
    <t>Unité</t>
  </si>
  <si>
    <t>Emplacement</t>
  </si>
  <si>
    <t>Stock initial</t>
  </si>
  <si>
    <t>Seuil minimum</t>
  </si>
  <si>
    <t>Prix unitaire estimé</t>
  </si>
  <si>
    <t>Fournisseur</t>
  </si>
  <si>
    <t>Code-barres / QR</t>
  </si>
  <si>
    <t>Actif ?</t>
  </si>
  <si>
    <t>VIS-6X60</t>
  </si>
  <si>
    <t>Vis béton 6x60</t>
  </si>
  <si>
    <t>Oui</t>
  </si>
  <si>
    <t>PERF-001</t>
  </si>
  <si>
    <t>Perforateur SDS</t>
  </si>
  <si>
    <t>GANT-L</t>
  </si>
  <si>
    <t>Gants taille L</t>
  </si>
  <si>
    <t>Balitrant</t>
  </si>
  <si>
    <t>Quentin</t>
  </si>
  <si>
    <t>Yesss</t>
  </si>
  <si>
    <t xml:space="preserve">teben </t>
  </si>
  <si>
    <t>yesss</t>
  </si>
  <si>
    <t>Journal des mouvements - départs, retours et entrées</t>
  </si>
  <si>
    <t>Départ = sortie vers chantier. Retour = retour au dépôt. Entrée stock = achat/réassort.</t>
  </si>
  <si>
    <t>Date</t>
  </si>
  <si>
    <t>Désignation si pas de réf.</t>
  </si>
  <si>
    <t>Désignation trouvée</t>
  </si>
  <si>
    <t>Chantier</t>
  </si>
  <si>
    <t>Type</t>
  </si>
  <si>
    <t>Quantité</t>
  </si>
  <si>
    <t>Sens</t>
  </si>
  <si>
    <t>Impact stock</t>
  </si>
  <si>
    <t>Valeur mouvement</t>
  </si>
  <si>
    <t>Saisi par</t>
  </si>
  <si>
    <t>Observation</t>
  </si>
  <si>
    <t xml:space="preserve">Vis </t>
  </si>
  <si>
    <t>Stock global automatique</t>
  </si>
  <si>
    <t>Entrées/Corrections</t>
  </si>
  <si>
    <t>Écart seuil</t>
  </si>
  <si>
    <t>Synthèse automatique par chantier</t>
  </si>
  <si>
    <t>Stock chantier</t>
  </si>
  <si>
    <t>Valeur sortie</t>
  </si>
  <si>
    <t>Dernier mouvement</t>
  </si>
  <si>
    <t>Commentaire</t>
  </si>
  <si>
    <t>Chantier A - suivi automatique</t>
  </si>
  <si>
    <t>Cette feuille se met à jour depuis Mouvements. Duplique-la pour un autre chantier et change B3.</t>
  </si>
  <si>
    <t>Reste chantier</t>
  </si>
  <si>
    <t>Dernière sortie</t>
  </si>
  <si>
    <t>Contrôle</t>
  </si>
  <si>
    <t>Chantier B - suivi automatique</t>
  </si>
  <si>
    <t>Chantier C - suivi automatique</t>
  </si>
  <si>
    <t>Mode emploi rapide</t>
  </si>
  <si>
    <t>1. Remplir les articles</t>
  </si>
  <si>
    <t>Va dans Articles : ajoute référence, désignation, stock initial et seuil minimum.</t>
  </si>
  <si>
    <t>2. Saisir les mouvements</t>
  </si>
  <si>
    <t>Va dans Mouvements : chaque départ vers chantier ou retour au dépôt se saisit en une ligne.</t>
  </si>
  <si>
    <t>3. Lire le stock global</t>
  </si>
  <si>
    <t>La feuille Stock Global calcule automatiquement stock actuel, alertes seuil et valeur estimée.</t>
  </si>
  <si>
    <t>4. Suivre les chantiers</t>
  </si>
  <si>
    <t>La Synthèse Chantiers regroupe automatiquement les départs, retours et restes par chantier.</t>
  </si>
  <si>
    <t>5. Créer un nouveau chantier</t>
  </si>
  <si>
    <t>Ajoute son nom dans Paramètres colonne Chantiers, puis duplique une feuille chantier existante et change B3.</t>
  </si>
  <si>
    <t>6. Bonnes pratiques</t>
  </si>
  <si>
    <t>Utilise une référence unique par article. Si une référence manque, complète-la dans Articles avant de saisir le mouvement.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</si>
</sst>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\€"/>
  </numFmts>
  <fonts count="12">
    <font>
      <sz val="11.0"/>
      <color/>
      <name val="Arial"/>
      <scheme val="minor"/>
    </font>
    <font>
      <b/>
      <sz val="16.0"/>
      <color rgb="FFFFFFFF"/>
      <name val="Calibri"/>
    </font>
    <font/>
    <font>
      <b/>
      <sz val="11.0"/>
      <color rgb="FFFFFFFF"/>
      <name val="Calibri"/>
    </font>
    <font>
      <b/>
      <sz val="13.0"/>
      <name val="Calibri"/>
    </font>
    <font>
      <sz val="11.0"/>
      <color/>
      <name val="Calibri"/>
    </font>
    <font>
      <i/>
      <sz val="11.0"/>
      <color rgb="FF666666"/>
      <name val="Calibri"/>
    </font>
    <font>
      <sz val="11.0"/>
      <color rgb="FF0000FF"/>
      <name val="Calibri"/>
    </font>
    <font>
      <sz val="11.0"/>
      <color rgb="FF000000"/>
      <name val="Calibri"/>
    </font>
    <font>
      <sz val="11.0"/>
      <color rgb="FF008000"/>
      <name val="Calibri"/>
    </font>
    <font>
      <b/>
      <sz val="11.0"/>
      <color rgb="FF0000FF"/>
      <name val="Calibri"/>
    </font>
    <font>
      <b/>
      <sz val="11.0"/>
      <color rgb="FF1F4E78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DEFEF"/>
        <bgColor rgb="FFDDEFEF"/>
      </patternFill>
    </fill>
    <fill>
      <patternFill patternType="solid">
        <fgColor rgb="FFC65911"/>
        <bgColor rgb="FFC65911"/>
      </patternFill>
    </fill>
    <fill>
      <patternFill patternType="solid">
        <fgColor rgb="FF008C95"/>
        <bgColor rgb="FF008C95"/>
      </patternFill>
    </fill>
    <fill>
      <patternFill patternType="solid">
        <fgColor rgb="FF7030A0"/>
        <bgColor rgb="FF7030A0"/>
      </patternFill>
    </fill>
    <fill>
      <patternFill patternType="solid">
        <fgColor rgb="FFD9EAF7"/>
        <bgColor rgb="FFD9EAF7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  <bottom style="medium">
        <color rgb="FF1F4E78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/>
    </xf>
    <xf borderId="4" fillId="3" fontId="4" numFmtId="0" xfId="0" applyAlignment="1" applyBorder="1" applyFill="1" applyFont="1">
      <alignment horizontal="center"/>
    </xf>
    <xf borderId="4" fillId="3" fontId="4" numFmtId="164" xfId="0" applyAlignment="1" applyBorder="1" applyFont="1" applyNumberFormat="1">
      <alignment horizontal="center"/>
    </xf>
    <xf borderId="5" fillId="4" fontId="3" numFmtId="0" xfId="0" applyAlignment="1" applyBorder="1" applyFill="1" applyFont="1">
      <alignment horizontal="center" shrinkToFit="0" wrapText="1"/>
    </xf>
    <xf borderId="5" fillId="5" fontId="3" numFmtId="0" xfId="0" applyAlignment="1" applyBorder="1" applyFill="1" applyFont="1">
      <alignment horizontal="center" shrinkToFit="0" wrapText="1"/>
    </xf>
    <xf borderId="0" fillId="0" fontId="5" numFmtId="164" xfId="0" applyFont="1" applyNumberFormat="1"/>
    <xf borderId="5" fillId="6" fontId="3" numFmtId="0" xfId="0" applyAlignment="1" applyBorder="1" applyFill="1" applyFont="1">
      <alignment horizontal="center" shrinkToFit="0" wrapText="1"/>
    </xf>
    <xf borderId="0" fillId="0" fontId="6" numFmtId="0" xfId="0" applyFont="1"/>
    <xf borderId="5" fillId="2" fontId="3" numFmtId="0" xfId="0" applyAlignment="1" applyBorder="1" applyFont="1">
      <alignment horizontal="center" shrinkToFit="0" wrapText="1"/>
    </xf>
    <xf borderId="0" fillId="0" fontId="7" numFmtId="0" xfId="0" applyAlignment="1" applyFont="1">
      <alignment shrinkToFit="0" wrapText="1"/>
    </xf>
    <xf borderId="0" fillId="0" fontId="7" numFmtId="164" xfId="0" applyAlignment="1" applyFont="1" applyNumberFormat="1">
      <alignment shrinkToFit="0" wrapText="1"/>
    </xf>
    <xf borderId="0" fillId="0" fontId="7" numFmtId="14" xfId="0" applyFont="1" applyNumberFormat="1"/>
    <xf borderId="0" fillId="0" fontId="7" numFmtId="0" xfId="0" applyFont="1"/>
    <xf borderId="0" fillId="0" fontId="8" numFmtId="0" xfId="0" applyFont="1"/>
    <xf borderId="0" fillId="0" fontId="8" numFmtId="164" xfId="0" applyFont="1" applyNumberFormat="1"/>
    <xf borderId="0" fillId="0" fontId="9" numFmtId="0" xfId="0" applyFont="1"/>
    <xf borderId="5" fillId="5" fontId="3" numFmtId="0" xfId="0" applyAlignment="1" applyBorder="1" applyFont="1">
      <alignment horizontal="center" shrinkToFit="0" wrapText="1"/>
    </xf>
    <xf borderId="0" fillId="0" fontId="2" numFmtId="0" xfId="0" applyFont="1"/>
    <xf borderId="4" fillId="2" fontId="3" numFmtId="0" xfId="0" applyBorder="1" applyFont="1"/>
    <xf borderId="4" fillId="7" fontId="10" numFmtId="0" xfId="0" applyBorder="1" applyFill="1" applyFont="1"/>
    <xf borderId="0" fillId="0" fontId="11" numFmtId="0" xfId="0" applyFont="1"/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7"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2F0D9"/>
          <bgColor rgb="FFE2F0D9"/>
        </patternFill>
      </fill>
      <border/>
    </dxf>
  </dxfs>
  <tableStyles count="7">
    <tableStyle count="3" pivot="0" name="Articles-style">
      <tableStyleElement dxfId="2" type="headerRow"/>
      <tableStyleElement dxfId="3" type="firstRowStripe"/>
      <tableStyleElement dxfId="4" type="secondRowStripe"/>
    </tableStyle>
    <tableStyle count="3" pivot="0" name="Mouvements-style">
      <tableStyleElement dxfId="2" type="headerRow"/>
      <tableStyleElement dxfId="3" type="firstRowStripe"/>
      <tableStyleElement dxfId="4" type="secondRowStripe"/>
    </tableStyle>
    <tableStyle count="3" pivot="0" name="Stock Global-style">
      <tableStyleElement dxfId="2" type="headerRow"/>
      <tableStyleElement dxfId="3" type="firstRowStripe"/>
      <tableStyleElement dxfId="4" type="secondRowStripe"/>
    </tableStyle>
    <tableStyle count="3" pivot="0" name="Synthèse Chantiers-style">
      <tableStyleElement dxfId="2" type="headerRow"/>
      <tableStyleElement dxfId="3" type="firstRowStripe"/>
      <tableStyleElement dxfId="4" type="secondRowStripe"/>
    </tableStyle>
    <tableStyle count="3" pivot="0" name="Chantier A-style">
      <tableStyleElement dxfId="2" type="headerRow"/>
      <tableStyleElement dxfId="3" type="firstRowStripe"/>
      <tableStyleElement dxfId="4" type="secondRowStripe"/>
    </tableStyle>
    <tableStyle count="3" pivot="0" name="Chantier B-style">
      <tableStyleElement dxfId="2" type="headerRow"/>
      <tableStyleElement dxfId="3" type="firstRowStripe"/>
      <tableStyleElement dxfId="4" type="secondRowStripe"/>
    </tableStyle>
    <tableStyle count="3" pivot="0" name="Chantier C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K204" displayName="Table_1" name="Table_1" id="1">
  <tableColumns count="11">
    <tableColumn name="Référence" id="1"/>
    <tableColumn name="Désignation" id="2"/>
    <tableColumn name="Catégorie" id="3"/>
    <tableColumn name="Unité" id="4"/>
    <tableColumn name="Emplacement" id="5"/>
    <tableColumn name="Stock initial" id="6"/>
    <tableColumn name="Seuil minimum" id="7"/>
    <tableColumn name="Prix unitaire estimé" id="8"/>
    <tableColumn name="Fournisseur" id="9"/>
    <tableColumn name="Code-barres / QR" id="10"/>
    <tableColumn name="Actif ?" id="11"/>
  </tableColumns>
  <tableStyleInfo name="Articles-style" showColumnStripes="0" showFirstColumn="1" showLastColumn="1" showRowStripes="1"/>
</table>
</file>

<file path=xl/tables/table2.xml><?xml version="1.0" encoding="utf-8"?>
<table xmlns="http://schemas.openxmlformats.org/spreadsheetml/2006/main" ref="A4:M504" displayName="Table_2" name="Table_2" id="2">
  <tableColumns count="13">
    <tableColumn name="Date" id="1"/>
    <tableColumn name="Référence" id="2"/>
    <tableColumn name="Désignation si pas de réf." id="3"/>
    <tableColumn name="Désignation trouvée" id="4"/>
    <tableColumn name="Chantier" id="5"/>
    <tableColumn name="Type" id="6"/>
    <tableColumn name="Quantité" id="7"/>
    <tableColumn name="Sens" id="8"/>
    <tableColumn name="Impact stock" id="9"/>
    <tableColumn name="Valeur mouvement" id="10"/>
    <tableColumn name="Saisi par" id="11"/>
    <tableColumn name="Observation" id="12"/>
    <tableColumn name="Statut" id="13"/>
  </tableColumns>
  <tableStyleInfo name="Mouvements-style" showColumnStripes="0" showFirstColumn="1" showLastColumn="1" showRowStripes="1"/>
</table>
</file>

<file path=xl/tables/table3.xml><?xml version="1.0" encoding="utf-8"?>
<table xmlns="http://schemas.openxmlformats.org/spreadsheetml/2006/main" ref="A4:N204" displayName="Table_3" name="Table_3" id="3">
  <tableColumns count="14">
    <tableColumn name="Référence" id="1"/>
    <tableColumn name="Désignation" id="2"/>
    <tableColumn name="Catégorie" id="3"/>
    <tableColumn name="Unité" id="4"/>
    <tableColumn name="Emplacement" id="5"/>
    <tableColumn name="Stock initial" id="6"/>
    <tableColumn name="Départs" id="7"/>
    <tableColumn name="Retours" id="8"/>
    <tableColumn name="Entrées/Corrections" id="9"/>
    <tableColumn name="Stock actuel" id="10"/>
    <tableColumn name="Seuil" id="11"/>
    <tableColumn name="Écart seuil" id="12"/>
    <tableColumn name="Statut" id="13"/>
    <tableColumn name="Valeur stock" id="14"/>
  </tableColumns>
  <tableStyleInfo name="Stock Global-style" showColumnStripes="0" showFirstColumn="1" showLastColumn="1" showRowStripes="1"/>
</table>
</file>

<file path=xl/tables/table4.xml><?xml version="1.0" encoding="utf-8"?>
<table xmlns="http://schemas.openxmlformats.org/spreadsheetml/2006/main" ref="A4:J304" displayName="Table_4" name="Table_4" id="4">
  <tableColumns count="10">
    <tableColumn name="Chantier" id="1"/>
    <tableColumn name="Référence" id="2"/>
    <tableColumn name="Désignation" id="3"/>
    <tableColumn name="Départs" id="4"/>
    <tableColumn name="Retours" id="5"/>
    <tableColumn name="Stock chantier" id="6"/>
    <tableColumn name="Valeur sortie" id="7"/>
    <tableColumn name="Dernier mouvement" id="8"/>
    <tableColumn name="Statut" id="9"/>
    <tableColumn name="Commentaire" id="10"/>
  </tableColumns>
  <tableStyleInfo name="Synthèse Chantiers-style" showColumnStripes="0" showFirstColumn="1" showLastColumn="1" showRowStripes="1"/>
</table>
</file>

<file path=xl/tables/table5.xml><?xml version="1.0" encoding="utf-8"?>
<table xmlns="http://schemas.openxmlformats.org/spreadsheetml/2006/main" ref="A5:I105" displayName="Table_5" name="Table_5" id="5">
  <tableColumns count="9">
    <tableColumn name="Référence" id="1"/>
    <tableColumn name="Désignation" id="2"/>
    <tableColumn name="Départs" id="3"/>
    <tableColumn name="Retours" id="4"/>
    <tableColumn name="Reste chantier" id="5"/>
    <tableColumn name="Dernière sortie" id="6"/>
    <tableColumn name="Statut" id="7"/>
    <tableColumn name="Observation" id="8"/>
    <tableColumn name="Contrôle" id="9"/>
  </tableColumns>
  <tableStyleInfo name="Chantier A-style" showColumnStripes="0" showFirstColumn="1" showLastColumn="1" showRowStripes="1"/>
</table>
</file>

<file path=xl/tables/table6.xml><?xml version="1.0" encoding="utf-8"?>
<table xmlns="http://schemas.openxmlformats.org/spreadsheetml/2006/main" ref="A5:I105" displayName="Table_6" name="Table_6" id="6">
  <tableColumns count="9">
    <tableColumn name="Référence" id="1"/>
    <tableColumn name="Désignation" id="2"/>
    <tableColumn name="Départs" id="3"/>
    <tableColumn name="Retours" id="4"/>
    <tableColumn name="Reste chantier" id="5"/>
    <tableColumn name="Dernière sortie" id="6"/>
    <tableColumn name="Statut" id="7"/>
    <tableColumn name="Observation" id="8"/>
    <tableColumn name="Contrôle" id="9"/>
  </tableColumns>
  <tableStyleInfo name="Chantier B-style" showColumnStripes="0" showFirstColumn="1" showLastColumn="1" showRowStripes="1"/>
</table>
</file>

<file path=xl/tables/table7.xml><?xml version="1.0" encoding="utf-8"?>
<table xmlns="http://schemas.openxmlformats.org/spreadsheetml/2006/main" ref="A5:I105" displayName="Table_7" name="Table_7" id="7">
  <tableColumns count="9">
    <tableColumn name="Référence" id="1"/>
    <tableColumn name="Désignation" id="2"/>
    <tableColumn name="Départs" id="3"/>
    <tableColumn name="Retours" id="4"/>
    <tableColumn name="Reste chantier" id="5"/>
    <tableColumn name="Dernière sortie" id="6"/>
    <tableColumn name="Statut" id="7"/>
    <tableColumn name="Observation" id="8"/>
    <tableColumn name="Contrôle" id="9"/>
  </tableColumns>
  <tableStyleInfo name="Chantier 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14.0"/>
    <col customWidth="1" min="3" max="3" width="28.0"/>
    <col customWidth="1" min="4" max="5" width="14.0"/>
    <col customWidth="1" min="6" max="6" width="16.0"/>
    <col customWidth="1" min="7" max="7" width="3.0"/>
    <col customWidth="1" min="8" max="8" width="12.0"/>
    <col customWidth="1" min="9" max="11" width="9.14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3">
      <c r="A3" s="4" t="s">
        <v>1</v>
      </c>
      <c r="B3" s="5" t="str">
        <f>COUNTIF(Articles!K5:K204,"Oui")</f>
        <v>200</v>
      </c>
      <c r="C3" s="4" t="s">
        <v>2</v>
      </c>
      <c r="D3" s="5" t="str">
        <f>COUNTIF('Stock Global'!M5:M204,"À commander")</f>
        <v>1</v>
      </c>
      <c r="E3" s="4" t="s">
        <v>3</v>
      </c>
      <c r="F3" s="6" t="str">
        <f>SUM('Stock Global'!N5:N204)</f>
        <v>907.00 €</v>
      </c>
      <c r="G3" s="4" t="s">
        <v>4</v>
      </c>
      <c r="H3" s="5" t="str">
        <f>COUNTIF('Stock Global'!M5:M204,"Stock négatif")</f>
        <v>0</v>
      </c>
    </row>
    <row r="6">
      <c r="A6" s="7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</row>
    <row r="7">
      <c r="A7" t="str">
        <f>IF('Stock Global'!M5="À commander","Oui","")</f>
        <v/>
      </c>
      <c r="D7">
        <v>0.0</v>
      </c>
      <c r="E7" t="str">
        <f>'Stock Global'!K5</f>
        <v>4</v>
      </c>
      <c r="F7" t="str">
        <f>'Stock Global'!M5</f>
        <v>OK</v>
      </c>
    </row>
    <row r="8">
      <c r="A8" t="str">
        <f>IF('Stock Global'!M6="À commander","Oui","")</f>
        <v/>
      </c>
      <c r="B8" t="str">
        <f>'Stock Global'!A6</f>
        <v>PERF-001</v>
      </c>
      <c r="C8" t="str">
        <f>'Stock Global'!B6</f>
        <v>Perforateur SDS</v>
      </c>
      <c r="D8">
        <v>0.0</v>
      </c>
      <c r="E8" t="str">
        <f>'Stock Global'!K6</f>
        <v>1</v>
      </c>
      <c r="F8" t="str">
        <f>'Stock Global'!M6</f>
        <v>OK</v>
      </c>
    </row>
    <row r="9">
      <c r="A9" t="str">
        <f>IF('Stock Global'!M7="À commander","Oui","")</f>
        <v/>
      </c>
      <c r="B9" t="str">
        <f>'Stock Global'!A7</f>
        <v>GANT-L</v>
      </c>
      <c r="C9" t="str">
        <f>'Stock Global'!B7</f>
        <v>Gants taille L</v>
      </c>
      <c r="D9" t="str">
        <f>'Stock Global'!J7</f>
        <v>50</v>
      </c>
      <c r="E9" t="str">
        <f>'Stock Global'!K7</f>
        <v>15</v>
      </c>
      <c r="F9" t="str">
        <f>'Stock Global'!M7</f>
        <v>OK</v>
      </c>
    </row>
    <row r="10">
      <c r="A10" t="str">
        <f>IF('Stock Global'!M8="À commander","Oui","")</f>
        <v/>
      </c>
      <c r="B10" t="str">
        <f>'Stock Global'!A8</f>
        <v>12345</v>
      </c>
      <c r="C10" t="str">
        <f>'Stock Global'!B8</f>
        <v>Quentin</v>
      </c>
      <c r="D10" t="str">
        <f>'Stock Global'!J8</f>
        <v>10</v>
      </c>
      <c r="E10" t="str">
        <f>'Stock Global'!K8</f>
        <v>10</v>
      </c>
      <c r="F10" t="str">
        <f>'Stock Global'!M8</f>
        <v>OK</v>
      </c>
    </row>
    <row r="11">
      <c r="A11" t="str">
        <f>IF('Stock Global'!M9="À commander","Oui","")</f>
        <v>Oui</v>
      </c>
      <c r="B11" t="str">
        <f>'Stock Global'!A9</f>
        <v>4969272</v>
      </c>
      <c r="C11" t="str">
        <f>'Stock Global'!B9</f>
        <v>teben </v>
      </c>
      <c r="D11" t="str">
        <f>'Stock Global'!J9</f>
        <v>1</v>
      </c>
      <c r="E11" t="str">
        <f>'Stock Global'!K9</f>
        <v>2</v>
      </c>
      <c r="F11" t="str">
        <f>'Stock Global'!M9</f>
        <v>À commander</v>
      </c>
    </row>
    <row r="12">
      <c r="A12" t="str">
        <f>IF('Stock Global'!M10="À commander","Oui","")</f>
        <v/>
      </c>
      <c r="B12" t="str">
        <f>'Stock Global'!A10</f>
        <v/>
      </c>
      <c r="C12" t="str">
        <f>'Stock Global'!B10</f>
        <v/>
      </c>
      <c r="D12" t="str">
        <f>'Stock Global'!J10</f>
        <v/>
      </c>
      <c r="E12" t="str">
        <f>'Stock Global'!K10</f>
        <v/>
      </c>
      <c r="F12" t="str">
        <f>'Stock Global'!M10</f>
        <v/>
      </c>
    </row>
    <row r="13">
      <c r="A13" t="str">
        <f>IF('Stock Global'!M11="À commander","Oui","")</f>
        <v/>
      </c>
      <c r="B13" t="str">
        <f>'Stock Global'!A11</f>
        <v/>
      </c>
      <c r="C13" t="str">
        <f>'Stock Global'!B11</f>
        <v/>
      </c>
      <c r="D13" t="str">
        <f>'Stock Global'!J11</f>
        <v/>
      </c>
      <c r="E13" t="str">
        <f>'Stock Global'!K11</f>
        <v/>
      </c>
      <c r="F13" t="str">
        <f>'Stock Global'!M11</f>
        <v/>
      </c>
    </row>
    <row r="14">
      <c r="A14" t="str">
        <f>IF('Stock Global'!M12="À commander","Oui","")</f>
        <v/>
      </c>
      <c r="B14" t="str">
        <f>'Stock Global'!A12</f>
        <v/>
      </c>
      <c r="C14" t="str">
        <f>'Stock Global'!B12</f>
        <v/>
      </c>
      <c r="D14" t="str">
        <f>'Stock Global'!J12</f>
        <v/>
      </c>
      <c r="E14" t="str">
        <f>'Stock Global'!K12</f>
        <v/>
      </c>
      <c r="F14" t="str">
        <f>'Stock Global'!M12</f>
        <v/>
      </c>
    </row>
    <row r="15">
      <c r="A15" t="str">
        <f>IF('Stock Global'!M13="À commander","Oui","")</f>
        <v/>
      </c>
      <c r="B15" t="str">
        <f>'Stock Global'!A13</f>
        <v/>
      </c>
      <c r="C15" t="str">
        <f>'Stock Global'!B13</f>
        <v/>
      </c>
      <c r="D15" t="str">
        <f>'Stock Global'!J13</f>
        <v/>
      </c>
      <c r="E15" t="str">
        <f>'Stock Global'!K13</f>
        <v/>
      </c>
      <c r="F15" t="str">
        <f>'Stock Global'!M13</f>
        <v/>
      </c>
    </row>
    <row r="16">
      <c r="A16" t="str">
        <f>IF('Stock Global'!M14="À commander","Oui","")</f>
        <v/>
      </c>
      <c r="B16" t="str">
        <f>'Stock Global'!A14</f>
        <v/>
      </c>
      <c r="C16" t="str">
        <f>'Stock Global'!B14</f>
        <v/>
      </c>
      <c r="D16" t="str">
        <f>'Stock Global'!J14</f>
        <v/>
      </c>
      <c r="E16" t="str">
        <f>'Stock Global'!K14</f>
        <v/>
      </c>
      <c r="F16" t="str">
        <f>'Stock Global'!M14</f>
        <v/>
      </c>
    </row>
    <row r="17">
      <c r="A17" t="str">
        <f>IF('Stock Global'!M15="À commander","Oui","")</f>
        <v/>
      </c>
      <c r="B17" t="str">
        <f>'Stock Global'!A15</f>
        <v/>
      </c>
      <c r="C17" t="str">
        <f>'Stock Global'!B15</f>
        <v/>
      </c>
      <c r="D17" t="str">
        <f>'Stock Global'!J15</f>
        <v/>
      </c>
      <c r="E17" t="str">
        <f>'Stock Global'!K15</f>
        <v/>
      </c>
      <c r="F17" t="str">
        <f>'Stock Global'!M15</f>
        <v/>
      </c>
    </row>
    <row r="18">
      <c r="A18" t="str">
        <f>IF('Stock Global'!M16="À commander","Oui","")</f>
        <v/>
      </c>
      <c r="B18" t="str">
        <f>'Stock Global'!A16</f>
        <v/>
      </c>
      <c r="C18" t="str">
        <f>'Stock Global'!B16</f>
        <v/>
      </c>
      <c r="D18" t="str">
        <f>'Stock Global'!J16</f>
        <v/>
      </c>
      <c r="E18" t="str">
        <f>'Stock Global'!K16</f>
        <v/>
      </c>
      <c r="F18" t="str">
        <f>'Stock Global'!M16</f>
        <v/>
      </c>
    </row>
    <row r="19">
      <c r="A19" t="str">
        <f>IF('Stock Global'!M17="À commander","Oui","")</f>
        <v/>
      </c>
      <c r="B19" t="str">
        <f>'Stock Global'!A17</f>
        <v/>
      </c>
      <c r="C19" t="str">
        <f>'Stock Global'!B17</f>
        <v/>
      </c>
      <c r="D19" t="str">
        <f>'Stock Global'!J17</f>
        <v/>
      </c>
      <c r="E19" t="str">
        <f>'Stock Global'!K17</f>
        <v/>
      </c>
      <c r="F19" t="str">
        <f>'Stock Global'!M17</f>
        <v/>
      </c>
    </row>
    <row r="20">
      <c r="A20" t="str">
        <f>IF('Stock Global'!M18="À commander","Oui","")</f>
        <v/>
      </c>
      <c r="B20" t="str">
        <f>'Stock Global'!A18</f>
        <v/>
      </c>
      <c r="C20" t="str">
        <f>'Stock Global'!B18</f>
        <v/>
      </c>
      <c r="D20" t="str">
        <f>'Stock Global'!J18</f>
        <v/>
      </c>
      <c r="E20" t="str">
        <f>'Stock Global'!K18</f>
        <v/>
      </c>
      <c r="F20" t="str">
        <f>'Stock Global'!M18</f>
        <v/>
      </c>
    </row>
    <row r="21" ht="15.75" customHeight="1">
      <c r="A21" t="str">
        <f>IF('Stock Global'!M19="À commander","Oui","")</f>
        <v/>
      </c>
      <c r="B21" t="str">
        <f>'Stock Global'!A19</f>
        <v/>
      </c>
      <c r="C21" t="str">
        <f>'Stock Global'!B19</f>
        <v/>
      </c>
      <c r="D21" t="str">
        <f>'Stock Global'!J19</f>
        <v/>
      </c>
      <c r="E21" t="str">
        <f>'Stock Global'!K19</f>
        <v/>
      </c>
      <c r="F21" t="str">
        <f>'Stock Global'!M19</f>
        <v/>
      </c>
    </row>
    <row r="22" ht="15.75" customHeight="1">
      <c r="A22" t="str">
        <f>IF('Stock Global'!M20="À commander","Oui","")</f>
        <v/>
      </c>
      <c r="B22" t="str">
        <f>'Stock Global'!A20</f>
        <v/>
      </c>
      <c r="C22" t="str">
        <f>'Stock Global'!B20</f>
        <v/>
      </c>
      <c r="D22" t="str">
        <f>'Stock Global'!J20</f>
        <v/>
      </c>
      <c r="E22" t="str">
        <f>'Stock Global'!K20</f>
        <v/>
      </c>
      <c r="F22" t="str">
        <f>'Stock Global'!M20</f>
        <v/>
      </c>
    </row>
    <row r="23" ht="15.75" customHeight="1">
      <c r="A23" t="str">
        <f>IF('Stock Global'!M21="À commander","Oui","")</f>
        <v/>
      </c>
      <c r="B23" t="str">
        <f>'Stock Global'!A21</f>
        <v/>
      </c>
      <c r="C23" t="str">
        <f>'Stock Global'!B21</f>
        <v/>
      </c>
      <c r="D23" t="str">
        <f>'Stock Global'!J21</f>
        <v/>
      </c>
      <c r="E23" t="str">
        <f>'Stock Global'!K21</f>
        <v/>
      </c>
      <c r="F23" t="str">
        <f>'Stock Global'!M21</f>
        <v/>
      </c>
    </row>
    <row r="24" ht="15.75" customHeight="1">
      <c r="A24" t="str">
        <f>IF('Stock Global'!M22="À commander","Oui","")</f>
        <v/>
      </c>
      <c r="B24" t="str">
        <f>'Stock Global'!A22</f>
        <v/>
      </c>
      <c r="C24" t="str">
        <f>'Stock Global'!B22</f>
        <v/>
      </c>
      <c r="D24" t="str">
        <f>'Stock Global'!J22</f>
        <v/>
      </c>
      <c r="E24" t="str">
        <f>'Stock Global'!K22</f>
        <v/>
      </c>
      <c r="F24" t="str">
        <f>'Stock Global'!M22</f>
        <v/>
      </c>
    </row>
    <row r="25" ht="15.75" customHeight="1">
      <c r="A25" t="str">
        <f>IF('Stock Global'!M23="À commander","Oui","")</f>
        <v/>
      </c>
      <c r="B25" t="str">
        <f>'Stock Global'!A23</f>
        <v/>
      </c>
      <c r="C25" t="str">
        <f>'Stock Global'!B23</f>
        <v/>
      </c>
      <c r="D25" t="str">
        <f>'Stock Global'!J23</f>
        <v/>
      </c>
      <c r="E25" t="str">
        <f>'Stock Global'!K23</f>
        <v/>
      </c>
      <c r="F25" t="str">
        <f>'Stock Global'!M23</f>
        <v/>
      </c>
    </row>
    <row r="26" ht="15.75" customHeight="1">
      <c r="A26" t="str">
        <f>IF('Stock Global'!M24="À commander","Oui","")</f>
        <v/>
      </c>
      <c r="B26" t="str">
        <f>'Stock Global'!A24</f>
        <v/>
      </c>
      <c r="C26" t="str">
        <f>'Stock Global'!B24</f>
        <v/>
      </c>
      <c r="D26" t="str">
        <f>'Stock Global'!J24</f>
        <v/>
      </c>
      <c r="E26" t="str">
        <f>'Stock Global'!K24</f>
        <v/>
      </c>
      <c r="F26" t="str">
        <f>'Stock Global'!M24</f>
        <v/>
      </c>
    </row>
    <row r="27" ht="15.75" customHeight="1"/>
    <row r="28" ht="15.75" customHeight="1"/>
    <row r="29" ht="15.75" customHeight="1"/>
    <row r="30" ht="15.75" customHeight="1">
      <c r="A30" s="8" t="s">
        <v>11</v>
      </c>
      <c r="B30" s="8" t="s">
        <v>12</v>
      </c>
      <c r="C30" s="8" t="s">
        <v>13</v>
      </c>
      <c r="D30" s="8" t="s">
        <v>14</v>
      </c>
      <c r="E30" s="8" t="s">
        <v>15</v>
      </c>
    </row>
    <row r="31" ht="15.75" customHeight="1">
      <c r="A31" t="str">
        <f>'Paramètres'!D4</f>
        <v>Chantier A</v>
      </c>
      <c r="B31" t="str">
        <f>SUMIFS(Mouvements!$G:$G,Mouvements!$E:$E,A31,Mouvements!$F:$F,"Départ")</f>
        <v>104</v>
      </c>
      <c r="C31" t="str">
        <f>SUMIFS(Mouvements!$G:$G,Mouvements!$E:$E,A31,Mouvements!$F:$F,"Retour")</f>
        <v>0</v>
      </c>
      <c r="D31" t="str">
        <f t="shared" ref="D31:D40" si="1">B31-C31</f>
        <v>104</v>
      </c>
      <c r="E31" s="9" t="str">
        <f>SUMIFS(Mouvements!$J:$J,Mouvements!$E:$E,A31,Mouvements!$F:$F,"Départ")</f>
        <v>1,220.00 €</v>
      </c>
    </row>
    <row r="32" ht="15.75" customHeight="1">
      <c r="A32" t="str">
        <f>'Paramètres'!D5</f>
        <v>Chantier B</v>
      </c>
      <c r="B32" t="str">
        <f>SUMIFS(Mouvements!$G:$G,Mouvements!$E:$E,A32,Mouvements!$F:$F,"Départ")</f>
        <v>0</v>
      </c>
      <c r="C32" t="str">
        <f>SUMIFS(Mouvements!$G:$G,Mouvements!$E:$E,A32,Mouvements!$F:$F,"Retour")</f>
        <v>0</v>
      </c>
      <c r="D32" t="str">
        <f t="shared" si="1"/>
        <v>0</v>
      </c>
      <c r="E32" s="9" t="str">
        <f>SUMIFS(Mouvements!$J:$J,Mouvements!$E:$E,A32,Mouvements!$F:$F,"Départ")</f>
        <v>0.00 €</v>
      </c>
    </row>
    <row r="33" ht="15.75" customHeight="1">
      <c r="A33" t="str">
        <f>'Paramètres'!D6</f>
        <v>Chantier C</v>
      </c>
      <c r="B33" t="str">
        <f>SUMIFS(Mouvements!$G:$G,Mouvements!$E:$E,A33,Mouvements!$F:$F,"Départ")</f>
        <v>0</v>
      </c>
      <c r="C33" t="str">
        <f>SUMIFS(Mouvements!$G:$G,Mouvements!$E:$E,A33,Mouvements!$F:$F,"Retour")</f>
        <v>0</v>
      </c>
      <c r="D33" t="str">
        <f t="shared" si="1"/>
        <v>0</v>
      </c>
      <c r="E33" s="9" t="str">
        <f>SUMIFS(Mouvements!$J:$J,Mouvements!$E:$E,A33,Mouvements!$F:$F,"Départ")</f>
        <v>0.00 €</v>
      </c>
    </row>
    <row r="34" ht="15.75" customHeight="1">
      <c r="A34" t="str">
        <f>'Paramètres'!D7</f>
        <v>Atelier</v>
      </c>
      <c r="B34" t="str">
        <f>SUMIFS(Mouvements!$G:$G,Mouvements!$E:$E,A34,Mouvements!$F:$F,"Départ")</f>
        <v>0</v>
      </c>
      <c r="C34" t="str">
        <f>SUMIFS(Mouvements!$G:$G,Mouvements!$E:$E,A34,Mouvements!$F:$F,"Retour")</f>
        <v>0</v>
      </c>
      <c r="D34" t="str">
        <f t="shared" si="1"/>
        <v>0</v>
      </c>
      <c r="E34" s="9" t="str">
        <f>SUMIFS(Mouvements!$J:$J,Mouvements!$E:$E,A34,Mouvements!$F:$F,"Départ")</f>
        <v>0.00 €</v>
      </c>
    </row>
    <row r="35" ht="15.75" customHeight="1">
      <c r="A35" t="str">
        <f>'Paramètres'!D8</f>
        <v>Dépôt</v>
      </c>
      <c r="B35" t="str">
        <f>SUMIFS(Mouvements!$G:$G,Mouvements!$E:$E,A35,Mouvements!$F:$F,"Départ")</f>
        <v>0</v>
      </c>
      <c r="C35" t="str">
        <f>SUMIFS(Mouvements!$G:$G,Mouvements!$E:$E,A35,Mouvements!$F:$F,"Retour")</f>
        <v>0</v>
      </c>
      <c r="D35" t="str">
        <f t="shared" si="1"/>
        <v>0</v>
      </c>
      <c r="E35" s="9" t="str">
        <f>SUMIFS(Mouvements!$J:$J,Mouvements!$E:$E,A35,Mouvements!$F:$F,"Départ")</f>
        <v>0.00 €</v>
      </c>
    </row>
    <row r="36" ht="15.75" customHeight="1">
      <c r="A36" t="str">
        <f>'Paramètres'!D9</f>
        <v/>
      </c>
      <c r="B36" t="str">
        <f>SUMIFS(Mouvements!$G:$G,Mouvements!$E:$E,A36,Mouvements!$F:$F,"Départ")</f>
        <v>0</v>
      </c>
      <c r="C36" t="str">
        <f>SUMIFS(Mouvements!$G:$G,Mouvements!$E:$E,A36,Mouvements!$F:$F,"Retour")</f>
        <v>0</v>
      </c>
      <c r="D36" t="str">
        <f t="shared" si="1"/>
        <v>0</v>
      </c>
      <c r="E36" s="9" t="str">
        <f>SUMIFS(Mouvements!$J:$J,Mouvements!$E:$E,A36,Mouvements!$F:$F,"Départ")</f>
        <v>0.00 €</v>
      </c>
    </row>
    <row r="37" ht="15.75" customHeight="1">
      <c r="A37" t="str">
        <f>'Paramètres'!D10</f>
        <v/>
      </c>
      <c r="B37" t="str">
        <f>SUMIFS(Mouvements!$G:$G,Mouvements!$E:$E,A37,Mouvements!$F:$F,"Départ")</f>
        <v>0</v>
      </c>
      <c r="C37" t="str">
        <f>SUMIFS(Mouvements!$G:$G,Mouvements!$E:$E,A37,Mouvements!$F:$F,"Retour")</f>
        <v>0</v>
      </c>
      <c r="D37" t="str">
        <f t="shared" si="1"/>
        <v>0</v>
      </c>
      <c r="E37" s="9" t="str">
        <f>SUMIFS(Mouvements!$J:$J,Mouvements!$E:$E,A37,Mouvements!$F:$F,"Départ")</f>
        <v>0.00 €</v>
      </c>
    </row>
    <row r="38" ht="15.75" customHeight="1">
      <c r="A38" t="str">
        <f>'Paramètres'!D11</f>
        <v/>
      </c>
      <c r="B38" t="str">
        <f>SUMIFS(Mouvements!$G:$G,Mouvements!$E:$E,A38,Mouvements!$F:$F,"Départ")</f>
        <v>0</v>
      </c>
      <c r="C38" t="str">
        <f>SUMIFS(Mouvements!$G:$G,Mouvements!$E:$E,A38,Mouvements!$F:$F,"Retour")</f>
        <v>0</v>
      </c>
      <c r="D38" t="str">
        <f t="shared" si="1"/>
        <v>0</v>
      </c>
      <c r="E38" s="9" t="str">
        <f>SUMIFS(Mouvements!$J:$J,Mouvements!$E:$E,A38,Mouvements!$F:$F,"Départ")</f>
        <v>0.00 €</v>
      </c>
    </row>
    <row r="39" ht="15.75" customHeight="1">
      <c r="A39" t="str">
        <f>'Paramètres'!D12</f>
        <v/>
      </c>
      <c r="B39" t="str">
        <f>SUMIFS(Mouvements!$G:$G,Mouvements!$E:$E,A39,Mouvements!$F:$F,"Départ")</f>
        <v>0</v>
      </c>
      <c r="C39" t="str">
        <f>SUMIFS(Mouvements!$G:$G,Mouvements!$E:$E,A39,Mouvements!$F:$F,"Retour")</f>
        <v>0</v>
      </c>
      <c r="D39" t="str">
        <f t="shared" si="1"/>
        <v>0</v>
      </c>
      <c r="E39" s="9" t="str">
        <f>SUMIFS(Mouvements!$J:$J,Mouvements!$E:$E,A39,Mouvements!$F:$F,"Départ")</f>
        <v>0.00 €</v>
      </c>
    </row>
    <row r="40" ht="15.75" customHeight="1">
      <c r="A40" t="str">
        <f>'Paramètres'!D13</f>
        <v/>
      </c>
      <c r="B40" t="str">
        <f>SUMIFS(Mouvements!$G:$G,Mouvements!$E:$E,A40,Mouvements!$F:$F,"Départ")</f>
        <v>0</v>
      </c>
      <c r="C40" t="str">
        <f>SUMIFS(Mouvements!$G:$G,Mouvements!$E:$E,A40,Mouvements!$F:$F,"Retour")</f>
        <v>0</v>
      </c>
      <c r="D40" t="str">
        <f t="shared" si="1"/>
        <v>0</v>
      </c>
      <c r="E40" s="9" t="str">
        <f>SUMIFS(Mouvements!$J:$J,Mouvements!$E:$E,A40,Mouvements!$F:$F,"Départ")</f>
        <v>0.00 €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H1"/>
  </mergeCells>
  <conditionalFormatting sqref="A7:F26">
    <cfRule type="expression" dxfId="0" priority="1">
      <formula>$F7="À commander"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22.0"/>
    <col customWidth="1" min="3" max="3" width="15.0"/>
    <col customWidth="1" min="4" max="5" width="24.0"/>
    <col customWidth="1" min="6" max="11" width="9.14"/>
  </cols>
  <sheetData>
    <row r="1">
      <c r="A1" s="1" t="s">
        <v>16</v>
      </c>
      <c r="B1" s="2"/>
      <c r="C1" s="2"/>
      <c r="D1" s="2"/>
      <c r="E1" s="3"/>
    </row>
    <row r="3">
      <c r="A3" s="10" t="s">
        <v>17</v>
      </c>
      <c r="B3" s="10" t="s">
        <v>18</v>
      </c>
      <c r="C3" s="10" t="s">
        <v>19</v>
      </c>
      <c r="D3" s="10" t="s">
        <v>20</v>
      </c>
      <c r="E3" s="10" t="s">
        <v>21</v>
      </c>
    </row>
    <row r="4">
      <c r="A4" t="s">
        <v>22</v>
      </c>
      <c r="B4" t="s">
        <v>23</v>
      </c>
      <c r="C4" t="s">
        <v>24</v>
      </c>
      <c r="D4" t="s">
        <v>25</v>
      </c>
      <c r="E4" t="s">
        <v>26</v>
      </c>
    </row>
    <row r="5">
      <c r="A5" t="s">
        <v>27</v>
      </c>
      <c r="B5" t="s">
        <v>28</v>
      </c>
      <c r="C5" t="s">
        <v>29</v>
      </c>
      <c r="D5" t="s">
        <v>30</v>
      </c>
      <c r="E5" t="s">
        <v>31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</row>
    <row r="7">
      <c r="A7" t="s">
        <v>37</v>
      </c>
      <c r="B7" t="s">
        <v>38</v>
      </c>
      <c r="C7" t="s">
        <v>39</v>
      </c>
      <c r="D7" t="s">
        <v>36</v>
      </c>
      <c r="E7" t="s">
        <v>40</v>
      </c>
    </row>
    <row r="8">
      <c r="A8" t="s">
        <v>41</v>
      </c>
      <c r="B8" t="s">
        <v>42</v>
      </c>
      <c r="C8" t="s">
        <v>43</v>
      </c>
      <c r="D8" t="s">
        <v>44</v>
      </c>
      <c r="E8" t="s">
        <v>45</v>
      </c>
    </row>
    <row r="9">
      <c r="B9" t="s">
        <v>46</v>
      </c>
      <c r="C9" t="s">
        <v>47</v>
      </c>
    </row>
    <row r="10">
      <c r="C10" t="s">
        <v>48</v>
      </c>
    </row>
    <row r="11">
      <c r="C11" t="s">
        <v>49</v>
      </c>
    </row>
    <row r="12">
      <c r="C12" t="s">
        <v>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>
      <c r="A105" s="11" t="s">
        <v>51</v>
      </c>
    </row>
  </sheetData>
  <mergeCells count="2">
    <mergeCell ref="A105:E105"/>
    <mergeCell ref="A1:E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32.0"/>
    <col customWidth="1" min="3" max="3" width="18.0"/>
    <col customWidth="1" min="4" max="4" width="12.0"/>
    <col customWidth="1" min="5" max="5" width="20.0"/>
    <col customWidth="1" min="6" max="6" width="14.0"/>
    <col customWidth="1" min="7" max="7" width="15.0"/>
    <col customWidth="1" min="8" max="8" width="18.0"/>
    <col customWidth="1" min="9" max="9" width="22.0"/>
    <col customWidth="1" min="10" max="10" width="18.0"/>
    <col customWidth="1" min="11" max="11" width="10.0"/>
  </cols>
  <sheetData>
    <row r="1">
      <c r="A1" s="1" t="s">
        <v>52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11" t="s">
        <v>53</v>
      </c>
    </row>
    <row r="4">
      <c r="A4" s="12" t="s">
        <v>6</v>
      </c>
      <c r="B4" s="12" t="s">
        <v>7</v>
      </c>
      <c r="C4" s="12" t="s">
        <v>54</v>
      </c>
      <c r="D4" s="12" t="s">
        <v>55</v>
      </c>
      <c r="E4" s="12" t="s">
        <v>56</v>
      </c>
      <c r="F4" s="12" t="s">
        <v>57</v>
      </c>
      <c r="G4" s="12" t="s">
        <v>58</v>
      </c>
      <c r="H4" s="12" t="s">
        <v>59</v>
      </c>
      <c r="I4" s="12" t="s">
        <v>60</v>
      </c>
      <c r="J4" s="12" t="s">
        <v>61</v>
      </c>
      <c r="K4" s="12" t="s">
        <v>62</v>
      </c>
    </row>
    <row r="5">
      <c r="A5" s="13" t="s">
        <v>63</v>
      </c>
      <c r="B5" s="13" t="s">
        <v>64</v>
      </c>
      <c r="C5" s="13" t="s">
        <v>28</v>
      </c>
      <c r="D5" s="13" t="s">
        <v>49</v>
      </c>
      <c r="E5" s="13" t="s">
        <v>26</v>
      </c>
      <c r="F5" s="13">
        <v>12.0</v>
      </c>
      <c r="G5" s="13">
        <v>4.0</v>
      </c>
      <c r="H5" s="14">
        <v>8.5</v>
      </c>
      <c r="I5" s="13"/>
      <c r="J5" s="13"/>
      <c r="K5" s="13" t="s">
        <v>65</v>
      </c>
    </row>
    <row r="6">
      <c r="A6" s="13" t="s">
        <v>66</v>
      </c>
      <c r="B6" s="13" t="s">
        <v>67</v>
      </c>
      <c r="C6" s="13" t="s">
        <v>23</v>
      </c>
      <c r="D6" s="13" t="s">
        <v>24</v>
      </c>
      <c r="E6" s="13" t="s">
        <v>36</v>
      </c>
      <c r="F6" s="13">
        <v>3.0</v>
      </c>
      <c r="G6" s="13">
        <v>1.0</v>
      </c>
      <c r="H6" s="14">
        <v>180.0</v>
      </c>
      <c r="I6" s="13"/>
      <c r="J6" s="13"/>
      <c r="K6" s="13" t="s">
        <v>65</v>
      </c>
    </row>
    <row r="7">
      <c r="A7" s="13" t="s">
        <v>68</v>
      </c>
      <c r="B7" s="13" t="s">
        <v>69</v>
      </c>
      <c r="C7" s="13" t="s">
        <v>38</v>
      </c>
      <c r="D7" s="13" t="s">
        <v>29</v>
      </c>
      <c r="E7" s="13" t="s">
        <v>26</v>
      </c>
      <c r="F7" s="13">
        <v>50.0</v>
      </c>
      <c r="G7" s="13">
        <v>15.0</v>
      </c>
      <c r="H7" s="14">
        <v>2.2</v>
      </c>
      <c r="I7" s="13" t="s">
        <v>70</v>
      </c>
      <c r="J7" s="13"/>
      <c r="K7" s="13" t="s">
        <v>65</v>
      </c>
    </row>
    <row r="8">
      <c r="A8" s="13">
        <v>12345.0</v>
      </c>
      <c r="B8" s="13" t="s">
        <v>71</v>
      </c>
      <c r="C8" s="13" t="s">
        <v>28</v>
      </c>
      <c r="D8" s="13" t="s">
        <v>24</v>
      </c>
      <c r="E8" s="13" t="s">
        <v>26</v>
      </c>
      <c r="F8" s="13">
        <v>10.0</v>
      </c>
      <c r="G8" s="13">
        <v>10.0</v>
      </c>
      <c r="H8" s="14">
        <v>10.0</v>
      </c>
      <c r="I8" s="13" t="s">
        <v>72</v>
      </c>
      <c r="J8" s="13"/>
      <c r="K8" s="13" t="s">
        <v>65</v>
      </c>
    </row>
    <row r="9">
      <c r="A9" s="13">
        <v>4969272.0</v>
      </c>
      <c r="B9" s="13" t="s">
        <v>73</v>
      </c>
      <c r="C9" s="13" t="s">
        <v>46</v>
      </c>
      <c r="D9" s="13" t="s">
        <v>24</v>
      </c>
      <c r="E9" s="13" t="s">
        <v>26</v>
      </c>
      <c r="F9" s="13">
        <v>5.0</v>
      </c>
      <c r="G9" s="13">
        <v>2.0</v>
      </c>
      <c r="H9" s="14">
        <v>55.0</v>
      </c>
      <c r="I9" s="13" t="s">
        <v>74</v>
      </c>
      <c r="J9" s="13"/>
      <c r="K9" s="13" t="s">
        <v>65</v>
      </c>
    </row>
    <row r="10">
      <c r="A10" s="13"/>
      <c r="B10" s="13"/>
      <c r="C10" s="13"/>
      <c r="D10" s="13"/>
      <c r="E10" s="13"/>
      <c r="F10" s="13"/>
      <c r="G10" s="13"/>
      <c r="H10" s="14"/>
      <c r="I10" s="13"/>
      <c r="J10" s="13"/>
      <c r="K10" s="13" t="s">
        <v>65</v>
      </c>
    </row>
    <row r="11">
      <c r="A11" s="13"/>
      <c r="B11" s="13"/>
      <c r="C11" s="13"/>
      <c r="D11" s="13"/>
      <c r="E11" s="13"/>
      <c r="F11" s="13"/>
      <c r="G11" s="13"/>
      <c r="H11" s="14"/>
      <c r="I11" s="13"/>
      <c r="J11" s="13"/>
      <c r="K11" s="13" t="s">
        <v>65</v>
      </c>
    </row>
    <row r="12">
      <c r="A12" s="13"/>
      <c r="B12" s="13"/>
      <c r="C12" s="13"/>
      <c r="D12" s="13"/>
      <c r="E12" s="13"/>
      <c r="F12" s="13"/>
      <c r="G12" s="13"/>
      <c r="H12" s="14"/>
      <c r="I12" s="13"/>
      <c r="J12" s="13"/>
      <c r="K12" s="13" t="s">
        <v>65</v>
      </c>
    </row>
    <row r="13">
      <c r="A13" s="13"/>
      <c r="B13" s="13"/>
      <c r="C13" s="13"/>
      <c r="D13" s="13"/>
      <c r="E13" s="13"/>
      <c r="F13" s="13"/>
      <c r="G13" s="13"/>
      <c r="H13" s="14"/>
      <c r="I13" s="13"/>
      <c r="J13" s="13"/>
      <c r="K13" s="13" t="s">
        <v>65</v>
      </c>
    </row>
    <row r="14">
      <c r="A14" s="13"/>
      <c r="B14" s="13"/>
      <c r="C14" s="13"/>
      <c r="D14" s="13"/>
      <c r="E14" s="13"/>
      <c r="F14" s="13"/>
      <c r="G14" s="13"/>
      <c r="H14" s="14"/>
      <c r="I14" s="13"/>
      <c r="J14" s="13"/>
      <c r="K14" s="13" t="s">
        <v>65</v>
      </c>
    </row>
    <row r="15">
      <c r="A15" s="13"/>
      <c r="B15" s="13"/>
      <c r="C15" s="13"/>
      <c r="D15" s="13"/>
      <c r="E15" s="13"/>
      <c r="F15" s="13"/>
      <c r="G15" s="13"/>
      <c r="H15" s="14"/>
      <c r="I15" s="13"/>
      <c r="J15" s="13"/>
      <c r="K15" s="13" t="s">
        <v>65</v>
      </c>
    </row>
    <row r="16">
      <c r="A16" s="13"/>
      <c r="B16" s="13"/>
      <c r="C16" s="13"/>
      <c r="D16" s="13"/>
      <c r="E16" s="13"/>
      <c r="F16" s="13"/>
      <c r="G16" s="13"/>
      <c r="H16" s="14"/>
      <c r="I16" s="13"/>
      <c r="J16" s="13"/>
      <c r="K16" s="13" t="s">
        <v>65</v>
      </c>
    </row>
    <row r="17">
      <c r="A17" s="13"/>
      <c r="B17" s="13"/>
      <c r="C17" s="13"/>
      <c r="D17" s="13"/>
      <c r="E17" s="13"/>
      <c r="F17" s="13"/>
      <c r="G17" s="13"/>
      <c r="H17" s="14"/>
      <c r="I17" s="13"/>
      <c r="J17" s="13"/>
      <c r="K17" s="13" t="s">
        <v>65</v>
      </c>
    </row>
    <row r="18">
      <c r="A18" s="13"/>
      <c r="B18" s="13"/>
      <c r="C18" s="13"/>
      <c r="D18" s="13"/>
      <c r="E18" s="13"/>
      <c r="F18" s="13"/>
      <c r="G18" s="13"/>
      <c r="H18" s="14"/>
      <c r="I18" s="13"/>
      <c r="J18" s="13"/>
      <c r="K18" s="13" t="s">
        <v>65</v>
      </c>
    </row>
    <row r="19">
      <c r="A19" s="13"/>
      <c r="B19" s="13"/>
      <c r="C19" s="13"/>
      <c r="D19" s="13"/>
      <c r="E19" s="13"/>
      <c r="F19" s="13"/>
      <c r="G19" s="13"/>
      <c r="H19" s="14"/>
      <c r="I19" s="13"/>
      <c r="J19" s="13"/>
      <c r="K19" s="13" t="s">
        <v>65</v>
      </c>
    </row>
    <row r="20">
      <c r="A20" s="13"/>
      <c r="B20" s="13"/>
      <c r="C20" s="13"/>
      <c r="D20" s="13"/>
      <c r="E20" s="13"/>
      <c r="F20" s="13"/>
      <c r="G20" s="13"/>
      <c r="H20" s="14"/>
      <c r="I20" s="13"/>
      <c r="J20" s="13"/>
      <c r="K20" s="13" t="s">
        <v>65</v>
      </c>
    </row>
    <row r="21" ht="15.75" customHeight="1">
      <c r="A21" s="13"/>
      <c r="B21" s="13"/>
      <c r="C21" s="13"/>
      <c r="D21" s="13"/>
      <c r="E21" s="13"/>
      <c r="F21" s="13"/>
      <c r="G21" s="13"/>
      <c r="H21" s="14"/>
      <c r="I21" s="13"/>
      <c r="J21" s="13"/>
      <c r="K21" s="13" t="s">
        <v>65</v>
      </c>
    </row>
    <row r="22" ht="15.75" customHeight="1">
      <c r="A22" s="13"/>
      <c r="B22" s="13"/>
      <c r="C22" s="13"/>
      <c r="D22" s="13"/>
      <c r="E22" s="13"/>
      <c r="F22" s="13"/>
      <c r="G22" s="13"/>
      <c r="H22" s="14"/>
      <c r="I22" s="13"/>
      <c r="J22" s="13"/>
      <c r="K22" s="13" t="s">
        <v>65</v>
      </c>
    </row>
    <row r="23" ht="15.75" customHeight="1">
      <c r="A23" s="13"/>
      <c r="B23" s="13"/>
      <c r="C23" s="13"/>
      <c r="D23" s="13"/>
      <c r="E23" s="13"/>
      <c r="F23" s="13"/>
      <c r="G23" s="13"/>
      <c r="H23" s="14"/>
      <c r="I23" s="13"/>
      <c r="J23" s="13"/>
      <c r="K23" s="13" t="s">
        <v>65</v>
      </c>
    </row>
    <row r="24" ht="15.75" customHeight="1">
      <c r="A24" s="13"/>
      <c r="B24" s="13"/>
      <c r="C24" s="13"/>
      <c r="D24" s="13"/>
      <c r="E24" s="13"/>
      <c r="F24" s="13"/>
      <c r="G24" s="13"/>
      <c r="H24" s="14"/>
      <c r="I24" s="13"/>
      <c r="J24" s="13"/>
      <c r="K24" s="13" t="s">
        <v>65</v>
      </c>
    </row>
    <row r="25" ht="15.75" customHeight="1">
      <c r="A25" s="13"/>
      <c r="B25" s="13"/>
      <c r="C25" s="13"/>
      <c r="D25" s="13"/>
      <c r="E25" s="13"/>
      <c r="F25" s="13"/>
      <c r="G25" s="13"/>
      <c r="H25" s="14"/>
      <c r="I25" s="13"/>
      <c r="J25" s="13"/>
      <c r="K25" s="13" t="s">
        <v>65</v>
      </c>
    </row>
    <row r="26" ht="15.75" customHeight="1">
      <c r="A26" s="13"/>
      <c r="B26" s="13"/>
      <c r="C26" s="13"/>
      <c r="D26" s="13"/>
      <c r="E26" s="13"/>
      <c r="F26" s="13"/>
      <c r="G26" s="13"/>
      <c r="H26" s="14"/>
      <c r="I26" s="13"/>
      <c r="J26" s="13"/>
      <c r="K26" s="13" t="s">
        <v>65</v>
      </c>
    </row>
    <row r="27" ht="15.75" customHeight="1">
      <c r="A27" s="13"/>
      <c r="B27" s="13"/>
      <c r="C27" s="13"/>
      <c r="D27" s="13"/>
      <c r="E27" s="13"/>
      <c r="F27" s="13"/>
      <c r="G27" s="13"/>
      <c r="H27" s="14"/>
      <c r="I27" s="13"/>
      <c r="J27" s="13"/>
      <c r="K27" s="13" t="s">
        <v>65</v>
      </c>
    </row>
    <row r="28" ht="15.75" customHeight="1">
      <c r="A28" s="13"/>
      <c r="B28" s="13"/>
      <c r="C28" s="13"/>
      <c r="D28" s="13"/>
      <c r="E28" s="13"/>
      <c r="F28" s="13"/>
      <c r="G28" s="13"/>
      <c r="H28" s="14"/>
      <c r="I28" s="13"/>
      <c r="J28" s="13"/>
      <c r="K28" s="13" t="s">
        <v>65</v>
      </c>
    </row>
    <row r="29" ht="15.75" customHeight="1">
      <c r="A29" s="13"/>
      <c r="B29" s="13"/>
      <c r="C29" s="13"/>
      <c r="D29" s="13"/>
      <c r="E29" s="13"/>
      <c r="F29" s="13"/>
      <c r="G29" s="13"/>
      <c r="H29" s="14"/>
      <c r="I29" s="13"/>
      <c r="J29" s="13"/>
      <c r="K29" s="13" t="s">
        <v>65</v>
      </c>
    </row>
    <row r="30" ht="15.75" customHeight="1">
      <c r="A30" s="13"/>
      <c r="B30" s="13"/>
      <c r="C30" s="13"/>
      <c r="D30" s="13"/>
      <c r="E30" s="13"/>
      <c r="F30" s="13"/>
      <c r="G30" s="13"/>
      <c r="H30" s="14"/>
      <c r="I30" s="13"/>
      <c r="J30" s="13"/>
      <c r="K30" s="13" t="s">
        <v>65</v>
      </c>
    </row>
    <row r="31" ht="15.75" customHeight="1">
      <c r="A31" s="13"/>
      <c r="B31" s="13"/>
      <c r="C31" s="13"/>
      <c r="D31" s="13"/>
      <c r="E31" s="13"/>
      <c r="F31" s="13"/>
      <c r="G31" s="13"/>
      <c r="H31" s="14"/>
      <c r="I31" s="13"/>
      <c r="J31" s="13"/>
      <c r="K31" s="13" t="s">
        <v>65</v>
      </c>
    </row>
    <row r="32" ht="15.75" customHeight="1">
      <c r="A32" s="13"/>
      <c r="B32" s="13"/>
      <c r="C32" s="13"/>
      <c r="D32" s="13"/>
      <c r="E32" s="13"/>
      <c r="F32" s="13"/>
      <c r="G32" s="13"/>
      <c r="H32" s="14"/>
      <c r="I32" s="13"/>
      <c r="J32" s="13"/>
      <c r="K32" s="13" t="s">
        <v>65</v>
      </c>
    </row>
    <row r="33" ht="15.75" customHeight="1">
      <c r="A33" s="13"/>
      <c r="B33" s="13"/>
      <c r="C33" s="13"/>
      <c r="D33" s="13"/>
      <c r="E33" s="13"/>
      <c r="F33" s="13"/>
      <c r="G33" s="13"/>
      <c r="H33" s="14"/>
      <c r="I33" s="13"/>
      <c r="J33" s="13"/>
      <c r="K33" s="13" t="s">
        <v>65</v>
      </c>
    </row>
    <row r="34" ht="15.75" customHeight="1">
      <c r="A34" s="13"/>
      <c r="B34" s="13"/>
      <c r="C34" s="13"/>
      <c r="D34" s="13"/>
      <c r="E34" s="13"/>
      <c r="F34" s="13"/>
      <c r="G34" s="13"/>
      <c r="H34" s="14"/>
      <c r="I34" s="13"/>
      <c r="J34" s="13"/>
      <c r="K34" s="13" t="s">
        <v>65</v>
      </c>
    </row>
    <row r="35" ht="15.75" customHeight="1">
      <c r="A35" s="13"/>
      <c r="B35" s="13"/>
      <c r="C35" s="13"/>
      <c r="D35" s="13"/>
      <c r="E35" s="13"/>
      <c r="F35" s="13"/>
      <c r="G35" s="13"/>
      <c r="H35" s="14"/>
      <c r="I35" s="13"/>
      <c r="J35" s="13"/>
      <c r="K35" s="13" t="s">
        <v>65</v>
      </c>
    </row>
    <row r="36" ht="15.75" customHeight="1">
      <c r="A36" s="13"/>
      <c r="B36" s="13"/>
      <c r="C36" s="13"/>
      <c r="D36" s="13"/>
      <c r="E36" s="13"/>
      <c r="F36" s="13"/>
      <c r="G36" s="13"/>
      <c r="H36" s="14"/>
      <c r="I36" s="13"/>
      <c r="J36" s="13"/>
      <c r="K36" s="13" t="s">
        <v>65</v>
      </c>
    </row>
    <row r="37" ht="15.75" customHeight="1">
      <c r="A37" s="13"/>
      <c r="B37" s="13"/>
      <c r="C37" s="13"/>
      <c r="D37" s="13"/>
      <c r="E37" s="13"/>
      <c r="F37" s="13"/>
      <c r="G37" s="13"/>
      <c r="H37" s="14"/>
      <c r="I37" s="13"/>
      <c r="J37" s="13"/>
      <c r="K37" s="13" t="s">
        <v>65</v>
      </c>
    </row>
    <row r="38" ht="15.75" customHeight="1">
      <c r="A38" s="13"/>
      <c r="B38" s="13"/>
      <c r="C38" s="13"/>
      <c r="D38" s="13"/>
      <c r="E38" s="13"/>
      <c r="F38" s="13"/>
      <c r="G38" s="13"/>
      <c r="H38" s="14"/>
      <c r="I38" s="13"/>
      <c r="J38" s="13"/>
      <c r="K38" s="13" t="s">
        <v>65</v>
      </c>
    </row>
    <row r="39" ht="15.75" customHeight="1">
      <c r="A39" s="13"/>
      <c r="B39" s="13"/>
      <c r="C39" s="13"/>
      <c r="D39" s="13"/>
      <c r="E39" s="13"/>
      <c r="F39" s="13"/>
      <c r="G39" s="13"/>
      <c r="H39" s="14"/>
      <c r="I39" s="13"/>
      <c r="J39" s="13"/>
      <c r="K39" s="13" t="s">
        <v>65</v>
      </c>
    </row>
    <row r="40" ht="15.75" customHeight="1">
      <c r="A40" s="13"/>
      <c r="B40" s="13"/>
      <c r="C40" s="13"/>
      <c r="D40" s="13"/>
      <c r="E40" s="13"/>
      <c r="F40" s="13"/>
      <c r="G40" s="13"/>
      <c r="H40" s="14"/>
      <c r="I40" s="13"/>
      <c r="J40" s="13"/>
      <c r="K40" s="13" t="s">
        <v>65</v>
      </c>
    </row>
    <row r="41" ht="15.75" customHeight="1">
      <c r="A41" s="13"/>
      <c r="B41" s="13"/>
      <c r="C41" s="13"/>
      <c r="D41" s="13"/>
      <c r="E41" s="13"/>
      <c r="F41" s="13"/>
      <c r="G41" s="13"/>
      <c r="H41" s="14"/>
      <c r="I41" s="13"/>
      <c r="J41" s="13"/>
      <c r="K41" s="13" t="s">
        <v>65</v>
      </c>
    </row>
    <row r="42" ht="15.75" customHeight="1">
      <c r="A42" s="13"/>
      <c r="B42" s="13"/>
      <c r="C42" s="13"/>
      <c r="D42" s="13"/>
      <c r="E42" s="13"/>
      <c r="F42" s="13"/>
      <c r="G42" s="13"/>
      <c r="H42" s="14"/>
      <c r="I42" s="13"/>
      <c r="J42" s="13"/>
      <c r="K42" s="13" t="s">
        <v>65</v>
      </c>
    </row>
    <row r="43" ht="15.75" customHeight="1">
      <c r="A43" s="13"/>
      <c r="B43" s="13"/>
      <c r="C43" s="13"/>
      <c r="D43" s="13"/>
      <c r="E43" s="13"/>
      <c r="F43" s="13"/>
      <c r="G43" s="13"/>
      <c r="H43" s="14"/>
      <c r="I43" s="13"/>
      <c r="J43" s="13"/>
      <c r="K43" s="13" t="s">
        <v>65</v>
      </c>
    </row>
    <row r="44" ht="15.75" customHeight="1">
      <c r="A44" s="13"/>
      <c r="B44" s="13"/>
      <c r="C44" s="13"/>
      <c r="D44" s="13"/>
      <c r="E44" s="13"/>
      <c r="F44" s="13"/>
      <c r="G44" s="13"/>
      <c r="H44" s="14"/>
      <c r="I44" s="13"/>
      <c r="J44" s="13"/>
      <c r="K44" s="13" t="s">
        <v>65</v>
      </c>
    </row>
    <row r="45" ht="15.75" customHeight="1">
      <c r="A45" s="13"/>
      <c r="B45" s="13"/>
      <c r="C45" s="13"/>
      <c r="D45" s="13"/>
      <c r="E45" s="13"/>
      <c r="F45" s="13"/>
      <c r="G45" s="13"/>
      <c r="H45" s="14"/>
      <c r="I45" s="13"/>
      <c r="J45" s="13"/>
      <c r="K45" s="13" t="s">
        <v>65</v>
      </c>
    </row>
    <row r="46" ht="15.75" customHeight="1">
      <c r="A46" s="13"/>
      <c r="B46" s="13"/>
      <c r="C46" s="13"/>
      <c r="D46" s="13"/>
      <c r="E46" s="13"/>
      <c r="F46" s="13"/>
      <c r="G46" s="13"/>
      <c r="H46" s="14"/>
      <c r="I46" s="13"/>
      <c r="J46" s="13"/>
      <c r="K46" s="13" t="s">
        <v>65</v>
      </c>
    </row>
    <row r="47" ht="15.75" customHeight="1">
      <c r="A47" s="13"/>
      <c r="B47" s="13"/>
      <c r="C47" s="13"/>
      <c r="D47" s="13"/>
      <c r="E47" s="13"/>
      <c r="F47" s="13"/>
      <c r="G47" s="13"/>
      <c r="H47" s="14"/>
      <c r="I47" s="13"/>
      <c r="J47" s="13"/>
      <c r="K47" s="13" t="s">
        <v>65</v>
      </c>
    </row>
    <row r="48" ht="15.75" customHeight="1">
      <c r="A48" s="13"/>
      <c r="B48" s="13"/>
      <c r="C48" s="13"/>
      <c r="D48" s="13"/>
      <c r="E48" s="13"/>
      <c r="F48" s="13"/>
      <c r="G48" s="13"/>
      <c r="H48" s="14"/>
      <c r="I48" s="13"/>
      <c r="J48" s="13"/>
      <c r="K48" s="13" t="s">
        <v>65</v>
      </c>
    </row>
    <row r="49" ht="15.75" customHeight="1">
      <c r="A49" s="13"/>
      <c r="B49" s="13"/>
      <c r="C49" s="13"/>
      <c r="D49" s="13"/>
      <c r="E49" s="13"/>
      <c r="F49" s="13"/>
      <c r="G49" s="13"/>
      <c r="H49" s="14"/>
      <c r="I49" s="13"/>
      <c r="J49" s="13"/>
      <c r="K49" s="13" t="s">
        <v>65</v>
      </c>
    </row>
    <row r="50" ht="15.75" customHeight="1">
      <c r="A50" s="13"/>
      <c r="B50" s="13"/>
      <c r="C50" s="13"/>
      <c r="D50" s="13"/>
      <c r="E50" s="13"/>
      <c r="F50" s="13"/>
      <c r="G50" s="13"/>
      <c r="H50" s="14"/>
      <c r="I50" s="13"/>
      <c r="J50" s="13"/>
      <c r="K50" s="13" t="s">
        <v>65</v>
      </c>
    </row>
    <row r="51" ht="15.75" customHeight="1">
      <c r="A51" s="13"/>
      <c r="B51" s="13"/>
      <c r="C51" s="13"/>
      <c r="D51" s="13"/>
      <c r="E51" s="13"/>
      <c r="F51" s="13"/>
      <c r="G51" s="13"/>
      <c r="H51" s="14"/>
      <c r="I51" s="13"/>
      <c r="J51" s="13"/>
      <c r="K51" s="13" t="s">
        <v>65</v>
      </c>
    </row>
    <row r="52" ht="15.75" customHeight="1">
      <c r="A52" s="13"/>
      <c r="B52" s="13"/>
      <c r="C52" s="13"/>
      <c r="D52" s="13"/>
      <c r="E52" s="13"/>
      <c r="F52" s="13"/>
      <c r="G52" s="13"/>
      <c r="H52" s="14"/>
      <c r="I52" s="13"/>
      <c r="J52" s="13"/>
      <c r="K52" s="13" t="s">
        <v>65</v>
      </c>
    </row>
    <row r="53" ht="15.75" customHeight="1">
      <c r="A53" s="13"/>
      <c r="B53" s="13"/>
      <c r="C53" s="13"/>
      <c r="D53" s="13"/>
      <c r="E53" s="13"/>
      <c r="F53" s="13"/>
      <c r="G53" s="13"/>
      <c r="H53" s="14"/>
      <c r="I53" s="13"/>
      <c r="J53" s="13"/>
      <c r="K53" s="13" t="s">
        <v>65</v>
      </c>
    </row>
    <row r="54" ht="15.75" customHeight="1">
      <c r="A54" s="13"/>
      <c r="B54" s="13"/>
      <c r="C54" s="13"/>
      <c r="D54" s="13"/>
      <c r="E54" s="13"/>
      <c r="F54" s="13"/>
      <c r="G54" s="13"/>
      <c r="H54" s="14"/>
      <c r="I54" s="13"/>
      <c r="J54" s="13"/>
      <c r="K54" s="13" t="s">
        <v>65</v>
      </c>
    </row>
    <row r="55" ht="15.75" customHeight="1">
      <c r="A55" s="13"/>
      <c r="B55" s="13"/>
      <c r="C55" s="13"/>
      <c r="D55" s="13"/>
      <c r="E55" s="13"/>
      <c r="F55" s="13"/>
      <c r="G55" s="13"/>
      <c r="H55" s="14"/>
      <c r="I55" s="13"/>
      <c r="J55" s="13"/>
      <c r="K55" s="13" t="s">
        <v>65</v>
      </c>
    </row>
    <row r="56" ht="15.75" customHeight="1">
      <c r="A56" s="13"/>
      <c r="B56" s="13"/>
      <c r="C56" s="13"/>
      <c r="D56" s="13"/>
      <c r="E56" s="13"/>
      <c r="F56" s="13"/>
      <c r="G56" s="13"/>
      <c r="H56" s="14"/>
      <c r="I56" s="13"/>
      <c r="J56" s="13"/>
      <c r="K56" s="13" t="s">
        <v>65</v>
      </c>
    </row>
    <row r="57" ht="15.75" customHeight="1">
      <c r="A57" s="13"/>
      <c r="B57" s="13"/>
      <c r="C57" s="13"/>
      <c r="D57" s="13"/>
      <c r="E57" s="13"/>
      <c r="F57" s="13"/>
      <c r="G57" s="13"/>
      <c r="H57" s="14"/>
      <c r="I57" s="13"/>
      <c r="J57" s="13"/>
      <c r="K57" s="13" t="s">
        <v>65</v>
      </c>
    </row>
    <row r="58" ht="15.75" customHeight="1">
      <c r="A58" s="13"/>
      <c r="B58" s="13"/>
      <c r="C58" s="13"/>
      <c r="D58" s="13"/>
      <c r="E58" s="13"/>
      <c r="F58" s="13"/>
      <c r="G58" s="13"/>
      <c r="H58" s="14"/>
      <c r="I58" s="13"/>
      <c r="J58" s="13"/>
      <c r="K58" s="13" t="s">
        <v>65</v>
      </c>
    </row>
    <row r="59" ht="15.75" customHeight="1">
      <c r="A59" s="13"/>
      <c r="B59" s="13"/>
      <c r="C59" s="13"/>
      <c r="D59" s="13"/>
      <c r="E59" s="13"/>
      <c r="F59" s="13"/>
      <c r="G59" s="13"/>
      <c r="H59" s="14"/>
      <c r="I59" s="13"/>
      <c r="J59" s="13"/>
      <c r="K59" s="13" t="s">
        <v>65</v>
      </c>
    </row>
    <row r="60" ht="15.75" customHeight="1">
      <c r="A60" s="13"/>
      <c r="B60" s="13"/>
      <c r="C60" s="13"/>
      <c r="D60" s="13"/>
      <c r="E60" s="13"/>
      <c r="F60" s="13"/>
      <c r="G60" s="13"/>
      <c r="H60" s="14"/>
      <c r="I60" s="13"/>
      <c r="J60" s="13"/>
      <c r="K60" s="13" t="s">
        <v>65</v>
      </c>
    </row>
    <row r="61" ht="15.75" customHeight="1">
      <c r="A61" s="13"/>
      <c r="B61" s="13"/>
      <c r="C61" s="13"/>
      <c r="D61" s="13"/>
      <c r="E61" s="13"/>
      <c r="F61" s="13"/>
      <c r="G61" s="13"/>
      <c r="H61" s="14"/>
      <c r="I61" s="13"/>
      <c r="J61" s="13"/>
      <c r="K61" s="13" t="s">
        <v>65</v>
      </c>
    </row>
    <row r="62" ht="15.75" customHeight="1">
      <c r="A62" s="13"/>
      <c r="B62" s="13"/>
      <c r="C62" s="13"/>
      <c r="D62" s="13"/>
      <c r="E62" s="13"/>
      <c r="F62" s="13"/>
      <c r="G62" s="13"/>
      <c r="H62" s="14"/>
      <c r="I62" s="13"/>
      <c r="J62" s="13"/>
      <c r="K62" s="13" t="s">
        <v>65</v>
      </c>
    </row>
    <row r="63" ht="15.75" customHeight="1">
      <c r="A63" s="13"/>
      <c r="B63" s="13"/>
      <c r="C63" s="13"/>
      <c r="D63" s="13"/>
      <c r="E63" s="13"/>
      <c r="F63" s="13"/>
      <c r="G63" s="13"/>
      <c r="H63" s="14"/>
      <c r="I63" s="13"/>
      <c r="J63" s="13"/>
      <c r="K63" s="13" t="s">
        <v>65</v>
      </c>
    </row>
    <row r="64" ht="15.75" customHeight="1">
      <c r="A64" s="13"/>
      <c r="B64" s="13"/>
      <c r="C64" s="13"/>
      <c r="D64" s="13"/>
      <c r="E64" s="13"/>
      <c r="F64" s="13"/>
      <c r="G64" s="13"/>
      <c r="H64" s="14"/>
      <c r="I64" s="13"/>
      <c r="J64" s="13"/>
      <c r="K64" s="13" t="s">
        <v>65</v>
      </c>
    </row>
    <row r="65" ht="15.75" customHeight="1">
      <c r="A65" s="13"/>
      <c r="B65" s="13"/>
      <c r="C65" s="13"/>
      <c r="D65" s="13"/>
      <c r="E65" s="13"/>
      <c r="F65" s="13"/>
      <c r="G65" s="13"/>
      <c r="H65" s="14"/>
      <c r="I65" s="13"/>
      <c r="J65" s="13"/>
      <c r="K65" s="13" t="s">
        <v>65</v>
      </c>
    </row>
    <row r="66" ht="15.75" customHeight="1">
      <c r="A66" s="13"/>
      <c r="B66" s="13"/>
      <c r="C66" s="13"/>
      <c r="D66" s="13"/>
      <c r="E66" s="13"/>
      <c r="F66" s="13"/>
      <c r="G66" s="13"/>
      <c r="H66" s="14"/>
      <c r="I66" s="13"/>
      <c r="J66" s="13"/>
      <c r="K66" s="13" t="s">
        <v>65</v>
      </c>
    </row>
    <row r="67" ht="15.75" customHeight="1">
      <c r="A67" s="13"/>
      <c r="B67" s="13"/>
      <c r="C67" s="13"/>
      <c r="D67" s="13"/>
      <c r="E67" s="13"/>
      <c r="F67" s="13"/>
      <c r="G67" s="13"/>
      <c r="H67" s="14"/>
      <c r="I67" s="13"/>
      <c r="J67" s="13"/>
      <c r="K67" s="13" t="s">
        <v>65</v>
      </c>
    </row>
    <row r="68" ht="15.75" customHeight="1">
      <c r="A68" s="13"/>
      <c r="B68" s="13"/>
      <c r="C68" s="13"/>
      <c r="D68" s="13"/>
      <c r="E68" s="13"/>
      <c r="F68" s="13"/>
      <c r="G68" s="13"/>
      <c r="H68" s="14"/>
      <c r="I68" s="13"/>
      <c r="J68" s="13"/>
      <c r="K68" s="13" t="s">
        <v>65</v>
      </c>
    </row>
    <row r="69" ht="15.75" customHeight="1">
      <c r="A69" s="13"/>
      <c r="B69" s="13"/>
      <c r="C69" s="13"/>
      <c r="D69" s="13"/>
      <c r="E69" s="13"/>
      <c r="F69" s="13"/>
      <c r="G69" s="13"/>
      <c r="H69" s="14"/>
      <c r="I69" s="13"/>
      <c r="J69" s="13"/>
      <c r="K69" s="13" t="s">
        <v>65</v>
      </c>
    </row>
    <row r="70" ht="15.75" customHeight="1">
      <c r="A70" s="13"/>
      <c r="B70" s="13"/>
      <c r="C70" s="13"/>
      <c r="D70" s="13"/>
      <c r="E70" s="13"/>
      <c r="F70" s="13"/>
      <c r="G70" s="13"/>
      <c r="H70" s="14"/>
      <c r="I70" s="13"/>
      <c r="J70" s="13"/>
      <c r="K70" s="13" t="s">
        <v>65</v>
      </c>
    </row>
    <row r="71" ht="15.75" customHeight="1">
      <c r="A71" s="13"/>
      <c r="B71" s="13"/>
      <c r="C71" s="13"/>
      <c r="D71" s="13"/>
      <c r="E71" s="13"/>
      <c r="F71" s="13"/>
      <c r="G71" s="13"/>
      <c r="H71" s="14"/>
      <c r="I71" s="13"/>
      <c r="J71" s="13"/>
      <c r="K71" s="13" t="s">
        <v>65</v>
      </c>
    </row>
    <row r="72" ht="15.75" customHeight="1">
      <c r="A72" s="13"/>
      <c r="B72" s="13"/>
      <c r="C72" s="13"/>
      <c r="D72" s="13"/>
      <c r="E72" s="13"/>
      <c r="F72" s="13"/>
      <c r="G72" s="13"/>
      <c r="H72" s="14"/>
      <c r="I72" s="13"/>
      <c r="J72" s="13"/>
      <c r="K72" s="13" t="s">
        <v>65</v>
      </c>
    </row>
    <row r="73" ht="15.75" customHeight="1">
      <c r="A73" s="13"/>
      <c r="B73" s="13"/>
      <c r="C73" s="13"/>
      <c r="D73" s="13"/>
      <c r="E73" s="13"/>
      <c r="F73" s="13"/>
      <c r="G73" s="13"/>
      <c r="H73" s="14"/>
      <c r="I73" s="13"/>
      <c r="J73" s="13"/>
      <c r="K73" s="13" t="s">
        <v>65</v>
      </c>
    </row>
    <row r="74" ht="15.75" customHeight="1">
      <c r="A74" s="13"/>
      <c r="B74" s="13"/>
      <c r="C74" s="13"/>
      <c r="D74" s="13"/>
      <c r="E74" s="13"/>
      <c r="F74" s="13"/>
      <c r="G74" s="13"/>
      <c r="H74" s="14"/>
      <c r="I74" s="13"/>
      <c r="J74" s="13"/>
      <c r="K74" s="13" t="s">
        <v>65</v>
      </c>
    </row>
    <row r="75" ht="15.75" customHeight="1">
      <c r="A75" s="13"/>
      <c r="B75" s="13"/>
      <c r="C75" s="13"/>
      <c r="D75" s="13"/>
      <c r="E75" s="13"/>
      <c r="F75" s="13"/>
      <c r="G75" s="13"/>
      <c r="H75" s="14"/>
      <c r="I75" s="13"/>
      <c r="J75" s="13"/>
      <c r="K75" s="13" t="s">
        <v>65</v>
      </c>
    </row>
    <row r="76" ht="15.75" customHeight="1">
      <c r="A76" s="13"/>
      <c r="B76" s="13"/>
      <c r="C76" s="13"/>
      <c r="D76" s="13"/>
      <c r="E76" s="13"/>
      <c r="F76" s="13"/>
      <c r="G76" s="13"/>
      <c r="H76" s="14"/>
      <c r="I76" s="13"/>
      <c r="J76" s="13"/>
      <c r="K76" s="13" t="s">
        <v>65</v>
      </c>
    </row>
    <row r="77" ht="15.75" customHeight="1">
      <c r="A77" s="13"/>
      <c r="B77" s="13"/>
      <c r="C77" s="13"/>
      <c r="D77" s="13"/>
      <c r="E77" s="13"/>
      <c r="F77" s="13"/>
      <c r="G77" s="13"/>
      <c r="H77" s="14"/>
      <c r="I77" s="13"/>
      <c r="J77" s="13"/>
      <c r="K77" s="13" t="s">
        <v>65</v>
      </c>
    </row>
    <row r="78" ht="15.75" customHeight="1">
      <c r="A78" s="13"/>
      <c r="B78" s="13"/>
      <c r="C78" s="13"/>
      <c r="D78" s="13"/>
      <c r="E78" s="13"/>
      <c r="F78" s="13"/>
      <c r="G78" s="13"/>
      <c r="H78" s="14"/>
      <c r="I78" s="13"/>
      <c r="J78" s="13"/>
      <c r="K78" s="13" t="s">
        <v>65</v>
      </c>
    </row>
    <row r="79" ht="15.75" customHeight="1">
      <c r="A79" s="13"/>
      <c r="B79" s="13"/>
      <c r="C79" s="13"/>
      <c r="D79" s="13"/>
      <c r="E79" s="13"/>
      <c r="F79" s="13"/>
      <c r="G79" s="13"/>
      <c r="H79" s="14"/>
      <c r="I79" s="13"/>
      <c r="J79" s="13"/>
      <c r="K79" s="13" t="s">
        <v>65</v>
      </c>
    </row>
    <row r="80" ht="15.75" customHeight="1">
      <c r="A80" s="13"/>
      <c r="B80" s="13"/>
      <c r="C80" s="13"/>
      <c r="D80" s="13"/>
      <c r="E80" s="13"/>
      <c r="F80" s="13"/>
      <c r="G80" s="13"/>
      <c r="H80" s="14"/>
      <c r="I80" s="13"/>
      <c r="J80" s="13"/>
      <c r="K80" s="13" t="s">
        <v>65</v>
      </c>
    </row>
    <row r="81" ht="15.75" customHeight="1">
      <c r="A81" s="13"/>
      <c r="B81" s="13"/>
      <c r="C81" s="13"/>
      <c r="D81" s="13"/>
      <c r="E81" s="13"/>
      <c r="F81" s="13"/>
      <c r="G81" s="13"/>
      <c r="H81" s="14"/>
      <c r="I81" s="13"/>
      <c r="J81" s="13"/>
      <c r="K81" s="13" t="s">
        <v>65</v>
      </c>
    </row>
    <row r="82" ht="15.75" customHeight="1">
      <c r="A82" s="13"/>
      <c r="B82" s="13"/>
      <c r="C82" s="13"/>
      <c r="D82" s="13"/>
      <c r="E82" s="13"/>
      <c r="F82" s="13"/>
      <c r="G82" s="13"/>
      <c r="H82" s="14"/>
      <c r="I82" s="13"/>
      <c r="J82" s="13"/>
      <c r="K82" s="13" t="s">
        <v>65</v>
      </c>
    </row>
    <row r="83" ht="15.75" customHeight="1">
      <c r="A83" s="13"/>
      <c r="B83" s="13"/>
      <c r="C83" s="13"/>
      <c r="D83" s="13"/>
      <c r="E83" s="13"/>
      <c r="F83" s="13"/>
      <c r="G83" s="13"/>
      <c r="H83" s="14"/>
      <c r="I83" s="13"/>
      <c r="J83" s="13"/>
      <c r="K83" s="13" t="s">
        <v>65</v>
      </c>
    </row>
    <row r="84" ht="15.75" customHeight="1">
      <c r="A84" s="13"/>
      <c r="B84" s="13"/>
      <c r="C84" s="13"/>
      <c r="D84" s="13"/>
      <c r="E84" s="13"/>
      <c r="F84" s="13"/>
      <c r="G84" s="13"/>
      <c r="H84" s="14"/>
      <c r="I84" s="13"/>
      <c r="J84" s="13"/>
      <c r="K84" s="13" t="s">
        <v>65</v>
      </c>
    </row>
    <row r="85" ht="15.75" customHeight="1">
      <c r="A85" s="13"/>
      <c r="B85" s="13"/>
      <c r="C85" s="13"/>
      <c r="D85" s="13"/>
      <c r="E85" s="13"/>
      <c r="F85" s="13"/>
      <c r="G85" s="13"/>
      <c r="H85" s="14"/>
      <c r="I85" s="13"/>
      <c r="J85" s="13"/>
      <c r="K85" s="13" t="s">
        <v>65</v>
      </c>
    </row>
    <row r="86" ht="15.75" customHeight="1">
      <c r="A86" s="13"/>
      <c r="B86" s="13"/>
      <c r="C86" s="13"/>
      <c r="D86" s="13"/>
      <c r="E86" s="13"/>
      <c r="F86" s="13"/>
      <c r="G86" s="13"/>
      <c r="H86" s="14"/>
      <c r="I86" s="13"/>
      <c r="J86" s="13"/>
      <c r="K86" s="13" t="s">
        <v>65</v>
      </c>
    </row>
    <row r="87" ht="15.75" customHeight="1">
      <c r="A87" s="13"/>
      <c r="B87" s="13"/>
      <c r="C87" s="13"/>
      <c r="D87" s="13"/>
      <c r="E87" s="13"/>
      <c r="F87" s="13"/>
      <c r="G87" s="13"/>
      <c r="H87" s="14"/>
      <c r="I87" s="13"/>
      <c r="J87" s="13"/>
      <c r="K87" s="13" t="s">
        <v>65</v>
      </c>
    </row>
    <row r="88" ht="15.75" customHeight="1">
      <c r="A88" s="13"/>
      <c r="B88" s="13"/>
      <c r="C88" s="13"/>
      <c r="D88" s="13"/>
      <c r="E88" s="13"/>
      <c r="F88" s="13"/>
      <c r="G88" s="13"/>
      <c r="H88" s="14"/>
      <c r="I88" s="13"/>
      <c r="J88" s="13"/>
      <c r="K88" s="13" t="s">
        <v>65</v>
      </c>
    </row>
    <row r="89" ht="15.75" customHeight="1">
      <c r="A89" s="13"/>
      <c r="B89" s="13"/>
      <c r="C89" s="13"/>
      <c r="D89" s="13"/>
      <c r="E89" s="13"/>
      <c r="F89" s="13"/>
      <c r="G89" s="13"/>
      <c r="H89" s="14"/>
      <c r="I89" s="13"/>
      <c r="J89" s="13"/>
      <c r="K89" s="13" t="s">
        <v>65</v>
      </c>
    </row>
    <row r="90" ht="15.75" customHeight="1">
      <c r="A90" s="13"/>
      <c r="B90" s="13"/>
      <c r="C90" s="13"/>
      <c r="D90" s="13"/>
      <c r="E90" s="13"/>
      <c r="F90" s="13"/>
      <c r="G90" s="13"/>
      <c r="H90" s="14"/>
      <c r="I90" s="13"/>
      <c r="J90" s="13"/>
      <c r="K90" s="13" t="s">
        <v>65</v>
      </c>
    </row>
    <row r="91" ht="15.75" customHeight="1">
      <c r="A91" s="13"/>
      <c r="B91" s="13"/>
      <c r="C91" s="13"/>
      <c r="D91" s="13"/>
      <c r="E91" s="13"/>
      <c r="F91" s="13"/>
      <c r="G91" s="13"/>
      <c r="H91" s="14"/>
      <c r="I91" s="13"/>
      <c r="J91" s="13"/>
      <c r="K91" s="13" t="s">
        <v>65</v>
      </c>
    </row>
    <row r="92" ht="15.75" customHeight="1">
      <c r="A92" s="13"/>
      <c r="B92" s="13"/>
      <c r="C92" s="13"/>
      <c r="D92" s="13"/>
      <c r="E92" s="13"/>
      <c r="F92" s="13"/>
      <c r="G92" s="13"/>
      <c r="H92" s="14"/>
      <c r="I92" s="13"/>
      <c r="J92" s="13"/>
      <c r="K92" s="13" t="s">
        <v>65</v>
      </c>
    </row>
    <row r="93" ht="15.75" customHeight="1">
      <c r="A93" s="13"/>
      <c r="B93" s="13"/>
      <c r="C93" s="13"/>
      <c r="D93" s="13"/>
      <c r="E93" s="13"/>
      <c r="F93" s="13"/>
      <c r="G93" s="13"/>
      <c r="H93" s="14"/>
      <c r="I93" s="13"/>
      <c r="J93" s="13"/>
      <c r="K93" s="13" t="s">
        <v>65</v>
      </c>
    </row>
    <row r="94" ht="15.75" customHeight="1">
      <c r="A94" s="13"/>
      <c r="B94" s="13"/>
      <c r="C94" s="13"/>
      <c r="D94" s="13"/>
      <c r="E94" s="13"/>
      <c r="F94" s="13"/>
      <c r="G94" s="13"/>
      <c r="H94" s="14"/>
      <c r="I94" s="13"/>
      <c r="J94" s="13"/>
      <c r="K94" s="13" t="s">
        <v>65</v>
      </c>
    </row>
    <row r="95" ht="15.75" customHeight="1">
      <c r="A95" s="13"/>
      <c r="B95" s="13"/>
      <c r="C95" s="13"/>
      <c r="D95" s="13"/>
      <c r="E95" s="13"/>
      <c r="F95" s="13"/>
      <c r="G95" s="13"/>
      <c r="H95" s="14"/>
      <c r="I95" s="13"/>
      <c r="J95" s="13"/>
      <c r="K95" s="13" t="s">
        <v>65</v>
      </c>
    </row>
    <row r="96" ht="15.75" customHeight="1">
      <c r="A96" s="13"/>
      <c r="B96" s="13"/>
      <c r="C96" s="13"/>
      <c r="D96" s="13"/>
      <c r="E96" s="13"/>
      <c r="F96" s="13"/>
      <c r="G96" s="13"/>
      <c r="H96" s="14"/>
      <c r="I96" s="13"/>
      <c r="J96" s="13"/>
      <c r="K96" s="13" t="s">
        <v>65</v>
      </c>
    </row>
    <row r="97" ht="15.75" customHeight="1">
      <c r="A97" s="13"/>
      <c r="B97" s="13"/>
      <c r="C97" s="13"/>
      <c r="D97" s="13"/>
      <c r="E97" s="13"/>
      <c r="F97" s="13"/>
      <c r="G97" s="13"/>
      <c r="H97" s="14"/>
      <c r="I97" s="13"/>
      <c r="J97" s="13"/>
      <c r="K97" s="13" t="s">
        <v>65</v>
      </c>
    </row>
    <row r="98" ht="15.75" customHeight="1">
      <c r="A98" s="13"/>
      <c r="B98" s="13"/>
      <c r="C98" s="13"/>
      <c r="D98" s="13"/>
      <c r="E98" s="13"/>
      <c r="F98" s="13"/>
      <c r="G98" s="13"/>
      <c r="H98" s="14"/>
      <c r="I98" s="13"/>
      <c r="J98" s="13"/>
      <c r="K98" s="13" t="s">
        <v>65</v>
      </c>
    </row>
    <row r="99" ht="15.75" customHeight="1">
      <c r="A99" s="13"/>
      <c r="B99" s="13"/>
      <c r="C99" s="13"/>
      <c r="D99" s="13"/>
      <c r="E99" s="13"/>
      <c r="F99" s="13"/>
      <c r="G99" s="13"/>
      <c r="H99" s="14"/>
      <c r="I99" s="13"/>
      <c r="J99" s="13"/>
      <c r="K99" s="13" t="s">
        <v>65</v>
      </c>
    </row>
    <row r="100" ht="15.75" customHeight="1">
      <c r="A100" s="13"/>
      <c r="B100" s="13"/>
      <c r="C100" s="13"/>
      <c r="D100" s="13"/>
      <c r="E100" s="13"/>
      <c r="F100" s="13"/>
      <c r="G100" s="13"/>
      <c r="H100" s="14"/>
      <c r="I100" s="13"/>
      <c r="J100" s="13"/>
      <c r="K100" s="13" t="s">
        <v>65</v>
      </c>
    </row>
    <row r="101" ht="15.75" customHeight="1">
      <c r="A101" s="13"/>
      <c r="B101" s="13"/>
      <c r="C101" s="13"/>
      <c r="D101" s="13"/>
      <c r="E101" s="13"/>
      <c r="F101" s="13"/>
      <c r="G101" s="13"/>
      <c r="H101" s="14"/>
      <c r="I101" s="13"/>
      <c r="J101" s="13"/>
      <c r="K101" s="13" t="s">
        <v>65</v>
      </c>
    </row>
    <row r="102" ht="15.75" customHeight="1">
      <c r="A102" s="13"/>
      <c r="B102" s="13"/>
      <c r="C102" s="13"/>
      <c r="D102" s="13"/>
      <c r="E102" s="13"/>
      <c r="F102" s="13"/>
      <c r="G102" s="13"/>
      <c r="H102" s="14"/>
      <c r="I102" s="13"/>
      <c r="J102" s="13"/>
      <c r="K102" s="13" t="s">
        <v>65</v>
      </c>
    </row>
    <row r="103" ht="15.75" customHeight="1">
      <c r="A103" s="13"/>
      <c r="B103" s="13"/>
      <c r="C103" s="13"/>
      <c r="D103" s="13"/>
      <c r="E103" s="13"/>
      <c r="F103" s="13"/>
      <c r="G103" s="13"/>
      <c r="H103" s="14"/>
      <c r="I103" s="13"/>
      <c r="J103" s="13"/>
      <c r="K103" s="13" t="s">
        <v>65</v>
      </c>
    </row>
    <row r="104" ht="15.75" customHeight="1">
      <c r="A104" s="13"/>
      <c r="B104" s="13"/>
      <c r="C104" s="13"/>
      <c r="D104" s="13"/>
      <c r="E104" s="13"/>
      <c r="F104" s="13"/>
      <c r="G104" s="13"/>
      <c r="H104" s="14"/>
      <c r="I104" s="13"/>
      <c r="J104" s="13"/>
      <c r="K104" s="13" t="s">
        <v>65</v>
      </c>
    </row>
    <row r="105" ht="15.75" customHeight="1">
      <c r="A105" s="13"/>
      <c r="B105" s="13"/>
      <c r="C105" s="13"/>
      <c r="D105" s="13"/>
      <c r="E105" s="13"/>
      <c r="F105" s="13"/>
      <c r="G105" s="13"/>
      <c r="H105" s="14"/>
      <c r="I105" s="13"/>
      <c r="J105" s="13"/>
      <c r="K105" s="13" t="s">
        <v>65</v>
      </c>
    </row>
    <row r="106" ht="15.75" customHeight="1">
      <c r="A106" s="13"/>
      <c r="B106" s="13"/>
      <c r="C106" s="13"/>
      <c r="D106" s="13"/>
      <c r="E106" s="13"/>
      <c r="F106" s="13"/>
      <c r="G106" s="13"/>
      <c r="H106" s="14"/>
      <c r="I106" s="13"/>
      <c r="J106" s="13"/>
      <c r="K106" s="13" t="s">
        <v>65</v>
      </c>
    </row>
    <row r="107" ht="15.75" customHeight="1">
      <c r="A107" s="13"/>
      <c r="B107" s="13"/>
      <c r="C107" s="13"/>
      <c r="D107" s="13"/>
      <c r="E107" s="13"/>
      <c r="F107" s="13"/>
      <c r="G107" s="13"/>
      <c r="H107" s="14"/>
      <c r="I107" s="13"/>
      <c r="J107" s="13"/>
      <c r="K107" s="13" t="s">
        <v>65</v>
      </c>
    </row>
    <row r="108" ht="15.75" customHeight="1">
      <c r="A108" s="13"/>
      <c r="B108" s="13"/>
      <c r="C108" s="13"/>
      <c r="D108" s="13"/>
      <c r="E108" s="13"/>
      <c r="F108" s="13"/>
      <c r="G108" s="13"/>
      <c r="H108" s="14"/>
      <c r="I108" s="13"/>
      <c r="J108" s="13"/>
      <c r="K108" s="13" t="s">
        <v>65</v>
      </c>
    </row>
    <row r="109" ht="15.75" customHeight="1">
      <c r="A109" s="13"/>
      <c r="B109" s="13"/>
      <c r="C109" s="13"/>
      <c r="D109" s="13"/>
      <c r="E109" s="13"/>
      <c r="F109" s="13"/>
      <c r="G109" s="13"/>
      <c r="H109" s="14"/>
      <c r="I109" s="13"/>
      <c r="J109" s="13"/>
      <c r="K109" s="13" t="s">
        <v>65</v>
      </c>
    </row>
    <row r="110" ht="15.75" customHeight="1">
      <c r="A110" s="13"/>
      <c r="B110" s="13"/>
      <c r="C110" s="13"/>
      <c r="D110" s="13"/>
      <c r="E110" s="13"/>
      <c r="F110" s="13"/>
      <c r="G110" s="13"/>
      <c r="H110" s="14"/>
      <c r="I110" s="13"/>
      <c r="J110" s="13"/>
      <c r="K110" s="13" t="s">
        <v>65</v>
      </c>
    </row>
    <row r="111" ht="15.75" customHeight="1">
      <c r="A111" s="13"/>
      <c r="B111" s="13"/>
      <c r="C111" s="13"/>
      <c r="D111" s="13"/>
      <c r="E111" s="13"/>
      <c r="F111" s="13"/>
      <c r="G111" s="13"/>
      <c r="H111" s="14"/>
      <c r="I111" s="13"/>
      <c r="J111" s="13"/>
      <c r="K111" s="13" t="s">
        <v>65</v>
      </c>
    </row>
    <row r="112" ht="15.75" customHeight="1">
      <c r="A112" s="13"/>
      <c r="B112" s="13"/>
      <c r="C112" s="13"/>
      <c r="D112" s="13"/>
      <c r="E112" s="13"/>
      <c r="F112" s="13"/>
      <c r="G112" s="13"/>
      <c r="H112" s="14"/>
      <c r="I112" s="13"/>
      <c r="J112" s="13"/>
      <c r="K112" s="13" t="s">
        <v>65</v>
      </c>
    </row>
    <row r="113" ht="15.75" customHeight="1">
      <c r="A113" s="13"/>
      <c r="B113" s="13"/>
      <c r="C113" s="13"/>
      <c r="D113" s="13"/>
      <c r="E113" s="13"/>
      <c r="F113" s="13"/>
      <c r="G113" s="13"/>
      <c r="H113" s="14"/>
      <c r="I113" s="13"/>
      <c r="J113" s="13"/>
      <c r="K113" s="13" t="s">
        <v>65</v>
      </c>
    </row>
    <row r="114" ht="15.75" customHeight="1">
      <c r="A114" s="13"/>
      <c r="B114" s="13"/>
      <c r="C114" s="13"/>
      <c r="D114" s="13"/>
      <c r="E114" s="13"/>
      <c r="F114" s="13"/>
      <c r="G114" s="13"/>
      <c r="H114" s="14"/>
      <c r="I114" s="13"/>
      <c r="J114" s="13"/>
      <c r="K114" s="13" t="s">
        <v>65</v>
      </c>
    </row>
    <row r="115" ht="15.75" customHeight="1">
      <c r="A115" s="13"/>
      <c r="B115" s="13"/>
      <c r="C115" s="13"/>
      <c r="D115" s="13"/>
      <c r="E115" s="13"/>
      <c r="F115" s="13"/>
      <c r="G115" s="13"/>
      <c r="H115" s="14"/>
      <c r="I115" s="13"/>
      <c r="J115" s="13"/>
      <c r="K115" s="13" t="s">
        <v>65</v>
      </c>
    </row>
    <row r="116" ht="15.75" customHeight="1">
      <c r="A116" s="13"/>
      <c r="B116" s="13"/>
      <c r="C116" s="13"/>
      <c r="D116" s="13"/>
      <c r="E116" s="13"/>
      <c r="F116" s="13"/>
      <c r="G116" s="13"/>
      <c r="H116" s="14"/>
      <c r="I116" s="13"/>
      <c r="J116" s="13"/>
      <c r="K116" s="13" t="s">
        <v>65</v>
      </c>
    </row>
    <row r="117" ht="15.75" customHeight="1">
      <c r="A117" s="13"/>
      <c r="B117" s="13"/>
      <c r="C117" s="13"/>
      <c r="D117" s="13"/>
      <c r="E117" s="13"/>
      <c r="F117" s="13"/>
      <c r="G117" s="13"/>
      <c r="H117" s="14"/>
      <c r="I117" s="13"/>
      <c r="J117" s="13"/>
      <c r="K117" s="13" t="s">
        <v>65</v>
      </c>
    </row>
    <row r="118" ht="15.75" customHeight="1">
      <c r="A118" s="13"/>
      <c r="B118" s="13"/>
      <c r="C118" s="13"/>
      <c r="D118" s="13"/>
      <c r="E118" s="13"/>
      <c r="F118" s="13"/>
      <c r="G118" s="13"/>
      <c r="H118" s="14"/>
      <c r="I118" s="13"/>
      <c r="J118" s="13"/>
      <c r="K118" s="13" t="s">
        <v>65</v>
      </c>
    </row>
    <row r="119" ht="15.75" customHeight="1">
      <c r="A119" s="13"/>
      <c r="B119" s="13"/>
      <c r="C119" s="13"/>
      <c r="D119" s="13"/>
      <c r="E119" s="13"/>
      <c r="F119" s="13"/>
      <c r="G119" s="13"/>
      <c r="H119" s="14"/>
      <c r="I119" s="13"/>
      <c r="J119" s="13"/>
      <c r="K119" s="13" t="s">
        <v>65</v>
      </c>
    </row>
    <row r="120" ht="15.75" customHeight="1">
      <c r="A120" s="13"/>
      <c r="B120" s="13"/>
      <c r="C120" s="13"/>
      <c r="D120" s="13"/>
      <c r="E120" s="13"/>
      <c r="F120" s="13"/>
      <c r="G120" s="13"/>
      <c r="H120" s="14"/>
      <c r="I120" s="13"/>
      <c r="J120" s="13"/>
      <c r="K120" s="13" t="s">
        <v>65</v>
      </c>
    </row>
    <row r="121" ht="15.75" customHeight="1">
      <c r="A121" s="13"/>
      <c r="B121" s="13"/>
      <c r="C121" s="13"/>
      <c r="D121" s="13"/>
      <c r="E121" s="13"/>
      <c r="F121" s="13"/>
      <c r="G121" s="13"/>
      <c r="H121" s="14"/>
      <c r="I121" s="13"/>
      <c r="J121" s="13"/>
      <c r="K121" s="13" t="s">
        <v>65</v>
      </c>
    </row>
    <row r="122" ht="15.75" customHeight="1">
      <c r="A122" s="13"/>
      <c r="B122" s="13"/>
      <c r="C122" s="13"/>
      <c r="D122" s="13"/>
      <c r="E122" s="13"/>
      <c r="F122" s="13"/>
      <c r="G122" s="13"/>
      <c r="H122" s="14"/>
      <c r="I122" s="13"/>
      <c r="J122" s="13"/>
      <c r="K122" s="13" t="s">
        <v>65</v>
      </c>
    </row>
    <row r="123" ht="15.75" customHeight="1">
      <c r="A123" s="13"/>
      <c r="B123" s="13"/>
      <c r="C123" s="13"/>
      <c r="D123" s="13"/>
      <c r="E123" s="13"/>
      <c r="F123" s="13"/>
      <c r="G123" s="13"/>
      <c r="H123" s="14"/>
      <c r="I123" s="13"/>
      <c r="J123" s="13"/>
      <c r="K123" s="13" t="s">
        <v>65</v>
      </c>
    </row>
    <row r="124" ht="15.75" customHeight="1">
      <c r="A124" s="13"/>
      <c r="B124" s="13"/>
      <c r="C124" s="13"/>
      <c r="D124" s="13"/>
      <c r="E124" s="13"/>
      <c r="F124" s="13"/>
      <c r="G124" s="13"/>
      <c r="H124" s="14"/>
      <c r="I124" s="13"/>
      <c r="J124" s="13"/>
      <c r="K124" s="13" t="s">
        <v>65</v>
      </c>
    </row>
    <row r="125" ht="15.75" customHeight="1">
      <c r="A125" s="13"/>
      <c r="B125" s="13"/>
      <c r="C125" s="13"/>
      <c r="D125" s="13"/>
      <c r="E125" s="13"/>
      <c r="F125" s="13"/>
      <c r="G125" s="13"/>
      <c r="H125" s="14"/>
      <c r="I125" s="13"/>
      <c r="J125" s="13"/>
      <c r="K125" s="13" t="s">
        <v>65</v>
      </c>
    </row>
    <row r="126" ht="15.75" customHeight="1">
      <c r="A126" s="13"/>
      <c r="B126" s="13"/>
      <c r="C126" s="13"/>
      <c r="D126" s="13"/>
      <c r="E126" s="13"/>
      <c r="F126" s="13"/>
      <c r="G126" s="13"/>
      <c r="H126" s="14"/>
      <c r="I126" s="13"/>
      <c r="J126" s="13"/>
      <c r="K126" s="13" t="s">
        <v>65</v>
      </c>
    </row>
    <row r="127" ht="15.75" customHeight="1">
      <c r="A127" s="13"/>
      <c r="B127" s="13"/>
      <c r="C127" s="13"/>
      <c r="D127" s="13"/>
      <c r="E127" s="13"/>
      <c r="F127" s="13"/>
      <c r="G127" s="13"/>
      <c r="H127" s="14"/>
      <c r="I127" s="13"/>
      <c r="J127" s="13"/>
      <c r="K127" s="13" t="s">
        <v>65</v>
      </c>
    </row>
    <row r="128" ht="15.75" customHeight="1">
      <c r="A128" s="13"/>
      <c r="B128" s="13"/>
      <c r="C128" s="13"/>
      <c r="D128" s="13"/>
      <c r="E128" s="13"/>
      <c r="F128" s="13"/>
      <c r="G128" s="13"/>
      <c r="H128" s="14"/>
      <c r="I128" s="13"/>
      <c r="J128" s="13"/>
      <c r="K128" s="13" t="s">
        <v>65</v>
      </c>
    </row>
    <row r="129" ht="15.75" customHeight="1">
      <c r="A129" s="13"/>
      <c r="B129" s="13"/>
      <c r="C129" s="13"/>
      <c r="D129" s="13"/>
      <c r="E129" s="13"/>
      <c r="F129" s="13"/>
      <c r="G129" s="13"/>
      <c r="H129" s="14"/>
      <c r="I129" s="13"/>
      <c r="J129" s="13"/>
      <c r="K129" s="13" t="s">
        <v>65</v>
      </c>
    </row>
    <row r="130" ht="15.75" customHeight="1">
      <c r="A130" s="13"/>
      <c r="B130" s="13"/>
      <c r="C130" s="13"/>
      <c r="D130" s="13"/>
      <c r="E130" s="13"/>
      <c r="F130" s="13"/>
      <c r="G130" s="13"/>
      <c r="H130" s="14"/>
      <c r="I130" s="13"/>
      <c r="J130" s="13"/>
      <c r="K130" s="13" t="s">
        <v>65</v>
      </c>
    </row>
    <row r="131" ht="15.75" customHeight="1">
      <c r="A131" s="13"/>
      <c r="B131" s="13"/>
      <c r="C131" s="13"/>
      <c r="D131" s="13"/>
      <c r="E131" s="13"/>
      <c r="F131" s="13"/>
      <c r="G131" s="13"/>
      <c r="H131" s="14"/>
      <c r="I131" s="13"/>
      <c r="J131" s="13"/>
      <c r="K131" s="13" t="s">
        <v>65</v>
      </c>
    </row>
    <row r="132" ht="15.75" customHeight="1">
      <c r="A132" s="13"/>
      <c r="B132" s="13"/>
      <c r="C132" s="13"/>
      <c r="D132" s="13"/>
      <c r="E132" s="13"/>
      <c r="F132" s="13"/>
      <c r="G132" s="13"/>
      <c r="H132" s="14"/>
      <c r="I132" s="13"/>
      <c r="J132" s="13"/>
      <c r="K132" s="13" t="s">
        <v>65</v>
      </c>
    </row>
    <row r="133" ht="15.75" customHeight="1">
      <c r="A133" s="13"/>
      <c r="B133" s="13"/>
      <c r="C133" s="13"/>
      <c r="D133" s="13"/>
      <c r="E133" s="13"/>
      <c r="F133" s="13"/>
      <c r="G133" s="13"/>
      <c r="H133" s="14"/>
      <c r="I133" s="13"/>
      <c r="J133" s="13"/>
      <c r="K133" s="13" t="s">
        <v>65</v>
      </c>
    </row>
    <row r="134" ht="15.75" customHeight="1">
      <c r="A134" s="13"/>
      <c r="B134" s="13"/>
      <c r="C134" s="13"/>
      <c r="D134" s="13"/>
      <c r="E134" s="13"/>
      <c r="F134" s="13"/>
      <c r="G134" s="13"/>
      <c r="H134" s="14"/>
      <c r="I134" s="13"/>
      <c r="J134" s="13"/>
      <c r="K134" s="13" t="s">
        <v>65</v>
      </c>
    </row>
    <row r="135" ht="15.75" customHeight="1">
      <c r="A135" s="13"/>
      <c r="B135" s="13"/>
      <c r="C135" s="13"/>
      <c r="D135" s="13"/>
      <c r="E135" s="13"/>
      <c r="F135" s="13"/>
      <c r="G135" s="13"/>
      <c r="H135" s="14"/>
      <c r="I135" s="13"/>
      <c r="J135" s="13"/>
      <c r="K135" s="13" t="s">
        <v>65</v>
      </c>
    </row>
    <row r="136" ht="15.75" customHeight="1">
      <c r="A136" s="13"/>
      <c r="B136" s="13"/>
      <c r="C136" s="13"/>
      <c r="D136" s="13"/>
      <c r="E136" s="13"/>
      <c r="F136" s="13"/>
      <c r="G136" s="13"/>
      <c r="H136" s="14"/>
      <c r="I136" s="13"/>
      <c r="J136" s="13"/>
      <c r="K136" s="13" t="s">
        <v>65</v>
      </c>
    </row>
    <row r="137" ht="15.75" customHeight="1">
      <c r="A137" s="13"/>
      <c r="B137" s="13"/>
      <c r="C137" s="13"/>
      <c r="D137" s="13"/>
      <c r="E137" s="13"/>
      <c r="F137" s="13"/>
      <c r="G137" s="13"/>
      <c r="H137" s="14"/>
      <c r="I137" s="13"/>
      <c r="J137" s="13"/>
      <c r="K137" s="13" t="s">
        <v>65</v>
      </c>
    </row>
    <row r="138" ht="15.75" customHeight="1">
      <c r="A138" s="13"/>
      <c r="B138" s="13"/>
      <c r="C138" s="13"/>
      <c r="D138" s="13"/>
      <c r="E138" s="13"/>
      <c r="F138" s="13"/>
      <c r="G138" s="13"/>
      <c r="H138" s="14"/>
      <c r="I138" s="13"/>
      <c r="J138" s="13"/>
      <c r="K138" s="13" t="s">
        <v>65</v>
      </c>
    </row>
    <row r="139" ht="15.75" customHeight="1">
      <c r="A139" s="13"/>
      <c r="B139" s="13"/>
      <c r="C139" s="13"/>
      <c r="D139" s="13"/>
      <c r="E139" s="13"/>
      <c r="F139" s="13"/>
      <c r="G139" s="13"/>
      <c r="H139" s="14"/>
      <c r="I139" s="13"/>
      <c r="J139" s="13"/>
      <c r="K139" s="13" t="s">
        <v>65</v>
      </c>
    </row>
    <row r="140" ht="15.75" customHeight="1">
      <c r="A140" s="13"/>
      <c r="B140" s="13"/>
      <c r="C140" s="13"/>
      <c r="D140" s="13"/>
      <c r="E140" s="13"/>
      <c r="F140" s="13"/>
      <c r="G140" s="13"/>
      <c r="H140" s="14"/>
      <c r="I140" s="13"/>
      <c r="J140" s="13"/>
      <c r="K140" s="13" t="s">
        <v>65</v>
      </c>
    </row>
    <row r="141" ht="15.75" customHeight="1">
      <c r="A141" s="13"/>
      <c r="B141" s="13"/>
      <c r="C141" s="13"/>
      <c r="D141" s="13"/>
      <c r="E141" s="13"/>
      <c r="F141" s="13"/>
      <c r="G141" s="13"/>
      <c r="H141" s="14"/>
      <c r="I141" s="13"/>
      <c r="J141" s="13"/>
      <c r="K141" s="13" t="s">
        <v>65</v>
      </c>
    </row>
    <row r="142" ht="15.75" customHeight="1">
      <c r="A142" s="13"/>
      <c r="B142" s="13"/>
      <c r="C142" s="13"/>
      <c r="D142" s="13"/>
      <c r="E142" s="13"/>
      <c r="F142" s="13"/>
      <c r="G142" s="13"/>
      <c r="H142" s="14"/>
      <c r="I142" s="13"/>
      <c r="J142" s="13"/>
      <c r="K142" s="13" t="s">
        <v>65</v>
      </c>
    </row>
    <row r="143" ht="15.75" customHeight="1">
      <c r="A143" s="13"/>
      <c r="B143" s="13"/>
      <c r="C143" s="13"/>
      <c r="D143" s="13"/>
      <c r="E143" s="13"/>
      <c r="F143" s="13"/>
      <c r="G143" s="13"/>
      <c r="H143" s="14"/>
      <c r="I143" s="13"/>
      <c r="J143" s="13"/>
      <c r="K143" s="13" t="s">
        <v>65</v>
      </c>
    </row>
    <row r="144" ht="15.75" customHeight="1">
      <c r="A144" s="13"/>
      <c r="B144" s="13"/>
      <c r="C144" s="13"/>
      <c r="D144" s="13"/>
      <c r="E144" s="13"/>
      <c r="F144" s="13"/>
      <c r="G144" s="13"/>
      <c r="H144" s="14"/>
      <c r="I144" s="13"/>
      <c r="J144" s="13"/>
      <c r="K144" s="13" t="s">
        <v>65</v>
      </c>
    </row>
    <row r="145" ht="15.75" customHeight="1">
      <c r="A145" s="13"/>
      <c r="B145" s="13"/>
      <c r="C145" s="13"/>
      <c r="D145" s="13"/>
      <c r="E145" s="13"/>
      <c r="F145" s="13"/>
      <c r="G145" s="13"/>
      <c r="H145" s="14"/>
      <c r="I145" s="13"/>
      <c r="J145" s="13"/>
      <c r="K145" s="13" t="s">
        <v>65</v>
      </c>
    </row>
    <row r="146" ht="15.75" customHeight="1">
      <c r="A146" s="13"/>
      <c r="B146" s="13"/>
      <c r="C146" s="13"/>
      <c r="D146" s="13"/>
      <c r="E146" s="13"/>
      <c r="F146" s="13"/>
      <c r="G146" s="13"/>
      <c r="H146" s="14"/>
      <c r="I146" s="13"/>
      <c r="J146" s="13"/>
      <c r="K146" s="13" t="s">
        <v>65</v>
      </c>
    </row>
    <row r="147" ht="15.75" customHeight="1">
      <c r="A147" s="13"/>
      <c r="B147" s="13"/>
      <c r="C147" s="13"/>
      <c r="D147" s="13"/>
      <c r="E147" s="13"/>
      <c r="F147" s="13"/>
      <c r="G147" s="13"/>
      <c r="H147" s="14"/>
      <c r="I147" s="13"/>
      <c r="J147" s="13"/>
      <c r="K147" s="13" t="s">
        <v>65</v>
      </c>
    </row>
    <row r="148" ht="15.75" customHeight="1">
      <c r="A148" s="13"/>
      <c r="B148" s="13"/>
      <c r="C148" s="13"/>
      <c r="D148" s="13"/>
      <c r="E148" s="13"/>
      <c r="F148" s="13"/>
      <c r="G148" s="13"/>
      <c r="H148" s="14"/>
      <c r="I148" s="13"/>
      <c r="J148" s="13"/>
      <c r="K148" s="13" t="s">
        <v>65</v>
      </c>
    </row>
    <row r="149" ht="15.75" customHeight="1">
      <c r="A149" s="13"/>
      <c r="B149" s="13"/>
      <c r="C149" s="13"/>
      <c r="D149" s="13"/>
      <c r="E149" s="13"/>
      <c r="F149" s="13"/>
      <c r="G149" s="13"/>
      <c r="H149" s="14"/>
      <c r="I149" s="13"/>
      <c r="J149" s="13"/>
      <c r="K149" s="13" t="s">
        <v>65</v>
      </c>
    </row>
    <row r="150" ht="15.75" customHeight="1">
      <c r="A150" s="13"/>
      <c r="B150" s="13"/>
      <c r="C150" s="13"/>
      <c r="D150" s="13"/>
      <c r="E150" s="13"/>
      <c r="F150" s="13"/>
      <c r="G150" s="13"/>
      <c r="H150" s="14"/>
      <c r="I150" s="13"/>
      <c r="J150" s="13"/>
      <c r="K150" s="13" t="s">
        <v>65</v>
      </c>
    </row>
    <row r="151" ht="15.75" customHeight="1">
      <c r="A151" s="13"/>
      <c r="B151" s="13"/>
      <c r="C151" s="13"/>
      <c r="D151" s="13"/>
      <c r="E151" s="13"/>
      <c r="F151" s="13"/>
      <c r="G151" s="13"/>
      <c r="H151" s="14"/>
      <c r="I151" s="13"/>
      <c r="J151" s="13"/>
      <c r="K151" s="13" t="s">
        <v>65</v>
      </c>
    </row>
    <row r="152" ht="15.75" customHeight="1">
      <c r="A152" s="13"/>
      <c r="B152" s="13"/>
      <c r="C152" s="13"/>
      <c r="D152" s="13"/>
      <c r="E152" s="13"/>
      <c r="F152" s="13"/>
      <c r="G152" s="13"/>
      <c r="H152" s="14"/>
      <c r="I152" s="13"/>
      <c r="J152" s="13"/>
      <c r="K152" s="13" t="s">
        <v>65</v>
      </c>
    </row>
    <row r="153" ht="15.75" customHeight="1">
      <c r="A153" s="13"/>
      <c r="B153" s="13"/>
      <c r="C153" s="13"/>
      <c r="D153" s="13"/>
      <c r="E153" s="13"/>
      <c r="F153" s="13"/>
      <c r="G153" s="13"/>
      <c r="H153" s="14"/>
      <c r="I153" s="13"/>
      <c r="J153" s="13"/>
      <c r="K153" s="13" t="s">
        <v>65</v>
      </c>
    </row>
    <row r="154" ht="15.75" customHeight="1">
      <c r="A154" s="13"/>
      <c r="B154" s="13"/>
      <c r="C154" s="13"/>
      <c r="D154" s="13"/>
      <c r="E154" s="13"/>
      <c r="F154" s="13"/>
      <c r="G154" s="13"/>
      <c r="H154" s="14"/>
      <c r="I154" s="13"/>
      <c r="J154" s="13"/>
      <c r="K154" s="13" t="s">
        <v>65</v>
      </c>
    </row>
    <row r="155" ht="15.75" customHeight="1">
      <c r="A155" s="13"/>
      <c r="B155" s="13"/>
      <c r="C155" s="13"/>
      <c r="D155" s="13"/>
      <c r="E155" s="13"/>
      <c r="F155" s="13"/>
      <c r="G155" s="13"/>
      <c r="H155" s="14"/>
      <c r="I155" s="13"/>
      <c r="J155" s="13"/>
      <c r="K155" s="13" t="s">
        <v>65</v>
      </c>
    </row>
    <row r="156" ht="15.75" customHeight="1">
      <c r="A156" s="13"/>
      <c r="B156" s="13"/>
      <c r="C156" s="13"/>
      <c r="D156" s="13"/>
      <c r="E156" s="13"/>
      <c r="F156" s="13"/>
      <c r="G156" s="13"/>
      <c r="H156" s="14"/>
      <c r="I156" s="13"/>
      <c r="J156" s="13"/>
      <c r="K156" s="13" t="s">
        <v>65</v>
      </c>
    </row>
    <row r="157" ht="15.75" customHeight="1">
      <c r="A157" s="13"/>
      <c r="B157" s="13"/>
      <c r="C157" s="13"/>
      <c r="D157" s="13"/>
      <c r="E157" s="13"/>
      <c r="F157" s="13"/>
      <c r="G157" s="13"/>
      <c r="H157" s="14"/>
      <c r="I157" s="13"/>
      <c r="J157" s="13"/>
      <c r="K157" s="13" t="s">
        <v>65</v>
      </c>
    </row>
    <row r="158" ht="15.75" customHeight="1">
      <c r="A158" s="13"/>
      <c r="B158" s="13"/>
      <c r="C158" s="13"/>
      <c r="D158" s="13"/>
      <c r="E158" s="13"/>
      <c r="F158" s="13"/>
      <c r="G158" s="13"/>
      <c r="H158" s="14"/>
      <c r="I158" s="13"/>
      <c r="J158" s="13"/>
      <c r="K158" s="13" t="s">
        <v>65</v>
      </c>
    </row>
    <row r="159" ht="15.75" customHeight="1">
      <c r="A159" s="13"/>
      <c r="B159" s="13"/>
      <c r="C159" s="13"/>
      <c r="D159" s="13"/>
      <c r="E159" s="13"/>
      <c r="F159" s="13"/>
      <c r="G159" s="13"/>
      <c r="H159" s="14"/>
      <c r="I159" s="13"/>
      <c r="J159" s="13"/>
      <c r="K159" s="13" t="s">
        <v>65</v>
      </c>
    </row>
    <row r="160" ht="15.75" customHeight="1">
      <c r="A160" s="13"/>
      <c r="B160" s="13"/>
      <c r="C160" s="13"/>
      <c r="D160" s="13"/>
      <c r="E160" s="13"/>
      <c r="F160" s="13"/>
      <c r="G160" s="13"/>
      <c r="H160" s="14"/>
      <c r="I160" s="13"/>
      <c r="J160" s="13"/>
      <c r="K160" s="13" t="s">
        <v>65</v>
      </c>
    </row>
    <row r="161" ht="15.75" customHeight="1">
      <c r="A161" s="13"/>
      <c r="B161" s="13"/>
      <c r="C161" s="13"/>
      <c r="D161" s="13"/>
      <c r="E161" s="13"/>
      <c r="F161" s="13"/>
      <c r="G161" s="13"/>
      <c r="H161" s="14"/>
      <c r="I161" s="13"/>
      <c r="J161" s="13"/>
      <c r="K161" s="13" t="s">
        <v>65</v>
      </c>
    </row>
    <row r="162" ht="15.75" customHeight="1">
      <c r="A162" s="13"/>
      <c r="B162" s="13"/>
      <c r="C162" s="13"/>
      <c r="D162" s="13"/>
      <c r="E162" s="13"/>
      <c r="F162" s="13"/>
      <c r="G162" s="13"/>
      <c r="H162" s="14"/>
      <c r="I162" s="13"/>
      <c r="J162" s="13"/>
      <c r="K162" s="13" t="s">
        <v>65</v>
      </c>
    </row>
    <row r="163" ht="15.75" customHeight="1">
      <c r="A163" s="13"/>
      <c r="B163" s="13"/>
      <c r="C163" s="13"/>
      <c r="D163" s="13"/>
      <c r="E163" s="13"/>
      <c r="F163" s="13"/>
      <c r="G163" s="13"/>
      <c r="H163" s="14"/>
      <c r="I163" s="13"/>
      <c r="J163" s="13"/>
      <c r="K163" s="13" t="s">
        <v>65</v>
      </c>
    </row>
    <row r="164" ht="15.75" customHeight="1">
      <c r="A164" s="13"/>
      <c r="B164" s="13"/>
      <c r="C164" s="13"/>
      <c r="D164" s="13"/>
      <c r="E164" s="13"/>
      <c r="F164" s="13"/>
      <c r="G164" s="13"/>
      <c r="H164" s="14"/>
      <c r="I164" s="13"/>
      <c r="J164" s="13"/>
      <c r="K164" s="13" t="s">
        <v>65</v>
      </c>
    </row>
    <row r="165" ht="15.75" customHeight="1">
      <c r="A165" s="13"/>
      <c r="B165" s="13"/>
      <c r="C165" s="13"/>
      <c r="D165" s="13"/>
      <c r="E165" s="13"/>
      <c r="F165" s="13"/>
      <c r="G165" s="13"/>
      <c r="H165" s="14"/>
      <c r="I165" s="13"/>
      <c r="J165" s="13"/>
      <c r="K165" s="13" t="s">
        <v>65</v>
      </c>
    </row>
    <row r="166" ht="15.75" customHeight="1">
      <c r="A166" s="13"/>
      <c r="B166" s="13"/>
      <c r="C166" s="13"/>
      <c r="D166" s="13"/>
      <c r="E166" s="13"/>
      <c r="F166" s="13"/>
      <c r="G166" s="13"/>
      <c r="H166" s="14"/>
      <c r="I166" s="13"/>
      <c r="J166" s="13"/>
      <c r="K166" s="13" t="s">
        <v>65</v>
      </c>
    </row>
    <row r="167" ht="15.75" customHeight="1">
      <c r="A167" s="13"/>
      <c r="B167" s="13"/>
      <c r="C167" s="13"/>
      <c r="D167" s="13"/>
      <c r="E167" s="13"/>
      <c r="F167" s="13"/>
      <c r="G167" s="13"/>
      <c r="H167" s="14"/>
      <c r="I167" s="13"/>
      <c r="J167" s="13"/>
      <c r="K167" s="13" t="s">
        <v>65</v>
      </c>
    </row>
    <row r="168" ht="15.75" customHeight="1">
      <c r="A168" s="13"/>
      <c r="B168" s="13"/>
      <c r="C168" s="13"/>
      <c r="D168" s="13"/>
      <c r="E168" s="13"/>
      <c r="F168" s="13"/>
      <c r="G168" s="13"/>
      <c r="H168" s="14"/>
      <c r="I168" s="13"/>
      <c r="J168" s="13"/>
      <c r="K168" s="13" t="s">
        <v>65</v>
      </c>
    </row>
    <row r="169" ht="15.75" customHeight="1">
      <c r="A169" s="13"/>
      <c r="B169" s="13"/>
      <c r="C169" s="13"/>
      <c r="D169" s="13"/>
      <c r="E169" s="13"/>
      <c r="F169" s="13"/>
      <c r="G169" s="13"/>
      <c r="H169" s="14"/>
      <c r="I169" s="13"/>
      <c r="J169" s="13"/>
      <c r="K169" s="13" t="s">
        <v>65</v>
      </c>
    </row>
    <row r="170" ht="15.75" customHeight="1">
      <c r="A170" s="13"/>
      <c r="B170" s="13"/>
      <c r="C170" s="13"/>
      <c r="D170" s="13"/>
      <c r="E170" s="13"/>
      <c r="F170" s="13"/>
      <c r="G170" s="13"/>
      <c r="H170" s="14"/>
      <c r="I170" s="13"/>
      <c r="J170" s="13"/>
      <c r="K170" s="13" t="s">
        <v>65</v>
      </c>
    </row>
    <row r="171" ht="15.75" customHeight="1">
      <c r="A171" s="13"/>
      <c r="B171" s="13"/>
      <c r="C171" s="13"/>
      <c r="D171" s="13"/>
      <c r="E171" s="13"/>
      <c r="F171" s="13"/>
      <c r="G171" s="13"/>
      <c r="H171" s="14"/>
      <c r="I171" s="13"/>
      <c r="J171" s="13"/>
      <c r="K171" s="13" t="s">
        <v>65</v>
      </c>
    </row>
    <row r="172" ht="15.75" customHeight="1">
      <c r="A172" s="13"/>
      <c r="B172" s="13"/>
      <c r="C172" s="13"/>
      <c r="D172" s="13"/>
      <c r="E172" s="13"/>
      <c r="F172" s="13"/>
      <c r="G172" s="13"/>
      <c r="H172" s="14"/>
      <c r="I172" s="13"/>
      <c r="J172" s="13"/>
      <c r="K172" s="13" t="s">
        <v>65</v>
      </c>
    </row>
    <row r="173" ht="15.75" customHeight="1">
      <c r="A173" s="13"/>
      <c r="B173" s="13"/>
      <c r="C173" s="13"/>
      <c r="D173" s="13"/>
      <c r="E173" s="13"/>
      <c r="F173" s="13"/>
      <c r="G173" s="13"/>
      <c r="H173" s="14"/>
      <c r="I173" s="13"/>
      <c r="J173" s="13"/>
      <c r="K173" s="13" t="s">
        <v>65</v>
      </c>
    </row>
    <row r="174" ht="15.75" customHeight="1">
      <c r="A174" s="13"/>
      <c r="B174" s="13"/>
      <c r="C174" s="13"/>
      <c r="D174" s="13"/>
      <c r="E174" s="13"/>
      <c r="F174" s="13"/>
      <c r="G174" s="13"/>
      <c r="H174" s="14"/>
      <c r="I174" s="13"/>
      <c r="J174" s="13"/>
      <c r="K174" s="13" t="s">
        <v>65</v>
      </c>
    </row>
    <row r="175" ht="15.75" customHeight="1">
      <c r="A175" s="13"/>
      <c r="B175" s="13"/>
      <c r="C175" s="13"/>
      <c r="D175" s="13"/>
      <c r="E175" s="13"/>
      <c r="F175" s="13"/>
      <c r="G175" s="13"/>
      <c r="H175" s="14"/>
      <c r="I175" s="13"/>
      <c r="J175" s="13"/>
      <c r="K175" s="13" t="s">
        <v>65</v>
      </c>
    </row>
    <row r="176" ht="15.75" customHeight="1">
      <c r="A176" s="13"/>
      <c r="B176" s="13"/>
      <c r="C176" s="13"/>
      <c r="D176" s="13"/>
      <c r="E176" s="13"/>
      <c r="F176" s="13"/>
      <c r="G176" s="13"/>
      <c r="H176" s="14"/>
      <c r="I176" s="13"/>
      <c r="J176" s="13"/>
      <c r="K176" s="13" t="s">
        <v>65</v>
      </c>
    </row>
    <row r="177" ht="15.75" customHeight="1">
      <c r="A177" s="13"/>
      <c r="B177" s="13"/>
      <c r="C177" s="13"/>
      <c r="D177" s="13"/>
      <c r="E177" s="13"/>
      <c r="F177" s="13"/>
      <c r="G177" s="13"/>
      <c r="H177" s="14"/>
      <c r="I177" s="13"/>
      <c r="J177" s="13"/>
      <c r="K177" s="13" t="s">
        <v>65</v>
      </c>
    </row>
    <row r="178" ht="15.75" customHeight="1">
      <c r="A178" s="13"/>
      <c r="B178" s="13"/>
      <c r="C178" s="13"/>
      <c r="D178" s="13"/>
      <c r="E178" s="13"/>
      <c r="F178" s="13"/>
      <c r="G178" s="13"/>
      <c r="H178" s="14"/>
      <c r="I178" s="13"/>
      <c r="J178" s="13"/>
      <c r="K178" s="13" t="s">
        <v>65</v>
      </c>
    </row>
    <row r="179" ht="15.75" customHeight="1">
      <c r="A179" s="13"/>
      <c r="B179" s="13"/>
      <c r="C179" s="13"/>
      <c r="D179" s="13"/>
      <c r="E179" s="13"/>
      <c r="F179" s="13"/>
      <c r="G179" s="13"/>
      <c r="H179" s="14"/>
      <c r="I179" s="13"/>
      <c r="J179" s="13"/>
      <c r="K179" s="13" t="s">
        <v>65</v>
      </c>
    </row>
    <row r="180" ht="15.75" customHeight="1">
      <c r="A180" s="13"/>
      <c r="B180" s="13"/>
      <c r="C180" s="13"/>
      <c r="D180" s="13"/>
      <c r="E180" s="13"/>
      <c r="F180" s="13"/>
      <c r="G180" s="13"/>
      <c r="H180" s="14"/>
      <c r="I180" s="13"/>
      <c r="J180" s="13"/>
      <c r="K180" s="13" t="s">
        <v>65</v>
      </c>
    </row>
    <row r="181" ht="15.75" customHeight="1">
      <c r="A181" s="13"/>
      <c r="B181" s="13"/>
      <c r="C181" s="13"/>
      <c r="D181" s="13"/>
      <c r="E181" s="13"/>
      <c r="F181" s="13"/>
      <c r="G181" s="13"/>
      <c r="H181" s="14"/>
      <c r="I181" s="13"/>
      <c r="J181" s="13"/>
      <c r="K181" s="13" t="s">
        <v>65</v>
      </c>
    </row>
    <row r="182" ht="15.75" customHeight="1">
      <c r="A182" s="13"/>
      <c r="B182" s="13"/>
      <c r="C182" s="13"/>
      <c r="D182" s="13"/>
      <c r="E182" s="13"/>
      <c r="F182" s="13"/>
      <c r="G182" s="13"/>
      <c r="H182" s="14"/>
      <c r="I182" s="13"/>
      <c r="J182" s="13"/>
      <c r="K182" s="13" t="s">
        <v>65</v>
      </c>
    </row>
    <row r="183" ht="15.75" customHeight="1">
      <c r="A183" s="13"/>
      <c r="B183" s="13"/>
      <c r="C183" s="13"/>
      <c r="D183" s="13"/>
      <c r="E183" s="13"/>
      <c r="F183" s="13"/>
      <c r="G183" s="13"/>
      <c r="H183" s="14"/>
      <c r="I183" s="13"/>
      <c r="J183" s="13"/>
      <c r="K183" s="13" t="s">
        <v>65</v>
      </c>
    </row>
    <row r="184" ht="15.75" customHeight="1">
      <c r="A184" s="13"/>
      <c r="B184" s="13"/>
      <c r="C184" s="13"/>
      <c r="D184" s="13"/>
      <c r="E184" s="13"/>
      <c r="F184" s="13"/>
      <c r="G184" s="13"/>
      <c r="H184" s="14"/>
      <c r="I184" s="13"/>
      <c r="J184" s="13"/>
      <c r="K184" s="13" t="s">
        <v>65</v>
      </c>
    </row>
    <row r="185" ht="15.75" customHeight="1">
      <c r="A185" s="13"/>
      <c r="B185" s="13"/>
      <c r="C185" s="13"/>
      <c r="D185" s="13"/>
      <c r="E185" s="13"/>
      <c r="F185" s="13"/>
      <c r="G185" s="13"/>
      <c r="H185" s="14"/>
      <c r="I185" s="13"/>
      <c r="J185" s="13"/>
      <c r="K185" s="13" t="s">
        <v>65</v>
      </c>
    </row>
    <row r="186" ht="15.75" customHeight="1">
      <c r="A186" s="13"/>
      <c r="B186" s="13"/>
      <c r="C186" s="13"/>
      <c r="D186" s="13"/>
      <c r="E186" s="13"/>
      <c r="F186" s="13"/>
      <c r="G186" s="13"/>
      <c r="H186" s="14"/>
      <c r="I186" s="13"/>
      <c r="J186" s="13"/>
      <c r="K186" s="13" t="s">
        <v>65</v>
      </c>
    </row>
    <row r="187" ht="15.75" customHeight="1">
      <c r="A187" s="13"/>
      <c r="B187" s="13"/>
      <c r="C187" s="13"/>
      <c r="D187" s="13"/>
      <c r="E187" s="13"/>
      <c r="F187" s="13"/>
      <c r="G187" s="13"/>
      <c r="H187" s="14"/>
      <c r="I187" s="13"/>
      <c r="J187" s="13"/>
      <c r="K187" s="13" t="s">
        <v>65</v>
      </c>
    </row>
    <row r="188" ht="15.75" customHeight="1">
      <c r="A188" s="13"/>
      <c r="B188" s="13"/>
      <c r="C188" s="13"/>
      <c r="D188" s="13"/>
      <c r="E188" s="13"/>
      <c r="F188" s="13"/>
      <c r="G188" s="13"/>
      <c r="H188" s="14"/>
      <c r="I188" s="13"/>
      <c r="J188" s="13"/>
      <c r="K188" s="13" t="s">
        <v>65</v>
      </c>
    </row>
    <row r="189" ht="15.75" customHeight="1">
      <c r="A189" s="13"/>
      <c r="B189" s="13"/>
      <c r="C189" s="13"/>
      <c r="D189" s="13"/>
      <c r="E189" s="13"/>
      <c r="F189" s="13"/>
      <c r="G189" s="13"/>
      <c r="H189" s="14"/>
      <c r="I189" s="13"/>
      <c r="J189" s="13"/>
      <c r="K189" s="13" t="s">
        <v>65</v>
      </c>
    </row>
    <row r="190" ht="15.75" customHeight="1">
      <c r="A190" s="13"/>
      <c r="B190" s="13"/>
      <c r="C190" s="13"/>
      <c r="D190" s="13"/>
      <c r="E190" s="13"/>
      <c r="F190" s="13"/>
      <c r="G190" s="13"/>
      <c r="H190" s="14"/>
      <c r="I190" s="13"/>
      <c r="J190" s="13"/>
      <c r="K190" s="13" t="s">
        <v>65</v>
      </c>
    </row>
    <row r="191" ht="15.75" customHeight="1">
      <c r="A191" s="13"/>
      <c r="B191" s="13"/>
      <c r="C191" s="13"/>
      <c r="D191" s="13"/>
      <c r="E191" s="13"/>
      <c r="F191" s="13"/>
      <c r="G191" s="13"/>
      <c r="H191" s="14"/>
      <c r="I191" s="13"/>
      <c r="J191" s="13"/>
      <c r="K191" s="13" t="s">
        <v>65</v>
      </c>
    </row>
    <row r="192" ht="15.75" customHeight="1">
      <c r="A192" s="13"/>
      <c r="B192" s="13"/>
      <c r="C192" s="13"/>
      <c r="D192" s="13"/>
      <c r="E192" s="13"/>
      <c r="F192" s="13"/>
      <c r="G192" s="13"/>
      <c r="H192" s="14"/>
      <c r="I192" s="13"/>
      <c r="J192" s="13"/>
      <c r="K192" s="13" t="s">
        <v>65</v>
      </c>
    </row>
    <row r="193" ht="15.75" customHeight="1">
      <c r="A193" s="13"/>
      <c r="B193" s="13"/>
      <c r="C193" s="13"/>
      <c r="D193" s="13"/>
      <c r="E193" s="13"/>
      <c r="F193" s="13"/>
      <c r="G193" s="13"/>
      <c r="H193" s="14"/>
      <c r="I193" s="13"/>
      <c r="J193" s="13"/>
      <c r="K193" s="13" t="s">
        <v>65</v>
      </c>
    </row>
    <row r="194" ht="15.75" customHeight="1">
      <c r="A194" s="13"/>
      <c r="B194" s="13"/>
      <c r="C194" s="13"/>
      <c r="D194" s="13"/>
      <c r="E194" s="13"/>
      <c r="F194" s="13"/>
      <c r="G194" s="13"/>
      <c r="H194" s="14"/>
      <c r="I194" s="13"/>
      <c r="J194" s="13"/>
      <c r="K194" s="13" t="s">
        <v>65</v>
      </c>
    </row>
    <row r="195" ht="15.75" customHeight="1">
      <c r="A195" s="13"/>
      <c r="B195" s="13"/>
      <c r="C195" s="13"/>
      <c r="D195" s="13"/>
      <c r="E195" s="13"/>
      <c r="F195" s="13"/>
      <c r="G195" s="13"/>
      <c r="H195" s="14"/>
      <c r="I195" s="13"/>
      <c r="J195" s="13"/>
      <c r="K195" s="13" t="s">
        <v>65</v>
      </c>
    </row>
    <row r="196" ht="15.75" customHeight="1">
      <c r="A196" s="13"/>
      <c r="B196" s="13"/>
      <c r="C196" s="13"/>
      <c r="D196" s="13"/>
      <c r="E196" s="13"/>
      <c r="F196" s="13"/>
      <c r="G196" s="13"/>
      <c r="H196" s="14"/>
      <c r="I196" s="13"/>
      <c r="J196" s="13"/>
      <c r="K196" s="13" t="s">
        <v>65</v>
      </c>
    </row>
    <row r="197" ht="15.75" customHeight="1">
      <c r="A197" s="13"/>
      <c r="B197" s="13"/>
      <c r="C197" s="13"/>
      <c r="D197" s="13"/>
      <c r="E197" s="13"/>
      <c r="F197" s="13"/>
      <c r="G197" s="13"/>
      <c r="H197" s="14"/>
      <c r="I197" s="13"/>
      <c r="J197" s="13"/>
      <c r="K197" s="13" t="s">
        <v>65</v>
      </c>
    </row>
    <row r="198" ht="15.75" customHeight="1">
      <c r="A198" s="13"/>
      <c r="B198" s="13"/>
      <c r="C198" s="13"/>
      <c r="D198" s="13"/>
      <c r="E198" s="13"/>
      <c r="F198" s="13"/>
      <c r="G198" s="13"/>
      <c r="H198" s="14"/>
      <c r="I198" s="13"/>
      <c r="J198" s="13"/>
      <c r="K198" s="13" t="s">
        <v>65</v>
      </c>
    </row>
    <row r="199" ht="15.75" customHeight="1">
      <c r="A199" s="13"/>
      <c r="B199" s="13"/>
      <c r="C199" s="13"/>
      <c r="D199" s="13"/>
      <c r="E199" s="13"/>
      <c r="F199" s="13"/>
      <c r="G199" s="13"/>
      <c r="H199" s="14"/>
      <c r="I199" s="13"/>
      <c r="J199" s="13"/>
      <c r="K199" s="13" t="s">
        <v>65</v>
      </c>
    </row>
    <row r="200" ht="15.75" customHeight="1">
      <c r="A200" s="13"/>
      <c r="B200" s="13"/>
      <c r="C200" s="13"/>
      <c r="D200" s="13"/>
      <c r="E200" s="13"/>
      <c r="F200" s="13"/>
      <c r="G200" s="13"/>
      <c r="H200" s="14"/>
      <c r="I200" s="13"/>
      <c r="J200" s="13"/>
      <c r="K200" s="13" t="s">
        <v>65</v>
      </c>
    </row>
    <row r="201" ht="15.75" customHeight="1">
      <c r="A201" s="13"/>
      <c r="B201" s="13"/>
      <c r="C201" s="13"/>
      <c r="D201" s="13"/>
      <c r="E201" s="13"/>
      <c r="F201" s="13"/>
      <c r="G201" s="13"/>
      <c r="H201" s="14"/>
      <c r="I201" s="13"/>
      <c r="J201" s="13"/>
      <c r="K201" s="13" t="s">
        <v>65</v>
      </c>
    </row>
    <row r="202" ht="15.75" customHeight="1">
      <c r="A202" s="13"/>
      <c r="B202" s="13"/>
      <c r="C202" s="13"/>
      <c r="D202" s="13"/>
      <c r="E202" s="13"/>
      <c r="F202" s="13"/>
      <c r="G202" s="13"/>
      <c r="H202" s="14"/>
      <c r="I202" s="13"/>
      <c r="J202" s="13"/>
      <c r="K202" s="13" t="s">
        <v>65</v>
      </c>
    </row>
    <row r="203" ht="15.75" customHeight="1">
      <c r="A203" s="13"/>
      <c r="B203" s="13"/>
      <c r="C203" s="13"/>
      <c r="D203" s="13"/>
      <c r="E203" s="13"/>
      <c r="F203" s="13"/>
      <c r="G203" s="13"/>
      <c r="H203" s="14"/>
      <c r="I203" s="13"/>
      <c r="J203" s="13"/>
      <c r="K203" s="13" t="s">
        <v>65</v>
      </c>
    </row>
    <row r="204" ht="15.75" customHeight="1">
      <c r="A204" s="13"/>
      <c r="B204" s="13"/>
      <c r="C204" s="13"/>
      <c r="D204" s="13"/>
      <c r="E204" s="13"/>
      <c r="F204" s="13"/>
      <c r="G204" s="13"/>
      <c r="H204" s="14"/>
      <c r="I204" s="13"/>
      <c r="J204" s="13"/>
      <c r="K204" s="13" t="s">
        <v>65</v>
      </c>
    </row>
  </sheetData>
  <mergeCells count="2">
    <mergeCell ref="A2:K2"/>
    <mergeCell ref="A1:K1"/>
  </mergeCells>
  <dataValidations>
    <dataValidation type="list" allowBlank="1" sqref="E5:E204">
      <formula1>'Paramètres'!$E$4:$E$103</formula1>
    </dataValidation>
    <dataValidation type="list" allowBlank="1" sqref="K5:K204">
      <formula1>"Oui,Non"</formula1>
    </dataValidation>
    <dataValidation type="list" allowBlank="1" sqref="C5:C204">
      <formula1>'Paramètres'!$B$4:$B$103</formula1>
    </dataValidation>
    <dataValidation type="list" allowBlank="1" sqref="D5:D204">
      <formula1>'Paramètres'!$C$4:$C$103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16.0"/>
    <col customWidth="1" min="3" max="4" width="30.0"/>
    <col customWidth="1" min="5" max="5" width="22.0"/>
    <col customWidth="1" min="6" max="6" width="16.0"/>
    <col customWidth="1" min="7" max="7" width="12.0"/>
    <col customWidth="1" min="8" max="8" width="8.0"/>
    <col customWidth="1" min="9" max="9" width="13.0"/>
    <col customWidth="1" min="10" max="11" width="16.0"/>
    <col customWidth="1" min="12" max="12" width="30.0"/>
    <col customWidth="1" min="13" max="13" width="16.0"/>
  </cols>
  <sheetData>
    <row r="1">
      <c r="A1" s="1" t="s">
        <v>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11" t="s">
        <v>76</v>
      </c>
    </row>
    <row r="4">
      <c r="A4" s="12" t="s">
        <v>77</v>
      </c>
      <c r="B4" s="12" t="s">
        <v>6</v>
      </c>
      <c r="C4" s="12" t="s">
        <v>78</v>
      </c>
      <c r="D4" s="12" t="s">
        <v>79</v>
      </c>
      <c r="E4" s="12" t="s">
        <v>80</v>
      </c>
      <c r="F4" s="12" t="s">
        <v>81</v>
      </c>
      <c r="G4" s="12" t="s">
        <v>82</v>
      </c>
      <c r="H4" s="12" t="s">
        <v>83</v>
      </c>
      <c r="I4" s="12" t="s">
        <v>84</v>
      </c>
      <c r="J4" s="12" t="s">
        <v>85</v>
      </c>
      <c r="K4" s="12" t="s">
        <v>86</v>
      </c>
      <c r="L4" s="12" t="s">
        <v>87</v>
      </c>
      <c r="M4" s="12" t="s">
        <v>10</v>
      </c>
    </row>
    <row r="5">
      <c r="A5" s="15"/>
      <c r="B5" s="16"/>
      <c r="C5" s="16" t="s">
        <v>88</v>
      </c>
      <c r="D5" s="17" t="str">
        <f>IF(B5="","",IFERROR(VLOOKUP(B5,Articles!$A$5:$K$204,2,FALSE),"Référence inconnue"))</f>
        <v/>
      </c>
      <c r="E5" s="16" t="s">
        <v>25</v>
      </c>
      <c r="F5" s="16" t="s">
        <v>32</v>
      </c>
      <c r="G5" s="16">
        <v>100.0</v>
      </c>
      <c r="H5" s="17" t="str">
        <f t="shared" ref="H5:H504" si="1">IF(F5="Départ",-1,IF(F5="Retour",1,IF(F5="Entrée stock",1,IF(F5="Correction +",1,IF(F5="Correction -",-1,0)))))</f>
        <v>1</v>
      </c>
      <c r="I5" s="17" t="str">
        <f t="shared" ref="I5:I504" si="2">IF(G5="","",G5*H5)</f>
        <v>100</v>
      </c>
      <c r="J5" s="18" t="str">
        <f>IF(B5="","",IFERROR(G5*VLOOKUP(B5,Articles!$A$5:$K$204,8,FALSE),0))</f>
        <v/>
      </c>
      <c r="K5" s="16"/>
      <c r="L5" s="16"/>
      <c r="M5" s="17" t="str">
        <f t="shared" ref="M5:M504" si="3">IF(AND(B5="",C5=""),"À compléter",IF(G5&lt;=0,"Qté manquante",IF(F5="","Type manquant","OK")))</f>
        <v>OK</v>
      </c>
    </row>
    <row r="6">
      <c r="A6" s="15"/>
      <c r="B6" s="16">
        <v>12345.0</v>
      </c>
      <c r="C6" s="16"/>
      <c r="D6" s="17" t="str">
        <f>IF(B6="","",IFERROR(VLOOKUP(B6,Articles!$A$5:$K$204,2,FALSE),"Référence inconnue"))</f>
        <v>Quentin</v>
      </c>
      <c r="E6" s="16" t="s">
        <v>25</v>
      </c>
      <c r="F6" s="16" t="s">
        <v>22</v>
      </c>
      <c r="G6" s="16">
        <v>100.0</v>
      </c>
      <c r="H6" s="17" t="str">
        <f t="shared" si="1"/>
        <v>-1</v>
      </c>
      <c r="I6" s="17" t="str">
        <f t="shared" si="2"/>
        <v>-100</v>
      </c>
      <c r="J6" s="18" t="str">
        <f>IF(B6="","",IFERROR(G6*VLOOKUP(B6,Articles!$A$5:$K$204,8,FALSE),0))</f>
        <v>1,000.00 €</v>
      </c>
      <c r="K6" s="16"/>
      <c r="L6" s="16"/>
      <c r="M6" s="17" t="str">
        <f t="shared" si="3"/>
        <v>OK</v>
      </c>
    </row>
    <row r="7">
      <c r="A7" s="15"/>
      <c r="B7" s="16">
        <v>12345.0</v>
      </c>
      <c r="C7" s="16"/>
      <c r="D7" s="17" t="str">
        <f>IF(B7="","",IFERROR(VLOOKUP(B7,Articles!$A$5:$K$204,2,FALSE),"Référence inconnue"))</f>
        <v>Quentin</v>
      </c>
      <c r="E7" s="16" t="s">
        <v>36</v>
      </c>
      <c r="F7" s="16" t="s">
        <v>32</v>
      </c>
      <c r="G7" s="16">
        <v>100.0</v>
      </c>
      <c r="H7" s="17" t="str">
        <f t="shared" si="1"/>
        <v>1</v>
      </c>
      <c r="I7" s="17" t="str">
        <f t="shared" si="2"/>
        <v>100</v>
      </c>
      <c r="J7" s="18" t="str">
        <f>IF(B7="","",IFERROR(G7*VLOOKUP(B7,Articles!$A$5:$K$204,8,FALSE),0))</f>
        <v>1,000.00 €</v>
      </c>
      <c r="K7" s="16"/>
      <c r="L7" s="16"/>
      <c r="M7" s="17" t="str">
        <f t="shared" si="3"/>
        <v>OK</v>
      </c>
    </row>
    <row r="8">
      <c r="A8" s="15"/>
      <c r="B8" s="16">
        <v>4969272.0</v>
      </c>
      <c r="C8" s="16"/>
      <c r="D8" s="17" t="str">
        <f>IF(B8="","",IFERROR(VLOOKUP(B8,Articles!$A$5:$K$204,2,FALSE),"Référence inconnue"))</f>
        <v>teben </v>
      </c>
      <c r="E8" s="16" t="s">
        <v>25</v>
      </c>
      <c r="F8" s="16" t="s">
        <v>22</v>
      </c>
      <c r="G8" s="16">
        <v>4.0</v>
      </c>
      <c r="H8" s="17" t="str">
        <f t="shared" si="1"/>
        <v>-1</v>
      </c>
      <c r="I8" s="17" t="str">
        <f t="shared" si="2"/>
        <v>-4</v>
      </c>
      <c r="J8" s="18" t="str">
        <f>IF(B8="","",IFERROR(G8*VLOOKUP(B8,Articles!$A$5:$K$204,8,FALSE),0))</f>
        <v>220.00 €</v>
      </c>
      <c r="K8" s="16"/>
      <c r="L8" s="16"/>
      <c r="M8" s="17" t="str">
        <f t="shared" si="3"/>
        <v>OK</v>
      </c>
    </row>
    <row r="9">
      <c r="A9" s="15"/>
      <c r="B9" s="16"/>
      <c r="C9" s="16"/>
      <c r="D9" s="17" t="str">
        <f>IF(B9="","",IFERROR(VLOOKUP(B9,Articles!$A$5:$K$204,2,FALSE),"Référence inconnue"))</f>
        <v/>
      </c>
      <c r="E9" s="16"/>
      <c r="F9" s="16"/>
      <c r="G9" s="16"/>
      <c r="H9" s="17" t="str">
        <f t="shared" si="1"/>
        <v>0</v>
      </c>
      <c r="I9" s="17" t="str">
        <f t="shared" si="2"/>
        <v/>
      </c>
      <c r="J9" s="18" t="str">
        <f>IF(B9="","",IFERROR(G9*VLOOKUP(B9,Articles!$A$5:$K$204,8,FALSE),0))</f>
        <v/>
      </c>
      <c r="K9" s="16"/>
      <c r="L9" s="16"/>
      <c r="M9" s="17" t="str">
        <f t="shared" si="3"/>
        <v>À compléter</v>
      </c>
    </row>
    <row r="10">
      <c r="A10" s="15"/>
      <c r="B10" s="16"/>
      <c r="C10" s="16"/>
      <c r="D10" s="17" t="str">
        <f>IF(B10="","",IFERROR(VLOOKUP(B10,Articles!$A$5:$K$204,2,FALSE),"Référence inconnue"))</f>
        <v/>
      </c>
      <c r="E10" s="16"/>
      <c r="F10" s="16"/>
      <c r="G10" s="16"/>
      <c r="H10" s="17" t="str">
        <f t="shared" si="1"/>
        <v>0</v>
      </c>
      <c r="I10" s="17" t="str">
        <f t="shared" si="2"/>
        <v/>
      </c>
      <c r="J10" s="18" t="str">
        <f>IF(B10="","",IFERROR(G10*VLOOKUP(B10,Articles!$A$5:$K$204,8,FALSE),0))</f>
        <v/>
      </c>
      <c r="K10" s="16"/>
      <c r="L10" s="16"/>
      <c r="M10" s="17" t="str">
        <f t="shared" si="3"/>
        <v>À compléter</v>
      </c>
    </row>
    <row r="11">
      <c r="A11" s="15"/>
      <c r="B11" s="16"/>
      <c r="C11" s="16"/>
      <c r="D11" s="17" t="str">
        <f>IF(B11="","",IFERROR(VLOOKUP(B11,Articles!$A$5:$K$204,2,FALSE),"Référence inconnue"))</f>
        <v/>
      </c>
      <c r="E11" s="16"/>
      <c r="F11" s="16"/>
      <c r="G11" s="16"/>
      <c r="H11" s="17" t="str">
        <f t="shared" si="1"/>
        <v>0</v>
      </c>
      <c r="I11" s="17" t="str">
        <f t="shared" si="2"/>
        <v/>
      </c>
      <c r="J11" s="18" t="str">
        <f>IF(B11="","",IFERROR(G11*VLOOKUP(B11,Articles!$A$5:$K$204,8,FALSE),0))</f>
        <v/>
      </c>
      <c r="K11" s="16"/>
      <c r="L11" s="16"/>
      <c r="M11" s="17" t="str">
        <f t="shared" si="3"/>
        <v>À compléter</v>
      </c>
    </row>
    <row r="12">
      <c r="A12" s="15"/>
      <c r="B12" s="16"/>
      <c r="C12" s="16"/>
      <c r="D12" s="17" t="str">
        <f>IF(B12="","",IFERROR(VLOOKUP(B12,Articles!$A$5:$K$204,2,FALSE),"Référence inconnue"))</f>
        <v/>
      </c>
      <c r="E12" s="16"/>
      <c r="F12" s="16"/>
      <c r="G12" s="16"/>
      <c r="H12" s="17" t="str">
        <f t="shared" si="1"/>
        <v>0</v>
      </c>
      <c r="I12" s="17" t="str">
        <f t="shared" si="2"/>
        <v/>
      </c>
      <c r="J12" s="18" t="str">
        <f>IF(B12="","",IFERROR(G12*VLOOKUP(B12,Articles!$A$5:$K$204,8,FALSE),0))</f>
        <v/>
      </c>
      <c r="K12" s="16"/>
      <c r="L12" s="16"/>
      <c r="M12" s="17" t="str">
        <f t="shared" si="3"/>
        <v>À compléter</v>
      </c>
    </row>
    <row r="13">
      <c r="A13" s="15"/>
      <c r="B13" s="16"/>
      <c r="C13" s="16"/>
      <c r="D13" s="17" t="str">
        <f>IF(B13="","",IFERROR(VLOOKUP(B13,Articles!$A$5:$K$204,2,FALSE),"Référence inconnue"))</f>
        <v/>
      </c>
      <c r="E13" s="16"/>
      <c r="F13" s="16"/>
      <c r="G13" s="16"/>
      <c r="H13" s="17" t="str">
        <f t="shared" si="1"/>
        <v>0</v>
      </c>
      <c r="I13" s="17" t="str">
        <f t="shared" si="2"/>
        <v/>
      </c>
      <c r="J13" s="18" t="str">
        <f>IF(B13="","",IFERROR(G13*VLOOKUP(B13,Articles!$A$5:$K$204,8,FALSE),0))</f>
        <v/>
      </c>
      <c r="K13" s="16"/>
      <c r="L13" s="16"/>
      <c r="M13" s="17" t="str">
        <f t="shared" si="3"/>
        <v>À compléter</v>
      </c>
    </row>
    <row r="14">
      <c r="A14" s="15"/>
      <c r="B14" s="16"/>
      <c r="C14" s="16"/>
      <c r="D14" s="17" t="str">
        <f>IF(B14="","",IFERROR(VLOOKUP(B14,Articles!$A$5:$K$204,2,FALSE),"Référence inconnue"))</f>
        <v/>
      </c>
      <c r="E14" s="16"/>
      <c r="F14" s="16"/>
      <c r="G14" s="16"/>
      <c r="H14" s="17" t="str">
        <f t="shared" si="1"/>
        <v>0</v>
      </c>
      <c r="I14" s="17" t="str">
        <f t="shared" si="2"/>
        <v/>
      </c>
      <c r="J14" s="18" t="str">
        <f>IF(B14="","",IFERROR(G14*VLOOKUP(B14,Articles!$A$5:$K$204,8,FALSE),0))</f>
        <v/>
      </c>
      <c r="K14" s="16"/>
      <c r="L14" s="16"/>
      <c r="M14" s="17" t="str">
        <f t="shared" si="3"/>
        <v>À compléter</v>
      </c>
    </row>
    <row r="15">
      <c r="A15" s="15"/>
      <c r="B15" s="16"/>
      <c r="C15" s="16"/>
      <c r="D15" s="17" t="str">
        <f>IF(B15="","",IFERROR(VLOOKUP(B15,Articles!$A$5:$K$204,2,FALSE),"Référence inconnue"))</f>
        <v/>
      </c>
      <c r="E15" s="16"/>
      <c r="F15" s="16"/>
      <c r="G15" s="16"/>
      <c r="H15" s="17" t="str">
        <f t="shared" si="1"/>
        <v>0</v>
      </c>
      <c r="I15" s="17" t="str">
        <f t="shared" si="2"/>
        <v/>
      </c>
      <c r="J15" s="18" t="str">
        <f>IF(B15="","",IFERROR(G15*VLOOKUP(B15,Articles!$A$5:$K$204,8,FALSE),0))</f>
        <v/>
      </c>
      <c r="K15" s="16"/>
      <c r="L15" s="16"/>
      <c r="M15" s="17" t="str">
        <f t="shared" si="3"/>
        <v>À compléter</v>
      </c>
    </row>
    <row r="16">
      <c r="A16" s="15"/>
      <c r="B16" s="16"/>
      <c r="C16" s="16"/>
      <c r="D16" s="17" t="str">
        <f>IF(B16="","",IFERROR(VLOOKUP(B16,Articles!$A$5:$K$204,2,FALSE),"Référence inconnue"))</f>
        <v/>
      </c>
      <c r="E16" s="16"/>
      <c r="F16" s="16"/>
      <c r="G16" s="16"/>
      <c r="H16" s="17" t="str">
        <f t="shared" si="1"/>
        <v>0</v>
      </c>
      <c r="I16" s="17" t="str">
        <f t="shared" si="2"/>
        <v/>
      </c>
      <c r="J16" s="18" t="str">
        <f>IF(B16="","",IFERROR(G16*VLOOKUP(B16,Articles!$A$5:$K$204,8,FALSE),0))</f>
        <v/>
      </c>
      <c r="K16" s="16"/>
      <c r="L16" s="16"/>
      <c r="M16" s="17" t="str">
        <f t="shared" si="3"/>
        <v>À compléter</v>
      </c>
    </row>
    <row r="17">
      <c r="A17" s="15"/>
      <c r="B17" s="16"/>
      <c r="C17" s="16"/>
      <c r="D17" s="17" t="str">
        <f>IF(B17="","",IFERROR(VLOOKUP(B17,Articles!$A$5:$K$204,2,FALSE),"Référence inconnue"))</f>
        <v/>
      </c>
      <c r="E17" s="16"/>
      <c r="F17" s="16"/>
      <c r="G17" s="16"/>
      <c r="H17" s="17" t="str">
        <f t="shared" si="1"/>
        <v>0</v>
      </c>
      <c r="I17" s="17" t="str">
        <f t="shared" si="2"/>
        <v/>
      </c>
      <c r="J17" s="18" t="str">
        <f>IF(B17="","",IFERROR(G17*VLOOKUP(B17,Articles!$A$5:$K$204,8,FALSE),0))</f>
        <v/>
      </c>
      <c r="K17" s="16"/>
      <c r="L17" s="16"/>
      <c r="M17" s="17" t="str">
        <f t="shared" si="3"/>
        <v>À compléter</v>
      </c>
    </row>
    <row r="18">
      <c r="A18" s="15"/>
      <c r="B18" s="16"/>
      <c r="C18" s="16"/>
      <c r="D18" s="17" t="str">
        <f>IF(B18="","",IFERROR(VLOOKUP(B18,Articles!$A$5:$K$204,2,FALSE),"Référence inconnue"))</f>
        <v/>
      </c>
      <c r="E18" s="16"/>
      <c r="F18" s="16"/>
      <c r="G18" s="16"/>
      <c r="H18" s="17" t="str">
        <f t="shared" si="1"/>
        <v>0</v>
      </c>
      <c r="I18" s="17" t="str">
        <f t="shared" si="2"/>
        <v/>
      </c>
      <c r="J18" s="18" t="str">
        <f>IF(B18="","",IFERROR(G18*VLOOKUP(B18,Articles!$A$5:$K$204,8,FALSE),0))</f>
        <v/>
      </c>
      <c r="K18" s="16"/>
      <c r="L18" s="16"/>
      <c r="M18" s="17" t="str">
        <f t="shared" si="3"/>
        <v>À compléter</v>
      </c>
    </row>
    <row r="19">
      <c r="A19" s="15"/>
      <c r="B19" s="16"/>
      <c r="C19" s="16"/>
      <c r="D19" s="17" t="str">
        <f>IF(B19="","",IFERROR(VLOOKUP(B19,Articles!$A$5:$K$204,2,FALSE),"Référence inconnue"))</f>
        <v/>
      </c>
      <c r="E19" s="16"/>
      <c r="F19" s="16"/>
      <c r="G19" s="16"/>
      <c r="H19" s="17" t="str">
        <f t="shared" si="1"/>
        <v>0</v>
      </c>
      <c r="I19" s="17" t="str">
        <f t="shared" si="2"/>
        <v/>
      </c>
      <c r="J19" s="18" t="str">
        <f>IF(B19="","",IFERROR(G19*VLOOKUP(B19,Articles!$A$5:$K$204,8,FALSE),0))</f>
        <v/>
      </c>
      <c r="K19" s="16"/>
      <c r="L19" s="16"/>
      <c r="M19" s="17" t="str">
        <f t="shared" si="3"/>
        <v>À compléter</v>
      </c>
    </row>
    <row r="20">
      <c r="A20" s="15"/>
      <c r="B20" s="16"/>
      <c r="C20" s="16"/>
      <c r="D20" s="17" t="str">
        <f>IF(B20="","",IFERROR(VLOOKUP(B20,Articles!$A$5:$K$204,2,FALSE),"Référence inconnue"))</f>
        <v/>
      </c>
      <c r="E20" s="16"/>
      <c r="F20" s="16"/>
      <c r="G20" s="16"/>
      <c r="H20" s="17" t="str">
        <f t="shared" si="1"/>
        <v>0</v>
      </c>
      <c r="I20" s="17" t="str">
        <f t="shared" si="2"/>
        <v/>
      </c>
      <c r="J20" s="18" t="str">
        <f>IF(B20="","",IFERROR(G20*VLOOKUP(B20,Articles!$A$5:$K$204,8,FALSE),0))</f>
        <v/>
      </c>
      <c r="K20" s="16"/>
      <c r="L20" s="16"/>
      <c r="M20" s="17" t="str">
        <f t="shared" si="3"/>
        <v>À compléter</v>
      </c>
    </row>
    <row r="21" ht="15.75" customHeight="1">
      <c r="A21" s="15"/>
      <c r="B21" s="16"/>
      <c r="C21" s="16"/>
      <c r="D21" s="17" t="str">
        <f>IF(B21="","",IFERROR(VLOOKUP(B21,Articles!$A$5:$K$204,2,FALSE),"Référence inconnue"))</f>
        <v/>
      </c>
      <c r="E21" s="16"/>
      <c r="F21" s="16"/>
      <c r="G21" s="16"/>
      <c r="H21" s="17" t="str">
        <f t="shared" si="1"/>
        <v>0</v>
      </c>
      <c r="I21" s="17" t="str">
        <f t="shared" si="2"/>
        <v/>
      </c>
      <c r="J21" s="18" t="str">
        <f>IF(B21="","",IFERROR(G21*VLOOKUP(B21,Articles!$A$5:$K$204,8,FALSE),0))</f>
        <v/>
      </c>
      <c r="K21" s="16"/>
      <c r="L21" s="16"/>
      <c r="M21" s="17" t="str">
        <f t="shared" si="3"/>
        <v>À compléter</v>
      </c>
    </row>
    <row r="22" ht="15.75" customHeight="1">
      <c r="A22" s="15"/>
      <c r="B22" s="16"/>
      <c r="C22" s="16"/>
      <c r="D22" s="17" t="str">
        <f>IF(B22="","",IFERROR(VLOOKUP(B22,Articles!$A$5:$K$204,2,FALSE),"Référence inconnue"))</f>
        <v/>
      </c>
      <c r="E22" s="16"/>
      <c r="F22" s="16"/>
      <c r="G22" s="16"/>
      <c r="H22" s="17" t="str">
        <f t="shared" si="1"/>
        <v>0</v>
      </c>
      <c r="I22" s="17" t="str">
        <f t="shared" si="2"/>
        <v/>
      </c>
      <c r="J22" s="18" t="str">
        <f>IF(B22="","",IFERROR(G22*VLOOKUP(B22,Articles!$A$5:$K$204,8,FALSE),0))</f>
        <v/>
      </c>
      <c r="K22" s="16"/>
      <c r="L22" s="16"/>
      <c r="M22" s="17" t="str">
        <f t="shared" si="3"/>
        <v>À compléter</v>
      </c>
    </row>
    <row r="23" ht="15.75" customHeight="1">
      <c r="A23" s="15"/>
      <c r="B23" s="16"/>
      <c r="C23" s="16"/>
      <c r="D23" s="17" t="str">
        <f>IF(B23="","",IFERROR(VLOOKUP(B23,Articles!$A$5:$K$204,2,FALSE),"Référence inconnue"))</f>
        <v/>
      </c>
      <c r="E23" s="16"/>
      <c r="F23" s="16"/>
      <c r="G23" s="16"/>
      <c r="H23" s="17" t="str">
        <f t="shared" si="1"/>
        <v>0</v>
      </c>
      <c r="I23" s="17" t="str">
        <f t="shared" si="2"/>
        <v/>
      </c>
      <c r="J23" s="18" t="str">
        <f>IF(B23="","",IFERROR(G23*VLOOKUP(B23,Articles!$A$5:$K$204,8,FALSE),0))</f>
        <v/>
      </c>
      <c r="K23" s="16"/>
      <c r="L23" s="16"/>
      <c r="M23" s="17" t="str">
        <f t="shared" si="3"/>
        <v>À compléter</v>
      </c>
    </row>
    <row r="24" ht="15.75" customHeight="1">
      <c r="A24" s="15"/>
      <c r="B24" s="16"/>
      <c r="C24" s="16"/>
      <c r="D24" s="17" t="str">
        <f>IF(B24="","",IFERROR(VLOOKUP(B24,Articles!$A$5:$K$204,2,FALSE),"Référence inconnue"))</f>
        <v/>
      </c>
      <c r="E24" s="16"/>
      <c r="F24" s="16"/>
      <c r="G24" s="16"/>
      <c r="H24" s="17" t="str">
        <f t="shared" si="1"/>
        <v>0</v>
      </c>
      <c r="I24" s="17" t="str">
        <f t="shared" si="2"/>
        <v/>
      </c>
      <c r="J24" s="18" t="str">
        <f>IF(B24="","",IFERROR(G24*VLOOKUP(B24,Articles!$A$5:$K$204,8,FALSE),0))</f>
        <v/>
      </c>
      <c r="K24" s="16"/>
      <c r="L24" s="16"/>
      <c r="M24" s="17" t="str">
        <f t="shared" si="3"/>
        <v>À compléter</v>
      </c>
    </row>
    <row r="25" ht="15.75" customHeight="1">
      <c r="A25" s="15"/>
      <c r="B25" s="16"/>
      <c r="C25" s="16"/>
      <c r="D25" s="17" t="str">
        <f>IF(B25="","",IFERROR(VLOOKUP(B25,Articles!$A$5:$K$204,2,FALSE),"Référence inconnue"))</f>
        <v/>
      </c>
      <c r="E25" s="16"/>
      <c r="F25" s="16"/>
      <c r="G25" s="16"/>
      <c r="H25" s="17" t="str">
        <f t="shared" si="1"/>
        <v>0</v>
      </c>
      <c r="I25" s="17" t="str">
        <f t="shared" si="2"/>
        <v/>
      </c>
      <c r="J25" s="18" t="str">
        <f>IF(B25="","",IFERROR(G25*VLOOKUP(B25,Articles!$A$5:$K$204,8,FALSE),0))</f>
        <v/>
      </c>
      <c r="K25" s="16"/>
      <c r="L25" s="16"/>
      <c r="M25" s="17" t="str">
        <f t="shared" si="3"/>
        <v>À compléter</v>
      </c>
    </row>
    <row r="26" ht="15.75" customHeight="1">
      <c r="A26" s="15"/>
      <c r="B26" s="16"/>
      <c r="C26" s="16"/>
      <c r="D26" s="17" t="str">
        <f>IF(B26="","",IFERROR(VLOOKUP(B26,Articles!$A$5:$K$204,2,FALSE),"Référence inconnue"))</f>
        <v/>
      </c>
      <c r="E26" s="16"/>
      <c r="F26" s="16"/>
      <c r="G26" s="16"/>
      <c r="H26" s="17" t="str">
        <f t="shared" si="1"/>
        <v>0</v>
      </c>
      <c r="I26" s="17" t="str">
        <f t="shared" si="2"/>
        <v/>
      </c>
      <c r="J26" s="18" t="str">
        <f>IF(B26="","",IFERROR(G26*VLOOKUP(B26,Articles!$A$5:$K$204,8,FALSE),0))</f>
        <v/>
      </c>
      <c r="K26" s="16"/>
      <c r="L26" s="16"/>
      <c r="M26" s="17" t="str">
        <f t="shared" si="3"/>
        <v>À compléter</v>
      </c>
    </row>
    <row r="27" ht="15.75" customHeight="1">
      <c r="A27" s="15"/>
      <c r="B27" s="16"/>
      <c r="C27" s="16"/>
      <c r="D27" s="17" t="str">
        <f>IF(B27="","",IFERROR(VLOOKUP(B27,Articles!$A$5:$K$204,2,FALSE),"Référence inconnue"))</f>
        <v/>
      </c>
      <c r="E27" s="16"/>
      <c r="F27" s="16"/>
      <c r="G27" s="16"/>
      <c r="H27" s="17" t="str">
        <f t="shared" si="1"/>
        <v>0</v>
      </c>
      <c r="I27" s="17" t="str">
        <f t="shared" si="2"/>
        <v/>
      </c>
      <c r="J27" s="18" t="str">
        <f>IF(B27="","",IFERROR(G27*VLOOKUP(B27,Articles!$A$5:$K$204,8,FALSE),0))</f>
        <v/>
      </c>
      <c r="K27" s="16"/>
      <c r="L27" s="16"/>
      <c r="M27" s="17" t="str">
        <f t="shared" si="3"/>
        <v>À compléter</v>
      </c>
    </row>
    <row r="28" ht="15.75" customHeight="1">
      <c r="A28" s="15"/>
      <c r="B28" s="16"/>
      <c r="C28" s="16"/>
      <c r="D28" s="17" t="str">
        <f>IF(B28="","",IFERROR(VLOOKUP(B28,Articles!$A$5:$K$204,2,FALSE),"Référence inconnue"))</f>
        <v/>
      </c>
      <c r="E28" s="16"/>
      <c r="F28" s="16"/>
      <c r="G28" s="16"/>
      <c r="H28" s="17" t="str">
        <f t="shared" si="1"/>
        <v>0</v>
      </c>
      <c r="I28" s="17" t="str">
        <f t="shared" si="2"/>
        <v/>
      </c>
      <c r="J28" s="18" t="str">
        <f>IF(B28="","",IFERROR(G28*VLOOKUP(B28,Articles!$A$5:$K$204,8,FALSE),0))</f>
        <v/>
      </c>
      <c r="K28" s="16"/>
      <c r="L28" s="16"/>
      <c r="M28" s="17" t="str">
        <f t="shared" si="3"/>
        <v>À compléter</v>
      </c>
    </row>
    <row r="29" ht="15.75" customHeight="1">
      <c r="A29" s="15"/>
      <c r="B29" s="16"/>
      <c r="C29" s="16"/>
      <c r="D29" s="17" t="str">
        <f>IF(B29="","",IFERROR(VLOOKUP(B29,Articles!$A$5:$K$204,2,FALSE),"Référence inconnue"))</f>
        <v/>
      </c>
      <c r="E29" s="16"/>
      <c r="F29" s="16"/>
      <c r="G29" s="16"/>
      <c r="H29" s="17" t="str">
        <f t="shared" si="1"/>
        <v>0</v>
      </c>
      <c r="I29" s="17" t="str">
        <f t="shared" si="2"/>
        <v/>
      </c>
      <c r="J29" s="18" t="str">
        <f>IF(B29="","",IFERROR(G29*VLOOKUP(B29,Articles!$A$5:$K$204,8,FALSE),0))</f>
        <v/>
      </c>
      <c r="K29" s="16"/>
      <c r="L29" s="16"/>
      <c r="M29" s="17" t="str">
        <f t="shared" si="3"/>
        <v>À compléter</v>
      </c>
    </row>
    <row r="30" ht="15.75" customHeight="1">
      <c r="A30" s="15"/>
      <c r="B30" s="16"/>
      <c r="C30" s="16"/>
      <c r="D30" s="17" t="str">
        <f>IF(B30="","",IFERROR(VLOOKUP(B30,Articles!$A$5:$K$204,2,FALSE),"Référence inconnue"))</f>
        <v/>
      </c>
      <c r="E30" s="16"/>
      <c r="F30" s="16"/>
      <c r="G30" s="16"/>
      <c r="H30" s="17" t="str">
        <f t="shared" si="1"/>
        <v>0</v>
      </c>
      <c r="I30" s="17" t="str">
        <f t="shared" si="2"/>
        <v/>
      </c>
      <c r="J30" s="18" t="str">
        <f>IF(B30="","",IFERROR(G30*VLOOKUP(B30,Articles!$A$5:$K$204,8,FALSE),0))</f>
        <v/>
      </c>
      <c r="K30" s="16"/>
      <c r="L30" s="16"/>
      <c r="M30" s="17" t="str">
        <f t="shared" si="3"/>
        <v>À compléter</v>
      </c>
    </row>
    <row r="31" ht="15.75" customHeight="1">
      <c r="A31" s="15"/>
      <c r="B31" s="16"/>
      <c r="C31" s="16"/>
      <c r="D31" s="17" t="str">
        <f>IF(B31="","",IFERROR(VLOOKUP(B31,Articles!$A$5:$K$204,2,FALSE),"Référence inconnue"))</f>
        <v/>
      </c>
      <c r="E31" s="16"/>
      <c r="F31" s="16"/>
      <c r="G31" s="16"/>
      <c r="H31" s="17" t="str">
        <f t="shared" si="1"/>
        <v>0</v>
      </c>
      <c r="I31" s="17" t="str">
        <f t="shared" si="2"/>
        <v/>
      </c>
      <c r="J31" s="18" t="str">
        <f>IF(B31="","",IFERROR(G31*VLOOKUP(B31,Articles!$A$5:$K$204,8,FALSE),0))</f>
        <v/>
      </c>
      <c r="K31" s="16"/>
      <c r="L31" s="16"/>
      <c r="M31" s="17" t="str">
        <f t="shared" si="3"/>
        <v>À compléter</v>
      </c>
    </row>
    <row r="32" ht="15.75" customHeight="1">
      <c r="A32" s="15"/>
      <c r="B32" s="16"/>
      <c r="C32" s="16"/>
      <c r="D32" s="17" t="str">
        <f>IF(B32="","",IFERROR(VLOOKUP(B32,Articles!$A$5:$K$204,2,FALSE),"Référence inconnue"))</f>
        <v/>
      </c>
      <c r="E32" s="16"/>
      <c r="F32" s="16"/>
      <c r="G32" s="16"/>
      <c r="H32" s="17" t="str">
        <f t="shared" si="1"/>
        <v>0</v>
      </c>
      <c r="I32" s="17" t="str">
        <f t="shared" si="2"/>
        <v/>
      </c>
      <c r="J32" s="18" t="str">
        <f>IF(B32="","",IFERROR(G32*VLOOKUP(B32,Articles!$A$5:$K$204,8,FALSE),0))</f>
        <v/>
      </c>
      <c r="K32" s="16"/>
      <c r="L32" s="16"/>
      <c r="M32" s="17" t="str">
        <f t="shared" si="3"/>
        <v>À compléter</v>
      </c>
    </row>
    <row r="33" ht="15.75" customHeight="1">
      <c r="A33" s="15"/>
      <c r="B33" s="16"/>
      <c r="C33" s="16"/>
      <c r="D33" s="17" t="str">
        <f>IF(B33="","",IFERROR(VLOOKUP(B33,Articles!$A$5:$K$204,2,FALSE),"Référence inconnue"))</f>
        <v/>
      </c>
      <c r="E33" s="16"/>
      <c r="F33" s="16"/>
      <c r="G33" s="16"/>
      <c r="H33" s="17" t="str">
        <f t="shared" si="1"/>
        <v>0</v>
      </c>
      <c r="I33" s="17" t="str">
        <f t="shared" si="2"/>
        <v/>
      </c>
      <c r="J33" s="18" t="str">
        <f>IF(B33="","",IFERROR(G33*VLOOKUP(B33,Articles!$A$5:$K$204,8,FALSE),0))</f>
        <v/>
      </c>
      <c r="K33" s="16"/>
      <c r="L33" s="16"/>
      <c r="M33" s="17" t="str">
        <f t="shared" si="3"/>
        <v>À compléter</v>
      </c>
    </row>
    <row r="34" ht="15.75" customHeight="1">
      <c r="A34" s="15"/>
      <c r="B34" s="16"/>
      <c r="C34" s="16"/>
      <c r="D34" s="17" t="str">
        <f>IF(B34="","",IFERROR(VLOOKUP(B34,Articles!$A$5:$K$204,2,FALSE),"Référence inconnue"))</f>
        <v/>
      </c>
      <c r="E34" s="16"/>
      <c r="F34" s="16"/>
      <c r="G34" s="16"/>
      <c r="H34" s="17" t="str">
        <f t="shared" si="1"/>
        <v>0</v>
      </c>
      <c r="I34" s="17" t="str">
        <f t="shared" si="2"/>
        <v/>
      </c>
      <c r="J34" s="18" t="str">
        <f>IF(B34="","",IFERROR(G34*VLOOKUP(B34,Articles!$A$5:$K$204,8,FALSE),0))</f>
        <v/>
      </c>
      <c r="K34" s="16"/>
      <c r="L34" s="16"/>
      <c r="M34" s="17" t="str">
        <f t="shared" si="3"/>
        <v>À compléter</v>
      </c>
    </row>
    <row r="35" ht="15.75" customHeight="1">
      <c r="A35" s="15"/>
      <c r="B35" s="16"/>
      <c r="C35" s="16"/>
      <c r="D35" s="17" t="str">
        <f>IF(B35="","",IFERROR(VLOOKUP(B35,Articles!$A$5:$K$204,2,FALSE),"Référence inconnue"))</f>
        <v/>
      </c>
      <c r="E35" s="16"/>
      <c r="F35" s="16"/>
      <c r="G35" s="16"/>
      <c r="H35" s="17" t="str">
        <f t="shared" si="1"/>
        <v>0</v>
      </c>
      <c r="I35" s="17" t="str">
        <f t="shared" si="2"/>
        <v/>
      </c>
      <c r="J35" s="18" t="str">
        <f>IF(B35="","",IFERROR(G35*VLOOKUP(B35,Articles!$A$5:$K$204,8,FALSE),0))</f>
        <v/>
      </c>
      <c r="K35" s="16"/>
      <c r="L35" s="16"/>
      <c r="M35" s="17" t="str">
        <f t="shared" si="3"/>
        <v>À compléter</v>
      </c>
    </row>
    <row r="36" ht="15.75" customHeight="1">
      <c r="A36" s="15"/>
      <c r="B36" s="16"/>
      <c r="C36" s="16"/>
      <c r="D36" s="17" t="str">
        <f>IF(B36="","",IFERROR(VLOOKUP(B36,Articles!$A$5:$K$204,2,FALSE),"Référence inconnue"))</f>
        <v/>
      </c>
      <c r="E36" s="16"/>
      <c r="F36" s="16"/>
      <c r="G36" s="16"/>
      <c r="H36" s="17" t="str">
        <f t="shared" si="1"/>
        <v>0</v>
      </c>
      <c r="I36" s="17" t="str">
        <f t="shared" si="2"/>
        <v/>
      </c>
      <c r="J36" s="18" t="str">
        <f>IF(B36="","",IFERROR(G36*VLOOKUP(B36,Articles!$A$5:$K$204,8,FALSE),0))</f>
        <v/>
      </c>
      <c r="K36" s="16"/>
      <c r="L36" s="16"/>
      <c r="M36" s="17" t="str">
        <f t="shared" si="3"/>
        <v>À compléter</v>
      </c>
    </row>
    <row r="37" ht="15.75" customHeight="1">
      <c r="A37" s="15"/>
      <c r="B37" s="16"/>
      <c r="C37" s="16"/>
      <c r="D37" s="17" t="str">
        <f>IF(B37="","",IFERROR(VLOOKUP(B37,Articles!$A$5:$K$204,2,FALSE),"Référence inconnue"))</f>
        <v/>
      </c>
      <c r="E37" s="16"/>
      <c r="F37" s="16"/>
      <c r="G37" s="16"/>
      <c r="H37" s="17" t="str">
        <f t="shared" si="1"/>
        <v>0</v>
      </c>
      <c r="I37" s="17" t="str">
        <f t="shared" si="2"/>
        <v/>
      </c>
      <c r="J37" s="18" t="str">
        <f>IF(B37="","",IFERROR(G37*VLOOKUP(B37,Articles!$A$5:$K$204,8,FALSE),0))</f>
        <v/>
      </c>
      <c r="K37" s="16"/>
      <c r="L37" s="16"/>
      <c r="M37" s="17" t="str">
        <f t="shared" si="3"/>
        <v>À compléter</v>
      </c>
    </row>
    <row r="38" ht="15.75" customHeight="1">
      <c r="A38" s="15"/>
      <c r="B38" s="16"/>
      <c r="C38" s="16"/>
      <c r="D38" s="17" t="str">
        <f>IF(B38="","",IFERROR(VLOOKUP(B38,Articles!$A$5:$K$204,2,FALSE),"Référence inconnue"))</f>
        <v/>
      </c>
      <c r="E38" s="16"/>
      <c r="F38" s="16"/>
      <c r="G38" s="16"/>
      <c r="H38" s="17" t="str">
        <f t="shared" si="1"/>
        <v>0</v>
      </c>
      <c r="I38" s="17" t="str">
        <f t="shared" si="2"/>
        <v/>
      </c>
      <c r="J38" s="18" t="str">
        <f>IF(B38="","",IFERROR(G38*VLOOKUP(B38,Articles!$A$5:$K$204,8,FALSE),0))</f>
        <v/>
      </c>
      <c r="K38" s="16"/>
      <c r="L38" s="16"/>
      <c r="M38" s="17" t="str">
        <f t="shared" si="3"/>
        <v>À compléter</v>
      </c>
    </row>
    <row r="39" ht="15.75" customHeight="1">
      <c r="A39" s="15"/>
      <c r="B39" s="16"/>
      <c r="C39" s="16"/>
      <c r="D39" s="17" t="str">
        <f>IF(B39="","",IFERROR(VLOOKUP(B39,Articles!$A$5:$K$204,2,FALSE),"Référence inconnue"))</f>
        <v/>
      </c>
      <c r="E39" s="16"/>
      <c r="F39" s="16"/>
      <c r="G39" s="16"/>
      <c r="H39" s="17" t="str">
        <f t="shared" si="1"/>
        <v>0</v>
      </c>
      <c r="I39" s="17" t="str">
        <f t="shared" si="2"/>
        <v/>
      </c>
      <c r="J39" s="18" t="str">
        <f>IF(B39="","",IFERROR(G39*VLOOKUP(B39,Articles!$A$5:$K$204,8,FALSE),0))</f>
        <v/>
      </c>
      <c r="K39" s="16"/>
      <c r="L39" s="16"/>
      <c r="M39" s="17" t="str">
        <f t="shared" si="3"/>
        <v>À compléter</v>
      </c>
    </row>
    <row r="40" ht="15.75" customHeight="1">
      <c r="A40" s="15"/>
      <c r="B40" s="16"/>
      <c r="C40" s="16"/>
      <c r="D40" s="17" t="str">
        <f>IF(B40="","",IFERROR(VLOOKUP(B40,Articles!$A$5:$K$204,2,FALSE),"Référence inconnue"))</f>
        <v/>
      </c>
      <c r="E40" s="16"/>
      <c r="F40" s="16"/>
      <c r="G40" s="16"/>
      <c r="H40" s="17" t="str">
        <f t="shared" si="1"/>
        <v>0</v>
      </c>
      <c r="I40" s="17" t="str">
        <f t="shared" si="2"/>
        <v/>
      </c>
      <c r="J40" s="18" t="str">
        <f>IF(B40="","",IFERROR(G40*VLOOKUP(B40,Articles!$A$5:$K$204,8,FALSE),0))</f>
        <v/>
      </c>
      <c r="K40" s="16"/>
      <c r="L40" s="16"/>
      <c r="M40" s="17" t="str">
        <f t="shared" si="3"/>
        <v>À compléter</v>
      </c>
    </row>
    <row r="41" ht="15.75" customHeight="1">
      <c r="A41" s="15"/>
      <c r="B41" s="16"/>
      <c r="C41" s="16"/>
      <c r="D41" s="17" t="str">
        <f>IF(B41="","",IFERROR(VLOOKUP(B41,Articles!$A$5:$K$204,2,FALSE),"Référence inconnue"))</f>
        <v/>
      </c>
      <c r="E41" s="16"/>
      <c r="F41" s="16"/>
      <c r="G41" s="16"/>
      <c r="H41" s="17" t="str">
        <f t="shared" si="1"/>
        <v>0</v>
      </c>
      <c r="I41" s="17" t="str">
        <f t="shared" si="2"/>
        <v/>
      </c>
      <c r="J41" s="18" t="str">
        <f>IF(B41="","",IFERROR(G41*VLOOKUP(B41,Articles!$A$5:$K$204,8,FALSE),0))</f>
        <v/>
      </c>
      <c r="K41" s="16"/>
      <c r="L41" s="16"/>
      <c r="M41" s="17" t="str">
        <f t="shared" si="3"/>
        <v>À compléter</v>
      </c>
    </row>
    <row r="42" ht="15.75" customHeight="1">
      <c r="A42" s="15"/>
      <c r="B42" s="16"/>
      <c r="C42" s="16"/>
      <c r="D42" s="17" t="str">
        <f>IF(B42="","",IFERROR(VLOOKUP(B42,Articles!$A$5:$K$204,2,FALSE),"Référence inconnue"))</f>
        <v/>
      </c>
      <c r="E42" s="16"/>
      <c r="F42" s="16"/>
      <c r="G42" s="16"/>
      <c r="H42" s="17" t="str">
        <f t="shared" si="1"/>
        <v>0</v>
      </c>
      <c r="I42" s="17" t="str">
        <f t="shared" si="2"/>
        <v/>
      </c>
      <c r="J42" s="18" t="str">
        <f>IF(B42="","",IFERROR(G42*VLOOKUP(B42,Articles!$A$5:$K$204,8,FALSE),0))</f>
        <v/>
      </c>
      <c r="K42" s="16"/>
      <c r="L42" s="16"/>
      <c r="M42" s="17" t="str">
        <f t="shared" si="3"/>
        <v>À compléter</v>
      </c>
    </row>
    <row r="43" ht="15.75" customHeight="1">
      <c r="A43" s="15"/>
      <c r="B43" s="16"/>
      <c r="C43" s="16"/>
      <c r="D43" s="17" t="str">
        <f>IF(B43="","",IFERROR(VLOOKUP(B43,Articles!$A$5:$K$204,2,FALSE),"Référence inconnue"))</f>
        <v/>
      </c>
      <c r="E43" s="16"/>
      <c r="F43" s="16"/>
      <c r="G43" s="16"/>
      <c r="H43" s="17" t="str">
        <f t="shared" si="1"/>
        <v>0</v>
      </c>
      <c r="I43" s="17" t="str">
        <f t="shared" si="2"/>
        <v/>
      </c>
      <c r="J43" s="18" t="str">
        <f>IF(B43="","",IFERROR(G43*VLOOKUP(B43,Articles!$A$5:$K$204,8,FALSE),0))</f>
        <v/>
      </c>
      <c r="K43" s="16"/>
      <c r="L43" s="16"/>
      <c r="M43" s="17" t="str">
        <f t="shared" si="3"/>
        <v>À compléter</v>
      </c>
    </row>
    <row r="44" ht="15.75" customHeight="1">
      <c r="A44" s="15"/>
      <c r="B44" s="16"/>
      <c r="C44" s="16"/>
      <c r="D44" s="17" t="str">
        <f>IF(B44="","",IFERROR(VLOOKUP(B44,Articles!$A$5:$K$204,2,FALSE),"Référence inconnue"))</f>
        <v/>
      </c>
      <c r="E44" s="16"/>
      <c r="F44" s="16"/>
      <c r="G44" s="16"/>
      <c r="H44" s="17" t="str">
        <f t="shared" si="1"/>
        <v>0</v>
      </c>
      <c r="I44" s="17" t="str">
        <f t="shared" si="2"/>
        <v/>
      </c>
      <c r="J44" s="18" t="str">
        <f>IF(B44="","",IFERROR(G44*VLOOKUP(B44,Articles!$A$5:$K$204,8,FALSE),0))</f>
        <v/>
      </c>
      <c r="K44" s="16"/>
      <c r="L44" s="16"/>
      <c r="M44" s="17" t="str">
        <f t="shared" si="3"/>
        <v>À compléter</v>
      </c>
    </row>
    <row r="45" ht="15.75" customHeight="1">
      <c r="A45" s="15"/>
      <c r="B45" s="16"/>
      <c r="C45" s="16"/>
      <c r="D45" s="17" t="str">
        <f>IF(B45="","",IFERROR(VLOOKUP(B45,Articles!$A$5:$K$204,2,FALSE),"Référence inconnue"))</f>
        <v/>
      </c>
      <c r="E45" s="16"/>
      <c r="F45" s="16"/>
      <c r="G45" s="16"/>
      <c r="H45" s="17" t="str">
        <f t="shared" si="1"/>
        <v>0</v>
      </c>
      <c r="I45" s="17" t="str">
        <f t="shared" si="2"/>
        <v/>
      </c>
      <c r="J45" s="18" t="str">
        <f>IF(B45="","",IFERROR(G45*VLOOKUP(B45,Articles!$A$5:$K$204,8,FALSE),0))</f>
        <v/>
      </c>
      <c r="K45" s="16"/>
      <c r="L45" s="16"/>
      <c r="M45" s="17" t="str">
        <f t="shared" si="3"/>
        <v>À compléter</v>
      </c>
    </row>
    <row r="46" ht="15.75" customHeight="1">
      <c r="A46" s="15"/>
      <c r="B46" s="16"/>
      <c r="C46" s="16"/>
      <c r="D46" s="17" t="str">
        <f>IF(B46="","",IFERROR(VLOOKUP(B46,Articles!$A$5:$K$204,2,FALSE),"Référence inconnue"))</f>
        <v/>
      </c>
      <c r="E46" s="16"/>
      <c r="F46" s="16"/>
      <c r="G46" s="16"/>
      <c r="H46" s="17" t="str">
        <f t="shared" si="1"/>
        <v>0</v>
      </c>
      <c r="I46" s="17" t="str">
        <f t="shared" si="2"/>
        <v/>
      </c>
      <c r="J46" s="18" t="str">
        <f>IF(B46="","",IFERROR(G46*VLOOKUP(B46,Articles!$A$5:$K$204,8,FALSE),0))</f>
        <v/>
      </c>
      <c r="K46" s="16"/>
      <c r="L46" s="16"/>
      <c r="M46" s="17" t="str">
        <f t="shared" si="3"/>
        <v>À compléter</v>
      </c>
    </row>
    <row r="47" ht="15.75" customHeight="1">
      <c r="A47" s="15"/>
      <c r="B47" s="16"/>
      <c r="C47" s="16"/>
      <c r="D47" s="17" t="str">
        <f>IF(B47="","",IFERROR(VLOOKUP(B47,Articles!$A$5:$K$204,2,FALSE),"Référence inconnue"))</f>
        <v/>
      </c>
      <c r="E47" s="16"/>
      <c r="F47" s="16"/>
      <c r="G47" s="16"/>
      <c r="H47" s="17" t="str">
        <f t="shared" si="1"/>
        <v>0</v>
      </c>
      <c r="I47" s="17" t="str">
        <f t="shared" si="2"/>
        <v/>
      </c>
      <c r="J47" s="18" t="str">
        <f>IF(B47="","",IFERROR(G47*VLOOKUP(B47,Articles!$A$5:$K$204,8,FALSE),0))</f>
        <v/>
      </c>
      <c r="K47" s="16"/>
      <c r="L47" s="16"/>
      <c r="M47" s="17" t="str">
        <f t="shared" si="3"/>
        <v>À compléter</v>
      </c>
    </row>
    <row r="48" ht="15.75" customHeight="1">
      <c r="A48" s="15"/>
      <c r="B48" s="16"/>
      <c r="C48" s="16"/>
      <c r="D48" s="17" t="str">
        <f>IF(B48="","",IFERROR(VLOOKUP(B48,Articles!$A$5:$K$204,2,FALSE),"Référence inconnue"))</f>
        <v/>
      </c>
      <c r="E48" s="16"/>
      <c r="F48" s="16"/>
      <c r="G48" s="16"/>
      <c r="H48" s="17" t="str">
        <f t="shared" si="1"/>
        <v>0</v>
      </c>
      <c r="I48" s="17" t="str">
        <f t="shared" si="2"/>
        <v/>
      </c>
      <c r="J48" s="18" t="str">
        <f>IF(B48="","",IFERROR(G48*VLOOKUP(B48,Articles!$A$5:$K$204,8,FALSE),0))</f>
        <v/>
      </c>
      <c r="K48" s="16"/>
      <c r="L48" s="16"/>
      <c r="M48" s="17" t="str">
        <f t="shared" si="3"/>
        <v>À compléter</v>
      </c>
    </row>
    <row r="49" ht="15.75" customHeight="1">
      <c r="A49" s="15"/>
      <c r="B49" s="16"/>
      <c r="C49" s="16"/>
      <c r="D49" s="17" t="str">
        <f>IF(B49="","",IFERROR(VLOOKUP(B49,Articles!$A$5:$K$204,2,FALSE),"Référence inconnue"))</f>
        <v/>
      </c>
      <c r="E49" s="16"/>
      <c r="F49" s="16"/>
      <c r="G49" s="16"/>
      <c r="H49" s="17" t="str">
        <f t="shared" si="1"/>
        <v>0</v>
      </c>
      <c r="I49" s="17" t="str">
        <f t="shared" si="2"/>
        <v/>
      </c>
      <c r="J49" s="18" t="str">
        <f>IF(B49="","",IFERROR(G49*VLOOKUP(B49,Articles!$A$5:$K$204,8,FALSE),0))</f>
        <v/>
      </c>
      <c r="K49" s="16"/>
      <c r="L49" s="16"/>
      <c r="M49" s="17" t="str">
        <f t="shared" si="3"/>
        <v>À compléter</v>
      </c>
    </row>
    <row r="50" ht="15.75" customHeight="1">
      <c r="A50" s="15"/>
      <c r="B50" s="16"/>
      <c r="C50" s="16"/>
      <c r="D50" s="17" t="str">
        <f>IF(B50="","",IFERROR(VLOOKUP(B50,Articles!$A$5:$K$204,2,FALSE),"Référence inconnue"))</f>
        <v/>
      </c>
      <c r="E50" s="16"/>
      <c r="F50" s="16"/>
      <c r="G50" s="16"/>
      <c r="H50" s="17" t="str">
        <f t="shared" si="1"/>
        <v>0</v>
      </c>
      <c r="I50" s="17" t="str">
        <f t="shared" si="2"/>
        <v/>
      </c>
      <c r="J50" s="18" t="str">
        <f>IF(B50="","",IFERROR(G50*VLOOKUP(B50,Articles!$A$5:$K$204,8,FALSE),0))</f>
        <v/>
      </c>
      <c r="K50" s="16"/>
      <c r="L50" s="16"/>
      <c r="M50" s="17" t="str">
        <f t="shared" si="3"/>
        <v>À compléter</v>
      </c>
    </row>
    <row r="51" ht="15.75" customHeight="1">
      <c r="A51" s="15"/>
      <c r="B51" s="16"/>
      <c r="C51" s="16"/>
      <c r="D51" s="17" t="str">
        <f>IF(B51="","",IFERROR(VLOOKUP(B51,Articles!$A$5:$K$204,2,FALSE),"Référence inconnue"))</f>
        <v/>
      </c>
      <c r="E51" s="16"/>
      <c r="F51" s="16"/>
      <c r="G51" s="16"/>
      <c r="H51" s="17" t="str">
        <f t="shared" si="1"/>
        <v>0</v>
      </c>
      <c r="I51" s="17" t="str">
        <f t="shared" si="2"/>
        <v/>
      </c>
      <c r="J51" s="18" t="str">
        <f>IF(B51="","",IFERROR(G51*VLOOKUP(B51,Articles!$A$5:$K$204,8,FALSE),0))</f>
        <v/>
      </c>
      <c r="K51" s="16"/>
      <c r="L51" s="16"/>
      <c r="M51" s="17" t="str">
        <f t="shared" si="3"/>
        <v>À compléter</v>
      </c>
    </row>
    <row r="52" ht="15.75" customHeight="1">
      <c r="A52" s="15"/>
      <c r="B52" s="16"/>
      <c r="C52" s="16"/>
      <c r="D52" s="17" t="str">
        <f>IF(B52="","",IFERROR(VLOOKUP(B52,Articles!$A$5:$K$204,2,FALSE),"Référence inconnue"))</f>
        <v/>
      </c>
      <c r="E52" s="16"/>
      <c r="F52" s="16"/>
      <c r="G52" s="16"/>
      <c r="H52" s="17" t="str">
        <f t="shared" si="1"/>
        <v>0</v>
      </c>
      <c r="I52" s="17" t="str">
        <f t="shared" si="2"/>
        <v/>
      </c>
      <c r="J52" s="18" t="str">
        <f>IF(B52="","",IFERROR(G52*VLOOKUP(B52,Articles!$A$5:$K$204,8,FALSE),0))</f>
        <v/>
      </c>
      <c r="K52" s="16"/>
      <c r="L52" s="16"/>
      <c r="M52" s="17" t="str">
        <f t="shared" si="3"/>
        <v>À compléter</v>
      </c>
    </row>
    <row r="53" ht="15.75" customHeight="1">
      <c r="A53" s="15"/>
      <c r="B53" s="16"/>
      <c r="C53" s="16"/>
      <c r="D53" s="17" t="str">
        <f>IF(B53="","",IFERROR(VLOOKUP(B53,Articles!$A$5:$K$204,2,FALSE),"Référence inconnue"))</f>
        <v/>
      </c>
      <c r="E53" s="16"/>
      <c r="F53" s="16"/>
      <c r="G53" s="16"/>
      <c r="H53" s="17" t="str">
        <f t="shared" si="1"/>
        <v>0</v>
      </c>
      <c r="I53" s="17" t="str">
        <f t="shared" si="2"/>
        <v/>
      </c>
      <c r="J53" s="18" t="str">
        <f>IF(B53="","",IFERROR(G53*VLOOKUP(B53,Articles!$A$5:$K$204,8,FALSE),0))</f>
        <v/>
      </c>
      <c r="K53" s="16"/>
      <c r="L53" s="16"/>
      <c r="M53" s="17" t="str">
        <f t="shared" si="3"/>
        <v>À compléter</v>
      </c>
    </row>
    <row r="54" ht="15.75" customHeight="1">
      <c r="A54" s="15"/>
      <c r="B54" s="16"/>
      <c r="C54" s="16"/>
      <c r="D54" s="17" t="str">
        <f>IF(B54="","",IFERROR(VLOOKUP(B54,Articles!$A$5:$K$204,2,FALSE),"Référence inconnue"))</f>
        <v/>
      </c>
      <c r="E54" s="16"/>
      <c r="F54" s="16"/>
      <c r="G54" s="16"/>
      <c r="H54" s="17" t="str">
        <f t="shared" si="1"/>
        <v>0</v>
      </c>
      <c r="I54" s="17" t="str">
        <f t="shared" si="2"/>
        <v/>
      </c>
      <c r="J54" s="18" t="str">
        <f>IF(B54="","",IFERROR(G54*VLOOKUP(B54,Articles!$A$5:$K$204,8,FALSE),0))</f>
        <v/>
      </c>
      <c r="K54" s="16"/>
      <c r="L54" s="16"/>
      <c r="M54" s="17" t="str">
        <f t="shared" si="3"/>
        <v>À compléter</v>
      </c>
    </row>
    <row r="55" ht="15.75" customHeight="1">
      <c r="A55" s="15"/>
      <c r="B55" s="16"/>
      <c r="C55" s="16"/>
      <c r="D55" s="17" t="str">
        <f>IF(B55="","",IFERROR(VLOOKUP(B55,Articles!$A$5:$K$204,2,FALSE),"Référence inconnue"))</f>
        <v/>
      </c>
      <c r="E55" s="16"/>
      <c r="F55" s="16"/>
      <c r="G55" s="16"/>
      <c r="H55" s="17" t="str">
        <f t="shared" si="1"/>
        <v>0</v>
      </c>
      <c r="I55" s="17" t="str">
        <f t="shared" si="2"/>
        <v/>
      </c>
      <c r="J55" s="18" t="str">
        <f>IF(B55="","",IFERROR(G55*VLOOKUP(B55,Articles!$A$5:$K$204,8,FALSE),0))</f>
        <v/>
      </c>
      <c r="K55" s="16"/>
      <c r="L55" s="16"/>
      <c r="M55" s="17" t="str">
        <f t="shared" si="3"/>
        <v>À compléter</v>
      </c>
    </row>
    <row r="56" ht="15.75" customHeight="1">
      <c r="A56" s="15"/>
      <c r="B56" s="16"/>
      <c r="C56" s="16"/>
      <c r="D56" s="17" t="str">
        <f>IF(B56="","",IFERROR(VLOOKUP(B56,Articles!$A$5:$K$204,2,FALSE),"Référence inconnue"))</f>
        <v/>
      </c>
      <c r="E56" s="16"/>
      <c r="F56" s="16"/>
      <c r="G56" s="16"/>
      <c r="H56" s="17" t="str">
        <f t="shared" si="1"/>
        <v>0</v>
      </c>
      <c r="I56" s="17" t="str">
        <f t="shared" si="2"/>
        <v/>
      </c>
      <c r="J56" s="18" t="str">
        <f>IF(B56="","",IFERROR(G56*VLOOKUP(B56,Articles!$A$5:$K$204,8,FALSE),0))</f>
        <v/>
      </c>
      <c r="K56" s="16"/>
      <c r="L56" s="16"/>
      <c r="M56" s="17" t="str">
        <f t="shared" si="3"/>
        <v>À compléter</v>
      </c>
    </row>
    <row r="57" ht="15.75" customHeight="1">
      <c r="A57" s="15"/>
      <c r="B57" s="16"/>
      <c r="C57" s="16"/>
      <c r="D57" s="17" t="str">
        <f>IF(B57="","",IFERROR(VLOOKUP(B57,Articles!$A$5:$K$204,2,FALSE),"Référence inconnue"))</f>
        <v/>
      </c>
      <c r="E57" s="16"/>
      <c r="F57" s="16"/>
      <c r="G57" s="16"/>
      <c r="H57" s="17" t="str">
        <f t="shared" si="1"/>
        <v>0</v>
      </c>
      <c r="I57" s="17" t="str">
        <f t="shared" si="2"/>
        <v/>
      </c>
      <c r="J57" s="18" t="str">
        <f>IF(B57="","",IFERROR(G57*VLOOKUP(B57,Articles!$A$5:$K$204,8,FALSE),0))</f>
        <v/>
      </c>
      <c r="K57" s="16"/>
      <c r="L57" s="16"/>
      <c r="M57" s="17" t="str">
        <f t="shared" si="3"/>
        <v>À compléter</v>
      </c>
    </row>
    <row r="58" ht="15.75" customHeight="1">
      <c r="A58" s="15"/>
      <c r="B58" s="16"/>
      <c r="C58" s="16"/>
      <c r="D58" s="17" t="str">
        <f>IF(B58="","",IFERROR(VLOOKUP(B58,Articles!$A$5:$K$204,2,FALSE),"Référence inconnue"))</f>
        <v/>
      </c>
      <c r="E58" s="16"/>
      <c r="F58" s="16"/>
      <c r="G58" s="16"/>
      <c r="H58" s="17" t="str">
        <f t="shared" si="1"/>
        <v>0</v>
      </c>
      <c r="I58" s="17" t="str">
        <f t="shared" si="2"/>
        <v/>
      </c>
      <c r="J58" s="18" t="str">
        <f>IF(B58="","",IFERROR(G58*VLOOKUP(B58,Articles!$A$5:$K$204,8,FALSE),0))</f>
        <v/>
      </c>
      <c r="K58" s="16"/>
      <c r="L58" s="16"/>
      <c r="M58" s="17" t="str">
        <f t="shared" si="3"/>
        <v>À compléter</v>
      </c>
    </row>
    <row r="59" ht="15.75" customHeight="1">
      <c r="A59" s="15"/>
      <c r="B59" s="16"/>
      <c r="C59" s="16"/>
      <c r="D59" s="17" t="str">
        <f>IF(B59="","",IFERROR(VLOOKUP(B59,Articles!$A$5:$K$204,2,FALSE),"Référence inconnue"))</f>
        <v/>
      </c>
      <c r="E59" s="16"/>
      <c r="F59" s="16"/>
      <c r="G59" s="16"/>
      <c r="H59" s="17" t="str">
        <f t="shared" si="1"/>
        <v>0</v>
      </c>
      <c r="I59" s="17" t="str">
        <f t="shared" si="2"/>
        <v/>
      </c>
      <c r="J59" s="18" t="str">
        <f>IF(B59="","",IFERROR(G59*VLOOKUP(B59,Articles!$A$5:$K$204,8,FALSE),0))</f>
        <v/>
      </c>
      <c r="K59" s="16"/>
      <c r="L59" s="16"/>
      <c r="M59" s="17" t="str">
        <f t="shared" si="3"/>
        <v>À compléter</v>
      </c>
    </row>
    <row r="60" ht="15.75" customHeight="1">
      <c r="A60" s="15"/>
      <c r="B60" s="16"/>
      <c r="C60" s="16"/>
      <c r="D60" s="17" t="str">
        <f>IF(B60="","",IFERROR(VLOOKUP(B60,Articles!$A$5:$K$204,2,FALSE),"Référence inconnue"))</f>
        <v/>
      </c>
      <c r="E60" s="16"/>
      <c r="F60" s="16"/>
      <c r="G60" s="16"/>
      <c r="H60" s="17" t="str">
        <f t="shared" si="1"/>
        <v>0</v>
      </c>
      <c r="I60" s="17" t="str">
        <f t="shared" si="2"/>
        <v/>
      </c>
      <c r="J60" s="18" t="str">
        <f>IF(B60="","",IFERROR(G60*VLOOKUP(B60,Articles!$A$5:$K$204,8,FALSE),0))</f>
        <v/>
      </c>
      <c r="K60" s="16"/>
      <c r="L60" s="16"/>
      <c r="M60" s="17" t="str">
        <f t="shared" si="3"/>
        <v>À compléter</v>
      </c>
    </row>
    <row r="61" ht="15.75" customHeight="1">
      <c r="A61" s="15"/>
      <c r="B61" s="16"/>
      <c r="C61" s="16"/>
      <c r="D61" s="17" t="str">
        <f>IF(B61="","",IFERROR(VLOOKUP(B61,Articles!$A$5:$K$204,2,FALSE),"Référence inconnue"))</f>
        <v/>
      </c>
      <c r="E61" s="16"/>
      <c r="F61" s="16"/>
      <c r="G61" s="16"/>
      <c r="H61" s="17" t="str">
        <f t="shared" si="1"/>
        <v>0</v>
      </c>
      <c r="I61" s="17" t="str">
        <f t="shared" si="2"/>
        <v/>
      </c>
      <c r="J61" s="18" t="str">
        <f>IF(B61="","",IFERROR(G61*VLOOKUP(B61,Articles!$A$5:$K$204,8,FALSE),0))</f>
        <v/>
      </c>
      <c r="K61" s="16"/>
      <c r="L61" s="16"/>
      <c r="M61" s="17" t="str">
        <f t="shared" si="3"/>
        <v>À compléter</v>
      </c>
    </row>
    <row r="62" ht="15.75" customHeight="1">
      <c r="A62" s="15"/>
      <c r="B62" s="16"/>
      <c r="C62" s="16"/>
      <c r="D62" s="17" t="str">
        <f>IF(B62="","",IFERROR(VLOOKUP(B62,Articles!$A$5:$K$204,2,FALSE),"Référence inconnue"))</f>
        <v/>
      </c>
      <c r="E62" s="16"/>
      <c r="F62" s="16"/>
      <c r="G62" s="16"/>
      <c r="H62" s="17" t="str">
        <f t="shared" si="1"/>
        <v>0</v>
      </c>
      <c r="I62" s="17" t="str">
        <f t="shared" si="2"/>
        <v/>
      </c>
      <c r="J62" s="18" t="str">
        <f>IF(B62="","",IFERROR(G62*VLOOKUP(B62,Articles!$A$5:$K$204,8,FALSE),0))</f>
        <v/>
      </c>
      <c r="K62" s="16"/>
      <c r="L62" s="16"/>
      <c r="M62" s="17" t="str">
        <f t="shared" si="3"/>
        <v>À compléter</v>
      </c>
    </row>
    <row r="63" ht="15.75" customHeight="1">
      <c r="A63" s="15"/>
      <c r="B63" s="16"/>
      <c r="C63" s="16"/>
      <c r="D63" s="17" t="str">
        <f>IF(B63="","",IFERROR(VLOOKUP(B63,Articles!$A$5:$K$204,2,FALSE),"Référence inconnue"))</f>
        <v/>
      </c>
      <c r="E63" s="16"/>
      <c r="F63" s="16"/>
      <c r="G63" s="16"/>
      <c r="H63" s="17" t="str">
        <f t="shared" si="1"/>
        <v>0</v>
      </c>
      <c r="I63" s="17" t="str">
        <f t="shared" si="2"/>
        <v/>
      </c>
      <c r="J63" s="18" t="str">
        <f>IF(B63="","",IFERROR(G63*VLOOKUP(B63,Articles!$A$5:$K$204,8,FALSE),0))</f>
        <v/>
      </c>
      <c r="K63" s="16"/>
      <c r="L63" s="16"/>
      <c r="M63" s="17" t="str">
        <f t="shared" si="3"/>
        <v>À compléter</v>
      </c>
    </row>
    <row r="64" ht="15.75" customHeight="1">
      <c r="A64" s="15"/>
      <c r="B64" s="16"/>
      <c r="C64" s="16"/>
      <c r="D64" s="17" t="str">
        <f>IF(B64="","",IFERROR(VLOOKUP(B64,Articles!$A$5:$K$204,2,FALSE),"Référence inconnue"))</f>
        <v/>
      </c>
      <c r="E64" s="16"/>
      <c r="F64" s="16"/>
      <c r="G64" s="16"/>
      <c r="H64" s="17" t="str">
        <f t="shared" si="1"/>
        <v>0</v>
      </c>
      <c r="I64" s="17" t="str">
        <f t="shared" si="2"/>
        <v/>
      </c>
      <c r="J64" s="18" t="str">
        <f>IF(B64="","",IFERROR(G64*VLOOKUP(B64,Articles!$A$5:$K$204,8,FALSE),0))</f>
        <v/>
      </c>
      <c r="K64" s="16"/>
      <c r="L64" s="16"/>
      <c r="M64" s="17" t="str">
        <f t="shared" si="3"/>
        <v>À compléter</v>
      </c>
    </row>
    <row r="65" ht="15.75" customHeight="1">
      <c r="A65" s="15"/>
      <c r="B65" s="16"/>
      <c r="C65" s="16"/>
      <c r="D65" s="17" t="str">
        <f>IF(B65="","",IFERROR(VLOOKUP(B65,Articles!$A$5:$K$204,2,FALSE),"Référence inconnue"))</f>
        <v/>
      </c>
      <c r="E65" s="16"/>
      <c r="F65" s="16"/>
      <c r="G65" s="16"/>
      <c r="H65" s="17" t="str">
        <f t="shared" si="1"/>
        <v>0</v>
      </c>
      <c r="I65" s="17" t="str">
        <f t="shared" si="2"/>
        <v/>
      </c>
      <c r="J65" s="18" t="str">
        <f>IF(B65="","",IFERROR(G65*VLOOKUP(B65,Articles!$A$5:$K$204,8,FALSE),0))</f>
        <v/>
      </c>
      <c r="K65" s="16"/>
      <c r="L65" s="16"/>
      <c r="M65" s="17" t="str">
        <f t="shared" si="3"/>
        <v>À compléter</v>
      </c>
    </row>
    <row r="66" ht="15.75" customHeight="1">
      <c r="A66" s="15"/>
      <c r="B66" s="16"/>
      <c r="C66" s="16"/>
      <c r="D66" s="17" t="str">
        <f>IF(B66="","",IFERROR(VLOOKUP(B66,Articles!$A$5:$K$204,2,FALSE),"Référence inconnue"))</f>
        <v/>
      </c>
      <c r="E66" s="16"/>
      <c r="F66" s="16"/>
      <c r="G66" s="16"/>
      <c r="H66" s="17" t="str">
        <f t="shared" si="1"/>
        <v>0</v>
      </c>
      <c r="I66" s="17" t="str">
        <f t="shared" si="2"/>
        <v/>
      </c>
      <c r="J66" s="18" t="str">
        <f>IF(B66="","",IFERROR(G66*VLOOKUP(B66,Articles!$A$5:$K$204,8,FALSE),0))</f>
        <v/>
      </c>
      <c r="K66" s="16"/>
      <c r="L66" s="16"/>
      <c r="M66" s="17" t="str">
        <f t="shared" si="3"/>
        <v>À compléter</v>
      </c>
    </row>
    <row r="67" ht="15.75" customHeight="1">
      <c r="A67" s="15"/>
      <c r="B67" s="16"/>
      <c r="C67" s="16"/>
      <c r="D67" s="17" t="str">
        <f>IF(B67="","",IFERROR(VLOOKUP(B67,Articles!$A$5:$K$204,2,FALSE),"Référence inconnue"))</f>
        <v/>
      </c>
      <c r="E67" s="16"/>
      <c r="F67" s="16"/>
      <c r="G67" s="16"/>
      <c r="H67" s="17" t="str">
        <f t="shared" si="1"/>
        <v>0</v>
      </c>
      <c r="I67" s="17" t="str">
        <f t="shared" si="2"/>
        <v/>
      </c>
      <c r="J67" s="18" t="str">
        <f>IF(B67="","",IFERROR(G67*VLOOKUP(B67,Articles!$A$5:$K$204,8,FALSE),0))</f>
        <v/>
      </c>
      <c r="K67" s="16"/>
      <c r="L67" s="16"/>
      <c r="M67" s="17" t="str">
        <f t="shared" si="3"/>
        <v>À compléter</v>
      </c>
    </row>
    <row r="68" ht="15.75" customHeight="1">
      <c r="A68" s="15"/>
      <c r="B68" s="16"/>
      <c r="C68" s="16"/>
      <c r="D68" s="17" t="str">
        <f>IF(B68="","",IFERROR(VLOOKUP(B68,Articles!$A$5:$K$204,2,FALSE),"Référence inconnue"))</f>
        <v/>
      </c>
      <c r="E68" s="16"/>
      <c r="F68" s="16"/>
      <c r="G68" s="16"/>
      <c r="H68" s="17" t="str">
        <f t="shared" si="1"/>
        <v>0</v>
      </c>
      <c r="I68" s="17" t="str">
        <f t="shared" si="2"/>
        <v/>
      </c>
      <c r="J68" s="18" t="str">
        <f>IF(B68="","",IFERROR(G68*VLOOKUP(B68,Articles!$A$5:$K$204,8,FALSE),0))</f>
        <v/>
      </c>
      <c r="K68" s="16"/>
      <c r="L68" s="16"/>
      <c r="M68" s="17" t="str">
        <f t="shared" si="3"/>
        <v>À compléter</v>
      </c>
    </row>
    <row r="69" ht="15.75" customHeight="1">
      <c r="A69" s="15"/>
      <c r="B69" s="16"/>
      <c r="C69" s="16"/>
      <c r="D69" s="17" t="str">
        <f>IF(B69="","",IFERROR(VLOOKUP(B69,Articles!$A$5:$K$204,2,FALSE),"Référence inconnue"))</f>
        <v/>
      </c>
      <c r="E69" s="16"/>
      <c r="F69" s="16"/>
      <c r="G69" s="16"/>
      <c r="H69" s="17" t="str">
        <f t="shared" si="1"/>
        <v>0</v>
      </c>
      <c r="I69" s="17" t="str">
        <f t="shared" si="2"/>
        <v/>
      </c>
      <c r="J69" s="18" t="str">
        <f>IF(B69="","",IFERROR(G69*VLOOKUP(B69,Articles!$A$5:$K$204,8,FALSE),0))</f>
        <v/>
      </c>
      <c r="K69" s="16"/>
      <c r="L69" s="16"/>
      <c r="M69" s="17" t="str">
        <f t="shared" si="3"/>
        <v>À compléter</v>
      </c>
    </row>
    <row r="70" ht="15.75" customHeight="1">
      <c r="A70" s="15"/>
      <c r="B70" s="16"/>
      <c r="C70" s="16"/>
      <c r="D70" s="17" t="str">
        <f>IF(B70="","",IFERROR(VLOOKUP(B70,Articles!$A$5:$K$204,2,FALSE),"Référence inconnue"))</f>
        <v/>
      </c>
      <c r="E70" s="16"/>
      <c r="F70" s="16"/>
      <c r="G70" s="16"/>
      <c r="H70" s="17" t="str">
        <f t="shared" si="1"/>
        <v>0</v>
      </c>
      <c r="I70" s="17" t="str">
        <f t="shared" si="2"/>
        <v/>
      </c>
      <c r="J70" s="18" t="str">
        <f>IF(B70="","",IFERROR(G70*VLOOKUP(B70,Articles!$A$5:$K$204,8,FALSE),0))</f>
        <v/>
      </c>
      <c r="K70" s="16"/>
      <c r="L70" s="16"/>
      <c r="M70" s="17" t="str">
        <f t="shared" si="3"/>
        <v>À compléter</v>
      </c>
    </row>
    <row r="71" ht="15.75" customHeight="1">
      <c r="A71" s="15"/>
      <c r="B71" s="16"/>
      <c r="C71" s="16"/>
      <c r="D71" s="17" t="str">
        <f>IF(B71="","",IFERROR(VLOOKUP(B71,Articles!$A$5:$K$204,2,FALSE),"Référence inconnue"))</f>
        <v/>
      </c>
      <c r="E71" s="16"/>
      <c r="F71" s="16"/>
      <c r="G71" s="16"/>
      <c r="H71" s="17" t="str">
        <f t="shared" si="1"/>
        <v>0</v>
      </c>
      <c r="I71" s="17" t="str">
        <f t="shared" si="2"/>
        <v/>
      </c>
      <c r="J71" s="18" t="str">
        <f>IF(B71="","",IFERROR(G71*VLOOKUP(B71,Articles!$A$5:$K$204,8,FALSE),0))</f>
        <v/>
      </c>
      <c r="K71" s="16"/>
      <c r="L71" s="16"/>
      <c r="M71" s="17" t="str">
        <f t="shared" si="3"/>
        <v>À compléter</v>
      </c>
    </row>
    <row r="72" ht="15.75" customHeight="1">
      <c r="A72" s="15"/>
      <c r="B72" s="16"/>
      <c r="C72" s="16"/>
      <c r="D72" s="17" t="str">
        <f>IF(B72="","",IFERROR(VLOOKUP(B72,Articles!$A$5:$K$204,2,FALSE),"Référence inconnue"))</f>
        <v/>
      </c>
      <c r="E72" s="16"/>
      <c r="F72" s="16"/>
      <c r="G72" s="16"/>
      <c r="H72" s="17" t="str">
        <f t="shared" si="1"/>
        <v>0</v>
      </c>
      <c r="I72" s="17" t="str">
        <f t="shared" si="2"/>
        <v/>
      </c>
      <c r="J72" s="18" t="str">
        <f>IF(B72="","",IFERROR(G72*VLOOKUP(B72,Articles!$A$5:$K$204,8,FALSE),0))</f>
        <v/>
      </c>
      <c r="K72" s="16"/>
      <c r="L72" s="16"/>
      <c r="M72" s="17" t="str">
        <f t="shared" si="3"/>
        <v>À compléter</v>
      </c>
    </row>
    <row r="73" ht="15.75" customHeight="1">
      <c r="A73" s="15"/>
      <c r="B73" s="16"/>
      <c r="C73" s="16"/>
      <c r="D73" s="17" t="str">
        <f>IF(B73="","",IFERROR(VLOOKUP(B73,Articles!$A$5:$K$204,2,FALSE),"Référence inconnue"))</f>
        <v/>
      </c>
      <c r="E73" s="16"/>
      <c r="F73" s="16"/>
      <c r="G73" s="16"/>
      <c r="H73" s="17" t="str">
        <f t="shared" si="1"/>
        <v>0</v>
      </c>
      <c r="I73" s="17" t="str">
        <f t="shared" si="2"/>
        <v/>
      </c>
      <c r="J73" s="18" t="str">
        <f>IF(B73="","",IFERROR(G73*VLOOKUP(B73,Articles!$A$5:$K$204,8,FALSE),0))</f>
        <v/>
      </c>
      <c r="K73" s="16"/>
      <c r="L73" s="16"/>
      <c r="M73" s="17" t="str">
        <f t="shared" si="3"/>
        <v>À compléter</v>
      </c>
    </row>
    <row r="74" ht="15.75" customHeight="1">
      <c r="A74" s="15"/>
      <c r="B74" s="16"/>
      <c r="C74" s="16"/>
      <c r="D74" s="17" t="str">
        <f>IF(B74="","",IFERROR(VLOOKUP(B74,Articles!$A$5:$K$204,2,FALSE),"Référence inconnue"))</f>
        <v/>
      </c>
      <c r="E74" s="16"/>
      <c r="F74" s="16"/>
      <c r="G74" s="16"/>
      <c r="H74" s="17" t="str">
        <f t="shared" si="1"/>
        <v>0</v>
      </c>
      <c r="I74" s="17" t="str">
        <f t="shared" si="2"/>
        <v/>
      </c>
      <c r="J74" s="18" t="str">
        <f>IF(B74="","",IFERROR(G74*VLOOKUP(B74,Articles!$A$5:$K$204,8,FALSE),0))</f>
        <v/>
      </c>
      <c r="K74" s="16"/>
      <c r="L74" s="16"/>
      <c r="M74" s="17" t="str">
        <f t="shared" si="3"/>
        <v>À compléter</v>
      </c>
    </row>
    <row r="75" ht="15.75" customHeight="1">
      <c r="A75" s="15"/>
      <c r="B75" s="16"/>
      <c r="C75" s="16"/>
      <c r="D75" s="17" t="str">
        <f>IF(B75="","",IFERROR(VLOOKUP(B75,Articles!$A$5:$K$204,2,FALSE),"Référence inconnue"))</f>
        <v/>
      </c>
      <c r="E75" s="16"/>
      <c r="F75" s="16"/>
      <c r="G75" s="16"/>
      <c r="H75" s="17" t="str">
        <f t="shared" si="1"/>
        <v>0</v>
      </c>
      <c r="I75" s="17" t="str">
        <f t="shared" si="2"/>
        <v/>
      </c>
      <c r="J75" s="18" t="str">
        <f>IF(B75="","",IFERROR(G75*VLOOKUP(B75,Articles!$A$5:$K$204,8,FALSE),0))</f>
        <v/>
      </c>
      <c r="K75" s="16"/>
      <c r="L75" s="16"/>
      <c r="M75" s="17" t="str">
        <f t="shared" si="3"/>
        <v>À compléter</v>
      </c>
    </row>
    <row r="76" ht="15.75" customHeight="1">
      <c r="A76" s="15"/>
      <c r="B76" s="16"/>
      <c r="C76" s="16"/>
      <c r="D76" s="17" t="str">
        <f>IF(B76="","",IFERROR(VLOOKUP(B76,Articles!$A$5:$K$204,2,FALSE),"Référence inconnue"))</f>
        <v/>
      </c>
      <c r="E76" s="16"/>
      <c r="F76" s="16"/>
      <c r="G76" s="16"/>
      <c r="H76" s="17" t="str">
        <f t="shared" si="1"/>
        <v>0</v>
      </c>
      <c r="I76" s="17" t="str">
        <f t="shared" si="2"/>
        <v/>
      </c>
      <c r="J76" s="18" t="str">
        <f>IF(B76="","",IFERROR(G76*VLOOKUP(B76,Articles!$A$5:$K$204,8,FALSE),0))</f>
        <v/>
      </c>
      <c r="K76" s="16"/>
      <c r="L76" s="16"/>
      <c r="M76" s="17" t="str">
        <f t="shared" si="3"/>
        <v>À compléter</v>
      </c>
    </row>
    <row r="77" ht="15.75" customHeight="1">
      <c r="A77" s="15"/>
      <c r="B77" s="16"/>
      <c r="C77" s="16"/>
      <c r="D77" s="17" t="str">
        <f>IF(B77="","",IFERROR(VLOOKUP(B77,Articles!$A$5:$K$204,2,FALSE),"Référence inconnue"))</f>
        <v/>
      </c>
      <c r="E77" s="16"/>
      <c r="F77" s="16"/>
      <c r="G77" s="16"/>
      <c r="H77" s="17" t="str">
        <f t="shared" si="1"/>
        <v>0</v>
      </c>
      <c r="I77" s="17" t="str">
        <f t="shared" si="2"/>
        <v/>
      </c>
      <c r="J77" s="18" t="str">
        <f>IF(B77="","",IFERROR(G77*VLOOKUP(B77,Articles!$A$5:$K$204,8,FALSE),0))</f>
        <v/>
      </c>
      <c r="K77" s="16"/>
      <c r="L77" s="16"/>
      <c r="M77" s="17" t="str">
        <f t="shared" si="3"/>
        <v>À compléter</v>
      </c>
    </row>
    <row r="78" ht="15.75" customHeight="1">
      <c r="A78" s="15"/>
      <c r="B78" s="16"/>
      <c r="C78" s="16"/>
      <c r="D78" s="17" t="str">
        <f>IF(B78="","",IFERROR(VLOOKUP(B78,Articles!$A$5:$K$204,2,FALSE),"Référence inconnue"))</f>
        <v/>
      </c>
      <c r="E78" s="16"/>
      <c r="F78" s="16"/>
      <c r="G78" s="16"/>
      <c r="H78" s="17" t="str">
        <f t="shared" si="1"/>
        <v>0</v>
      </c>
      <c r="I78" s="17" t="str">
        <f t="shared" si="2"/>
        <v/>
      </c>
      <c r="J78" s="18" t="str">
        <f>IF(B78="","",IFERROR(G78*VLOOKUP(B78,Articles!$A$5:$K$204,8,FALSE),0))</f>
        <v/>
      </c>
      <c r="K78" s="16"/>
      <c r="L78" s="16"/>
      <c r="M78" s="17" t="str">
        <f t="shared" si="3"/>
        <v>À compléter</v>
      </c>
    </row>
    <row r="79" ht="15.75" customHeight="1">
      <c r="A79" s="15"/>
      <c r="B79" s="16"/>
      <c r="C79" s="16"/>
      <c r="D79" s="17" t="str">
        <f>IF(B79="","",IFERROR(VLOOKUP(B79,Articles!$A$5:$K$204,2,FALSE),"Référence inconnue"))</f>
        <v/>
      </c>
      <c r="E79" s="16"/>
      <c r="F79" s="16"/>
      <c r="G79" s="16"/>
      <c r="H79" s="17" t="str">
        <f t="shared" si="1"/>
        <v>0</v>
      </c>
      <c r="I79" s="17" t="str">
        <f t="shared" si="2"/>
        <v/>
      </c>
      <c r="J79" s="18" t="str">
        <f>IF(B79="","",IFERROR(G79*VLOOKUP(B79,Articles!$A$5:$K$204,8,FALSE),0))</f>
        <v/>
      </c>
      <c r="K79" s="16"/>
      <c r="L79" s="16"/>
      <c r="M79" s="17" t="str">
        <f t="shared" si="3"/>
        <v>À compléter</v>
      </c>
    </row>
    <row r="80" ht="15.75" customHeight="1">
      <c r="A80" s="15"/>
      <c r="B80" s="16"/>
      <c r="C80" s="16"/>
      <c r="D80" s="17" t="str">
        <f>IF(B80="","",IFERROR(VLOOKUP(B80,Articles!$A$5:$K$204,2,FALSE),"Référence inconnue"))</f>
        <v/>
      </c>
      <c r="E80" s="16"/>
      <c r="F80" s="16"/>
      <c r="G80" s="16"/>
      <c r="H80" s="17" t="str">
        <f t="shared" si="1"/>
        <v>0</v>
      </c>
      <c r="I80" s="17" t="str">
        <f t="shared" si="2"/>
        <v/>
      </c>
      <c r="J80" s="18" t="str">
        <f>IF(B80="","",IFERROR(G80*VLOOKUP(B80,Articles!$A$5:$K$204,8,FALSE),0))</f>
        <v/>
      </c>
      <c r="K80" s="16"/>
      <c r="L80" s="16"/>
      <c r="M80" s="17" t="str">
        <f t="shared" si="3"/>
        <v>À compléter</v>
      </c>
    </row>
    <row r="81" ht="15.75" customHeight="1">
      <c r="A81" s="15"/>
      <c r="B81" s="16"/>
      <c r="C81" s="16"/>
      <c r="D81" s="17" t="str">
        <f>IF(B81="","",IFERROR(VLOOKUP(B81,Articles!$A$5:$K$204,2,FALSE),"Référence inconnue"))</f>
        <v/>
      </c>
      <c r="E81" s="16"/>
      <c r="F81" s="16"/>
      <c r="G81" s="16"/>
      <c r="H81" s="17" t="str">
        <f t="shared" si="1"/>
        <v>0</v>
      </c>
      <c r="I81" s="17" t="str">
        <f t="shared" si="2"/>
        <v/>
      </c>
      <c r="J81" s="18" t="str">
        <f>IF(B81="","",IFERROR(G81*VLOOKUP(B81,Articles!$A$5:$K$204,8,FALSE),0))</f>
        <v/>
      </c>
      <c r="K81" s="16"/>
      <c r="L81" s="16"/>
      <c r="M81" s="17" t="str">
        <f t="shared" si="3"/>
        <v>À compléter</v>
      </c>
    </row>
    <row r="82" ht="15.75" customHeight="1">
      <c r="A82" s="15"/>
      <c r="B82" s="16"/>
      <c r="C82" s="16"/>
      <c r="D82" s="17" t="str">
        <f>IF(B82="","",IFERROR(VLOOKUP(B82,Articles!$A$5:$K$204,2,FALSE),"Référence inconnue"))</f>
        <v/>
      </c>
      <c r="E82" s="16"/>
      <c r="F82" s="16"/>
      <c r="G82" s="16"/>
      <c r="H82" s="17" t="str">
        <f t="shared" si="1"/>
        <v>0</v>
      </c>
      <c r="I82" s="17" t="str">
        <f t="shared" si="2"/>
        <v/>
      </c>
      <c r="J82" s="18" t="str">
        <f>IF(B82="","",IFERROR(G82*VLOOKUP(B82,Articles!$A$5:$K$204,8,FALSE),0))</f>
        <v/>
      </c>
      <c r="K82" s="16"/>
      <c r="L82" s="16"/>
      <c r="M82" s="17" t="str">
        <f t="shared" si="3"/>
        <v>À compléter</v>
      </c>
    </row>
    <row r="83" ht="15.75" customHeight="1">
      <c r="A83" s="15"/>
      <c r="B83" s="16"/>
      <c r="C83" s="16"/>
      <c r="D83" s="17" t="str">
        <f>IF(B83="","",IFERROR(VLOOKUP(B83,Articles!$A$5:$K$204,2,FALSE),"Référence inconnue"))</f>
        <v/>
      </c>
      <c r="E83" s="16"/>
      <c r="F83" s="16"/>
      <c r="G83" s="16"/>
      <c r="H83" s="17" t="str">
        <f t="shared" si="1"/>
        <v>0</v>
      </c>
      <c r="I83" s="17" t="str">
        <f t="shared" si="2"/>
        <v/>
      </c>
      <c r="J83" s="18" t="str">
        <f>IF(B83="","",IFERROR(G83*VLOOKUP(B83,Articles!$A$5:$K$204,8,FALSE),0))</f>
        <v/>
      </c>
      <c r="K83" s="16"/>
      <c r="L83" s="16"/>
      <c r="M83" s="17" t="str">
        <f t="shared" si="3"/>
        <v>À compléter</v>
      </c>
    </row>
    <row r="84" ht="15.75" customHeight="1">
      <c r="A84" s="15"/>
      <c r="B84" s="16"/>
      <c r="C84" s="16"/>
      <c r="D84" s="17" t="str">
        <f>IF(B84="","",IFERROR(VLOOKUP(B84,Articles!$A$5:$K$204,2,FALSE),"Référence inconnue"))</f>
        <v/>
      </c>
      <c r="E84" s="16"/>
      <c r="F84" s="16"/>
      <c r="G84" s="16"/>
      <c r="H84" s="17" t="str">
        <f t="shared" si="1"/>
        <v>0</v>
      </c>
      <c r="I84" s="17" t="str">
        <f t="shared" si="2"/>
        <v/>
      </c>
      <c r="J84" s="18" t="str">
        <f>IF(B84="","",IFERROR(G84*VLOOKUP(B84,Articles!$A$5:$K$204,8,FALSE),0))</f>
        <v/>
      </c>
      <c r="K84" s="16"/>
      <c r="L84" s="16"/>
      <c r="M84" s="17" t="str">
        <f t="shared" si="3"/>
        <v>À compléter</v>
      </c>
    </row>
    <row r="85" ht="15.75" customHeight="1">
      <c r="A85" s="15"/>
      <c r="B85" s="16"/>
      <c r="C85" s="16"/>
      <c r="D85" s="17" t="str">
        <f>IF(B85="","",IFERROR(VLOOKUP(B85,Articles!$A$5:$K$204,2,FALSE),"Référence inconnue"))</f>
        <v/>
      </c>
      <c r="E85" s="16"/>
      <c r="F85" s="16"/>
      <c r="G85" s="16"/>
      <c r="H85" s="17" t="str">
        <f t="shared" si="1"/>
        <v>0</v>
      </c>
      <c r="I85" s="17" t="str">
        <f t="shared" si="2"/>
        <v/>
      </c>
      <c r="J85" s="18" t="str">
        <f>IF(B85="","",IFERROR(G85*VLOOKUP(B85,Articles!$A$5:$K$204,8,FALSE),0))</f>
        <v/>
      </c>
      <c r="K85" s="16"/>
      <c r="L85" s="16"/>
      <c r="M85" s="17" t="str">
        <f t="shared" si="3"/>
        <v>À compléter</v>
      </c>
    </row>
    <row r="86" ht="15.75" customHeight="1">
      <c r="A86" s="15"/>
      <c r="B86" s="16"/>
      <c r="C86" s="16"/>
      <c r="D86" s="17" t="str">
        <f>IF(B86="","",IFERROR(VLOOKUP(B86,Articles!$A$5:$K$204,2,FALSE),"Référence inconnue"))</f>
        <v/>
      </c>
      <c r="E86" s="16"/>
      <c r="F86" s="16"/>
      <c r="G86" s="16"/>
      <c r="H86" s="17" t="str">
        <f t="shared" si="1"/>
        <v>0</v>
      </c>
      <c r="I86" s="17" t="str">
        <f t="shared" si="2"/>
        <v/>
      </c>
      <c r="J86" s="18" t="str">
        <f>IF(B86="","",IFERROR(G86*VLOOKUP(B86,Articles!$A$5:$K$204,8,FALSE),0))</f>
        <v/>
      </c>
      <c r="K86" s="16"/>
      <c r="L86" s="16"/>
      <c r="M86" s="17" t="str">
        <f t="shared" si="3"/>
        <v>À compléter</v>
      </c>
    </row>
    <row r="87" ht="15.75" customHeight="1">
      <c r="A87" s="15"/>
      <c r="B87" s="16"/>
      <c r="C87" s="16"/>
      <c r="D87" s="17" t="str">
        <f>IF(B87="","",IFERROR(VLOOKUP(B87,Articles!$A$5:$K$204,2,FALSE),"Référence inconnue"))</f>
        <v/>
      </c>
      <c r="E87" s="16"/>
      <c r="F87" s="16"/>
      <c r="G87" s="16"/>
      <c r="H87" s="17" t="str">
        <f t="shared" si="1"/>
        <v>0</v>
      </c>
      <c r="I87" s="17" t="str">
        <f t="shared" si="2"/>
        <v/>
      </c>
      <c r="J87" s="18" t="str">
        <f>IF(B87="","",IFERROR(G87*VLOOKUP(B87,Articles!$A$5:$K$204,8,FALSE),0))</f>
        <v/>
      </c>
      <c r="K87" s="16"/>
      <c r="L87" s="16"/>
      <c r="M87" s="17" t="str">
        <f t="shared" si="3"/>
        <v>À compléter</v>
      </c>
    </row>
    <row r="88" ht="15.75" customHeight="1">
      <c r="A88" s="15"/>
      <c r="B88" s="16"/>
      <c r="C88" s="16"/>
      <c r="D88" s="17" t="str">
        <f>IF(B88="","",IFERROR(VLOOKUP(B88,Articles!$A$5:$K$204,2,FALSE),"Référence inconnue"))</f>
        <v/>
      </c>
      <c r="E88" s="16"/>
      <c r="F88" s="16"/>
      <c r="G88" s="16"/>
      <c r="H88" s="17" t="str">
        <f t="shared" si="1"/>
        <v>0</v>
      </c>
      <c r="I88" s="17" t="str">
        <f t="shared" si="2"/>
        <v/>
      </c>
      <c r="J88" s="18" t="str">
        <f>IF(B88="","",IFERROR(G88*VLOOKUP(B88,Articles!$A$5:$K$204,8,FALSE),0))</f>
        <v/>
      </c>
      <c r="K88" s="16"/>
      <c r="L88" s="16"/>
      <c r="M88" s="17" t="str">
        <f t="shared" si="3"/>
        <v>À compléter</v>
      </c>
    </row>
    <row r="89" ht="15.75" customHeight="1">
      <c r="A89" s="15"/>
      <c r="B89" s="16"/>
      <c r="C89" s="16"/>
      <c r="D89" s="17" t="str">
        <f>IF(B89="","",IFERROR(VLOOKUP(B89,Articles!$A$5:$K$204,2,FALSE),"Référence inconnue"))</f>
        <v/>
      </c>
      <c r="E89" s="16"/>
      <c r="F89" s="16"/>
      <c r="G89" s="16"/>
      <c r="H89" s="17" t="str">
        <f t="shared" si="1"/>
        <v>0</v>
      </c>
      <c r="I89" s="17" t="str">
        <f t="shared" si="2"/>
        <v/>
      </c>
      <c r="J89" s="18" t="str">
        <f>IF(B89="","",IFERROR(G89*VLOOKUP(B89,Articles!$A$5:$K$204,8,FALSE),0))</f>
        <v/>
      </c>
      <c r="K89" s="16"/>
      <c r="L89" s="16"/>
      <c r="M89" s="17" t="str">
        <f t="shared" si="3"/>
        <v>À compléter</v>
      </c>
    </row>
    <row r="90" ht="15.75" customHeight="1">
      <c r="A90" s="15"/>
      <c r="B90" s="16"/>
      <c r="C90" s="16"/>
      <c r="D90" s="17" t="str">
        <f>IF(B90="","",IFERROR(VLOOKUP(B90,Articles!$A$5:$K$204,2,FALSE),"Référence inconnue"))</f>
        <v/>
      </c>
      <c r="E90" s="16"/>
      <c r="F90" s="16"/>
      <c r="G90" s="16"/>
      <c r="H90" s="17" t="str">
        <f t="shared" si="1"/>
        <v>0</v>
      </c>
      <c r="I90" s="17" t="str">
        <f t="shared" si="2"/>
        <v/>
      </c>
      <c r="J90" s="18" t="str">
        <f>IF(B90="","",IFERROR(G90*VLOOKUP(B90,Articles!$A$5:$K$204,8,FALSE),0))</f>
        <v/>
      </c>
      <c r="K90" s="16"/>
      <c r="L90" s="16"/>
      <c r="M90" s="17" t="str">
        <f t="shared" si="3"/>
        <v>À compléter</v>
      </c>
    </row>
    <row r="91" ht="15.75" customHeight="1">
      <c r="A91" s="15"/>
      <c r="B91" s="16"/>
      <c r="C91" s="16"/>
      <c r="D91" s="17" t="str">
        <f>IF(B91="","",IFERROR(VLOOKUP(B91,Articles!$A$5:$K$204,2,FALSE),"Référence inconnue"))</f>
        <v/>
      </c>
      <c r="E91" s="16"/>
      <c r="F91" s="16"/>
      <c r="G91" s="16"/>
      <c r="H91" s="17" t="str">
        <f t="shared" si="1"/>
        <v>0</v>
      </c>
      <c r="I91" s="17" t="str">
        <f t="shared" si="2"/>
        <v/>
      </c>
      <c r="J91" s="18" t="str">
        <f>IF(B91="","",IFERROR(G91*VLOOKUP(B91,Articles!$A$5:$K$204,8,FALSE),0))</f>
        <v/>
      </c>
      <c r="K91" s="16"/>
      <c r="L91" s="16"/>
      <c r="M91" s="17" t="str">
        <f t="shared" si="3"/>
        <v>À compléter</v>
      </c>
    </row>
    <row r="92" ht="15.75" customHeight="1">
      <c r="A92" s="15"/>
      <c r="B92" s="16"/>
      <c r="C92" s="16"/>
      <c r="D92" s="17" t="str">
        <f>IF(B92="","",IFERROR(VLOOKUP(B92,Articles!$A$5:$K$204,2,FALSE),"Référence inconnue"))</f>
        <v/>
      </c>
      <c r="E92" s="16"/>
      <c r="F92" s="16"/>
      <c r="G92" s="16"/>
      <c r="H92" s="17" t="str">
        <f t="shared" si="1"/>
        <v>0</v>
      </c>
      <c r="I92" s="17" t="str">
        <f t="shared" si="2"/>
        <v/>
      </c>
      <c r="J92" s="18" t="str">
        <f>IF(B92="","",IFERROR(G92*VLOOKUP(B92,Articles!$A$5:$K$204,8,FALSE),0))</f>
        <v/>
      </c>
      <c r="K92" s="16"/>
      <c r="L92" s="16"/>
      <c r="M92" s="17" t="str">
        <f t="shared" si="3"/>
        <v>À compléter</v>
      </c>
    </row>
    <row r="93" ht="15.75" customHeight="1">
      <c r="A93" s="15"/>
      <c r="B93" s="16"/>
      <c r="C93" s="16"/>
      <c r="D93" s="17" t="str">
        <f>IF(B93="","",IFERROR(VLOOKUP(B93,Articles!$A$5:$K$204,2,FALSE),"Référence inconnue"))</f>
        <v/>
      </c>
      <c r="E93" s="16"/>
      <c r="F93" s="16"/>
      <c r="G93" s="16"/>
      <c r="H93" s="17" t="str">
        <f t="shared" si="1"/>
        <v>0</v>
      </c>
      <c r="I93" s="17" t="str">
        <f t="shared" si="2"/>
        <v/>
      </c>
      <c r="J93" s="18" t="str">
        <f>IF(B93="","",IFERROR(G93*VLOOKUP(B93,Articles!$A$5:$K$204,8,FALSE),0))</f>
        <v/>
      </c>
      <c r="K93" s="16"/>
      <c r="L93" s="16"/>
      <c r="M93" s="17" t="str">
        <f t="shared" si="3"/>
        <v>À compléter</v>
      </c>
    </row>
    <row r="94" ht="15.75" customHeight="1">
      <c r="A94" s="15"/>
      <c r="B94" s="16"/>
      <c r="C94" s="16"/>
      <c r="D94" s="17" t="str">
        <f>IF(B94="","",IFERROR(VLOOKUP(B94,Articles!$A$5:$K$204,2,FALSE),"Référence inconnue"))</f>
        <v/>
      </c>
      <c r="E94" s="16"/>
      <c r="F94" s="16"/>
      <c r="G94" s="16"/>
      <c r="H94" s="17" t="str">
        <f t="shared" si="1"/>
        <v>0</v>
      </c>
      <c r="I94" s="17" t="str">
        <f t="shared" si="2"/>
        <v/>
      </c>
      <c r="J94" s="18" t="str">
        <f>IF(B94="","",IFERROR(G94*VLOOKUP(B94,Articles!$A$5:$K$204,8,FALSE),0))</f>
        <v/>
      </c>
      <c r="K94" s="16"/>
      <c r="L94" s="16"/>
      <c r="M94" s="17" t="str">
        <f t="shared" si="3"/>
        <v>À compléter</v>
      </c>
    </row>
    <row r="95" ht="15.75" customHeight="1">
      <c r="A95" s="15"/>
      <c r="B95" s="16"/>
      <c r="C95" s="16"/>
      <c r="D95" s="17" t="str">
        <f>IF(B95="","",IFERROR(VLOOKUP(B95,Articles!$A$5:$K$204,2,FALSE),"Référence inconnue"))</f>
        <v/>
      </c>
      <c r="E95" s="16"/>
      <c r="F95" s="16"/>
      <c r="G95" s="16"/>
      <c r="H95" s="17" t="str">
        <f t="shared" si="1"/>
        <v>0</v>
      </c>
      <c r="I95" s="17" t="str">
        <f t="shared" si="2"/>
        <v/>
      </c>
      <c r="J95" s="18" t="str">
        <f>IF(B95="","",IFERROR(G95*VLOOKUP(B95,Articles!$A$5:$K$204,8,FALSE),0))</f>
        <v/>
      </c>
      <c r="K95" s="16"/>
      <c r="L95" s="16"/>
      <c r="M95" s="17" t="str">
        <f t="shared" si="3"/>
        <v>À compléter</v>
      </c>
    </row>
    <row r="96" ht="15.75" customHeight="1">
      <c r="A96" s="15"/>
      <c r="B96" s="16"/>
      <c r="C96" s="16"/>
      <c r="D96" s="17" t="str">
        <f>IF(B96="","",IFERROR(VLOOKUP(B96,Articles!$A$5:$K$204,2,FALSE),"Référence inconnue"))</f>
        <v/>
      </c>
      <c r="E96" s="16"/>
      <c r="F96" s="16"/>
      <c r="G96" s="16"/>
      <c r="H96" s="17" t="str">
        <f t="shared" si="1"/>
        <v>0</v>
      </c>
      <c r="I96" s="17" t="str">
        <f t="shared" si="2"/>
        <v/>
      </c>
      <c r="J96" s="18" t="str">
        <f>IF(B96="","",IFERROR(G96*VLOOKUP(B96,Articles!$A$5:$K$204,8,FALSE),0))</f>
        <v/>
      </c>
      <c r="K96" s="16"/>
      <c r="L96" s="16"/>
      <c r="M96" s="17" t="str">
        <f t="shared" si="3"/>
        <v>À compléter</v>
      </c>
    </row>
    <row r="97" ht="15.75" customHeight="1">
      <c r="A97" s="15"/>
      <c r="B97" s="16"/>
      <c r="C97" s="16"/>
      <c r="D97" s="17" t="str">
        <f>IF(B97="","",IFERROR(VLOOKUP(B97,Articles!$A$5:$K$204,2,FALSE),"Référence inconnue"))</f>
        <v/>
      </c>
      <c r="E97" s="16"/>
      <c r="F97" s="16"/>
      <c r="G97" s="16"/>
      <c r="H97" s="17" t="str">
        <f t="shared" si="1"/>
        <v>0</v>
      </c>
      <c r="I97" s="17" t="str">
        <f t="shared" si="2"/>
        <v/>
      </c>
      <c r="J97" s="18" t="str">
        <f>IF(B97="","",IFERROR(G97*VLOOKUP(B97,Articles!$A$5:$K$204,8,FALSE),0))</f>
        <v/>
      </c>
      <c r="K97" s="16"/>
      <c r="L97" s="16"/>
      <c r="M97" s="17" t="str">
        <f t="shared" si="3"/>
        <v>À compléter</v>
      </c>
    </row>
    <row r="98" ht="15.75" customHeight="1">
      <c r="A98" s="15"/>
      <c r="B98" s="16"/>
      <c r="C98" s="16"/>
      <c r="D98" s="17" t="str">
        <f>IF(B98="","",IFERROR(VLOOKUP(B98,Articles!$A$5:$K$204,2,FALSE),"Référence inconnue"))</f>
        <v/>
      </c>
      <c r="E98" s="16"/>
      <c r="F98" s="16"/>
      <c r="G98" s="16"/>
      <c r="H98" s="17" t="str">
        <f t="shared" si="1"/>
        <v>0</v>
      </c>
      <c r="I98" s="17" t="str">
        <f t="shared" si="2"/>
        <v/>
      </c>
      <c r="J98" s="18" t="str">
        <f>IF(B98="","",IFERROR(G98*VLOOKUP(B98,Articles!$A$5:$K$204,8,FALSE),0))</f>
        <v/>
      </c>
      <c r="K98" s="16"/>
      <c r="L98" s="16"/>
      <c r="M98" s="17" t="str">
        <f t="shared" si="3"/>
        <v>À compléter</v>
      </c>
    </row>
    <row r="99" ht="15.75" customHeight="1">
      <c r="A99" s="15"/>
      <c r="B99" s="16"/>
      <c r="C99" s="16"/>
      <c r="D99" s="17" t="str">
        <f>IF(B99="","",IFERROR(VLOOKUP(B99,Articles!$A$5:$K$204,2,FALSE),"Référence inconnue"))</f>
        <v/>
      </c>
      <c r="E99" s="16"/>
      <c r="F99" s="16"/>
      <c r="G99" s="16"/>
      <c r="H99" s="17" t="str">
        <f t="shared" si="1"/>
        <v>0</v>
      </c>
      <c r="I99" s="17" t="str">
        <f t="shared" si="2"/>
        <v/>
      </c>
      <c r="J99" s="18" t="str">
        <f>IF(B99="","",IFERROR(G99*VLOOKUP(B99,Articles!$A$5:$K$204,8,FALSE),0))</f>
        <v/>
      </c>
      <c r="K99" s="16"/>
      <c r="L99" s="16"/>
      <c r="M99" s="17" t="str">
        <f t="shared" si="3"/>
        <v>À compléter</v>
      </c>
    </row>
    <row r="100" ht="15.75" customHeight="1">
      <c r="A100" s="15"/>
      <c r="B100" s="16"/>
      <c r="C100" s="16"/>
      <c r="D100" s="17" t="str">
        <f>IF(B100="","",IFERROR(VLOOKUP(B100,Articles!$A$5:$K$204,2,FALSE),"Référence inconnue"))</f>
        <v/>
      </c>
      <c r="E100" s="16"/>
      <c r="F100" s="16"/>
      <c r="G100" s="16"/>
      <c r="H100" s="17" t="str">
        <f t="shared" si="1"/>
        <v>0</v>
      </c>
      <c r="I100" s="17" t="str">
        <f t="shared" si="2"/>
        <v/>
      </c>
      <c r="J100" s="18" t="str">
        <f>IF(B100="","",IFERROR(G100*VLOOKUP(B100,Articles!$A$5:$K$204,8,FALSE),0))</f>
        <v/>
      </c>
      <c r="K100" s="16"/>
      <c r="L100" s="16"/>
      <c r="M100" s="17" t="str">
        <f t="shared" si="3"/>
        <v>À compléter</v>
      </c>
    </row>
    <row r="101" ht="15.75" customHeight="1">
      <c r="A101" s="15"/>
      <c r="B101" s="16"/>
      <c r="C101" s="16"/>
      <c r="D101" s="17" t="str">
        <f>IF(B101="","",IFERROR(VLOOKUP(B101,Articles!$A$5:$K$204,2,FALSE),"Référence inconnue"))</f>
        <v/>
      </c>
      <c r="E101" s="16"/>
      <c r="F101" s="16"/>
      <c r="G101" s="16"/>
      <c r="H101" s="17" t="str">
        <f t="shared" si="1"/>
        <v>0</v>
      </c>
      <c r="I101" s="17" t="str">
        <f t="shared" si="2"/>
        <v/>
      </c>
      <c r="J101" s="18" t="str">
        <f>IF(B101="","",IFERROR(G101*VLOOKUP(B101,Articles!$A$5:$K$204,8,FALSE),0))</f>
        <v/>
      </c>
      <c r="K101" s="16"/>
      <c r="L101" s="16"/>
      <c r="M101" s="17" t="str">
        <f t="shared" si="3"/>
        <v>À compléter</v>
      </c>
    </row>
    <row r="102" ht="15.75" customHeight="1">
      <c r="A102" s="15"/>
      <c r="B102" s="16"/>
      <c r="C102" s="16"/>
      <c r="D102" s="17" t="str">
        <f>IF(B102="","",IFERROR(VLOOKUP(B102,Articles!$A$5:$K$204,2,FALSE),"Référence inconnue"))</f>
        <v/>
      </c>
      <c r="E102" s="16"/>
      <c r="F102" s="16"/>
      <c r="G102" s="16"/>
      <c r="H102" s="17" t="str">
        <f t="shared" si="1"/>
        <v>0</v>
      </c>
      <c r="I102" s="17" t="str">
        <f t="shared" si="2"/>
        <v/>
      </c>
      <c r="J102" s="18" t="str">
        <f>IF(B102="","",IFERROR(G102*VLOOKUP(B102,Articles!$A$5:$K$204,8,FALSE),0))</f>
        <v/>
      </c>
      <c r="K102" s="16"/>
      <c r="L102" s="16"/>
      <c r="M102" s="17" t="str">
        <f t="shared" si="3"/>
        <v>À compléter</v>
      </c>
    </row>
    <row r="103" ht="15.75" customHeight="1">
      <c r="A103" s="15"/>
      <c r="B103" s="16"/>
      <c r="C103" s="16"/>
      <c r="D103" s="17" t="str">
        <f>IF(B103="","",IFERROR(VLOOKUP(B103,Articles!$A$5:$K$204,2,FALSE),"Référence inconnue"))</f>
        <v/>
      </c>
      <c r="E103" s="16"/>
      <c r="F103" s="16"/>
      <c r="G103" s="16"/>
      <c r="H103" s="17" t="str">
        <f t="shared" si="1"/>
        <v>0</v>
      </c>
      <c r="I103" s="17" t="str">
        <f t="shared" si="2"/>
        <v/>
      </c>
      <c r="J103" s="18" t="str">
        <f>IF(B103="","",IFERROR(G103*VLOOKUP(B103,Articles!$A$5:$K$204,8,FALSE),0))</f>
        <v/>
      </c>
      <c r="K103" s="16"/>
      <c r="L103" s="16"/>
      <c r="M103" s="17" t="str">
        <f t="shared" si="3"/>
        <v>À compléter</v>
      </c>
    </row>
    <row r="104" ht="15.75" customHeight="1">
      <c r="A104" s="15"/>
      <c r="B104" s="16"/>
      <c r="C104" s="16"/>
      <c r="D104" s="17" t="str">
        <f>IF(B104="","",IFERROR(VLOOKUP(B104,Articles!$A$5:$K$204,2,FALSE),"Référence inconnue"))</f>
        <v/>
      </c>
      <c r="E104" s="16"/>
      <c r="F104" s="16"/>
      <c r="G104" s="16"/>
      <c r="H104" s="17" t="str">
        <f t="shared" si="1"/>
        <v>0</v>
      </c>
      <c r="I104" s="17" t="str">
        <f t="shared" si="2"/>
        <v/>
      </c>
      <c r="J104" s="18" t="str">
        <f>IF(B104="","",IFERROR(G104*VLOOKUP(B104,Articles!$A$5:$K$204,8,FALSE),0))</f>
        <v/>
      </c>
      <c r="K104" s="16"/>
      <c r="L104" s="16"/>
      <c r="M104" s="17" t="str">
        <f t="shared" si="3"/>
        <v>À compléter</v>
      </c>
    </row>
    <row r="105" ht="15.75" customHeight="1">
      <c r="A105" s="15"/>
      <c r="B105" s="16"/>
      <c r="C105" s="16"/>
      <c r="D105" s="17" t="str">
        <f>IF(B105="","",IFERROR(VLOOKUP(B105,Articles!$A$5:$K$204,2,FALSE),"Référence inconnue"))</f>
        <v/>
      </c>
      <c r="E105" s="16"/>
      <c r="F105" s="16"/>
      <c r="G105" s="16"/>
      <c r="H105" s="17" t="str">
        <f t="shared" si="1"/>
        <v>0</v>
      </c>
      <c r="I105" s="17" t="str">
        <f t="shared" si="2"/>
        <v/>
      </c>
      <c r="J105" s="18" t="str">
        <f>IF(B105="","",IFERROR(G105*VLOOKUP(B105,Articles!$A$5:$K$204,8,FALSE),0))</f>
        <v/>
      </c>
      <c r="K105" s="16"/>
      <c r="L105" s="16"/>
      <c r="M105" s="17" t="str">
        <f t="shared" si="3"/>
        <v>À compléter</v>
      </c>
    </row>
    <row r="106" ht="15.75" customHeight="1">
      <c r="A106" s="15"/>
      <c r="B106" s="16"/>
      <c r="C106" s="16"/>
      <c r="D106" s="17" t="str">
        <f>IF(B106="","",IFERROR(VLOOKUP(B106,Articles!$A$5:$K$204,2,FALSE),"Référence inconnue"))</f>
        <v/>
      </c>
      <c r="E106" s="16"/>
      <c r="F106" s="16"/>
      <c r="G106" s="16"/>
      <c r="H106" s="17" t="str">
        <f t="shared" si="1"/>
        <v>0</v>
      </c>
      <c r="I106" s="17" t="str">
        <f t="shared" si="2"/>
        <v/>
      </c>
      <c r="J106" s="18" t="str">
        <f>IF(B106="","",IFERROR(G106*VLOOKUP(B106,Articles!$A$5:$K$204,8,FALSE),0))</f>
        <v/>
      </c>
      <c r="K106" s="16"/>
      <c r="L106" s="16"/>
      <c r="M106" s="17" t="str">
        <f t="shared" si="3"/>
        <v>À compléter</v>
      </c>
    </row>
    <row r="107" ht="15.75" customHeight="1">
      <c r="A107" s="15"/>
      <c r="B107" s="16"/>
      <c r="C107" s="16"/>
      <c r="D107" s="17" t="str">
        <f>IF(B107="","",IFERROR(VLOOKUP(B107,Articles!$A$5:$K$204,2,FALSE),"Référence inconnue"))</f>
        <v/>
      </c>
      <c r="E107" s="16"/>
      <c r="F107" s="16"/>
      <c r="G107" s="16"/>
      <c r="H107" s="17" t="str">
        <f t="shared" si="1"/>
        <v>0</v>
      </c>
      <c r="I107" s="17" t="str">
        <f t="shared" si="2"/>
        <v/>
      </c>
      <c r="J107" s="18" t="str">
        <f>IF(B107="","",IFERROR(G107*VLOOKUP(B107,Articles!$A$5:$K$204,8,FALSE),0))</f>
        <v/>
      </c>
      <c r="K107" s="16"/>
      <c r="L107" s="16"/>
      <c r="M107" s="17" t="str">
        <f t="shared" si="3"/>
        <v>À compléter</v>
      </c>
    </row>
    <row r="108" ht="15.75" customHeight="1">
      <c r="A108" s="15"/>
      <c r="B108" s="16"/>
      <c r="C108" s="16"/>
      <c r="D108" s="17" t="str">
        <f>IF(B108="","",IFERROR(VLOOKUP(B108,Articles!$A$5:$K$204,2,FALSE),"Référence inconnue"))</f>
        <v/>
      </c>
      <c r="E108" s="16"/>
      <c r="F108" s="16"/>
      <c r="G108" s="16"/>
      <c r="H108" s="17" t="str">
        <f t="shared" si="1"/>
        <v>0</v>
      </c>
      <c r="I108" s="17" t="str">
        <f t="shared" si="2"/>
        <v/>
      </c>
      <c r="J108" s="18" t="str">
        <f>IF(B108="","",IFERROR(G108*VLOOKUP(B108,Articles!$A$5:$K$204,8,FALSE),0))</f>
        <v/>
      </c>
      <c r="K108" s="16"/>
      <c r="L108" s="16"/>
      <c r="M108" s="17" t="str">
        <f t="shared" si="3"/>
        <v>À compléter</v>
      </c>
    </row>
    <row r="109" ht="15.75" customHeight="1">
      <c r="A109" s="15"/>
      <c r="B109" s="16"/>
      <c r="C109" s="16"/>
      <c r="D109" s="17" t="str">
        <f>IF(B109="","",IFERROR(VLOOKUP(B109,Articles!$A$5:$K$204,2,FALSE),"Référence inconnue"))</f>
        <v/>
      </c>
      <c r="E109" s="16"/>
      <c r="F109" s="16"/>
      <c r="G109" s="16"/>
      <c r="H109" s="17" t="str">
        <f t="shared" si="1"/>
        <v>0</v>
      </c>
      <c r="I109" s="17" t="str">
        <f t="shared" si="2"/>
        <v/>
      </c>
      <c r="J109" s="18" t="str">
        <f>IF(B109="","",IFERROR(G109*VLOOKUP(B109,Articles!$A$5:$K$204,8,FALSE),0))</f>
        <v/>
      </c>
      <c r="K109" s="16"/>
      <c r="L109" s="16"/>
      <c r="M109" s="17" t="str">
        <f t="shared" si="3"/>
        <v>À compléter</v>
      </c>
    </row>
    <row r="110" ht="15.75" customHeight="1">
      <c r="A110" s="15"/>
      <c r="B110" s="16"/>
      <c r="C110" s="16"/>
      <c r="D110" s="17" t="str">
        <f>IF(B110="","",IFERROR(VLOOKUP(B110,Articles!$A$5:$K$204,2,FALSE),"Référence inconnue"))</f>
        <v/>
      </c>
      <c r="E110" s="16"/>
      <c r="F110" s="16"/>
      <c r="G110" s="16"/>
      <c r="H110" s="17" t="str">
        <f t="shared" si="1"/>
        <v>0</v>
      </c>
      <c r="I110" s="17" t="str">
        <f t="shared" si="2"/>
        <v/>
      </c>
      <c r="J110" s="18" t="str">
        <f>IF(B110="","",IFERROR(G110*VLOOKUP(B110,Articles!$A$5:$K$204,8,FALSE),0))</f>
        <v/>
      </c>
      <c r="K110" s="16"/>
      <c r="L110" s="16"/>
      <c r="M110" s="17" t="str">
        <f t="shared" si="3"/>
        <v>À compléter</v>
      </c>
    </row>
    <row r="111" ht="15.75" customHeight="1">
      <c r="A111" s="15"/>
      <c r="B111" s="16"/>
      <c r="C111" s="16"/>
      <c r="D111" s="17" t="str">
        <f>IF(B111="","",IFERROR(VLOOKUP(B111,Articles!$A$5:$K$204,2,FALSE),"Référence inconnue"))</f>
        <v/>
      </c>
      <c r="E111" s="16"/>
      <c r="F111" s="16"/>
      <c r="G111" s="16"/>
      <c r="H111" s="17" t="str">
        <f t="shared" si="1"/>
        <v>0</v>
      </c>
      <c r="I111" s="17" t="str">
        <f t="shared" si="2"/>
        <v/>
      </c>
      <c r="J111" s="18" t="str">
        <f>IF(B111="","",IFERROR(G111*VLOOKUP(B111,Articles!$A$5:$K$204,8,FALSE),0))</f>
        <v/>
      </c>
      <c r="K111" s="16"/>
      <c r="L111" s="16"/>
      <c r="M111" s="17" t="str">
        <f t="shared" si="3"/>
        <v>À compléter</v>
      </c>
    </row>
    <row r="112" ht="15.75" customHeight="1">
      <c r="A112" s="15"/>
      <c r="B112" s="16"/>
      <c r="C112" s="16"/>
      <c r="D112" s="17" t="str">
        <f>IF(B112="","",IFERROR(VLOOKUP(B112,Articles!$A$5:$K$204,2,FALSE),"Référence inconnue"))</f>
        <v/>
      </c>
      <c r="E112" s="16"/>
      <c r="F112" s="16"/>
      <c r="G112" s="16"/>
      <c r="H112" s="17" t="str">
        <f t="shared" si="1"/>
        <v>0</v>
      </c>
      <c r="I112" s="17" t="str">
        <f t="shared" si="2"/>
        <v/>
      </c>
      <c r="J112" s="18" t="str">
        <f>IF(B112="","",IFERROR(G112*VLOOKUP(B112,Articles!$A$5:$K$204,8,FALSE),0))</f>
        <v/>
      </c>
      <c r="K112" s="16"/>
      <c r="L112" s="16"/>
      <c r="M112" s="17" t="str">
        <f t="shared" si="3"/>
        <v>À compléter</v>
      </c>
    </row>
    <row r="113" ht="15.75" customHeight="1">
      <c r="A113" s="15"/>
      <c r="B113" s="16"/>
      <c r="C113" s="16"/>
      <c r="D113" s="17" t="str">
        <f>IF(B113="","",IFERROR(VLOOKUP(B113,Articles!$A$5:$K$204,2,FALSE),"Référence inconnue"))</f>
        <v/>
      </c>
      <c r="E113" s="16"/>
      <c r="F113" s="16"/>
      <c r="G113" s="16"/>
      <c r="H113" s="17" t="str">
        <f t="shared" si="1"/>
        <v>0</v>
      </c>
      <c r="I113" s="17" t="str">
        <f t="shared" si="2"/>
        <v/>
      </c>
      <c r="J113" s="18" t="str">
        <f>IF(B113="","",IFERROR(G113*VLOOKUP(B113,Articles!$A$5:$K$204,8,FALSE),0))</f>
        <v/>
      </c>
      <c r="K113" s="16"/>
      <c r="L113" s="16"/>
      <c r="M113" s="17" t="str">
        <f t="shared" si="3"/>
        <v>À compléter</v>
      </c>
    </row>
    <row r="114" ht="15.75" customHeight="1">
      <c r="A114" s="15"/>
      <c r="B114" s="16"/>
      <c r="C114" s="16"/>
      <c r="D114" s="17" t="str">
        <f>IF(B114="","",IFERROR(VLOOKUP(B114,Articles!$A$5:$K$204,2,FALSE),"Référence inconnue"))</f>
        <v/>
      </c>
      <c r="E114" s="16"/>
      <c r="F114" s="16"/>
      <c r="G114" s="16"/>
      <c r="H114" s="17" t="str">
        <f t="shared" si="1"/>
        <v>0</v>
      </c>
      <c r="I114" s="17" t="str">
        <f t="shared" si="2"/>
        <v/>
      </c>
      <c r="J114" s="18" t="str">
        <f>IF(B114="","",IFERROR(G114*VLOOKUP(B114,Articles!$A$5:$K$204,8,FALSE),0))</f>
        <v/>
      </c>
      <c r="K114" s="16"/>
      <c r="L114" s="16"/>
      <c r="M114" s="17" t="str">
        <f t="shared" si="3"/>
        <v>À compléter</v>
      </c>
    </row>
    <row r="115" ht="15.75" customHeight="1">
      <c r="A115" s="15"/>
      <c r="B115" s="16"/>
      <c r="C115" s="16"/>
      <c r="D115" s="17" t="str">
        <f>IF(B115="","",IFERROR(VLOOKUP(B115,Articles!$A$5:$K$204,2,FALSE),"Référence inconnue"))</f>
        <v/>
      </c>
      <c r="E115" s="16"/>
      <c r="F115" s="16"/>
      <c r="G115" s="16"/>
      <c r="H115" s="17" t="str">
        <f t="shared" si="1"/>
        <v>0</v>
      </c>
      <c r="I115" s="17" t="str">
        <f t="shared" si="2"/>
        <v/>
      </c>
      <c r="J115" s="18" t="str">
        <f>IF(B115="","",IFERROR(G115*VLOOKUP(B115,Articles!$A$5:$K$204,8,FALSE),0))</f>
        <v/>
      </c>
      <c r="K115" s="16"/>
      <c r="L115" s="16"/>
      <c r="M115" s="17" t="str">
        <f t="shared" si="3"/>
        <v>À compléter</v>
      </c>
    </row>
    <row r="116" ht="15.75" customHeight="1">
      <c r="A116" s="15"/>
      <c r="B116" s="16"/>
      <c r="C116" s="16"/>
      <c r="D116" s="17" t="str">
        <f>IF(B116="","",IFERROR(VLOOKUP(B116,Articles!$A$5:$K$204,2,FALSE),"Référence inconnue"))</f>
        <v/>
      </c>
      <c r="E116" s="16"/>
      <c r="F116" s="16"/>
      <c r="G116" s="16"/>
      <c r="H116" s="17" t="str">
        <f t="shared" si="1"/>
        <v>0</v>
      </c>
      <c r="I116" s="17" t="str">
        <f t="shared" si="2"/>
        <v/>
      </c>
      <c r="J116" s="18" t="str">
        <f>IF(B116="","",IFERROR(G116*VLOOKUP(B116,Articles!$A$5:$K$204,8,FALSE),0))</f>
        <v/>
      </c>
      <c r="K116" s="16"/>
      <c r="L116" s="16"/>
      <c r="M116" s="17" t="str">
        <f t="shared" si="3"/>
        <v>À compléter</v>
      </c>
    </row>
    <row r="117" ht="15.75" customHeight="1">
      <c r="A117" s="15"/>
      <c r="B117" s="16"/>
      <c r="C117" s="16"/>
      <c r="D117" s="17" t="str">
        <f>IF(B117="","",IFERROR(VLOOKUP(B117,Articles!$A$5:$K$204,2,FALSE),"Référence inconnue"))</f>
        <v/>
      </c>
      <c r="E117" s="16"/>
      <c r="F117" s="16"/>
      <c r="G117" s="16"/>
      <c r="H117" s="17" t="str">
        <f t="shared" si="1"/>
        <v>0</v>
      </c>
      <c r="I117" s="17" t="str">
        <f t="shared" si="2"/>
        <v/>
      </c>
      <c r="J117" s="18" t="str">
        <f>IF(B117="","",IFERROR(G117*VLOOKUP(B117,Articles!$A$5:$K$204,8,FALSE),0))</f>
        <v/>
      </c>
      <c r="K117" s="16"/>
      <c r="L117" s="16"/>
      <c r="M117" s="17" t="str">
        <f t="shared" si="3"/>
        <v>À compléter</v>
      </c>
    </row>
    <row r="118" ht="15.75" customHeight="1">
      <c r="A118" s="15"/>
      <c r="B118" s="16"/>
      <c r="C118" s="16"/>
      <c r="D118" s="17" t="str">
        <f>IF(B118="","",IFERROR(VLOOKUP(B118,Articles!$A$5:$K$204,2,FALSE),"Référence inconnue"))</f>
        <v/>
      </c>
      <c r="E118" s="16"/>
      <c r="F118" s="16"/>
      <c r="G118" s="16"/>
      <c r="H118" s="17" t="str">
        <f t="shared" si="1"/>
        <v>0</v>
      </c>
      <c r="I118" s="17" t="str">
        <f t="shared" si="2"/>
        <v/>
      </c>
      <c r="J118" s="18" t="str">
        <f>IF(B118="","",IFERROR(G118*VLOOKUP(B118,Articles!$A$5:$K$204,8,FALSE),0))</f>
        <v/>
      </c>
      <c r="K118" s="16"/>
      <c r="L118" s="16"/>
      <c r="M118" s="17" t="str">
        <f t="shared" si="3"/>
        <v>À compléter</v>
      </c>
    </row>
    <row r="119" ht="15.75" customHeight="1">
      <c r="A119" s="15"/>
      <c r="B119" s="16"/>
      <c r="C119" s="16"/>
      <c r="D119" s="17" t="str">
        <f>IF(B119="","",IFERROR(VLOOKUP(B119,Articles!$A$5:$K$204,2,FALSE),"Référence inconnue"))</f>
        <v/>
      </c>
      <c r="E119" s="16"/>
      <c r="F119" s="16"/>
      <c r="G119" s="16"/>
      <c r="H119" s="17" t="str">
        <f t="shared" si="1"/>
        <v>0</v>
      </c>
      <c r="I119" s="17" t="str">
        <f t="shared" si="2"/>
        <v/>
      </c>
      <c r="J119" s="18" t="str">
        <f>IF(B119="","",IFERROR(G119*VLOOKUP(B119,Articles!$A$5:$K$204,8,FALSE),0))</f>
        <v/>
      </c>
      <c r="K119" s="16"/>
      <c r="L119" s="16"/>
      <c r="M119" s="17" t="str">
        <f t="shared" si="3"/>
        <v>À compléter</v>
      </c>
    </row>
    <row r="120" ht="15.75" customHeight="1">
      <c r="A120" s="15"/>
      <c r="B120" s="16"/>
      <c r="C120" s="16"/>
      <c r="D120" s="17" t="str">
        <f>IF(B120="","",IFERROR(VLOOKUP(B120,Articles!$A$5:$K$204,2,FALSE),"Référence inconnue"))</f>
        <v/>
      </c>
      <c r="E120" s="16"/>
      <c r="F120" s="16"/>
      <c r="G120" s="16"/>
      <c r="H120" s="17" t="str">
        <f t="shared" si="1"/>
        <v>0</v>
      </c>
      <c r="I120" s="17" t="str">
        <f t="shared" si="2"/>
        <v/>
      </c>
      <c r="J120" s="18" t="str">
        <f>IF(B120="","",IFERROR(G120*VLOOKUP(B120,Articles!$A$5:$K$204,8,FALSE),0))</f>
        <v/>
      </c>
      <c r="K120" s="16"/>
      <c r="L120" s="16"/>
      <c r="M120" s="17" t="str">
        <f t="shared" si="3"/>
        <v>À compléter</v>
      </c>
    </row>
    <row r="121" ht="15.75" customHeight="1">
      <c r="A121" s="15"/>
      <c r="B121" s="16"/>
      <c r="C121" s="16"/>
      <c r="D121" s="17" t="str">
        <f>IF(B121="","",IFERROR(VLOOKUP(B121,Articles!$A$5:$K$204,2,FALSE),"Référence inconnue"))</f>
        <v/>
      </c>
      <c r="E121" s="16"/>
      <c r="F121" s="16"/>
      <c r="G121" s="16"/>
      <c r="H121" s="17" t="str">
        <f t="shared" si="1"/>
        <v>0</v>
      </c>
      <c r="I121" s="17" t="str">
        <f t="shared" si="2"/>
        <v/>
      </c>
      <c r="J121" s="18" t="str">
        <f>IF(B121="","",IFERROR(G121*VLOOKUP(B121,Articles!$A$5:$K$204,8,FALSE),0))</f>
        <v/>
      </c>
      <c r="K121" s="16"/>
      <c r="L121" s="16"/>
      <c r="M121" s="17" t="str">
        <f t="shared" si="3"/>
        <v>À compléter</v>
      </c>
    </row>
    <row r="122" ht="15.75" customHeight="1">
      <c r="A122" s="15"/>
      <c r="B122" s="16"/>
      <c r="C122" s="16"/>
      <c r="D122" s="17" t="str">
        <f>IF(B122="","",IFERROR(VLOOKUP(B122,Articles!$A$5:$K$204,2,FALSE),"Référence inconnue"))</f>
        <v/>
      </c>
      <c r="E122" s="16"/>
      <c r="F122" s="16"/>
      <c r="G122" s="16"/>
      <c r="H122" s="17" t="str">
        <f t="shared" si="1"/>
        <v>0</v>
      </c>
      <c r="I122" s="17" t="str">
        <f t="shared" si="2"/>
        <v/>
      </c>
      <c r="J122" s="18" t="str">
        <f>IF(B122="","",IFERROR(G122*VLOOKUP(B122,Articles!$A$5:$K$204,8,FALSE),0))</f>
        <v/>
      </c>
      <c r="K122" s="16"/>
      <c r="L122" s="16"/>
      <c r="M122" s="17" t="str">
        <f t="shared" si="3"/>
        <v>À compléter</v>
      </c>
    </row>
    <row r="123" ht="15.75" customHeight="1">
      <c r="A123" s="15"/>
      <c r="B123" s="16"/>
      <c r="C123" s="16"/>
      <c r="D123" s="17" t="str">
        <f>IF(B123="","",IFERROR(VLOOKUP(B123,Articles!$A$5:$K$204,2,FALSE),"Référence inconnue"))</f>
        <v/>
      </c>
      <c r="E123" s="16"/>
      <c r="F123" s="16"/>
      <c r="G123" s="16"/>
      <c r="H123" s="17" t="str">
        <f t="shared" si="1"/>
        <v>0</v>
      </c>
      <c r="I123" s="17" t="str">
        <f t="shared" si="2"/>
        <v/>
      </c>
      <c r="J123" s="18" t="str">
        <f>IF(B123="","",IFERROR(G123*VLOOKUP(B123,Articles!$A$5:$K$204,8,FALSE),0))</f>
        <v/>
      </c>
      <c r="K123" s="16"/>
      <c r="L123" s="16"/>
      <c r="M123" s="17" t="str">
        <f t="shared" si="3"/>
        <v>À compléter</v>
      </c>
    </row>
    <row r="124" ht="15.75" customHeight="1">
      <c r="A124" s="15"/>
      <c r="B124" s="16"/>
      <c r="C124" s="16"/>
      <c r="D124" s="17" t="str">
        <f>IF(B124="","",IFERROR(VLOOKUP(B124,Articles!$A$5:$K$204,2,FALSE),"Référence inconnue"))</f>
        <v/>
      </c>
      <c r="E124" s="16"/>
      <c r="F124" s="16"/>
      <c r="G124" s="16"/>
      <c r="H124" s="17" t="str">
        <f t="shared" si="1"/>
        <v>0</v>
      </c>
      <c r="I124" s="17" t="str">
        <f t="shared" si="2"/>
        <v/>
      </c>
      <c r="J124" s="18" t="str">
        <f>IF(B124="","",IFERROR(G124*VLOOKUP(B124,Articles!$A$5:$K$204,8,FALSE),0))</f>
        <v/>
      </c>
      <c r="K124" s="16"/>
      <c r="L124" s="16"/>
      <c r="M124" s="17" t="str">
        <f t="shared" si="3"/>
        <v>À compléter</v>
      </c>
    </row>
    <row r="125" ht="15.75" customHeight="1">
      <c r="A125" s="15"/>
      <c r="B125" s="16"/>
      <c r="C125" s="16"/>
      <c r="D125" s="17" t="str">
        <f>IF(B125="","",IFERROR(VLOOKUP(B125,Articles!$A$5:$K$204,2,FALSE),"Référence inconnue"))</f>
        <v/>
      </c>
      <c r="E125" s="16"/>
      <c r="F125" s="16"/>
      <c r="G125" s="16"/>
      <c r="H125" s="17" t="str">
        <f t="shared" si="1"/>
        <v>0</v>
      </c>
      <c r="I125" s="17" t="str">
        <f t="shared" si="2"/>
        <v/>
      </c>
      <c r="J125" s="18" t="str">
        <f>IF(B125="","",IFERROR(G125*VLOOKUP(B125,Articles!$A$5:$K$204,8,FALSE),0))</f>
        <v/>
      </c>
      <c r="K125" s="16"/>
      <c r="L125" s="16"/>
      <c r="M125" s="17" t="str">
        <f t="shared" si="3"/>
        <v>À compléter</v>
      </c>
    </row>
    <row r="126" ht="15.75" customHeight="1">
      <c r="A126" s="15"/>
      <c r="B126" s="16"/>
      <c r="C126" s="16"/>
      <c r="D126" s="17" t="str">
        <f>IF(B126="","",IFERROR(VLOOKUP(B126,Articles!$A$5:$K$204,2,FALSE),"Référence inconnue"))</f>
        <v/>
      </c>
      <c r="E126" s="16"/>
      <c r="F126" s="16"/>
      <c r="G126" s="16"/>
      <c r="H126" s="17" t="str">
        <f t="shared" si="1"/>
        <v>0</v>
      </c>
      <c r="I126" s="17" t="str">
        <f t="shared" si="2"/>
        <v/>
      </c>
      <c r="J126" s="18" t="str">
        <f>IF(B126="","",IFERROR(G126*VLOOKUP(B126,Articles!$A$5:$K$204,8,FALSE),0))</f>
        <v/>
      </c>
      <c r="K126" s="16"/>
      <c r="L126" s="16"/>
      <c r="M126" s="17" t="str">
        <f t="shared" si="3"/>
        <v>À compléter</v>
      </c>
    </row>
    <row r="127" ht="15.75" customHeight="1">
      <c r="A127" s="15"/>
      <c r="B127" s="16"/>
      <c r="C127" s="16"/>
      <c r="D127" s="17" t="str">
        <f>IF(B127="","",IFERROR(VLOOKUP(B127,Articles!$A$5:$K$204,2,FALSE),"Référence inconnue"))</f>
        <v/>
      </c>
      <c r="E127" s="16"/>
      <c r="F127" s="16"/>
      <c r="G127" s="16"/>
      <c r="H127" s="17" t="str">
        <f t="shared" si="1"/>
        <v>0</v>
      </c>
      <c r="I127" s="17" t="str">
        <f t="shared" si="2"/>
        <v/>
      </c>
      <c r="J127" s="18" t="str">
        <f>IF(B127="","",IFERROR(G127*VLOOKUP(B127,Articles!$A$5:$K$204,8,FALSE),0))</f>
        <v/>
      </c>
      <c r="K127" s="16"/>
      <c r="L127" s="16"/>
      <c r="M127" s="17" t="str">
        <f t="shared" si="3"/>
        <v>À compléter</v>
      </c>
    </row>
    <row r="128" ht="15.75" customHeight="1">
      <c r="A128" s="15"/>
      <c r="B128" s="16"/>
      <c r="C128" s="16"/>
      <c r="D128" s="17" t="str">
        <f>IF(B128="","",IFERROR(VLOOKUP(B128,Articles!$A$5:$K$204,2,FALSE),"Référence inconnue"))</f>
        <v/>
      </c>
      <c r="E128" s="16"/>
      <c r="F128" s="16"/>
      <c r="G128" s="16"/>
      <c r="H128" s="17" t="str">
        <f t="shared" si="1"/>
        <v>0</v>
      </c>
      <c r="I128" s="17" t="str">
        <f t="shared" si="2"/>
        <v/>
      </c>
      <c r="J128" s="18" t="str">
        <f>IF(B128="","",IFERROR(G128*VLOOKUP(B128,Articles!$A$5:$K$204,8,FALSE),0))</f>
        <v/>
      </c>
      <c r="K128" s="16"/>
      <c r="L128" s="16"/>
      <c r="M128" s="17" t="str">
        <f t="shared" si="3"/>
        <v>À compléter</v>
      </c>
    </row>
    <row r="129" ht="15.75" customHeight="1">
      <c r="A129" s="15"/>
      <c r="B129" s="16"/>
      <c r="C129" s="16"/>
      <c r="D129" s="17" t="str">
        <f>IF(B129="","",IFERROR(VLOOKUP(B129,Articles!$A$5:$K$204,2,FALSE),"Référence inconnue"))</f>
        <v/>
      </c>
      <c r="E129" s="16"/>
      <c r="F129" s="16"/>
      <c r="G129" s="16"/>
      <c r="H129" s="17" t="str">
        <f t="shared" si="1"/>
        <v>0</v>
      </c>
      <c r="I129" s="17" t="str">
        <f t="shared" si="2"/>
        <v/>
      </c>
      <c r="J129" s="18" t="str">
        <f>IF(B129="","",IFERROR(G129*VLOOKUP(B129,Articles!$A$5:$K$204,8,FALSE),0))</f>
        <v/>
      </c>
      <c r="K129" s="16"/>
      <c r="L129" s="16"/>
      <c r="M129" s="17" t="str">
        <f t="shared" si="3"/>
        <v>À compléter</v>
      </c>
    </row>
    <row r="130" ht="15.75" customHeight="1">
      <c r="A130" s="15"/>
      <c r="B130" s="16"/>
      <c r="C130" s="16"/>
      <c r="D130" s="17" t="str">
        <f>IF(B130="","",IFERROR(VLOOKUP(B130,Articles!$A$5:$K$204,2,FALSE),"Référence inconnue"))</f>
        <v/>
      </c>
      <c r="E130" s="16"/>
      <c r="F130" s="16"/>
      <c r="G130" s="16"/>
      <c r="H130" s="17" t="str">
        <f t="shared" si="1"/>
        <v>0</v>
      </c>
      <c r="I130" s="17" t="str">
        <f t="shared" si="2"/>
        <v/>
      </c>
      <c r="J130" s="18" t="str">
        <f>IF(B130="","",IFERROR(G130*VLOOKUP(B130,Articles!$A$5:$K$204,8,FALSE),0))</f>
        <v/>
      </c>
      <c r="K130" s="16"/>
      <c r="L130" s="16"/>
      <c r="M130" s="17" t="str">
        <f t="shared" si="3"/>
        <v>À compléter</v>
      </c>
    </row>
    <row r="131" ht="15.75" customHeight="1">
      <c r="A131" s="15"/>
      <c r="B131" s="16"/>
      <c r="C131" s="16"/>
      <c r="D131" s="17" t="str">
        <f>IF(B131="","",IFERROR(VLOOKUP(B131,Articles!$A$5:$K$204,2,FALSE),"Référence inconnue"))</f>
        <v/>
      </c>
      <c r="E131" s="16"/>
      <c r="F131" s="16"/>
      <c r="G131" s="16"/>
      <c r="H131" s="17" t="str">
        <f t="shared" si="1"/>
        <v>0</v>
      </c>
      <c r="I131" s="17" t="str">
        <f t="shared" si="2"/>
        <v/>
      </c>
      <c r="J131" s="18" t="str">
        <f>IF(B131="","",IFERROR(G131*VLOOKUP(B131,Articles!$A$5:$K$204,8,FALSE),0))</f>
        <v/>
      </c>
      <c r="K131" s="16"/>
      <c r="L131" s="16"/>
      <c r="M131" s="17" t="str">
        <f t="shared" si="3"/>
        <v>À compléter</v>
      </c>
    </row>
    <row r="132" ht="15.75" customHeight="1">
      <c r="A132" s="15"/>
      <c r="B132" s="16"/>
      <c r="C132" s="16"/>
      <c r="D132" s="17" t="str">
        <f>IF(B132="","",IFERROR(VLOOKUP(B132,Articles!$A$5:$K$204,2,FALSE),"Référence inconnue"))</f>
        <v/>
      </c>
      <c r="E132" s="16"/>
      <c r="F132" s="16"/>
      <c r="G132" s="16"/>
      <c r="H132" s="17" t="str">
        <f t="shared" si="1"/>
        <v>0</v>
      </c>
      <c r="I132" s="17" t="str">
        <f t="shared" si="2"/>
        <v/>
      </c>
      <c r="J132" s="18" t="str">
        <f>IF(B132="","",IFERROR(G132*VLOOKUP(B132,Articles!$A$5:$K$204,8,FALSE),0))</f>
        <v/>
      </c>
      <c r="K132" s="16"/>
      <c r="L132" s="16"/>
      <c r="M132" s="17" t="str">
        <f t="shared" si="3"/>
        <v>À compléter</v>
      </c>
    </row>
    <row r="133" ht="15.75" customHeight="1">
      <c r="A133" s="15"/>
      <c r="B133" s="16"/>
      <c r="C133" s="16"/>
      <c r="D133" s="17" t="str">
        <f>IF(B133="","",IFERROR(VLOOKUP(B133,Articles!$A$5:$K$204,2,FALSE),"Référence inconnue"))</f>
        <v/>
      </c>
      <c r="E133" s="16"/>
      <c r="F133" s="16"/>
      <c r="G133" s="16"/>
      <c r="H133" s="17" t="str">
        <f t="shared" si="1"/>
        <v>0</v>
      </c>
      <c r="I133" s="17" t="str">
        <f t="shared" si="2"/>
        <v/>
      </c>
      <c r="J133" s="18" t="str">
        <f>IF(B133="","",IFERROR(G133*VLOOKUP(B133,Articles!$A$5:$K$204,8,FALSE),0))</f>
        <v/>
      </c>
      <c r="K133" s="16"/>
      <c r="L133" s="16"/>
      <c r="M133" s="17" t="str">
        <f t="shared" si="3"/>
        <v>À compléter</v>
      </c>
    </row>
    <row r="134" ht="15.75" customHeight="1">
      <c r="A134" s="15"/>
      <c r="B134" s="16"/>
      <c r="C134" s="16"/>
      <c r="D134" s="17" t="str">
        <f>IF(B134="","",IFERROR(VLOOKUP(B134,Articles!$A$5:$K$204,2,FALSE),"Référence inconnue"))</f>
        <v/>
      </c>
      <c r="E134" s="16"/>
      <c r="F134" s="16"/>
      <c r="G134" s="16"/>
      <c r="H134" s="17" t="str">
        <f t="shared" si="1"/>
        <v>0</v>
      </c>
      <c r="I134" s="17" t="str">
        <f t="shared" si="2"/>
        <v/>
      </c>
      <c r="J134" s="18" t="str">
        <f>IF(B134="","",IFERROR(G134*VLOOKUP(B134,Articles!$A$5:$K$204,8,FALSE),0))</f>
        <v/>
      </c>
      <c r="K134" s="16"/>
      <c r="L134" s="16"/>
      <c r="M134" s="17" t="str">
        <f t="shared" si="3"/>
        <v>À compléter</v>
      </c>
    </row>
    <row r="135" ht="15.75" customHeight="1">
      <c r="A135" s="15"/>
      <c r="B135" s="16"/>
      <c r="C135" s="16"/>
      <c r="D135" s="17" t="str">
        <f>IF(B135="","",IFERROR(VLOOKUP(B135,Articles!$A$5:$K$204,2,FALSE),"Référence inconnue"))</f>
        <v/>
      </c>
      <c r="E135" s="16"/>
      <c r="F135" s="16"/>
      <c r="G135" s="16"/>
      <c r="H135" s="17" t="str">
        <f t="shared" si="1"/>
        <v>0</v>
      </c>
      <c r="I135" s="17" t="str">
        <f t="shared" si="2"/>
        <v/>
      </c>
      <c r="J135" s="18" t="str">
        <f>IF(B135="","",IFERROR(G135*VLOOKUP(B135,Articles!$A$5:$K$204,8,FALSE),0))</f>
        <v/>
      </c>
      <c r="K135" s="16"/>
      <c r="L135" s="16"/>
      <c r="M135" s="17" t="str">
        <f t="shared" si="3"/>
        <v>À compléter</v>
      </c>
    </row>
    <row r="136" ht="15.75" customHeight="1">
      <c r="A136" s="15"/>
      <c r="B136" s="16"/>
      <c r="C136" s="16"/>
      <c r="D136" s="17" t="str">
        <f>IF(B136="","",IFERROR(VLOOKUP(B136,Articles!$A$5:$K$204,2,FALSE),"Référence inconnue"))</f>
        <v/>
      </c>
      <c r="E136" s="16"/>
      <c r="F136" s="16"/>
      <c r="G136" s="16"/>
      <c r="H136" s="17" t="str">
        <f t="shared" si="1"/>
        <v>0</v>
      </c>
      <c r="I136" s="17" t="str">
        <f t="shared" si="2"/>
        <v/>
      </c>
      <c r="J136" s="18" t="str">
        <f>IF(B136="","",IFERROR(G136*VLOOKUP(B136,Articles!$A$5:$K$204,8,FALSE),0))</f>
        <v/>
      </c>
      <c r="K136" s="16"/>
      <c r="L136" s="16"/>
      <c r="M136" s="17" t="str">
        <f t="shared" si="3"/>
        <v>À compléter</v>
      </c>
    </row>
    <row r="137" ht="15.75" customHeight="1">
      <c r="A137" s="15"/>
      <c r="B137" s="16"/>
      <c r="C137" s="16"/>
      <c r="D137" s="17" t="str">
        <f>IF(B137="","",IFERROR(VLOOKUP(B137,Articles!$A$5:$K$204,2,FALSE),"Référence inconnue"))</f>
        <v/>
      </c>
      <c r="E137" s="16"/>
      <c r="F137" s="16"/>
      <c r="G137" s="16"/>
      <c r="H137" s="17" t="str">
        <f t="shared" si="1"/>
        <v>0</v>
      </c>
      <c r="I137" s="17" t="str">
        <f t="shared" si="2"/>
        <v/>
      </c>
      <c r="J137" s="18" t="str">
        <f>IF(B137="","",IFERROR(G137*VLOOKUP(B137,Articles!$A$5:$K$204,8,FALSE),0))</f>
        <v/>
      </c>
      <c r="K137" s="16"/>
      <c r="L137" s="16"/>
      <c r="M137" s="17" t="str">
        <f t="shared" si="3"/>
        <v>À compléter</v>
      </c>
    </row>
    <row r="138" ht="15.75" customHeight="1">
      <c r="A138" s="15"/>
      <c r="B138" s="16"/>
      <c r="C138" s="16"/>
      <c r="D138" s="17" t="str">
        <f>IF(B138="","",IFERROR(VLOOKUP(B138,Articles!$A$5:$K$204,2,FALSE),"Référence inconnue"))</f>
        <v/>
      </c>
      <c r="E138" s="16"/>
      <c r="F138" s="16"/>
      <c r="G138" s="16"/>
      <c r="H138" s="17" t="str">
        <f t="shared" si="1"/>
        <v>0</v>
      </c>
      <c r="I138" s="17" t="str">
        <f t="shared" si="2"/>
        <v/>
      </c>
      <c r="J138" s="18" t="str">
        <f>IF(B138="","",IFERROR(G138*VLOOKUP(B138,Articles!$A$5:$K$204,8,FALSE),0))</f>
        <v/>
      </c>
      <c r="K138" s="16"/>
      <c r="L138" s="16"/>
      <c r="M138" s="17" t="str">
        <f t="shared" si="3"/>
        <v>À compléter</v>
      </c>
    </row>
    <row r="139" ht="15.75" customHeight="1">
      <c r="A139" s="15"/>
      <c r="B139" s="16"/>
      <c r="C139" s="16"/>
      <c r="D139" s="17" t="str">
        <f>IF(B139="","",IFERROR(VLOOKUP(B139,Articles!$A$5:$K$204,2,FALSE),"Référence inconnue"))</f>
        <v/>
      </c>
      <c r="E139" s="16"/>
      <c r="F139" s="16"/>
      <c r="G139" s="16"/>
      <c r="H139" s="17" t="str">
        <f t="shared" si="1"/>
        <v>0</v>
      </c>
      <c r="I139" s="17" t="str">
        <f t="shared" si="2"/>
        <v/>
      </c>
      <c r="J139" s="18" t="str">
        <f>IF(B139="","",IFERROR(G139*VLOOKUP(B139,Articles!$A$5:$K$204,8,FALSE),0))</f>
        <v/>
      </c>
      <c r="K139" s="16"/>
      <c r="L139" s="16"/>
      <c r="M139" s="17" t="str">
        <f t="shared" si="3"/>
        <v>À compléter</v>
      </c>
    </row>
    <row r="140" ht="15.75" customHeight="1">
      <c r="A140" s="15"/>
      <c r="B140" s="16"/>
      <c r="C140" s="16"/>
      <c r="D140" s="17" t="str">
        <f>IF(B140="","",IFERROR(VLOOKUP(B140,Articles!$A$5:$K$204,2,FALSE),"Référence inconnue"))</f>
        <v/>
      </c>
      <c r="E140" s="16"/>
      <c r="F140" s="16"/>
      <c r="G140" s="16"/>
      <c r="H140" s="17" t="str">
        <f t="shared" si="1"/>
        <v>0</v>
      </c>
      <c r="I140" s="17" t="str">
        <f t="shared" si="2"/>
        <v/>
      </c>
      <c r="J140" s="18" t="str">
        <f>IF(B140="","",IFERROR(G140*VLOOKUP(B140,Articles!$A$5:$K$204,8,FALSE),0))</f>
        <v/>
      </c>
      <c r="K140" s="16"/>
      <c r="L140" s="16"/>
      <c r="M140" s="17" t="str">
        <f t="shared" si="3"/>
        <v>À compléter</v>
      </c>
    </row>
    <row r="141" ht="15.75" customHeight="1">
      <c r="A141" s="15"/>
      <c r="B141" s="16"/>
      <c r="C141" s="16"/>
      <c r="D141" s="17" t="str">
        <f>IF(B141="","",IFERROR(VLOOKUP(B141,Articles!$A$5:$K$204,2,FALSE),"Référence inconnue"))</f>
        <v/>
      </c>
      <c r="E141" s="16"/>
      <c r="F141" s="16"/>
      <c r="G141" s="16"/>
      <c r="H141" s="17" t="str">
        <f t="shared" si="1"/>
        <v>0</v>
      </c>
      <c r="I141" s="17" t="str">
        <f t="shared" si="2"/>
        <v/>
      </c>
      <c r="J141" s="18" t="str">
        <f>IF(B141="","",IFERROR(G141*VLOOKUP(B141,Articles!$A$5:$K$204,8,FALSE),0))</f>
        <v/>
      </c>
      <c r="K141" s="16"/>
      <c r="L141" s="16"/>
      <c r="M141" s="17" t="str">
        <f t="shared" si="3"/>
        <v>À compléter</v>
      </c>
    </row>
    <row r="142" ht="15.75" customHeight="1">
      <c r="A142" s="15"/>
      <c r="B142" s="16"/>
      <c r="C142" s="16"/>
      <c r="D142" s="17" t="str">
        <f>IF(B142="","",IFERROR(VLOOKUP(B142,Articles!$A$5:$K$204,2,FALSE),"Référence inconnue"))</f>
        <v/>
      </c>
      <c r="E142" s="16"/>
      <c r="F142" s="16"/>
      <c r="G142" s="16"/>
      <c r="H142" s="17" t="str">
        <f t="shared" si="1"/>
        <v>0</v>
      </c>
      <c r="I142" s="17" t="str">
        <f t="shared" si="2"/>
        <v/>
      </c>
      <c r="J142" s="18" t="str">
        <f>IF(B142="","",IFERROR(G142*VLOOKUP(B142,Articles!$A$5:$K$204,8,FALSE),0))</f>
        <v/>
      </c>
      <c r="K142" s="16"/>
      <c r="L142" s="16"/>
      <c r="M142" s="17" t="str">
        <f t="shared" si="3"/>
        <v>À compléter</v>
      </c>
    </row>
    <row r="143" ht="15.75" customHeight="1">
      <c r="A143" s="15"/>
      <c r="B143" s="16"/>
      <c r="C143" s="16"/>
      <c r="D143" s="17" t="str">
        <f>IF(B143="","",IFERROR(VLOOKUP(B143,Articles!$A$5:$K$204,2,FALSE),"Référence inconnue"))</f>
        <v/>
      </c>
      <c r="E143" s="16"/>
      <c r="F143" s="16"/>
      <c r="G143" s="16"/>
      <c r="H143" s="17" t="str">
        <f t="shared" si="1"/>
        <v>0</v>
      </c>
      <c r="I143" s="17" t="str">
        <f t="shared" si="2"/>
        <v/>
      </c>
      <c r="J143" s="18" t="str">
        <f>IF(B143="","",IFERROR(G143*VLOOKUP(B143,Articles!$A$5:$K$204,8,FALSE),0))</f>
        <v/>
      </c>
      <c r="K143" s="16"/>
      <c r="L143" s="16"/>
      <c r="M143" s="17" t="str">
        <f t="shared" si="3"/>
        <v>À compléter</v>
      </c>
    </row>
    <row r="144" ht="15.75" customHeight="1">
      <c r="A144" s="15"/>
      <c r="B144" s="16"/>
      <c r="C144" s="16"/>
      <c r="D144" s="17" t="str">
        <f>IF(B144="","",IFERROR(VLOOKUP(B144,Articles!$A$5:$K$204,2,FALSE),"Référence inconnue"))</f>
        <v/>
      </c>
      <c r="E144" s="16"/>
      <c r="F144" s="16"/>
      <c r="G144" s="16"/>
      <c r="H144" s="17" t="str">
        <f t="shared" si="1"/>
        <v>0</v>
      </c>
      <c r="I144" s="17" t="str">
        <f t="shared" si="2"/>
        <v/>
      </c>
      <c r="J144" s="18" t="str">
        <f>IF(B144="","",IFERROR(G144*VLOOKUP(B144,Articles!$A$5:$K$204,8,FALSE),0))</f>
        <v/>
      </c>
      <c r="K144" s="16"/>
      <c r="L144" s="16"/>
      <c r="M144" s="17" t="str">
        <f t="shared" si="3"/>
        <v>À compléter</v>
      </c>
    </row>
    <row r="145" ht="15.75" customHeight="1">
      <c r="A145" s="15"/>
      <c r="B145" s="16"/>
      <c r="C145" s="16"/>
      <c r="D145" s="17" t="str">
        <f>IF(B145="","",IFERROR(VLOOKUP(B145,Articles!$A$5:$K$204,2,FALSE),"Référence inconnue"))</f>
        <v/>
      </c>
      <c r="E145" s="16"/>
      <c r="F145" s="16"/>
      <c r="G145" s="16"/>
      <c r="H145" s="17" t="str">
        <f t="shared" si="1"/>
        <v>0</v>
      </c>
      <c r="I145" s="17" t="str">
        <f t="shared" si="2"/>
        <v/>
      </c>
      <c r="J145" s="18" t="str">
        <f>IF(B145="","",IFERROR(G145*VLOOKUP(B145,Articles!$A$5:$K$204,8,FALSE),0))</f>
        <v/>
      </c>
      <c r="K145" s="16"/>
      <c r="L145" s="16"/>
      <c r="M145" s="17" t="str">
        <f t="shared" si="3"/>
        <v>À compléter</v>
      </c>
    </row>
    <row r="146" ht="15.75" customHeight="1">
      <c r="A146" s="15"/>
      <c r="B146" s="16"/>
      <c r="C146" s="16"/>
      <c r="D146" s="17" t="str">
        <f>IF(B146="","",IFERROR(VLOOKUP(B146,Articles!$A$5:$K$204,2,FALSE),"Référence inconnue"))</f>
        <v/>
      </c>
      <c r="E146" s="16"/>
      <c r="F146" s="16"/>
      <c r="G146" s="16"/>
      <c r="H146" s="17" t="str">
        <f t="shared" si="1"/>
        <v>0</v>
      </c>
      <c r="I146" s="17" t="str">
        <f t="shared" si="2"/>
        <v/>
      </c>
      <c r="J146" s="18" t="str">
        <f>IF(B146="","",IFERROR(G146*VLOOKUP(B146,Articles!$A$5:$K$204,8,FALSE),0))</f>
        <v/>
      </c>
      <c r="K146" s="16"/>
      <c r="L146" s="16"/>
      <c r="M146" s="17" t="str">
        <f t="shared" si="3"/>
        <v>À compléter</v>
      </c>
    </row>
    <row r="147" ht="15.75" customHeight="1">
      <c r="A147" s="15"/>
      <c r="B147" s="16"/>
      <c r="C147" s="16"/>
      <c r="D147" s="17" t="str">
        <f>IF(B147="","",IFERROR(VLOOKUP(B147,Articles!$A$5:$K$204,2,FALSE),"Référence inconnue"))</f>
        <v/>
      </c>
      <c r="E147" s="16"/>
      <c r="F147" s="16"/>
      <c r="G147" s="16"/>
      <c r="H147" s="17" t="str">
        <f t="shared" si="1"/>
        <v>0</v>
      </c>
      <c r="I147" s="17" t="str">
        <f t="shared" si="2"/>
        <v/>
      </c>
      <c r="J147" s="18" t="str">
        <f>IF(B147="","",IFERROR(G147*VLOOKUP(B147,Articles!$A$5:$K$204,8,FALSE),0))</f>
        <v/>
      </c>
      <c r="K147" s="16"/>
      <c r="L147" s="16"/>
      <c r="M147" s="17" t="str">
        <f t="shared" si="3"/>
        <v>À compléter</v>
      </c>
    </row>
    <row r="148" ht="15.75" customHeight="1">
      <c r="A148" s="15"/>
      <c r="B148" s="16"/>
      <c r="C148" s="16"/>
      <c r="D148" s="17" t="str">
        <f>IF(B148="","",IFERROR(VLOOKUP(B148,Articles!$A$5:$K$204,2,FALSE),"Référence inconnue"))</f>
        <v/>
      </c>
      <c r="E148" s="16"/>
      <c r="F148" s="16"/>
      <c r="G148" s="16"/>
      <c r="H148" s="17" t="str">
        <f t="shared" si="1"/>
        <v>0</v>
      </c>
      <c r="I148" s="17" t="str">
        <f t="shared" si="2"/>
        <v/>
      </c>
      <c r="J148" s="18" t="str">
        <f>IF(B148="","",IFERROR(G148*VLOOKUP(B148,Articles!$A$5:$K$204,8,FALSE),0))</f>
        <v/>
      </c>
      <c r="K148" s="16"/>
      <c r="L148" s="16"/>
      <c r="M148" s="17" t="str">
        <f t="shared" si="3"/>
        <v>À compléter</v>
      </c>
    </row>
    <row r="149" ht="15.75" customHeight="1">
      <c r="A149" s="15"/>
      <c r="B149" s="16"/>
      <c r="C149" s="16"/>
      <c r="D149" s="17" t="str">
        <f>IF(B149="","",IFERROR(VLOOKUP(B149,Articles!$A$5:$K$204,2,FALSE),"Référence inconnue"))</f>
        <v/>
      </c>
      <c r="E149" s="16"/>
      <c r="F149" s="16"/>
      <c r="G149" s="16"/>
      <c r="H149" s="17" t="str">
        <f t="shared" si="1"/>
        <v>0</v>
      </c>
      <c r="I149" s="17" t="str">
        <f t="shared" si="2"/>
        <v/>
      </c>
      <c r="J149" s="18" t="str">
        <f>IF(B149="","",IFERROR(G149*VLOOKUP(B149,Articles!$A$5:$K$204,8,FALSE),0))</f>
        <v/>
      </c>
      <c r="K149" s="16"/>
      <c r="L149" s="16"/>
      <c r="M149" s="17" t="str">
        <f t="shared" si="3"/>
        <v>À compléter</v>
      </c>
    </row>
    <row r="150" ht="15.75" customHeight="1">
      <c r="A150" s="15"/>
      <c r="B150" s="16"/>
      <c r="C150" s="16"/>
      <c r="D150" s="17" t="str">
        <f>IF(B150="","",IFERROR(VLOOKUP(B150,Articles!$A$5:$K$204,2,FALSE),"Référence inconnue"))</f>
        <v/>
      </c>
      <c r="E150" s="16"/>
      <c r="F150" s="16"/>
      <c r="G150" s="16"/>
      <c r="H150" s="17" t="str">
        <f t="shared" si="1"/>
        <v>0</v>
      </c>
      <c r="I150" s="17" t="str">
        <f t="shared" si="2"/>
        <v/>
      </c>
      <c r="J150" s="18" t="str">
        <f>IF(B150="","",IFERROR(G150*VLOOKUP(B150,Articles!$A$5:$K$204,8,FALSE),0))</f>
        <v/>
      </c>
      <c r="K150" s="16"/>
      <c r="L150" s="16"/>
      <c r="M150" s="17" t="str">
        <f t="shared" si="3"/>
        <v>À compléter</v>
      </c>
    </row>
    <row r="151" ht="15.75" customHeight="1">
      <c r="A151" s="15"/>
      <c r="B151" s="16"/>
      <c r="C151" s="16"/>
      <c r="D151" s="17" t="str">
        <f>IF(B151="","",IFERROR(VLOOKUP(B151,Articles!$A$5:$K$204,2,FALSE),"Référence inconnue"))</f>
        <v/>
      </c>
      <c r="E151" s="16"/>
      <c r="F151" s="16"/>
      <c r="G151" s="16"/>
      <c r="H151" s="17" t="str">
        <f t="shared" si="1"/>
        <v>0</v>
      </c>
      <c r="I151" s="17" t="str">
        <f t="shared" si="2"/>
        <v/>
      </c>
      <c r="J151" s="18" t="str">
        <f>IF(B151="","",IFERROR(G151*VLOOKUP(B151,Articles!$A$5:$K$204,8,FALSE),0))</f>
        <v/>
      </c>
      <c r="K151" s="16"/>
      <c r="L151" s="16"/>
      <c r="M151" s="17" t="str">
        <f t="shared" si="3"/>
        <v>À compléter</v>
      </c>
    </row>
    <row r="152" ht="15.75" customHeight="1">
      <c r="A152" s="15"/>
      <c r="B152" s="16"/>
      <c r="C152" s="16"/>
      <c r="D152" s="17" t="str">
        <f>IF(B152="","",IFERROR(VLOOKUP(B152,Articles!$A$5:$K$204,2,FALSE),"Référence inconnue"))</f>
        <v/>
      </c>
      <c r="E152" s="16"/>
      <c r="F152" s="16"/>
      <c r="G152" s="16"/>
      <c r="H152" s="17" t="str">
        <f t="shared" si="1"/>
        <v>0</v>
      </c>
      <c r="I152" s="17" t="str">
        <f t="shared" si="2"/>
        <v/>
      </c>
      <c r="J152" s="18" t="str">
        <f>IF(B152="","",IFERROR(G152*VLOOKUP(B152,Articles!$A$5:$K$204,8,FALSE),0))</f>
        <v/>
      </c>
      <c r="K152" s="16"/>
      <c r="L152" s="16"/>
      <c r="M152" s="17" t="str">
        <f t="shared" si="3"/>
        <v>À compléter</v>
      </c>
    </row>
    <row r="153" ht="15.75" customHeight="1">
      <c r="A153" s="15"/>
      <c r="B153" s="16"/>
      <c r="C153" s="16"/>
      <c r="D153" s="17" t="str">
        <f>IF(B153="","",IFERROR(VLOOKUP(B153,Articles!$A$5:$K$204,2,FALSE),"Référence inconnue"))</f>
        <v/>
      </c>
      <c r="E153" s="16"/>
      <c r="F153" s="16"/>
      <c r="G153" s="16"/>
      <c r="H153" s="17" t="str">
        <f t="shared" si="1"/>
        <v>0</v>
      </c>
      <c r="I153" s="17" t="str">
        <f t="shared" si="2"/>
        <v/>
      </c>
      <c r="J153" s="18" t="str">
        <f>IF(B153="","",IFERROR(G153*VLOOKUP(B153,Articles!$A$5:$K$204,8,FALSE),0))</f>
        <v/>
      </c>
      <c r="K153" s="16"/>
      <c r="L153" s="16"/>
      <c r="M153" s="17" t="str">
        <f t="shared" si="3"/>
        <v>À compléter</v>
      </c>
    </row>
    <row r="154" ht="15.75" customHeight="1">
      <c r="A154" s="15"/>
      <c r="B154" s="16"/>
      <c r="C154" s="16"/>
      <c r="D154" s="17" t="str">
        <f>IF(B154="","",IFERROR(VLOOKUP(B154,Articles!$A$5:$K$204,2,FALSE),"Référence inconnue"))</f>
        <v/>
      </c>
      <c r="E154" s="16"/>
      <c r="F154" s="16"/>
      <c r="G154" s="16"/>
      <c r="H154" s="17" t="str">
        <f t="shared" si="1"/>
        <v>0</v>
      </c>
      <c r="I154" s="17" t="str">
        <f t="shared" si="2"/>
        <v/>
      </c>
      <c r="J154" s="18" t="str">
        <f>IF(B154="","",IFERROR(G154*VLOOKUP(B154,Articles!$A$5:$K$204,8,FALSE),0))</f>
        <v/>
      </c>
      <c r="K154" s="16"/>
      <c r="L154" s="16"/>
      <c r="M154" s="17" t="str">
        <f t="shared" si="3"/>
        <v>À compléter</v>
      </c>
    </row>
    <row r="155" ht="15.75" customHeight="1">
      <c r="A155" s="15"/>
      <c r="B155" s="16"/>
      <c r="C155" s="16"/>
      <c r="D155" s="17" t="str">
        <f>IF(B155="","",IFERROR(VLOOKUP(B155,Articles!$A$5:$K$204,2,FALSE),"Référence inconnue"))</f>
        <v/>
      </c>
      <c r="E155" s="16"/>
      <c r="F155" s="16"/>
      <c r="G155" s="16"/>
      <c r="H155" s="17" t="str">
        <f t="shared" si="1"/>
        <v>0</v>
      </c>
      <c r="I155" s="17" t="str">
        <f t="shared" si="2"/>
        <v/>
      </c>
      <c r="J155" s="18" t="str">
        <f>IF(B155="","",IFERROR(G155*VLOOKUP(B155,Articles!$A$5:$K$204,8,FALSE),0))</f>
        <v/>
      </c>
      <c r="K155" s="16"/>
      <c r="L155" s="16"/>
      <c r="M155" s="17" t="str">
        <f t="shared" si="3"/>
        <v>À compléter</v>
      </c>
    </row>
    <row r="156" ht="15.75" customHeight="1">
      <c r="A156" s="15"/>
      <c r="B156" s="16"/>
      <c r="C156" s="16"/>
      <c r="D156" s="17" t="str">
        <f>IF(B156="","",IFERROR(VLOOKUP(B156,Articles!$A$5:$K$204,2,FALSE),"Référence inconnue"))</f>
        <v/>
      </c>
      <c r="E156" s="16"/>
      <c r="F156" s="16"/>
      <c r="G156" s="16"/>
      <c r="H156" s="17" t="str">
        <f t="shared" si="1"/>
        <v>0</v>
      </c>
      <c r="I156" s="17" t="str">
        <f t="shared" si="2"/>
        <v/>
      </c>
      <c r="J156" s="18" t="str">
        <f>IF(B156="","",IFERROR(G156*VLOOKUP(B156,Articles!$A$5:$K$204,8,FALSE),0))</f>
        <v/>
      </c>
      <c r="K156" s="16"/>
      <c r="L156" s="16"/>
      <c r="M156" s="17" t="str">
        <f t="shared" si="3"/>
        <v>À compléter</v>
      </c>
    </row>
    <row r="157" ht="15.75" customHeight="1">
      <c r="A157" s="15"/>
      <c r="B157" s="16"/>
      <c r="C157" s="16"/>
      <c r="D157" s="17" t="str">
        <f>IF(B157="","",IFERROR(VLOOKUP(B157,Articles!$A$5:$K$204,2,FALSE),"Référence inconnue"))</f>
        <v/>
      </c>
      <c r="E157" s="16"/>
      <c r="F157" s="16"/>
      <c r="G157" s="16"/>
      <c r="H157" s="17" t="str">
        <f t="shared" si="1"/>
        <v>0</v>
      </c>
      <c r="I157" s="17" t="str">
        <f t="shared" si="2"/>
        <v/>
      </c>
      <c r="J157" s="18" t="str">
        <f>IF(B157="","",IFERROR(G157*VLOOKUP(B157,Articles!$A$5:$K$204,8,FALSE),0))</f>
        <v/>
      </c>
      <c r="K157" s="16"/>
      <c r="L157" s="16"/>
      <c r="M157" s="17" t="str">
        <f t="shared" si="3"/>
        <v>À compléter</v>
      </c>
    </row>
    <row r="158" ht="15.75" customHeight="1">
      <c r="A158" s="15"/>
      <c r="B158" s="16"/>
      <c r="C158" s="16"/>
      <c r="D158" s="17" t="str">
        <f>IF(B158="","",IFERROR(VLOOKUP(B158,Articles!$A$5:$K$204,2,FALSE),"Référence inconnue"))</f>
        <v/>
      </c>
      <c r="E158" s="16"/>
      <c r="F158" s="16"/>
      <c r="G158" s="16"/>
      <c r="H158" s="17" t="str">
        <f t="shared" si="1"/>
        <v>0</v>
      </c>
      <c r="I158" s="17" t="str">
        <f t="shared" si="2"/>
        <v/>
      </c>
      <c r="J158" s="18" t="str">
        <f>IF(B158="","",IFERROR(G158*VLOOKUP(B158,Articles!$A$5:$K$204,8,FALSE),0))</f>
        <v/>
      </c>
      <c r="K158" s="16"/>
      <c r="L158" s="16"/>
      <c r="M158" s="17" t="str">
        <f t="shared" si="3"/>
        <v>À compléter</v>
      </c>
    </row>
    <row r="159" ht="15.75" customHeight="1">
      <c r="A159" s="15"/>
      <c r="B159" s="16"/>
      <c r="C159" s="16"/>
      <c r="D159" s="17" t="str">
        <f>IF(B159="","",IFERROR(VLOOKUP(B159,Articles!$A$5:$K$204,2,FALSE),"Référence inconnue"))</f>
        <v/>
      </c>
      <c r="E159" s="16"/>
      <c r="F159" s="16"/>
      <c r="G159" s="16"/>
      <c r="H159" s="17" t="str">
        <f t="shared" si="1"/>
        <v>0</v>
      </c>
      <c r="I159" s="17" t="str">
        <f t="shared" si="2"/>
        <v/>
      </c>
      <c r="J159" s="18" t="str">
        <f>IF(B159="","",IFERROR(G159*VLOOKUP(B159,Articles!$A$5:$K$204,8,FALSE),0))</f>
        <v/>
      </c>
      <c r="K159" s="16"/>
      <c r="L159" s="16"/>
      <c r="M159" s="17" t="str">
        <f t="shared" si="3"/>
        <v>À compléter</v>
      </c>
    </row>
    <row r="160" ht="15.75" customHeight="1">
      <c r="A160" s="15"/>
      <c r="B160" s="16"/>
      <c r="C160" s="16"/>
      <c r="D160" s="17" t="str">
        <f>IF(B160="","",IFERROR(VLOOKUP(B160,Articles!$A$5:$K$204,2,FALSE),"Référence inconnue"))</f>
        <v/>
      </c>
      <c r="E160" s="16"/>
      <c r="F160" s="16"/>
      <c r="G160" s="16"/>
      <c r="H160" s="17" t="str">
        <f t="shared" si="1"/>
        <v>0</v>
      </c>
      <c r="I160" s="17" t="str">
        <f t="shared" si="2"/>
        <v/>
      </c>
      <c r="J160" s="18" t="str">
        <f>IF(B160="","",IFERROR(G160*VLOOKUP(B160,Articles!$A$5:$K$204,8,FALSE),0))</f>
        <v/>
      </c>
      <c r="K160" s="16"/>
      <c r="L160" s="16"/>
      <c r="M160" s="17" t="str">
        <f t="shared" si="3"/>
        <v>À compléter</v>
      </c>
    </row>
    <row r="161" ht="15.75" customHeight="1">
      <c r="A161" s="15"/>
      <c r="B161" s="16"/>
      <c r="C161" s="16"/>
      <c r="D161" s="17" t="str">
        <f>IF(B161="","",IFERROR(VLOOKUP(B161,Articles!$A$5:$K$204,2,FALSE),"Référence inconnue"))</f>
        <v/>
      </c>
      <c r="E161" s="16"/>
      <c r="F161" s="16"/>
      <c r="G161" s="16"/>
      <c r="H161" s="17" t="str">
        <f t="shared" si="1"/>
        <v>0</v>
      </c>
      <c r="I161" s="17" t="str">
        <f t="shared" si="2"/>
        <v/>
      </c>
      <c r="J161" s="18" t="str">
        <f>IF(B161="","",IFERROR(G161*VLOOKUP(B161,Articles!$A$5:$K$204,8,FALSE),0))</f>
        <v/>
      </c>
      <c r="K161" s="16"/>
      <c r="L161" s="16"/>
      <c r="M161" s="17" t="str">
        <f t="shared" si="3"/>
        <v>À compléter</v>
      </c>
    </row>
    <row r="162" ht="15.75" customHeight="1">
      <c r="A162" s="15"/>
      <c r="B162" s="16"/>
      <c r="C162" s="16"/>
      <c r="D162" s="17" t="str">
        <f>IF(B162="","",IFERROR(VLOOKUP(B162,Articles!$A$5:$K$204,2,FALSE),"Référence inconnue"))</f>
        <v/>
      </c>
      <c r="E162" s="16"/>
      <c r="F162" s="16"/>
      <c r="G162" s="16"/>
      <c r="H162" s="17" t="str">
        <f t="shared" si="1"/>
        <v>0</v>
      </c>
      <c r="I162" s="17" t="str">
        <f t="shared" si="2"/>
        <v/>
      </c>
      <c r="J162" s="18" t="str">
        <f>IF(B162="","",IFERROR(G162*VLOOKUP(B162,Articles!$A$5:$K$204,8,FALSE),0))</f>
        <v/>
      </c>
      <c r="K162" s="16"/>
      <c r="L162" s="16"/>
      <c r="M162" s="17" t="str">
        <f t="shared" si="3"/>
        <v>À compléter</v>
      </c>
    </row>
    <row r="163" ht="15.75" customHeight="1">
      <c r="A163" s="15"/>
      <c r="B163" s="16"/>
      <c r="C163" s="16"/>
      <c r="D163" s="17" t="str">
        <f>IF(B163="","",IFERROR(VLOOKUP(B163,Articles!$A$5:$K$204,2,FALSE),"Référence inconnue"))</f>
        <v/>
      </c>
      <c r="E163" s="16"/>
      <c r="F163" s="16"/>
      <c r="G163" s="16"/>
      <c r="H163" s="17" t="str">
        <f t="shared" si="1"/>
        <v>0</v>
      </c>
      <c r="I163" s="17" t="str">
        <f t="shared" si="2"/>
        <v/>
      </c>
      <c r="J163" s="18" t="str">
        <f>IF(B163="","",IFERROR(G163*VLOOKUP(B163,Articles!$A$5:$K$204,8,FALSE),0))</f>
        <v/>
      </c>
      <c r="K163" s="16"/>
      <c r="L163" s="16"/>
      <c r="M163" s="17" t="str">
        <f t="shared" si="3"/>
        <v>À compléter</v>
      </c>
    </row>
    <row r="164" ht="15.75" customHeight="1">
      <c r="A164" s="15"/>
      <c r="B164" s="16"/>
      <c r="C164" s="16"/>
      <c r="D164" s="17" t="str">
        <f>IF(B164="","",IFERROR(VLOOKUP(B164,Articles!$A$5:$K$204,2,FALSE),"Référence inconnue"))</f>
        <v/>
      </c>
      <c r="E164" s="16"/>
      <c r="F164" s="16"/>
      <c r="G164" s="16"/>
      <c r="H164" s="17" t="str">
        <f t="shared" si="1"/>
        <v>0</v>
      </c>
      <c r="I164" s="17" t="str">
        <f t="shared" si="2"/>
        <v/>
      </c>
      <c r="J164" s="18" t="str">
        <f>IF(B164="","",IFERROR(G164*VLOOKUP(B164,Articles!$A$5:$K$204,8,FALSE),0))</f>
        <v/>
      </c>
      <c r="K164" s="16"/>
      <c r="L164" s="16"/>
      <c r="M164" s="17" t="str">
        <f t="shared" si="3"/>
        <v>À compléter</v>
      </c>
    </row>
    <row r="165" ht="15.75" customHeight="1">
      <c r="A165" s="15"/>
      <c r="B165" s="16"/>
      <c r="C165" s="16"/>
      <c r="D165" s="17" t="str">
        <f>IF(B165="","",IFERROR(VLOOKUP(B165,Articles!$A$5:$K$204,2,FALSE),"Référence inconnue"))</f>
        <v/>
      </c>
      <c r="E165" s="16"/>
      <c r="F165" s="16"/>
      <c r="G165" s="16"/>
      <c r="H165" s="17" t="str">
        <f t="shared" si="1"/>
        <v>0</v>
      </c>
      <c r="I165" s="17" t="str">
        <f t="shared" si="2"/>
        <v/>
      </c>
      <c r="J165" s="18" t="str">
        <f>IF(B165="","",IFERROR(G165*VLOOKUP(B165,Articles!$A$5:$K$204,8,FALSE),0))</f>
        <v/>
      </c>
      <c r="K165" s="16"/>
      <c r="L165" s="16"/>
      <c r="M165" s="17" t="str">
        <f t="shared" si="3"/>
        <v>À compléter</v>
      </c>
    </row>
    <row r="166" ht="15.75" customHeight="1">
      <c r="A166" s="15"/>
      <c r="B166" s="16"/>
      <c r="C166" s="16"/>
      <c r="D166" s="17" t="str">
        <f>IF(B166="","",IFERROR(VLOOKUP(B166,Articles!$A$5:$K$204,2,FALSE),"Référence inconnue"))</f>
        <v/>
      </c>
      <c r="E166" s="16"/>
      <c r="F166" s="16"/>
      <c r="G166" s="16"/>
      <c r="H166" s="17" t="str">
        <f t="shared" si="1"/>
        <v>0</v>
      </c>
      <c r="I166" s="17" t="str">
        <f t="shared" si="2"/>
        <v/>
      </c>
      <c r="J166" s="18" t="str">
        <f>IF(B166="","",IFERROR(G166*VLOOKUP(B166,Articles!$A$5:$K$204,8,FALSE),0))</f>
        <v/>
      </c>
      <c r="K166" s="16"/>
      <c r="L166" s="16"/>
      <c r="M166" s="17" t="str">
        <f t="shared" si="3"/>
        <v>À compléter</v>
      </c>
    </row>
    <row r="167" ht="15.75" customHeight="1">
      <c r="A167" s="15"/>
      <c r="B167" s="16"/>
      <c r="C167" s="16"/>
      <c r="D167" s="17" t="str">
        <f>IF(B167="","",IFERROR(VLOOKUP(B167,Articles!$A$5:$K$204,2,FALSE),"Référence inconnue"))</f>
        <v/>
      </c>
      <c r="E167" s="16"/>
      <c r="F167" s="16"/>
      <c r="G167" s="16"/>
      <c r="H167" s="17" t="str">
        <f t="shared" si="1"/>
        <v>0</v>
      </c>
      <c r="I167" s="17" t="str">
        <f t="shared" si="2"/>
        <v/>
      </c>
      <c r="J167" s="18" t="str">
        <f>IF(B167="","",IFERROR(G167*VLOOKUP(B167,Articles!$A$5:$K$204,8,FALSE),0))</f>
        <v/>
      </c>
      <c r="K167" s="16"/>
      <c r="L167" s="16"/>
      <c r="M167" s="17" t="str">
        <f t="shared" si="3"/>
        <v>À compléter</v>
      </c>
    </row>
    <row r="168" ht="15.75" customHeight="1">
      <c r="A168" s="15"/>
      <c r="B168" s="16"/>
      <c r="C168" s="16"/>
      <c r="D168" s="17" t="str">
        <f>IF(B168="","",IFERROR(VLOOKUP(B168,Articles!$A$5:$K$204,2,FALSE),"Référence inconnue"))</f>
        <v/>
      </c>
      <c r="E168" s="16"/>
      <c r="F168" s="16"/>
      <c r="G168" s="16"/>
      <c r="H168" s="17" t="str">
        <f t="shared" si="1"/>
        <v>0</v>
      </c>
      <c r="I168" s="17" t="str">
        <f t="shared" si="2"/>
        <v/>
      </c>
      <c r="J168" s="18" t="str">
        <f>IF(B168="","",IFERROR(G168*VLOOKUP(B168,Articles!$A$5:$K$204,8,FALSE),0))</f>
        <v/>
      </c>
      <c r="K168" s="16"/>
      <c r="L168" s="16"/>
      <c r="M168" s="17" t="str">
        <f t="shared" si="3"/>
        <v>À compléter</v>
      </c>
    </row>
    <row r="169" ht="15.75" customHeight="1">
      <c r="A169" s="15"/>
      <c r="B169" s="16"/>
      <c r="C169" s="16"/>
      <c r="D169" s="17" t="str">
        <f>IF(B169="","",IFERROR(VLOOKUP(B169,Articles!$A$5:$K$204,2,FALSE),"Référence inconnue"))</f>
        <v/>
      </c>
      <c r="E169" s="16"/>
      <c r="F169" s="16"/>
      <c r="G169" s="16"/>
      <c r="H169" s="17" t="str">
        <f t="shared" si="1"/>
        <v>0</v>
      </c>
      <c r="I169" s="17" t="str">
        <f t="shared" si="2"/>
        <v/>
      </c>
      <c r="J169" s="18" t="str">
        <f>IF(B169="","",IFERROR(G169*VLOOKUP(B169,Articles!$A$5:$K$204,8,FALSE),0))</f>
        <v/>
      </c>
      <c r="K169" s="16"/>
      <c r="L169" s="16"/>
      <c r="M169" s="17" t="str">
        <f t="shared" si="3"/>
        <v>À compléter</v>
      </c>
    </row>
    <row r="170" ht="15.75" customHeight="1">
      <c r="A170" s="15"/>
      <c r="B170" s="16"/>
      <c r="C170" s="16"/>
      <c r="D170" s="17" t="str">
        <f>IF(B170="","",IFERROR(VLOOKUP(B170,Articles!$A$5:$K$204,2,FALSE),"Référence inconnue"))</f>
        <v/>
      </c>
      <c r="E170" s="16"/>
      <c r="F170" s="16"/>
      <c r="G170" s="16"/>
      <c r="H170" s="17" t="str">
        <f t="shared" si="1"/>
        <v>0</v>
      </c>
      <c r="I170" s="17" t="str">
        <f t="shared" si="2"/>
        <v/>
      </c>
      <c r="J170" s="18" t="str">
        <f>IF(B170="","",IFERROR(G170*VLOOKUP(B170,Articles!$A$5:$K$204,8,FALSE),0))</f>
        <v/>
      </c>
      <c r="K170" s="16"/>
      <c r="L170" s="16"/>
      <c r="M170" s="17" t="str">
        <f t="shared" si="3"/>
        <v>À compléter</v>
      </c>
    </row>
    <row r="171" ht="15.75" customHeight="1">
      <c r="A171" s="15"/>
      <c r="B171" s="16"/>
      <c r="C171" s="16"/>
      <c r="D171" s="17" t="str">
        <f>IF(B171="","",IFERROR(VLOOKUP(B171,Articles!$A$5:$K$204,2,FALSE),"Référence inconnue"))</f>
        <v/>
      </c>
      <c r="E171" s="16"/>
      <c r="F171" s="16"/>
      <c r="G171" s="16"/>
      <c r="H171" s="17" t="str">
        <f t="shared" si="1"/>
        <v>0</v>
      </c>
      <c r="I171" s="17" t="str">
        <f t="shared" si="2"/>
        <v/>
      </c>
      <c r="J171" s="18" t="str">
        <f>IF(B171="","",IFERROR(G171*VLOOKUP(B171,Articles!$A$5:$K$204,8,FALSE),0))</f>
        <v/>
      </c>
      <c r="K171" s="16"/>
      <c r="L171" s="16"/>
      <c r="M171" s="17" t="str">
        <f t="shared" si="3"/>
        <v>À compléter</v>
      </c>
    </row>
    <row r="172" ht="15.75" customHeight="1">
      <c r="A172" s="15"/>
      <c r="B172" s="16"/>
      <c r="C172" s="16"/>
      <c r="D172" s="17" t="str">
        <f>IF(B172="","",IFERROR(VLOOKUP(B172,Articles!$A$5:$K$204,2,FALSE),"Référence inconnue"))</f>
        <v/>
      </c>
      <c r="E172" s="16"/>
      <c r="F172" s="16"/>
      <c r="G172" s="16"/>
      <c r="H172" s="17" t="str">
        <f t="shared" si="1"/>
        <v>0</v>
      </c>
      <c r="I172" s="17" t="str">
        <f t="shared" si="2"/>
        <v/>
      </c>
      <c r="J172" s="18" t="str">
        <f>IF(B172="","",IFERROR(G172*VLOOKUP(B172,Articles!$A$5:$K$204,8,FALSE),0))</f>
        <v/>
      </c>
      <c r="K172" s="16"/>
      <c r="L172" s="16"/>
      <c r="M172" s="17" t="str">
        <f t="shared" si="3"/>
        <v>À compléter</v>
      </c>
    </row>
    <row r="173" ht="15.75" customHeight="1">
      <c r="A173" s="15"/>
      <c r="B173" s="16"/>
      <c r="C173" s="16"/>
      <c r="D173" s="17" t="str">
        <f>IF(B173="","",IFERROR(VLOOKUP(B173,Articles!$A$5:$K$204,2,FALSE),"Référence inconnue"))</f>
        <v/>
      </c>
      <c r="E173" s="16"/>
      <c r="F173" s="16"/>
      <c r="G173" s="16"/>
      <c r="H173" s="17" t="str">
        <f t="shared" si="1"/>
        <v>0</v>
      </c>
      <c r="I173" s="17" t="str">
        <f t="shared" si="2"/>
        <v/>
      </c>
      <c r="J173" s="18" t="str">
        <f>IF(B173="","",IFERROR(G173*VLOOKUP(B173,Articles!$A$5:$K$204,8,FALSE),0))</f>
        <v/>
      </c>
      <c r="K173" s="16"/>
      <c r="L173" s="16"/>
      <c r="M173" s="17" t="str">
        <f t="shared" si="3"/>
        <v>À compléter</v>
      </c>
    </row>
    <row r="174" ht="15.75" customHeight="1">
      <c r="A174" s="15"/>
      <c r="B174" s="16"/>
      <c r="C174" s="16"/>
      <c r="D174" s="17" t="str">
        <f>IF(B174="","",IFERROR(VLOOKUP(B174,Articles!$A$5:$K$204,2,FALSE),"Référence inconnue"))</f>
        <v/>
      </c>
      <c r="E174" s="16"/>
      <c r="F174" s="16"/>
      <c r="G174" s="16"/>
      <c r="H174" s="17" t="str">
        <f t="shared" si="1"/>
        <v>0</v>
      </c>
      <c r="I174" s="17" t="str">
        <f t="shared" si="2"/>
        <v/>
      </c>
      <c r="J174" s="18" t="str">
        <f>IF(B174="","",IFERROR(G174*VLOOKUP(B174,Articles!$A$5:$K$204,8,FALSE),0))</f>
        <v/>
      </c>
      <c r="K174" s="16"/>
      <c r="L174" s="16"/>
      <c r="M174" s="17" t="str">
        <f t="shared" si="3"/>
        <v>À compléter</v>
      </c>
    </row>
    <row r="175" ht="15.75" customHeight="1">
      <c r="A175" s="15"/>
      <c r="B175" s="16"/>
      <c r="C175" s="16"/>
      <c r="D175" s="17" t="str">
        <f>IF(B175="","",IFERROR(VLOOKUP(B175,Articles!$A$5:$K$204,2,FALSE),"Référence inconnue"))</f>
        <v/>
      </c>
      <c r="E175" s="16"/>
      <c r="F175" s="16"/>
      <c r="G175" s="16"/>
      <c r="H175" s="17" t="str">
        <f t="shared" si="1"/>
        <v>0</v>
      </c>
      <c r="I175" s="17" t="str">
        <f t="shared" si="2"/>
        <v/>
      </c>
      <c r="J175" s="18" t="str">
        <f>IF(B175="","",IFERROR(G175*VLOOKUP(B175,Articles!$A$5:$K$204,8,FALSE),0))</f>
        <v/>
      </c>
      <c r="K175" s="16"/>
      <c r="L175" s="16"/>
      <c r="M175" s="17" t="str">
        <f t="shared" si="3"/>
        <v>À compléter</v>
      </c>
    </row>
    <row r="176" ht="15.75" customHeight="1">
      <c r="A176" s="15"/>
      <c r="B176" s="16"/>
      <c r="C176" s="16"/>
      <c r="D176" s="17" t="str">
        <f>IF(B176="","",IFERROR(VLOOKUP(B176,Articles!$A$5:$K$204,2,FALSE),"Référence inconnue"))</f>
        <v/>
      </c>
      <c r="E176" s="16"/>
      <c r="F176" s="16"/>
      <c r="G176" s="16"/>
      <c r="H176" s="17" t="str">
        <f t="shared" si="1"/>
        <v>0</v>
      </c>
      <c r="I176" s="17" t="str">
        <f t="shared" si="2"/>
        <v/>
      </c>
      <c r="J176" s="18" t="str">
        <f>IF(B176="","",IFERROR(G176*VLOOKUP(B176,Articles!$A$5:$K$204,8,FALSE),0))</f>
        <v/>
      </c>
      <c r="K176" s="16"/>
      <c r="L176" s="16"/>
      <c r="M176" s="17" t="str">
        <f t="shared" si="3"/>
        <v>À compléter</v>
      </c>
    </row>
    <row r="177" ht="15.75" customHeight="1">
      <c r="A177" s="15"/>
      <c r="B177" s="16"/>
      <c r="C177" s="16"/>
      <c r="D177" s="17" t="str">
        <f>IF(B177="","",IFERROR(VLOOKUP(B177,Articles!$A$5:$K$204,2,FALSE),"Référence inconnue"))</f>
        <v/>
      </c>
      <c r="E177" s="16"/>
      <c r="F177" s="16"/>
      <c r="G177" s="16"/>
      <c r="H177" s="17" t="str">
        <f t="shared" si="1"/>
        <v>0</v>
      </c>
      <c r="I177" s="17" t="str">
        <f t="shared" si="2"/>
        <v/>
      </c>
      <c r="J177" s="18" t="str">
        <f>IF(B177="","",IFERROR(G177*VLOOKUP(B177,Articles!$A$5:$K$204,8,FALSE),0))</f>
        <v/>
      </c>
      <c r="K177" s="16"/>
      <c r="L177" s="16"/>
      <c r="M177" s="17" t="str">
        <f t="shared" si="3"/>
        <v>À compléter</v>
      </c>
    </row>
    <row r="178" ht="15.75" customHeight="1">
      <c r="A178" s="15"/>
      <c r="B178" s="16"/>
      <c r="C178" s="16"/>
      <c r="D178" s="17" t="str">
        <f>IF(B178="","",IFERROR(VLOOKUP(B178,Articles!$A$5:$K$204,2,FALSE),"Référence inconnue"))</f>
        <v/>
      </c>
      <c r="E178" s="16"/>
      <c r="F178" s="16"/>
      <c r="G178" s="16"/>
      <c r="H178" s="17" t="str">
        <f t="shared" si="1"/>
        <v>0</v>
      </c>
      <c r="I178" s="17" t="str">
        <f t="shared" si="2"/>
        <v/>
      </c>
      <c r="J178" s="18" t="str">
        <f>IF(B178="","",IFERROR(G178*VLOOKUP(B178,Articles!$A$5:$K$204,8,FALSE),0))</f>
        <v/>
      </c>
      <c r="K178" s="16"/>
      <c r="L178" s="16"/>
      <c r="M178" s="17" t="str">
        <f t="shared" si="3"/>
        <v>À compléter</v>
      </c>
    </row>
    <row r="179" ht="15.75" customHeight="1">
      <c r="A179" s="15"/>
      <c r="B179" s="16"/>
      <c r="C179" s="16"/>
      <c r="D179" s="17" t="str">
        <f>IF(B179="","",IFERROR(VLOOKUP(B179,Articles!$A$5:$K$204,2,FALSE),"Référence inconnue"))</f>
        <v/>
      </c>
      <c r="E179" s="16"/>
      <c r="F179" s="16"/>
      <c r="G179" s="16"/>
      <c r="H179" s="17" t="str">
        <f t="shared" si="1"/>
        <v>0</v>
      </c>
      <c r="I179" s="17" t="str">
        <f t="shared" si="2"/>
        <v/>
      </c>
      <c r="J179" s="18" t="str">
        <f>IF(B179="","",IFERROR(G179*VLOOKUP(B179,Articles!$A$5:$K$204,8,FALSE),0))</f>
        <v/>
      </c>
      <c r="K179" s="16"/>
      <c r="L179" s="16"/>
      <c r="M179" s="17" t="str">
        <f t="shared" si="3"/>
        <v>À compléter</v>
      </c>
    </row>
    <row r="180" ht="15.75" customHeight="1">
      <c r="A180" s="15"/>
      <c r="B180" s="16"/>
      <c r="C180" s="16"/>
      <c r="D180" s="17" t="str">
        <f>IF(B180="","",IFERROR(VLOOKUP(B180,Articles!$A$5:$K$204,2,FALSE),"Référence inconnue"))</f>
        <v/>
      </c>
      <c r="E180" s="16"/>
      <c r="F180" s="16"/>
      <c r="G180" s="16"/>
      <c r="H180" s="17" t="str">
        <f t="shared" si="1"/>
        <v>0</v>
      </c>
      <c r="I180" s="17" t="str">
        <f t="shared" si="2"/>
        <v/>
      </c>
      <c r="J180" s="18" t="str">
        <f>IF(B180="","",IFERROR(G180*VLOOKUP(B180,Articles!$A$5:$K$204,8,FALSE),0))</f>
        <v/>
      </c>
      <c r="K180" s="16"/>
      <c r="L180" s="16"/>
      <c r="M180" s="17" t="str">
        <f t="shared" si="3"/>
        <v>À compléter</v>
      </c>
    </row>
    <row r="181" ht="15.75" customHeight="1">
      <c r="A181" s="15"/>
      <c r="B181" s="16"/>
      <c r="C181" s="16"/>
      <c r="D181" s="17" t="str">
        <f>IF(B181="","",IFERROR(VLOOKUP(B181,Articles!$A$5:$K$204,2,FALSE),"Référence inconnue"))</f>
        <v/>
      </c>
      <c r="E181" s="16"/>
      <c r="F181" s="16"/>
      <c r="G181" s="16"/>
      <c r="H181" s="17" t="str">
        <f t="shared" si="1"/>
        <v>0</v>
      </c>
      <c r="I181" s="17" t="str">
        <f t="shared" si="2"/>
        <v/>
      </c>
      <c r="J181" s="18" t="str">
        <f>IF(B181="","",IFERROR(G181*VLOOKUP(B181,Articles!$A$5:$K$204,8,FALSE),0))</f>
        <v/>
      </c>
      <c r="K181" s="16"/>
      <c r="L181" s="16"/>
      <c r="M181" s="17" t="str">
        <f t="shared" si="3"/>
        <v>À compléter</v>
      </c>
    </row>
    <row r="182" ht="15.75" customHeight="1">
      <c r="A182" s="15"/>
      <c r="B182" s="16"/>
      <c r="C182" s="16"/>
      <c r="D182" s="17" t="str">
        <f>IF(B182="","",IFERROR(VLOOKUP(B182,Articles!$A$5:$K$204,2,FALSE),"Référence inconnue"))</f>
        <v/>
      </c>
      <c r="E182" s="16"/>
      <c r="F182" s="16"/>
      <c r="G182" s="16"/>
      <c r="H182" s="17" t="str">
        <f t="shared" si="1"/>
        <v>0</v>
      </c>
      <c r="I182" s="17" t="str">
        <f t="shared" si="2"/>
        <v/>
      </c>
      <c r="J182" s="18" t="str">
        <f>IF(B182="","",IFERROR(G182*VLOOKUP(B182,Articles!$A$5:$K$204,8,FALSE),0))</f>
        <v/>
      </c>
      <c r="K182" s="16"/>
      <c r="L182" s="16"/>
      <c r="M182" s="17" t="str">
        <f t="shared" si="3"/>
        <v>À compléter</v>
      </c>
    </row>
    <row r="183" ht="15.75" customHeight="1">
      <c r="A183" s="15"/>
      <c r="B183" s="16"/>
      <c r="C183" s="16"/>
      <c r="D183" s="17" t="str">
        <f>IF(B183="","",IFERROR(VLOOKUP(B183,Articles!$A$5:$K$204,2,FALSE),"Référence inconnue"))</f>
        <v/>
      </c>
      <c r="E183" s="16"/>
      <c r="F183" s="16"/>
      <c r="G183" s="16"/>
      <c r="H183" s="17" t="str">
        <f t="shared" si="1"/>
        <v>0</v>
      </c>
      <c r="I183" s="17" t="str">
        <f t="shared" si="2"/>
        <v/>
      </c>
      <c r="J183" s="18" t="str">
        <f>IF(B183="","",IFERROR(G183*VLOOKUP(B183,Articles!$A$5:$K$204,8,FALSE),0))</f>
        <v/>
      </c>
      <c r="K183" s="16"/>
      <c r="L183" s="16"/>
      <c r="M183" s="17" t="str">
        <f t="shared" si="3"/>
        <v>À compléter</v>
      </c>
    </row>
    <row r="184" ht="15.75" customHeight="1">
      <c r="A184" s="15"/>
      <c r="B184" s="16"/>
      <c r="C184" s="16"/>
      <c r="D184" s="17" t="str">
        <f>IF(B184="","",IFERROR(VLOOKUP(B184,Articles!$A$5:$K$204,2,FALSE),"Référence inconnue"))</f>
        <v/>
      </c>
      <c r="E184" s="16"/>
      <c r="F184" s="16"/>
      <c r="G184" s="16"/>
      <c r="H184" s="17" t="str">
        <f t="shared" si="1"/>
        <v>0</v>
      </c>
      <c r="I184" s="17" t="str">
        <f t="shared" si="2"/>
        <v/>
      </c>
      <c r="J184" s="18" t="str">
        <f>IF(B184="","",IFERROR(G184*VLOOKUP(B184,Articles!$A$5:$K$204,8,FALSE),0))</f>
        <v/>
      </c>
      <c r="K184" s="16"/>
      <c r="L184" s="16"/>
      <c r="M184" s="17" t="str">
        <f t="shared" si="3"/>
        <v>À compléter</v>
      </c>
    </row>
    <row r="185" ht="15.75" customHeight="1">
      <c r="A185" s="15"/>
      <c r="B185" s="16"/>
      <c r="C185" s="16"/>
      <c r="D185" s="17" t="str">
        <f>IF(B185="","",IFERROR(VLOOKUP(B185,Articles!$A$5:$K$204,2,FALSE),"Référence inconnue"))</f>
        <v/>
      </c>
      <c r="E185" s="16"/>
      <c r="F185" s="16"/>
      <c r="G185" s="16"/>
      <c r="H185" s="17" t="str">
        <f t="shared" si="1"/>
        <v>0</v>
      </c>
      <c r="I185" s="17" t="str">
        <f t="shared" si="2"/>
        <v/>
      </c>
      <c r="J185" s="18" t="str">
        <f>IF(B185="","",IFERROR(G185*VLOOKUP(B185,Articles!$A$5:$K$204,8,FALSE),0))</f>
        <v/>
      </c>
      <c r="K185" s="16"/>
      <c r="L185" s="16"/>
      <c r="M185" s="17" t="str">
        <f t="shared" si="3"/>
        <v>À compléter</v>
      </c>
    </row>
    <row r="186" ht="15.75" customHeight="1">
      <c r="A186" s="15"/>
      <c r="B186" s="16"/>
      <c r="C186" s="16"/>
      <c r="D186" s="17" t="str">
        <f>IF(B186="","",IFERROR(VLOOKUP(B186,Articles!$A$5:$K$204,2,FALSE),"Référence inconnue"))</f>
        <v/>
      </c>
      <c r="E186" s="16"/>
      <c r="F186" s="16"/>
      <c r="G186" s="16"/>
      <c r="H186" s="17" t="str">
        <f t="shared" si="1"/>
        <v>0</v>
      </c>
      <c r="I186" s="17" t="str">
        <f t="shared" si="2"/>
        <v/>
      </c>
      <c r="J186" s="18" t="str">
        <f>IF(B186="","",IFERROR(G186*VLOOKUP(B186,Articles!$A$5:$K$204,8,FALSE),0))</f>
        <v/>
      </c>
      <c r="K186" s="16"/>
      <c r="L186" s="16"/>
      <c r="M186" s="17" t="str">
        <f t="shared" si="3"/>
        <v>À compléter</v>
      </c>
    </row>
    <row r="187" ht="15.75" customHeight="1">
      <c r="A187" s="15"/>
      <c r="B187" s="16"/>
      <c r="C187" s="16"/>
      <c r="D187" s="17" t="str">
        <f>IF(B187="","",IFERROR(VLOOKUP(B187,Articles!$A$5:$K$204,2,FALSE),"Référence inconnue"))</f>
        <v/>
      </c>
      <c r="E187" s="16"/>
      <c r="F187" s="16"/>
      <c r="G187" s="16"/>
      <c r="H187" s="17" t="str">
        <f t="shared" si="1"/>
        <v>0</v>
      </c>
      <c r="I187" s="17" t="str">
        <f t="shared" si="2"/>
        <v/>
      </c>
      <c r="J187" s="18" t="str">
        <f>IF(B187="","",IFERROR(G187*VLOOKUP(B187,Articles!$A$5:$K$204,8,FALSE),0))</f>
        <v/>
      </c>
      <c r="K187" s="16"/>
      <c r="L187" s="16"/>
      <c r="M187" s="17" t="str">
        <f t="shared" si="3"/>
        <v>À compléter</v>
      </c>
    </row>
    <row r="188" ht="15.75" customHeight="1">
      <c r="A188" s="15"/>
      <c r="B188" s="16"/>
      <c r="C188" s="16"/>
      <c r="D188" s="17" t="str">
        <f>IF(B188="","",IFERROR(VLOOKUP(B188,Articles!$A$5:$K$204,2,FALSE),"Référence inconnue"))</f>
        <v/>
      </c>
      <c r="E188" s="16"/>
      <c r="F188" s="16"/>
      <c r="G188" s="16"/>
      <c r="H188" s="17" t="str">
        <f t="shared" si="1"/>
        <v>0</v>
      </c>
      <c r="I188" s="17" t="str">
        <f t="shared" si="2"/>
        <v/>
      </c>
      <c r="J188" s="18" t="str">
        <f>IF(B188="","",IFERROR(G188*VLOOKUP(B188,Articles!$A$5:$K$204,8,FALSE),0))</f>
        <v/>
      </c>
      <c r="K188" s="16"/>
      <c r="L188" s="16"/>
      <c r="M188" s="17" t="str">
        <f t="shared" si="3"/>
        <v>À compléter</v>
      </c>
    </row>
    <row r="189" ht="15.75" customHeight="1">
      <c r="A189" s="15"/>
      <c r="B189" s="16"/>
      <c r="C189" s="16"/>
      <c r="D189" s="17" t="str">
        <f>IF(B189="","",IFERROR(VLOOKUP(B189,Articles!$A$5:$K$204,2,FALSE),"Référence inconnue"))</f>
        <v/>
      </c>
      <c r="E189" s="16"/>
      <c r="F189" s="16"/>
      <c r="G189" s="16"/>
      <c r="H189" s="17" t="str">
        <f t="shared" si="1"/>
        <v>0</v>
      </c>
      <c r="I189" s="17" t="str">
        <f t="shared" si="2"/>
        <v/>
      </c>
      <c r="J189" s="18" t="str">
        <f>IF(B189="","",IFERROR(G189*VLOOKUP(B189,Articles!$A$5:$K$204,8,FALSE),0))</f>
        <v/>
      </c>
      <c r="K189" s="16"/>
      <c r="L189" s="16"/>
      <c r="M189" s="17" t="str">
        <f t="shared" si="3"/>
        <v>À compléter</v>
      </c>
    </row>
    <row r="190" ht="15.75" customHeight="1">
      <c r="A190" s="15"/>
      <c r="B190" s="16"/>
      <c r="C190" s="16"/>
      <c r="D190" s="17" t="str">
        <f>IF(B190="","",IFERROR(VLOOKUP(B190,Articles!$A$5:$K$204,2,FALSE),"Référence inconnue"))</f>
        <v/>
      </c>
      <c r="E190" s="16"/>
      <c r="F190" s="16"/>
      <c r="G190" s="16"/>
      <c r="H190" s="17" t="str">
        <f t="shared" si="1"/>
        <v>0</v>
      </c>
      <c r="I190" s="17" t="str">
        <f t="shared" si="2"/>
        <v/>
      </c>
      <c r="J190" s="18" t="str">
        <f>IF(B190="","",IFERROR(G190*VLOOKUP(B190,Articles!$A$5:$K$204,8,FALSE),0))</f>
        <v/>
      </c>
      <c r="K190" s="16"/>
      <c r="L190" s="16"/>
      <c r="M190" s="17" t="str">
        <f t="shared" si="3"/>
        <v>À compléter</v>
      </c>
    </row>
    <row r="191" ht="15.75" customHeight="1">
      <c r="A191" s="15"/>
      <c r="B191" s="16"/>
      <c r="C191" s="16"/>
      <c r="D191" s="17" t="str">
        <f>IF(B191="","",IFERROR(VLOOKUP(B191,Articles!$A$5:$K$204,2,FALSE),"Référence inconnue"))</f>
        <v/>
      </c>
      <c r="E191" s="16"/>
      <c r="F191" s="16"/>
      <c r="G191" s="16"/>
      <c r="H191" s="17" t="str">
        <f t="shared" si="1"/>
        <v>0</v>
      </c>
      <c r="I191" s="17" t="str">
        <f t="shared" si="2"/>
        <v/>
      </c>
      <c r="J191" s="18" t="str">
        <f>IF(B191="","",IFERROR(G191*VLOOKUP(B191,Articles!$A$5:$K$204,8,FALSE),0))</f>
        <v/>
      </c>
      <c r="K191" s="16"/>
      <c r="L191" s="16"/>
      <c r="M191" s="17" t="str">
        <f t="shared" si="3"/>
        <v>À compléter</v>
      </c>
    </row>
    <row r="192" ht="15.75" customHeight="1">
      <c r="A192" s="15"/>
      <c r="B192" s="16"/>
      <c r="C192" s="16"/>
      <c r="D192" s="17" t="str">
        <f>IF(B192="","",IFERROR(VLOOKUP(B192,Articles!$A$5:$K$204,2,FALSE),"Référence inconnue"))</f>
        <v/>
      </c>
      <c r="E192" s="16"/>
      <c r="F192" s="16"/>
      <c r="G192" s="16"/>
      <c r="H192" s="17" t="str">
        <f t="shared" si="1"/>
        <v>0</v>
      </c>
      <c r="I192" s="17" t="str">
        <f t="shared" si="2"/>
        <v/>
      </c>
      <c r="J192" s="18" t="str">
        <f>IF(B192="","",IFERROR(G192*VLOOKUP(B192,Articles!$A$5:$K$204,8,FALSE),0))</f>
        <v/>
      </c>
      <c r="K192" s="16"/>
      <c r="L192" s="16"/>
      <c r="M192" s="17" t="str">
        <f t="shared" si="3"/>
        <v>À compléter</v>
      </c>
    </row>
    <row r="193" ht="15.75" customHeight="1">
      <c r="A193" s="15"/>
      <c r="B193" s="16"/>
      <c r="C193" s="16"/>
      <c r="D193" s="17" t="str">
        <f>IF(B193="","",IFERROR(VLOOKUP(B193,Articles!$A$5:$K$204,2,FALSE),"Référence inconnue"))</f>
        <v/>
      </c>
      <c r="E193" s="16"/>
      <c r="F193" s="16"/>
      <c r="G193" s="16"/>
      <c r="H193" s="17" t="str">
        <f t="shared" si="1"/>
        <v>0</v>
      </c>
      <c r="I193" s="17" t="str">
        <f t="shared" si="2"/>
        <v/>
      </c>
      <c r="J193" s="18" t="str">
        <f>IF(B193="","",IFERROR(G193*VLOOKUP(B193,Articles!$A$5:$K$204,8,FALSE),0))</f>
        <v/>
      </c>
      <c r="K193" s="16"/>
      <c r="L193" s="16"/>
      <c r="M193" s="17" t="str">
        <f t="shared" si="3"/>
        <v>À compléter</v>
      </c>
    </row>
    <row r="194" ht="15.75" customHeight="1">
      <c r="A194" s="15"/>
      <c r="B194" s="16"/>
      <c r="C194" s="16"/>
      <c r="D194" s="17" t="str">
        <f>IF(B194="","",IFERROR(VLOOKUP(B194,Articles!$A$5:$K$204,2,FALSE),"Référence inconnue"))</f>
        <v/>
      </c>
      <c r="E194" s="16"/>
      <c r="F194" s="16"/>
      <c r="G194" s="16"/>
      <c r="H194" s="17" t="str">
        <f t="shared" si="1"/>
        <v>0</v>
      </c>
      <c r="I194" s="17" t="str">
        <f t="shared" si="2"/>
        <v/>
      </c>
      <c r="J194" s="18" t="str">
        <f>IF(B194="","",IFERROR(G194*VLOOKUP(B194,Articles!$A$5:$K$204,8,FALSE),0))</f>
        <v/>
      </c>
      <c r="K194" s="16"/>
      <c r="L194" s="16"/>
      <c r="M194" s="17" t="str">
        <f t="shared" si="3"/>
        <v>À compléter</v>
      </c>
    </row>
    <row r="195" ht="15.75" customHeight="1">
      <c r="A195" s="15"/>
      <c r="B195" s="16"/>
      <c r="C195" s="16"/>
      <c r="D195" s="17" t="str">
        <f>IF(B195="","",IFERROR(VLOOKUP(B195,Articles!$A$5:$K$204,2,FALSE),"Référence inconnue"))</f>
        <v/>
      </c>
      <c r="E195" s="16"/>
      <c r="F195" s="16"/>
      <c r="G195" s="16"/>
      <c r="H195" s="17" t="str">
        <f t="shared" si="1"/>
        <v>0</v>
      </c>
      <c r="I195" s="17" t="str">
        <f t="shared" si="2"/>
        <v/>
      </c>
      <c r="J195" s="18" t="str">
        <f>IF(B195="","",IFERROR(G195*VLOOKUP(B195,Articles!$A$5:$K$204,8,FALSE),0))</f>
        <v/>
      </c>
      <c r="K195" s="16"/>
      <c r="L195" s="16"/>
      <c r="M195" s="17" t="str">
        <f t="shared" si="3"/>
        <v>À compléter</v>
      </c>
    </row>
    <row r="196" ht="15.75" customHeight="1">
      <c r="A196" s="15"/>
      <c r="B196" s="16"/>
      <c r="C196" s="16"/>
      <c r="D196" s="17" t="str">
        <f>IF(B196="","",IFERROR(VLOOKUP(B196,Articles!$A$5:$K$204,2,FALSE),"Référence inconnue"))</f>
        <v/>
      </c>
      <c r="E196" s="16"/>
      <c r="F196" s="16"/>
      <c r="G196" s="16"/>
      <c r="H196" s="17" t="str">
        <f t="shared" si="1"/>
        <v>0</v>
      </c>
      <c r="I196" s="17" t="str">
        <f t="shared" si="2"/>
        <v/>
      </c>
      <c r="J196" s="18" t="str">
        <f>IF(B196="","",IFERROR(G196*VLOOKUP(B196,Articles!$A$5:$K$204,8,FALSE),0))</f>
        <v/>
      </c>
      <c r="K196" s="16"/>
      <c r="L196" s="16"/>
      <c r="M196" s="17" t="str">
        <f t="shared" si="3"/>
        <v>À compléter</v>
      </c>
    </row>
    <row r="197" ht="15.75" customHeight="1">
      <c r="A197" s="15"/>
      <c r="B197" s="16"/>
      <c r="C197" s="16"/>
      <c r="D197" s="17" t="str">
        <f>IF(B197="","",IFERROR(VLOOKUP(B197,Articles!$A$5:$K$204,2,FALSE),"Référence inconnue"))</f>
        <v/>
      </c>
      <c r="E197" s="16"/>
      <c r="F197" s="16"/>
      <c r="G197" s="16"/>
      <c r="H197" s="17" t="str">
        <f t="shared" si="1"/>
        <v>0</v>
      </c>
      <c r="I197" s="17" t="str">
        <f t="shared" si="2"/>
        <v/>
      </c>
      <c r="J197" s="18" t="str">
        <f>IF(B197="","",IFERROR(G197*VLOOKUP(B197,Articles!$A$5:$K$204,8,FALSE),0))</f>
        <v/>
      </c>
      <c r="K197" s="16"/>
      <c r="L197" s="16"/>
      <c r="M197" s="17" t="str">
        <f t="shared" si="3"/>
        <v>À compléter</v>
      </c>
    </row>
    <row r="198" ht="15.75" customHeight="1">
      <c r="A198" s="15"/>
      <c r="B198" s="16"/>
      <c r="C198" s="16"/>
      <c r="D198" s="17" t="str">
        <f>IF(B198="","",IFERROR(VLOOKUP(B198,Articles!$A$5:$K$204,2,FALSE),"Référence inconnue"))</f>
        <v/>
      </c>
      <c r="E198" s="16"/>
      <c r="F198" s="16"/>
      <c r="G198" s="16"/>
      <c r="H198" s="17" t="str">
        <f t="shared" si="1"/>
        <v>0</v>
      </c>
      <c r="I198" s="17" t="str">
        <f t="shared" si="2"/>
        <v/>
      </c>
      <c r="J198" s="18" t="str">
        <f>IF(B198="","",IFERROR(G198*VLOOKUP(B198,Articles!$A$5:$K$204,8,FALSE),0))</f>
        <v/>
      </c>
      <c r="K198" s="16"/>
      <c r="L198" s="16"/>
      <c r="M198" s="17" t="str">
        <f t="shared" si="3"/>
        <v>À compléter</v>
      </c>
    </row>
    <row r="199" ht="15.75" customHeight="1">
      <c r="A199" s="15"/>
      <c r="B199" s="16"/>
      <c r="C199" s="16"/>
      <c r="D199" s="17" t="str">
        <f>IF(B199="","",IFERROR(VLOOKUP(B199,Articles!$A$5:$K$204,2,FALSE),"Référence inconnue"))</f>
        <v/>
      </c>
      <c r="E199" s="16"/>
      <c r="F199" s="16"/>
      <c r="G199" s="16"/>
      <c r="H199" s="17" t="str">
        <f t="shared" si="1"/>
        <v>0</v>
      </c>
      <c r="I199" s="17" t="str">
        <f t="shared" si="2"/>
        <v/>
      </c>
      <c r="J199" s="18" t="str">
        <f>IF(B199="","",IFERROR(G199*VLOOKUP(B199,Articles!$A$5:$K$204,8,FALSE),0))</f>
        <v/>
      </c>
      <c r="K199" s="16"/>
      <c r="L199" s="16"/>
      <c r="M199" s="17" t="str">
        <f t="shared" si="3"/>
        <v>À compléter</v>
      </c>
    </row>
    <row r="200" ht="15.75" customHeight="1">
      <c r="A200" s="15"/>
      <c r="B200" s="16"/>
      <c r="C200" s="16"/>
      <c r="D200" s="17" t="str">
        <f>IF(B200="","",IFERROR(VLOOKUP(B200,Articles!$A$5:$K$204,2,FALSE),"Référence inconnue"))</f>
        <v/>
      </c>
      <c r="E200" s="16"/>
      <c r="F200" s="16"/>
      <c r="G200" s="16"/>
      <c r="H200" s="17" t="str">
        <f t="shared" si="1"/>
        <v>0</v>
      </c>
      <c r="I200" s="17" t="str">
        <f t="shared" si="2"/>
        <v/>
      </c>
      <c r="J200" s="18" t="str">
        <f>IF(B200="","",IFERROR(G200*VLOOKUP(B200,Articles!$A$5:$K$204,8,FALSE),0))</f>
        <v/>
      </c>
      <c r="K200" s="16"/>
      <c r="L200" s="16"/>
      <c r="M200" s="17" t="str">
        <f t="shared" si="3"/>
        <v>À compléter</v>
      </c>
    </row>
    <row r="201" ht="15.75" customHeight="1">
      <c r="A201" s="15"/>
      <c r="B201" s="16"/>
      <c r="C201" s="16"/>
      <c r="D201" s="17" t="str">
        <f>IF(B201="","",IFERROR(VLOOKUP(B201,Articles!$A$5:$K$204,2,FALSE),"Référence inconnue"))</f>
        <v/>
      </c>
      <c r="E201" s="16"/>
      <c r="F201" s="16"/>
      <c r="G201" s="16"/>
      <c r="H201" s="17" t="str">
        <f t="shared" si="1"/>
        <v>0</v>
      </c>
      <c r="I201" s="17" t="str">
        <f t="shared" si="2"/>
        <v/>
      </c>
      <c r="J201" s="18" t="str">
        <f>IF(B201="","",IFERROR(G201*VLOOKUP(B201,Articles!$A$5:$K$204,8,FALSE),0))</f>
        <v/>
      </c>
      <c r="K201" s="16"/>
      <c r="L201" s="16"/>
      <c r="M201" s="17" t="str">
        <f t="shared" si="3"/>
        <v>À compléter</v>
      </c>
    </row>
    <row r="202" ht="15.75" customHeight="1">
      <c r="A202" s="15"/>
      <c r="B202" s="16"/>
      <c r="C202" s="16"/>
      <c r="D202" s="17" t="str">
        <f>IF(B202="","",IFERROR(VLOOKUP(B202,Articles!$A$5:$K$204,2,FALSE),"Référence inconnue"))</f>
        <v/>
      </c>
      <c r="E202" s="16"/>
      <c r="F202" s="16"/>
      <c r="G202" s="16"/>
      <c r="H202" s="17" t="str">
        <f t="shared" si="1"/>
        <v>0</v>
      </c>
      <c r="I202" s="17" t="str">
        <f t="shared" si="2"/>
        <v/>
      </c>
      <c r="J202" s="18" t="str">
        <f>IF(B202="","",IFERROR(G202*VLOOKUP(B202,Articles!$A$5:$K$204,8,FALSE),0))</f>
        <v/>
      </c>
      <c r="K202" s="16"/>
      <c r="L202" s="16"/>
      <c r="M202" s="17" t="str">
        <f t="shared" si="3"/>
        <v>À compléter</v>
      </c>
    </row>
    <row r="203" ht="15.75" customHeight="1">
      <c r="A203" s="15"/>
      <c r="B203" s="16"/>
      <c r="C203" s="16"/>
      <c r="D203" s="17" t="str">
        <f>IF(B203="","",IFERROR(VLOOKUP(B203,Articles!$A$5:$K$204,2,FALSE),"Référence inconnue"))</f>
        <v/>
      </c>
      <c r="E203" s="16"/>
      <c r="F203" s="16"/>
      <c r="G203" s="16"/>
      <c r="H203" s="17" t="str">
        <f t="shared" si="1"/>
        <v>0</v>
      </c>
      <c r="I203" s="17" t="str">
        <f t="shared" si="2"/>
        <v/>
      </c>
      <c r="J203" s="18" t="str">
        <f>IF(B203="","",IFERROR(G203*VLOOKUP(B203,Articles!$A$5:$K$204,8,FALSE),0))</f>
        <v/>
      </c>
      <c r="K203" s="16"/>
      <c r="L203" s="16"/>
      <c r="M203" s="17" t="str">
        <f t="shared" si="3"/>
        <v>À compléter</v>
      </c>
    </row>
    <row r="204" ht="15.75" customHeight="1">
      <c r="A204" s="15"/>
      <c r="B204" s="16"/>
      <c r="C204" s="16"/>
      <c r="D204" s="17" t="str">
        <f>IF(B204="","",IFERROR(VLOOKUP(B204,Articles!$A$5:$K$204,2,FALSE),"Référence inconnue"))</f>
        <v/>
      </c>
      <c r="E204" s="16"/>
      <c r="F204" s="16"/>
      <c r="G204" s="16"/>
      <c r="H204" s="17" t="str">
        <f t="shared" si="1"/>
        <v>0</v>
      </c>
      <c r="I204" s="17" t="str">
        <f t="shared" si="2"/>
        <v/>
      </c>
      <c r="J204" s="18" t="str">
        <f>IF(B204="","",IFERROR(G204*VLOOKUP(B204,Articles!$A$5:$K$204,8,FALSE),0))</f>
        <v/>
      </c>
      <c r="K204" s="16"/>
      <c r="L204" s="16"/>
      <c r="M204" s="17" t="str">
        <f t="shared" si="3"/>
        <v>À compléter</v>
      </c>
    </row>
    <row r="205" ht="15.75" customHeight="1">
      <c r="A205" s="15"/>
      <c r="B205" s="16"/>
      <c r="C205" s="16"/>
      <c r="D205" s="17" t="str">
        <f>IF(B205="","",IFERROR(VLOOKUP(B205,Articles!$A$5:$K$204,2,FALSE),"Référence inconnue"))</f>
        <v/>
      </c>
      <c r="E205" s="16"/>
      <c r="F205" s="16"/>
      <c r="G205" s="16"/>
      <c r="H205" s="17" t="str">
        <f t="shared" si="1"/>
        <v>0</v>
      </c>
      <c r="I205" s="17" t="str">
        <f t="shared" si="2"/>
        <v/>
      </c>
      <c r="J205" s="18" t="str">
        <f>IF(B205="","",IFERROR(G205*VLOOKUP(B205,Articles!$A$5:$K$204,8,FALSE),0))</f>
        <v/>
      </c>
      <c r="K205" s="16"/>
      <c r="L205" s="16"/>
      <c r="M205" s="17" t="str">
        <f t="shared" si="3"/>
        <v>À compléter</v>
      </c>
    </row>
    <row r="206" ht="15.75" customHeight="1">
      <c r="A206" s="15"/>
      <c r="B206" s="16"/>
      <c r="C206" s="16"/>
      <c r="D206" s="17" t="str">
        <f>IF(B206="","",IFERROR(VLOOKUP(B206,Articles!$A$5:$K$204,2,FALSE),"Référence inconnue"))</f>
        <v/>
      </c>
      <c r="E206" s="16"/>
      <c r="F206" s="16"/>
      <c r="G206" s="16"/>
      <c r="H206" s="17" t="str">
        <f t="shared" si="1"/>
        <v>0</v>
      </c>
      <c r="I206" s="17" t="str">
        <f t="shared" si="2"/>
        <v/>
      </c>
      <c r="J206" s="18" t="str">
        <f>IF(B206="","",IFERROR(G206*VLOOKUP(B206,Articles!$A$5:$K$204,8,FALSE),0))</f>
        <v/>
      </c>
      <c r="K206" s="16"/>
      <c r="L206" s="16"/>
      <c r="M206" s="17" t="str">
        <f t="shared" si="3"/>
        <v>À compléter</v>
      </c>
    </row>
    <row r="207" ht="15.75" customHeight="1">
      <c r="A207" s="15"/>
      <c r="B207" s="16"/>
      <c r="C207" s="16"/>
      <c r="D207" s="17" t="str">
        <f>IF(B207="","",IFERROR(VLOOKUP(B207,Articles!$A$5:$K$204,2,FALSE),"Référence inconnue"))</f>
        <v/>
      </c>
      <c r="E207" s="16"/>
      <c r="F207" s="16"/>
      <c r="G207" s="16"/>
      <c r="H207" s="17" t="str">
        <f t="shared" si="1"/>
        <v>0</v>
      </c>
      <c r="I207" s="17" t="str">
        <f t="shared" si="2"/>
        <v/>
      </c>
      <c r="J207" s="18" t="str">
        <f>IF(B207="","",IFERROR(G207*VLOOKUP(B207,Articles!$A$5:$K$204,8,FALSE),0))</f>
        <v/>
      </c>
      <c r="K207" s="16"/>
      <c r="L207" s="16"/>
      <c r="M207" s="17" t="str">
        <f t="shared" si="3"/>
        <v>À compléter</v>
      </c>
    </row>
    <row r="208" ht="15.75" customHeight="1">
      <c r="A208" s="15"/>
      <c r="B208" s="16"/>
      <c r="C208" s="16"/>
      <c r="D208" s="17" t="str">
        <f>IF(B208="","",IFERROR(VLOOKUP(B208,Articles!$A$5:$K$204,2,FALSE),"Référence inconnue"))</f>
        <v/>
      </c>
      <c r="E208" s="16"/>
      <c r="F208" s="16"/>
      <c r="G208" s="16"/>
      <c r="H208" s="17" t="str">
        <f t="shared" si="1"/>
        <v>0</v>
      </c>
      <c r="I208" s="17" t="str">
        <f t="shared" si="2"/>
        <v/>
      </c>
      <c r="J208" s="18" t="str">
        <f>IF(B208="","",IFERROR(G208*VLOOKUP(B208,Articles!$A$5:$K$204,8,FALSE),0))</f>
        <v/>
      </c>
      <c r="K208" s="16"/>
      <c r="L208" s="16"/>
      <c r="M208" s="17" t="str">
        <f t="shared" si="3"/>
        <v>À compléter</v>
      </c>
    </row>
    <row r="209" ht="15.75" customHeight="1">
      <c r="A209" s="15"/>
      <c r="B209" s="16"/>
      <c r="C209" s="16"/>
      <c r="D209" s="17" t="str">
        <f>IF(B209="","",IFERROR(VLOOKUP(B209,Articles!$A$5:$K$204,2,FALSE),"Référence inconnue"))</f>
        <v/>
      </c>
      <c r="E209" s="16"/>
      <c r="F209" s="16"/>
      <c r="G209" s="16"/>
      <c r="H209" s="17" t="str">
        <f t="shared" si="1"/>
        <v>0</v>
      </c>
      <c r="I209" s="17" t="str">
        <f t="shared" si="2"/>
        <v/>
      </c>
      <c r="J209" s="18" t="str">
        <f>IF(B209="","",IFERROR(G209*VLOOKUP(B209,Articles!$A$5:$K$204,8,FALSE),0))</f>
        <v/>
      </c>
      <c r="K209" s="16"/>
      <c r="L209" s="16"/>
      <c r="M209" s="17" t="str">
        <f t="shared" si="3"/>
        <v>À compléter</v>
      </c>
    </row>
    <row r="210" ht="15.75" customHeight="1">
      <c r="A210" s="15"/>
      <c r="B210" s="16"/>
      <c r="C210" s="16"/>
      <c r="D210" s="17" t="str">
        <f>IF(B210="","",IFERROR(VLOOKUP(B210,Articles!$A$5:$K$204,2,FALSE),"Référence inconnue"))</f>
        <v/>
      </c>
      <c r="E210" s="16"/>
      <c r="F210" s="16"/>
      <c r="G210" s="16"/>
      <c r="H210" s="17" t="str">
        <f t="shared" si="1"/>
        <v>0</v>
      </c>
      <c r="I210" s="17" t="str">
        <f t="shared" si="2"/>
        <v/>
      </c>
      <c r="J210" s="18" t="str">
        <f>IF(B210="","",IFERROR(G210*VLOOKUP(B210,Articles!$A$5:$K$204,8,FALSE),0))</f>
        <v/>
      </c>
      <c r="K210" s="16"/>
      <c r="L210" s="16"/>
      <c r="M210" s="17" t="str">
        <f t="shared" si="3"/>
        <v>À compléter</v>
      </c>
    </row>
    <row r="211" ht="15.75" customHeight="1">
      <c r="A211" s="15"/>
      <c r="B211" s="16"/>
      <c r="C211" s="16"/>
      <c r="D211" s="17" t="str">
        <f>IF(B211="","",IFERROR(VLOOKUP(B211,Articles!$A$5:$K$204,2,FALSE),"Référence inconnue"))</f>
        <v/>
      </c>
      <c r="E211" s="16"/>
      <c r="F211" s="16"/>
      <c r="G211" s="16"/>
      <c r="H211" s="17" t="str">
        <f t="shared" si="1"/>
        <v>0</v>
      </c>
      <c r="I211" s="17" t="str">
        <f t="shared" si="2"/>
        <v/>
      </c>
      <c r="J211" s="18" t="str">
        <f>IF(B211="","",IFERROR(G211*VLOOKUP(B211,Articles!$A$5:$K$204,8,FALSE),0))</f>
        <v/>
      </c>
      <c r="K211" s="16"/>
      <c r="L211" s="16"/>
      <c r="M211" s="17" t="str">
        <f t="shared" si="3"/>
        <v>À compléter</v>
      </c>
    </row>
    <row r="212" ht="15.75" customHeight="1">
      <c r="A212" s="15"/>
      <c r="B212" s="16"/>
      <c r="C212" s="16"/>
      <c r="D212" s="17" t="str">
        <f>IF(B212="","",IFERROR(VLOOKUP(B212,Articles!$A$5:$K$204,2,FALSE),"Référence inconnue"))</f>
        <v/>
      </c>
      <c r="E212" s="16"/>
      <c r="F212" s="16"/>
      <c r="G212" s="16"/>
      <c r="H212" s="17" t="str">
        <f t="shared" si="1"/>
        <v>0</v>
      </c>
      <c r="I212" s="17" t="str">
        <f t="shared" si="2"/>
        <v/>
      </c>
      <c r="J212" s="18" t="str">
        <f>IF(B212="","",IFERROR(G212*VLOOKUP(B212,Articles!$A$5:$K$204,8,FALSE),0))</f>
        <v/>
      </c>
      <c r="K212" s="16"/>
      <c r="L212" s="16"/>
      <c r="M212" s="17" t="str">
        <f t="shared" si="3"/>
        <v>À compléter</v>
      </c>
    </row>
    <row r="213" ht="15.75" customHeight="1">
      <c r="A213" s="15"/>
      <c r="B213" s="16"/>
      <c r="C213" s="16"/>
      <c r="D213" s="17" t="str">
        <f>IF(B213="","",IFERROR(VLOOKUP(B213,Articles!$A$5:$K$204,2,FALSE),"Référence inconnue"))</f>
        <v/>
      </c>
      <c r="E213" s="16"/>
      <c r="F213" s="16"/>
      <c r="G213" s="16"/>
      <c r="H213" s="17" t="str">
        <f t="shared" si="1"/>
        <v>0</v>
      </c>
      <c r="I213" s="17" t="str">
        <f t="shared" si="2"/>
        <v/>
      </c>
      <c r="J213" s="18" t="str">
        <f>IF(B213="","",IFERROR(G213*VLOOKUP(B213,Articles!$A$5:$K$204,8,FALSE),0))</f>
        <v/>
      </c>
      <c r="K213" s="16"/>
      <c r="L213" s="16"/>
      <c r="M213" s="17" t="str">
        <f t="shared" si="3"/>
        <v>À compléter</v>
      </c>
    </row>
    <row r="214" ht="15.75" customHeight="1">
      <c r="A214" s="15"/>
      <c r="B214" s="16"/>
      <c r="C214" s="16"/>
      <c r="D214" s="17" t="str">
        <f>IF(B214="","",IFERROR(VLOOKUP(B214,Articles!$A$5:$K$204,2,FALSE),"Référence inconnue"))</f>
        <v/>
      </c>
      <c r="E214" s="16"/>
      <c r="F214" s="16"/>
      <c r="G214" s="16"/>
      <c r="H214" s="17" t="str">
        <f t="shared" si="1"/>
        <v>0</v>
      </c>
      <c r="I214" s="17" t="str">
        <f t="shared" si="2"/>
        <v/>
      </c>
      <c r="J214" s="18" t="str">
        <f>IF(B214="","",IFERROR(G214*VLOOKUP(B214,Articles!$A$5:$K$204,8,FALSE),0))</f>
        <v/>
      </c>
      <c r="K214" s="16"/>
      <c r="L214" s="16"/>
      <c r="M214" s="17" t="str">
        <f t="shared" si="3"/>
        <v>À compléter</v>
      </c>
    </row>
    <row r="215" ht="15.75" customHeight="1">
      <c r="A215" s="15"/>
      <c r="B215" s="16"/>
      <c r="C215" s="16"/>
      <c r="D215" s="17" t="str">
        <f>IF(B215="","",IFERROR(VLOOKUP(B215,Articles!$A$5:$K$204,2,FALSE),"Référence inconnue"))</f>
        <v/>
      </c>
      <c r="E215" s="16"/>
      <c r="F215" s="16"/>
      <c r="G215" s="16"/>
      <c r="H215" s="17" t="str">
        <f t="shared" si="1"/>
        <v>0</v>
      </c>
      <c r="I215" s="17" t="str">
        <f t="shared" si="2"/>
        <v/>
      </c>
      <c r="J215" s="18" t="str">
        <f>IF(B215="","",IFERROR(G215*VLOOKUP(B215,Articles!$A$5:$K$204,8,FALSE),0))</f>
        <v/>
      </c>
      <c r="K215" s="16"/>
      <c r="L215" s="16"/>
      <c r="M215" s="17" t="str">
        <f t="shared" si="3"/>
        <v>À compléter</v>
      </c>
    </row>
    <row r="216" ht="15.75" customHeight="1">
      <c r="A216" s="15"/>
      <c r="B216" s="16"/>
      <c r="C216" s="16"/>
      <c r="D216" s="17" t="str">
        <f>IF(B216="","",IFERROR(VLOOKUP(B216,Articles!$A$5:$K$204,2,FALSE),"Référence inconnue"))</f>
        <v/>
      </c>
      <c r="E216" s="16"/>
      <c r="F216" s="16"/>
      <c r="G216" s="16"/>
      <c r="H216" s="17" t="str">
        <f t="shared" si="1"/>
        <v>0</v>
      </c>
      <c r="I216" s="17" t="str">
        <f t="shared" si="2"/>
        <v/>
      </c>
      <c r="J216" s="18" t="str">
        <f>IF(B216="","",IFERROR(G216*VLOOKUP(B216,Articles!$A$5:$K$204,8,FALSE),0))</f>
        <v/>
      </c>
      <c r="K216" s="16"/>
      <c r="L216" s="16"/>
      <c r="M216" s="17" t="str">
        <f t="shared" si="3"/>
        <v>À compléter</v>
      </c>
    </row>
    <row r="217" ht="15.75" customHeight="1">
      <c r="A217" s="15"/>
      <c r="B217" s="16"/>
      <c r="C217" s="16"/>
      <c r="D217" s="17" t="str">
        <f>IF(B217="","",IFERROR(VLOOKUP(B217,Articles!$A$5:$K$204,2,FALSE),"Référence inconnue"))</f>
        <v/>
      </c>
      <c r="E217" s="16"/>
      <c r="F217" s="16"/>
      <c r="G217" s="16"/>
      <c r="H217" s="17" t="str">
        <f t="shared" si="1"/>
        <v>0</v>
      </c>
      <c r="I217" s="17" t="str">
        <f t="shared" si="2"/>
        <v/>
      </c>
      <c r="J217" s="18" t="str">
        <f>IF(B217="","",IFERROR(G217*VLOOKUP(B217,Articles!$A$5:$K$204,8,FALSE),0))</f>
        <v/>
      </c>
      <c r="K217" s="16"/>
      <c r="L217" s="16"/>
      <c r="M217" s="17" t="str">
        <f t="shared" si="3"/>
        <v>À compléter</v>
      </c>
    </row>
    <row r="218" ht="15.75" customHeight="1">
      <c r="A218" s="15"/>
      <c r="B218" s="16"/>
      <c r="C218" s="16"/>
      <c r="D218" s="17" t="str">
        <f>IF(B218="","",IFERROR(VLOOKUP(B218,Articles!$A$5:$K$204,2,FALSE),"Référence inconnue"))</f>
        <v/>
      </c>
      <c r="E218" s="16"/>
      <c r="F218" s="16"/>
      <c r="G218" s="16"/>
      <c r="H218" s="17" t="str">
        <f t="shared" si="1"/>
        <v>0</v>
      </c>
      <c r="I218" s="17" t="str">
        <f t="shared" si="2"/>
        <v/>
      </c>
      <c r="J218" s="18" t="str">
        <f>IF(B218="","",IFERROR(G218*VLOOKUP(B218,Articles!$A$5:$K$204,8,FALSE),0))</f>
        <v/>
      </c>
      <c r="K218" s="16"/>
      <c r="L218" s="16"/>
      <c r="M218" s="17" t="str">
        <f t="shared" si="3"/>
        <v>À compléter</v>
      </c>
    </row>
    <row r="219" ht="15.75" customHeight="1">
      <c r="A219" s="15"/>
      <c r="B219" s="16"/>
      <c r="C219" s="16"/>
      <c r="D219" s="17" t="str">
        <f>IF(B219="","",IFERROR(VLOOKUP(B219,Articles!$A$5:$K$204,2,FALSE),"Référence inconnue"))</f>
        <v/>
      </c>
      <c r="E219" s="16"/>
      <c r="F219" s="16"/>
      <c r="G219" s="16"/>
      <c r="H219" s="17" t="str">
        <f t="shared" si="1"/>
        <v>0</v>
      </c>
      <c r="I219" s="17" t="str">
        <f t="shared" si="2"/>
        <v/>
      </c>
      <c r="J219" s="18" t="str">
        <f>IF(B219="","",IFERROR(G219*VLOOKUP(B219,Articles!$A$5:$K$204,8,FALSE),0))</f>
        <v/>
      </c>
      <c r="K219" s="16"/>
      <c r="L219" s="16"/>
      <c r="M219" s="17" t="str">
        <f t="shared" si="3"/>
        <v>À compléter</v>
      </c>
    </row>
    <row r="220" ht="15.75" customHeight="1">
      <c r="A220" s="15"/>
      <c r="B220" s="16"/>
      <c r="C220" s="16"/>
      <c r="D220" s="17" t="str">
        <f>IF(B220="","",IFERROR(VLOOKUP(B220,Articles!$A$5:$K$204,2,FALSE),"Référence inconnue"))</f>
        <v/>
      </c>
      <c r="E220" s="16"/>
      <c r="F220" s="16"/>
      <c r="G220" s="16"/>
      <c r="H220" s="17" t="str">
        <f t="shared" si="1"/>
        <v>0</v>
      </c>
      <c r="I220" s="17" t="str">
        <f t="shared" si="2"/>
        <v/>
      </c>
      <c r="J220" s="18" t="str">
        <f>IF(B220="","",IFERROR(G220*VLOOKUP(B220,Articles!$A$5:$K$204,8,FALSE),0))</f>
        <v/>
      </c>
      <c r="K220" s="16"/>
      <c r="L220" s="16"/>
      <c r="M220" s="17" t="str">
        <f t="shared" si="3"/>
        <v>À compléter</v>
      </c>
    </row>
    <row r="221" ht="15.75" customHeight="1">
      <c r="A221" s="15"/>
      <c r="B221" s="16"/>
      <c r="C221" s="16"/>
      <c r="D221" s="17" t="str">
        <f>IF(B221="","",IFERROR(VLOOKUP(B221,Articles!$A$5:$K$204,2,FALSE),"Référence inconnue"))</f>
        <v/>
      </c>
      <c r="E221" s="16"/>
      <c r="F221" s="16"/>
      <c r="G221" s="16"/>
      <c r="H221" s="17" t="str">
        <f t="shared" si="1"/>
        <v>0</v>
      </c>
      <c r="I221" s="17" t="str">
        <f t="shared" si="2"/>
        <v/>
      </c>
      <c r="J221" s="18" t="str">
        <f>IF(B221="","",IFERROR(G221*VLOOKUP(B221,Articles!$A$5:$K$204,8,FALSE),0))</f>
        <v/>
      </c>
      <c r="K221" s="16"/>
      <c r="L221" s="16"/>
      <c r="M221" s="17" t="str">
        <f t="shared" si="3"/>
        <v>À compléter</v>
      </c>
    </row>
    <row r="222" ht="15.75" customHeight="1">
      <c r="A222" s="15"/>
      <c r="B222" s="16"/>
      <c r="C222" s="16"/>
      <c r="D222" s="17" t="str">
        <f>IF(B222="","",IFERROR(VLOOKUP(B222,Articles!$A$5:$K$204,2,FALSE),"Référence inconnue"))</f>
        <v/>
      </c>
      <c r="E222" s="16"/>
      <c r="F222" s="16"/>
      <c r="G222" s="16"/>
      <c r="H222" s="17" t="str">
        <f t="shared" si="1"/>
        <v>0</v>
      </c>
      <c r="I222" s="17" t="str">
        <f t="shared" si="2"/>
        <v/>
      </c>
      <c r="J222" s="18" t="str">
        <f>IF(B222="","",IFERROR(G222*VLOOKUP(B222,Articles!$A$5:$K$204,8,FALSE),0))</f>
        <v/>
      </c>
      <c r="K222" s="16"/>
      <c r="L222" s="16"/>
      <c r="M222" s="17" t="str">
        <f t="shared" si="3"/>
        <v>À compléter</v>
      </c>
    </row>
    <row r="223" ht="15.75" customHeight="1">
      <c r="A223" s="15"/>
      <c r="B223" s="16"/>
      <c r="C223" s="16"/>
      <c r="D223" s="17" t="str">
        <f>IF(B223="","",IFERROR(VLOOKUP(B223,Articles!$A$5:$K$204,2,FALSE),"Référence inconnue"))</f>
        <v/>
      </c>
      <c r="E223" s="16"/>
      <c r="F223" s="16"/>
      <c r="G223" s="16"/>
      <c r="H223" s="17" t="str">
        <f t="shared" si="1"/>
        <v>0</v>
      </c>
      <c r="I223" s="17" t="str">
        <f t="shared" si="2"/>
        <v/>
      </c>
      <c r="J223" s="18" t="str">
        <f>IF(B223="","",IFERROR(G223*VLOOKUP(B223,Articles!$A$5:$K$204,8,FALSE),0))</f>
        <v/>
      </c>
      <c r="K223" s="16"/>
      <c r="L223" s="16"/>
      <c r="M223" s="17" t="str">
        <f t="shared" si="3"/>
        <v>À compléter</v>
      </c>
    </row>
    <row r="224" ht="15.75" customHeight="1">
      <c r="A224" s="15"/>
      <c r="B224" s="16"/>
      <c r="C224" s="16"/>
      <c r="D224" s="17" t="str">
        <f>IF(B224="","",IFERROR(VLOOKUP(B224,Articles!$A$5:$K$204,2,FALSE),"Référence inconnue"))</f>
        <v/>
      </c>
      <c r="E224" s="16"/>
      <c r="F224" s="16"/>
      <c r="G224" s="16"/>
      <c r="H224" s="17" t="str">
        <f t="shared" si="1"/>
        <v>0</v>
      </c>
      <c r="I224" s="17" t="str">
        <f t="shared" si="2"/>
        <v/>
      </c>
      <c r="J224" s="18" t="str">
        <f>IF(B224="","",IFERROR(G224*VLOOKUP(B224,Articles!$A$5:$K$204,8,FALSE),0))</f>
        <v/>
      </c>
      <c r="K224" s="16"/>
      <c r="L224" s="16"/>
      <c r="M224" s="17" t="str">
        <f t="shared" si="3"/>
        <v>À compléter</v>
      </c>
    </row>
    <row r="225" ht="15.75" customHeight="1">
      <c r="A225" s="15"/>
      <c r="B225" s="16"/>
      <c r="C225" s="16"/>
      <c r="D225" s="17" t="str">
        <f>IF(B225="","",IFERROR(VLOOKUP(B225,Articles!$A$5:$K$204,2,FALSE),"Référence inconnue"))</f>
        <v/>
      </c>
      <c r="E225" s="16"/>
      <c r="F225" s="16"/>
      <c r="G225" s="16"/>
      <c r="H225" s="17" t="str">
        <f t="shared" si="1"/>
        <v>0</v>
      </c>
      <c r="I225" s="17" t="str">
        <f t="shared" si="2"/>
        <v/>
      </c>
      <c r="J225" s="18" t="str">
        <f>IF(B225="","",IFERROR(G225*VLOOKUP(B225,Articles!$A$5:$K$204,8,FALSE),0))</f>
        <v/>
      </c>
      <c r="K225" s="16"/>
      <c r="L225" s="16"/>
      <c r="M225" s="17" t="str">
        <f t="shared" si="3"/>
        <v>À compléter</v>
      </c>
    </row>
    <row r="226" ht="15.75" customHeight="1">
      <c r="A226" s="15"/>
      <c r="B226" s="16"/>
      <c r="C226" s="16"/>
      <c r="D226" s="17" t="str">
        <f>IF(B226="","",IFERROR(VLOOKUP(B226,Articles!$A$5:$K$204,2,FALSE),"Référence inconnue"))</f>
        <v/>
      </c>
      <c r="E226" s="16"/>
      <c r="F226" s="16"/>
      <c r="G226" s="16"/>
      <c r="H226" s="17" t="str">
        <f t="shared" si="1"/>
        <v>0</v>
      </c>
      <c r="I226" s="17" t="str">
        <f t="shared" si="2"/>
        <v/>
      </c>
      <c r="J226" s="18" t="str">
        <f>IF(B226="","",IFERROR(G226*VLOOKUP(B226,Articles!$A$5:$K$204,8,FALSE),0))</f>
        <v/>
      </c>
      <c r="K226" s="16"/>
      <c r="L226" s="16"/>
      <c r="M226" s="17" t="str">
        <f t="shared" si="3"/>
        <v>À compléter</v>
      </c>
    </row>
    <row r="227" ht="15.75" customHeight="1">
      <c r="A227" s="15"/>
      <c r="B227" s="16"/>
      <c r="C227" s="16"/>
      <c r="D227" s="17" t="str">
        <f>IF(B227="","",IFERROR(VLOOKUP(B227,Articles!$A$5:$K$204,2,FALSE),"Référence inconnue"))</f>
        <v/>
      </c>
      <c r="E227" s="16"/>
      <c r="F227" s="16"/>
      <c r="G227" s="16"/>
      <c r="H227" s="17" t="str">
        <f t="shared" si="1"/>
        <v>0</v>
      </c>
      <c r="I227" s="17" t="str">
        <f t="shared" si="2"/>
        <v/>
      </c>
      <c r="J227" s="18" t="str">
        <f>IF(B227="","",IFERROR(G227*VLOOKUP(B227,Articles!$A$5:$K$204,8,FALSE),0))</f>
        <v/>
      </c>
      <c r="K227" s="16"/>
      <c r="L227" s="16"/>
      <c r="M227" s="17" t="str">
        <f t="shared" si="3"/>
        <v>À compléter</v>
      </c>
    </row>
    <row r="228" ht="15.75" customHeight="1">
      <c r="A228" s="15"/>
      <c r="B228" s="16"/>
      <c r="C228" s="16"/>
      <c r="D228" s="17" t="str">
        <f>IF(B228="","",IFERROR(VLOOKUP(B228,Articles!$A$5:$K$204,2,FALSE),"Référence inconnue"))</f>
        <v/>
      </c>
      <c r="E228" s="16"/>
      <c r="F228" s="16"/>
      <c r="G228" s="16"/>
      <c r="H228" s="17" t="str">
        <f t="shared" si="1"/>
        <v>0</v>
      </c>
      <c r="I228" s="17" t="str">
        <f t="shared" si="2"/>
        <v/>
      </c>
      <c r="J228" s="18" t="str">
        <f>IF(B228="","",IFERROR(G228*VLOOKUP(B228,Articles!$A$5:$K$204,8,FALSE),0))</f>
        <v/>
      </c>
      <c r="K228" s="16"/>
      <c r="L228" s="16"/>
      <c r="M228" s="17" t="str">
        <f t="shared" si="3"/>
        <v>À compléter</v>
      </c>
    </row>
    <row r="229" ht="15.75" customHeight="1">
      <c r="A229" s="15"/>
      <c r="B229" s="16"/>
      <c r="C229" s="16"/>
      <c r="D229" s="17" t="str">
        <f>IF(B229="","",IFERROR(VLOOKUP(B229,Articles!$A$5:$K$204,2,FALSE),"Référence inconnue"))</f>
        <v/>
      </c>
      <c r="E229" s="16"/>
      <c r="F229" s="16"/>
      <c r="G229" s="16"/>
      <c r="H229" s="17" t="str">
        <f t="shared" si="1"/>
        <v>0</v>
      </c>
      <c r="I229" s="17" t="str">
        <f t="shared" si="2"/>
        <v/>
      </c>
      <c r="J229" s="18" t="str">
        <f>IF(B229="","",IFERROR(G229*VLOOKUP(B229,Articles!$A$5:$K$204,8,FALSE),0))</f>
        <v/>
      </c>
      <c r="K229" s="16"/>
      <c r="L229" s="16"/>
      <c r="M229" s="17" t="str">
        <f t="shared" si="3"/>
        <v>À compléter</v>
      </c>
    </row>
    <row r="230" ht="15.75" customHeight="1">
      <c r="A230" s="15"/>
      <c r="B230" s="16"/>
      <c r="C230" s="16"/>
      <c r="D230" s="17" t="str">
        <f>IF(B230="","",IFERROR(VLOOKUP(B230,Articles!$A$5:$K$204,2,FALSE),"Référence inconnue"))</f>
        <v/>
      </c>
      <c r="E230" s="16"/>
      <c r="F230" s="16"/>
      <c r="G230" s="16"/>
      <c r="H230" s="17" t="str">
        <f t="shared" si="1"/>
        <v>0</v>
      </c>
      <c r="I230" s="17" t="str">
        <f t="shared" si="2"/>
        <v/>
      </c>
      <c r="J230" s="18" t="str">
        <f>IF(B230="","",IFERROR(G230*VLOOKUP(B230,Articles!$A$5:$K$204,8,FALSE),0))</f>
        <v/>
      </c>
      <c r="K230" s="16"/>
      <c r="L230" s="16"/>
      <c r="M230" s="17" t="str">
        <f t="shared" si="3"/>
        <v>À compléter</v>
      </c>
    </row>
    <row r="231" ht="15.75" customHeight="1">
      <c r="A231" s="15"/>
      <c r="B231" s="16"/>
      <c r="C231" s="16"/>
      <c r="D231" s="17" t="str">
        <f>IF(B231="","",IFERROR(VLOOKUP(B231,Articles!$A$5:$K$204,2,FALSE),"Référence inconnue"))</f>
        <v/>
      </c>
      <c r="E231" s="16"/>
      <c r="F231" s="16"/>
      <c r="G231" s="16"/>
      <c r="H231" s="17" t="str">
        <f t="shared" si="1"/>
        <v>0</v>
      </c>
      <c r="I231" s="17" t="str">
        <f t="shared" si="2"/>
        <v/>
      </c>
      <c r="J231" s="18" t="str">
        <f>IF(B231="","",IFERROR(G231*VLOOKUP(B231,Articles!$A$5:$K$204,8,FALSE),0))</f>
        <v/>
      </c>
      <c r="K231" s="16"/>
      <c r="L231" s="16"/>
      <c r="M231" s="17" t="str">
        <f t="shared" si="3"/>
        <v>À compléter</v>
      </c>
    </row>
    <row r="232" ht="15.75" customHeight="1">
      <c r="A232" s="15"/>
      <c r="B232" s="16"/>
      <c r="C232" s="16"/>
      <c r="D232" s="17" t="str">
        <f>IF(B232="","",IFERROR(VLOOKUP(B232,Articles!$A$5:$K$204,2,FALSE),"Référence inconnue"))</f>
        <v/>
      </c>
      <c r="E232" s="16"/>
      <c r="F232" s="16"/>
      <c r="G232" s="16"/>
      <c r="H232" s="17" t="str">
        <f t="shared" si="1"/>
        <v>0</v>
      </c>
      <c r="I232" s="17" t="str">
        <f t="shared" si="2"/>
        <v/>
      </c>
      <c r="J232" s="18" t="str">
        <f>IF(B232="","",IFERROR(G232*VLOOKUP(B232,Articles!$A$5:$K$204,8,FALSE),0))</f>
        <v/>
      </c>
      <c r="K232" s="16"/>
      <c r="L232" s="16"/>
      <c r="M232" s="17" t="str">
        <f t="shared" si="3"/>
        <v>À compléter</v>
      </c>
    </row>
    <row r="233" ht="15.75" customHeight="1">
      <c r="A233" s="15"/>
      <c r="B233" s="16"/>
      <c r="C233" s="16"/>
      <c r="D233" s="17" t="str">
        <f>IF(B233="","",IFERROR(VLOOKUP(B233,Articles!$A$5:$K$204,2,FALSE),"Référence inconnue"))</f>
        <v/>
      </c>
      <c r="E233" s="16"/>
      <c r="F233" s="16"/>
      <c r="G233" s="16"/>
      <c r="H233" s="17" t="str">
        <f t="shared" si="1"/>
        <v>0</v>
      </c>
      <c r="I233" s="17" t="str">
        <f t="shared" si="2"/>
        <v/>
      </c>
      <c r="J233" s="18" t="str">
        <f>IF(B233="","",IFERROR(G233*VLOOKUP(B233,Articles!$A$5:$K$204,8,FALSE),0))</f>
        <v/>
      </c>
      <c r="K233" s="16"/>
      <c r="L233" s="16"/>
      <c r="M233" s="17" t="str">
        <f t="shared" si="3"/>
        <v>À compléter</v>
      </c>
    </row>
    <row r="234" ht="15.75" customHeight="1">
      <c r="A234" s="15"/>
      <c r="B234" s="16"/>
      <c r="C234" s="16"/>
      <c r="D234" s="17" t="str">
        <f>IF(B234="","",IFERROR(VLOOKUP(B234,Articles!$A$5:$K$204,2,FALSE),"Référence inconnue"))</f>
        <v/>
      </c>
      <c r="E234" s="16"/>
      <c r="F234" s="16"/>
      <c r="G234" s="16"/>
      <c r="H234" s="17" t="str">
        <f t="shared" si="1"/>
        <v>0</v>
      </c>
      <c r="I234" s="17" t="str">
        <f t="shared" si="2"/>
        <v/>
      </c>
      <c r="J234" s="18" t="str">
        <f>IF(B234="","",IFERROR(G234*VLOOKUP(B234,Articles!$A$5:$K$204,8,FALSE),0))</f>
        <v/>
      </c>
      <c r="K234" s="16"/>
      <c r="L234" s="16"/>
      <c r="M234" s="17" t="str">
        <f t="shared" si="3"/>
        <v>À compléter</v>
      </c>
    </row>
    <row r="235" ht="15.75" customHeight="1">
      <c r="A235" s="15"/>
      <c r="B235" s="16"/>
      <c r="C235" s="16"/>
      <c r="D235" s="17" t="str">
        <f>IF(B235="","",IFERROR(VLOOKUP(B235,Articles!$A$5:$K$204,2,FALSE),"Référence inconnue"))</f>
        <v/>
      </c>
      <c r="E235" s="16"/>
      <c r="F235" s="16"/>
      <c r="G235" s="16"/>
      <c r="H235" s="17" t="str">
        <f t="shared" si="1"/>
        <v>0</v>
      </c>
      <c r="I235" s="17" t="str">
        <f t="shared" si="2"/>
        <v/>
      </c>
      <c r="J235" s="18" t="str">
        <f>IF(B235="","",IFERROR(G235*VLOOKUP(B235,Articles!$A$5:$K$204,8,FALSE),0))</f>
        <v/>
      </c>
      <c r="K235" s="16"/>
      <c r="L235" s="16"/>
      <c r="M235" s="17" t="str">
        <f t="shared" si="3"/>
        <v>À compléter</v>
      </c>
    </row>
    <row r="236" ht="15.75" customHeight="1">
      <c r="A236" s="15"/>
      <c r="B236" s="16"/>
      <c r="C236" s="16"/>
      <c r="D236" s="17" t="str">
        <f>IF(B236="","",IFERROR(VLOOKUP(B236,Articles!$A$5:$K$204,2,FALSE),"Référence inconnue"))</f>
        <v/>
      </c>
      <c r="E236" s="16"/>
      <c r="F236" s="16"/>
      <c r="G236" s="16"/>
      <c r="H236" s="17" t="str">
        <f t="shared" si="1"/>
        <v>0</v>
      </c>
      <c r="I236" s="17" t="str">
        <f t="shared" si="2"/>
        <v/>
      </c>
      <c r="J236" s="18" t="str">
        <f>IF(B236="","",IFERROR(G236*VLOOKUP(B236,Articles!$A$5:$K$204,8,FALSE),0))</f>
        <v/>
      </c>
      <c r="K236" s="16"/>
      <c r="L236" s="16"/>
      <c r="M236" s="17" t="str">
        <f t="shared" si="3"/>
        <v>À compléter</v>
      </c>
    </row>
    <row r="237" ht="15.75" customHeight="1">
      <c r="A237" s="15"/>
      <c r="B237" s="16"/>
      <c r="C237" s="16"/>
      <c r="D237" s="17" t="str">
        <f>IF(B237="","",IFERROR(VLOOKUP(B237,Articles!$A$5:$K$204,2,FALSE),"Référence inconnue"))</f>
        <v/>
      </c>
      <c r="E237" s="16"/>
      <c r="F237" s="16"/>
      <c r="G237" s="16"/>
      <c r="H237" s="17" t="str">
        <f t="shared" si="1"/>
        <v>0</v>
      </c>
      <c r="I237" s="17" t="str">
        <f t="shared" si="2"/>
        <v/>
      </c>
      <c r="J237" s="18" t="str">
        <f>IF(B237="","",IFERROR(G237*VLOOKUP(B237,Articles!$A$5:$K$204,8,FALSE),0))</f>
        <v/>
      </c>
      <c r="K237" s="16"/>
      <c r="L237" s="16"/>
      <c r="M237" s="17" t="str">
        <f t="shared" si="3"/>
        <v>À compléter</v>
      </c>
    </row>
    <row r="238" ht="15.75" customHeight="1">
      <c r="A238" s="15"/>
      <c r="B238" s="16"/>
      <c r="C238" s="16"/>
      <c r="D238" s="17" t="str">
        <f>IF(B238="","",IFERROR(VLOOKUP(B238,Articles!$A$5:$K$204,2,FALSE),"Référence inconnue"))</f>
        <v/>
      </c>
      <c r="E238" s="16"/>
      <c r="F238" s="16"/>
      <c r="G238" s="16"/>
      <c r="H238" s="17" t="str">
        <f t="shared" si="1"/>
        <v>0</v>
      </c>
      <c r="I238" s="17" t="str">
        <f t="shared" si="2"/>
        <v/>
      </c>
      <c r="J238" s="18" t="str">
        <f>IF(B238="","",IFERROR(G238*VLOOKUP(B238,Articles!$A$5:$K$204,8,FALSE),0))</f>
        <v/>
      </c>
      <c r="K238" s="16"/>
      <c r="L238" s="16"/>
      <c r="M238" s="17" t="str">
        <f t="shared" si="3"/>
        <v>À compléter</v>
      </c>
    </row>
    <row r="239" ht="15.75" customHeight="1">
      <c r="A239" s="15"/>
      <c r="B239" s="16"/>
      <c r="C239" s="16"/>
      <c r="D239" s="17" t="str">
        <f>IF(B239="","",IFERROR(VLOOKUP(B239,Articles!$A$5:$K$204,2,FALSE),"Référence inconnue"))</f>
        <v/>
      </c>
      <c r="E239" s="16"/>
      <c r="F239" s="16"/>
      <c r="G239" s="16"/>
      <c r="H239" s="17" t="str">
        <f t="shared" si="1"/>
        <v>0</v>
      </c>
      <c r="I239" s="17" t="str">
        <f t="shared" si="2"/>
        <v/>
      </c>
      <c r="J239" s="18" t="str">
        <f>IF(B239="","",IFERROR(G239*VLOOKUP(B239,Articles!$A$5:$K$204,8,FALSE),0))</f>
        <v/>
      </c>
      <c r="K239" s="16"/>
      <c r="L239" s="16"/>
      <c r="M239" s="17" t="str">
        <f t="shared" si="3"/>
        <v>À compléter</v>
      </c>
    </row>
    <row r="240" ht="15.75" customHeight="1">
      <c r="A240" s="15"/>
      <c r="B240" s="16"/>
      <c r="C240" s="16"/>
      <c r="D240" s="17" t="str">
        <f>IF(B240="","",IFERROR(VLOOKUP(B240,Articles!$A$5:$K$204,2,FALSE),"Référence inconnue"))</f>
        <v/>
      </c>
      <c r="E240" s="16"/>
      <c r="F240" s="16"/>
      <c r="G240" s="16"/>
      <c r="H240" s="17" t="str">
        <f t="shared" si="1"/>
        <v>0</v>
      </c>
      <c r="I240" s="17" t="str">
        <f t="shared" si="2"/>
        <v/>
      </c>
      <c r="J240" s="18" t="str">
        <f>IF(B240="","",IFERROR(G240*VLOOKUP(B240,Articles!$A$5:$K$204,8,FALSE),0))</f>
        <v/>
      </c>
      <c r="K240" s="16"/>
      <c r="L240" s="16"/>
      <c r="M240" s="17" t="str">
        <f t="shared" si="3"/>
        <v>À compléter</v>
      </c>
    </row>
    <row r="241" ht="15.75" customHeight="1">
      <c r="A241" s="15"/>
      <c r="B241" s="16"/>
      <c r="C241" s="16"/>
      <c r="D241" s="17" t="str">
        <f>IF(B241="","",IFERROR(VLOOKUP(B241,Articles!$A$5:$K$204,2,FALSE),"Référence inconnue"))</f>
        <v/>
      </c>
      <c r="E241" s="16"/>
      <c r="F241" s="16"/>
      <c r="G241" s="16"/>
      <c r="H241" s="17" t="str">
        <f t="shared" si="1"/>
        <v>0</v>
      </c>
      <c r="I241" s="17" t="str">
        <f t="shared" si="2"/>
        <v/>
      </c>
      <c r="J241" s="18" t="str">
        <f>IF(B241="","",IFERROR(G241*VLOOKUP(B241,Articles!$A$5:$K$204,8,FALSE),0))</f>
        <v/>
      </c>
      <c r="K241" s="16"/>
      <c r="L241" s="16"/>
      <c r="M241" s="17" t="str">
        <f t="shared" si="3"/>
        <v>À compléter</v>
      </c>
    </row>
    <row r="242" ht="15.75" customHeight="1">
      <c r="A242" s="15"/>
      <c r="B242" s="16"/>
      <c r="C242" s="16"/>
      <c r="D242" s="17" t="str">
        <f>IF(B242="","",IFERROR(VLOOKUP(B242,Articles!$A$5:$K$204,2,FALSE),"Référence inconnue"))</f>
        <v/>
      </c>
      <c r="E242" s="16"/>
      <c r="F242" s="16"/>
      <c r="G242" s="16"/>
      <c r="H242" s="17" t="str">
        <f t="shared" si="1"/>
        <v>0</v>
      </c>
      <c r="I242" s="17" t="str">
        <f t="shared" si="2"/>
        <v/>
      </c>
      <c r="J242" s="18" t="str">
        <f>IF(B242="","",IFERROR(G242*VLOOKUP(B242,Articles!$A$5:$K$204,8,FALSE),0))</f>
        <v/>
      </c>
      <c r="K242" s="16"/>
      <c r="L242" s="16"/>
      <c r="M242" s="17" t="str">
        <f t="shared" si="3"/>
        <v>À compléter</v>
      </c>
    </row>
    <row r="243" ht="15.75" customHeight="1">
      <c r="A243" s="15"/>
      <c r="B243" s="16"/>
      <c r="C243" s="16"/>
      <c r="D243" s="17" t="str">
        <f>IF(B243="","",IFERROR(VLOOKUP(B243,Articles!$A$5:$K$204,2,FALSE),"Référence inconnue"))</f>
        <v/>
      </c>
      <c r="E243" s="16"/>
      <c r="F243" s="16"/>
      <c r="G243" s="16"/>
      <c r="H243" s="17" t="str">
        <f t="shared" si="1"/>
        <v>0</v>
      </c>
      <c r="I243" s="17" t="str">
        <f t="shared" si="2"/>
        <v/>
      </c>
      <c r="J243" s="18" t="str">
        <f>IF(B243="","",IFERROR(G243*VLOOKUP(B243,Articles!$A$5:$K$204,8,FALSE),0))</f>
        <v/>
      </c>
      <c r="K243" s="16"/>
      <c r="L243" s="16"/>
      <c r="M243" s="17" t="str">
        <f t="shared" si="3"/>
        <v>À compléter</v>
      </c>
    </row>
    <row r="244" ht="15.75" customHeight="1">
      <c r="A244" s="15"/>
      <c r="B244" s="16"/>
      <c r="C244" s="16"/>
      <c r="D244" s="17" t="str">
        <f>IF(B244="","",IFERROR(VLOOKUP(B244,Articles!$A$5:$K$204,2,FALSE),"Référence inconnue"))</f>
        <v/>
      </c>
      <c r="E244" s="16"/>
      <c r="F244" s="16"/>
      <c r="G244" s="16"/>
      <c r="H244" s="17" t="str">
        <f t="shared" si="1"/>
        <v>0</v>
      </c>
      <c r="I244" s="17" t="str">
        <f t="shared" si="2"/>
        <v/>
      </c>
      <c r="J244" s="18" t="str">
        <f>IF(B244="","",IFERROR(G244*VLOOKUP(B244,Articles!$A$5:$K$204,8,FALSE),0))</f>
        <v/>
      </c>
      <c r="K244" s="16"/>
      <c r="L244" s="16"/>
      <c r="M244" s="17" t="str">
        <f t="shared" si="3"/>
        <v>À compléter</v>
      </c>
    </row>
    <row r="245" ht="15.75" customHeight="1">
      <c r="A245" s="15"/>
      <c r="B245" s="16"/>
      <c r="C245" s="16"/>
      <c r="D245" s="17" t="str">
        <f>IF(B245="","",IFERROR(VLOOKUP(B245,Articles!$A$5:$K$204,2,FALSE),"Référence inconnue"))</f>
        <v/>
      </c>
      <c r="E245" s="16"/>
      <c r="F245" s="16"/>
      <c r="G245" s="16"/>
      <c r="H245" s="17" t="str">
        <f t="shared" si="1"/>
        <v>0</v>
      </c>
      <c r="I245" s="17" t="str">
        <f t="shared" si="2"/>
        <v/>
      </c>
      <c r="J245" s="18" t="str">
        <f>IF(B245="","",IFERROR(G245*VLOOKUP(B245,Articles!$A$5:$K$204,8,FALSE),0))</f>
        <v/>
      </c>
      <c r="K245" s="16"/>
      <c r="L245" s="16"/>
      <c r="M245" s="17" t="str">
        <f t="shared" si="3"/>
        <v>À compléter</v>
      </c>
    </row>
    <row r="246" ht="15.75" customHeight="1">
      <c r="A246" s="15"/>
      <c r="B246" s="16"/>
      <c r="C246" s="16"/>
      <c r="D246" s="17" t="str">
        <f>IF(B246="","",IFERROR(VLOOKUP(B246,Articles!$A$5:$K$204,2,FALSE),"Référence inconnue"))</f>
        <v/>
      </c>
      <c r="E246" s="16"/>
      <c r="F246" s="16"/>
      <c r="G246" s="16"/>
      <c r="H246" s="17" t="str">
        <f t="shared" si="1"/>
        <v>0</v>
      </c>
      <c r="I246" s="17" t="str">
        <f t="shared" si="2"/>
        <v/>
      </c>
      <c r="J246" s="18" t="str">
        <f>IF(B246="","",IFERROR(G246*VLOOKUP(B246,Articles!$A$5:$K$204,8,FALSE),0))</f>
        <v/>
      </c>
      <c r="K246" s="16"/>
      <c r="L246" s="16"/>
      <c r="M246" s="17" t="str">
        <f t="shared" si="3"/>
        <v>À compléter</v>
      </c>
    </row>
    <row r="247" ht="15.75" customHeight="1">
      <c r="A247" s="15"/>
      <c r="B247" s="16"/>
      <c r="C247" s="16"/>
      <c r="D247" s="17" t="str">
        <f>IF(B247="","",IFERROR(VLOOKUP(B247,Articles!$A$5:$K$204,2,FALSE),"Référence inconnue"))</f>
        <v/>
      </c>
      <c r="E247" s="16"/>
      <c r="F247" s="16"/>
      <c r="G247" s="16"/>
      <c r="H247" s="17" t="str">
        <f t="shared" si="1"/>
        <v>0</v>
      </c>
      <c r="I247" s="17" t="str">
        <f t="shared" si="2"/>
        <v/>
      </c>
      <c r="J247" s="18" t="str">
        <f>IF(B247="","",IFERROR(G247*VLOOKUP(B247,Articles!$A$5:$K$204,8,FALSE),0))</f>
        <v/>
      </c>
      <c r="K247" s="16"/>
      <c r="L247" s="16"/>
      <c r="M247" s="17" t="str">
        <f t="shared" si="3"/>
        <v>À compléter</v>
      </c>
    </row>
    <row r="248" ht="15.75" customHeight="1">
      <c r="A248" s="15"/>
      <c r="B248" s="16"/>
      <c r="C248" s="16"/>
      <c r="D248" s="17" t="str">
        <f>IF(B248="","",IFERROR(VLOOKUP(B248,Articles!$A$5:$K$204,2,FALSE),"Référence inconnue"))</f>
        <v/>
      </c>
      <c r="E248" s="16"/>
      <c r="F248" s="16"/>
      <c r="G248" s="16"/>
      <c r="H248" s="17" t="str">
        <f t="shared" si="1"/>
        <v>0</v>
      </c>
      <c r="I248" s="17" t="str">
        <f t="shared" si="2"/>
        <v/>
      </c>
      <c r="J248" s="18" t="str">
        <f>IF(B248="","",IFERROR(G248*VLOOKUP(B248,Articles!$A$5:$K$204,8,FALSE),0))</f>
        <v/>
      </c>
      <c r="K248" s="16"/>
      <c r="L248" s="16"/>
      <c r="M248" s="17" t="str">
        <f t="shared" si="3"/>
        <v>À compléter</v>
      </c>
    </row>
    <row r="249" ht="15.75" customHeight="1">
      <c r="A249" s="15"/>
      <c r="B249" s="16"/>
      <c r="C249" s="16"/>
      <c r="D249" s="17" t="str">
        <f>IF(B249="","",IFERROR(VLOOKUP(B249,Articles!$A$5:$K$204,2,FALSE),"Référence inconnue"))</f>
        <v/>
      </c>
      <c r="E249" s="16"/>
      <c r="F249" s="16"/>
      <c r="G249" s="16"/>
      <c r="H249" s="17" t="str">
        <f t="shared" si="1"/>
        <v>0</v>
      </c>
      <c r="I249" s="17" t="str">
        <f t="shared" si="2"/>
        <v/>
      </c>
      <c r="J249" s="18" t="str">
        <f>IF(B249="","",IFERROR(G249*VLOOKUP(B249,Articles!$A$5:$K$204,8,FALSE),0))</f>
        <v/>
      </c>
      <c r="K249" s="16"/>
      <c r="L249" s="16"/>
      <c r="M249" s="17" t="str">
        <f t="shared" si="3"/>
        <v>À compléter</v>
      </c>
    </row>
    <row r="250" ht="15.75" customHeight="1">
      <c r="A250" s="15"/>
      <c r="B250" s="16"/>
      <c r="C250" s="16"/>
      <c r="D250" s="17" t="str">
        <f>IF(B250="","",IFERROR(VLOOKUP(B250,Articles!$A$5:$K$204,2,FALSE),"Référence inconnue"))</f>
        <v/>
      </c>
      <c r="E250" s="16"/>
      <c r="F250" s="16"/>
      <c r="G250" s="16"/>
      <c r="H250" s="17" t="str">
        <f t="shared" si="1"/>
        <v>0</v>
      </c>
      <c r="I250" s="17" t="str">
        <f t="shared" si="2"/>
        <v/>
      </c>
      <c r="J250" s="18" t="str">
        <f>IF(B250="","",IFERROR(G250*VLOOKUP(B250,Articles!$A$5:$K$204,8,FALSE),0))</f>
        <v/>
      </c>
      <c r="K250" s="16"/>
      <c r="L250" s="16"/>
      <c r="M250" s="17" t="str">
        <f t="shared" si="3"/>
        <v>À compléter</v>
      </c>
    </row>
    <row r="251" ht="15.75" customHeight="1">
      <c r="A251" s="15"/>
      <c r="B251" s="16"/>
      <c r="C251" s="16"/>
      <c r="D251" s="17" t="str">
        <f>IF(B251="","",IFERROR(VLOOKUP(B251,Articles!$A$5:$K$204,2,FALSE),"Référence inconnue"))</f>
        <v/>
      </c>
      <c r="E251" s="16"/>
      <c r="F251" s="16"/>
      <c r="G251" s="16"/>
      <c r="H251" s="17" t="str">
        <f t="shared" si="1"/>
        <v>0</v>
      </c>
      <c r="I251" s="17" t="str">
        <f t="shared" si="2"/>
        <v/>
      </c>
      <c r="J251" s="18" t="str">
        <f>IF(B251="","",IFERROR(G251*VLOOKUP(B251,Articles!$A$5:$K$204,8,FALSE),0))</f>
        <v/>
      </c>
      <c r="K251" s="16"/>
      <c r="L251" s="16"/>
      <c r="M251" s="17" t="str">
        <f t="shared" si="3"/>
        <v>À compléter</v>
      </c>
    </row>
    <row r="252" ht="15.75" customHeight="1">
      <c r="A252" s="15"/>
      <c r="B252" s="16"/>
      <c r="C252" s="16"/>
      <c r="D252" s="17" t="str">
        <f>IF(B252="","",IFERROR(VLOOKUP(B252,Articles!$A$5:$K$204,2,FALSE),"Référence inconnue"))</f>
        <v/>
      </c>
      <c r="E252" s="16"/>
      <c r="F252" s="16"/>
      <c r="G252" s="16"/>
      <c r="H252" s="17" t="str">
        <f t="shared" si="1"/>
        <v>0</v>
      </c>
      <c r="I252" s="17" t="str">
        <f t="shared" si="2"/>
        <v/>
      </c>
      <c r="J252" s="18" t="str">
        <f>IF(B252="","",IFERROR(G252*VLOOKUP(B252,Articles!$A$5:$K$204,8,FALSE),0))</f>
        <v/>
      </c>
      <c r="K252" s="16"/>
      <c r="L252" s="16"/>
      <c r="M252" s="17" t="str">
        <f t="shared" si="3"/>
        <v>À compléter</v>
      </c>
    </row>
    <row r="253" ht="15.75" customHeight="1">
      <c r="A253" s="15"/>
      <c r="B253" s="16"/>
      <c r="C253" s="16"/>
      <c r="D253" s="17" t="str">
        <f>IF(B253="","",IFERROR(VLOOKUP(B253,Articles!$A$5:$K$204,2,FALSE),"Référence inconnue"))</f>
        <v/>
      </c>
      <c r="E253" s="16"/>
      <c r="F253" s="16"/>
      <c r="G253" s="16"/>
      <c r="H253" s="17" t="str">
        <f t="shared" si="1"/>
        <v>0</v>
      </c>
      <c r="I253" s="17" t="str">
        <f t="shared" si="2"/>
        <v/>
      </c>
      <c r="J253" s="18" t="str">
        <f>IF(B253="","",IFERROR(G253*VLOOKUP(B253,Articles!$A$5:$K$204,8,FALSE),0))</f>
        <v/>
      </c>
      <c r="K253" s="16"/>
      <c r="L253" s="16"/>
      <c r="M253" s="17" t="str">
        <f t="shared" si="3"/>
        <v>À compléter</v>
      </c>
    </row>
    <row r="254" ht="15.75" customHeight="1">
      <c r="A254" s="15"/>
      <c r="B254" s="16"/>
      <c r="C254" s="16"/>
      <c r="D254" s="17" t="str">
        <f>IF(B254="","",IFERROR(VLOOKUP(B254,Articles!$A$5:$K$204,2,FALSE),"Référence inconnue"))</f>
        <v/>
      </c>
      <c r="E254" s="16"/>
      <c r="F254" s="16"/>
      <c r="G254" s="16"/>
      <c r="H254" s="17" t="str">
        <f t="shared" si="1"/>
        <v>0</v>
      </c>
      <c r="I254" s="17" t="str">
        <f t="shared" si="2"/>
        <v/>
      </c>
      <c r="J254" s="18" t="str">
        <f>IF(B254="","",IFERROR(G254*VLOOKUP(B254,Articles!$A$5:$K$204,8,FALSE),0))</f>
        <v/>
      </c>
      <c r="K254" s="16"/>
      <c r="L254" s="16"/>
      <c r="M254" s="17" t="str">
        <f t="shared" si="3"/>
        <v>À compléter</v>
      </c>
    </row>
    <row r="255" ht="15.75" customHeight="1">
      <c r="A255" s="15"/>
      <c r="B255" s="16"/>
      <c r="C255" s="16"/>
      <c r="D255" s="17" t="str">
        <f>IF(B255="","",IFERROR(VLOOKUP(B255,Articles!$A$5:$K$204,2,FALSE),"Référence inconnue"))</f>
        <v/>
      </c>
      <c r="E255" s="16"/>
      <c r="F255" s="16"/>
      <c r="G255" s="16"/>
      <c r="H255" s="17" t="str">
        <f t="shared" si="1"/>
        <v>0</v>
      </c>
      <c r="I255" s="17" t="str">
        <f t="shared" si="2"/>
        <v/>
      </c>
      <c r="J255" s="18" t="str">
        <f>IF(B255="","",IFERROR(G255*VLOOKUP(B255,Articles!$A$5:$K$204,8,FALSE),0))</f>
        <v/>
      </c>
      <c r="K255" s="16"/>
      <c r="L255" s="16"/>
      <c r="M255" s="17" t="str">
        <f t="shared" si="3"/>
        <v>À compléter</v>
      </c>
    </row>
    <row r="256" ht="15.75" customHeight="1">
      <c r="A256" s="15"/>
      <c r="B256" s="16"/>
      <c r="C256" s="16"/>
      <c r="D256" s="17" t="str">
        <f>IF(B256="","",IFERROR(VLOOKUP(B256,Articles!$A$5:$K$204,2,FALSE),"Référence inconnue"))</f>
        <v/>
      </c>
      <c r="E256" s="16"/>
      <c r="F256" s="16"/>
      <c r="G256" s="16"/>
      <c r="H256" s="17" t="str">
        <f t="shared" si="1"/>
        <v>0</v>
      </c>
      <c r="I256" s="17" t="str">
        <f t="shared" si="2"/>
        <v/>
      </c>
      <c r="J256" s="18" t="str">
        <f>IF(B256="","",IFERROR(G256*VLOOKUP(B256,Articles!$A$5:$K$204,8,FALSE),0))</f>
        <v/>
      </c>
      <c r="K256" s="16"/>
      <c r="L256" s="16"/>
      <c r="M256" s="17" t="str">
        <f t="shared" si="3"/>
        <v>À compléter</v>
      </c>
    </row>
    <row r="257" ht="15.75" customHeight="1">
      <c r="A257" s="15"/>
      <c r="B257" s="16"/>
      <c r="C257" s="16"/>
      <c r="D257" s="17" t="str">
        <f>IF(B257="","",IFERROR(VLOOKUP(B257,Articles!$A$5:$K$204,2,FALSE),"Référence inconnue"))</f>
        <v/>
      </c>
      <c r="E257" s="16"/>
      <c r="F257" s="16"/>
      <c r="G257" s="16"/>
      <c r="H257" s="17" t="str">
        <f t="shared" si="1"/>
        <v>0</v>
      </c>
      <c r="I257" s="17" t="str">
        <f t="shared" si="2"/>
        <v/>
      </c>
      <c r="J257" s="18" t="str">
        <f>IF(B257="","",IFERROR(G257*VLOOKUP(B257,Articles!$A$5:$K$204,8,FALSE),0))</f>
        <v/>
      </c>
      <c r="K257" s="16"/>
      <c r="L257" s="16"/>
      <c r="M257" s="17" t="str">
        <f t="shared" si="3"/>
        <v>À compléter</v>
      </c>
    </row>
    <row r="258" ht="15.75" customHeight="1">
      <c r="A258" s="15"/>
      <c r="B258" s="16"/>
      <c r="C258" s="16"/>
      <c r="D258" s="17" t="str">
        <f>IF(B258="","",IFERROR(VLOOKUP(B258,Articles!$A$5:$K$204,2,FALSE),"Référence inconnue"))</f>
        <v/>
      </c>
      <c r="E258" s="16"/>
      <c r="F258" s="16"/>
      <c r="G258" s="16"/>
      <c r="H258" s="17" t="str">
        <f t="shared" si="1"/>
        <v>0</v>
      </c>
      <c r="I258" s="17" t="str">
        <f t="shared" si="2"/>
        <v/>
      </c>
      <c r="J258" s="18" t="str">
        <f>IF(B258="","",IFERROR(G258*VLOOKUP(B258,Articles!$A$5:$K$204,8,FALSE),0))</f>
        <v/>
      </c>
      <c r="K258" s="16"/>
      <c r="L258" s="16"/>
      <c r="M258" s="17" t="str">
        <f t="shared" si="3"/>
        <v>À compléter</v>
      </c>
    </row>
    <row r="259" ht="15.75" customHeight="1">
      <c r="A259" s="15"/>
      <c r="B259" s="16"/>
      <c r="C259" s="16"/>
      <c r="D259" s="17" t="str">
        <f>IF(B259="","",IFERROR(VLOOKUP(B259,Articles!$A$5:$K$204,2,FALSE),"Référence inconnue"))</f>
        <v/>
      </c>
      <c r="E259" s="16"/>
      <c r="F259" s="16"/>
      <c r="G259" s="16"/>
      <c r="H259" s="17" t="str">
        <f t="shared" si="1"/>
        <v>0</v>
      </c>
      <c r="I259" s="17" t="str">
        <f t="shared" si="2"/>
        <v/>
      </c>
      <c r="J259" s="18" t="str">
        <f>IF(B259="","",IFERROR(G259*VLOOKUP(B259,Articles!$A$5:$K$204,8,FALSE),0))</f>
        <v/>
      </c>
      <c r="K259" s="16"/>
      <c r="L259" s="16"/>
      <c r="M259" s="17" t="str">
        <f t="shared" si="3"/>
        <v>À compléter</v>
      </c>
    </row>
    <row r="260" ht="15.75" customHeight="1">
      <c r="A260" s="15"/>
      <c r="B260" s="16"/>
      <c r="C260" s="16"/>
      <c r="D260" s="17" t="str">
        <f>IF(B260="","",IFERROR(VLOOKUP(B260,Articles!$A$5:$K$204,2,FALSE),"Référence inconnue"))</f>
        <v/>
      </c>
      <c r="E260" s="16"/>
      <c r="F260" s="16"/>
      <c r="G260" s="16"/>
      <c r="H260" s="17" t="str">
        <f t="shared" si="1"/>
        <v>0</v>
      </c>
      <c r="I260" s="17" t="str">
        <f t="shared" si="2"/>
        <v/>
      </c>
      <c r="J260" s="18" t="str">
        <f>IF(B260="","",IFERROR(G260*VLOOKUP(B260,Articles!$A$5:$K$204,8,FALSE),0))</f>
        <v/>
      </c>
      <c r="K260" s="16"/>
      <c r="L260" s="16"/>
      <c r="M260" s="17" t="str">
        <f t="shared" si="3"/>
        <v>À compléter</v>
      </c>
    </row>
    <row r="261" ht="15.75" customHeight="1">
      <c r="A261" s="15"/>
      <c r="B261" s="16"/>
      <c r="C261" s="16"/>
      <c r="D261" s="17" t="str">
        <f>IF(B261="","",IFERROR(VLOOKUP(B261,Articles!$A$5:$K$204,2,FALSE),"Référence inconnue"))</f>
        <v/>
      </c>
      <c r="E261" s="16"/>
      <c r="F261" s="16"/>
      <c r="G261" s="16"/>
      <c r="H261" s="17" t="str">
        <f t="shared" si="1"/>
        <v>0</v>
      </c>
      <c r="I261" s="17" t="str">
        <f t="shared" si="2"/>
        <v/>
      </c>
      <c r="J261" s="18" t="str">
        <f>IF(B261="","",IFERROR(G261*VLOOKUP(B261,Articles!$A$5:$K$204,8,FALSE),0))</f>
        <v/>
      </c>
      <c r="K261" s="16"/>
      <c r="L261" s="16"/>
      <c r="M261" s="17" t="str">
        <f t="shared" si="3"/>
        <v>À compléter</v>
      </c>
    </row>
    <row r="262" ht="15.75" customHeight="1">
      <c r="A262" s="15"/>
      <c r="B262" s="16"/>
      <c r="C262" s="16"/>
      <c r="D262" s="17" t="str">
        <f>IF(B262="","",IFERROR(VLOOKUP(B262,Articles!$A$5:$K$204,2,FALSE),"Référence inconnue"))</f>
        <v/>
      </c>
      <c r="E262" s="16"/>
      <c r="F262" s="16"/>
      <c r="G262" s="16"/>
      <c r="H262" s="17" t="str">
        <f t="shared" si="1"/>
        <v>0</v>
      </c>
      <c r="I262" s="17" t="str">
        <f t="shared" si="2"/>
        <v/>
      </c>
      <c r="J262" s="18" t="str">
        <f>IF(B262="","",IFERROR(G262*VLOOKUP(B262,Articles!$A$5:$K$204,8,FALSE),0))</f>
        <v/>
      </c>
      <c r="K262" s="16"/>
      <c r="L262" s="16"/>
      <c r="M262" s="17" t="str">
        <f t="shared" si="3"/>
        <v>À compléter</v>
      </c>
    </row>
    <row r="263" ht="15.75" customHeight="1">
      <c r="A263" s="15"/>
      <c r="B263" s="16"/>
      <c r="C263" s="16"/>
      <c r="D263" s="17" t="str">
        <f>IF(B263="","",IFERROR(VLOOKUP(B263,Articles!$A$5:$K$204,2,FALSE),"Référence inconnue"))</f>
        <v/>
      </c>
      <c r="E263" s="16"/>
      <c r="F263" s="16"/>
      <c r="G263" s="16"/>
      <c r="H263" s="17" t="str">
        <f t="shared" si="1"/>
        <v>0</v>
      </c>
      <c r="I263" s="17" t="str">
        <f t="shared" si="2"/>
        <v/>
      </c>
      <c r="J263" s="18" t="str">
        <f>IF(B263="","",IFERROR(G263*VLOOKUP(B263,Articles!$A$5:$K$204,8,FALSE),0))</f>
        <v/>
      </c>
      <c r="K263" s="16"/>
      <c r="L263" s="16"/>
      <c r="M263" s="17" t="str">
        <f t="shared" si="3"/>
        <v>À compléter</v>
      </c>
    </row>
    <row r="264" ht="15.75" customHeight="1">
      <c r="A264" s="15"/>
      <c r="B264" s="16"/>
      <c r="C264" s="16"/>
      <c r="D264" s="17" t="str">
        <f>IF(B264="","",IFERROR(VLOOKUP(B264,Articles!$A$5:$K$204,2,FALSE),"Référence inconnue"))</f>
        <v/>
      </c>
      <c r="E264" s="16"/>
      <c r="F264" s="16"/>
      <c r="G264" s="16"/>
      <c r="H264" s="17" t="str">
        <f t="shared" si="1"/>
        <v>0</v>
      </c>
      <c r="I264" s="17" t="str">
        <f t="shared" si="2"/>
        <v/>
      </c>
      <c r="J264" s="18" t="str">
        <f>IF(B264="","",IFERROR(G264*VLOOKUP(B264,Articles!$A$5:$K$204,8,FALSE),0))</f>
        <v/>
      </c>
      <c r="K264" s="16"/>
      <c r="L264" s="16"/>
      <c r="M264" s="17" t="str">
        <f t="shared" si="3"/>
        <v>À compléter</v>
      </c>
    </row>
    <row r="265" ht="15.75" customHeight="1">
      <c r="A265" s="15"/>
      <c r="B265" s="16"/>
      <c r="C265" s="16"/>
      <c r="D265" s="17" t="str">
        <f>IF(B265="","",IFERROR(VLOOKUP(B265,Articles!$A$5:$K$204,2,FALSE),"Référence inconnue"))</f>
        <v/>
      </c>
      <c r="E265" s="16"/>
      <c r="F265" s="16"/>
      <c r="G265" s="16"/>
      <c r="H265" s="17" t="str">
        <f t="shared" si="1"/>
        <v>0</v>
      </c>
      <c r="I265" s="17" t="str">
        <f t="shared" si="2"/>
        <v/>
      </c>
      <c r="J265" s="18" t="str">
        <f>IF(B265="","",IFERROR(G265*VLOOKUP(B265,Articles!$A$5:$K$204,8,FALSE),0))</f>
        <v/>
      </c>
      <c r="K265" s="16"/>
      <c r="L265" s="16"/>
      <c r="M265" s="17" t="str">
        <f t="shared" si="3"/>
        <v>À compléter</v>
      </c>
    </row>
    <row r="266" ht="15.75" customHeight="1">
      <c r="A266" s="15"/>
      <c r="B266" s="16"/>
      <c r="C266" s="16"/>
      <c r="D266" s="17" t="str">
        <f>IF(B266="","",IFERROR(VLOOKUP(B266,Articles!$A$5:$K$204,2,FALSE),"Référence inconnue"))</f>
        <v/>
      </c>
      <c r="E266" s="16"/>
      <c r="F266" s="16"/>
      <c r="G266" s="16"/>
      <c r="H266" s="17" t="str">
        <f t="shared" si="1"/>
        <v>0</v>
      </c>
      <c r="I266" s="17" t="str">
        <f t="shared" si="2"/>
        <v/>
      </c>
      <c r="J266" s="18" t="str">
        <f>IF(B266="","",IFERROR(G266*VLOOKUP(B266,Articles!$A$5:$K$204,8,FALSE),0))</f>
        <v/>
      </c>
      <c r="K266" s="16"/>
      <c r="L266" s="16"/>
      <c r="M266" s="17" t="str">
        <f t="shared" si="3"/>
        <v>À compléter</v>
      </c>
    </row>
    <row r="267" ht="15.75" customHeight="1">
      <c r="A267" s="15"/>
      <c r="B267" s="16"/>
      <c r="C267" s="16"/>
      <c r="D267" s="17" t="str">
        <f>IF(B267="","",IFERROR(VLOOKUP(B267,Articles!$A$5:$K$204,2,FALSE),"Référence inconnue"))</f>
        <v/>
      </c>
      <c r="E267" s="16"/>
      <c r="F267" s="16"/>
      <c r="G267" s="16"/>
      <c r="H267" s="17" t="str">
        <f t="shared" si="1"/>
        <v>0</v>
      </c>
      <c r="I267" s="17" t="str">
        <f t="shared" si="2"/>
        <v/>
      </c>
      <c r="J267" s="18" t="str">
        <f>IF(B267="","",IFERROR(G267*VLOOKUP(B267,Articles!$A$5:$K$204,8,FALSE),0))</f>
        <v/>
      </c>
      <c r="K267" s="16"/>
      <c r="L267" s="16"/>
      <c r="M267" s="17" t="str">
        <f t="shared" si="3"/>
        <v>À compléter</v>
      </c>
    </row>
    <row r="268" ht="15.75" customHeight="1">
      <c r="A268" s="15"/>
      <c r="B268" s="16"/>
      <c r="C268" s="16"/>
      <c r="D268" s="17" t="str">
        <f>IF(B268="","",IFERROR(VLOOKUP(B268,Articles!$A$5:$K$204,2,FALSE),"Référence inconnue"))</f>
        <v/>
      </c>
      <c r="E268" s="16"/>
      <c r="F268" s="16"/>
      <c r="G268" s="16"/>
      <c r="H268" s="17" t="str">
        <f t="shared" si="1"/>
        <v>0</v>
      </c>
      <c r="I268" s="17" t="str">
        <f t="shared" si="2"/>
        <v/>
      </c>
      <c r="J268" s="18" t="str">
        <f>IF(B268="","",IFERROR(G268*VLOOKUP(B268,Articles!$A$5:$K$204,8,FALSE),0))</f>
        <v/>
      </c>
      <c r="K268" s="16"/>
      <c r="L268" s="16"/>
      <c r="M268" s="17" t="str">
        <f t="shared" si="3"/>
        <v>À compléter</v>
      </c>
    </row>
    <row r="269" ht="15.75" customHeight="1">
      <c r="A269" s="15"/>
      <c r="B269" s="16"/>
      <c r="C269" s="16"/>
      <c r="D269" s="17" t="str">
        <f>IF(B269="","",IFERROR(VLOOKUP(B269,Articles!$A$5:$K$204,2,FALSE),"Référence inconnue"))</f>
        <v/>
      </c>
      <c r="E269" s="16"/>
      <c r="F269" s="16"/>
      <c r="G269" s="16"/>
      <c r="H269" s="17" t="str">
        <f t="shared" si="1"/>
        <v>0</v>
      </c>
      <c r="I269" s="17" t="str">
        <f t="shared" si="2"/>
        <v/>
      </c>
      <c r="J269" s="18" t="str">
        <f>IF(B269="","",IFERROR(G269*VLOOKUP(B269,Articles!$A$5:$K$204,8,FALSE),0))</f>
        <v/>
      </c>
      <c r="K269" s="16"/>
      <c r="L269" s="16"/>
      <c r="M269" s="17" t="str">
        <f t="shared" si="3"/>
        <v>À compléter</v>
      </c>
    </row>
    <row r="270" ht="15.75" customHeight="1">
      <c r="A270" s="15"/>
      <c r="B270" s="16"/>
      <c r="C270" s="16"/>
      <c r="D270" s="17" t="str">
        <f>IF(B270="","",IFERROR(VLOOKUP(B270,Articles!$A$5:$K$204,2,FALSE),"Référence inconnue"))</f>
        <v/>
      </c>
      <c r="E270" s="16"/>
      <c r="F270" s="16"/>
      <c r="G270" s="16"/>
      <c r="H270" s="17" t="str">
        <f t="shared" si="1"/>
        <v>0</v>
      </c>
      <c r="I270" s="17" t="str">
        <f t="shared" si="2"/>
        <v/>
      </c>
      <c r="J270" s="18" t="str">
        <f>IF(B270="","",IFERROR(G270*VLOOKUP(B270,Articles!$A$5:$K$204,8,FALSE),0))</f>
        <v/>
      </c>
      <c r="K270" s="16"/>
      <c r="L270" s="16"/>
      <c r="M270" s="17" t="str">
        <f t="shared" si="3"/>
        <v>À compléter</v>
      </c>
    </row>
    <row r="271" ht="15.75" customHeight="1">
      <c r="A271" s="15"/>
      <c r="B271" s="16"/>
      <c r="C271" s="16"/>
      <c r="D271" s="17" t="str">
        <f>IF(B271="","",IFERROR(VLOOKUP(B271,Articles!$A$5:$K$204,2,FALSE),"Référence inconnue"))</f>
        <v/>
      </c>
      <c r="E271" s="16"/>
      <c r="F271" s="16"/>
      <c r="G271" s="16"/>
      <c r="H271" s="17" t="str">
        <f t="shared" si="1"/>
        <v>0</v>
      </c>
      <c r="I271" s="17" t="str">
        <f t="shared" si="2"/>
        <v/>
      </c>
      <c r="J271" s="18" t="str">
        <f>IF(B271="","",IFERROR(G271*VLOOKUP(B271,Articles!$A$5:$K$204,8,FALSE),0))</f>
        <v/>
      </c>
      <c r="K271" s="16"/>
      <c r="L271" s="16"/>
      <c r="M271" s="17" t="str">
        <f t="shared" si="3"/>
        <v>À compléter</v>
      </c>
    </row>
    <row r="272" ht="15.75" customHeight="1">
      <c r="A272" s="15"/>
      <c r="B272" s="16"/>
      <c r="C272" s="16"/>
      <c r="D272" s="17" t="str">
        <f>IF(B272="","",IFERROR(VLOOKUP(B272,Articles!$A$5:$K$204,2,FALSE),"Référence inconnue"))</f>
        <v/>
      </c>
      <c r="E272" s="16"/>
      <c r="F272" s="16"/>
      <c r="G272" s="16"/>
      <c r="H272" s="17" t="str">
        <f t="shared" si="1"/>
        <v>0</v>
      </c>
      <c r="I272" s="17" t="str">
        <f t="shared" si="2"/>
        <v/>
      </c>
      <c r="J272" s="18" t="str">
        <f>IF(B272="","",IFERROR(G272*VLOOKUP(B272,Articles!$A$5:$K$204,8,FALSE),0))</f>
        <v/>
      </c>
      <c r="K272" s="16"/>
      <c r="L272" s="16"/>
      <c r="M272" s="17" t="str">
        <f t="shared" si="3"/>
        <v>À compléter</v>
      </c>
    </row>
    <row r="273" ht="15.75" customHeight="1">
      <c r="A273" s="15"/>
      <c r="B273" s="16"/>
      <c r="C273" s="16"/>
      <c r="D273" s="17" t="str">
        <f>IF(B273="","",IFERROR(VLOOKUP(B273,Articles!$A$5:$K$204,2,FALSE),"Référence inconnue"))</f>
        <v/>
      </c>
      <c r="E273" s="16"/>
      <c r="F273" s="16"/>
      <c r="G273" s="16"/>
      <c r="H273" s="17" t="str">
        <f t="shared" si="1"/>
        <v>0</v>
      </c>
      <c r="I273" s="17" t="str">
        <f t="shared" si="2"/>
        <v/>
      </c>
      <c r="J273" s="18" t="str">
        <f>IF(B273="","",IFERROR(G273*VLOOKUP(B273,Articles!$A$5:$K$204,8,FALSE),0))</f>
        <v/>
      </c>
      <c r="K273" s="16"/>
      <c r="L273" s="16"/>
      <c r="M273" s="17" t="str">
        <f t="shared" si="3"/>
        <v>À compléter</v>
      </c>
    </row>
    <row r="274" ht="15.75" customHeight="1">
      <c r="A274" s="15"/>
      <c r="B274" s="16"/>
      <c r="C274" s="16"/>
      <c r="D274" s="17" t="str">
        <f>IF(B274="","",IFERROR(VLOOKUP(B274,Articles!$A$5:$K$204,2,FALSE),"Référence inconnue"))</f>
        <v/>
      </c>
      <c r="E274" s="16"/>
      <c r="F274" s="16"/>
      <c r="G274" s="16"/>
      <c r="H274" s="17" t="str">
        <f t="shared" si="1"/>
        <v>0</v>
      </c>
      <c r="I274" s="17" t="str">
        <f t="shared" si="2"/>
        <v/>
      </c>
      <c r="J274" s="18" t="str">
        <f>IF(B274="","",IFERROR(G274*VLOOKUP(B274,Articles!$A$5:$K$204,8,FALSE),0))</f>
        <v/>
      </c>
      <c r="K274" s="16"/>
      <c r="L274" s="16"/>
      <c r="M274" s="17" t="str">
        <f t="shared" si="3"/>
        <v>À compléter</v>
      </c>
    </row>
    <row r="275" ht="15.75" customHeight="1">
      <c r="A275" s="15"/>
      <c r="B275" s="16"/>
      <c r="C275" s="16"/>
      <c r="D275" s="17" t="str">
        <f>IF(B275="","",IFERROR(VLOOKUP(B275,Articles!$A$5:$K$204,2,FALSE),"Référence inconnue"))</f>
        <v/>
      </c>
      <c r="E275" s="16"/>
      <c r="F275" s="16"/>
      <c r="G275" s="16"/>
      <c r="H275" s="17" t="str">
        <f t="shared" si="1"/>
        <v>0</v>
      </c>
      <c r="I275" s="17" t="str">
        <f t="shared" si="2"/>
        <v/>
      </c>
      <c r="J275" s="18" t="str">
        <f>IF(B275="","",IFERROR(G275*VLOOKUP(B275,Articles!$A$5:$K$204,8,FALSE),0))</f>
        <v/>
      </c>
      <c r="K275" s="16"/>
      <c r="L275" s="16"/>
      <c r="M275" s="17" t="str">
        <f t="shared" si="3"/>
        <v>À compléter</v>
      </c>
    </row>
    <row r="276" ht="15.75" customHeight="1">
      <c r="A276" s="15"/>
      <c r="B276" s="16"/>
      <c r="C276" s="16"/>
      <c r="D276" s="17" t="str">
        <f>IF(B276="","",IFERROR(VLOOKUP(B276,Articles!$A$5:$K$204,2,FALSE),"Référence inconnue"))</f>
        <v/>
      </c>
      <c r="E276" s="16"/>
      <c r="F276" s="16"/>
      <c r="G276" s="16"/>
      <c r="H276" s="17" t="str">
        <f t="shared" si="1"/>
        <v>0</v>
      </c>
      <c r="I276" s="17" t="str">
        <f t="shared" si="2"/>
        <v/>
      </c>
      <c r="J276" s="18" t="str">
        <f>IF(B276="","",IFERROR(G276*VLOOKUP(B276,Articles!$A$5:$K$204,8,FALSE),0))</f>
        <v/>
      </c>
      <c r="K276" s="16"/>
      <c r="L276" s="16"/>
      <c r="M276" s="17" t="str">
        <f t="shared" si="3"/>
        <v>À compléter</v>
      </c>
    </row>
    <row r="277" ht="15.75" customHeight="1">
      <c r="A277" s="15"/>
      <c r="B277" s="16"/>
      <c r="C277" s="16"/>
      <c r="D277" s="17" t="str">
        <f>IF(B277="","",IFERROR(VLOOKUP(B277,Articles!$A$5:$K$204,2,FALSE),"Référence inconnue"))</f>
        <v/>
      </c>
      <c r="E277" s="16"/>
      <c r="F277" s="16"/>
      <c r="G277" s="16"/>
      <c r="H277" s="17" t="str">
        <f t="shared" si="1"/>
        <v>0</v>
      </c>
      <c r="I277" s="17" t="str">
        <f t="shared" si="2"/>
        <v/>
      </c>
      <c r="J277" s="18" t="str">
        <f>IF(B277="","",IFERROR(G277*VLOOKUP(B277,Articles!$A$5:$K$204,8,FALSE),0))</f>
        <v/>
      </c>
      <c r="K277" s="16"/>
      <c r="L277" s="16"/>
      <c r="M277" s="17" t="str">
        <f t="shared" si="3"/>
        <v>À compléter</v>
      </c>
    </row>
    <row r="278" ht="15.75" customHeight="1">
      <c r="A278" s="15"/>
      <c r="B278" s="16"/>
      <c r="C278" s="16"/>
      <c r="D278" s="17" t="str">
        <f>IF(B278="","",IFERROR(VLOOKUP(B278,Articles!$A$5:$K$204,2,FALSE),"Référence inconnue"))</f>
        <v/>
      </c>
      <c r="E278" s="16"/>
      <c r="F278" s="16"/>
      <c r="G278" s="16"/>
      <c r="H278" s="17" t="str">
        <f t="shared" si="1"/>
        <v>0</v>
      </c>
      <c r="I278" s="17" t="str">
        <f t="shared" si="2"/>
        <v/>
      </c>
      <c r="J278" s="18" t="str">
        <f>IF(B278="","",IFERROR(G278*VLOOKUP(B278,Articles!$A$5:$K$204,8,FALSE),0))</f>
        <v/>
      </c>
      <c r="K278" s="16"/>
      <c r="L278" s="16"/>
      <c r="M278" s="17" t="str">
        <f t="shared" si="3"/>
        <v>À compléter</v>
      </c>
    </row>
    <row r="279" ht="15.75" customHeight="1">
      <c r="A279" s="15"/>
      <c r="B279" s="16"/>
      <c r="C279" s="16"/>
      <c r="D279" s="17" t="str">
        <f>IF(B279="","",IFERROR(VLOOKUP(B279,Articles!$A$5:$K$204,2,FALSE),"Référence inconnue"))</f>
        <v/>
      </c>
      <c r="E279" s="16"/>
      <c r="F279" s="16"/>
      <c r="G279" s="16"/>
      <c r="H279" s="17" t="str">
        <f t="shared" si="1"/>
        <v>0</v>
      </c>
      <c r="I279" s="17" t="str">
        <f t="shared" si="2"/>
        <v/>
      </c>
      <c r="J279" s="18" t="str">
        <f>IF(B279="","",IFERROR(G279*VLOOKUP(B279,Articles!$A$5:$K$204,8,FALSE),0))</f>
        <v/>
      </c>
      <c r="K279" s="16"/>
      <c r="L279" s="16"/>
      <c r="M279" s="17" t="str">
        <f t="shared" si="3"/>
        <v>À compléter</v>
      </c>
    </row>
    <row r="280" ht="15.75" customHeight="1">
      <c r="A280" s="15"/>
      <c r="B280" s="16"/>
      <c r="C280" s="16"/>
      <c r="D280" s="17" t="str">
        <f>IF(B280="","",IFERROR(VLOOKUP(B280,Articles!$A$5:$K$204,2,FALSE),"Référence inconnue"))</f>
        <v/>
      </c>
      <c r="E280" s="16"/>
      <c r="F280" s="16"/>
      <c r="G280" s="16"/>
      <c r="H280" s="17" t="str">
        <f t="shared" si="1"/>
        <v>0</v>
      </c>
      <c r="I280" s="17" t="str">
        <f t="shared" si="2"/>
        <v/>
      </c>
      <c r="J280" s="18" t="str">
        <f>IF(B280="","",IFERROR(G280*VLOOKUP(B280,Articles!$A$5:$K$204,8,FALSE),0))</f>
        <v/>
      </c>
      <c r="K280" s="16"/>
      <c r="L280" s="16"/>
      <c r="M280" s="17" t="str">
        <f t="shared" si="3"/>
        <v>À compléter</v>
      </c>
    </row>
    <row r="281" ht="15.75" customHeight="1">
      <c r="A281" s="15"/>
      <c r="B281" s="16"/>
      <c r="C281" s="16"/>
      <c r="D281" s="17" t="str">
        <f>IF(B281="","",IFERROR(VLOOKUP(B281,Articles!$A$5:$K$204,2,FALSE),"Référence inconnue"))</f>
        <v/>
      </c>
      <c r="E281" s="16"/>
      <c r="F281" s="16"/>
      <c r="G281" s="16"/>
      <c r="H281" s="17" t="str">
        <f t="shared" si="1"/>
        <v>0</v>
      </c>
      <c r="I281" s="17" t="str">
        <f t="shared" si="2"/>
        <v/>
      </c>
      <c r="J281" s="18" t="str">
        <f>IF(B281="","",IFERROR(G281*VLOOKUP(B281,Articles!$A$5:$K$204,8,FALSE),0))</f>
        <v/>
      </c>
      <c r="K281" s="16"/>
      <c r="L281" s="16"/>
      <c r="M281" s="17" t="str">
        <f t="shared" si="3"/>
        <v>À compléter</v>
      </c>
    </row>
    <row r="282" ht="15.75" customHeight="1">
      <c r="A282" s="15"/>
      <c r="B282" s="16"/>
      <c r="C282" s="16"/>
      <c r="D282" s="17" t="str">
        <f>IF(B282="","",IFERROR(VLOOKUP(B282,Articles!$A$5:$K$204,2,FALSE),"Référence inconnue"))</f>
        <v/>
      </c>
      <c r="E282" s="16"/>
      <c r="F282" s="16"/>
      <c r="G282" s="16"/>
      <c r="H282" s="17" t="str">
        <f t="shared" si="1"/>
        <v>0</v>
      </c>
      <c r="I282" s="17" t="str">
        <f t="shared" si="2"/>
        <v/>
      </c>
      <c r="J282" s="18" t="str">
        <f>IF(B282="","",IFERROR(G282*VLOOKUP(B282,Articles!$A$5:$K$204,8,FALSE),0))</f>
        <v/>
      </c>
      <c r="K282" s="16"/>
      <c r="L282" s="16"/>
      <c r="M282" s="17" t="str">
        <f t="shared" si="3"/>
        <v>À compléter</v>
      </c>
    </row>
    <row r="283" ht="15.75" customHeight="1">
      <c r="A283" s="15"/>
      <c r="B283" s="16"/>
      <c r="C283" s="16"/>
      <c r="D283" s="17" t="str">
        <f>IF(B283="","",IFERROR(VLOOKUP(B283,Articles!$A$5:$K$204,2,FALSE),"Référence inconnue"))</f>
        <v/>
      </c>
      <c r="E283" s="16"/>
      <c r="F283" s="16"/>
      <c r="G283" s="16"/>
      <c r="H283" s="17" t="str">
        <f t="shared" si="1"/>
        <v>0</v>
      </c>
      <c r="I283" s="17" t="str">
        <f t="shared" si="2"/>
        <v/>
      </c>
      <c r="J283" s="18" t="str">
        <f>IF(B283="","",IFERROR(G283*VLOOKUP(B283,Articles!$A$5:$K$204,8,FALSE),0))</f>
        <v/>
      </c>
      <c r="K283" s="16"/>
      <c r="L283" s="16"/>
      <c r="M283" s="17" t="str">
        <f t="shared" si="3"/>
        <v>À compléter</v>
      </c>
    </row>
    <row r="284" ht="15.75" customHeight="1">
      <c r="A284" s="15"/>
      <c r="B284" s="16"/>
      <c r="C284" s="16"/>
      <c r="D284" s="17" t="str">
        <f>IF(B284="","",IFERROR(VLOOKUP(B284,Articles!$A$5:$K$204,2,FALSE),"Référence inconnue"))</f>
        <v/>
      </c>
      <c r="E284" s="16"/>
      <c r="F284" s="16"/>
      <c r="G284" s="16"/>
      <c r="H284" s="17" t="str">
        <f t="shared" si="1"/>
        <v>0</v>
      </c>
      <c r="I284" s="17" t="str">
        <f t="shared" si="2"/>
        <v/>
      </c>
      <c r="J284" s="18" t="str">
        <f>IF(B284="","",IFERROR(G284*VLOOKUP(B284,Articles!$A$5:$K$204,8,FALSE),0))</f>
        <v/>
      </c>
      <c r="K284" s="16"/>
      <c r="L284" s="16"/>
      <c r="M284" s="17" t="str">
        <f t="shared" si="3"/>
        <v>À compléter</v>
      </c>
    </row>
    <row r="285" ht="15.75" customHeight="1">
      <c r="A285" s="15"/>
      <c r="B285" s="16"/>
      <c r="C285" s="16"/>
      <c r="D285" s="17" t="str">
        <f>IF(B285="","",IFERROR(VLOOKUP(B285,Articles!$A$5:$K$204,2,FALSE),"Référence inconnue"))</f>
        <v/>
      </c>
      <c r="E285" s="16"/>
      <c r="F285" s="16"/>
      <c r="G285" s="16"/>
      <c r="H285" s="17" t="str">
        <f t="shared" si="1"/>
        <v>0</v>
      </c>
      <c r="I285" s="17" t="str">
        <f t="shared" si="2"/>
        <v/>
      </c>
      <c r="J285" s="18" t="str">
        <f>IF(B285="","",IFERROR(G285*VLOOKUP(B285,Articles!$A$5:$K$204,8,FALSE),0))</f>
        <v/>
      </c>
      <c r="K285" s="16"/>
      <c r="L285" s="16"/>
      <c r="M285" s="17" t="str">
        <f t="shared" si="3"/>
        <v>À compléter</v>
      </c>
    </row>
    <row r="286" ht="15.75" customHeight="1">
      <c r="A286" s="15"/>
      <c r="B286" s="16"/>
      <c r="C286" s="16"/>
      <c r="D286" s="17" t="str">
        <f>IF(B286="","",IFERROR(VLOOKUP(B286,Articles!$A$5:$K$204,2,FALSE),"Référence inconnue"))</f>
        <v/>
      </c>
      <c r="E286" s="16"/>
      <c r="F286" s="16"/>
      <c r="G286" s="16"/>
      <c r="H286" s="17" t="str">
        <f t="shared" si="1"/>
        <v>0</v>
      </c>
      <c r="I286" s="17" t="str">
        <f t="shared" si="2"/>
        <v/>
      </c>
      <c r="J286" s="18" t="str">
        <f>IF(B286="","",IFERROR(G286*VLOOKUP(B286,Articles!$A$5:$K$204,8,FALSE),0))</f>
        <v/>
      </c>
      <c r="K286" s="16"/>
      <c r="L286" s="16"/>
      <c r="M286" s="17" t="str">
        <f t="shared" si="3"/>
        <v>À compléter</v>
      </c>
    </row>
    <row r="287" ht="15.75" customHeight="1">
      <c r="A287" s="15"/>
      <c r="B287" s="16"/>
      <c r="C287" s="16"/>
      <c r="D287" s="17" t="str">
        <f>IF(B287="","",IFERROR(VLOOKUP(B287,Articles!$A$5:$K$204,2,FALSE),"Référence inconnue"))</f>
        <v/>
      </c>
      <c r="E287" s="16"/>
      <c r="F287" s="16"/>
      <c r="G287" s="16"/>
      <c r="H287" s="17" t="str">
        <f t="shared" si="1"/>
        <v>0</v>
      </c>
      <c r="I287" s="17" t="str">
        <f t="shared" si="2"/>
        <v/>
      </c>
      <c r="J287" s="18" t="str">
        <f>IF(B287="","",IFERROR(G287*VLOOKUP(B287,Articles!$A$5:$K$204,8,FALSE),0))</f>
        <v/>
      </c>
      <c r="K287" s="16"/>
      <c r="L287" s="16"/>
      <c r="M287" s="17" t="str">
        <f t="shared" si="3"/>
        <v>À compléter</v>
      </c>
    </row>
    <row r="288" ht="15.75" customHeight="1">
      <c r="A288" s="15"/>
      <c r="B288" s="16"/>
      <c r="C288" s="16"/>
      <c r="D288" s="17" t="str">
        <f>IF(B288="","",IFERROR(VLOOKUP(B288,Articles!$A$5:$K$204,2,FALSE),"Référence inconnue"))</f>
        <v/>
      </c>
      <c r="E288" s="16"/>
      <c r="F288" s="16"/>
      <c r="G288" s="16"/>
      <c r="H288" s="17" t="str">
        <f t="shared" si="1"/>
        <v>0</v>
      </c>
      <c r="I288" s="17" t="str">
        <f t="shared" si="2"/>
        <v/>
      </c>
      <c r="J288" s="18" t="str">
        <f>IF(B288="","",IFERROR(G288*VLOOKUP(B288,Articles!$A$5:$K$204,8,FALSE),0))</f>
        <v/>
      </c>
      <c r="K288" s="16"/>
      <c r="L288" s="16"/>
      <c r="M288" s="17" t="str">
        <f t="shared" si="3"/>
        <v>À compléter</v>
      </c>
    </row>
    <row r="289" ht="15.75" customHeight="1">
      <c r="A289" s="15"/>
      <c r="B289" s="16"/>
      <c r="C289" s="16"/>
      <c r="D289" s="17" t="str">
        <f>IF(B289="","",IFERROR(VLOOKUP(B289,Articles!$A$5:$K$204,2,FALSE),"Référence inconnue"))</f>
        <v/>
      </c>
      <c r="E289" s="16"/>
      <c r="F289" s="16"/>
      <c r="G289" s="16"/>
      <c r="H289" s="17" t="str">
        <f t="shared" si="1"/>
        <v>0</v>
      </c>
      <c r="I289" s="17" t="str">
        <f t="shared" si="2"/>
        <v/>
      </c>
      <c r="J289" s="18" t="str">
        <f>IF(B289="","",IFERROR(G289*VLOOKUP(B289,Articles!$A$5:$K$204,8,FALSE),0))</f>
        <v/>
      </c>
      <c r="K289" s="16"/>
      <c r="L289" s="16"/>
      <c r="M289" s="17" t="str">
        <f t="shared" si="3"/>
        <v>À compléter</v>
      </c>
    </row>
    <row r="290" ht="15.75" customHeight="1">
      <c r="A290" s="15"/>
      <c r="B290" s="16"/>
      <c r="C290" s="16"/>
      <c r="D290" s="17" t="str">
        <f>IF(B290="","",IFERROR(VLOOKUP(B290,Articles!$A$5:$K$204,2,FALSE),"Référence inconnue"))</f>
        <v/>
      </c>
      <c r="E290" s="16"/>
      <c r="F290" s="16"/>
      <c r="G290" s="16"/>
      <c r="H290" s="17" t="str">
        <f t="shared" si="1"/>
        <v>0</v>
      </c>
      <c r="I290" s="17" t="str">
        <f t="shared" si="2"/>
        <v/>
      </c>
      <c r="J290" s="18" t="str">
        <f>IF(B290="","",IFERROR(G290*VLOOKUP(B290,Articles!$A$5:$K$204,8,FALSE),0))</f>
        <v/>
      </c>
      <c r="K290" s="16"/>
      <c r="L290" s="16"/>
      <c r="M290" s="17" t="str">
        <f t="shared" si="3"/>
        <v>À compléter</v>
      </c>
    </row>
    <row r="291" ht="15.75" customHeight="1">
      <c r="A291" s="15"/>
      <c r="B291" s="16"/>
      <c r="C291" s="16"/>
      <c r="D291" s="17" t="str">
        <f>IF(B291="","",IFERROR(VLOOKUP(B291,Articles!$A$5:$K$204,2,FALSE),"Référence inconnue"))</f>
        <v/>
      </c>
      <c r="E291" s="16"/>
      <c r="F291" s="16"/>
      <c r="G291" s="16"/>
      <c r="H291" s="17" t="str">
        <f t="shared" si="1"/>
        <v>0</v>
      </c>
      <c r="I291" s="17" t="str">
        <f t="shared" si="2"/>
        <v/>
      </c>
      <c r="J291" s="18" t="str">
        <f>IF(B291="","",IFERROR(G291*VLOOKUP(B291,Articles!$A$5:$K$204,8,FALSE),0))</f>
        <v/>
      </c>
      <c r="K291" s="16"/>
      <c r="L291" s="16"/>
      <c r="M291" s="17" t="str">
        <f t="shared" si="3"/>
        <v>À compléter</v>
      </c>
    </row>
    <row r="292" ht="15.75" customHeight="1">
      <c r="A292" s="15"/>
      <c r="B292" s="16"/>
      <c r="C292" s="16"/>
      <c r="D292" s="17" t="str">
        <f>IF(B292="","",IFERROR(VLOOKUP(B292,Articles!$A$5:$K$204,2,FALSE),"Référence inconnue"))</f>
        <v/>
      </c>
      <c r="E292" s="16"/>
      <c r="F292" s="16"/>
      <c r="G292" s="16"/>
      <c r="H292" s="17" t="str">
        <f t="shared" si="1"/>
        <v>0</v>
      </c>
      <c r="I292" s="17" t="str">
        <f t="shared" si="2"/>
        <v/>
      </c>
      <c r="J292" s="18" t="str">
        <f>IF(B292="","",IFERROR(G292*VLOOKUP(B292,Articles!$A$5:$K$204,8,FALSE),0))</f>
        <v/>
      </c>
      <c r="K292" s="16"/>
      <c r="L292" s="16"/>
      <c r="M292" s="17" t="str">
        <f t="shared" si="3"/>
        <v>À compléter</v>
      </c>
    </row>
    <row r="293" ht="15.75" customHeight="1">
      <c r="A293" s="15"/>
      <c r="B293" s="16"/>
      <c r="C293" s="16"/>
      <c r="D293" s="17" t="str">
        <f>IF(B293="","",IFERROR(VLOOKUP(B293,Articles!$A$5:$K$204,2,FALSE),"Référence inconnue"))</f>
        <v/>
      </c>
      <c r="E293" s="16"/>
      <c r="F293" s="16"/>
      <c r="G293" s="16"/>
      <c r="H293" s="17" t="str">
        <f t="shared" si="1"/>
        <v>0</v>
      </c>
      <c r="I293" s="17" t="str">
        <f t="shared" si="2"/>
        <v/>
      </c>
      <c r="J293" s="18" t="str">
        <f>IF(B293="","",IFERROR(G293*VLOOKUP(B293,Articles!$A$5:$K$204,8,FALSE),0))</f>
        <v/>
      </c>
      <c r="K293" s="16"/>
      <c r="L293" s="16"/>
      <c r="M293" s="17" t="str">
        <f t="shared" si="3"/>
        <v>À compléter</v>
      </c>
    </row>
    <row r="294" ht="15.75" customHeight="1">
      <c r="A294" s="15"/>
      <c r="B294" s="16"/>
      <c r="C294" s="16"/>
      <c r="D294" s="17" t="str">
        <f>IF(B294="","",IFERROR(VLOOKUP(B294,Articles!$A$5:$K$204,2,FALSE),"Référence inconnue"))</f>
        <v/>
      </c>
      <c r="E294" s="16"/>
      <c r="F294" s="16"/>
      <c r="G294" s="16"/>
      <c r="H294" s="17" t="str">
        <f t="shared" si="1"/>
        <v>0</v>
      </c>
      <c r="I294" s="17" t="str">
        <f t="shared" si="2"/>
        <v/>
      </c>
      <c r="J294" s="18" t="str">
        <f>IF(B294="","",IFERROR(G294*VLOOKUP(B294,Articles!$A$5:$K$204,8,FALSE),0))</f>
        <v/>
      </c>
      <c r="K294" s="16"/>
      <c r="L294" s="16"/>
      <c r="M294" s="17" t="str">
        <f t="shared" si="3"/>
        <v>À compléter</v>
      </c>
    </row>
    <row r="295" ht="15.75" customHeight="1">
      <c r="A295" s="15"/>
      <c r="B295" s="16"/>
      <c r="C295" s="16"/>
      <c r="D295" s="17" t="str">
        <f>IF(B295="","",IFERROR(VLOOKUP(B295,Articles!$A$5:$K$204,2,FALSE),"Référence inconnue"))</f>
        <v/>
      </c>
      <c r="E295" s="16"/>
      <c r="F295" s="16"/>
      <c r="G295" s="16"/>
      <c r="H295" s="17" t="str">
        <f t="shared" si="1"/>
        <v>0</v>
      </c>
      <c r="I295" s="17" t="str">
        <f t="shared" si="2"/>
        <v/>
      </c>
      <c r="J295" s="18" t="str">
        <f>IF(B295="","",IFERROR(G295*VLOOKUP(B295,Articles!$A$5:$K$204,8,FALSE),0))</f>
        <v/>
      </c>
      <c r="K295" s="16"/>
      <c r="L295" s="16"/>
      <c r="M295" s="17" t="str">
        <f t="shared" si="3"/>
        <v>À compléter</v>
      </c>
    </row>
    <row r="296" ht="15.75" customHeight="1">
      <c r="A296" s="15"/>
      <c r="B296" s="16"/>
      <c r="C296" s="16"/>
      <c r="D296" s="17" t="str">
        <f>IF(B296="","",IFERROR(VLOOKUP(B296,Articles!$A$5:$K$204,2,FALSE),"Référence inconnue"))</f>
        <v/>
      </c>
      <c r="E296" s="16"/>
      <c r="F296" s="16"/>
      <c r="G296" s="16"/>
      <c r="H296" s="17" t="str">
        <f t="shared" si="1"/>
        <v>0</v>
      </c>
      <c r="I296" s="17" t="str">
        <f t="shared" si="2"/>
        <v/>
      </c>
      <c r="J296" s="18" t="str">
        <f>IF(B296="","",IFERROR(G296*VLOOKUP(B296,Articles!$A$5:$K$204,8,FALSE),0))</f>
        <v/>
      </c>
      <c r="K296" s="16"/>
      <c r="L296" s="16"/>
      <c r="M296" s="17" t="str">
        <f t="shared" si="3"/>
        <v>À compléter</v>
      </c>
    </row>
    <row r="297" ht="15.75" customHeight="1">
      <c r="A297" s="15"/>
      <c r="B297" s="16"/>
      <c r="C297" s="16"/>
      <c r="D297" s="17" t="str">
        <f>IF(B297="","",IFERROR(VLOOKUP(B297,Articles!$A$5:$K$204,2,FALSE),"Référence inconnue"))</f>
        <v/>
      </c>
      <c r="E297" s="16"/>
      <c r="F297" s="16"/>
      <c r="G297" s="16"/>
      <c r="H297" s="17" t="str">
        <f t="shared" si="1"/>
        <v>0</v>
      </c>
      <c r="I297" s="17" t="str">
        <f t="shared" si="2"/>
        <v/>
      </c>
      <c r="J297" s="18" t="str">
        <f>IF(B297="","",IFERROR(G297*VLOOKUP(B297,Articles!$A$5:$K$204,8,FALSE),0))</f>
        <v/>
      </c>
      <c r="K297" s="16"/>
      <c r="L297" s="16"/>
      <c r="M297" s="17" t="str">
        <f t="shared" si="3"/>
        <v>À compléter</v>
      </c>
    </row>
    <row r="298" ht="15.75" customHeight="1">
      <c r="A298" s="15"/>
      <c r="B298" s="16"/>
      <c r="C298" s="16"/>
      <c r="D298" s="17" t="str">
        <f>IF(B298="","",IFERROR(VLOOKUP(B298,Articles!$A$5:$K$204,2,FALSE),"Référence inconnue"))</f>
        <v/>
      </c>
      <c r="E298" s="16"/>
      <c r="F298" s="16"/>
      <c r="G298" s="16"/>
      <c r="H298" s="17" t="str">
        <f t="shared" si="1"/>
        <v>0</v>
      </c>
      <c r="I298" s="17" t="str">
        <f t="shared" si="2"/>
        <v/>
      </c>
      <c r="J298" s="18" t="str">
        <f>IF(B298="","",IFERROR(G298*VLOOKUP(B298,Articles!$A$5:$K$204,8,FALSE),0))</f>
        <v/>
      </c>
      <c r="K298" s="16"/>
      <c r="L298" s="16"/>
      <c r="M298" s="17" t="str">
        <f t="shared" si="3"/>
        <v>À compléter</v>
      </c>
    </row>
    <row r="299" ht="15.75" customHeight="1">
      <c r="A299" s="15"/>
      <c r="B299" s="16"/>
      <c r="C299" s="16"/>
      <c r="D299" s="17" t="str">
        <f>IF(B299="","",IFERROR(VLOOKUP(B299,Articles!$A$5:$K$204,2,FALSE),"Référence inconnue"))</f>
        <v/>
      </c>
      <c r="E299" s="16"/>
      <c r="F299" s="16"/>
      <c r="G299" s="16"/>
      <c r="H299" s="17" t="str">
        <f t="shared" si="1"/>
        <v>0</v>
      </c>
      <c r="I299" s="17" t="str">
        <f t="shared" si="2"/>
        <v/>
      </c>
      <c r="J299" s="18" t="str">
        <f>IF(B299="","",IFERROR(G299*VLOOKUP(B299,Articles!$A$5:$K$204,8,FALSE),0))</f>
        <v/>
      </c>
      <c r="K299" s="16"/>
      <c r="L299" s="16"/>
      <c r="M299" s="17" t="str">
        <f t="shared" si="3"/>
        <v>À compléter</v>
      </c>
    </row>
    <row r="300" ht="15.75" customHeight="1">
      <c r="A300" s="15"/>
      <c r="B300" s="16"/>
      <c r="C300" s="16"/>
      <c r="D300" s="17" t="str">
        <f>IF(B300="","",IFERROR(VLOOKUP(B300,Articles!$A$5:$K$204,2,FALSE),"Référence inconnue"))</f>
        <v/>
      </c>
      <c r="E300" s="16"/>
      <c r="F300" s="16"/>
      <c r="G300" s="16"/>
      <c r="H300" s="17" t="str">
        <f t="shared" si="1"/>
        <v>0</v>
      </c>
      <c r="I300" s="17" t="str">
        <f t="shared" si="2"/>
        <v/>
      </c>
      <c r="J300" s="18" t="str">
        <f>IF(B300="","",IFERROR(G300*VLOOKUP(B300,Articles!$A$5:$K$204,8,FALSE),0))</f>
        <v/>
      </c>
      <c r="K300" s="16"/>
      <c r="L300" s="16"/>
      <c r="M300" s="17" t="str">
        <f t="shared" si="3"/>
        <v>À compléter</v>
      </c>
    </row>
    <row r="301" ht="15.75" customHeight="1">
      <c r="A301" s="15"/>
      <c r="B301" s="16"/>
      <c r="C301" s="16"/>
      <c r="D301" s="17" t="str">
        <f>IF(B301="","",IFERROR(VLOOKUP(B301,Articles!$A$5:$K$204,2,FALSE),"Référence inconnue"))</f>
        <v/>
      </c>
      <c r="E301" s="16"/>
      <c r="F301" s="16"/>
      <c r="G301" s="16"/>
      <c r="H301" s="17" t="str">
        <f t="shared" si="1"/>
        <v>0</v>
      </c>
      <c r="I301" s="17" t="str">
        <f t="shared" si="2"/>
        <v/>
      </c>
      <c r="J301" s="18" t="str">
        <f>IF(B301="","",IFERROR(G301*VLOOKUP(B301,Articles!$A$5:$K$204,8,FALSE),0))</f>
        <v/>
      </c>
      <c r="K301" s="16"/>
      <c r="L301" s="16"/>
      <c r="M301" s="17" t="str">
        <f t="shared" si="3"/>
        <v>À compléter</v>
      </c>
    </row>
    <row r="302" ht="15.75" customHeight="1">
      <c r="A302" s="15"/>
      <c r="B302" s="16"/>
      <c r="C302" s="16"/>
      <c r="D302" s="17" t="str">
        <f>IF(B302="","",IFERROR(VLOOKUP(B302,Articles!$A$5:$K$204,2,FALSE),"Référence inconnue"))</f>
        <v/>
      </c>
      <c r="E302" s="16"/>
      <c r="F302" s="16"/>
      <c r="G302" s="16"/>
      <c r="H302" s="17" t="str">
        <f t="shared" si="1"/>
        <v>0</v>
      </c>
      <c r="I302" s="17" t="str">
        <f t="shared" si="2"/>
        <v/>
      </c>
      <c r="J302" s="18" t="str">
        <f>IF(B302="","",IFERROR(G302*VLOOKUP(B302,Articles!$A$5:$K$204,8,FALSE),0))</f>
        <v/>
      </c>
      <c r="K302" s="16"/>
      <c r="L302" s="16"/>
      <c r="M302" s="17" t="str">
        <f t="shared" si="3"/>
        <v>À compléter</v>
      </c>
    </row>
    <row r="303" ht="15.75" customHeight="1">
      <c r="A303" s="15"/>
      <c r="B303" s="16"/>
      <c r="C303" s="16"/>
      <c r="D303" s="17" t="str">
        <f>IF(B303="","",IFERROR(VLOOKUP(B303,Articles!$A$5:$K$204,2,FALSE),"Référence inconnue"))</f>
        <v/>
      </c>
      <c r="E303" s="16"/>
      <c r="F303" s="16"/>
      <c r="G303" s="16"/>
      <c r="H303" s="17" t="str">
        <f t="shared" si="1"/>
        <v>0</v>
      </c>
      <c r="I303" s="17" t="str">
        <f t="shared" si="2"/>
        <v/>
      </c>
      <c r="J303" s="18" t="str">
        <f>IF(B303="","",IFERROR(G303*VLOOKUP(B303,Articles!$A$5:$K$204,8,FALSE),0))</f>
        <v/>
      </c>
      <c r="K303" s="16"/>
      <c r="L303" s="16"/>
      <c r="M303" s="17" t="str">
        <f t="shared" si="3"/>
        <v>À compléter</v>
      </c>
    </row>
    <row r="304" ht="15.75" customHeight="1">
      <c r="A304" s="15"/>
      <c r="B304" s="16"/>
      <c r="C304" s="16"/>
      <c r="D304" s="17" t="str">
        <f>IF(B304="","",IFERROR(VLOOKUP(B304,Articles!$A$5:$K$204,2,FALSE),"Référence inconnue"))</f>
        <v/>
      </c>
      <c r="E304" s="16"/>
      <c r="F304" s="16"/>
      <c r="G304" s="16"/>
      <c r="H304" s="17" t="str">
        <f t="shared" si="1"/>
        <v>0</v>
      </c>
      <c r="I304" s="17" t="str">
        <f t="shared" si="2"/>
        <v/>
      </c>
      <c r="J304" s="18" t="str">
        <f>IF(B304="","",IFERROR(G304*VLOOKUP(B304,Articles!$A$5:$K$204,8,FALSE),0))</f>
        <v/>
      </c>
      <c r="K304" s="16"/>
      <c r="L304" s="16"/>
      <c r="M304" s="17" t="str">
        <f t="shared" si="3"/>
        <v>À compléter</v>
      </c>
    </row>
    <row r="305" ht="15.75" customHeight="1">
      <c r="A305" s="15"/>
      <c r="B305" s="16"/>
      <c r="C305" s="16"/>
      <c r="D305" s="17" t="str">
        <f>IF(B305="","",IFERROR(VLOOKUP(B305,Articles!$A$5:$K$204,2,FALSE),"Référence inconnue"))</f>
        <v/>
      </c>
      <c r="E305" s="16"/>
      <c r="F305" s="16"/>
      <c r="G305" s="16"/>
      <c r="H305" s="17" t="str">
        <f t="shared" si="1"/>
        <v>0</v>
      </c>
      <c r="I305" s="17" t="str">
        <f t="shared" si="2"/>
        <v/>
      </c>
      <c r="J305" s="18" t="str">
        <f>IF(B305="","",IFERROR(G305*VLOOKUP(B305,Articles!$A$5:$K$204,8,FALSE),0))</f>
        <v/>
      </c>
      <c r="K305" s="16"/>
      <c r="L305" s="16"/>
      <c r="M305" s="17" t="str">
        <f t="shared" si="3"/>
        <v>À compléter</v>
      </c>
    </row>
    <row r="306" ht="15.75" customHeight="1">
      <c r="A306" s="15"/>
      <c r="B306" s="16"/>
      <c r="C306" s="16"/>
      <c r="D306" s="17" t="str">
        <f>IF(B306="","",IFERROR(VLOOKUP(B306,Articles!$A$5:$K$204,2,FALSE),"Référence inconnue"))</f>
        <v/>
      </c>
      <c r="E306" s="16"/>
      <c r="F306" s="16"/>
      <c r="G306" s="16"/>
      <c r="H306" s="17" t="str">
        <f t="shared" si="1"/>
        <v>0</v>
      </c>
      <c r="I306" s="17" t="str">
        <f t="shared" si="2"/>
        <v/>
      </c>
      <c r="J306" s="18" t="str">
        <f>IF(B306="","",IFERROR(G306*VLOOKUP(B306,Articles!$A$5:$K$204,8,FALSE),0))</f>
        <v/>
      </c>
      <c r="K306" s="16"/>
      <c r="L306" s="16"/>
      <c r="M306" s="17" t="str">
        <f t="shared" si="3"/>
        <v>À compléter</v>
      </c>
    </row>
    <row r="307" ht="15.75" customHeight="1">
      <c r="A307" s="15"/>
      <c r="B307" s="16"/>
      <c r="C307" s="16"/>
      <c r="D307" s="17" t="str">
        <f>IF(B307="","",IFERROR(VLOOKUP(B307,Articles!$A$5:$K$204,2,FALSE),"Référence inconnue"))</f>
        <v/>
      </c>
      <c r="E307" s="16"/>
      <c r="F307" s="16"/>
      <c r="G307" s="16"/>
      <c r="H307" s="17" t="str">
        <f t="shared" si="1"/>
        <v>0</v>
      </c>
      <c r="I307" s="17" t="str">
        <f t="shared" si="2"/>
        <v/>
      </c>
      <c r="J307" s="18" t="str">
        <f>IF(B307="","",IFERROR(G307*VLOOKUP(B307,Articles!$A$5:$K$204,8,FALSE),0))</f>
        <v/>
      </c>
      <c r="K307" s="16"/>
      <c r="L307" s="16"/>
      <c r="M307" s="17" t="str">
        <f t="shared" si="3"/>
        <v>À compléter</v>
      </c>
    </row>
    <row r="308" ht="15.75" customHeight="1">
      <c r="A308" s="15"/>
      <c r="B308" s="16"/>
      <c r="C308" s="16"/>
      <c r="D308" s="17" t="str">
        <f>IF(B308="","",IFERROR(VLOOKUP(B308,Articles!$A$5:$K$204,2,FALSE),"Référence inconnue"))</f>
        <v/>
      </c>
      <c r="E308" s="16"/>
      <c r="F308" s="16"/>
      <c r="G308" s="16"/>
      <c r="H308" s="17" t="str">
        <f t="shared" si="1"/>
        <v>0</v>
      </c>
      <c r="I308" s="17" t="str">
        <f t="shared" si="2"/>
        <v/>
      </c>
      <c r="J308" s="18" t="str">
        <f>IF(B308="","",IFERROR(G308*VLOOKUP(B308,Articles!$A$5:$K$204,8,FALSE),0))</f>
        <v/>
      </c>
      <c r="K308" s="16"/>
      <c r="L308" s="16"/>
      <c r="M308" s="17" t="str">
        <f t="shared" si="3"/>
        <v>À compléter</v>
      </c>
    </row>
    <row r="309" ht="15.75" customHeight="1">
      <c r="A309" s="15"/>
      <c r="B309" s="16"/>
      <c r="C309" s="16"/>
      <c r="D309" s="17" t="str">
        <f>IF(B309="","",IFERROR(VLOOKUP(B309,Articles!$A$5:$K$204,2,FALSE),"Référence inconnue"))</f>
        <v/>
      </c>
      <c r="E309" s="16"/>
      <c r="F309" s="16"/>
      <c r="G309" s="16"/>
      <c r="H309" s="17" t="str">
        <f t="shared" si="1"/>
        <v>0</v>
      </c>
      <c r="I309" s="17" t="str">
        <f t="shared" si="2"/>
        <v/>
      </c>
      <c r="J309" s="18" t="str">
        <f>IF(B309="","",IFERROR(G309*VLOOKUP(B309,Articles!$A$5:$K$204,8,FALSE),0))</f>
        <v/>
      </c>
      <c r="K309" s="16"/>
      <c r="L309" s="16"/>
      <c r="M309" s="17" t="str">
        <f t="shared" si="3"/>
        <v>À compléter</v>
      </c>
    </row>
    <row r="310" ht="15.75" customHeight="1">
      <c r="A310" s="15"/>
      <c r="B310" s="16"/>
      <c r="C310" s="16"/>
      <c r="D310" s="17" t="str">
        <f>IF(B310="","",IFERROR(VLOOKUP(B310,Articles!$A$5:$K$204,2,FALSE),"Référence inconnue"))</f>
        <v/>
      </c>
      <c r="E310" s="16"/>
      <c r="F310" s="16"/>
      <c r="G310" s="16"/>
      <c r="H310" s="17" t="str">
        <f t="shared" si="1"/>
        <v>0</v>
      </c>
      <c r="I310" s="17" t="str">
        <f t="shared" si="2"/>
        <v/>
      </c>
      <c r="J310" s="18" t="str">
        <f>IF(B310="","",IFERROR(G310*VLOOKUP(B310,Articles!$A$5:$K$204,8,FALSE),0))</f>
        <v/>
      </c>
      <c r="K310" s="16"/>
      <c r="L310" s="16"/>
      <c r="M310" s="17" t="str">
        <f t="shared" si="3"/>
        <v>À compléter</v>
      </c>
    </row>
    <row r="311" ht="15.75" customHeight="1">
      <c r="A311" s="15"/>
      <c r="B311" s="16"/>
      <c r="C311" s="16"/>
      <c r="D311" s="17" t="str">
        <f>IF(B311="","",IFERROR(VLOOKUP(B311,Articles!$A$5:$K$204,2,FALSE),"Référence inconnue"))</f>
        <v/>
      </c>
      <c r="E311" s="16"/>
      <c r="F311" s="16"/>
      <c r="G311" s="16"/>
      <c r="H311" s="17" t="str">
        <f t="shared" si="1"/>
        <v>0</v>
      </c>
      <c r="I311" s="17" t="str">
        <f t="shared" si="2"/>
        <v/>
      </c>
      <c r="J311" s="18" t="str">
        <f>IF(B311="","",IFERROR(G311*VLOOKUP(B311,Articles!$A$5:$K$204,8,FALSE),0))</f>
        <v/>
      </c>
      <c r="K311" s="16"/>
      <c r="L311" s="16"/>
      <c r="M311" s="17" t="str">
        <f t="shared" si="3"/>
        <v>À compléter</v>
      </c>
    </row>
    <row r="312" ht="15.75" customHeight="1">
      <c r="A312" s="15"/>
      <c r="B312" s="16"/>
      <c r="C312" s="16"/>
      <c r="D312" s="17" t="str">
        <f>IF(B312="","",IFERROR(VLOOKUP(B312,Articles!$A$5:$K$204,2,FALSE),"Référence inconnue"))</f>
        <v/>
      </c>
      <c r="E312" s="16"/>
      <c r="F312" s="16"/>
      <c r="G312" s="16"/>
      <c r="H312" s="17" t="str">
        <f t="shared" si="1"/>
        <v>0</v>
      </c>
      <c r="I312" s="17" t="str">
        <f t="shared" si="2"/>
        <v/>
      </c>
      <c r="J312" s="18" t="str">
        <f>IF(B312="","",IFERROR(G312*VLOOKUP(B312,Articles!$A$5:$K$204,8,FALSE),0))</f>
        <v/>
      </c>
      <c r="K312" s="16"/>
      <c r="L312" s="16"/>
      <c r="M312" s="17" t="str">
        <f t="shared" si="3"/>
        <v>À compléter</v>
      </c>
    </row>
    <row r="313" ht="15.75" customHeight="1">
      <c r="A313" s="15"/>
      <c r="B313" s="16"/>
      <c r="C313" s="16"/>
      <c r="D313" s="17" t="str">
        <f>IF(B313="","",IFERROR(VLOOKUP(B313,Articles!$A$5:$K$204,2,FALSE),"Référence inconnue"))</f>
        <v/>
      </c>
      <c r="E313" s="16"/>
      <c r="F313" s="16"/>
      <c r="G313" s="16"/>
      <c r="H313" s="17" t="str">
        <f t="shared" si="1"/>
        <v>0</v>
      </c>
      <c r="I313" s="17" t="str">
        <f t="shared" si="2"/>
        <v/>
      </c>
      <c r="J313" s="18" t="str">
        <f>IF(B313="","",IFERROR(G313*VLOOKUP(B313,Articles!$A$5:$K$204,8,FALSE),0))</f>
        <v/>
      </c>
      <c r="K313" s="16"/>
      <c r="L313" s="16"/>
      <c r="M313" s="17" t="str">
        <f t="shared" si="3"/>
        <v>À compléter</v>
      </c>
    </row>
    <row r="314" ht="15.75" customHeight="1">
      <c r="A314" s="15"/>
      <c r="B314" s="16"/>
      <c r="C314" s="16"/>
      <c r="D314" s="17" t="str">
        <f>IF(B314="","",IFERROR(VLOOKUP(B314,Articles!$A$5:$K$204,2,FALSE),"Référence inconnue"))</f>
        <v/>
      </c>
      <c r="E314" s="16"/>
      <c r="F314" s="16"/>
      <c r="G314" s="16"/>
      <c r="H314" s="17" t="str">
        <f t="shared" si="1"/>
        <v>0</v>
      </c>
      <c r="I314" s="17" t="str">
        <f t="shared" si="2"/>
        <v/>
      </c>
      <c r="J314" s="18" t="str">
        <f>IF(B314="","",IFERROR(G314*VLOOKUP(B314,Articles!$A$5:$K$204,8,FALSE),0))</f>
        <v/>
      </c>
      <c r="K314" s="16"/>
      <c r="L314" s="16"/>
      <c r="M314" s="17" t="str">
        <f t="shared" si="3"/>
        <v>À compléter</v>
      </c>
    </row>
    <row r="315" ht="15.75" customHeight="1">
      <c r="A315" s="15"/>
      <c r="B315" s="16"/>
      <c r="C315" s="16"/>
      <c r="D315" s="17" t="str">
        <f>IF(B315="","",IFERROR(VLOOKUP(B315,Articles!$A$5:$K$204,2,FALSE),"Référence inconnue"))</f>
        <v/>
      </c>
      <c r="E315" s="16"/>
      <c r="F315" s="16"/>
      <c r="G315" s="16"/>
      <c r="H315" s="17" t="str">
        <f t="shared" si="1"/>
        <v>0</v>
      </c>
      <c r="I315" s="17" t="str">
        <f t="shared" si="2"/>
        <v/>
      </c>
      <c r="J315" s="18" t="str">
        <f>IF(B315="","",IFERROR(G315*VLOOKUP(B315,Articles!$A$5:$K$204,8,FALSE),0))</f>
        <v/>
      </c>
      <c r="K315" s="16"/>
      <c r="L315" s="16"/>
      <c r="M315" s="17" t="str">
        <f t="shared" si="3"/>
        <v>À compléter</v>
      </c>
    </row>
    <row r="316" ht="15.75" customHeight="1">
      <c r="A316" s="15"/>
      <c r="B316" s="16"/>
      <c r="C316" s="16"/>
      <c r="D316" s="17" t="str">
        <f>IF(B316="","",IFERROR(VLOOKUP(B316,Articles!$A$5:$K$204,2,FALSE),"Référence inconnue"))</f>
        <v/>
      </c>
      <c r="E316" s="16"/>
      <c r="F316" s="16"/>
      <c r="G316" s="16"/>
      <c r="H316" s="17" t="str">
        <f t="shared" si="1"/>
        <v>0</v>
      </c>
      <c r="I316" s="17" t="str">
        <f t="shared" si="2"/>
        <v/>
      </c>
      <c r="J316" s="18" t="str">
        <f>IF(B316="","",IFERROR(G316*VLOOKUP(B316,Articles!$A$5:$K$204,8,FALSE),0))</f>
        <v/>
      </c>
      <c r="K316" s="16"/>
      <c r="L316" s="16"/>
      <c r="M316" s="17" t="str">
        <f t="shared" si="3"/>
        <v>À compléter</v>
      </c>
    </row>
    <row r="317" ht="15.75" customHeight="1">
      <c r="A317" s="15"/>
      <c r="B317" s="16"/>
      <c r="C317" s="16"/>
      <c r="D317" s="17" t="str">
        <f>IF(B317="","",IFERROR(VLOOKUP(B317,Articles!$A$5:$K$204,2,FALSE),"Référence inconnue"))</f>
        <v/>
      </c>
      <c r="E317" s="16"/>
      <c r="F317" s="16"/>
      <c r="G317" s="16"/>
      <c r="H317" s="17" t="str">
        <f t="shared" si="1"/>
        <v>0</v>
      </c>
      <c r="I317" s="17" t="str">
        <f t="shared" si="2"/>
        <v/>
      </c>
      <c r="J317" s="18" t="str">
        <f>IF(B317="","",IFERROR(G317*VLOOKUP(B317,Articles!$A$5:$K$204,8,FALSE),0))</f>
        <v/>
      </c>
      <c r="K317" s="16"/>
      <c r="L317" s="16"/>
      <c r="M317" s="17" t="str">
        <f t="shared" si="3"/>
        <v>À compléter</v>
      </c>
    </row>
    <row r="318" ht="15.75" customHeight="1">
      <c r="A318" s="15"/>
      <c r="B318" s="16"/>
      <c r="C318" s="16"/>
      <c r="D318" s="17" t="str">
        <f>IF(B318="","",IFERROR(VLOOKUP(B318,Articles!$A$5:$K$204,2,FALSE),"Référence inconnue"))</f>
        <v/>
      </c>
      <c r="E318" s="16"/>
      <c r="F318" s="16"/>
      <c r="G318" s="16"/>
      <c r="H318" s="17" t="str">
        <f t="shared" si="1"/>
        <v>0</v>
      </c>
      <c r="I318" s="17" t="str">
        <f t="shared" si="2"/>
        <v/>
      </c>
      <c r="J318" s="18" t="str">
        <f>IF(B318="","",IFERROR(G318*VLOOKUP(B318,Articles!$A$5:$K$204,8,FALSE),0))</f>
        <v/>
      </c>
      <c r="K318" s="16"/>
      <c r="L318" s="16"/>
      <c r="M318" s="17" t="str">
        <f t="shared" si="3"/>
        <v>À compléter</v>
      </c>
    </row>
    <row r="319" ht="15.75" customHeight="1">
      <c r="A319" s="15"/>
      <c r="B319" s="16"/>
      <c r="C319" s="16"/>
      <c r="D319" s="17" t="str">
        <f>IF(B319="","",IFERROR(VLOOKUP(B319,Articles!$A$5:$K$204,2,FALSE),"Référence inconnue"))</f>
        <v/>
      </c>
      <c r="E319" s="16"/>
      <c r="F319" s="16"/>
      <c r="G319" s="16"/>
      <c r="H319" s="17" t="str">
        <f t="shared" si="1"/>
        <v>0</v>
      </c>
      <c r="I319" s="17" t="str">
        <f t="shared" si="2"/>
        <v/>
      </c>
      <c r="J319" s="18" t="str">
        <f>IF(B319="","",IFERROR(G319*VLOOKUP(B319,Articles!$A$5:$K$204,8,FALSE),0))</f>
        <v/>
      </c>
      <c r="K319" s="16"/>
      <c r="L319" s="16"/>
      <c r="M319" s="17" t="str">
        <f t="shared" si="3"/>
        <v>À compléter</v>
      </c>
    </row>
    <row r="320" ht="15.75" customHeight="1">
      <c r="A320" s="15"/>
      <c r="B320" s="16"/>
      <c r="C320" s="16"/>
      <c r="D320" s="17" t="str">
        <f>IF(B320="","",IFERROR(VLOOKUP(B320,Articles!$A$5:$K$204,2,FALSE),"Référence inconnue"))</f>
        <v/>
      </c>
      <c r="E320" s="16"/>
      <c r="F320" s="16"/>
      <c r="G320" s="16"/>
      <c r="H320" s="17" t="str">
        <f t="shared" si="1"/>
        <v>0</v>
      </c>
      <c r="I320" s="17" t="str">
        <f t="shared" si="2"/>
        <v/>
      </c>
      <c r="J320" s="18" t="str">
        <f>IF(B320="","",IFERROR(G320*VLOOKUP(B320,Articles!$A$5:$K$204,8,FALSE),0))</f>
        <v/>
      </c>
      <c r="K320" s="16"/>
      <c r="L320" s="16"/>
      <c r="M320" s="17" t="str">
        <f t="shared" si="3"/>
        <v>À compléter</v>
      </c>
    </row>
    <row r="321" ht="15.75" customHeight="1">
      <c r="A321" s="15"/>
      <c r="B321" s="16"/>
      <c r="C321" s="16"/>
      <c r="D321" s="17" t="str">
        <f>IF(B321="","",IFERROR(VLOOKUP(B321,Articles!$A$5:$K$204,2,FALSE),"Référence inconnue"))</f>
        <v/>
      </c>
      <c r="E321" s="16"/>
      <c r="F321" s="16"/>
      <c r="G321" s="16"/>
      <c r="H321" s="17" t="str">
        <f t="shared" si="1"/>
        <v>0</v>
      </c>
      <c r="I321" s="17" t="str">
        <f t="shared" si="2"/>
        <v/>
      </c>
      <c r="J321" s="18" t="str">
        <f>IF(B321="","",IFERROR(G321*VLOOKUP(B321,Articles!$A$5:$K$204,8,FALSE),0))</f>
        <v/>
      </c>
      <c r="K321" s="16"/>
      <c r="L321" s="16"/>
      <c r="M321" s="17" t="str">
        <f t="shared" si="3"/>
        <v>À compléter</v>
      </c>
    </row>
    <row r="322" ht="15.75" customHeight="1">
      <c r="A322" s="15"/>
      <c r="B322" s="16"/>
      <c r="C322" s="16"/>
      <c r="D322" s="17" t="str">
        <f>IF(B322="","",IFERROR(VLOOKUP(B322,Articles!$A$5:$K$204,2,FALSE),"Référence inconnue"))</f>
        <v/>
      </c>
      <c r="E322" s="16"/>
      <c r="F322" s="16"/>
      <c r="G322" s="16"/>
      <c r="H322" s="17" t="str">
        <f t="shared" si="1"/>
        <v>0</v>
      </c>
      <c r="I322" s="17" t="str">
        <f t="shared" si="2"/>
        <v/>
      </c>
      <c r="J322" s="18" t="str">
        <f>IF(B322="","",IFERROR(G322*VLOOKUP(B322,Articles!$A$5:$K$204,8,FALSE),0))</f>
        <v/>
      </c>
      <c r="K322" s="16"/>
      <c r="L322" s="16"/>
      <c r="M322" s="17" t="str">
        <f t="shared" si="3"/>
        <v>À compléter</v>
      </c>
    </row>
    <row r="323" ht="15.75" customHeight="1">
      <c r="A323" s="15"/>
      <c r="B323" s="16"/>
      <c r="C323" s="16"/>
      <c r="D323" s="17" t="str">
        <f>IF(B323="","",IFERROR(VLOOKUP(B323,Articles!$A$5:$K$204,2,FALSE),"Référence inconnue"))</f>
        <v/>
      </c>
      <c r="E323" s="16"/>
      <c r="F323" s="16"/>
      <c r="G323" s="16"/>
      <c r="H323" s="17" t="str">
        <f t="shared" si="1"/>
        <v>0</v>
      </c>
      <c r="I323" s="17" t="str">
        <f t="shared" si="2"/>
        <v/>
      </c>
      <c r="J323" s="18" t="str">
        <f>IF(B323="","",IFERROR(G323*VLOOKUP(B323,Articles!$A$5:$K$204,8,FALSE),0))</f>
        <v/>
      </c>
      <c r="K323" s="16"/>
      <c r="L323" s="16"/>
      <c r="M323" s="17" t="str">
        <f t="shared" si="3"/>
        <v>À compléter</v>
      </c>
    </row>
    <row r="324" ht="15.75" customHeight="1">
      <c r="A324" s="15"/>
      <c r="B324" s="16"/>
      <c r="C324" s="16"/>
      <c r="D324" s="17" t="str">
        <f>IF(B324="","",IFERROR(VLOOKUP(B324,Articles!$A$5:$K$204,2,FALSE),"Référence inconnue"))</f>
        <v/>
      </c>
      <c r="E324" s="16"/>
      <c r="F324" s="16"/>
      <c r="G324" s="16"/>
      <c r="H324" s="17" t="str">
        <f t="shared" si="1"/>
        <v>0</v>
      </c>
      <c r="I324" s="17" t="str">
        <f t="shared" si="2"/>
        <v/>
      </c>
      <c r="J324" s="18" t="str">
        <f>IF(B324="","",IFERROR(G324*VLOOKUP(B324,Articles!$A$5:$K$204,8,FALSE),0))</f>
        <v/>
      </c>
      <c r="K324" s="16"/>
      <c r="L324" s="16"/>
      <c r="M324" s="17" t="str">
        <f t="shared" si="3"/>
        <v>À compléter</v>
      </c>
    </row>
    <row r="325" ht="15.75" customHeight="1">
      <c r="A325" s="15"/>
      <c r="B325" s="16"/>
      <c r="C325" s="16"/>
      <c r="D325" s="17" t="str">
        <f>IF(B325="","",IFERROR(VLOOKUP(B325,Articles!$A$5:$K$204,2,FALSE),"Référence inconnue"))</f>
        <v/>
      </c>
      <c r="E325" s="16"/>
      <c r="F325" s="16"/>
      <c r="G325" s="16"/>
      <c r="H325" s="17" t="str">
        <f t="shared" si="1"/>
        <v>0</v>
      </c>
      <c r="I325" s="17" t="str">
        <f t="shared" si="2"/>
        <v/>
      </c>
      <c r="J325" s="18" t="str">
        <f>IF(B325="","",IFERROR(G325*VLOOKUP(B325,Articles!$A$5:$K$204,8,FALSE),0))</f>
        <v/>
      </c>
      <c r="K325" s="16"/>
      <c r="L325" s="16"/>
      <c r="M325" s="17" t="str">
        <f t="shared" si="3"/>
        <v>À compléter</v>
      </c>
    </row>
    <row r="326" ht="15.75" customHeight="1">
      <c r="A326" s="15"/>
      <c r="B326" s="16"/>
      <c r="C326" s="16"/>
      <c r="D326" s="17" t="str">
        <f>IF(B326="","",IFERROR(VLOOKUP(B326,Articles!$A$5:$K$204,2,FALSE),"Référence inconnue"))</f>
        <v/>
      </c>
      <c r="E326" s="16"/>
      <c r="F326" s="16"/>
      <c r="G326" s="16"/>
      <c r="H326" s="17" t="str">
        <f t="shared" si="1"/>
        <v>0</v>
      </c>
      <c r="I326" s="17" t="str">
        <f t="shared" si="2"/>
        <v/>
      </c>
      <c r="J326" s="18" t="str">
        <f>IF(B326="","",IFERROR(G326*VLOOKUP(B326,Articles!$A$5:$K$204,8,FALSE),0))</f>
        <v/>
      </c>
      <c r="K326" s="16"/>
      <c r="L326" s="16"/>
      <c r="M326" s="17" t="str">
        <f t="shared" si="3"/>
        <v>À compléter</v>
      </c>
    </row>
    <row r="327" ht="15.75" customHeight="1">
      <c r="A327" s="15"/>
      <c r="B327" s="16"/>
      <c r="C327" s="16"/>
      <c r="D327" s="17" t="str">
        <f>IF(B327="","",IFERROR(VLOOKUP(B327,Articles!$A$5:$K$204,2,FALSE),"Référence inconnue"))</f>
        <v/>
      </c>
      <c r="E327" s="16"/>
      <c r="F327" s="16"/>
      <c r="G327" s="16"/>
      <c r="H327" s="17" t="str">
        <f t="shared" si="1"/>
        <v>0</v>
      </c>
      <c r="I327" s="17" t="str">
        <f t="shared" si="2"/>
        <v/>
      </c>
      <c r="J327" s="18" t="str">
        <f>IF(B327="","",IFERROR(G327*VLOOKUP(B327,Articles!$A$5:$K$204,8,FALSE),0))</f>
        <v/>
      </c>
      <c r="K327" s="16"/>
      <c r="L327" s="16"/>
      <c r="M327" s="17" t="str">
        <f t="shared" si="3"/>
        <v>À compléter</v>
      </c>
    </row>
    <row r="328" ht="15.75" customHeight="1">
      <c r="A328" s="15"/>
      <c r="B328" s="16"/>
      <c r="C328" s="16"/>
      <c r="D328" s="17" t="str">
        <f>IF(B328="","",IFERROR(VLOOKUP(B328,Articles!$A$5:$K$204,2,FALSE),"Référence inconnue"))</f>
        <v/>
      </c>
      <c r="E328" s="16"/>
      <c r="F328" s="16"/>
      <c r="G328" s="16"/>
      <c r="H328" s="17" t="str">
        <f t="shared" si="1"/>
        <v>0</v>
      </c>
      <c r="I328" s="17" t="str">
        <f t="shared" si="2"/>
        <v/>
      </c>
      <c r="J328" s="18" t="str">
        <f>IF(B328="","",IFERROR(G328*VLOOKUP(B328,Articles!$A$5:$K$204,8,FALSE),0))</f>
        <v/>
      </c>
      <c r="K328" s="16"/>
      <c r="L328" s="16"/>
      <c r="M328" s="17" t="str">
        <f t="shared" si="3"/>
        <v>À compléter</v>
      </c>
    </row>
    <row r="329" ht="15.75" customHeight="1">
      <c r="A329" s="15"/>
      <c r="B329" s="16"/>
      <c r="C329" s="16"/>
      <c r="D329" s="17" t="str">
        <f>IF(B329="","",IFERROR(VLOOKUP(B329,Articles!$A$5:$K$204,2,FALSE),"Référence inconnue"))</f>
        <v/>
      </c>
      <c r="E329" s="16"/>
      <c r="F329" s="16"/>
      <c r="G329" s="16"/>
      <c r="H329" s="17" t="str">
        <f t="shared" si="1"/>
        <v>0</v>
      </c>
      <c r="I329" s="17" t="str">
        <f t="shared" si="2"/>
        <v/>
      </c>
      <c r="J329" s="18" t="str">
        <f>IF(B329="","",IFERROR(G329*VLOOKUP(B329,Articles!$A$5:$K$204,8,FALSE),0))</f>
        <v/>
      </c>
      <c r="K329" s="16"/>
      <c r="L329" s="16"/>
      <c r="M329" s="17" t="str">
        <f t="shared" si="3"/>
        <v>À compléter</v>
      </c>
    </row>
    <row r="330" ht="15.75" customHeight="1">
      <c r="A330" s="15"/>
      <c r="B330" s="16"/>
      <c r="C330" s="16"/>
      <c r="D330" s="17" t="str">
        <f>IF(B330="","",IFERROR(VLOOKUP(B330,Articles!$A$5:$K$204,2,FALSE),"Référence inconnue"))</f>
        <v/>
      </c>
      <c r="E330" s="16"/>
      <c r="F330" s="16"/>
      <c r="G330" s="16"/>
      <c r="H330" s="17" t="str">
        <f t="shared" si="1"/>
        <v>0</v>
      </c>
      <c r="I330" s="17" t="str">
        <f t="shared" si="2"/>
        <v/>
      </c>
      <c r="J330" s="18" t="str">
        <f>IF(B330="","",IFERROR(G330*VLOOKUP(B330,Articles!$A$5:$K$204,8,FALSE),0))</f>
        <v/>
      </c>
      <c r="K330" s="16"/>
      <c r="L330" s="16"/>
      <c r="M330" s="17" t="str">
        <f t="shared" si="3"/>
        <v>À compléter</v>
      </c>
    </row>
    <row r="331" ht="15.75" customHeight="1">
      <c r="A331" s="15"/>
      <c r="B331" s="16"/>
      <c r="C331" s="16"/>
      <c r="D331" s="17" t="str">
        <f>IF(B331="","",IFERROR(VLOOKUP(B331,Articles!$A$5:$K$204,2,FALSE),"Référence inconnue"))</f>
        <v/>
      </c>
      <c r="E331" s="16"/>
      <c r="F331" s="16"/>
      <c r="G331" s="16"/>
      <c r="H331" s="17" t="str">
        <f t="shared" si="1"/>
        <v>0</v>
      </c>
      <c r="I331" s="17" t="str">
        <f t="shared" si="2"/>
        <v/>
      </c>
      <c r="J331" s="18" t="str">
        <f>IF(B331="","",IFERROR(G331*VLOOKUP(B331,Articles!$A$5:$K$204,8,FALSE),0))</f>
        <v/>
      </c>
      <c r="K331" s="16"/>
      <c r="L331" s="16"/>
      <c r="M331" s="17" t="str">
        <f t="shared" si="3"/>
        <v>À compléter</v>
      </c>
    </row>
    <row r="332" ht="15.75" customHeight="1">
      <c r="A332" s="15"/>
      <c r="B332" s="16"/>
      <c r="C332" s="16"/>
      <c r="D332" s="17" t="str">
        <f>IF(B332="","",IFERROR(VLOOKUP(B332,Articles!$A$5:$K$204,2,FALSE),"Référence inconnue"))</f>
        <v/>
      </c>
      <c r="E332" s="16"/>
      <c r="F332" s="16"/>
      <c r="G332" s="16"/>
      <c r="H332" s="17" t="str">
        <f t="shared" si="1"/>
        <v>0</v>
      </c>
      <c r="I332" s="17" t="str">
        <f t="shared" si="2"/>
        <v/>
      </c>
      <c r="J332" s="18" t="str">
        <f>IF(B332="","",IFERROR(G332*VLOOKUP(B332,Articles!$A$5:$K$204,8,FALSE),0))</f>
        <v/>
      </c>
      <c r="K332" s="16"/>
      <c r="L332" s="16"/>
      <c r="M332" s="17" t="str">
        <f t="shared" si="3"/>
        <v>À compléter</v>
      </c>
    </row>
    <row r="333" ht="15.75" customHeight="1">
      <c r="A333" s="15"/>
      <c r="B333" s="16"/>
      <c r="C333" s="16"/>
      <c r="D333" s="17" t="str">
        <f>IF(B333="","",IFERROR(VLOOKUP(B333,Articles!$A$5:$K$204,2,FALSE),"Référence inconnue"))</f>
        <v/>
      </c>
      <c r="E333" s="16"/>
      <c r="F333" s="16"/>
      <c r="G333" s="16"/>
      <c r="H333" s="17" t="str">
        <f t="shared" si="1"/>
        <v>0</v>
      </c>
      <c r="I333" s="17" t="str">
        <f t="shared" si="2"/>
        <v/>
      </c>
      <c r="J333" s="18" t="str">
        <f>IF(B333="","",IFERROR(G333*VLOOKUP(B333,Articles!$A$5:$K$204,8,FALSE),0))</f>
        <v/>
      </c>
      <c r="K333" s="16"/>
      <c r="L333" s="16"/>
      <c r="M333" s="17" t="str">
        <f t="shared" si="3"/>
        <v>À compléter</v>
      </c>
    </row>
    <row r="334" ht="15.75" customHeight="1">
      <c r="A334" s="15"/>
      <c r="B334" s="16"/>
      <c r="C334" s="16"/>
      <c r="D334" s="17" t="str">
        <f>IF(B334="","",IFERROR(VLOOKUP(B334,Articles!$A$5:$K$204,2,FALSE),"Référence inconnue"))</f>
        <v/>
      </c>
      <c r="E334" s="16"/>
      <c r="F334" s="16"/>
      <c r="G334" s="16"/>
      <c r="H334" s="17" t="str">
        <f t="shared" si="1"/>
        <v>0</v>
      </c>
      <c r="I334" s="17" t="str">
        <f t="shared" si="2"/>
        <v/>
      </c>
      <c r="J334" s="18" t="str">
        <f>IF(B334="","",IFERROR(G334*VLOOKUP(B334,Articles!$A$5:$K$204,8,FALSE),0))</f>
        <v/>
      </c>
      <c r="K334" s="16"/>
      <c r="L334" s="16"/>
      <c r="M334" s="17" t="str">
        <f t="shared" si="3"/>
        <v>À compléter</v>
      </c>
    </row>
    <row r="335" ht="15.75" customHeight="1">
      <c r="A335" s="15"/>
      <c r="B335" s="16"/>
      <c r="C335" s="16"/>
      <c r="D335" s="17" t="str">
        <f>IF(B335="","",IFERROR(VLOOKUP(B335,Articles!$A$5:$K$204,2,FALSE),"Référence inconnue"))</f>
        <v/>
      </c>
      <c r="E335" s="16"/>
      <c r="F335" s="16"/>
      <c r="G335" s="16"/>
      <c r="H335" s="17" t="str">
        <f t="shared" si="1"/>
        <v>0</v>
      </c>
      <c r="I335" s="17" t="str">
        <f t="shared" si="2"/>
        <v/>
      </c>
      <c r="J335" s="18" t="str">
        <f>IF(B335="","",IFERROR(G335*VLOOKUP(B335,Articles!$A$5:$K$204,8,FALSE),0))</f>
        <v/>
      </c>
      <c r="K335" s="16"/>
      <c r="L335" s="16"/>
      <c r="M335" s="17" t="str">
        <f t="shared" si="3"/>
        <v>À compléter</v>
      </c>
    </row>
    <row r="336" ht="15.75" customHeight="1">
      <c r="A336" s="15"/>
      <c r="B336" s="16"/>
      <c r="C336" s="16"/>
      <c r="D336" s="17" t="str">
        <f>IF(B336="","",IFERROR(VLOOKUP(B336,Articles!$A$5:$K$204,2,FALSE),"Référence inconnue"))</f>
        <v/>
      </c>
      <c r="E336" s="16"/>
      <c r="F336" s="16"/>
      <c r="G336" s="16"/>
      <c r="H336" s="17" t="str">
        <f t="shared" si="1"/>
        <v>0</v>
      </c>
      <c r="I336" s="17" t="str">
        <f t="shared" si="2"/>
        <v/>
      </c>
      <c r="J336" s="18" t="str">
        <f>IF(B336="","",IFERROR(G336*VLOOKUP(B336,Articles!$A$5:$K$204,8,FALSE),0))</f>
        <v/>
      </c>
      <c r="K336" s="16"/>
      <c r="L336" s="16"/>
      <c r="M336" s="17" t="str">
        <f t="shared" si="3"/>
        <v>À compléter</v>
      </c>
    </row>
    <row r="337" ht="15.75" customHeight="1">
      <c r="A337" s="15"/>
      <c r="B337" s="16"/>
      <c r="C337" s="16"/>
      <c r="D337" s="17" t="str">
        <f>IF(B337="","",IFERROR(VLOOKUP(B337,Articles!$A$5:$K$204,2,FALSE),"Référence inconnue"))</f>
        <v/>
      </c>
      <c r="E337" s="16"/>
      <c r="F337" s="16"/>
      <c r="G337" s="16"/>
      <c r="H337" s="17" t="str">
        <f t="shared" si="1"/>
        <v>0</v>
      </c>
      <c r="I337" s="17" t="str">
        <f t="shared" si="2"/>
        <v/>
      </c>
      <c r="J337" s="18" t="str">
        <f>IF(B337="","",IFERROR(G337*VLOOKUP(B337,Articles!$A$5:$K$204,8,FALSE),0))</f>
        <v/>
      </c>
      <c r="K337" s="16"/>
      <c r="L337" s="16"/>
      <c r="M337" s="17" t="str">
        <f t="shared" si="3"/>
        <v>À compléter</v>
      </c>
    </row>
    <row r="338" ht="15.75" customHeight="1">
      <c r="A338" s="15"/>
      <c r="B338" s="16"/>
      <c r="C338" s="16"/>
      <c r="D338" s="17" t="str">
        <f>IF(B338="","",IFERROR(VLOOKUP(B338,Articles!$A$5:$K$204,2,FALSE),"Référence inconnue"))</f>
        <v/>
      </c>
      <c r="E338" s="16"/>
      <c r="F338" s="16"/>
      <c r="G338" s="16"/>
      <c r="H338" s="17" t="str">
        <f t="shared" si="1"/>
        <v>0</v>
      </c>
      <c r="I338" s="17" t="str">
        <f t="shared" si="2"/>
        <v/>
      </c>
      <c r="J338" s="18" t="str">
        <f>IF(B338="","",IFERROR(G338*VLOOKUP(B338,Articles!$A$5:$K$204,8,FALSE),0))</f>
        <v/>
      </c>
      <c r="K338" s="16"/>
      <c r="L338" s="16"/>
      <c r="M338" s="17" t="str">
        <f t="shared" si="3"/>
        <v>À compléter</v>
      </c>
    </row>
    <row r="339" ht="15.75" customHeight="1">
      <c r="A339" s="15"/>
      <c r="B339" s="16"/>
      <c r="C339" s="16"/>
      <c r="D339" s="17" t="str">
        <f>IF(B339="","",IFERROR(VLOOKUP(B339,Articles!$A$5:$K$204,2,FALSE),"Référence inconnue"))</f>
        <v/>
      </c>
      <c r="E339" s="16"/>
      <c r="F339" s="16"/>
      <c r="G339" s="16"/>
      <c r="H339" s="17" t="str">
        <f t="shared" si="1"/>
        <v>0</v>
      </c>
      <c r="I339" s="17" t="str">
        <f t="shared" si="2"/>
        <v/>
      </c>
      <c r="J339" s="18" t="str">
        <f>IF(B339="","",IFERROR(G339*VLOOKUP(B339,Articles!$A$5:$K$204,8,FALSE),0))</f>
        <v/>
      </c>
      <c r="K339" s="16"/>
      <c r="L339" s="16"/>
      <c r="M339" s="17" t="str">
        <f t="shared" si="3"/>
        <v>À compléter</v>
      </c>
    </row>
    <row r="340" ht="15.75" customHeight="1">
      <c r="A340" s="15"/>
      <c r="B340" s="16"/>
      <c r="C340" s="16"/>
      <c r="D340" s="17" t="str">
        <f>IF(B340="","",IFERROR(VLOOKUP(B340,Articles!$A$5:$K$204,2,FALSE),"Référence inconnue"))</f>
        <v/>
      </c>
      <c r="E340" s="16"/>
      <c r="F340" s="16"/>
      <c r="G340" s="16"/>
      <c r="H340" s="17" t="str">
        <f t="shared" si="1"/>
        <v>0</v>
      </c>
      <c r="I340" s="17" t="str">
        <f t="shared" si="2"/>
        <v/>
      </c>
      <c r="J340" s="18" t="str">
        <f>IF(B340="","",IFERROR(G340*VLOOKUP(B340,Articles!$A$5:$K$204,8,FALSE),0))</f>
        <v/>
      </c>
      <c r="K340" s="16"/>
      <c r="L340" s="16"/>
      <c r="M340" s="17" t="str">
        <f t="shared" si="3"/>
        <v>À compléter</v>
      </c>
    </row>
    <row r="341" ht="15.75" customHeight="1">
      <c r="A341" s="15"/>
      <c r="B341" s="16"/>
      <c r="C341" s="16"/>
      <c r="D341" s="17" t="str">
        <f>IF(B341="","",IFERROR(VLOOKUP(B341,Articles!$A$5:$K$204,2,FALSE),"Référence inconnue"))</f>
        <v/>
      </c>
      <c r="E341" s="16"/>
      <c r="F341" s="16"/>
      <c r="G341" s="16"/>
      <c r="H341" s="17" t="str">
        <f t="shared" si="1"/>
        <v>0</v>
      </c>
      <c r="I341" s="17" t="str">
        <f t="shared" si="2"/>
        <v/>
      </c>
      <c r="J341" s="18" t="str">
        <f>IF(B341="","",IFERROR(G341*VLOOKUP(B341,Articles!$A$5:$K$204,8,FALSE),0))</f>
        <v/>
      </c>
      <c r="K341" s="16"/>
      <c r="L341" s="16"/>
      <c r="M341" s="17" t="str">
        <f t="shared" si="3"/>
        <v>À compléter</v>
      </c>
    </row>
    <row r="342" ht="15.75" customHeight="1">
      <c r="A342" s="15"/>
      <c r="B342" s="16"/>
      <c r="C342" s="16"/>
      <c r="D342" s="17" t="str">
        <f>IF(B342="","",IFERROR(VLOOKUP(B342,Articles!$A$5:$K$204,2,FALSE),"Référence inconnue"))</f>
        <v/>
      </c>
      <c r="E342" s="16"/>
      <c r="F342" s="16"/>
      <c r="G342" s="16"/>
      <c r="H342" s="17" t="str">
        <f t="shared" si="1"/>
        <v>0</v>
      </c>
      <c r="I342" s="17" t="str">
        <f t="shared" si="2"/>
        <v/>
      </c>
      <c r="J342" s="18" t="str">
        <f>IF(B342="","",IFERROR(G342*VLOOKUP(B342,Articles!$A$5:$K$204,8,FALSE),0))</f>
        <v/>
      </c>
      <c r="K342" s="16"/>
      <c r="L342" s="16"/>
      <c r="M342" s="17" t="str">
        <f t="shared" si="3"/>
        <v>À compléter</v>
      </c>
    </row>
    <row r="343" ht="15.75" customHeight="1">
      <c r="A343" s="15"/>
      <c r="B343" s="16"/>
      <c r="C343" s="16"/>
      <c r="D343" s="17" t="str">
        <f>IF(B343="","",IFERROR(VLOOKUP(B343,Articles!$A$5:$K$204,2,FALSE),"Référence inconnue"))</f>
        <v/>
      </c>
      <c r="E343" s="16"/>
      <c r="F343" s="16"/>
      <c r="G343" s="16"/>
      <c r="H343" s="17" t="str">
        <f t="shared" si="1"/>
        <v>0</v>
      </c>
      <c r="I343" s="17" t="str">
        <f t="shared" si="2"/>
        <v/>
      </c>
      <c r="J343" s="18" t="str">
        <f>IF(B343="","",IFERROR(G343*VLOOKUP(B343,Articles!$A$5:$K$204,8,FALSE),0))</f>
        <v/>
      </c>
      <c r="K343" s="16"/>
      <c r="L343" s="16"/>
      <c r="M343" s="17" t="str">
        <f t="shared" si="3"/>
        <v>À compléter</v>
      </c>
    </row>
    <row r="344" ht="15.75" customHeight="1">
      <c r="A344" s="15"/>
      <c r="B344" s="16"/>
      <c r="C344" s="16"/>
      <c r="D344" s="17" t="str">
        <f>IF(B344="","",IFERROR(VLOOKUP(B344,Articles!$A$5:$K$204,2,FALSE),"Référence inconnue"))</f>
        <v/>
      </c>
      <c r="E344" s="16"/>
      <c r="F344" s="16"/>
      <c r="G344" s="16"/>
      <c r="H344" s="17" t="str">
        <f t="shared" si="1"/>
        <v>0</v>
      </c>
      <c r="I344" s="17" t="str">
        <f t="shared" si="2"/>
        <v/>
      </c>
      <c r="J344" s="18" t="str">
        <f>IF(B344="","",IFERROR(G344*VLOOKUP(B344,Articles!$A$5:$K$204,8,FALSE),0))</f>
        <v/>
      </c>
      <c r="K344" s="16"/>
      <c r="L344" s="16"/>
      <c r="M344" s="17" t="str">
        <f t="shared" si="3"/>
        <v>À compléter</v>
      </c>
    </row>
    <row r="345" ht="15.75" customHeight="1">
      <c r="A345" s="15"/>
      <c r="B345" s="16"/>
      <c r="C345" s="16"/>
      <c r="D345" s="17" t="str">
        <f>IF(B345="","",IFERROR(VLOOKUP(B345,Articles!$A$5:$K$204,2,FALSE),"Référence inconnue"))</f>
        <v/>
      </c>
      <c r="E345" s="16"/>
      <c r="F345" s="16"/>
      <c r="G345" s="16"/>
      <c r="H345" s="17" t="str">
        <f t="shared" si="1"/>
        <v>0</v>
      </c>
      <c r="I345" s="17" t="str">
        <f t="shared" si="2"/>
        <v/>
      </c>
      <c r="J345" s="18" t="str">
        <f>IF(B345="","",IFERROR(G345*VLOOKUP(B345,Articles!$A$5:$K$204,8,FALSE),0))</f>
        <v/>
      </c>
      <c r="K345" s="16"/>
      <c r="L345" s="16"/>
      <c r="M345" s="17" t="str">
        <f t="shared" si="3"/>
        <v>À compléter</v>
      </c>
    </row>
    <row r="346" ht="15.75" customHeight="1">
      <c r="A346" s="15"/>
      <c r="B346" s="16"/>
      <c r="C346" s="16"/>
      <c r="D346" s="17" t="str">
        <f>IF(B346="","",IFERROR(VLOOKUP(B346,Articles!$A$5:$K$204,2,FALSE),"Référence inconnue"))</f>
        <v/>
      </c>
      <c r="E346" s="16"/>
      <c r="F346" s="16"/>
      <c r="G346" s="16"/>
      <c r="H346" s="17" t="str">
        <f t="shared" si="1"/>
        <v>0</v>
      </c>
      <c r="I346" s="17" t="str">
        <f t="shared" si="2"/>
        <v/>
      </c>
      <c r="J346" s="18" t="str">
        <f>IF(B346="","",IFERROR(G346*VLOOKUP(B346,Articles!$A$5:$K$204,8,FALSE),0))</f>
        <v/>
      </c>
      <c r="K346" s="16"/>
      <c r="L346" s="16"/>
      <c r="M346" s="17" t="str">
        <f t="shared" si="3"/>
        <v>À compléter</v>
      </c>
    </row>
    <row r="347" ht="15.75" customHeight="1">
      <c r="A347" s="15"/>
      <c r="B347" s="16"/>
      <c r="C347" s="16"/>
      <c r="D347" s="17" t="str">
        <f>IF(B347="","",IFERROR(VLOOKUP(B347,Articles!$A$5:$K$204,2,FALSE),"Référence inconnue"))</f>
        <v/>
      </c>
      <c r="E347" s="16"/>
      <c r="F347" s="16"/>
      <c r="G347" s="16"/>
      <c r="H347" s="17" t="str">
        <f t="shared" si="1"/>
        <v>0</v>
      </c>
      <c r="I347" s="17" t="str">
        <f t="shared" si="2"/>
        <v/>
      </c>
      <c r="J347" s="18" t="str">
        <f>IF(B347="","",IFERROR(G347*VLOOKUP(B347,Articles!$A$5:$K$204,8,FALSE),0))</f>
        <v/>
      </c>
      <c r="K347" s="16"/>
      <c r="L347" s="16"/>
      <c r="M347" s="17" t="str">
        <f t="shared" si="3"/>
        <v>À compléter</v>
      </c>
    </row>
    <row r="348" ht="15.75" customHeight="1">
      <c r="A348" s="15"/>
      <c r="B348" s="16"/>
      <c r="C348" s="16"/>
      <c r="D348" s="17" t="str">
        <f>IF(B348="","",IFERROR(VLOOKUP(B348,Articles!$A$5:$K$204,2,FALSE),"Référence inconnue"))</f>
        <v/>
      </c>
      <c r="E348" s="16"/>
      <c r="F348" s="16"/>
      <c r="G348" s="16"/>
      <c r="H348" s="17" t="str">
        <f t="shared" si="1"/>
        <v>0</v>
      </c>
      <c r="I348" s="17" t="str">
        <f t="shared" si="2"/>
        <v/>
      </c>
      <c r="J348" s="18" t="str">
        <f>IF(B348="","",IFERROR(G348*VLOOKUP(B348,Articles!$A$5:$K$204,8,FALSE),0))</f>
        <v/>
      </c>
      <c r="K348" s="16"/>
      <c r="L348" s="16"/>
      <c r="M348" s="17" t="str">
        <f t="shared" si="3"/>
        <v>À compléter</v>
      </c>
    </row>
    <row r="349" ht="15.75" customHeight="1">
      <c r="A349" s="15"/>
      <c r="B349" s="16"/>
      <c r="C349" s="16"/>
      <c r="D349" s="17" t="str">
        <f>IF(B349="","",IFERROR(VLOOKUP(B349,Articles!$A$5:$K$204,2,FALSE),"Référence inconnue"))</f>
        <v/>
      </c>
      <c r="E349" s="16"/>
      <c r="F349" s="16"/>
      <c r="G349" s="16"/>
      <c r="H349" s="17" t="str">
        <f t="shared" si="1"/>
        <v>0</v>
      </c>
      <c r="I349" s="17" t="str">
        <f t="shared" si="2"/>
        <v/>
      </c>
      <c r="J349" s="18" t="str">
        <f>IF(B349="","",IFERROR(G349*VLOOKUP(B349,Articles!$A$5:$K$204,8,FALSE),0))</f>
        <v/>
      </c>
      <c r="K349" s="16"/>
      <c r="L349" s="16"/>
      <c r="M349" s="17" t="str">
        <f t="shared" si="3"/>
        <v>À compléter</v>
      </c>
    </row>
    <row r="350" ht="15.75" customHeight="1">
      <c r="A350" s="15"/>
      <c r="B350" s="16"/>
      <c r="C350" s="16"/>
      <c r="D350" s="17" t="str">
        <f>IF(B350="","",IFERROR(VLOOKUP(B350,Articles!$A$5:$K$204,2,FALSE),"Référence inconnue"))</f>
        <v/>
      </c>
      <c r="E350" s="16"/>
      <c r="F350" s="16"/>
      <c r="G350" s="16"/>
      <c r="H350" s="17" t="str">
        <f t="shared" si="1"/>
        <v>0</v>
      </c>
      <c r="I350" s="17" t="str">
        <f t="shared" si="2"/>
        <v/>
      </c>
      <c r="J350" s="18" t="str">
        <f>IF(B350="","",IFERROR(G350*VLOOKUP(B350,Articles!$A$5:$K$204,8,FALSE),0))</f>
        <v/>
      </c>
      <c r="K350" s="16"/>
      <c r="L350" s="16"/>
      <c r="M350" s="17" t="str">
        <f t="shared" si="3"/>
        <v>À compléter</v>
      </c>
    </row>
    <row r="351" ht="15.75" customHeight="1">
      <c r="A351" s="15"/>
      <c r="B351" s="16"/>
      <c r="C351" s="16"/>
      <c r="D351" s="17" t="str">
        <f>IF(B351="","",IFERROR(VLOOKUP(B351,Articles!$A$5:$K$204,2,FALSE),"Référence inconnue"))</f>
        <v/>
      </c>
      <c r="E351" s="16"/>
      <c r="F351" s="16"/>
      <c r="G351" s="16"/>
      <c r="H351" s="17" t="str">
        <f t="shared" si="1"/>
        <v>0</v>
      </c>
      <c r="I351" s="17" t="str">
        <f t="shared" si="2"/>
        <v/>
      </c>
      <c r="J351" s="18" t="str">
        <f>IF(B351="","",IFERROR(G351*VLOOKUP(B351,Articles!$A$5:$K$204,8,FALSE),0))</f>
        <v/>
      </c>
      <c r="K351" s="16"/>
      <c r="L351" s="16"/>
      <c r="M351" s="17" t="str">
        <f t="shared" si="3"/>
        <v>À compléter</v>
      </c>
    </row>
    <row r="352" ht="15.75" customHeight="1">
      <c r="A352" s="15"/>
      <c r="B352" s="16"/>
      <c r="C352" s="16"/>
      <c r="D352" s="17" t="str">
        <f>IF(B352="","",IFERROR(VLOOKUP(B352,Articles!$A$5:$K$204,2,FALSE),"Référence inconnue"))</f>
        <v/>
      </c>
      <c r="E352" s="16"/>
      <c r="F352" s="16"/>
      <c r="G352" s="16"/>
      <c r="H352" s="17" t="str">
        <f t="shared" si="1"/>
        <v>0</v>
      </c>
      <c r="I352" s="17" t="str">
        <f t="shared" si="2"/>
        <v/>
      </c>
      <c r="J352" s="18" t="str">
        <f>IF(B352="","",IFERROR(G352*VLOOKUP(B352,Articles!$A$5:$K$204,8,FALSE),0))</f>
        <v/>
      </c>
      <c r="K352" s="16"/>
      <c r="L352" s="16"/>
      <c r="M352" s="17" t="str">
        <f t="shared" si="3"/>
        <v>À compléter</v>
      </c>
    </row>
    <row r="353" ht="15.75" customHeight="1">
      <c r="A353" s="15"/>
      <c r="B353" s="16"/>
      <c r="C353" s="16"/>
      <c r="D353" s="17" t="str">
        <f>IF(B353="","",IFERROR(VLOOKUP(B353,Articles!$A$5:$K$204,2,FALSE),"Référence inconnue"))</f>
        <v/>
      </c>
      <c r="E353" s="16"/>
      <c r="F353" s="16"/>
      <c r="G353" s="16"/>
      <c r="H353" s="17" t="str">
        <f t="shared" si="1"/>
        <v>0</v>
      </c>
      <c r="I353" s="17" t="str">
        <f t="shared" si="2"/>
        <v/>
      </c>
      <c r="J353" s="18" t="str">
        <f>IF(B353="","",IFERROR(G353*VLOOKUP(B353,Articles!$A$5:$K$204,8,FALSE),0))</f>
        <v/>
      </c>
      <c r="K353" s="16"/>
      <c r="L353" s="16"/>
      <c r="M353" s="17" t="str">
        <f t="shared" si="3"/>
        <v>À compléter</v>
      </c>
    </row>
    <row r="354" ht="15.75" customHeight="1">
      <c r="A354" s="15"/>
      <c r="B354" s="16"/>
      <c r="C354" s="16"/>
      <c r="D354" s="17" t="str">
        <f>IF(B354="","",IFERROR(VLOOKUP(B354,Articles!$A$5:$K$204,2,FALSE),"Référence inconnue"))</f>
        <v/>
      </c>
      <c r="E354" s="16"/>
      <c r="F354" s="16"/>
      <c r="G354" s="16"/>
      <c r="H354" s="17" t="str">
        <f t="shared" si="1"/>
        <v>0</v>
      </c>
      <c r="I354" s="17" t="str">
        <f t="shared" si="2"/>
        <v/>
      </c>
      <c r="J354" s="18" t="str">
        <f>IF(B354="","",IFERROR(G354*VLOOKUP(B354,Articles!$A$5:$K$204,8,FALSE),0))</f>
        <v/>
      </c>
      <c r="K354" s="16"/>
      <c r="L354" s="16"/>
      <c r="M354" s="17" t="str">
        <f t="shared" si="3"/>
        <v>À compléter</v>
      </c>
    </row>
    <row r="355" ht="15.75" customHeight="1">
      <c r="A355" s="15"/>
      <c r="B355" s="16"/>
      <c r="C355" s="16"/>
      <c r="D355" s="17" t="str">
        <f>IF(B355="","",IFERROR(VLOOKUP(B355,Articles!$A$5:$K$204,2,FALSE),"Référence inconnue"))</f>
        <v/>
      </c>
      <c r="E355" s="16"/>
      <c r="F355" s="16"/>
      <c r="G355" s="16"/>
      <c r="H355" s="17" t="str">
        <f t="shared" si="1"/>
        <v>0</v>
      </c>
      <c r="I355" s="17" t="str">
        <f t="shared" si="2"/>
        <v/>
      </c>
      <c r="J355" s="18" t="str">
        <f>IF(B355="","",IFERROR(G355*VLOOKUP(B355,Articles!$A$5:$K$204,8,FALSE),0))</f>
        <v/>
      </c>
      <c r="K355" s="16"/>
      <c r="L355" s="16"/>
      <c r="M355" s="17" t="str">
        <f t="shared" si="3"/>
        <v>À compléter</v>
      </c>
    </row>
    <row r="356" ht="15.75" customHeight="1">
      <c r="A356" s="15"/>
      <c r="B356" s="16"/>
      <c r="C356" s="16"/>
      <c r="D356" s="17" t="str">
        <f>IF(B356="","",IFERROR(VLOOKUP(B356,Articles!$A$5:$K$204,2,FALSE),"Référence inconnue"))</f>
        <v/>
      </c>
      <c r="E356" s="16"/>
      <c r="F356" s="16"/>
      <c r="G356" s="16"/>
      <c r="H356" s="17" t="str">
        <f t="shared" si="1"/>
        <v>0</v>
      </c>
      <c r="I356" s="17" t="str">
        <f t="shared" si="2"/>
        <v/>
      </c>
      <c r="J356" s="18" t="str">
        <f>IF(B356="","",IFERROR(G356*VLOOKUP(B356,Articles!$A$5:$K$204,8,FALSE),0))</f>
        <v/>
      </c>
      <c r="K356" s="16"/>
      <c r="L356" s="16"/>
      <c r="M356" s="17" t="str">
        <f t="shared" si="3"/>
        <v>À compléter</v>
      </c>
    </row>
    <row r="357" ht="15.75" customHeight="1">
      <c r="A357" s="15"/>
      <c r="B357" s="16"/>
      <c r="C357" s="16"/>
      <c r="D357" s="17" t="str">
        <f>IF(B357="","",IFERROR(VLOOKUP(B357,Articles!$A$5:$K$204,2,FALSE),"Référence inconnue"))</f>
        <v/>
      </c>
      <c r="E357" s="16"/>
      <c r="F357" s="16"/>
      <c r="G357" s="16"/>
      <c r="H357" s="17" t="str">
        <f t="shared" si="1"/>
        <v>0</v>
      </c>
      <c r="I357" s="17" t="str">
        <f t="shared" si="2"/>
        <v/>
      </c>
      <c r="J357" s="18" t="str">
        <f>IF(B357="","",IFERROR(G357*VLOOKUP(B357,Articles!$A$5:$K$204,8,FALSE),0))</f>
        <v/>
      </c>
      <c r="K357" s="16"/>
      <c r="L357" s="16"/>
      <c r="M357" s="17" t="str">
        <f t="shared" si="3"/>
        <v>À compléter</v>
      </c>
    </row>
    <row r="358" ht="15.75" customHeight="1">
      <c r="A358" s="15"/>
      <c r="B358" s="16"/>
      <c r="C358" s="16"/>
      <c r="D358" s="17" t="str">
        <f>IF(B358="","",IFERROR(VLOOKUP(B358,Articles!$A$5:$K$204,2,FALSE),"Référence inconnue"))</f>
        <v/>
      </c>
      <c r="E358" s="16"/>
      <c r="F358" s="16"/>
      <c r="G358" s="16"/>
      <c r="H358" s="17" t="str">
        <f t="shared" si="1"/>
        <v>0</v>
      </c>
      <c r="I358" s="17" t="str">
        <f t="shared" si="2"/>
        <v/>
      </c>
      <c r="J358" s="18" t="str">
        <f>IF(B358="","",IFERROR(G358*VLOOKUP(B358,Articles!$A$5:$K$204,8,FALSE),0))</f>
        <v/>
      </c>
      <c r="K358" s="16"/>
      <c r="L358" s="16"/>
      <c r="M358" s="17" t="str">
        <f t="shared" si="3"/>
        <v>À compléter</v>
      </c>
    </row>
    <row r="359" ht="15.75" customHeight="1">
      <c r="A359" s="15"/>
      <c r="B359" s="16"/>
      <c r="C359" s="16"/>
      <c r="D359" s="17" t="str">
        <f>IF(B359="","",IFERROR(VLOOKUP(B359,Articles!$A$5:$K$204,2,FALSE),"Référence inconnue"))</f>
        <v/>
      </c>
      <c r="E359" s="16"/>
      <c r="F359" s="16"/>
      <c r="G359" s="16"/>
      <c r="H359" s="17" t="str">
        <f t="shared" si="1"/>
        <v>0</v>
      </c>
      <c r="I359" s="17" t="str">
        <f t="shared" si="2"/>
        <v/>
      </c>
      <c r="J359" s="18" t="str">
        <f>IF(B359="","",IFERROR(G359*VLOOKUP(B359,Articles!$A$5:$K$204,8,FALSE),0))</f>
        <v/>
      </c>
      <c r="K359" s="16"/>
      <c r="L359" s="16"/>
      <c r="M359" s="17" t="str">
        <f t="shared" si="3"/>
        <v>À compléter</v>
      </c>
    </row>
    <row r="360" ht="15.75" customHeight="1">
      <c r="A360" s="15"/>
      <c r="B360" s="16"/>
      <c r="C360" s="16"/>
      <c r="D360" s="17" t="str">
        <f>IF(B360="","",IFERROR(VLOOKUP(B360,Articles!$A$5:$K$204,2,FALSE),"Référence inconnue"))</f>
        <v/>
      </c>
      <c r="E360" s="16"/>
      <c r="F360" s="16"/>
      <c r="G360" s="16"/>
      <c r="H360" s="17" t="str">
        <f t="shared" si="1"/>
        <v>0</v>
      </c>
      <c r="I360" s="17" t="str">
        <f t="shared" si="2"/>
        <v/>
      </c>
      <c r="J360" s="18" t="str">
        <f>IF(B360="","",IFERROR(G360*VLOOKUP(B360,Articles!$A$5:$K$204,8,FALSE),0))</f>
        <v/>
      </c>
      <c r="K360" s="16"/>
      <c r="L360" s="16"/>
      <c r="M360" s="17" t="str">
        <f t="shared" si="3"/>
        <v>À compléter</v>
      </c>
    </row>
    <row r="361" ht="15.75" customHeight="1">
      <c r="A361" s="15"/>
      <c r="B361" s="16"/>
      <c r="C361" s="16"/>
      <c r="D361" s="17" t="str">
        <f>IF(B361="","",IFERROR(VLOOKUP(B361,Articles!$A$5:$K$204,2,FALSE),"Référence inconnue"))</f>
        <v/>
      </c>
      <c r="E361" s="16"/>
      <c r="F361" s="16"/>
      <c r="G361" s="16"/>
      <c r="H361" s="17" t="str">
        <f t="shared" si="1"/>
        <v>0</v>
      </c>
      <c r="I361" s="17" t="str">
        <f t="shared" si="2"/>
        <v/>
      </c>
      <c r="J361" s="18" t="str">
        <f>IF(B361="","",IFERROR(G361*VLOOKUP(B361,Articles!$A$5:$K$204,8,FALSE),0))</f>
        <v/>
      </c>
      <c r="K361" s="16"/>
      <c r="L361" s="16"/>
      <c r="M361" s="17" t="str">
        <f t="shared" si="3"/>
        <v>À compléter</v>
      </c>
    </row>
    <row r="362" ht="15.75" customHeight="1">
      <c r="A362" s="15"/>
      <c r="B362" s="16"/>
      <c r="C362" s="16"/>
      <c r="D362" s="17" t="str">
        <f>IF(B362="","",IFERROR(VLOOKUP(B362,Articles!$A$5:$K$204,2,FALSE),"Référence inconnue"))</f>
        <v/>
      </c>
      <c r="E362" s="16"/>
      <c r="F362" s="16"/>
      <c r="G362" s="16"/>
      <c r="H362" s="17" t="str">
        <f t="shared" si="1"/>
        <v>0</v>
      </c>
      <c r="I362" s="17" t="str">
        <f t="shared" si="2"/>
        <v/>
      </c>
      <c r="J362" s="18" t="str">
        <f>IF(B362="","",IFERROR(G362*VLOOKUP(B362,Articles!$A$5:$K$204,8,FALSE),0))</f>
        <v/>
      </c>
      <c r="K362" s="16"/>
      <c r="L362" s="16"/>
      <c r="M362" s="17" t="str">
        <f t="shared" si="3"/>
        <v>À compléter</v>
      </c>
    </row>
    <row r="363" ht="15.75" customHeight="1">
      <c r="A363" s="15"/>
      <c r="B363" s="16"/>
      <c r="C363" s="16"/>
      <c r="D363" s="17" t="str">
        <f>IF(B363="","",IFERROR(VLOOKUP(B363,Articles!$A$5:$K$204,2,FALSE),"Référence inconnue"))</f>
        <v/>
      </c>
      <c r="E363" s="16"/>
      <c r="F363" s="16"/>
      <c r="G363" s="16"/>
      <c r="H363" s="17" t="str">
        <f t="shared" si="1"/>
        <v>0</v>
      </c>
      <c r="I363" s="17" t="str">
        <f t="shared" si="2"/>
        <v/>
      </c>
      <c r="J363" s="18" t="str">
        <f>IF(B363="","",IFERROR(G363*VLOOKUP(B363,Articles!$A$5:$K$204,8,FALSE),0))</f>
        <v/>
      </c>
      <c r="K363" s="16"/>
      <c r="L363" s="16"/>
      <c r="M363" s="17" t="str">
        <f t="shared" si="3"/>
        <v>À compléter</v>
      </c>
    </row>
    <row r="364" ht="15.75" customHeight="1">
      <c r="A364" s="15"/>
      <c r="B364" s="16"/>
      <c r="C364" s="16"/>
      <c r="D364" s="17" t="str">
        <f>IF(B364="","",IFERROR(VLOOKUP(B364,Articles!$A$5:$K$204,2,FALSE),"Référence inconnue"))</f>
        <v/>
      </c>
      <c r="E364" s="16"/>
      <c r="F364" s="16"/>
      <c r="G364" s="16"/>
      <c r="H364" s="17" t="str">
        <f t="shared" si="1"/>
        <v>0</v>
      </c>
      <c r="I364" s="17" t="str">
        <f t="shared" si="2"/>
        <v/>
      </c>
      <c r="J364" s="18" t="str">
        <f>IF(B364="","",IFERROR(G364*VLOOKUP(B364,Articles!$A$5:$K$204,8,FALSE),0))</f>
        <v/>
      </c>
      <c r="K364" s="16"/>
      <c r="L364" s="16"/>
      <c r="M364" s="17" t="str">
        <f t="shared" si="3"/>
        <v>À compléter</v>
      </c>
    </row>
    <row r="365" ht="15.75" customHeight="1">
      <c r="A365" s="15"/>
      <c r="B365" s="16"/>
      <c r="C365" s="16"/>
      <c r="D365" s="17" t="str">
        <f>IF(B365="","",IFERROR(VLOOKUP(B365,Articles!$A$5:$K$204,2,FALSE),"Référence inconnue"))</f>
        <v/>
      </c>
      <c r="E365" s="16"/>
      <c r="F365" s="16"/>
      <c r="G365" s="16"/>
      <c r="H365" s="17" t="str">
        <f t="shared" si="1"/>
        <v>0</v>
      </c>
      <c r="I365" s="17" t="str">
        <f t="shared" si="2"/>
        <v/>
      </c>
      <c r="J365" s="18" t="str">
        <f>IF(B365="","",IFERROR(G365*VLOOKUP(B365,Articles!$A$5:$K$204,8,FALSE),0))</f>
        <v/>
      </c>
      <c r="K365" s="16"/>
      <c r="L365" s="16"/>
      <c r="M365" s="17" t="str">
        <f t="shared" si="3"/>
        <v>À compléter</v>
      </c>
    </row>
    <row r="366" ht="15.75" customHeight="1">
      <c r="A366" s="15"/>
      <c r="B366" s="16"/>
      <c r="C366" s="16"/>
      <c r="D366" s="17" t="str">
        <f>IF(B366="","",IFERROR(VLOOKUP(B366,Articles!$A$5:$K$204,2,FALSE),"Référence inconnue"))</f>
        <v/>
      </c>
      <c r="E366" s="16"/>
      <c r="F366" s="16"/>
      <c r="G366" s="16"/>
      <c r="H366" s="17" t="str">
        <f t="shared" si="1"/>
        <v>0</v>
      </c>
      <c r="I366" s="17" t="str">
        <f t="shared" si="2"/>
        <v/>
      </c>
      <c r="J366" s="18" t="str">
        <f>IF(B366="","",IFERROR(G366*VLOOKUP(B366,Articles!$A$5:$K$204,8,FALSE),0))</f>
        <v/>
      </c>
      <c r="K366" s="16"/>
      <c r="L366" s="16"/>
      <c r="M366" s="17" t="str">
        <f t="shared" si="3"/>
        <v>À compléter</v>
      </c>
    </row>
    <row r="367" ht="15.75" customHeight="1">
      <c r="A367" s="15"/>
      <c r="B367" s="16"/>
      <c r="C367" s="16"/>
      <c r="D367" s="17" t="str">
        <f>IF(B367="","",IFERROR(VLOOKUP(B367,Articles!$A$5:$K$204,2,FALSE),"Référence inconnue"))</f>
        <v/>
      </c>
      <c r="E367" s="16"/>
      <c r="F367" s="16"/>
      <c r="G367" s="16"/>
      <c r="H367" s="17" t="str">
        <f t="shared" si="1"/>
        <v>0</v>
      </c>
      <c r="I367" s="17" t="str">
        <f t="shared" si="2"/>
        <v/>
      </c>
      <c r="J367" s="18" t="str">
        <f>IF(B367="","",IFERROR(G367*VLOOKUP(B367,Articles!$A$5:$K$204,8,FALSE),0))</f>
        <v/>
      </c>
      <c r="K367" s="16"/>
      <c r="L367" s="16"/>
      <c r="M367" s="17" t="str">
        <f t="shared" si="3"/>
        <v>À compléter</v>
      </c>
    </row>
    <row r="368" ht="15.75" customHeight="1">
      <c r="A368" s="15"/>
      <c r="B368" s="16"/>
      <c r="C368" s="16"/>
      <c r="D368" s="17" t="str">
        <f>IF(B368="","",IFERROR(VLOOKUP(B368,Articles!$A$5:$K$204,2,FALSE),"Référence inconnue"))</f>
        <v/>
      </c>
      <c r="E368" s="16"/>
      <c r="F368" s="16"/>
      <c r="G368" s="16"/>
      <c r="H368" s="17" t="str">
        <f t="shared" si="1"/>
        <v>0</v>
      </c>
      <c r="I368" s="17" t="str">
        <f t="shared" si="2"/>
        <v/>
      </c>
      <c r="J368" s="18" t="str">
        <f>IF(B368="","",IFERROR(G368*VLOOKUP(B368,Articles!$A$5:$K$204,8,FALSE),0))</f>
        <v/>
      </c>
      <c r="K368" s="16"/>
      <c r="L368" s="16"/>
      <c r="M368" s="17" t="str">
        <f t="shared" si="3"/>
        <v>À compléter</v>
      </c>
    </row>
    <row r="369" ht="15.75" customHeight="1">
      <c r="A369" s="15"/>
      <c r="B369" s="16"/>
      <c r="C369" s="16"/>
      <c r="D369" s="17" t="str">
        <f>IF(B369="","",IFERROR(VLOOKUP(B369,Articles!$A$5:$K$204,2,FALSE),"Référence inconnue"))</f>
        <v/>
      </c>
      <c r="E369" s="16"/>
      <c r="F369" s="16"/>
      <c r="G369" s="16"/>
      <c r="H369" s="17" t="str">
        <f t="shared" si="1"/>
        <v>0</v>
      </c>
      <c r="I369" s="17" t="str">
        <f t="shared" si="2"/>
        <v/>
      </c>
      <c r="J369" s="18" t="str">
        <f>IF(B369="","",IFERROR(G369*VLOOKUP(B369,Articles!$A$5:$K$204,8,FALSE),0))</f>
        <v/>
      </c>
      <c r="K369" s="16"/>
      <c r="L369" s="16"/>
      <c r="M369" s="17" t="str">
        <f t="shared" si="3"/>
        <v>À compléter</v>
      </c>
    </row>
    <row r="370" ht="15.75" customHeight="1">
      <c r="A370" s="15"/>
      <c r="B370" s="16"/>
      <c r="C370" s="16"/>
      <c r="D370" s="17" t="str">
        <f>IF(B370="","",IFERROR(VLOOKUP(B370,Articles!$A$5:$K$204,2,FALSE),"Référence inconnue"))</f>
        <v/>
      </c>
      <c r="E370" s="16"/>
      <c r="F370" s="16"/>
      <c r="G370" s="16"/>
      <c r="H370" s="17" t="str">
        <f t="shared" si="1"/>
        <v>0</v>
      </c>
      <c r="I370" s="17" t="str">
        <f t="shared" si="2"/>
        <v/>
      </c>
      <c r="J370" s="18" t="str">
        <f>IF(B370="","",IFERROR(G370*VLOOKUP(B370,Articles!$A$5:$K$204,8,FALSE),0))</f>
        <v/>
      </c>
      <c r="K370" s="16"/>
      <c r="L370" s="16"/>
      <c r="M370" s="17" t="str">
        <f t="shared" si="3"/>
        <v>À compléter</v>
      </c>
    </row>
    <row r="371" ht="15.75" customHeight="1">
      <c r="A371" s="15"/>
      <c r="B371" s="16"/>
      <c r="C371" s="16"/>
      <c r="D371" s="17" t="str">
        <f>IF(B371="","",IFERROR(VLOOKUP(B371,Articles!$A$5:$K$204,2,FALSE),"Référence inconnue"))</f>
        <v/>
      </c>
      <c r="E371" s="16"/>
      <c r="F371" s="16"/>
      <c r="G371" s="16"/>
      <c r="H371" s="17" t="str">
        <f t="shared" si="1"/>
        <v>0</v>
      </c>
      <c r="I371" s="17" t="str">
        <f t="shared" si="2"/>
        <v/>
      </c>
      <c r="J371" s="18" t="str">
        <f>IF(B371="","",IFERROR(G371*VLOOKUP(B371,Articles!$A$5:$K$204,8,FALSE),0))</f>
        <v/>
      </c>
      <c r="K371" s="16"/>
      <c r="L371" s="16"/>
      <c r="M371" s="17" t="str">
        <f t="shared" si="3"/>
        <v>À compléter</v>
      </c>
    </row>
    <row r="372" ht="15.75" customHeight="1">
      <c r="A372" s="15"/>
      <c r="B372" s="16"/>
      <c r="C372" s="16"/>
      <c r="D372" s="17" t="str">
        <f>IF(B372="","",IFERROR(VLOOKUP(B372,Articles!$A$5:$K$204,2,FALSE),"Référence inconnue"))</f>
        <v/>
      </c>
      <c r="E372" s="16"/>
      <c r="F372" s="16"/>
      <c r="G372" s="16"/>
      <c r="H372" s="17" t="str">
        <f t="shared" si="1"/>
        <v>0</v>
      </c>
      <c r="I372" s="17" t="str">
        <f t="shared" si="2"/>
        <v/>
      </c>
      <c r="J372" s="18" t="str">
        <f>IF(B372="","",IFERROR(G372*VLOOKUP(B372,Articles!$A$5:$K$204,8,FALSE),0))</f>
        <v/>
      </c>
      <c r="K372" s="16"/>
      <c r="L372" s="16"/>
      <c r="M372" s="17" t="str">
        <f t="shared" si="3"/>
        <v>À compléter</v>
      </c>
    </row>
    <row r="373" ht="15.75" customHeight="1">
      <c r="A373" s="15"/>
      <c r="B373" s="16"/>
      <c r="C373" s="16"/>
      <c r="D373" s="17" t="str">
        <f>IF(B373="","",IFERROR(VLOOKUP(B373,Articles!$A$5:$K$204,2,FALSE),"Référence inconnue"))</f>
        <v/>
      </c>
      <c r="E373" s="16"/>
      <c r="F373" s="16"/>
      <c r="G373" s="16"/>
      <c r="H373" s="17" t="str">
        <f t="shared" si="1"/>
        <v>0</v>
      </c>
      <c r="I373" s="17" t="str">
        <f t="shared" si="2"/>
        <v/>
      </c>
      <c r="J373" s="18" t="str">
        <f>IF(B373="","",IFERROR(G373*VLOOKUP(B373,Articles!$A$5:$K$204,8,FALSE),0))</f>
        <v/>
      </c>
      <c r="K373" s="16"/>
      <c r="L373" s="16"/>
      <c r="M373" s="17" t="str">
        <f t="shared" si="3"/>
        <v>À compléter</v>
      </c>
    </row>
    <row r="374" ht="15.75" customHeight="1">
      <c r="A374" s="15"/>
      <c r="B374" s="16"/>
      <c r="C374" s="16"/>
      <c r="D374" s="17" t="str">
        <f>IF(B374="","",IFERROR(VLOOKUP(B374,Articles!$A$5:$K$204,2,FALSE),"Référence inconnue"))</f>
        <v/>
      </c>
      <c r="E374" s="16"/>
      <c r="F374" s="16"/>
      <c r="G374" s="16"/>
      <c r="H374" s="17" t="str">
        <f t="shared" si="1"/>
        <v>0</v>
      </c>
      <c r="I374" s="17" t="str">
        <f t="shared" si="2"/>
        <v/>
      </c>
      <c r="J374" s="18" t="str">
        <f>IF(B374="","",IFERROR(G374*VLOOKUP(B374,Articles!$A$5:$K$204,8,FALSE),0))</f>
        <v/>
      </c>
      <c r="K374" s="16"/>
      <c r="L374" s="16"/>
      <c r="M374" s="17" t="str">
        <f t="shared" si="3"/>
        <v>À compléter</v>
      </c>
    </row>
    <row r="375" ht="15.75" customHeight="1">
      <c r="A375" s="15"/>
      <c r="B375" s="16"/>
      <c r="C375" s="16"/>
      <c r="D375" s="17" t="str">
        <f>IF(B375="","",IFERROR(VLOOKUP(B375,Articles!$A$5:$K$204,2,FALSE),"Référence inconnue"))</f>
        <v/>
      </c>
      <c r="E375" s="16"/>
      <c r="F375" s="16"/>
      <c r="G375" s="16"/>
      <c r="H375" s="17" t="str">
        <f t="shared" si="1"/>
        <v>0</v>
      </c>
      <c r="I375" s="17" t="str">
        <f t="shared" si="2"/>
        <v/>
      </c>
      <c r="J375" s="18" t="str">
        <f>IF(B375="","",IFERROR(G375*VLOOKUP(B375,Articles!$A$5:$K$204,8,FALSE),0))</f>
        <v/>
      </c>
      <c r="K375" s="16"/>
      <c r="L375" s="16"/>
      <c r="M375" s="17" t="str">
        <f t="shared" si="3"/>
        <v>À compléter</v>
      </c>
    </row>
    <row r="376" ht="15.75" customHeight="1">
      <c r="A376" s="15"/>
      <c r="B376" s="16"/>
      <c r="C376" s="16"/>
      <c r="D376" s="17" t="str">
        <f>IF(B376="","",IFERROR(VLOOKUP(B376,Articles!$A$5:$K$204,2,FALSE),"Référence inconnue"))</f>
        <v/>
      </c>
      <c r="E376" s="16"/>
      <c r="F376" s="16"/>
      <c r="G376" s="16"/>
      <c r="H376" s="17" t="str">
        <f t="shared" si="1"/>
        <v>0</v>
      </c>
      <c r="I376" s="17" t="str">
        <f t="shared" si="2"/>
        <v/>
      </c>
      <c r="J376" s="18" t="str">
        <f>IF(B376="","",IFERROR(G376*VLOOKUP(B376,Articles!$A$5:$K$204,8,FALSE),0))</f>
        <v/>
      </c>
      <c r="K376" s="16"/>
      <c r="L376" s="16"/>
      <c r="M376" s="17" t="str">
        <f t="shared" si="3"/>
        <v>À compléter</v>
      </c>
    </row>
    <row r="377" ht="15.75" customHeight="1">
      <c r="A377" s="15"/>
      <c r="B377" s="16"/>
      <c r="C377" s="16"/>
      <c r="D377" s="17" t="str">
        <f>IF(B377="","",IFERROR(VLOOKUP(B377,Articles!$A$5:$K$204,2,FALSE),"Référence inconnue"))</f>
        <v/>
      </c>
      <c r="E377" s="16"/>
      <c r="F377" s="16"/>
      <c r="G377" s="16"/>
      <c r="H377" s="17" t="str">
        <f t="shared" si="1"/>
        <v>0</v>
      </c>
      <c r="I377" s="17" t="str">
        <f t="shared" si="2"/>
        <v/>
      </c>
      <c r="J377" s="18" t="str">
        <f>IF(B377="","",IFERROR(G377*VLOOKUP(B377,Articles!$A$5:$K$204,8,FALSE),0))</f>
        <v/>
      </c>
      <c r="K377" s="16"/>
      <c r="L377" s="16"/>
      <c r="M377" s="17" t="str">
        <f t="shared" si="3"/>
        <v>À compléter</v>
      </c>
    </row>
    <row r="378" ht="15.75" customHeight="1">
      <c r="A378" s="15"/>
      <c r="B378" s="16"/>
      <c r="C378" s="16"/>
      <c r="D378" s="17" t="str">
        <f>IF(B378="","",IFERROR(VLOOKUP(B378,Articles!$A$5:$K$204,2,FALSE),"Référence inconnue"))</f>
        <v/>
      </c>
      <c r="E378" s="16"/>
      <c r="F378" s="16"/>
      <c r="G378" s="16"/>
      <c r="H378" s="17" t="str">
        <f t="shared" si="1"/>
        <v>0</v>
      </c>
      <c r="I378" s="17" t="str">
        <f t="shared" si="2"/>
        <v/>
      </c>
      <c r="J378" s="18" t="str">
        <f>IF(B378="","",IFERROR(G378*VLOOKUP(B378,Articles!$A$5:$K$204,8,FALSE),0))</f>
        <v/>
      </c>
      <c r="K378" s="16"/>
      <c r="L378" s="16"/>
      <c r="M378" s="17" t="str">
        <f t="shared" si="3"/>
        <v>À compléter</v>
      </c>
    </row>
    <row r="379" ht="15.75" customHeight="1">
      <c r="A379" s="15"/>
      <c r="B379" s="16"/>
      <c r="C379" s="16"/>
      <c r="D379" s="17" t="str">
        <f>IF(B379="","",IFERROR(VLOOKUP(B379,Articles!$A$5:$K$204,2,FALSE),"Référence inconnue"))</f>
        <v/>
      </c>
      <c r="E379" s="16"/>
      <c r="F379" s="16"/>
      <c r="G379" s="16"/>
      <c r="H379" s="17" t="str">
        <f t="shared" si="1"/>
        <v>0</v>
      </c>
      <c r="I379" s="17" t="str">
        <f t="shared" si="2"/>
        <v/>
      </c>
      <c r="J379" s="18" t="str">
        <f>IF(B379="","",IFERROR(G379*VLOOKUP(B379,Articles!$A$5:$K$204,8,FALSE),0))</f>
        <v/>
      </c>
      <c r="K379" s="16"/>
      <c r="L379" s="16"/>
      <c r="M379" s="17" t="str">
        <f t="shared" si="3"/>
        <v>À compléter</v>
      </c>
    </row>
    <row r="380" ht="15.75" customHeight="1">
      <c r="A380" s="15"/>
      <c r="B380" s="16"/>
      <c r="C380" s="16"/>
      <c r="D380" s="17" t="str">
        <f>IF(B380="","",IFERROR(VLOOKUP(B380,Articles!$A$5:$K$204,2,FALSE),"Référence inconnue"))</f>
        <v/>
      </c>
      <c r="E380" s="16"/>
      <c r="F380" s="16"/>
      <c r="G380" s="16"/>
      <c r="H380" s="17" t="str">
        <f t="shared" si="1"/>
        <v>0</v>
      </c>
      <c r="I380" s="17" t="str">
        <f t="shared" si="2"/>
        <v/>
      </c>
      <c r="J380" s="18" t="str">
        <f>IF(B380="","",IFERROR(G380*VLOOKUP(B380,Articles!$A$5:$K$204,8,FALSE),0))</f>
        <v/>
      </c>
      <c r="K380" s="16"/>
      <c r="L380" s="16"/>
      <c r="M380" s="17" t="str">
        <f t="shared" si="3"/>
        <v>À compléter</v>
      </c>
    </row>
    <row r="381" ht="15.75" customHeight="1">
      <c r="A381" s="15"/>
      <c r="B381" s="16"/>
      <c r="C381" s="16"/>
      <c r="D381" s="17" t="str">
        <f>IF(B381="","",IFERROR(VLOOKUP(B381,Articles!$A$5:$K$204,2,FALSE),"Référence inconnue"))</f>
        <v/>
      </c>
      <c r="E381" s="16"/>
      <c r="F381" s="16"/>
      <c r="G381" s="16"/>
      <c r="H381" s="17" t="str">
        <f t="shared" si="1"/>
        <v>0</v>
      </c>
      <c r="I381" s="17" t="str">
        <f t="shared" si="2"/>
        <v/>
      </c>
      <c r="J381" s="18" t="str">
        <f>IF(B381="","",IFERROR(G381*VLOOKUP(B381,Articles!$A$5:$K$204,8,FALSE),0))</f>
        <v/>
      </c>
      <c r="K381" s="16"/>
      <c r="L381" s="16"/>
      <c r="M381" s="17" t="str">
        <f t="shared" si="3"/>
        <v>À compléter</v>
      </c>
    </row>
    <row r="382" ht="15.75" customHeight="1">
      <c r="A382" s="15"/>
      <c r="B382" s="16"/>
      <c r="C382" s="16"/>
      <c r="D382" s="17" t="str">
        <f>IF(B382="","",IFERROR(VLOOKUP(B382,Articles!$A$5:$K$204,2,FALSE),"Référence inconnue"))</f>
        <v/>
      </c>
      <c r="E382" s="16"/>
      <c r="F382" s="16"/>
      <c r="G382" s="16"/>
      <c r="H382" s="17" t="str">
        <f t="shared" si="1"/>
        <v>0</v>
      </c>
      <c r="I382" s="17" t="str">
        <f t="shared" si="2"/>
        <v/>
      </c>
      <c r="J382" s="18" t="str">
        <f>IF(B382="","",IFERROR(G382*VLOOKUP(B382,Articles!$A$5:$K$204,8,FALSE),0))</f>
        <v/>
      </c>
      <c r="K382" s="16"/>
      <c r="L382" s="16"/>
      <c r="M382" s="17" t="str">
        <f t="shared" si="3"/>
        <v>À compléter</v>
      </c>
    </row>
    <row r="383" ht="15.75" customHeight="1">
      <c r="A383" s="15"/>
      <c r="B383" s="16"/>
      <c r="C383" s="16"/>
      <c r="D383" s="17" t="str">
        <f>IF(B383="","",IFERROR(VLOOKUP(B383,Articles!$A$5:$K$204,2,FALSE),"Référence inconnue"))</f>
        <v/>
      </c>
      <c r="E383" s="16"/>
      <c r="F383" s="16"/>
      <c r="G383" s="16"/>
      <c r="H383" s="17" t="str">
        <f t="shared" si="1"/>
        <v>0</v>
      </c>
      <c r="I383" s="17" t="str">
        <f t="shared" si="2"/>
        <v/>
      </c>
      <c r="J383" s="18" t="str">
        <f>IF(B383="","",IFERROR(G383*VLOOKUP(B383,Articles!$A$5:$K$204,8,FALSE),0))</f>
        <v/>
      </c>
      <c r="K383" s="16"/>
      <c r="L383" s="16"/>
      <c r="M383" s="17" t="str">
        <f t="shared" si="3"/>
        <v>À compléter</v>
      </c>
    </row>
    <row r="384" ht="15.75" customHeight="1">
      <c r="A384" s="15"/>
      <c r="B384" s="16"/>
      <c r="C384" s="16"/>
      <c r="D384" s="17" t="str">
        <f>IF(B384="","",IFERROR(VLOOKUP(B384,Articles!$A$5:$K$204,2,FALSE),"Référence inconnue"))</f>
        <v/>
      </c>
      <c r="E384" s="16"/>
      <c r="F384" s="16"/>
      <c r="G384" s="16"/>
      <c r="H384" s="17" t="str">
        <f t="shared" si="1"/>
        <v>0</v>
      </c>
      <c r="I384" s="17" t="str">
        <f t="shared" si="2"/>
        <v/>
      </c>
      <c r="J384" s="18" t="str">
        <f>IF(B384="","",IFERROR(G384*VLOOKUP(B384,Articles!$A$5:$K$204,8,FALSE),0))</f>
        <v/>
      </c>
      <c r="K384" s="16"/>
      <c r="L384" s="16"/>
      <c r="M384" s="17" t="str">
        <f t="shared" si="3"/>
        <v>À compléter</v>
      </c>
    </row>
    <row r="385" ht="15.75" customHeight="1">
      <c r="A385" s="15"/>
      <c r="B385" s="16"/>
      <c r="C385" s="16"/>
      <c r="D385" s="17" t="str">
        <f>IF(B385="","",IFERROR(VLOOKUP(B385,Articles!$A$5:$K$204,2,FALSE),"Référence inconnue"))</f>
        <v/>
      </c>
      <c r="E385" s="16"/>
      <c r="F385" s="16"/>
      <c r="G385" s="16"/>
      <c r="H385" s="17" t="str">
        <f t="shared" si="1"/>
        <v>0</v>
      </c>
      <c r="I385" s="17" t="str">
        <f t="shared" si="2"/>
        <v/>
      </c>
      <c r="J385" s="18" t="str">
        <f>IF(B385="","",IFERROR(G385*VLOOKUP(B385,Articles!$A$5:$K$204,8,FALSE),0))</f>
        <v/>
      </c>
      <c r="K385" s="16"/>
      <c r="L385" s="16"/>
      <c r="M385" s="17" t="str">
        <f t="shared" si="3"/>
        <v>À compléter</v>
      </c>
    </row>
    <row r="386" ht="15.75" customHeight="1">
      <c r="A386" s="15"/>
      <c r="B386" s="16"/>
      <c r="C386" s="16"/>
      <c r="D386" s="17" t="str">
        <f>IF(B386="","",IFERROR(VLOOKUP(B386,Articles!$A$5:$K$204,2,FALSE),"Référence inconnue"))</f>
        <v/>
      </c>
      <c r="E386" s="16"/>
      <c r="F386" s="16"/>
      <c r="G386" s="16"/>
      <c r="H386" s="17" t="str">
        <f t="shared" si="1"/>
        <v>0</v>
      </c>
      <c r="I386" s="17" t="str">
        <f t="shared" si="2"/>
        <v/>
      </c>
      <c r="J386" s="18" t="str">
        <f>IF(B386="","",IFERROR(G386*VLOOKUP(B386,Articles!$A$5:$K$204,8,FALSE),0))</f>
        <v/>
      </c>
      <c r="K386" s="16"/>
      <c r="L386" s="16"/>
      <c r="M386" s="17" t="str">
        <f t="shared" si="3"/>
        <v>À compléter</v>
      </c>
    </row>
    <row r="387" ht="15.75" customHeight="1">
      <c r="A387" s="15"/>
      <c r="B387" s="16"/>
      <c r="C387" s="16"/>
      <c r="D387" s="17" t="str">
        <f>IF(B387="","",IFERROR(VLOOKUP(B387,Articles!$A$5:$K$204,2,FALSE),"Référence inconnue"))</f>
        <v/>
      </c>
      <c r="E387" s="16"/>
      <c r="F387" s="16"/>
      <c r="G387" s="16"/>
      <c r="H387" s="17" t="str">
        <f t="shared" si="1"/>
        <v>0</v>
      </c>
      <c r="I387" s="17" t="str">
        <f t="shared" si="2"/>
        <v/>
      </c>
      <c r="J387" s="18" t="str">
        <f>IF(B387="","",IFERROR(G387*VLOOKUP(B387,Articles!$A$5:$K$204,8,FALSE),0))</f>
        <v/>
      </c>
      <c r="K387" s="16"/>
      <c r="L387" s="16"/>
      <c r="M387" s="17" t="str">
        <f t="shared" si="3"/>
        <v>À compléter</v>
      </c>
    </row>
    <row r="388" ht="15.75" customHeight="1">
      <c r="A388" s="15"/>
      <c r="B388" s="16"/>
      <c r="C388" s="16"/>
      <c r="D388" s="17" t="str">
        <f>IF(B388="","",IFERROR(VLOOKUP(B388,Articles!$A$5:$K$204,2,FALSE),"Référence inconnue"))</f>
        <v/>
      </c>
      <c r="E388" s="16"/>
      <c r="F388" s="16"/>
      <c r="G388" s="16"/>
      <c r="H388" s="17" t="str">
        <f t="shared" si="1"/>
        <v>0</v>
      </c>
      <c r="I388" s="17" t="str">
        <f t="shared" si="2"/>
        <v/>
      </c>
      <c r="J388" s="18" t="str">
        <f>IF(B388="","",IFERROR(G388*VLOOKUP(B388,Articles!$A$5:$K$204,8,FALSE),0))</f>
        <v/>
      </c>
      <c r="K388" s="16"/>
      <c r="L388" s="16"/>
      <c r="M388" s="17" t="str">
        <f t="shared" si="3"/>
        <v>À compléter</v>
      </c>
    </row>
    <row r="389" ht="15.75" customHeight="1">
      <c r="A389" s="15"/>
      <c r="B389" s="16"/>
      <c r="C389" s="16"/>
      <c r="D389" s="17" t="str">
        <f>IF(B389="","",IFERROR(VLOOKUP(B389,Articles!$A$5:$K$204,2,FALSE),"Référence inconnue"))</f>
        <v/>
      </c>
      <c r="E389" s="16"/>
      <c r="F389" s="16"/>
      <c r="G389" s="16"/>
      <c r="H389" s="17" t="str">
        <f t="shared" si="1"/>
        <v>0</v>
      </c>
      <c r="I389" s="17" t="str">
        <f t="shared" si="2"/>
        <v/>
      </c>
      <c r="J389" s="18" t="str">
        <f>IF(B389="","",IFERROR(G389*VLOOKUP(B389,Articles!$A$5:$K$204,8,FALSE),0))</f>
        <v/>
      </c>
      <c r="K389" s="16"/>
      <c r="L389" s="16"/>
      <c r="M389" s="17" t="str">
        <f t="shared" si="3"/>
        <v>À compléter</v>
      </c>
    </row>
    <row r="390" ht="15.75" customHeight="1">
      <c r="A390" s="15"/>
      <c r="B390" s="16"/>
      <c r="C390" s="16"/>
      <c r="D390" s="17" t="str">
        <f>IF(B390="","",IFERROR(VLOOKUP(B390,Articles!$A$5:$K$204,2,FALSE),"Référence inconnue"))</f>
        <v/>
      </c>
      <c r="E390" s="16"/>
      <c r="F390" s="16"/>
      <c r="G390" s="16"/>
      <c r="H390" s="17" t="str">
        <f t="shared" si="1"/>
        <v>0</v>
      </c>
      <c r="I390" s="17" t="str">
        <f t="shared" si="2"/>
        <v/>
      </c>
      <c r="J390" s="18" t="str">
        <f>IF(B390="","",IFERROR(G390*VLOOKUP(B390,Articles!$A$5:$K$204,8,FALSE),0))</f>
        <v/>
      </c>
      <c r="K390" s="16"/>
      <c r="L390" s="16"/>
      <c r="M390" s="17" t="str">
        <f t="shared" si="3"/>
        <v>À compléter</v>
      </c>
    </row>
    <row r="391" ht="15.75" customHeight="1">
      <c r="A391" s="15"/>
      <c r="B391" s="16"/>
      <c r="C391" s="16"/>
      <c r="D391" s="17" t="str">
        <f>IF(B391="","",IFERROR(VLOOKUP(B391,Articles!$A$5:$K$204,2,FALSE),"Référence inconnue"))</f>
        <v/>
      </c>
      <c r="E391" s="16"/>
      <c r="F391" s="16"/>
      <c r="G391" s="16"/>
      <c r="H391" s="17" t="str">
        <f t="shared" si="1"/>
        <v>0</v>
      </c>
      <c r="I391" s="17" t="str">
        <f t="shared" si="2"/>
        <v/>
      </c>
      <c r="J391" s="18" t="str">
        <f>IF(B391="","",IFERROR(G391*VLOOKUP(B391,Articles!$A$5:$K$204,8,FALSE),0))</f>
        <v/>
      </c>
      <c r="K391" s="16"/>
      <c r="L391" s="16"/>
      <c r="M391" s="17" t="str">
        <f t="shared" si="3"/>
        <v>À compléter</v>
      </c>
    </row>
    <row r="392" ht="15.75" customHeight="1">
      <c r="A392" s="15"/>
      <c r="B392" s="16"/>
      <c r="C392" s="16"/>
      <c r="D392" s="17" t="str">
        <f>IF(B392="","",IFERROR(VLOOKUP(B392,Articles!$A$5:$K$204,2,FALSE),"Référence inconnue"))</f>
        <v/>
      </c>
      <c r="E392" s="16"/>
      <c r="F392" s="16"/>
      <c r="G392" s="16"/>
      <c r="H392" s="17" t="str">
        <f t="shared" si="1"/>
        <v>0</v>
      </c>
      <c r="I392" s="17" t="str">
        <f t="shared" si="2"/>
        <v/>
      </c>
      <c r="J392" s="18" t="str">
        <f>IF(B392="","",IFERROR(G392*VLOOKUP(B392,Articles!$A$5:$K$204,8,FALSE),0))</f>
        <v/>
      </c>
      <c r="K392" s="16"/>
      <c r="L392" s="16"/>
      <c r="M392" s="17" t="str">
        <f t="shared" si="3"/>
        <v>À compléter</v>
      </c>
    </row>
    <row r="393" ht="15.75" customHeight="1">
      <c r="A393" s="15"/>
      <c r="B393" s="16"/>
      <c r="C393" s="16"/>
      <c r="D393" s="17" t="str">
        <f>IF(B393="","",IFERROR(VLOOKUP(B393,Articles!$A$5:$K$204,2,FALSE),"Référence inconnue"))</f>
        <v/>
      </c>
      <c r="E393" s="16"/>
      <c r="F393" s="16"/>
      <c r="G393" s="16"/>
      <c r="H393" s="17" t="str">
        <f t="shared" si="1"/>
        <v>0</v>
      </c>
      <c r="I393" s="17" t="str">
        <f t="shared" si="2"/>
        <v/>
      </c>
      <c r="J393" s="18" t="str">
        <f>IF(B393="","",IFERROR(G393*VLOOKUP(B393,Articles!$A$5:$K$204,8,FALSE),0))</f>
        <v/>
      </c>
      <c r="K393" s="16"/>
      <c r="L393" s="16"/>
      <c r="M393" s="17" t="str">
        <f t="shared" si="3"/>
        <v>À compléter</v>
      </c>
    </row>
    <row r="394" ht="15.75" customHeight="1">
      <c r="A394" s="15"/>
      <c r="B394" s="16"/>
      <c r="C394" s="16"/>
      <c r="D394" s="17" t="str">
        <f>IF(B394="","",IFERROR(VLOOKUP(B394,Articles!$A$5:$K$204,2,FALSE),"Référence inconnue"))</f>
        <v/>
      </c>
      <c r="E394" s="16"/>
      <c r="F394" s="16"/>
      <c r="G394" s="16"/>
      <c r="H394" s="17" t="str">
        <f t="shared" si="1"/>
        <v>0</v>
      </c>
      <c r="I394" s="17" t="str">
        <f t="shared" si="2"/>
        <v/>
      </c>
      <c r="J394" s="18" t="str">
        <f>IF(B394="","",IFERROR(G394*VLOOKUP(B394,Articles!$A$5:$K$204,8,FALSE),0))</f>
        <v/>
      </c>
      <c r="K394" s="16"/>
      <c r="L394" s="16"/>
      <c r="M394" s="17" t="str">
        <f t="shared" si="3"/>
        <v>À compléter</v>
      </c>
    </row>
    <row r="395" ht="15.75" customHeight="1">
      <c r="A395" s="15"/>
      <c r="B395" s="16"/>
      <c r="C395" s="16"/>
      <c r="D395" s="17" t="str">
        <f>IF(B395="","",IFERROR(VLOOKUP(B395,Articles!$A$5:$K$204,2,FALSE),"Référence inconnue"))</f>
        <v/>
      </c>
      <c r="E395" s="16"/>
      <c r="F395" s="16"/>
      <c r="G395" s="16"/>
      <c r="H395" s="17" t="str">
        <f t="shared" si="1"/>
        <v>0</v>
      </c>
      <c r="I395" s="17" t="str">
        <f t="shared" si="2"/>
        <v/>
      </c>
      <c r="J395" s="18" t="str">
        <f>IF(B395="","",IFERROR(G395*VLOOKUP(B395,Articles!$A$5:$K$204,8,FALSE),0))</f>
        <v/>
      </c>
      <c r="K395" s="16"/>
      <c r="L395" s="16"/>
      <c r="M395" s="17" t="str">
        <f t="shared" si="3"/>
        <v>À compléter</v>
      </c>
    </row>
    <row r="396" ht="15.75" customHeight="1">
      <c r="A396" s="15"/>
      <c r="B396" s="16"/>
      <c r="C396" s="16"/>
      <c r="D396" s="17" t="str">
        <f>IF(B396="","",IFERROR(VLOOKUP(B396,Articles!$A$5:$K$204,2,FALSE),"Référence inconnue"))</f>
        <v/>
      </c>
      <c r="E396" s="16"/>
      <c r="F396" s="16"/>
      <c r="G396" s="16"/>
      <c r="H396" s="17" t="str">
        <f t="shared" si="1"/>
        <v>0</v>
      </c>
      <c r="I396" s="17" t="str">
        <f t="shared" si="2"/>
        <v/>
      </c>
      <c r="J396" s="18" t="str">
        <f>IF(B396="","",IFERROR(G396*VLOOKUP(B396,Articles!$A$5:$K$204,8,FALSE),0))</f>
        <v/>
      </c>
      <c r="K396" s="16"/>
      <c r="L396" s="16"/>
      <c r="M396" s="17" t="str">
        <f t="shared" si="3"/>
        <v>À compléter</v>
      </c>
    </row>
    <row r="397" ht="15.75" customHeight="1">
      <c r="A397" s="15"/>
      <c r="B397" s="16"/>
      <c r="C397" s="16"/>
      <c r="D397" s="17" t="str">
        <f>IF(B397="","",IFERROR(VLOOKUP(B397,Articles!$A$5:$K$204,2,FALSE),"Référence inconnue"))</f>
        <v/>
      </c>
      <c r="E397" s="16"/>
      <c r="F397" s="16"/>
      <c r="G397" s="16"/>
      <c r="H397" s="17" t="str">
        <f t="shared" si="1"/>
        <v>0</v>
      </c>
      <c r="I397" s="17" t="str">
        <f t="shared" si="2"/>
        <v/>
      </c>
      <c r="J397" s="18" t="str">
        <f>IF(B397="","",IFERROR(G397*VLOOKUP(B397,Articles!$A$5:$K$204,8,FALSE),0))</f>
        <v/>
      </c>
      <c r="K397" s="16"/>
      <c r="L397" s="16"/>
      <c r="M397" s="17" t="str">
        <f t="shared" si="3"/>
        <v>À compléter</v>
      </c>
    </row>
    <row r="398" ht="15.75" customHeight="1">
      <c r="A398" s="15"/>
      <c r="B398" s="16"/>
      <c r="C398" s="16"/>
      <c r="D398" s="17" t="str">
        <f>IF(B398="","",IFERROR(VLOOKUP(B398,Articles!$A$5:$K$204,2,FALSE),"Référence inconnue"))</f>
        <v/>
      </c>
      <c r="E398" s="16"/>
      <c r="F398" s="16"/>
      <c r="G398" s="16"/>
      <c r="H398" s="17" t="str">
        <f t="shared" si="1"/>
        <v>0</v>
      </c>
      <c r="I398" s="17" t="str">
        <f t="shared" si="2"/>
        <v/>
      </c>
      <c r="J398" s="18" t="str">
        <f>IF(B398="","",IFERROR(G398*VLOOKUP(B398,Articles!$A$5:$K$204,8,FALSE),0))</f>
        <v/>
      </c>
      <c r="K398" s="16"/>
      <c r="L398" s="16"/>
      <c r="M398" s="17" t="str">
        <f t="shared" si="3"/>
        <v>À compléter</v>
      </c>
    </row>
    <row r="399" ht="15.75" customHeight="1">
      <c r="A399" s="15"/>
      <c r="B399" s="16"/>
      <c r="C399" s="16"/>
      <c r="D399" s="17" t="str">
        <f>IF(B399="","",IFERROR(VLOOKUP(B399,Articles!$A$5:$K$204,2,FALSE),"Référence inconnue"))</f>
        <v/>
      </c>
      <c r="E399" s="16"/>
      <c r="F399" s="16"/>
      <c r="G399" s="16"/>
      <c r="H399" s="17" t="str">
        <f t="shared" si="1"/>
        <v>0</v>
      </c>
      <c r="I399" s="17" t="str">
        <f t="shared" si="2"/>
        <v/>
      </c>
      <c r="J399" s="18" t="str">
        <f>IF(B399="","",IFERROR(G399*VLOOKUP(B399,Articles!$A$5:$K$204,8,FALSE),0))</f>
        <v/>
      </c>
      <c r="K399" s="16"/>
      <c r="L399" s="16"/>
      <c r="M399" s="17" t="str">
        <f t="shared" si="3"/>
        <v>À compléter</v>
      </c>
    </row>
    <row r="400" ht="15.75" customHeight="1">
      <c r="A400" s="15"/>
      <c r="B400" s="16"/>
      <c r="C400" s="16"/>
      <c r="D400" s="17" t="str">
        <f>IF(B400="","",IFERROR(VLOOKUP(B400,Articles!$A$5:$K$204,2,FALSE),"Référence inconnue"))</f>
        <v/>
      </c>
      <c r="E400" s="16"/>
      <c r="F400" s="16"/>
      <c r="G400" s="16"/>
      <c r="H400" s="17" t="str">
        <f t="shared" si="1"/>
        <v>0</v>
      </c>
      <c r="I400" s="17" t="str">
        <f t="shared" si="2"/>
        <v/>
      </c>
      <c r="J400" s="18" t="str">
        <f>IF(B400="","",IFERROR(G400*VLOOKUP(B400,Articles!$A$5:$K$204,8,FALSE),0))</f>
        <v/>
      </c>
      <c r="K400" s="16"/>
      <c r="L400" s="16"/>
      <c r="M400" s="17" t="str">
        <f t="shared" si="3"/>
        <v>À compléter</v>
      </c>
    </row>
    <row r="401" ht="15.75" customHeight="1">
      <c r="A401" s="15"/>
      <c r="B401" s="16"/>
      <c r="C401" s="16"/>
      <c r="D401" s="17" t="str">
        <f>IF(B401="","",IFERROR(VLOOKUP(B401,Articles!$A$5:$K$204,2,FALSE),"Référence inconnue"))</f>
        <v/>
      </c>
      <c r="E401" s="16"/>
      <c r="F401" s="16"/>
      <c r="G401" s="16"/>
      <c r="H401" s="17" t="str">
        <f t="shared" si="1"/>
        <v>0</v>
      </c>
      <c r="I401" s="17" t="str">
        <f t="shared" si="2"/>
        <v/>
      </c>
      <c r="J401" s="18" t="str">
        <f>IF(B401="","",IFERROR(G401*VLOOKUP(B401,Articles!$A$5:$K$204,8,FALSE),0))</f>
        <v/>
      </c>
      <c r="K401" s="16"/>
      <c r="L401" s="16"/>
      <c r="M401" s="17" t="str">
        <f t="shared" si="3"/>
        <v>À compléter</v>
      </c>
    </row>
    <row r="402" ht="15.75" customHeight="1">
      <c r="A402" s="15"/>
      <c r="B402" s="16"/>
      <c r="C402" s="16"/>
      <c r="D402" s="17" t="str">
        <f>IF(B402="","",IFERROR(VLOOKUP(B402,Articles!$A$5:$K$204,2,FALSE),"Référence inconnue"))</f>
        <v/>
      </c>
      <c r="E402" s="16"/>
      <c r="F402" s="16"/>
      <c r="G402" s="16"/>
      <c r="H402" s="17" t="str">
        <f t="shared" si="1"/>
        <v>0</v>
      </c>
      <c r="I402" s="17" t="str">
        <f t="shared" si="2"/>
        <v/>
      </c>
      <c r="J402" s="18" t="str">
        <f>IF(B402="","",IFERROR(G402*VLOOKUP(B402,Articles!$A$5:$K$204,8,FALSE),0))</f>
        <v/>
      </c>
      <c r="K402" s="16"/>
      <c r="L402" s="16"/>
      <c r="M402" s="17" t="str">
        <f t="shared" si="3"/>
        <v>À compléter</v>
      </c>
    </row>
    <row r="403" ht="15.75" customHeight="1">
      <c r="A403" s="15"/>
      <c r="B403" s="16"/>
      <c r="C403" s="16"/>
      <c r="D403" s="17" t="str">
        <f>IF(B403="","",IFERROR(VLOOKUP(B403,Articles!$A$5:$K$204,2,FALSE),"Référence inconnue"))</f>
        <v/>
      </c>
      <c r="E403" s="16"/>
      <c r="F403" s="16"/>
      <c r="G403" s="16"/>
      <c r="H403" s="17" t="str">
        <f t="shared" si="1"/>
        <v>0</v>
      </c>
      <c r="I403" s="17" t="str">
        <f t="shared" si="2"/>
        <v/>
      </c>
      <c r="J403" s="18" t="str">
        <f>IF(B403="","",IFERROR(G403*VLOOKUP(B403,Articles!$A$5:$K$204,8,FALSE),0))</f>
        <v/>
      </c>
      <c r="K403" s="16"/>
      <c r="L403" s="16"/>
      <c r="M403" s="17" t="str">
        <f t="shared" si="3"/>
        <v>À compléter</v>
      </c>
    </row>
    <row r="404" ht="15.75" customHeight="1">
      <c r="A404" s="15"/>
      <c r="B404" s="16"/>
      <c r="C404" s="16"/>
      <c r="D404" s="17" t="str">
        <f>IF(B404="","",IFERROR(VLOOKUP(B404,Articles!$A$5:$K$204,2,FALSE),"Référence inconnue"))</f>
        <v/>
      </c>
      <c r="E404" s="16"/>
      <c r="F404" s="16"/>
      <c r="G404" s="16"/>
      <c r="H404" s="17" t="str">
        <f t="shared" si="1"/>
        <v>0</v>
      </c>
      <c r="I404" s="17" t="str">
        <f t="shared" si="2"/>
        <v/>
      </c>
      <c r="J404" s="18" t="str">
        <f>IF(B404="","",IFERROR(G404*VLOOKUP(B404,Articles!$A$5:$K$204,8,FALSE),0))</f>
        <v/>
      </c>
      <c r="K404" s="16"/>
      <c r="L404" s="16"/>
      <c r="M404" s="17" t="str">
        <f t="shared" si="3"/>
        <v>À compléter</v>
      </c>
    </row>
    <row r="405" ht="15.75" customHeight="1">
      <c r="A405" s="15"/>
      <c r="B405" s="16"/>
      <c r="C405" s="16"/>
      <c r="D405" s="17" t="str">
        <f>IF(B405="","",IFERROR(VLOOKUP(B405,Articles!$A$5:$K$204,2,FALSE),"Référence inconnue"))</f>
        <v/>
      </c>
      <c r="E405" s="16"/>
      <c r="F405" s="16"/>
      <c r="G405" s="16"/>
      <c r="H405" s="17" t="str">
        <f t="shared" si="1"/>
        <v>0</v>
      </c>
      <c r="I405" s="17" t="str">
        <f t="shared" si="2"/>
        <v/>
      </c>
      <c r="J405" s="18" t="str">
        <f>IF(B405="","",IFERROR(G405*VLOOKUP(B405,Articles!$A$5:$K$204,8,FALSE),0))</f>
        <v/>
      </c>
      <c r="K405" s="16"/>
      <c r="L405" s="16"/>
      <c r="M405" s="17" t="str">
        <f t="shared" si="3"/>
        <v>À compléter</v>
      </c>
    </row>
    <row r="406" ht="15.75" customHeight="1">
      <c r="A406" s="15"/>
      <c r="B406" s="16"/>
      <c r="C406" s="16"/>
      <c r="D406" s="17" t="str">
        <f>IF(B406="","",IFERROR(VLOOKUP(B406,Articles!$A$5:$K$204,2,FALSE),"Référence inconnue"))</f>
        <v/>
      </c>
      <c r="E406" s="16"/>
      <c r="F406" s="16"/>
      <c r="G406" s="16"/>
      <c r="H406" s="17" t="str">
        <f t="shared" si="1"/>
        <v>0</v>
      </c>
      <c r="I406" s="17" t="str">
        <f t="shared" si="2"/>
        <v/>
      </c>
      <c r="J406" s="18" t="str">
        <f>IF(B406="","",IFERROR(G406*VLOOKUP(B406,Articles!$A$5:$K$204,8,FALSE),0))</f>
        <v/>
      </c>
      <c r="K406" s="16"/>
      <c r="L406" s="16"/>
      <c r="M406" s="17" t="str">
        <f t="shared" si="3"/>
        <v>À compléter</v>
      </c>
    </row>
    <row r="407" ht="15.75" customHeight="1">
      <c r="A407" s="15"/>
      <c r="B407" s="16"/>
      <c r="C407" s="16"/>
      <c r="D407" s="17" t="str">
        <f>IF(B407="","",IFERROR(VLOOKUP(B407,Articles!$A$5:$K$204,2,FALSE),"Référence inconnue"))</f>
        <v/>
      </c>
      <c r="E407" s="16"/>
      <c r="F407" s="16"/>
      <c r="G407" s="16"/>
      <c r="H407" s="17" t="str">
        <f t="shared" si="1"/>
        <v>0</v>
      </c>
      <c r="I407" s="17" t="str">
        <f t="shared" si="2"/>
        <v/>
      </c>
      <c r="J407" s="18" t="str">
        <f>IF(B407="","",IFERROR(G407*VLOOKUP(B407,Articles!$A$5:$K$204,8,FALSE),0))</f>
        <v/>
      </c>
      <c r="K407" s="16"/>
      <c r="L407" s="16"/>
      <c r="M407" s="17" t="str">
        <f t="shared" si="3"/>
        <v>À compléter</v>
      </c>
    </row>
    <row r="408" ht="15.75" customHeight="1">
      <c r="A408" s="15"/>
      <c r="B408" s="16"/>
      <c r="C408" s="16"/>
      <c r="D408" s="17" t="str">
        <f>IF(B408="","",IFERROR(VLOOKUP(B408,Articles!$A$5:$K$204,2,FALSE),"Référence inconnue"))</f>
        <v/>
      </c>
      <c r="E408" s="16"/>
      <c r="F408" s="16"/>
      <c r="G408" s="16"/>
      <c r="H408" s="17" t="str">
        <f t="shared" si="1"/>
        <v>0</v>
      </c>
      <c r="I408" s="17" t="str">
        <f t="shared" si="2"/>
        <v/>
      </c>
      <c r="J408" s="18" t="str">
        <f>IF(B408="","",IFERROR(G408*VLOOKUP(B408,Articles!$A$5:$K$204,8,FALSE),0))</f>
        <v/>
      </c>
      <c r="K408" s="16"/>
      <c r="L408" s="16"/>
      <c r="M408" s="17" t="str">
        <f t="shared" si="3"/>
        <v>À compléter</v>
      </c>
    </row>
    <row r="409" ht="15.75" customHeight="1">
      <c r="A409" s="15"/>
      <c r="B409" s="16"/>
      <c r="C409" s="16"/>
      <c r="D409" s="17" t="str">
        <f>IF(B409="","",IFERROR(VLOOKUP(B409,Articles!$A$5:$K$204,2,FALSE),"Référence inconnue"))</f>
        <v/>
      </c>
      <c r="E409" s="16"/>
      <c r="F409" s="16"/>
      <c r="G409" s="16"/>
      <c r="H409" s="17" t="str">
        <f t="shared" si="1"/>
        <v>0</v>
      </c>
      <c r="I409" s="17" t="str">
        <f t="shared" si="2"/>
        <v/>
      </c>
      <c r="J409" s="18" t="str">
        <f>IF(B409="","",IFERROR(G409*VLOOKUP(B409,Articles!$A$5:$K$204,8,FALSE),0))</f>
        <v/>
      </c>
      <c r="K409" s="16"/>
      <c r="L409" s="16"/>
      <c r="M409" s="17" t="str">
        <f t="shared" si="3"/>
        <v>À compléter</v>
      </c>
    </row>
    <row r="410" ht="15.75" customHeight="1">
      <c r="A410" s="15"/>
      <c r="B410" s="16"/>
      <c r="C410" s="16"/>
      <c r="D410" s="17" t="str">
        <f>IF(B410="","",IFERROR(VLOOKUP(B410,Articles!$A$5:$K$204,2,FALSE),"Référence inconnue"))</f>
        <v/>
      </c>
      <c r="E410" s="16"/>
      <c r="F410" s="16"/>
      <c r="G410" s="16"/>
      <c r="H410" s="17" t="str">
        <f t="shared" si="1"/>
        <v>0</v>
      </c>
      <c r="I410" s="17" t="str">
        <f t="shared" si="2"/>
        <v/>
      </c>
      <c r="J410" s="18" t="str">
        <f>IF(B410="","",IFERROR(G410*VLOOKUP(B410,Articles!$A$5:$K$204,8,FALSE),0))</f>
        <v/>
      </c>
      <c r="K410" s="16"/>
      <c r="L410" s="16"/>
      <c r="M410" s="17" t="str">
        <f t="shared" si="3"/>
        <v>À compléter</v>
      </c>
    </row>
    <row r="411" ht="15.75" customHeight="1">
      <c r="A411" s="15"/>
      <c r="B411" s="16"/>
      <c r="C411" s="16"/>
      <c r="D411" s="17" t="str">
        <f>IF(B411="","",IFERROR(VLOOKUP(B411,Articles!$A$5:$K$204,2,FALSE),"Référence inconnue"))</f>
        <v/>
      </c>
      <c r="E411" s="16"/>
      <c r="F411" s="16"/>
      <c r="G411" s="16"/>
      <c r="H411" s="17" t="str">
        <f t="shared" si="1"/>
        <v>0</v>
      </c>
      <c r="I411" s="17" t="str">
        <f t="shared" si="2"/>
        <v/>
      </c>
      <c r="J411" s="18" t="str">
        <f>IF(B411="","",IFERROR(G411*VLOOKUP(B411,Articles!$A$5:$K$204,8,FALSE),0))</f>
        <v/>
      </c>
      <c r="K411" s="16"/>
      <c r="L411" s="16"/>
      <c r="M411" s="17" t="str">
        <f t="shared" si="3"/>
        <v>À compléter</v>
      </c>
    </row>
    <row r="412" ht="15.75" customHeight="1">
      <c r="A412" s="15"/>
      <c r="B412" s="16"/>
      <c r="C412" s="16"/>
      <c r="D412" s="17" t="str">
        <f>IF(B412="","",IFERROR(VLOOKUP(B412,Articles!$A$5:$K$204,2,FALSE),"Référence inconnue"))</f>
        <v/>
      </c>
      <c r="E412" s="16"/>
      <c r="F412" s="16"/>
      <c r="G412" s="16"/>
      <c r="H412" s="17" t="str">
        <f t="shared" si="1"/>
        <v>0</v>
      </c>
      <c r="I412" s="17" t="str">
        <f t="shared" si="2"/>
        <v/>
      </c>
      <c r="J412" s="18" t="str">
        <f>IF(B412="","",IFERROR(G412*VLOOKUP(B412,Articles!$A$5:$K$204,8,FALSE),0))</f>
        <v/>
      </c>
      <c r="K412" s="16"/>
      <c r="L412" s="16"/>
      <c r="M412" s="17" t="str">
        <f t="shared" si="3"/>
        <v>À compléter</v>
      </c>
    </row>
    <row r="413" ht="15.75" customHeight="1">
      <c r="A413" s="15"/>
      <c r="B413" s="16"/>
      <c r="C413" s="16"/>
      <c r="D413" s="17" t="str">
        <f>IF(B413="","",IFERROR(VLOOKUP(B413,Articles!$A$5:$K$204,2,FALSE),"Référence inconnue"))</f>
        <v/>
      </c>
      <c r="E413" s="16"/>
      <c r="F413" s="16"/>
      <c r="G413" s="16"/>
      <c r="H413" s="17" t="str">
        <f t="shared" si="1"/>
        <v>0</v>
      </c>
      <c r="I413" s="17" t="str">
        <f t="shared" si="2"/>
        <v/>
      </c>
      <c r="J413" s="18" t="str">
        <f>IF(B413="","",IFERROR(G413*VLOOKUP(B413,Articles!$A$5:$K$204,8,FALSE),0))</f>
        <v/>
      </c>
      <c r="K413" s="16"/>
      <c r="L413" s="16"/>
      <c r="M413" s="17" t="str">
        <f t="shared" si="3"/>
        <v>À compléter</v>
      </c>
    </row>
    <row r="414" ht="15.75" customHeight="1">
      <c r="A414" s="15"/>
      <c r="B414" s="16"/>
      <c r="C414" s="16"/>
      <c r="D414" s="17" t="str">
        <f>IF(B414="","",IFERROR(VLOOKUP(B414,Articles!$A$5:$K$204,2,FALSE),"Référence inconnue"))</f>
        <v/>
      </c>
      <c r="E414" s="16"/>
      <c r="F414" s="16"/>
      <c r="G414" s="16"/>
      <c r="H414" s="17" t="str">
        <f t="shared" si="1"/>
        <v>0</v>
      </c>
      <c r="I414" s="17" t="str">
        <f t="shared" si="2"/>
        <v/>
      </c>
      <c r="J414" s="18" t="str">
        <f>IF(B414="","",IFERROR(G414*VLOOKUP(B414,Articles!$A$5:$K$204,8,FALSE),0))</f>
        <v/>
      </c>
      <c r="K414" s="16"/>
      <c r="L414" s="16"/>
      <c r="M414" s="17" t="str">
        <f t="shared" si="3"/>
        <v>À compléter</v>
      </c>
    </row>
    <row r="415" ht="15.75" customHeight="1">
      <c r="A415" s="15"/>
      <c r="B415" s="16"/>
      <c r="C415" s="16"/>
      <c r="D415" s="17" t="str">
        <f>IF(B415="","",IFERROR(VLOOKUP(B415,Articles!$A$5:$K$204,2,FALSE),"Référence inconnue"))</f>
        <v/>
      </c>
      <c r="E415" s="16"/>
      <c r="F415" s="16"/>
      <c r="G415" s="16"/>
      <c r="H415" s="17" t="str">
        <f t="shared" si="1"/>
        <v>0</v>
      </c>
      <c r="I415" s="17" t="str">
        <f t="shared" si="2"/>
        <v/>
      </c>
      <c r="J415" s="18" t="str">
        <f>IF(B415="","",IFERROR(G415*VLOOKUP(B415,Articles!$A$5:$K$204,8,FALSE),0))</f>
        <v/>
      </c>
      <c r="K415" s="16"/>
      <c r="L415" s="16"/>
      <c r="M415" s="17" t="str">
        <f t="shared" si="3"/>
        <v>À compléter</v>
      </c>
    </row>
    <row r="416" ht="15.75" customHeight="1">
      <c r="A416" s="15"/>
      <c r="B416" s="16"/>
      <c r="C416" s="16"/>
      <c r="D416" s="17" t="str">
        <f>IF(B416="","",IFERROR(VLOOKUP(B416,Articles!$A$5:$K$204,2,FALSE),"Référence inconnue"))</f>
        <v/>
      </c>
      <c r="E416" s="16"/>
      <c r="F416" s="16"/>
      <c r="G416" s="16"/>
      <c r="H416" s="17" t="str">
        <f t="shared" si="1"/>
        <v>0</v>
      </c>
      <c r="I416" s="17" t="str">
        <f t="shared" si="2"/>
        <v/>
      </c>
      <c r="J416" s="18" t="str">
        <f>IF(B416="","",IFERROR(G416*VLOOKUP(B416,Articles!$A$5:$K$204,8,FALSE),0))</f>
        <v/>
      </c>
      <c r="K416" s="16"/>
      <c r="L416" s="16"/>
      <c r="M416" s="17" t="str">
        <f t="shared" si="3"/>
        <v>À compléter</v>
      </c>
    </row>
    <row r="417" ht="15.75" customHeight="1">
      <c r="A417" s="15"/>
      <c r="B417" s="16"/>
      <c r="C417" s="16"/>
      <c r="D417" s="17" t="str">
        <f>IF(B417="","",IFERROR(VLOOKUP(B417,Articles!$A$5:$K$204,2,FALSE),"Référence inconnue"))</f>
        <v/>
      </c>
      <c r="E417" s="16"/>
      <c r="F417" s="16"/>
      <c r="G417" s="16"/>
      <c r="H417" s="17" t="str">
        <f t="shared" si="1"/>
        <v>0</v>
      </c>
      <c r="I417" s="17" t="str">
        <f t="shared" si="2"/>
        <v/>
      </c>
      <c r="J417" s="18" t="str">
        <f>IF(B417="","",IFERROR(G417*VLOOKUP(B417,Articles!$A$5:$K$204,8,FALSE),0))</f>
        <v/>
      </c>
      <c r="K417" s="16"/>
      <c r="L417" s="16"/>
      <c r="M417" s="17" t="str">
        <f t="shared" si="3"/>
        <v>À compléter</v>
      </c>
    </row>
    <row r="418" ht="15.75" customHeight="1">
      <c r="A418" s="15"/>
      <c r="B418" s="16"/>
      <c r="C418" s="16"/>
      <c r="D418" s="17" t="str">
        <f>IF(B418="","",IFERROR(VLOOKUP(B418,Articles!$A$5:$K$204,2,FALSE),"Référence inconnue"))</f>
        <v/>
      </c>
      <c r="E418" s="16"/>
      <c r="F418" s="16"/>
      <c r="G418" s="16"/>
      <c r="H418" s="17" t="str">
        <f t="shared" si="1"/>
        <v>0</v>
      </c>
      <c r="I418" s="17" t="str">
        <f t="shared" si="2"/>
        <v/>
      </c>
      <c r="J418" s="18" t="str">
        <f>IF(B418="","",IFERROR(G418*VLOOKUP(B418,Articles!$A$5:$K$204,8,FALSE),0))</f>
        <v/>
      </c>
      <c r="K418" s="16"/>
      <c r="L418" s="16"/>
      <c r="M418" s="17" t="str">
        <f t="shared" si="3"/>
        <v>À compléter</v>
      </c>
    </row>
    <row r="419" ht="15.75" customHeight="1">
      <c r="A419" s="15"/>
      <c r="B419" s="16"/>
      <c r="C419" s="16"/>
      <c r="D419" s="17" t="str">
        <f>IF(B419="","",IFERROR(VLOOKUP(B419,Articles!$A$5:$K$204,2,FALSE),"Référence inconnue"))</f>
        <v/>
      </c>
      <c r="E419" s="16"/>
      <c r="F419" s="16"/>
      <c r="G419" s="16"/>
      <c r="H419" s="17" t="str">
        <f t="shared" si="1"/>
        <v>0</v>
      </c>
      <c r="I419" s="17" t="str">
        <f t="shared" si="2"/>
        <v/>
      </c>
      <c r="J419" s="18" t="str">
        <f>IF(B419="","",IFERROR(G419*VLOOKUP(B419,Articles!$A$5:$K$204,8,FALSE),0))</f>
        <v/>
      </c>
      <c r="K419" s="16"/>
      <c r="L419" s="16"/>
      <c r="M419" s="17" t="str">
        <f t="shared" si="3"/>
        <v>À compléter</v>
      </c>
    </row>
    <row r="420" ht="15.75" customHeight="1">
      <c r="A420" s="15"/>
      <c r="B420" s="16"/>
      <c r="C420" s="16"/>
      <c r="D420" s="17" t="str">
        <f>IF(B420="","",IFERROR(VLOOKUP(B420,Articles!$A$5:$K$204,2,FALSE),"Référence inconnue"))</f>
        <v/>
      </c>
      <c r="E420" s="16"/>
      <c r="F420" s="16"/>
      <c r="G420" s="16"/>
      <c r="H420" s="17" t="str">
        <f t="shared" si="1"/>
        <v>0</v>
      </c>
      <c r="I420" s="17" t="str">
        <f t="shared" si="2"/>
        <v/>
      </c>
      <c r="J420" s="18" t="str">
        <f>IF(B420="","",IFERROR(G420*VLOOKUP(B420,Articles!$A$5:$K$204,8,FALSE),0))</f>
        <v/>
      </c>
      <c r="K420" s="16"/>
      <c r="L420" s="16"/>
      <c r="M420" s="17" t="str">
        <f t="shared" si="3"/>
        <v>À compléter</v>
      </c>
    </row>
    <row r="421" ht="15.75" customHeight="1">
      <c r="A421" s="15"/>
      <c r="B421" s="16"/>
      <c r="C421" s="16"/>
      <c r="D421" s="17" t="str">
        <f>IF(B421="","",IFERROR(VLOOKUP(B421,Articles!$A$5:$K$204,2,FALSE),"Référence inconnue"))</f>
        <v/>
      </c>
      <c r="E421" s="16"/>
      <c r="F421" s="16"/>
      <c r="G421" s="16"/>
      <c r="H421" s="17" t="str">
        <f t="shared" si="1"/>
        <v>0</v>
      </c>
      <c r="I421" s="17" t="str">
        <f t="shared" si="2"/>
        <v/>
      </c>
      <c r="J421" s="18" t="str">
        <f>IF(B421="","",IFERROR(G421*VLOOKUP(B421,Articles!$A$5:$K$204,8,FALSE),0))</f>
        <v/>
      </c>
      <c r="K421" s="16"/>
      <c r="L421" s="16"/>
      <c r="M421" s="17" t="str">
        <f t="shared" si="3"/>
        <v>À compléter</v>
      </c>
    </row>
    <row r="422" ht="15.75" customHeight="1">
      <c r="A422" s="15"/>
      <c r="B422" s="16"/>
      <c r="C422" s="16"/>
      <c r="D422" s="17" t="str">
        <f>IF(B422="","",IFERROR(VLOOKUP(B422,Articles!$A$5:$K$204,2,FALSE),"Référence inconnue"))</f>
        <v/>
      </c>
      <c r="E422" s="16"/>
      <c r="F422" s="16"/>
      <c r="G422" s="16"/>
      <c r="H422" s="17" t="str">
        <f t="shared" si="1"/>
        <v>0</v>
      </c>
      <c r="I422" s="17" t="str">
        <f t="shared" si="2"/>
        <v/>
      </c>
      <c r="J422" s="18" t="str">
        <f>IF(B422="","",IFERROR(G422*VLOOKUP(B422,Articles!$A$5:$K$204,8,FALSE),0))</f>
        <v/>
      </c>
      <c r="K422" s="16"/>
      <c r="L422" s="16"/>
      <c r="M422" s="17" t="str">
        <f t="shared" si="3"/>
        <v>À compléter</v>
      </c>
    </row>
    <row r="423" ht="15.75" customHeight="1">
      <c r="A423" s="15"/>
      <c r="B423" s="16"/>
      <c r="C423" s="16"/>
      <c r="D423" s="17" t="str">
        <f>IF(B423="","",IFERROR(VLOOKUP(B423,Articles!$A$5:$K$204,2,FALSE),"Référence inconnue"))</f>
        <v/>
      </c>
      <c r="E423" s="16"/>
      <c r="F423" s="16"/>
      <c r="G423" s="16"/>
      <c r="H423" s="17" t="str">
        <f t="shared" si="1"/>
        <v>0</v>
      </c>
      <c r="I423" s="17" t="str">
        <f t="shared" si="2"/>
        <v/>
      </c>
      <c r="J423" s="18" t="str">
        <f>IF(B423="","",IFERROR(G423*VLOOKUP(B423,Articles!$A$5:$K$204,8,FALSE),0))</f>
        <v/>
      </c>
      <c r="K423" s="16"/>
      <c r="L423" s="16"/>
      <c r="M423" s="17" t="str">
        <f t="shared" si="3"/>
        <v>À compléter</v>
      </c>
    </row>
    <row r="424" ht="15.75" customHeight="1">
      <c r="A424" s="15"/>
      <c r="B424" s="16"/>
      <c r="C424" s="16"/>
      <c r="D424" s="17" t="str">
        <f>IF(B424="","",IFERROR(VLOOKUP(B424,Articles!$A$5:$K$204,2,FALSE),"Référence inconnue"))</f>
        <v/>
      </c>
      <c r="E424" s="16"/>
      <c r="F424" s="16"/>
      <c r="G424" s="16"/>
      <c r="H424" s="17" t="str">
        <f t="shared" si="1"/>
        <v>0</v>
      </c>
      <c r="I424" s="17" t="str">
        <f t="shared" si="2"/>
        <v/>
      </c>
      <c r="J424" s="18" t="str">
        <f>IF(B424="","",IFERROR(G424*VLOOKUP(B424,Articles!$A$5:$K$204,8,FALSE),0))</f>
        <v/>
      </c>
      <c r="K424" s="16"/>
      <c r="L424" s="16"/>
      <c r="M424" s="17" t="str">
        <f t="shared" si="3"/>
        <v>À compléter</v>
      </c>
    </row>
    <row r="425" ht="15.75" customHeight="1">
      <c r="A425" s="15"/>
      <c r="B425" s="16"/>
      <c r="C425" s="16"/>
      <c r="D425" s="17" t="str">
        <f>IF(B425="","",IFERROR(VLOOKUP(B425,Articles!$A$5:$K$204,2,FALSE),"Référence inconnue"))</f>
        <v/>
      </c>
      <c r="E425" s="16"/>
      <c r="F425" s="16"/>
      <c r="G425" s="16"/>
      <c r="H425" s="17" t="str">
        <f t="shared" si="1"/>
        <v>0</v>
      </c>
      <c r="I425" s="17" t="str">
        <f t="shared" si="2"/>
        <v/>
      </c>
      <c r="J425" s="18" t="str">
        <f>IF(B425="","",IFERROR(G425*VLOOKUP(B425,Articles!$A$5:$K$204,8,FALSE),0))</f>
        <v/>
      </c>
      <c r="K425" s="16"/>
      <c r="L425" s="16"/>
      <c r="M425" s="17" t="str">
        <f t="shared" si="3"/>
        <v>À compléter</v>
      </c>
    </row>
    <row r="426" ht="15.75" customHeight="1">
      <c r="A426" s="15"/>
      <c r="B426" s="16"/>
      <c r="C426" s="16"/>
      <c r="D426" s="17" t="str">
        <f>IF(B426="","",IFERROR(VLOOKUP(B426,Articles!$A$5:$K$204,2,FALSE),"Référence inconnue"))</f>
        <v/>
      </c>
      <c r="E426" s="16"/>
      <c r="F426" s="16"/>
      <c r="G426" s="16"/>
      <c r="H426" s="17" t="str">
        <f t="shared" si="1"/>
        <v>0</v>
      </c>
      <c r="I426" s="17" t="str">
        <f t="shared" si="2"/>
        <v/>
      </c>
      <c r="J426" s="18" t="str">
        <f>IF(B426="","",IFERROR(G426*VLOOKUP(B426,Articles!$A$5:$K$204,8,FALSE),0))</f>
        <v/>
      </c>
      <c r="K426" s="16"/>
      <c r="L426" s="16"/>
      <c r="M426" s="17" t="str">
        <f t="shared" si="3"/>
        <v>À compléter</v>
      </c>
    </row>
    <row r="427" ht="15.75" customHeight="1">
      <c r="A427" s="15"/>
      <c r="B427" s="16"/>
      <c r="C427" s="16"/>
      <c r="D427" s="17" t="str">
        <f>IF(B427="","",IFERROR(VLOOKUP(B427,Articles!$A$5:$K$204,2,FALSE),"Référence inconnue"))</f>
        <v/>
      </c>
      <c r="E427" s="16"/>
      <c r="F427" s="16"/>
      <c r="G427" s="16"/>
      <c r="H427" s="17" t="str">
        <f t="shared" si="1"/>
        <v>0</v>
      </c>
      <c r="I427" s="17" t="str">
        <f t="shared" si="2"/>
        <v/>
      </c>
      <c r="J427" s="18" t="str">
        <f>IF(B427="","",IFERROR(G427*VLOOKUP(B427,Articles!$A$5:$K$204,8,FALSE),0))</f>
        <v/>
      </c>
      <c r="K427" s="16"/>
      <c r="L427" s="16"/>
      <c r="M427" s="17" t="str">
        <f t="shared" si="3"/>
        <v>À compléter</v>
      </c>
    </row>
    <row r="428" ht="15.75" customHeight="1">
      <c r="A428" s="15"/>
      <c r="B428" s="16"/>
      <c r="C428" s="16"/>
      <c r="D428" s="17" t="str">
        <f>IF(B428="","",IFERROR(VLOOKUP(B428,Articles!$A$5:$K$204,2,FALSE),"Référence inconnue"))</f>
        <v/>
      </c>
      <c r="E428" s="16"/>
      <c r="F428" s="16"/>
      <c r="G428" s="16"/>
      <c r="H428" s="17" t="str">
        <f t="shared" si="1"/>
        <v>0</v>
      </c>
      <c r="I428" s="17" t="str">
        <f t="shared" si="2"/>
        <v/>
      </c>
      <c r="J428" s="18" t="str">
        <f>IF(B428="","",IFERROR(G428*VLOOKUP(B428,Articles!$A$5:$K$204,8,FALSE),0))</f>
        <v/>
      </c>
      <c r="K428" s="16"/>
      <c r="L428" s="16"/>
      <c r="M428" s="17" t="str">
        <f t="shared" si="3"/>
        <v>À compléter</v>
      </c>
    </row>
    <row r="429" ht="15.75" customHeight="1">
      <c r="A429" s="15"/>
      <c r="B429" s="16"/>
      <c r="C429" s="16"/>
      <c r="D429" s="17" t="str">
        <f>IF(B429="","",IFERROR(VLOOKUP(B429,Articles!$A$5:$K$204,2,FALSE),"Référence inconnue"))</f>
        <v/>
      </c>
      <c r="E429" s="16"/>
      <c r="F429" s="16"/>
      <c r="G429" s="16"/>
      <c r="H429" s="17" t="str">
        <f t="shared" si="1"/>
        <v>0</v>
      </c>
      <c r="I429" s="17" t="str">
        <f t="shared" si="2"/>
        <v/>
      </c>
      <c r="J429" s="18" t="str">
        <f>IF(B429="","",IFERROR(G429*VLOOKUP(B429,Articles!$A$5:$K$204,8,FALSE),0))</f>
        <v/>
      </c>
      <c r="K429" s="16"/>
      <c r="L429" s="16"/>
      <c r="M429" s="17" t="str">
        <f t="shared" si="3"/>
        <v>À compléter</v>
      </c>
    </row>
    <row r="430" ht="15.75" customHeight="1">
      <c r="A430" s="15"/>
      <c r="B430" s="16"/>
      <c r="C430" s="16"/>
      <c r="D430" s="17" t="str">
        <f>IF(B430="","",IFERROR(VLOOKUP(B430,Articles!$A$5:$K$204,2,FALSE),"Référence inconnue"))</f>
        <v/>
      </c>
      <c r="E430" s="16"/>
      <c r="F430" s="16"/>
      <c r="G430" s="16"/>
      <c r="H430" s="17" t="str">
        <f t="shared" si="1"/>
        <v>0</v>
      </c>
      <c r="I430" s="17" t="str">
        <f t="shared" si="2"/>
        <v/>
      </c>
      <c r="J430" s="18" t="str">
        <f>IF(B430="","",IFERROR(G430*VLOOKUP(B430,Articles!$A$5:$K$204,8,FALSE),0))</f>
        <v/>
      </c>
      <c r="K430" s="16"/>
      <c r="L430" s="16"/>
      <c r="M430" s="17" t="str">
        <f t="shared" si="3"/>
        <v>À compléter</v>
      </c>
    </row>
    <row r="431" ht="15.75" customHeight="1">
      <c r="A431" s="15"/>
      <c r="B431" s="16"/>
      <c r="C431" s="16"/>
      <c r="D431" s="17" t="str">
        <f>IF(B431="","",IFERROR(VLOOKUP(B431,Articles!$A$5:$K$204,2,FALSE),"Référence inconnue"))</f>
        <v/>
      </c>
      <c r="E431" s="16"/>
      <c r="F431" s="16"/>
      <c r="G431" s="16"/>
      <c r="H431" s="17" t="str">
        <f t="shared" si="1"/>
        <v>0</v>
      </c>
      <c r="I431" s="17" t="str">
        <f t="shared" si="2"/>
        <v/>
      </c>
      <c r="J431" s="18" t="str">
        <f>IF(B431="","",IFERROR(G431*VLOOKUP(B431,Articles!$A$5:$K$204,8,FALSE),0))</f>
        <v/>
      </c>
      <c r="K431" s="16"/>
      <c r="L431" s="16"/>
      <c r="M431" s="17" t="str">
        <f t="shared" si="3"/>
        <v>À compléter</v>
      </c>
    </row>
    <row r="432" ht="15.75" customHeight="1">
      <c r="A432" s="15"/>
      <c r="B432" s="16"/>
      <c r="C432" s="16"/>
      <c r="D432" s="17" t="str">
        <f>IF(B432="","",IFERROR(VLOOKUP(B432,Articles!$A$5:$K$204,2,FALSE),"Référence inconnue"))</f>
        <v/>
      </c>
      <c r="E432" s="16"/>
      <c r="F432" s="16"/>
      <c r="G432" s="16"/>
      <c r="H432" s="17" t="str">
        <f t="shared" si="1"/>
        <v>0</v>
      </c>
      <c r="I432" s="17" t="str">
        <f t="shared" si="2"/>
        <v/>
      </c>
      <c r="J432" s="18" t="str">
        <f>IF(B432="","",IFERROR(G432*VLOOKUP(B432,Articles!$A$5:$K$204,8,FALSE),0))</f>
        <v/>
      </c>
      <c r="K432" s="16"/>
      <c r="L432" s="16"/>
      <c r="M432" s="17" t="str">
        <f t="shared" si="3"/>
        <v>À compléter</v>
      </c>
    </row>
    <row r="433" ht="15.75" customHeight="1">
      <c r="A433" s="15"/>
      <c r="B433" s="16"/>
      <c r="C433" s="16"/>
      <c r="D433" s="17" t="str">
        <f>IF(B433="","",IFERROR(VLOOKUP(B433,Articles!$A$5:$K$204,2,FALSE),"Référence inconnue"))</f>
        <v/>
      </c>
      <c r="E433" s="16"/>
      <c r="F433" s="16"/>
      <c r="G433" s="16"/>
      <c r="H433" s="17" t="str">
        <f t="shared" si="1"/>
        <v>0</v>
      </c>
      <c r="I433" s="17" t="str">
        <f t="shared" si="2"/>
        <v/>
      </c>
      <c r="J433" s="18" t="str">
        <f>IF(B433="","",IFERROR(G433*VLOOKUP(B433,Articles!$A$5:$K$204,8,FALSE),0))</f>
        <v/>
      </c>
      <c r="K433" s="16"/>
      <c r="L433" s="16"/>
      <c r="M433" s="17" t="str">
        <f t="shared" si="3"/>
        <v>À compléter</v>
      </c>
    </row>
    <row r="434" ht="15.75" customHeight="1">
      <c r="A434" s="15"/>
      <c r="B434" s="16"/>
      <c r="C434" s="16"/>
      <c r="D434" s="17" t="str">
        <f>IF(B434="","",IFERROR(VLOOKUP(B434,Articles!$A$5:$K$204,2,FALSE),"Référence inconnue"))</f>
        <v/>
      </c>
      <c r="E434" s="16"/>
      <c r="F434" s="16"/>
      <c r="G434" s="16"/>
      <c r="H434" s="17" t="str">
        <f t="shared" si="1"/>
        <v>0</v>
      </c>
      <c r="I434" s="17" t="str">
        <f t="shared" si="2"/>
        <v/>
      </c>
      <c r="J434" s="18" t="str">
        <f>IF(B434="","",IFERROR(G434*VLOOKUP(B434,Articles!$A$5:$K$204,8,FALSE),0))</f>
        <v/>
      </c>
      <c r="K434" s="16"/>
      <c r="L434" s="16"/>
      <c r="M434" s="17" t="str">
        <f t="shared" si="3"/>
        <v>À compléter</v>
      </c>
    </row>
    <row r="435" ht="15.75" customHeight="1">
      <c r="A435" s="15"/>
      <c r="B435" s="16"/>
      <c r="C435" s="16"/>
      <c r="D435" s="17" t="str">
        <f>IF(B435="","",IFERROR(VLOOKUP(B435,Articles!$A$5:$K$204,2,FALSE),"Référence inconnue"))</f>
        <v/>
      </c>
      <c r="E435" s="16"/>
      <c r="F435" s="16"/>
      <c r="G435" s="16"/>
      <c r="H435" s="17" t="str">
        <f t="shared" si="1"/>
        <v>0</v>
      </c>
      <c r="I435" s="17" t="str">
        <f t="shared" si="2"/>
        <v/>
      </c>
      <c r="J435" s="18" t="str">
        <f>IF(B435="","",IFERROR(G435*VLOOKUP(B435,Articles!$A$5:$K$204,8,FALSE),0))</f>
        <v/>
      </c>
      <c r="K435" s="16"/>
      <c r="L435" s="16"/>
      <c r="M435" s="17" t="str">
        <f t="shared" si="3"/>
        <v>À compléter</v>
      </c>
    </row>
    <row r="436" ht="15.75" customHeight="1">
      <c r="A436" s="15"/>
      <c r="B436" s="16"/>
      <c r="C436" s="16"/>
      <c r="D436" s="17" t="str">
        <f>IF(B436="","",IFERROR(VLOOKUP(B436,Articles!$A$5:$K$204,2,FALSE),"Référence inconnue"))</f>
        <v/>
      </c>
      <c r="E436" s="16"/>
      <c r="F436" s="16"/>
      <c r="G436" s="16"/>
      <c r="H436" s="17" t="str">
        <f t="shared" si="1"/>
        <v>0</v>
      </c>
      <c r="I436" s="17" t="str">
        <f t="shared" si="2"/>
        <v/>
      </c>
      <c r="J436" s="18" t="str">
        <f>IF(B436="","",IFERROR(G436*VLOOKUP(B436,Articles!$A$5:$K$204,8,FALSE),0))</f>
        <v/>
      </c>
      <c r="K436" s="16"/>
      <c r="L436" s="16"/>
      <c r="M436" s="17" t="str">
        <f t="shared" si="3"/>
        <v>À compléter</v>
      </c>
    </row>
    <row r="437" ht="15.75" customHeight="1">
      <c r="A437" s="15"/>
      <c r="B437" s="16"/>
      <c r="C437" s="16"/>
      <c r="D437" s="17" t="str">
        <f>IF(B437="","",IFERROR(VLOOKUP(B437,Articles!$A$5:$K$204,2,FALSE),"Référence inconnue"))</f>
        <v/>
      </c>
      <c r="E437" s="16"/>
      <c r="F437" s="16"/>
      <c r="G437" s="16"/>
      <c r="H437" s="17" t="str">
        <f t="shared" si="1"/>
        <v>0</v>
      </c>
      <c r="I437" s="17" t="str">
        <f t="shared" si="2"/>
        <v/>
      </c>
      <c r="J437" s="18" t="str">
        <f>IF(B437="","",IFERROR(G437*VLOOKUP(B437,Articles!$A$5:$K$204,8,FALSE),0))</f>
        <v/>
      </c>
      <c r="K437" s="16"/>
      <c r="L437" s="16"/>
      <c r="M437" s="17" t="str">
        <f t="shared" si="3"/>
        <v>À compléter</v>
      </c>
    </row>
    <row r="438" ht="15.75" customHeight="1">
      <c r="A438" s="15"/>
      <c r="B438" s="16"/>
      <c r="C438" s="16"/>
      <c r="D438" s="17" t="str">
        <f>IF(B438="","",IFERROR(VLOOKUP(B438,Articles!$A$5:$K$204,2,FALSE),"Référence inconnue"))</f>
        <v/>
      </c>
      <c r="E438" s="16"/>
      <c r="F438" s="16"/>
      <c r="G438" s="16"/>
      <c r="H438" s="17" t="str">
        <f t="shared" si="1"/>
        <v>0</v>
      </c>
      <c r="I438" s="17" t="str">
        <f t="shared" si="2"/>
        <v/>
      </c>
      <c r="J438" s="18" t="str">
        <f>IF(B438="","",IFERROR(G438*VLOOKUP(B438,Articles!$A$5:$K$204,8,FALSE),0))</f>
        <v/>
      </c>
      <c r="K438" s="16"/>
      <c r="L438" s="16"/>
      <c r="M438" s="17" t="str">
        <f t="shared" si="3"/>
        <v>À compléter</v>
      </c>
    </row>
    <row r="439" ht="15.75" customHeight="1">
      <c r="A439" s="15"/>
      <c r="B439" s="16"/>
      <c r="C439" s="16"/>
      <c r="D439" s="17" t="str">
        <f>IF(B439="","",IFERROR(VLOOKUP(B439,Articles!$A$5:$K$204,2,FALSE),"Référence inconnue"))</f>
        <v/>
      </c>
      <c r="E439" s="16"/>
      <c r="F439" s="16"/>
      <c r="G439" s="16"/>
      <c r="H439" s="17" t="str">
        <f t="shared" si="1"/>
        <v>0</v>
      </c>
      <c r="I439" s="17" t="str">
        <f t="shared" si="2"/>
        <v/>
      </c>
      <c r="J439" s="18" t="str">
        <f>IF(B439="","",IFERROR(G439*VLOOKUP(B439,Articles!$A$5:$K$204,8,FALSE),0))</f>
        <v/>
      </c>
      <c r="K439" s="16"/>
      <c r="L439" s="16"/>
      <c r="M439" s="17" t="str">
        <f t="shared" si="3"/>
        <v>À compléter</v>
      </c>
    </row>
    <row r="440" ht="15.75" customHeight="1">
      <c r="A440" s="15"/>
      <c r="B440" s="16"/>
      <c r="C440" s="16"/>
      <c r="D440" s="17" t="str">
        <f>IF(B440="","",IFERROR(VLOOKUP(B440,Articles!$A$5:$K$204,2,FALSE),"Référence inconnue"))</f>
        <v/>
      </c>
      <c r="E440" s="16"/>
      <c r="F440" s="16"/>
      <c r="G440" s="16"/>
      <c r="H440" s="17" t="str">
        <f t="shared" si="1"/>
        <v>0</v>
      </c>
      <c r="I440" s="17" t="str">
        <f t="shared" si="2"/>
        <v/>
      </c>
      <c r="J440" s="18" t="str">
        <f>IF(B440="","",IFERROR(G440*VLOOKUP(B440,Articles!$A$5:$K$204,8,FALSE),0))</f>
        <v/>
      </c>
      <c r="K440" s="16"/>
      <c r="L440" s="16"/>
      <c r="M440" s="17" t="str">
        <f t="shared" si="3"/>
        <v>À compléter</v>
      </c>
    </row>
    <row r="441" ht="15.75" customHeight="1">
      <c r="A441" s="15"/>
      <c r="B441" s="16"/>
      <c r="C441" s="16"/>
      <c r="D441" s="17" t="str">
        <f>IF(B441="","",IFERROR(VLOOKUP(B441,Articles!$A$5:$K$204,2,FALSE),"Référence inconnue"))</f>
        <v/>
      </c>
      <c r="E441" s="16"/>
      <c r="F441" s="16"/>
      <c r="G441" s="16"/>
      <c r="H441" s="17" t="str">
        <f t="shared" si="1"/>
        <v>0</v>
      </c>
      <c r="I441" s="17" t="str">
        <f t="shared" si="2"/>
        <v/>
      </c>
      <c r="J441" s="18" t="str">
        <f>IF(B441="","",IFERROR(G441*VLOOKUP(B441,Articles!$A$5:$K$204,8,FALSE),0))</f>
        <v/>
      </c>
      <c r="K441" s="16"/>
      <c r="L441" s="16"/>
      <c r="M441" s="17" t="str">
        <f t="shared" si="3"/>
        <v>À compléter</v>
      </c>
    </row>
    <row r="442" ht="15.75" customHeight="1">
      <c r="A442" s="15"/>
      <c r="B442" s="16"/>
      <c r="C442" s="16"/>
      <c r="D442" s="17" t="str">
        <f>IF(B442="","",IFERROR(VLOOKUP(B442,Articles!$A$5:$K$204,2,FALSE),"Référence inconnue"))</f>
        <v/>
      </c>
      <c r="E442" s="16"/>
      <c r="F442" s="16"/>
      <c r="G442" s="16"/>
      <c r="H442" s="17" t="str">
        <f t="shared" si="1"/>
        <v>0</v>
      </c>
      <c r="I442" s="17" t="str">
        <f t="shared" si="2"/>
        <v/>
      </c>
      <c r="J442" s="18" t="str">
        <f>IF(B442="","",IFERROR(G442*VLOOKUP(B442,Articles!$A$5:$K$204,8,FALSE),0))</f>
        <v/>
      </c>
      <c r="K442" s="16"/>
      <c r="L442" s="16"/>
      <c r="M442" s="17" t="str">
        <f t="shared" si="3"/>
        <v>À compléter</v>
      </c>
    </row>
    <row r="443" ht="15.75" customHeight="1">
      <c r="A443" s="15"/>
      <c r="B443" s="16"/>
      <c r="C443" s="16"/>
      <c r="D443" s="17" t="str">
        <f>IF(B443="","",IFERROR(VLOOKUP(B443,Articles!$A$5:$K$204,2,FALSE),"Référence inconnue"))</f>
        <v/>
      </c>
      <c r="E443" s="16"/>
      <c r="F443" s="16"/>
      <c r="G443" s="16"/>
      <c r="H443" s="17" t="str">
        <f t="shared" si="1"/>
        <v>0</v>
      </c>
      <c r="I443" s="17" t="str">
        <f t="shared" si="2"/>
        <v/>
      </c>
      <c r="J443" s="18" t="str">
        <f>IF(B443="","",IFERROR(G443*VLOOKUP(B443,Articles!$A$5:$K$204,8,FALSE),0))</f>
        <v/>
      </c>
      <c r="K443" s="16"/>
      <c r="L443" s="16"/>
      <c r="M443" s="17" t="str">
        <f t="shared" si="3"/>
        <v>À compléter</v>
      </c>
    </row>
    <row r="444" ht="15.75" customHeight="1">
      <c r="A444" s="15"/>
      <c r="B444" s="16"/>
      <c r="C444" s="16"/>
      <c r="D444" s="17" t="str">
        <f>IF(B444="","",IFERROR(VLOOKUP(B444,Articles!$A$5:$K$204,2,FALSE),"Référence inconnue"))</f>
        <v/>
      </c>
      <c r="E444" s="16"/>
      <c r="F444" s="16"/>
      <c r="G444" s="16"/>
      <c r="H444" s="17" t="str">
        <f t="shared" si="1"/>
        <v>0</v>
      </c>
      <c r="I444" s="17" t="str">
        <f t="shared" si="2"/>
        <v/>
      </c>
      <c r="J444" s="18" t="str">
        <f>IF(B444="","",IFERROR(G444*VLOOKUP(B444,Articles!$A$5:$K$204,8,FALSE),0))</f>
        <v/>
      </c>
      <c r="K444" s="16"/>
      <c r="L444" s="16"/>
      <c r="M444" s="17" t="str">
        <f t="shared" si="3"/>
        <v>À compléter</v>
      </c>
    </row>
    <row r="445" ht="15.75" customHeight="1">
      <c r="A445" s="15"/>
      <c r="B445" s="16"/>
      <c r="C445" s="16"/>
      <c r="D445" s="17" t="str">
        <f>IF(B445="","",IFERROR(VLOOKUP(B445,Articles!$A$5:$K$204,2,FALSE),"Référence inconnue"))</f>
        <v/>
      </c>
      <c r="E445" s="16"/>
      <c r="F445" s="16"/>
      <c r="G445" s="16"/>
      <c r="H445" s="17" t="str">
        <f t="shared" si="1"/>
        <v>0</v>
      </c>
      <c r="I445" s="17" t="str">
        <f t="shared" si="2"/>
        <v/>
      </c>
      <c r="J445" s="18" t="str">
        <f>IF(B445="","",IFERROR(G445*VLOOKUP(B445,Articles!$A$5:$K$204,8,FALSE),0))</f>
        <v/>
      </c>
      <c r="K445" s="16"/>
      <c r="L445" s="16"/>
      <c r="M445" s="17" t="str">
        <f t="shared" si="3"/>
        <v>À compléter</v>
      </c>
    </row>
    <row r="446" ht="15.75" customHeight="1">
      <c r="A446" s="15"/>
      <c r="B446" s="16"/>
      <c r="C446" s="16"/>
      <c r="D446" s="17" t="str">
        <f>IF(B446="","",IFERROR(VLOOKUP(B446,Articles!$A$5:$K$204,2,FALSE),"Référence inconnue"))</f>
        <v/>
      </c>
      <c r="E446" s="16"/>
      <c r="F446" s="16"/>
      <c r="G446" s="16"/>
      <c r="H446" s="17" t="str">
        <f t="shared" si="1"/>
        <v>0</v>
      </c>
      <c r="I446" s="17" t="str">
        <f t="shared" si="2"/>
        <v/>
      </c>
      <c r="J446" s="18" t="str">
        <f>IF(B446="","",IFERROR(G446*VLOOKUP(B446,Articles!$A$5:$K$204,8,FALSE),0))</f>
        <v/>
      </c>
      <c r="K446" s="16"/>
      <c r="L446" s="16"/>
      <c r="M446" s="17" t="str">
        <f t="shared" si="3"/>
        <v>À compléter</v>
      </c>
    </row>
    <row r="447" ht="15.75" customHeight="1">
      <c r="A447" s="15"/>
      <c r="B447" s="16"/>
      <c r="C447" s="16"/>
      <c r="D447" s="17" t="str">
        <f>IF(B447="","",IFERROR(VLOOKUP(B447,Articles!$A$5:$K$204,2,FALSE),"Référence inconnue"))</f>
        <v/>
      </c>
      <c r="E447" s="16"/>
      <c r="F447" s="16"/>
      <c r="G447" s="16"/>
      <c r="H447" s="17" t="str">
        <f t="shared" si="1"/>
        <v>0</v>
      </c>
      <c r="I447" s="17" t="str">
        <f t="shared" si="2"/>
        <v/>
      </c>
      <c r="J447" s="18" t="str">
        <f>IF(B447="","",IFERROR(G447*VLOOKUP(B447,Articles!$A$5:$K$204,8,FALSE),0))</f>
        <v/>
      </c>
      <c r="K447" s="16"/>
      <c r="L447" s="16"/>
      <c r="M447" s="17" t="str">
        <f t="shared" si="3"/>
        <v>À compléter</v>
      </c>
    </row>
    <row r="448" ht="15.75" customHeight="1">
      <c r="A448" s="15"/>
      <c r="B448" s="16"/>
      <c r="C448" s="16"/>
      <c r="D448" s="17" t="str">
        <f>IF(B448="","",IFERROR(VLOOKUP(B448,Articles!$A$5:$K$204,2,FALSE),"Référence inconnue"))</f>
        <v/>
      </c>
      <c r="E448" s="16"/>
      <c r="F448" s="16"/>
      <c r="G448" s="16"/>
      <c r="H448" s="17" t="str">
        <f t="shared" si="1"/>
        <v>0</v>
      </c>
      <c r="I448" s="17" t="str">
        <f t="shared" si="2"/>
        <v/>
      </c>
      <c r="J448" s="18" t="str">
        <f>IF(B448="","",IFERROR(G448*VLOOKUP(B448,Articles!$A$5:$K$204,8,FALSE),0))</f>
        <v/>
      </c>
      <c r="K448" s="16"/>
      <c r="L448" s="16"/>
      <c r="M448" s="17" t="str">
        <f t="shared" si="3"/>
        <v>À compléter</v>
      </c>
    </row>
    <row r="449" ht="15.75" customHeight="1">
      <c r="A449" s="15"/>
      <c r="B449" s="16"/>
      <c r="C449" s="16"/>
      <c r="D449" s="17" t="str">
        <f>IF(B449="","",IFERROR(VLOOKUP(B449,Articles!$A$5:$K$204,2,FALSE),"Référence inconnue"))</f>
        <v/>
      </c>
      <c r="E449" s="16"/>
      <c r="F449" s="16"/>
      <c r="G449" s="16"/>
      <c r="H449" s="17" t="str">
        <f t="shared" si="1"/>
        <v>0</v>
      </c>
      <c r="I449" s="17" t="str">
        <f t="shared" si="2"/>
        <v/>
      </c>
      <c r="J449" s="18" t="str">
        <f>IF(B449="","",IFERROR(G449*VLOOKUP(B449,Articles!$A$5:$K$204,8,FALSE),0))</f>
        <v/>
      </c>
      <c r="K449" s="16"/>
      <c r="L449" s="16"/>
      <c r="M449" s="17" t="str">
        <f t="shared" si="3"/>
        <v>À compléter</v>
      </c>
    </row>
    <row r="450" ht="15.75" customHeight="1">
      <c r="A450" s="15"/>
      <c r="B450" s="16"/>
      <c r="C450" s="16"/>
      <c r="D450" s="17" t="str">
        <f>IF(B450="","",IFERROR(VLOOKUP(B450,Articles!$A$5:$K$204,2,FALSE),"Référence inconnue"))</f>
        <v/>
      </c>
      <c r="E450" s="16"/>
      <c r="F450" s="16"/>
      <c r="G450" s="16"/>
      <c r="H450" s="17" t="str">
        <f t="shared" si="1"/>
        <v>0</v>
      </c>
      <c r="I450" s="17" t="str">
        <f t="shared" si="2"/>
        <v/>
      </c>
      <c r="J450" s="18" t="str">
        <f>IF(B450="","",IFERROR(G450*VLOOKUP(B450,Articles!$A$5:$K$204,8,FALSE),0))</f>
        <v/>
      </c>
      <c r="K450" s="16"/>
      <c r="L450" s="16"/>
      <c r="M450" s="17" t="str">
        <f t="shared" si="3"/>
        <v>À compléter</v>
      </c>
    </row>
    <row r="451" ht="15.75" customHeight="1">
      <c r="A451" s="15"/>
      <c r="B451" s="16"/>
      <c r="C451" s="16"/>
      <c r="D451" s="17" t="str">
        <f>IF(B451="","",IFERROR(VLOOKUP(B451,Articles!$A$5:$K$204,2,FALSE),"Référence inconnue"))</f>
        <v/>
      </c>
      <c r="E451" s="16"/>
      <c r="F451" s="16"/>
      <c r="G451" s="16"/>
      <c r="H451" s="17" t="str">
        <f t="shared" si="1"/>
        <v>0</v>
      </c>
      <c r="I451" s="17" t="str">
        <f t="shared" si="2"/>
        <v/>
      </c>
      <c r="J451" s="18" t="str">
        <f>IF(B451="","",IFERROR(G451*VLOOKUP(B451,Articles!$A$5:$K$204,8,FALSE),0))</f>
        <v/>
      </c>
      <c r="K451" s="16"/>
      <c r="L451" s="16"/>
      <c r="M451" s="17" t="str">
        <f t="shared" si="3"/>
        <v>À compléter</v>
      </c>
    </row>
    <row r="452" ht="15.75" customHeight="1">
      <c r="A452" s="15"/>
      <c r="B452" s="16"/>
      <c r="C452" s="16"/>
      <c r="D452" s="17" t="str">
        <f>IF(B452="","",IFERROR(VLOOKUP(B452,Articles!$A$5:$K$204,2,FALSE),"Référence inconnue"))</f>
        <v/>
      </c>
      <c r="E452" s="16"/>
      <c r="F452" s="16"/>
      <c r="G452" s="16"/>
      <c r="H452" s="17" t="str">
        <f t="shared" si="1"/>
        <v>0</v>
      </c>
      <c r="I452" s="17" t="str">
        <f t="shared" si="2"/>
        <v/>
      </c>
      <c r="J452" s="18" t="str">
        <f>IF(B452="","",IFERROR(G452*VLOOKUP(B452,Articles!$A$5:$K$204,8,FALSE),0))</f>
        <v/>
      </c>
      <c r="K452" s="16"/>
      <c r="L452" s="16"/>
      <c r="M452" s="17" t="str">
        <f t="shared" si="3"/>
        <v>À compléter</v>
      </c>
    </row>
    <row r="453" ht="15.75" customHeight="1">
      <c r="A453" s="15"/>
      <c r="B453" s="16"/>
      <c r="C453" s="16"/>
      <c r="D453" s="17" t="str">
        <f>IF(B453="","",IFERROR(VLOOKUP(B453,Articles!$A$5:$K$204,2,FALSE),"Référence inconnue"))</f>
        <v/>
      </c>
      <c r="E453" s="16"/>
      <c r="F453" s="16"/>
      <c r="G453" s="16"/>
      <c r="H453" s="17" t="str">
        <f t="shared" si="1"/>
        <v>0</v>
      </c>
      <c r="I453" s="17" t="str">
        <f t="shared" si="2"/>
        <v/>
      </c>
      <c r="J453" s="18" t="str">
        <f>IF(B453="","",IFERROR(G453*VLOOKUP(B453,Articles!$A$5:$K$204,8,FALSE),0))</f>
        <v/>
      </c>
      <c r="K453" s="16"/>
      <c r="L453" s="16"/>
      <c r="M453" s="17" t="str">
        <f t="shared" si="3"/>
        <v>À compléter</v>
      </c>
    </row>
    <row r="454" ht="15.75" customHeight="1">
      <c r="A454" s="15"/>
      <c r="B454" s="16"/>
      <c r="C454" s="16"/>
      <c r="D454" s="17" t="str">
        <f>IF(B454="","",IFERROR(VLOOKUP(B454,Articles!$A$5:$K$204,2,FALSE),"Référence inconnue"))</f>
        <v/>
      </c>
      <c r="E454" s="16"/>
      <c r="F454" s="16"/>
      <c r="G454" s="16"/>
      <c r="H454" s="17" t="str">
        <f t="shared" si="1"/>
        <v>0</v>
      </c>
      <c r="I454" s="17" t="str">
        <f t="shared" si="2"/>
        <v/>
      </c>
      <c r="J454" s="18" t="str">
        <f>IF(B454="","",IFERROR(G454*VLOOKUP(B454,Articles!$A$5:$K$204,8,FALSE),0))</f>
        <v/>
      </c>
      <c r="K454" s="16"/>
      <c r="L454" s="16"/>
      <c r="M454" s="17" t="str">
        <f t="shared" si="3"/>
        <v>À compléter</v>
      </c>
    </row>
    <row r="455" ht="15.75" customHeight="1">
      <c r="A455" s="15"/>
      <c r="B455" s="16"/>
      <c r="C455" s="16"/>
      <c r="D455" s="17" t="str">
        <f>IF(B455="","",IFERROR(VLOOKUP(B455,Articles!$A$5:$K$204,2,FALSE),"Référence inconnue"))</f>
        <v/>
      </c>
      <c r="E455" s="16"/>
      <c r="F455" s="16"/>
      <c r="G455" s="16"/>
      <c r="H455" s="17" t="str">
        <f t="shared" si="1"/>
        <v>0</v>
      </c>
      <c r="I455" s="17" t="str">
        <f t="shared" si="2"/>
        <v/>
      </c>
      <c r="J455" s="18" t="str">
        <f>IF(B455="","",IFERROR(G455*VLOOKUP(B455,Articles!$A$5:$K$204,8,FALSE),0))</f>
        <v/>
      </c>
      <c r="K455" s="16"/>
      <c r="L455" s="16"/>
      <c r="M455" s="17" t="str">
        <f t="shared" si="3"/>
        <v>À compléter</v>
      </c>
    </row>
    <row r="456" ht="15.75" customHeight="1">
      <c r="A456" s="15"/>
      <c r="B456" s="16"/>
      <c r="C456" s="16"/>
      <c r="D456" s="17" t="str">
        <f>IF(B456="","",IFERROR(VLOOKUP(B456,Articles!$A$5:$K$204,2,FALSE),"Référence inconnue"))</f>
        <v/>
      </c>
      <c r="E456" s="16"/>
      <c r="F456" s="16"/>
      <c r="G456" s="16"/>
      <c r="H456" s="17" t="str">
        <f t="shared" si="1"/>
        <v>0</v>
      </c>
      <c r="I456" s="17" t="str">
        <f t="shared" si="2"/>
        <v/>
      </c>
      <c r="J456" s="18" t="str">
        <f>IF(B456="","",IFERROR(G456*VLOOKUP(B456,Articles!$A$5:$K$204,8,FALSE),0))</f>
        <v/>
      </c>
      <c r="K456" s="16"/>
      <c r="L456" s="16"/>
      <c r="M456" s="17" t="str">
        <f t="shared" si="3"/>
        <v>À compléter</v>
      </c>
    </row>
    <row r="457" ht="15.75" customHeight="1">
      <c r="A457" s="15"/>
      <c r="B457" s="16"/>
      <c r="C457" s="16"/>
      <c r="D457" s="17" t="str">
        <f>IF(B457="","",IFERROR(VLOOKUP(B457,Articles!$A$5:$K$204,2,FALSE),"Référence inconnue"))</f>
        <v/>
      </c>
      <c r="E457" s="16"/>
      <c r="F457" s="16"/>
      <c r="G457" s="16"/>
      <c r="H457" s="17" t="str">
        <f t="shared" si="1"/>
        <v>0</v>
      </c>
      <c r="I457" s="17" t="str">
        <f t="shared" si="2"/>
        <v/>
      </c>
      <c r="J457" s="18" t="str">
        <f>IF(B457="","",IFERROR(G457*VLOOKUP(B457,Articles!$A$5:$K$204,8,FALSE),0))</f>
        <v/>
      </c>
      <c r="K457" s="16"/>
      <c r="L457" s="16"/>
      <c r="M457" s="17" t="str">
        <f t="shared" si="3"/>
        <v>À compléter</v>
      </c>
    </row>
    <row r="458" ht="15.75" customHeight="1">
      <c r="A458" s="15"/>
      <c r="B458" s="16"/>
      <c r="C458" s="16"/>
      <c r="D458" s="17" t="str">
        <f>IF(B458="","",IFERROR(VLOOKUP(B458,Articles!$A$5:$K$204,2,FALSE),"Référence inconnue"))</f>
        <v/>
      </c>
      <c r="E458" s="16"/>
      <c r="F458" s="16"/>
      <c r="G458" s="16"/>
      <c r="H458" s="17" t="str">
        <f t="shared" si="1"/>
        <v>0</v>
      </c>
      <c r="I458" s="17" t="str">
        <f t="shared" si="2"/>
        <v/>
      </c>
      <c r="J458" s="18" t="str">
        <f>IF(B458="","",IFERROR(G458*VLOOKUP(B458,Articles!$A$5:$K$204,8,FALSE),0))</f>
        <v/>
      </c>
      <c r="K458" s="16"/>
      <c r="L458" s="16"/>
      <c r="M458" s="17" t="str">
        <f t="shared" si="3"/>
        <v>À compléter</v>
      </c>
    </row>
    <row r="459" ht="15.75" customHeight="1">
      <c r="A459" s="15"/>
      <c r="B459" s="16"/>
      <c r="C459" s="16"/>
      <c r="D459" s="17" t="str">
        <f>IF(B459="","",IFERROR(VLOOKUP(B459,Articles!$A$5:$K$204,2,FALSE),"Référence inconnue"))</f>
        <v/>
      </c>
      <c r="E459" s="16"/>
      <c r="F459" s="16"/>
      <c r="G459" s="16"/>
      <c r="H459" s="17" t="str">
        <f t="shared" si="1"/>
        <v>0</v>
      </c>
      <c r="I459" s="17" t="str">
        <f t="shared" si="2"/>
        <v/>
      </c>
      <c r="J459" s="18" t="str">
        <f>IF(B459="","",IFERROR(G459*VLOOKUP(B459,Articles!$A$5:$K$204,8,FALSE),0))</f>
        <v/>
      </c>
      <c r="K459" s="16"/>
      <c r="L459" s="16"/>
      <c r="M459" s="17" t="str">
        <f t="shared" si="3"/>
        <v>À compléter</v>
      </c>
    </row>
    <row r="460" ht="15.75" customHeight="1">
      <c r="A460" s="15"/>
      <c r="B460" s="16"/>
      <c r="C460" s="16"/>
      <c r="D460" s="17" t="str">
        <f>IF(B460="","",IFERROR(VLOOKUP(B460,Articles!$A$5:$K$204,2,FALSE),"Référence inconnue"))</f>
        <v/>
      </c>
      <c r="E460" s="16"/>
      <c r="F460" s="16"/>
      <c r="G460" s="16"/>
      <c r="H460" s="17" t="str">
        <f t="shared" si="1"/>
        <v>0</v>
      </c>
      <c r="I460" s="17" t="str">
        <f t="shared" si="2"/>
        <v/>
      </c>
      <c r="J460" s="18" t="str">
        <f>IF(B460="","",IFERROR(G460*VLOOKUP(B460,Articles!$A$5:$K$204,8,FALSE),0))</f>
        <v/>
      </c>
      <c r="K460" s="16"/>
      <c r="L460" s="16"/>
      <c r="M460" s="17" t="str">
        <f t="shared" si="3"/>
        <v>À compléter</v>
      </c>
    </row>
    <row r="461" ht="15.75" customHeight="1">
      <c r="A461" s="15"/>
      <c r="B461" s="16"/>
      <c r="C461" s="16"/>
      <c r="D461" s="17" t="str">
        <f>IF(B461="","",IFERROR(VLOOKUP(B461,Articles!$A$5:$K$204,2,FALSE),"Référence inconnue"))</f>
        <v/>
      </c>
      <c r="E461" s="16"/>
      <c r="F461" s="16"/>
      <c r="G461" s="16"/>
      <c r="H461" s="17" t="str">
        <f t="shared" si="1"/>
        <v>0</v>
      </c>
      <c r="I461" s="17" t="str">
        <f t="shared" si="2"/>
        <v/>
      </c>
      <c r="J461" s="18" t="str">
        <f>IF(B461="","",IFERROR(G461*VLOOKUP(B461,Articles!$A$5:$K$204,8,FALSE),0))</f>
        <v/>
      </c>
      <c r="K461" s="16"/>
      <c r="L461" s="16"/>
      <c r="M461" s="17" t="str">
        <f t="shared" si="3"/>
        <v>À compléter</v>
      </c>
    </row>
    <row r="462" ht="15.75" customHeight="1">
      <c r="A462" s="15"/>
      <c r="B462" s="16"/>
      <c r="C462" s="16"/>
      <c r="D462" s="17" t="str">
        <f>IF(B462="","",IFERROR(VLOOKUP(B462,Articles!$A$5:$K$204,2,FALSE),"Référence inconnue"))</f>
        <v/>
      </c>
      <c r="E462" s="16"/>
      <c r="F462" s="16"/>
      <c r="G462" s="16"/>
      <c r="H462" s="17" t="str">
        <f t="shared" si="1"/>
        <v>0</v>
      </c>
      <c r="I462" s="17" t="str">
        <f t="shared" si="2"/>
        <v/>
      </c>
      <c r="J462" s="18" t="str">
        <f>IF(B462="","",IFERROR(G462*VLOOKUP(B462,Articles!$A$5:$K$204,8,FALSE),0))</f>
        <v/>
      </c>
      <c r="K462" s="16"/>
      <c r="L462" s="16"/>
      <c r="M462" s="17" t="str">
        <f t="shared" si="3"/>
        <v>À compléter</v>
      </c>
    </row>
    <row r="463" ht="15.75" customHeight="1">
      <c r="A463" s="15"/>
      <c r="B463" s="16"/>
      <c r="C463" s="16"/>
      <c r="D463" s="17" t="str">
        <f>IF(B463="","",IFERROR(VLOOKUP(B463,Articles!$A$5:$K$204,2,FALSE),"Référence inconnue"))</f>
        <v/>
      </c>
      <c r="E463" s="16"/>
      <c r="F463" s="16"/>
      <c r="G463" s="16"/>
      <c r="H463" s="17" t="str">
        <f t="shared" si="1"/>
        <v>0</v>
      </c>
      <c r="I463" s="17" t="str">
        <f t="shared" si="2"/>
        <v/>
      </c>
      <c r="J463" s="18" t="str">
        <f>IF(B463="","",IFERROR(G463*VLOOKUP(B463,Articles!$A$5:$K$204,8,FALSE),0))</f>
        <v/>
      </c>
      <c r="K463" s="16"/>
      <c r="L463" s="16"/>
      <c r="M463" s="17" t="str">
        <f t="shared" si="3"/>
        <v>À compléter</v>
      </c>
    </row>
    <row r="464" ht="15.75" customHeight="1">
      <c r="A464" s="15"/>
      <c r="B464" s="16"/>
      <c r="C464" s="16"/>
      <c r="D464" s="17" t="str">
        <f>IF(B464="","",IFERROR(VLOOKUP(B464,Articles!$A$5:$K$204,2,FALSE),"Référence inconnue"))</f>
        <v/>
      </c>
      <c r="E464" s="16"/>
      <c r="F464" s="16"/>
      <c r="G464" s="16"/>
      <c r="H464" s="17" t="str">
        <f t="shared" si="1"/>
        <v>0</v>
      </c>
      <c r="I464" s="17" t="str">
        <f t="shared" si="2"/>
        <v/>
      </c>
      <c r="J464" s="18" t="str">
        <f>IF(B464="","",IFERROR(G464*VLOOKUP(B464,Articles!$A$5:$K$204,8,FALSE),0))</f>
        <v/>
      </c>
      <c r="K464" s="16"/>
      <c r="L464" s="16"/>
      <c r="M464" s="17" t="str">
        <f t="shared" si="3"/>
        <v>À compléter</v>
      </c>
    </row>
    <row r="465" ht="15.75" customHeight="1">
      <c r="A465" s="15"/>
      <c r="B465" s="16"/>
      <c r="C465" s="16"/>
      <c r="D465" s="17" t="str">
        <f>IF(B465="","",IFERROR(VLOOKUP(B465,Articles!$A$5:$K$204,2,FALSE),"Référence inconnue"))</f>
        <v/>
      </c>
      <c r="E465" s="16"/>
      <c r="F465" s="16"/>
      <c r="G465" s="16"/>
      <c r="H465" s="17" t="str">
        <f t="shared" si="1"/>
        <v>0</v>
      </c>
      <c r="I465" s="17" t="str">
        <f t="shared" si="2"/>
        <v/>
      </c>
      <c r="J465" s="18" t="str">
        <f>IF(B465="","",IFERROR(G465*VLOOKUP(B465,Articles!$A$5:$K$204,8,FALSE),0))</f>
        <v/>
      </c>
      <c r="K465" s="16"/>
      <c r="L465" s="16"/>
      <c r="M465" s="17" t="str">
        <f t="shared" si="3"/>
        <v>À compléter</v>
      </c>
    </row>
    <row r="466" ht="15.75" customHeight="1">
      <c r="A466" s="15"/>
      <c r="B466" s="16"/>
      <c r="C466" s="16"/>
      <c r="D466" s="17" t="str">
        <f>IF(B466="","",IFERROR(VLOOKUP(B466,Articles!$A$5:$K$204,2,FALSE),"Référence inconnue"))</f>
        <v/>
      </c>
      <c r="E466" s="16"/>
      <c r="F466" s="16"/>
      <c r="G466" s="16"/>
      <c r="H466" s="17" t="str">
        <f t="shared" si="1"/>
        <v>0</v>
      </c>
      <c r="I466" s="17" t="str">
        <f t="shared" si="2"/>
        <v/>
      </c>
      <c r="J466" s="18" t="str">
        <f>IF(B466="","",IFERROR(G466*VLOOKUP(B466,Articles!$A$5:$K$204,8,FALSE),0))</f>
        <v/>
      </c>
      <c r="K466" s="16"/>
      <c r="L466" s="16"/>
      <c r="M466" s="17" t="str">
        <f t="shared" si="3"/>
        <v>À compléter</v>
      </c>
    </row>
    <row r="467" ht="15.75" customHeight="1">
      <c r="A467" s="15"/>
      <c r="B467" s="16"/>
      <c r="C467" s="16"/>
      <c r="D467" s="17" t="str">
        <f>IF(B467="","",IFERROR(VLOOKUP(B467,Articles!$A$5:$K$204,2,FALSE),"Référence inconnue"))</f>
        <v/>
      </c>
      <c r="E467" s="16"/>
      <c r="F467" s="16"/>
      <c r="G467" s="16"/>
      <c r="H467" s="17" t="str">
        <f t="shared" si="1"/>
        <v>0</v>
      </c>
      <c r="I467" s="17" t="str">
        <f t="shared" si="2"/>
        <v/>
      </c>
      <c r="J467" s="18" t="str">
        <f>IF(B467="","",IFERROR(G467*VLOOKUP(B467,Articles!$A$5:$K$204,8,FALSE),0))</f>
        <v/>
      </c>
      <c r="K467" s="16"/>
      <c r="L467" s="16"/>
      <c r="M467" s="17" t="str">
        <f t="shared" si="3"/>
        <v>À compléter</v>
      </c>
    </row>
    <row r="468" ht="15.75" customHeight="1">
      <c r="A468" s="15"/>
      <c r="B468" s="16"/>
      <c r="C468" s="16"/>
      <c r="D468" s="17" t="str">
        <f>IF(B468="","",IFERROR(VLOOKUP(B468,Articles!$A$5:$K$204,2,FALSE),"Référence inconnue"))</f>
        <v/>
      </c>
      <c r="E468" s="16"/>
      <c r="F468" s="16"/>
      <c r="G468" s="16"/>
      <c r="H468" s="17" t="str">
        <f t="shared" si="1"/>
        <v>0</v>
      </c>
      <c r="I468" s="17" t="str">
        <f t="shared" si="2"/>
        <v/>
      </c>
      <c r="J468" s="18" t="str">
        <f>IF(B468="","",IFERROR(G468*VLOOKUP(B468,Articles!$A$5:$K$204,8,FALSE),0))</f>
        <v/>
      </c>
      <c r="K468" s="16"/>
      <c r="L468" s="16"/>
      <c r="M468" s="17" t="str">
        <f t="shared" si="3"/>
        <v>À compléter</v>
      </c>
    </row>
    <row r="469" ht="15.75" customHeight="1">
      <c r="A469" s="15"/>
      <c r="B469" s="16"/>
      <c r="C469" s="16"/>
      <c r="D469" s="17" t="str">
        <f>IF(B469="","",IFERROR(VLOOKUP(B469,Articles!$A$5:$K$204,2,FALSE),"Référence inconnue"))</f>
        <v/>
      </c>
      <c r="E469" s="16"/>
      <c r="F469" s="16"/>
      <c r="G469" s="16"/>
      <c r="H469" s="17" t="str">
        <f t="shared" si="1"/>
        <v>0</v>
      </c>
      <c r="I469" s="17" t="str">
        <f t="shared" si="2"/>
        <v/>
      </c>
      <c r="J469" s="18" t="str">
        <f>IF(B469="","",IFERROR(G469*VLOOKUP(B469,Articles!$A$5:$K$204,8,FALSE),0))</f>
        <v/>
      </c>
      <c r="K469" s="16"/>
      <c r="L469" s="16"/>
      <c r="M469" s="17" t="str">
        <f t="shared" si="3"/>
        <v>À compléter</v>
      </c>
    </row>
    <row r="470" ht="15.75" customHeight="1">
      <c r="A470" s="15"/>
      <c r="B470" s="16"/>
      <c r="C470" s="16"/>
      <c r="D470" s="17" t="str">
        <f>IF(B470="","",IFERROR(VLOOKUP(B470,Articles!$A$5:$K$204,2,FALSE),"Référence inconnue"))</f>
        <v/>
      </c>
      <c r="E470" s="16"/>
      <c r="F470" s="16"/>
      <c r="G470" s="16"/>
      <c r="H470" s="17" t="str">
        <f t="shared" si="1"/>
        <v>0</v>
      </c>
      <c r="I470" s="17" t="str">
        <f t="shared" si="2"/>
        <v/>
      </c>
      <c r="J470" s="18" t="str">
        <f>IF(B470="","",IFERROR(G470*VLOOKUP(B470,Articles!$A$5:$K$204,8,FALSE),0))</f>
        <v/>
      </c>
      <c r="K470" s="16"/>
      <c r="L470" s="16"/>
      <c r="M470" s="17" t="str">
        <f t="shared" si="3"/>
        <v>À compléter</v>
      </c>
    </row>
    <row r="471" ht="15.75" customHeight="1">
      <c r="A471" s="15"/>
      <c r="B471" s="16"/>
      <c r="C471" s="16"/>
      <c r="D471" s="17" t="str">
        <f>IF(B471="","",IFERROR(VLOOKUP(B471,Articles!$A$5:$K$204,2,FALSE),"Référence inconnue"))</f>
        <v/>
      </c>
      <c r="E471" s="16"/>
      <c r="F471" s="16"/>
      <c r="G471" s="16"/>
      <c r="H471" s="17" t="str">
        <f t="shared" si="1"/>
        <v>0</v>
      </c>
      <c r="I471" s="17" t="str">
        <f t="shared" si="2"/>
        <v/>
      </c>
      <c r="J471" s="18" t="str">
        <f>IF(B471="","",IFERROR(G471*VLOOKUP(B471,Articles!$A$5:$K$204,8,FALSE),0))</f>
        <v/>
      </c>
      <c r="K471" s="16"/>
      <c r="L471" s="16"/>
      <c r="M471" s="17" t="str">
        <f t="shared" si="3"/>
        <v>À compléter</v>
      </c>
    </row>
    <row r="472" ht="15.75" customHeight="1">
      <c r="A472" s="15"/>
      <c r="B472" s="16"/>
      <c r="C472" s="16"/>
      <c r="D472" s="17" t="str">
        <f>IF(B472="","",IFERROR(VLOOKUP(B472,Articles!$A$5:$K$204,2,FALSE),"Référence inconnue"))</f>
        <v/>
      </c>
      <c r="E472" s="16"/>
      <c r="F472" s="16"/>
      <c r="G472" s="16"/>
      <c r="H472" s="17" t="str">
        <f t="shared" si="1"/>
        <v>0</v>
      </c>
      <c r="I472" s="17" t="str">
        <f t="shared" si="2"/>
        <v/>
      </c>
      <c r="J472" s="18" t="str">
        <f>IF(B472="","",IFERROR(G472*VLOOKUP(B472,Articles!$A$5:$K$204,8,FALSE),0))</f>
        <v/>
      </c>
      <c r="K472" s="16"/>
      <c r="L472" s="16"/>
      <c r="M472" s="17" t="str">
        <f t="shared" si="3"/>
        <v>À compléter</v>
      </c>
    </row>
    <row r="473" ht="15.75" customHeight="1">
      <c r="A473" s="15"/>
      <c r="B473" s="16"/>
      <c r="C473" s="16"/>
      <c r="D473" s="17" t="str">
        <f>IF(B473="","",IFERROR(VLOOKUP(B473,Articles!$A$5:$K$204,2,FALSE),"Référence inconnue"))</f>
        <v/>
      </c>
      <c r="E473" s="16"/>
      <c r="F473" s="16"/>
      <c r="G473" s="16"/>
      <c r="H473" s="17" t="str">
        <f t="shared" si="1"/>
        <v>0</v>
      </c>
      <c r="I473" s="17" t="str">
        <f t="shared" si="2"/>
        <v/>
      </c>
      <c r="J473" s="18" t="str">
        <f>IF(B473="","",IFERROR(G473*VLOOKUP(B473,Articles!$A$5:$K$204,8,FALSE),0))</f>
        <v/>
      </c>
      <c r="K473" s="16"/>
      <c r="L473" s="16"/>
      <c r="M473" s="17" t="str">
        <f t="shared" si="3"/>
        <v>À compléter</v>
      </c>
    </row>
    <row r="474" ht="15.75" customHeight="1">
      <c r="A474" s="15"/>
      <c r="B474" s="16"/>
      <c r="C474" s="16"/>
      <c r="D474" s="17" t="str">
        <f>IF(B474="","",IFERROR(VLOOKUP(B474,Articles!$A$5:$K$204,2,FALSE),"Référence inconnue"))</f>
        <v/>
      </c>
      <c r="E474" s="16"/>
      <c r="F474" s="16"/>
      <c r="G474" s="16"/>
      <c r="H474" s="17" t="str">
        <f t="shared" si="1"/>
        <v>0</v>
      </c>
      <c r="I474" s="17" t="str">
        <f t="shared" si="2"/>
        <v/>
      </c>
      <c r="J474" s="18" t="str">
        <f>IF(B474="","",IFERROR(G474*VLOOKUP(B474,Articles!$A$5:$K$204,8,FALSE),0))</f>
        <v/>
      </c>
      <c r="K474" s="16"/>
      <c r="L474" s="16"/>
      <c r="M474" s="17" t="str">
        <f t="shared" si="3"/>
        <v>À compléter</v>
      </c>
    </row>
    <row r="475" ht="15.75" customHeight="1">
      <c r="A475" s="15"/>
      <c r="B475" s="16"/>
      <c r="C475" s="16"/>
      <c r="D475" s="17" t="str">
        <f>IF(B475="","",IFERROR(VLOOKUP(B475,Articles!$A$5:$K$204,2,FALSE),"Référence inconnue"))</f>
        <v/>
      </c>
      <c r="E475" s="16"/>
      <c r="F475" s="16"/>
      <c r="G475" s="16"/>
      <c r="H475" s="17" t="str">
        <f t="shared" si="1"/>
        <v>0</v>
      </c>
      <c r="I475" s="17" t="str">
        <f t="shared" si="2"/>
        <v/>
      </c>
      <c r="J475" s="18" t="str">
        <f>IF(B475="","",IFERROR(G475*VLOOKUP(B475,Articles!$A$5:$K$204,8,FALSE),0))</f>
        <v/>
      </c>
      <c r="K475" s="16"/>
      <c r="L475" s="16"/>
      <c r="M475" s="17" t="str">
        <f t="shared" si="3"/>
        <v>À compléter</v>
      </c>
    </row>
    <row r="476" ht="15.75" customHeight="1">
      <c r="A476" s="15"/>
      <c r="B476" s="16"/>
      <c r="C476" s="16"/>
      <c r="D476" s="17" t="str">
        <f>IF(B476="","",IFERROR(VLOOKUP(B476,Articles!$A$5:$K$204,2,FALSE),"Référence inconnue"))</f>
        <v/>
      </c>
      <c r="E476" s="16"/>
      <c r="F476" s="16"/>
      <c r="G476" s="16"/>
      <c r="H476" s="17" t="str">
        <f t="shared" si="1"/>
        <v>0</v>
      </c>
      <c r="I476" s="17" t="str">
        <f t="shared" si="2"/>
        <v/>
      </c>
      <c r="J476" s="18" t="str">
        <f>IF(B476="","",IFERROR(G476*VLOOKUP(B476,Articles!$A$5:$K$204,8,FALSE),0))</f>
        <v/>
      </c>
      <c r="K476" s="16"/>
      <c r="L476" s="16"/>
      <c r="M476" s="17" t="str">
        <f t="shared" si="3"/>
        <v>À compléter</v>
      </c>
    </row>
    <row r="477" ht="15.75" customHeight="1">
      <c r="A477" s="15"/>
      <c r="B477" s="16"/>
      <c r="C477" s="16"/>
      <c r="D477" s="17" t="str">
        <f>IF(B477="","",IFERROR(VLOOKUP(B477,Articles!$A$5:$K$204,2,FALSE),"Référence inconnue"))</f>
        <v/>
      </c>
      <c r="E477" s="16"/>
      <c r="F477" s="16"/>
      <c r="G477" s="16"/>
      <c r="H477" s="17" t="str">
        <f t="shared" si="1"/>
        <v>0</v>
      </c>
      <c r="I477" s="17" t="str">
        <f t="shared" si="2"/>
        <v/>
      </c>
      <c r="J477" s="18" t="str">
        <f>IF(B477="","",IFERROR(G477*VLOOKUP(B477,Articles!$A$5:$K$204,8,FALSE),0))</f>
        <v/>
      </c>
      <c r="K477" s="16"/>
      <c r="L477" s="16"/>
      <c r="M477" s="17" t="str">
        <f t="shared" si="3"/>
        <v>À compléter</v>
      </c>
    </row>
    <row r="478" ht="15.75" customHeight="1">
      <c r="A478" s="15"/>
      <c r="B478" s="16"/>
      <c r="C478" s="16"/>
      <c r="D478" s="17" t="str">
        <f>IF(B478="","",IFERROR(VLOOKUP(B478,Articles!$A$5:$K$204,2,FALSE),"Référence inconnue"))</f>
        <v/>
      </c>
      <c r="E478" s="16"/>
      <c r="F478" s="16"/>
      <c r="G478" s="16"/>
      <c r="H478" s="17" t="str">
        <f t="shared" si="1"/>
        <v>0</v>
      </c>
      <c r="I478" s="17" t="str">
        <f t="shared" si="2"/>
        <v/>
      </c>
      <c r="J478" s="18" t="str">
        <f>IF(B478="","",IFERROR(G478*VLOOKUP(B478,Articles!$A$5:$K$204,8,FALSE),0))</f>
        <v/>
      </c>
      <c r="K478" s="16"/>
      <c r="L478" s="16"/>
      <c r="M478" s="17" t="str">
        <f t="shared" si="3"/>
        <v>À compléter</v>
      </c>
    </row>
    <row r="479" ht="15.75" customHeight="1">
      <c r="A479" s="15"/>
      <c r="B479" s="16"/>
      <c r="C479" s="16"/>
      <c r="D479" s="17" t="str">
        <f>IF(B479="","",IFERROR(VLOOKUP(B479,Articles!$A$5:$K$204,2,FALSE),"Référence inconnue"))</f>
        <v/>
      </c>
      <c r="E479" s="16"/>
      <c r="F479" s="16"/>
      <c r="G479" s="16"/>
      <c r="H479" s="17" t="str">
        <f t="shared" si="1"/>
        <v>0</v>
      </c>
      <c r="I479" s="17" t="str">
        <f t="shared" si="2"/>
        <v/>
      </c>
      <c r="J479" s="18" t="str">
        <f>IF(B479="","",IFERROR(G479*VLOOKUP(B479,Articles!$A$5:$K$204,8,FALSE),0))</f>
        <v/>
      </c>
      <c r="K479" s="16"/>
      <c r="L479" s="16"/>
      <c r="M479" s="17" t="str">
        <f t="shared" si="3"/>
        <v>À compléter</v>
      </c>
    </row>
    <row r="480" ht="15.75" customHeight="1">
      <c r="A480" s="15"/>
      <c r="B480" s="16"/>
      <c r="C480" s="16"/>
      <c r="D480" s="17" t="str">
        <f>IF(B480="","",IFERROR(VLOOKUP(B480,Articles!$A$5:$K$204,2,FALSE),"Référence inconnue"))</f>
        <v/>
      </c>
      <c r="E480" s="16"/>
      <c r="F480" s="16"/>
      <c r="G480" s="16"/>
      <c r="H480" s="17" t="str">
        <f t="shared" si="1"/>
        <v>0</v>
      </c>
      <c r="I480" s="17" t="str">
        <f t="shared" si="2"/>
        <v/>
      </c>
      <c r="J480" s="18" t="str">
        <f>IF(B480="","",IFERROR(G480*VLOOKUP(B480,Articles!$A$5:$K$204,8,FALSE),0))</f>
        <v/>
      </c>
      <c r="K480" s="16"/>
      <c r="L480" s="16"/>
      <c r="M480" s="17" t="str">
        <f t="shared" si="3"/>
        <v>À compléter</v>
      </c>
    </row>
    <row r="481" ht="15.75" customHeight="1">
      <c r="A481" s="15"/>
      <c r="B481" s="16"/>
      <c r="C481" s="16"/>
      <c r="D481" s="17" t="str">
        <f>IF(B481="","",IFERROR(VLOOKUP(B481,Articles!$A$5:$K$204,2,FALSE),"Référence inconnue"))</f>
        <v/>
      </c>
      <c r="E481" s="16"/>
      <c r="F481" s="16"/>
      <c r="G481" s="16"/>
      <c r="H481" s="17" t="str">
        <f t="shared" si="1"/>
        <v>0</v>
      </c>
      <c r="I481" s="17" t="str">
        <f t="shared" si="2"/>
        <v/>
      </c>
      <c r="J481" s="18" t="str">
        <f>IF(B481="","",IFERROR(G481*VLOOKUP(B481,Articles!$A$5:$K$204,8,FALSE),0))</f>
        <v/>
      </c>
      <c r="K481" s="16"/>
      <c r="L481" s="16"/>
      <c r="M481" s="17" t="str">
        <f t="shared" si="3"/>
        <v>À compléter</v>
      </c>
    </row>
    <row r="482" ht="15.75" customHeight="1">
      <c r="A482" s="15"/>
      <c r="B482" s="16"/>
      <c r="C482" s="16"/>
      <c r="D482" s="17" t="str">
        <f>IF(B482="","",IFERROR(VLOOKUP(B482,Articles!$A$5:$K$204,2,FALSE),"Référence inconnue"))</f>
        <v/>
      </c>
      <c r="E482" s="16"/>
      <c r="F482" s="16"/>
      <c r="G482" s="16"/>
      <c r="H482" s="17" t="str">
        <f t="shared" si="1"/>
        <v>0</v>
      </c>
      <c r="I482" s="17" t="str">
        <f t="shared" si="2"/>
        <v/>
      </c>
      <c r="J482" s="18" t="str">
        <f>IF(B482="","",IFERROR(G482*VLOOKUP(B482,Articles!$A$5:$K$204,8,FALSE),0))</f>
        <v/>
      </c>
      <c r="K482" s="16"/>
      <c r="L482" s="16"/>
      <c r="M482" s="17" t="str">
        <f t="shared" si="3"/>
        <v>À compléter</v>
      </c>
    </row>
    <row r="483" ht="15.75" customHeight="1">
      <c r="A483" s="15"/>
      <c r="B483" s="16"/>
      <c r="C483" s="16"/>
      <c r="D483" s="17" t="str">
        <f>IF(B483="","",IFERROR(VLOOKUP(B483,Articles!$A$5:$K$204,2,FALSE),"Référence inconnue"))</f>
        <v/>
      </c>
      <c r="E483" s="16"/>
      <c r="F483" s="16"/>
      <c r="G483" s="16"/>
      <c r="H483" s="17" t="str">
        <f t="shared" si="1"/>
        <v>0</v>
      </c>
      <c r="I483" s="17" t="str">
        <f t="shared" si="2"/>
        <v/>
      </c>
      <c r="J483" s="18" t="str">
        <f>IF(B483="","",IFERROR(G483*VLOOKUP(B483,Articles!$A$5:$K$204,8,FALSE),0))</f>
        <v/>
      </c>
      <c r="K483" s="16"/>
      <c r="L483" s="16"/>
      <c r="M483" s="17" t="str">
        <f t="shared" si="3"/>
        <v>À compléter</v>
      </c>
    </row>
    <row r="484" ht="15.75" customHeight="1">
      <c r="A484" s="15"/>
      <c r="B484" s="16"/>
      <c r="C484" s="16"/>
      <c r="D484" s="17" t="str">
        <f>IF(B484="","",IFERROR(VLOOKUP(B484,Articles!$A$5:$K$204,2,FALSE),"Référence inconnue"))</f>
        <v/>
      </c>
      <c r="E484" s="16"/>
      <c r="F484" s="16"/>
      <c r="G484" s="16"/>
      <c r="H484" s="17" t="str">
        <f t="shared" si="1"/>
        <v>0</v>
      </c>
      <c r="I484" s="17" t="str">
        <f t="shared" si="2"/>
        <v/>
      </c>
      <c r="J484" s="18" t="str">
        <f>IF(B484="","",IFERROR(G484*VLOOKUP(B484,Articles!$A$5:$K$204,8,FALSE),0))</f>
        <v/>
      </c>
      <c r="K484" s="16"/>
      <c r="L484" s="16"/>
      <c r="M484" s="17" t="str">
        <f t="shared" si="3"/>
        <v>À compléter</v>
      </c>
    </row>
    <row r="485" ht="15.75" customHeight="1">
      <c r="A485" s="15"/>
      <c r="B485" s="16"/>
      <c r="C485" s="16"/>
      <c r="D485" s="17" t="str">
        <f>IF(B485="","",IFERROR(VLOOKUP(B485,Articles!$A$5:$K$204,2,FALSE),"Référence inconnue"))</f>
        <v/>
      </c>
      <c r="E485" s="16"/>
      <c r="F485" s="16"/>
      <c r="G485" s="16"/>
      <c r="H485" s="17" t="str">
        <f t="shared" si="1"/>
        <v>0</v>
      </c>
      <c r="I485" s="17" t="str">
        <f t="shared" si="2"/>
        <v/>
      </c>
      <c r="J485" s="18" t="str">
        <f>IF(B485="","",IFERROR(G485*VLOOKUP(B485,Articles!$A$5:$K$204,8,FALSE),0))</f>
        <v/>
      </c>
      <c r="K485" s="16"/>
      <c r="L485" s="16"/>
      <c r="M485" s="17" t="str">
        <f t="shared" si="3"/>
        <v>À compléter</v>
      </c>
    </row>
    <row r="486" ht="15.75" customHeight="1">
      <c r="A486" s="15"/>
      <c r="B486" s="16"/>
      <c r="C486" s="16"/>
      <c r="D486" s="17" t="str">
        <f>IF(B486="","",IFERROR(VLOOKUP(B486,Articles!$A$5:$K$204,2,FALSE),"Référence inconnue"))</f>
        <v/>
      </c>
      <c r="E486" s="16"/>
      <c r="F486" s="16"/>
      <c r="G486" s="16"/>
      <c r="H486" s="17" t="str">
        <f t="shared" si="1"/>
        <v>0</v>
      </c>
      <c r="I486" s="17" t="str">
        <f t="shared" si="2"/>
        <v/>
      </c>
      <c r="J486" s="18" t="str">
        <f>IF(B486="","",IFERROR(G486*VLOOKUP(B486,Articles!$A$5:$K$204,8,FALSE),0))</f>
        <v/>
      </c>
      <c r="K486" s="16"/>
      <c r="L486" s="16"/>
      <c r="M486" s="17" t="str">
        <f t="shared" si="3"/>
        <v>À compléter</v>
      </c>
    </row>
    <row r="487" ht="15.75" customHeight="1">
      <c r="A487" s="15"/>
      <c r="B487" s="16"/>
      <c r="C487" s="16"/>
      <c r="D487" s="17" t="str">
        <f>IF(B487="","",IFERROR(VLOOKUP(B487,Articles!$A$5:$K$204,2,FALSE),"Référence inconnue"))</f>
        <v/>
      </c>
      <c r="E487" s="16"/>
      <c r="F487" s="16"/>
      <c r="G487" s="16"/>
      <c r="H487" s="17" t="str">
        <f t="shared" si="1"/>
        <v>0</v>
      </c>
      <c r="I487" s="17" t="str">
        <f t="shared" si="2"/>
        <v/>
      </c>
      <c r="J487" s="18" t="str">
        <f>IF(B487="","",IFERROR(G487*VLOOKUP(B487,Articles!$A$5:$K$204,8,FALSE),0))</f>
        <v/>
      </c>
      <c r="K487" s="16"/>
      <c r="L487" s="16"/>
      <c r="M487" s="17" t="str">
        <f t="shared" si="3"/>
        <v>À compléter</v>
      </c>
    </row>
    <row r="488" ht="15.75" customHeight="1">
      <c r="A488" s="15"/>
      <c r="B488" s="16"/>
      <c r="C488" s="16"/>
      <c r="D488" s="17" t="str">
        <f>IF(B488="","",IFERROR(VLOOKUP(B488,Articles!$A$5:$K$204,2,FALSE),"Référence inconnue"))</f>
        <v/>
      </c>
      <c r="E488" s="16"/>
      <c r="F488" s="16"/>
      <c r="G488" s="16"/>
      <c r="H488" s="17" t="str">
        <f t="shared" si="1"/>
        <v>0</v>
      </c>
      <c r="I488" s="17" t="str">
        <f t="shared" si="2"/>
        <v/>
      </c>
      <c r="J488" s="18" t="str">
        <f>IF(B488="","",IFERROR(G488*VLOOKUP(B488,Articles!$A$5:$K$204,8,FALSE),0))</f>
        <v/>
      </c>
      <c r="K488" s="16"/>
      <c r="L488" s="16"/>
      <c r="M488" s="17" t="str">
        <f t="shared" si="3"/>
        <v>À compléter</v>
      </c>
    </row>
    <row r="489" ht="15.75" customHeight="1">
      <c r="A489" s="15"/>
      <c r="B489" s="16"/>
      <c r="C489" s="16"/>
      <c r="D489" s="17" t="str">
        <f>IF(B489="","",IFERROR(VLOOKUP(B489,Articles!$A$5:$K$204,2,FALSE),"Référence inconnue"))</f>
        <v/>
      </c>
      <c r="E489" s="16"/>
      <c r="F489" s="16"/>
      <c r="G489" s="16"/>
      <c r="H489" s="17" t="str">
        <f t="shared" si="1"/>
        <v>0</v>
      </c>
      <c r="I489" s="17" t="str">
        <f t="shared" si="2"/>
        <v/>
      </c>
      <c r="J489" s="18" t="str">
        <f>IF(B489="","",IFERROR(G489*VLOOKUP(B489,Articles!$A$5:$K$204,8,FALSE),0))</f>
        <v/>
      </c>
      <c r="K489" s="16"/>
      <c r="L489" s="16"/>
      <c r="M489" s="17" t="str">
        <f t="shared" si="3"/>
        <v>À compléter</v>
      </c>
    </row>
    <row r="490" ht="15.75" customHeight="1">
      <c r="A490" s="15"/>
      <c r="B490" s="16"/>
      <c r="C490" s="16"/>
      <c r="D490" s="17" t="str">
        <f>IF(B490="","",IFERROR(VLOOKUP(B490,Articles!$A$5:$K$204,2,FALSE),"Référence inconnue"))</f>
        <v/>
      </c>
      <c r="E490" s="16"/>
      <c r="F490" s="16"/>
      <c r="G490" s="16"/>
      <c r="H490" s="17" t="str">
        <f t="shared" si="1"/>
        <v>0</v>
      </c>
      <c r="I490" s="17" t="str">
        <f t="shared" si="2"/>
        <v/>
      </c>
      <c r="J490" s="18" t="str">
        <f>IF(B490="","",IFERROR(G490*VLOOKUP(B490,Articles!$A$5:$K$204,8,FALSE),0))</f>
        <v/>
      </c>
      <c r="K490" s="16"/>
      <c r="L490" s="16"/>
      <c r="M490" s="17" t="str">
        <f t="shared" si="3"/>
        <v>À compléter</v>
      </c>
    </row>
    <row r="491" ht="15.75" customHeight="1">
      <c r="A491" s="15"/>
      <c r="B491" s="16"/>
      <c r="C491" s="16"/>
      <c r="D491" s="17" t="str">
        <f>IF(B491="","",IFERROR(VLOOKUP(B491,Articles!$A$5:$K$204,2,FALSE),"Référence inconnue"))</f>
        <v/>
      </c>
      <c r="E491" s="16"/>
      <c r="F491" s="16"/>
      <c r="G491" s="16"/>
      <c r="H491" s="17" t="str">
        <f t="shared" si="1"/>
        <v>0</v>
      </c>
      <c r="I491" s="17" t="str">
        <f t="shared" si="2"/>
        <v/>
      </c>
      <c r="J491" s="18" t="str">
        <f>IF(B491="","",IFERROR(G491*VLOOKUP(B491,Articles!$A$5:$K$204,8,FALSE),0))</f>
        <v/>
      </c>
      <c r="K491" s="16"/>
      <c r="L491" s="16"/>
      <c r="M491" s="17" t="str">
        <f t="shared" si="3"/>
        <v>À compléter</v>
      </c>
    </row>
    <row r="492" ht="15.75" customHeight="1">
      <c r="A492" s="15"/>
      <c r="B492" s="16"/>
      <c r="C492" s="16"/>
      <c r="D492" s="17" t="str">
        <f>IF(B492="","",IFERROR(VLOOKUP(B492,Articles!$A$5:$K$204,2,FALSE),"Référence inconnue"))</f>
        <v/>
      </c>
      <c r="E492" s="16"/>
      <c r="F492" s="16"/>
      <c r="G492" s="16"/>
      <c r="H492" s="17" t="str">
        <f t="shared" si="1"/>
        <v>0</v>
      </c>
      <c r="I492" s="17" t="str">
        <f t="shared" si="2"/>
        <v/>
      </c>
      <c r="J492" s="18" t="str">
        <f>IF(B492="","",IFERROR(G492*VLOOKUP(B492,Articles!$A$5:$K$204,8,FALSE),0))</f>
        <v/>
      </c>
      <c r="K492" s="16"/>
      <c r="L492" s="16"/>
      <c r="M492" s="17" t="str">
        <f t="shared" si="3"/>
        <v>À compléter</v>
      </c>
    </row>
    <row r="493" ht="15.75" customHeight="1">
      <c r="A493" s="15"/>
      <c r="B493" s="16"/>
      <c r="C493" s="16"/>
      <c r="D493" s="17" t="str">
        <f>IF(B493="","",IFERROR(VLOOKUP(B493,Articles!$A$5:$K$204,2,FALSE),"Référence inconnue"))</f>
        <v/>
      </c>
      <c r="E493" s="16"/>
      <c r="F493" s="16"/>
      <c r="G493" s="16"/>
      <c r="H493" s="17" t="str">
        <f t="shared" si="1"/>
        <v>0</v>
      </c>
      <c r="I493" s="17" t="str">
        <f t="shared" si="2"/>
        <v/>
      </c>
      <c r="J493" s="18" t="str">
        <f>IF(B493="","",IFERROR(G493*VLOOKUP(B493,Articles!$A$5:$K$204,8,FALSE),0))</f>
        <v/>
      </c>
      <c r="K493" s="16"/>
      <c r="L493" s="16"/>
      <c r="M493" s="17" t="str">
        <f t="shared" si="3"/>
        <v>À compléter</v>
      </c>
    </row>
    <row r="494" ht="15.75" customHeight="1">
      <c r="A494" s="15"/>
      <c r="B494" s="16"/>
      <c r="C494" s="16"/>
      <c r="D494" s="17" t="str">
        <f>IF(B494="","",IFERROR(VLOOKUP(B494,Articles!$A$5:$K$204,2,FALSE),"Référence inconnue"))</f>
        <v/>
      </c>
      <c r="E494" s="16"/>
      <c r="F494" s="16"/>
      <c r="G494" s="16"/>
      <c r="H494" s="17" t="str">
        <f t="shared" si="1"/>
        <v>0</v>
      </c>
      <c r="I494" s="17" t="str">
        <f t="shared" si="2"/>
        <v/>
      </c>
      <c r="J494" s="18" t="str">
        <f>IF(B494="","",IFERROR(G494*VLOOKUP(B494,Articles!$A$5:$K$204,8,FALSE),0))</f>
        <v/>
      </c>
      <c r="K494" s="16"/>
      <c r="L494" s="16"/>
      <c r="M494" s="17" t="str">
        <f t="shared" si="3"/>
        <v>À compléter</v>
      </c>
    </row>
    <row r="495" ht="15.75" customHeight="1">
      <c r="A495" s="15"/>
      <c r="B495" s="16"/>
      <c r="C495" s="16"/>
      <c r="D495" s="17" t="str">
        <f>IF(B495="","",IFERROR(VLOOKUP(B495,Articles!$A$5:$K$204,2,FALSE),"Référence inconnue"))</f>
        <v/>
      </c>
      <c r="E495" s="16"/>
      <c r="F495" s="16"/>
      <c r="G495" s="16"/>
      <c r="H495" s="17" t="str">
        <f t="shared" si="1"/>
        <v>0</v>
      </c>
      <c r="I495" s="17" t="str">
        <f t="shared" si="2"/>
        <v/>
      </c>
      <c r="J495" s="18" t="str">
        <f>IF(B495="","",IFERROR(G495*VLOOKUP(B495,Articles!$A$5:$K$204,8,FALSE),0))</f>
        <v/>
      </c>
      <c r="K495" s="16"/>
      <c r="L495" s="16"/>
      <c r="M495" s="17" t="str">
        <f t="shared" si="3"/>
        <v>À compléter</v>
      </c>
    </row>
    <row r="496" ht="15.75" customHeight="1">
      <c r="A496" s="15"/>
      <c r="B496" s="16"/>
      <c r="C496" s="16"/>
      <c r="D496" s="17" t="str">
        <f>IF(B496="","",IFERROR(VLOOKUP(B496,Articles!$A$5:$K$204,2,FALSE),"Référence inconnue"))</f>
        <v/>
      </c>
      <c r="E496" s="16"/>
      <c r="F496" s="16"/>
      <c r="G496" s="16"/>
      <c r="H496" s="17" t="str">
        <f t="shared" si="1"/>
        <v>0</v>
      </c>
      <c r="I496" s="17" t="str">
        <f t="shared" si="2"/>
        <v/>
      </c>
      <c r="J496" s="18" t="str">
        <f>IF(B496="","",IFERROR(G496*VLOOKUP(B496,Articles!$A$5:$K$204,8,FALSE),0))</f>
        <v/>
      </c>
      <c r="K496" s="16"/>
      <c r="L496" s="16"/>
      <c r="M496" s="17" t="str">
        <f t="shared" si="3"/>
        <v>À compléter</v>
      </c>
    </row>
    <row r="497" ht="15.75" customHeight="1">
      <c r="A497" s="15"/>
      <c r="B497" s="16"/>
      <c r="C497" s="16"/>
      <c r="D497" s="17" t="str">
        <f>IF(B497="","",IFERROR(VLOOKUP(B497,Articles!$A$5:$K$204,2,FALSE),"Référence inconnue"))</f>
        <v/>
      </c>
      <c r="E497" s="16"/>
      <c r="F497" s="16"/>
      <c r="G497" s="16"/>
      <c r="H497" s="17" t="str">
        <f t="shared" si="1"/>
        <v>0</v>
      </c>
      <c r="I497" s="17" t="str">
        <f t="shared" si="2"/>
        <v/>
      </c>
      <c r="J497" s="18" t="str">
        <f>IF(B497="","",IFERROR(G497*VLOOKUP(B497,Articles!$A$5:$K$204,8,FALSE),0))</f>
        <v/>
      </c>
      <c r="K497" s="16"/>
      <c r="L497" s="16"/>
      <c r="M497" s="17" t="str">
        <f t="shared" si="3"/>
        <v>À compléter</v>
      </c>
    </row>
    <row r="498" ht="15.75" customHeight="1">
      <c r="A498" s="15"/>
      <c r="B498" s="16"/>
      <c r="C498" s="16"/>
      <c r="D498" s="17" t="str">
        <f>IF(B498="","",IFERROR(VLOOKUP(B498,Articles!$A$5:$K$204,2,FALSE),"Référence inconnue"))</f>
        <v/>
      </c>
      <c r="E498" s="16"/>
      <c r="F498" s="16"/>
      <c r="G498" s="16"/>
      <c r="H498" s="17" t="str">
        <f t="shared" si="1"/>
        <v>0</v>
      </c>
      <c r="I498" s="17" t="str">
        <f t="shared" si="2"/>
        <v/>
      </c>
      <c r="J498" s="18" t="str">
        <f>IF(B498="","",IFERROR(G498*VLOOKUP(B498,Articles!$A$5:$K$204,8,FALSE),0))</f>
        <v/>
      </c>
      <c r="K498" s="16"/>
      <c r="L498" s="16"/>
      <c r="M498" s="17" t="str">
        <f t="shared" si="3"/>
        <v>À compléter</v>
      </c>
    </row>
    <row r="499" ht="15.75" customHeight="1">
      <c r="A499" s="15"/>
      <c r="B499" s="16"/>
      <c r="C499" s="16"/>
      <c r="D499" s="17" t="str">
        <f>IF(B499="","",IFERROR(VLOOKUP(B499,Articles!$A$5:$K$204,2,FALSE),"Référence inconnue"))</f>
        <v/>
      </c>
      <c r="E499" s="16"/>
      <c r="F499" s="16"/>
      <c r="G499" s="16"/>
      <c r="H499" s="17" t="str">
        <f t="shared" si="1"/>
        <v>0</v>
      </c>
      <c r="I499" s="17" t="str">
        <f t="shared" si="2"/>
        <v/>
      </c>
      <c r="J499" s="18" t="str">
        <f>IF(B499="","",IFERROR(G499*VLOOKUP(B499,Articles!$A$5:$K$204,8,FALSE),0))</f>
        <v/>
      </c>
      <c r="K499" s="16"/>
      <c r="L499" s="16"/>
      <c r="M499" s="17" t="str">
        <f t="shared" si="3"/>
        <v>À compléter</v>
      </c>
    </row>
    <row r="500" ht="15.75" customHeight="1">
      <c r="A500" s="15"/>
      <c r="B500" s="16"/>
      <c r="C500" s="16"/>
      <c r="D500" s="17" t="str">
        <f>IF(B500="","",IFERROR(VLOOKUP(B500,Articles!$A$5:$K$204,2,FALSE),"Référence inconnue"))</f>
        <v/>
      </c>
      <c r="E500" s="16"/>
      <c r="F500" s="16"/>
      <c r="G500" s="16"/>
      <c r="H500" s="17" t="str">
        <f t="shared" si="1"/>
        <v>0</v>
      </c>
      <c r="I500" s="17" t="str">
        <f t="shared" si="2"/>
        <v/>
      </c>
      <c r="J500" s="18" t="str">
        <f>IF(B500="","",IFERROR(G500*VLOOKUP(B500,Articles!$A$5:$K$204,8,FALSE),0))</f>
        <v/>
      </c>
      <c r="K500" s="16"/>
      <c r="L500" s="16"/>
      <c r="M500" s="17" t="str">
        <f t="shared" si="3"/>
        <v>À compléter</v>
      </c>
    </row>
    <row r="501" ht="15.75" customHeight="1">
      <c r="A501" s="15"/>
      <c r="B501" s="16"/>
      <c r="C501" s="16"/>
      <c r="D501" s="17" t="str">
        <f>IF(B501="","",IFERROR(VLOOKUP(B501,Articles!$A$5:$K$204,2,FALSE),"Référence inconnue"))</f>
        <v/>
      </c>
      <c r="E501" s="16"/>
      <c r="F501" s="16"/>
      <c r="G501" s="16"/>
      <c r="H501" s="17" t="str">
        <f t="shared" si="1"/>
        <v>0</v>
      </c>
      <c r="I501" s="17" t="str">
        <f t="shared" si="2"/>
        <v/>
      </c>
      <c r="J501" s="18" t="str">
        <f>IF(B501="","",IFERROR(G501*VLOOKUP(B501,Articles!$A$5:$K$204,8,FALSE),0))</f>
        <v/>
      </c>
      <c r="K501" s="16"/>
      <c r="L501" s="16"/>
      <c r="M501" s="17" t="str">
        <f t="shared" si="3"/>
        <v>À compléter</v>
      </c>
    </row>
    <row r="502" ht="15.75" customHeight="1">
      <c r="A502" s="15"/>
      <c r="B502" s="16"/>
      <c r="C502" s="16"/>
      <c r="D502" s="17" t="str">
        <f>IF(B502="","",IFERROR(VLOOKUP(B502,Articles!$A$5:$K$204,2,FALSE),"Référence inconnue"))</f>
        <v/>
      </c>
      <c r="E502" s="16"/>
      <c r="F502" s="16"/>
      <c r="G502" s="16"/>
      <c r="H502" s="17" t="str">
        <f t="shared" si="1"/>
        <v>0</v>
      </c>
      <c r="I502" s="17" t="str">
        <f t="shared" si="2"/>
        <v/>
      </c>
      <c r="J502" s="18" t="str">
        <f>IF(B502="","",IFERROR(G502*VLOOKUP(B502,Articles!$A$5:$K$204,8,FALSE),0))</f>
        <v/>
      </c>
      <c r="K502" s="16"/>
      <c r="L502" s="16"/>
      <c r="M502" s="17" t="str">
        <f t="shared" si="3"/>
        <v>À compléter</v>
      </c>
    </row>
    <row r="503" ht="15.75" customHeight="1">
      <c r="A503" s="15"/>
      <c r="B503" s="16"/>
      <c r="C503" s="16"/>
      <c r="D503" s="17" t="str">
        <f>IF(B503="","",IFERROR(VLOOKUP(B503,Articles!$A$5:$K$204,2,FALSE),"Référence inconnue"))</f>
        <v/>
      </c>
      <c r="E503" s="16"/>
      <c r="F503" s="16"/>
      <c r="G503" s="16"/>
      <c r="H503" s="17" t="str">
        <f t="shared" si="1"/>
        <v>0</v>
      </c>
      <c r="I503" s="17" t="str">
        <f t="shared" si="2"/>
        <v/>
      </c>
      <c r="J503" s="18" t="str">
        <f>IF(B503="","",IFERROR(G503*VLOOKUP(B503,Articles!$A$5:$K$204,8,FALSE),0))</f>
        <v/>
      </c>
      <c r="K503" s="16"/>
      <c r="L503" s="16"/>
      <c r="M503" s="17" t="str">
        <f t="shared" si="3"/>
        <v>À compléter</v>
      </c>
    </row>
    <row r="504" ht="15.75" customHeight="1">
      <c r="A504" s="15"/>
      <c r="B504" s="16"/>
      <c r="C504" s="16"/>
      <c r="D504" s="17" t="str">
        <f>IF(B504="","",IFERROR(VLOOKUP(B504,Articles!$A$5:$K$204,2,FALSE),"Référence inconnue"))</f>
        <v/>
      </c>
      <c r="E504" s="16"/>
      <c r="F504" s="16"/>
      <c r="G504" s="16"/>
      <c r="H504" s="17" t="str">
        <f t="shared" si="1"/>
        <v>0</v>
      </c>
      <c r="I504" s="17" t="str">
        <f t="shared" si="2"/>
        <v/>
      </c>
      <c r="J504" s="18" t="str">
        <f>IF(B504="","",IFERROR(G504*VLOOKUP(B504,Articles!$A$5:$K$204,8,FALSE),0))</f>
        <v/>
      </c>
      <c r="K504" s="16"/>
      <c r="L504" s="16"/>
      <c r="M504" s="17" t="str">
        <f t="shared" si="3"/>
        <v>À compléter</v>
      </c>
    </row>
  </sheetData>
  <mergeCells count="2">
    <mergeCell ref="A2:M2"/>
    <mergeCell ref="A1:M1"/>
  </mergeCells>
  <conditionalFormatting sqref="M5:M504">
    <cfRule type="expression" dxfId="5" priority="1">
      <formula>$M5&lt;&gt;"OK"</formula>
    </cfRule>
  </conditionalFormatting>
  <dataValidations>
    <dataValidation type="list" allowBlank="1" sqref="E5:E504">
      <formula1>'Paramètres'!$D$4:$D$103</formula1>
    </dataValidation>
    <dataValidation type="list" allowBlank="1" sqref="F5:F504">
      <formula1>'Paramètres'!$A$4:$A$103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32.0"/>
    <col customWidth="1" min="3" max="3" width="17.0"/>
    <col customWidth="1" min="4" max="4" width="10.0"/>
    <col customWidth="1" min="5" max="5" width="19.0"/>
    <col customWidth="1" min="6" max="6" width="13.0"/>
    <col customWidth="1" min="7" max="8" width="12.0"/>
    <col customWidth="1" min="9" max="9" width="17.0"/>
    <col customWidth="1" min="10" max="10" width="13.0"/>
    <col customWidth="1" min="11" max="11" width="10.0"/>
    <col customWidth="1" min="12" max="12" width="12.0"/>
    <col customWidth="1" min="13" max="13" width="15.0"/>
    <col customWidth="1" min="14" max="14" width="14.0"/>
  </cols>
  <sheetData>
    <row r="1">
      <c r="A1" s="1" t="s">
        <v>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4">
      <c r="A4" s="12" t="s">
        <v>6</v>
      </c>
      <c r="B4" s="12" t="s">
        <v>7</v>
      </c>
      <c r="C4" s="12" t="s">
        <v>54</v>
      </c>
      <c r="D4" s="12" t="s">
        <v>55</v>
      </c>
      <c r="E4" s="12" t="s">
        <v>56</v>
      </c>
      <c r="F4" s="12" t="s">
        <v>57</v>
      </c>
      <c r="G4" s="12" t="s">
        <v>12</v>
      </c>
      <c r="H4" s="12" t="s">
        <v>13</v>
      </c>
      <c r="I4" s="12" t="s">
        <v>90</v>
      </c>
      <c r="J4" s="12" t="s">
        <v>8</v>
      </c>
      <c r="K4" s="12" t="s">
        <v>9</v>
      </c>
      <c r="L4" s="12" t="s">
        <v>91</v>
      </c>
      <c r="M4" s="12" t="s">
        <v>10</v>
      </c>
      <c r="N4" s="12" t="s">
        <v>3</v>
      </c>
    </row>
    <row r="5">
      <c r="A5" s="19" t="str">
        <f>Articles!A5</f>
        <v>VIS-6X60</v>
      </c>
      <c r="B5" s="19" t="str">
        <f>Articles!B5</f>
        <v>Vis béton 6x60</v>
      </c>
      <c r="C5" s="19" t="str">
        <f>Articles!C5</f>
        <v>Consommable</v>
      </c>
      <c r="D5" s="19" t="str">
        <f>Articles!D5</f>
        <v>boîte</v>
      </c>
      <c r="E5" s="19" t="str">
        <f>Articles!E5</f>
        <v>Dépôt principal</v>
      </c>
      <c r="F5" s="19" t="str">
        <f>Articles!F5</f>
        <v>12</v>
      </c>
      <c r="G5" s="17" t="str">
        <f>SUMIFS(Mouvements!$G:$G,Mouvements!$B:$B,A5,Mouvements!$F:$F,"Départ")</f>
        <v>0</v>
      </c>
      <c r="H5" s="17" t="str">
        <f>SUMIFS(Mouvements!$G:$G,Mouvements!$B:$B,A5,Mouvements!$F:$F,"Retour")</f>
        <v>0</v>
      </c>
      <c r="I5" s="17" t="str">
        <f>SUMIFS(Mouvements!$I:$I,Mouvements!$B:$B,A5,Mouvements!$F:$F,"Entrée stock")+SUMIFS(Mouvements!$I:$I,Mouvements!$B:$B,A5,Mouvements!$F:$F,"Correction +")+SUMIFS(Mouvements!$I:$I,Mouvements!$B:$B,A5,Mouvements!$F:$F,"Correction -")</f>
        <v>0</v>
      </c>
      <c r="J5" s="17" t="str">
        <f t="shared" ref="J5:J204" si="1">IF(A5="","",F5-G5+H5+I5)</f>
        <v>12</v>
      </c>
      <c r="K5" s="19" t="str">
        <f>Articles!G5</f>
        <v>4</v>
      </c>
      <c r="L5" s="17" t="str">
        <f t="shared" ref="L5:L204" si="2">IF(A5="","",J5-K5)</f>
        <v>8</v>
      </c>
      <c r="M5" s="17" t="str">
        <f t="shared" ref="M5:M204" si="3">IF(A5="","",IF(J5&lt;0,"Stock négatif",IF(J5&lt;K5,"À commander","OK")))</f>
        <v>OK</v>
      </c>
      <c r="N5" s="18" t="str">
        <f>IF(A5="","",J5*Articles!H5)</f>
        <v>102.00 €</v>
      </c>
    </row>
    <row r="6">
      <c r="A6" s="19" t="str">
        <f>Articles!A6</f>
        <v>PERF-001</v>
      </c>
      <c r="B6" s="19" t="str">
        <f>Articles!B6</f>
        <v>Perforateur SDS</v>
      </c>
      <c r="C6" s="19" t="str">
        <f>Articles!C6</f>
        <v>Outillage</v>
      </c>
      <c r="D6" s="19" t="str">
        <f>Articles!D6</f>
        <v>u</v>
      </c>
      <c r="E6" s="19" t="str">
        <f>Articles!E6</f>
        <v>Atelier</v>
      </c>
      <c r="F6" s="19" t="str">
        <f>Articles!F6</f>
        <v>3</v>
      </c>
      <c r="G6" s="17" t="str">
        <f>SUMIFS(Mouvements!$G:$G,Mouvements!$B:$B,A6,Mouvements!$F:$F,"Départ")</f>
        <v>0</v>
      </c>
      <c r="H6" s="17" t="str">
        <f>SUMIFS(Mouvements!$G:$G,Mouvements!$B:$B,A6,Mouvements!$F:$F,"Retour")</f>
        <v>0</v>
      </c>
      <c r="I6" s="17" t="str">
        <f>SUMIFS(Mouvements!$I:$I,Mouvements!$B:$B,A6,Mouvements!$F:$F,"Entrée stock")+SUMIFS(Mouvements!$I:$I,Mouvements!$B:$B,A6,Mouvements!$F:$F,"Correction +")+SUMIFS(Mouvements!$I:$I,Mouvements!$B:$B,A6,Mouvements!$F:$F,"Correction -")</f>
        <v>0</v>
      </c>
      <c r="J6" s="17" t="str">
        <f t="shared" si="1"/>
        <v>3</v>
      </c>
      <c r="K6" s="19" t="str">
        <f>Articles!G6</f>
        <v>1</v>
      </c>
      <c r="L6" s="17" t="str">
        <f t="shared" si="2"/>
        <v>2</v>
      </c>
      <c r="M6" s="17" t="str">
        <f t="shared" si="3"/>
        <v>OK</v>
      </c>
      <c r="N6" s="18" t="str">
        <f>IF(A6="","",J6*Articles!H6)</f>
        <v>540.00 €</v>
      </c>
    </row>
    <row r="7">
      <c r="A7" s="19" t="str">
        <f>Articles!A7</f>
        <v>GANT-L</v>
      </c>
      <c r="B7" s="19" t="str">
        <f>Articles!B7</f>
        <v>Gants taille L</v>
      </c>
      <c r="C7" s="19" t="str">
        <f>Articles!C7</f>
        <v>EPI</v>
      </c>
      <c r="D7" s="19" t="str">
        <f>Articles!D7</f>
        <v>paire</v>
      </c>
      <c r="E7" s="19" t="str">
        <f>Articles!E7</f>
        <v>Dépôt principal</v>
      </c>
      <c r="F7" s="19" t="str">
        <f>Articles!F7</f>
        <v>50</v>
      </c>
      <c r="G7" s="17" t="str">
        <f>SUMIFS(Mouvements!$G:$G,Mouvements!$B:$B,A7,Mouvements!$F:$F,"Départ")</f>
        <v>0</v>
      </c>
      <c r="H7" s="17" t="str">
        <f>SUMIFS(Mouvements!$G:$G,Mouvements!$B:$B,A7,Mouvements!$F:$F,"Retour")</f>
        <v>0</v>
      </c>
      <c r="I7" s="17" t="str">
        <f>SUMIFS(Mouvements!$I:$I,Mouvements!$B:$B,A7,Mouvements!$F:$F,"Entrée stock")+SUMIFS(Mouvements!$I:$I,Mouvements!$B:$B,A7,Mouvements!$F:$F,"Correction +")+SUMIFS(Mouvements!$I:$I,Mouvements!$B:$B,A7,Mouvements!$F:$F,"Correction -")</f>
        <v>0</v>
      </c>
      <c r="J7" s="17" t="str">
        <f t="shared" si="1"/>
        <v>50</v>
      </c>
      <c r="K7" s="19" t="str">
        <f>Articles!G7</f>
        <v>15</v>
      </c>
      <c r="L7" s="17" t="str">
        <f t="shared" si="2"/>
        <v>35</v>
      </c>
      <c r="M7" s="17" t="str">
        <f t="shared" si="3"/>
        <v>OK</v>
      </c>
      <c r="N7" s="18" t="str">
        <f>IF(A7="","",J7*Articles!H7)</f>
        <v>110.00 €</v>
      </c>
    </row>
    <row r="8">
      <c r="A8" s="19" t="str">
        <f>Articles!A8</f>
        <v>12345</v>
      </c>
      <c r="B8" s="19" t="str">
        <f>Articles!B8</f>
        <v>Quentin</v>
      </c>
      <c r="C8" s="19" t="str">
        <f>Articles!C8</f>
        <v>Consommable</v>
      </c>
      <c r="D8" s="19" t="str">
        <f>Articles!D8</f>
        <v>u</v>
      </c>
      <c r="E8" s="19" t="str">
        <f>Articles!E8</f>
        <v>Dépôt principal</v>
      </c>
      <c r="F8" s="19" t="str">
        <f>Articles!F8</f>
        <v>10</v>
      </c>
      <c r="G8" s="17" t="str">
        <f>SUMIFS(Mouvements!$G:$G,Mouvements!$B:$B,A8,Mouvements!$F:$F,"Départ")</f>
        <v>100</v>
      </c>
      <c r="H8" s="17" t="str">
        <f>SUMIFS(Mouvements!$G:$G,Mouvements!$B:$B,A8,Mouvements!$F:$F,"Retour")</f>
        <v>0</v>
      </c>
      <c r="I8" s="17" t="str">
        <f>SUMIFS(Mouvements!$I:$I,Mouvements!$B:$B,A8,Mouvements!$F:$F,"Entrée stock")+SUMIFS(Mouvements!$I:$I,Mouvements!$B:$B,A8,Mouvements!$F:$F,"Correction +")+SUMIFS(Mouvements!$I:$I,Mouvements!$B:$B,A8,Mouvements!$F:$F,"Correction -")</f>
        <v>100</v>
      </c>
      <c r="J8" s="17" t="str">
        <f t="shared" si="1"/>
        <v>10</v>
      </c>
      <c r="K8" s="19" t="str">
        <f>Articles!G8</f>
        <v>10</v>
      </c>
      <c r="L8" s="17" t="str">
        <f t="shared" si="2"/>
        <v>0</v>
      </c>
      <c r="M8" s="17" t="str">
        <f t="shared" si="3"/>
        <v>OK</v>
      </c>
      <c r="N8" s="18" t="str">
        <f>IF(A8="","",J8*Articles!H8)</f>
        <v>100.00 €</v>
      </c>
    </row>
    <row r="9">
      <c r="A9" s="19" t="str">
        <f>Articles!A9</f>
        <v>4969272</v>
      </c>
      <c r="B9" s="19" t="str">
        <f>Articles!B9</f>
        <v>teben </v>
      </c>
      <c r="C9" s="19" t="str">
        <f>Articles!C9</f>
        <v>Autre</v>
      </c>
      <c r="D9" s="19" t="str">
        <f>Articles!D9</f>
        <v>u</v>
      </c>
      <c r="E9" s="19" t="str">
        <f>Articles!E9</f>
        <v>Dépôt principal</v>
      </c>
      <c r="F9" s="19" t="str">
        <f>Articles!F9</f>
        <v>5</v>
      </c>
      <c r="G9" s="17" t="str">
        <f>SUMIFS(Mouvements!$G:$G,Mouvements!$B:$B,A9,Mouvements!$F:$F,"Départ")</f>
        <v>4</v>
      </c>
      <c r="H9" s="17" t="str">
        <f>SUMIFS(Mouvements!$G:$G,Mouvements!$B:$B,A9,Mouvements!$F:$F,"Retour")</f>
        <v>0</v>
      </c>
      <c r="I9" s="17" t="str">
        <f>SUMIFS(Mouvements!$I:$I,Mouvements!$B:$B,A9,Mouvements!$F:$F,"Entrée stock")+SUMIFS(Mouvements!$I:$I,Mouvements!$B:$B,A9,Mouvements!$F:$F,"Correction +")+SUMIFS(Mouvements!$I:$I,Mouvements!$B:$B,A9,Mouvements!$F:$F,"Correction -")</f>
        <v>0</v>
      </c>
      <c r="J9" s="17" t="str">
        <f t="shared" si="1"/>
        <v>1</v>
      </c>
      <c r="K9" s="19" t="str">
        <f>Articles!G9</f>
        <v>2</v>
      </c>
      <c r="L9" s="17" t="str">
        <f t="shared" si="2"/>
        <v>-1</v>
      </c>
      <c r="M9" s="17" t="str">
        <f t="shared" si="3"/>
        <v>À commander</v>
      </c>
      <c r="N9" s="18" t="str">
        <f>IF(A9="","",J9*Articles!H9)</f>
        <v>55.00 €</v>
      </c>
    </row>
    <row r="10">
      <c r="A10" s="19" t="str">
        <f>Articles!A10</f>
        <v/>
      </c>
      <c r="B10" s="19" t="str">
        <f>Articles!B10</f>
        <v/>
      </c>
      <c r="C10" s="19" t="str">
        <f>Articles!C10</f>
        <v/>
      </c>
      <c r="D10" s="19" t="str">
        <f>Articles!D10</f>
        <v/>
      </c>
      <c r="E10" s="19" t="str">
        <f>Articles!E10</f>
        <v/>
      </c>
      <c r="F10" s="19" t="str">
        <f>Articles!F10</f>
        <v/>
      </c>
      <c r="G10" s="17" t="str">
        <f>SUMIFS(Mouvements!$G:$G,Mouvements!$B:$B,A10,Mouvements!$F:$F,"Départ")</f>
        <v>0</v>
      </c>
      <c r="H10" s="17" t="str">
        <f>SUMIFS(Mouvements!$G:$G,Mouvements!$B:$B,A10,Mouvements!$F:$F,"Retour")</f>
        <v>0</v>
      </c>
      <c r="I10" s="17" t="str">
        <f>SUMIFS(Mouvements!$I:$I,Mouvements!$B:$B,A10,Mouvements!$F:$F,"Entrée stock")+SUMIFS(Mouvements!$I:$I,Mouvements!$B:$B,A10,Mouvements!$F:$F,"Correction +")+SUMIFS(Mouvements!$I:$I,Mouvements!$B:$B,A10,Mouvements!$F:$F,"Correction -")</f>
        <v>0</v>
      </c>
      <c r="J10" s="17" t="str">
        <f t="shared" si="1"/>
        <v/>
      </c>
      <c r="K10" s="19" t="str">
        <f>Articles!G10</f>
        <v/>
      </c>
      <c r="L10" s="17" t="str">
        <f t="shared" si="2"/>
        <v/>
      </c>
      <c r="M10" s="17" t="str">
        <f t="shared" si="3"/>
        <v/>
      </c>
      <c r="N10" s="18" t="str">
        <f>IF(A10="","",J10*Articles!H10)</f>
        <v/>
      </c>
    </row>
    <row r="11">
      <c r="A11" s="19" t="str">
        <f>Articles!A11</f>
        <v/>
      </c>
      <c r="B11" s="19" t="str">
        <f>Articles!B11</f>
        <v/>
      </c>
      <c r="C11" s="19" t="str">
        <f>Articles!C11</f>
        <v/>
      </c>
      <c r="D11" s="19" t="str">
        <f>Articles!D11</f>
        <v/>
      </c>
      <c r="E11" s="19" t="str">
        <f>Articles!E11</f>
        <v/>
      </c>
      <c r="F11" s="19" t="str">
        <f>Articles!F11</f>
        <v/>
      </c>
      <c r="G11" s="17" t="str">
        <f>SUMIFS(Mouvements!$G:$G,Mouvements!$B:$B,A11,Mouvements!$F:$F,"Départ")</f>
        <v>0</v>
      </c>
      <c r="H11" s="17" t="str">
        <f>SUMIFS(Mouvements!$G:$G,Mouvements!$B:$B,A11,Mouvements!$F:$F,"Retour")</f>
        <v>0</v>
      </c>
      <c r="I11" s="17" t="str">
        <f>SUMIFS(Mouvements!$I:$I,Mouvements!$B:$B,A11,Mouvements!$F:$F,"Entrée stock")+SUMIFS(Mouvements!$I:$I,Mouvements!$B:$B,A11,Mouvements!$F:$F,"Correction +")+SUMIFS(Mouvements!$I:$I,Mouvements!$B:$B,A11,Mouvements!$F:$F,"Correction -")</f>
        <v>0</v>
      </c>
      <c r="J11" s="17" t="str">
        <f t="shared" si="1"/>
        <v/>
      </c>
      <c r="K11" s="19" t="str">
        <f>Articles!G11</f>
        <v/>
      </c>
      <c r="L11" s="17" t="str">
        <f t="shared" si="2"/>
        <v/>
      </c>
      <c r="M11" s="17" t="str">
        <f t="shared" si="3"/>
        <v/>
      </c>
      <c r="N11" s="18" t="str">
        <f>IF(A11="","",J11*Articles!H11)</f>
        <v/>
      </c>
    </row>
    <row r="12">
      <c r="A12" s="19" t="str">
        <f>Articles!A12</f>
        <v/>
      </c>
      <c r="B12" s="19" t="str">
        <f>Articles!B12</f>
        <v/>
      </c>
      <c r="C12" s="19" t="str">
        <f>Articles!C12</f>
        <v/>
      </c>
      <c r="D12" s="19" t="str">
        <f>Articles!D12</f>
        <v/>
      </c>
      <c r="E12" s="19" t="str">
        <f>Articles!E12</f>
        <v/>
      </c>
      <c r="F12" s="19" t="str">
        <f>Articles!F12</f>
        <v/>
      </c>
      <c r="G12" s="17" t="str">
        <f>SUMIFS(Mouvements!$G:$G,Mouvements!$B:$B,A12,Mouvements!$F:$F,"Départ")</f>
        <v>0</v>
      </c>
      <c r="H12" s="17" t="str">
        <f>SUMIFS(Mouvements!$G:$G,Mouvements!$B:$B,A12,Mouvements!$F:$F,"Retour")</f>
        <v>0</v>
      </c>
      <c r="I12" s="17" t="str">
        <f>SUMIFS(Mouvements!$I:$I,Mouvements!$B:$B,A12,Mouvements!$F:$F,"Entrée stock")+SUMIFS(Mouvements!$I:$I,Mouvements!$B:$B,A12,Mouvements!$F:$F,"Correction +")+SUMIFS(Mouvements!$I:$I,Mouvements!$B:$B,A12,Mouvements!$F:$F,"Correction -")</f>
        <v>0</v>
      </c>
      <c r="J12" s="17" t="str">
        <f t="shared" si="1"/>
        <v/>
      </c>
      <c r="K12" s="19" t="str">
        <f>Articles!G12</f>
        <v/>
      </c>
      <c r="L12" s="17" t="str">
        <f t="shared" si="2"/>
        <v/>
      </c>
      <c r="M12" s="17" t="str">
        <f t="shared" si="3"/>
        <v/>
      </c>
      <c r="N12" s="18" t="str">
        <f>IF(A12="","",J12*Articles!H12)</f>
        <v/>
      </c>
    </row>
    <row r="13">
      <c r="A13" s="19" t="str">
        <f>Articles!A13</f>
        <v/>
      </c>
      <c r="B13" s="19" t="str">
        <f>Articles!B13</f>
        <v/>
      </c>
      <c r="C13" s="19" t="str">
        <f>Articles!C13</f>
        <v/>
      </c>
      <c r="D13" s="19" t="str">
        <f>Articles!D13</f>
        <v/>
      </c>
      <c r="E13" s="19" t="str">
        <f>Articles!E13</f>
        <v/>
      </c>
      <c r="F13" s="19" t="str">
        <f>Articles!F13</f>
        <v/>
      </c>
      <c r="G13" s="17" t="str">
        <f>SUMIFS(Mouvements!$G:$G,Mouvements!$B:$B,A13,Mouvements!$F:$F,"Départ")</f>
        <v>0</v>
      </c>
      <c r="H13" s="17" t="str">
        <f>SUMIFS(Mouvements!$G:$G,Mouvements!$B:$B,A13,Mouvements!$F:$F,"Retour")</f>
        <v>0</v>
      </c>
      <c r="I13" s="17" t="str">
        <f>SUMIFS(Mouvements!$I:$I,Mouvements!$B:$B,A13,Mouvements!$F:$F,"Entrée stock")+SUMIFS(Mouvements!$I:$I,Mouvements!$B:$B,A13,Mouvements!$F:$F,"Correction +")+SUMIFS(Mouvements!$I:$I,Mouvements!$B:$B,A13,Mouvements!$F:$F,"Correction -")</f>
        <v>0</v>
      </c>
      <c r="J13" s="17" t="str">
        <f t="shared" si="1"/>
        <v/>
      </c>
      <c r="K13" s="19" t="str">
        <f>Articles!G13</f>
        <v/>
      </c>
      <c r="L13" s="17" t="str">
        <f t="shared" si="2"/>
        <v/>
      </c>
      <c r="M13" s="17" t="str">
        <f t="shared" si="3"/>
        <v/>
      </c>
      <c r="N13" s="18" t="str">
        <f>IF(A13="","",J13*Articles!H13)</f>
        <v/>
      </c>
    </row>
    <row r="14">
      <c r="A14" s="19" t="str">
        <f>Articles!A14</f>
        <v/>
      </c>
      <c r="B14" s="19" t="str">
        <f>Articles!B14</f>
        <v/>
      </c>
      <c r="C14" s="19" t="str">
        <f>Articles!C14</f>
        <v/>
      </c>
      <c r="D14" s="19" t="str">
        <f>Articles!D14</f>
        <v/>
      </c>
      <c r="E14" s="19" t="str">
        <f>Articles!E14</f>
        <v/>
      </c>
      <c r="F14" s="19" t="str">
        <f>Articles!F14</f>
        <v/>
      </c>
      <c r="G14" s="17" t="str">
        <f>SUMIFS(Mouvements!$G:$G,Mouvements!$B:$B,A14,Mouvements!$F:$F,"Départ")</f>
        <v>0</v>
      </c>
      <c r="H14" s="17" t="str">
        <f>SUMIFS(Mouvements!$G:$G,Mouvements!$B:$B,A14,Mouvements!$F:$F,"Retour")</f>
        <v>0</v>
      </c>
      <c r="I14" s="17" t="str">
        <f>SUMIFS(Mouvements!$I:$I,Mouvements!$B:$B,A14,Mouvements!$F:$F,"Entrée stock")+SUMIFS(Mouvements!$I:$I,Mouvements!$B:$B,A14,Mouvements!$F:$F,"Correction +")+SUMIFS(Mouvements!$I:$I,Mouvements!$B:$B,A14,Mouvements!$F:$F,"Correction -")</f>
        <v>0</v>
      </c>
      <c r="J14" s="17" t="str">
        <f t="shared" si="1"/>
        <v/>
      </c>
      <c r="K14" s="19" t="str">
        <f>Articles!G14</f>
        <v/>
      </c>
      <c r="L14" s="17" t="str">
        <f t="shared" si="2"/>
        <v/>
      </c>
      <c r="M14" s="17" t="str">
        <f t="shared" si="3"/>
        <v/>
      </c>
      <c r="N14" s="18" t="str">
        <f>IF(A14="","",J14*Articles!H14)</f>
        <v/>
      </c>
    </row>
    <row r="15">
      <c r="A15" s="19" t="str">
        <f>Articles!A15</f>
        <v/>
      </c>
      <c r="B15" s="19" t="str">
        <f>Articles!B15</f>
        <v/>
      </c>
      <c r="C15" s="19" t="str">
        <f>Articles!C15</f>
        <v/>
      </c>
      <c r="D15" s="19" t="str">
        <f>Articles!D15</f>
        <v/>
      </c>
      <c r="E15" s="19" t="str">
        <f>Articles!E15</f>
        <v/>
      </c>
      <c r="F15" s="19" t="str">
        <f>Articles!F15</f>
        <v/>
      </c>
      <c r="G15" s="17" t="str">
        <f>SUMIFS(Mouvements!$G:$G,Mouvements!$B:$B,A15,Mouvements!$F:$F,"Départ")</f>
        <v>0</v>
      </c>
      <c r="H15" s="17" t="str">
        <f>SUMIFS(Mouvements!$G:$G,Mouvements!$B:$B,A15,Mouvements!$F:$F,"Retour")</f>
        <v>0</v>
      </c>
      <c r="I15" s="17" t="str">
        <f>SUMIFS(Mouvements!$I:$I,Mouvements!$B:$B,A15,Mouvements!$F:$F,"Entrée stock")+SUMIFS(Mouvements!$I:$I,Mouvements!$B:$B,A15,Mouvements!$F:$F,"Correction +")+SUMIFS(Mouvements!$I:$I,Mouvements!$B:$B,A15,Mouvements!$F:$F,"Correction -")</f>
        <v>0</v>
      </c>
      <c r="J15" s="17" t="str">
        <f t="shared" si="1"/>
        <v/>
      </c>
      <c r="K15" s="19" t="str">
        <f>Articles!G15</f>
        <v/>
      </c>
      <c r="L15" s="17" t="str">
        <f t="shared" si="2"/>
        <v/>
      </c>
      <c r="M15" s="17" t="str">
        <f t="shared" si="3"/>
        <v/>
      </c>
      <c r="N15" s="18" t="str">
        <f>IF(A15="","",J15*Articles!H15)</f>
        <v/>
      </c>
    </row>
    <row r="16">
      <c r="A16" s="19" t="str">
        <f>Articles!A16</f>
        <v/>
      </c>
      <c r="B16" s="19" t="str">
        <f>Articles!B16</f>
        <v/>
      </c>
      <c r="C16" s="19" t="str">
        <f>Articles!C16</f>
        <v/>
      </c>
      <c r="D16" s="19" t="str">
        <f>Articles!D16</f>
        <v/>
      </c>
      <c r="E16" s="19" t="str">
        <f>Articles!E16</f>
        <v/>
      </c>
      <c r="F16" s="19" t="str">
        <f>Articles!F16</f>
        <v/>
      </c>
      <c r="G16" s="17" t="str">
        <f>SUMIFS(Mouvements!$G:$G,Mouvements!$B:$B,A16,Mouvements!$F:$F,"Départ")</f>
        <v>0</v>
      </c>
      <c r="H16" s="17" t="str">
        <f>SUMIFS(Mouvements!$G:$G,Mouvements!$B:$B,A16,Mouvements!$F:$F,"Retour")</f>
        <v>0</v>
      </c>
      <c r="I16" s="17" t="str">
        <f>SUMIFS(Mouvements!$I:$I,Mouvements!$B:$B,A16,Mouvements!$F:$F,"Entrée stock")+SUMIFS(Mouvements!$I:$I,Mouvements!$B:$B,A16,Mouvements!$F:$F,"Correction +")+SUMIFS(Mouvements!$I:$I,Mouvements!$B:$B,A16,Mouvements!$F:$F,"Correction -")</f>
        <v>0</v>
      </c>
      <c r="J16" s="17" t="str">
        <f t="shared" si="1"/>
        <v/>
      </c>
      <c r="K16" s="19" t="str">
        <f>Articles!G16</f>
        <v/>
      </c>
      <c r="L16" s="17" t="str">
        <f t="shared" si="2"/>
        <v/>
      </c>
      <c r="M16" s="17" t="str">
        <f t="shared" si="3"/>
        <v/>
      </c>
      <c r="N16" s="18" t="str">
        <f>IF(A16="","",J16*Articles!H16)</f>
        <v/>
      </c>
    </row>
    <row r="17">
      <c r="A17" s="19" t="str">
        <f>Articles!A17</f>
        <v/>
      </c>
      <c r="B17" s="19" t="str">
        <f>Articles!B17</f>
        <v/>
      </c>
      <c r="C17" s="19" t="str">
        <f>Articles!C17</f>
        <v/>
      </c>
      <c r="D17" s="19" t="str">
        <f>Articles!D17</f>
        <v/>
      </c>
      <c r="E17" s="19" t="str">
        <f>Articles!E17</f>
        <v/>
      </c>
      <c r="F17" s="19" t="str">
        <f>Articles!F17</f>
        <v/>
      </c>
      <c r="G17" s="17" t="str">
        <f>SUMIFS(Mouvements!$G:$G,Mouvements!$B:$B,A17,Mouvements!$F:$F,"Départ")</f>
        <v>0</v>
      </c>
      <c r="H17" s="17" t="str">
        <f>SUMIFS(Mouvements!$G:$G,Mouvements!$B:$B,A17,Mouvements!$F:$F,"Retour")</f>
        <v>0</v>
      </c>
      <c r="I17" s="17" t="str">
        <f>SUMIFS(Mouvements!$I:$I,Mouvements!$B:$B,A17,Mouvements!$F:$F,"Entrée stock")+SUMIFS(Mouvements!$I:$I,Mouvements!$B:$B,A17,Mouvements!$F:$F,"Correction +")+SUMIFS(Mouvements!$I:$I,Mouvements!$B:$B,A17,Mouvements!$F:$F,"Correction -")</f>
        <v>0</v>
      </c>
      <c r="J17" s="17" t="str">
        <f t="shared" si="1"/>
        <v/>
      </c>
      <c r="K17" s="19" t="str">
        <f>Articles!G17</f>
        <v/>
      </c>
      <c r="L17" s="17" t="str">
        <f t="shared" si="2"/>
        <v/>
      </c>
      <c r="M17" s="17" t="str">
        <f t="shared" si="3"/>
        <v/>
      </c>
      <c r="N17" s="18" t="str">
        <f>IF(A17="","",J17*Articles!H17)</f>
        <v/>
      </c>
    </row>
    <row r="18">
      <c r="A18" s="19" t="str">
        <f>Articles!A18</f>
        <v/>
      </c>
      <c r="B18" s="19" t="str">
        <f>Articles!B18</f>
        <v/>
      </c>
      <c r="C18" s="19" t="str">
        <f>Articles!C18</f>
        <v/>
      </c>
      <c r="D18" s="19" t="str">
        <f>Articles!D18</f>
        <v/>
      </c>
      <c r="E18" s="19" t="str">
        <f>Articles!E18</f>
        <v/>
      </c>
      <c r="F18" s="19" t="str">
        <f>Articles!F18</f>
        <v/>
      </c>
      <c r="G18" s="17" t="str">
        <f>SUMIFS(Mouvements!$G:$G,Mouvements!$B:$B,A18,Mouvements!$F:$F,"Départ")</f>
        <v>0</v>
      </c>
      <c r="H18" s="17" t="str">
        <f>SUMIFS(Mouvements!$G:$G,Mouvements!$B:$B,A18,Mouvements!$F:$F,"Retour")</f>
        <v>0</v>
      </c>
      <c r="I18" s="17" t="str">
        <f>SUMIFS(Mouvements!$I:$I,Mouvements!$B:$B,A18,Mouvements!$F:$F,"Entrée stock")+SUMIFS(Mouvements!$I:$I,Mouvements!$B:$B,A18,Mouvements!$F:$F,"Correction +")+SUMIFS(Mouvements!$I:$I,Mouvements!$B:$B,A18,Mouvements!$F:$F,"Correction -")</f>
        <v>0</v>
      </c>
      <c r="J18" s="17" t="str">
        <f t="shared" si="1"/>
        <v/>
      </c>
      <c r="K18" s="19" t="str">
        <f>Articles!G18</f>
        <v/>
      </c>
      <c r="L18" s="17" t="str">
        <f t="shared" si="2"/>
        <v/>
      </c>
      <c r="M18" s="17" t="str">
        <f t="shared" si="3"/>
        <v/>
      </c>
      <c r="N18" s="18" t="str">
        <f>IF(A18="","",J18*Articles!H18)</f>
        <v/>
      </c>
    </row>
    <row r="19">
      <c r="A19" s="19" t="str">
        <f>Articles!A19</f>
        <v/>
      </c>
      <c r="B19" s="19" t="str">
        <f>Articles!B19</f>
        <v/>
      </c>
      <c r="C19" s="19" t="str">
        <f>Articles!C19</f>
        <v/>
      </c>
      <c r="D19" s="19" t="str">
        <f>Articles!D19</f>
        <v/>
      </c>
      <c r="E19" s="19" t="str">
        <f>Articles!E19</f>
        <v/>
      </c>
      <c r="F19" s="19" t="str">
        <f>Articles!F19</f>
        <v/>
      </c>
      <c r="G19" s="17" t="str">
        <f>SUMIFS(Mouvements!$G:$G,Mouvements!$B:$B,A19,Mouvements!$F:$F,"Départ")</f>
        <v>0</v>
      </c>
      <c r="H19" s="17" t="str">
        <f>SUMIFS(Mouvements!$G:$G,Mouvements!$B:$B,A19,Mouvements!$F:$F,"Retour")</f>
        <v>0</v>
      </c>
      <c r="I19" s="17" t="str">
        <f>SUMIFS(Mouvements!$I:$I,Mouvements!$B:$B,A19,Mouvements!$F:$F,"Entrée stock")+SUMIFS(Mouvements!$I:$I,Mouvements!$B:$B,A19,Mouvements!$F:$F,"Correction +")+SUMIFS(Mouvements!$I:$I,Mouvements!$B:$B,A19,Mouvements!$F:$F,"Correction -")</f>
        <v>0</v>
      </c>
      <c r="J19" s="17" t="str">
        <f t="shared" si="1"/>
        <v/>
      </c>
      <c r="K19" s="19" t="str">
        <f>Articles!G19</f>
        <v/>
      </c>
      <c r="L19" s="17" t="str">
        <f t="shared" si="2"/>
        <v/>
      </c>
      <c r="M19" s="17" t="str">
        <f t="shared" si="3"/>
        <v/>
      </c>
      <c r="N19" s="18" t="str">
        <f>IF(A19="","",J19*Articles!H19)</f>
        <v/>
      </c>
    </row>
    <row r="20">
      <c r="A20" s="19" t="str">
        <f>Articles!A20</f>
        <v/>
      </c>
      <c r="B20" s="19" t="str">
        <f>Articles!B20</f>
        <v/>
      </c>
      <c r="C20" s="19" t="str">
        <f>Articles!C20</f>
        <v/>
      </c>
      <c r="D20" s="19" t="str">
        <f>Articles!D20</f>
        <v/>
      </c>
      <c r="E20" s="19" t="str">
        <f>Articles!E20</f>
        <v/>
      </c>
      <c r="F20" s="19" t="str">
        <f>Articles!F20</f>
        <v/>
      </c>
      <c r="G20" s="17" t="str">
        <f>SUMIFS(Mouvements!$G:$G,Mouvements!$B:$B,A20,Mouvements!$F:$F,"Départ")</f>
        <v>0</v>
      </c>
      <c r="H20" s="17" t="str">
        <f>SUMIFS(Mouvements!$G:$G,Mouvements!$B:$B,A20,Mouvements!$F:$F,"Retour")</f>
        <v>0</v>
      </c>
      <c r="I20" s="17" t="str">
        <f>SUMIFS(Mouvements!$I:$I,Mouvements!$B:$B,A20,Mouvements!$F:$F,"Entrée stock")+SUMIFS(Mouvements!$I:$I,Mouvements!$B:$B,A20,Mouvements!$F:$F,"Correction +")+SUMIFS(Mouvements!$I:$I,Mouvements!$B:$B,A20,Mouvements!$F:$F,"Correction -")</f>
        <v>0</v>
      </c>
      <c r="J20" s="17" t="str">
        <f t="shared" si="1"/>
        <v/>
      </c>
      <c r="K20" s="19" t="str">
        <f>Articles!G20</f>
        <v/>
      </c>
      <c r="L20" s="17" t="str">
        <f t="shared" si="2"/>
        <v/>
      </c>
      <c r="M20" s="17" t="str">
        <f t="shared" si="3"/>
        <v/>
      </c>
      <c r="N20" s="18" t="str">
        <f>IF(A20="","",J20*Articles!H20)</f>
        <v/>
      </c>
    </row>
    <row r="21" ht="15.75" customHeight="1">
      <c r="A21" s="19" t="str">
        <f>Articles!A21</f>
        <v/>
      </c>
      <c r="B21" s="19" t="str">
        <f>Articles!B21</f>
        <v/>
      </c>
      <c r="C21" s="19" t="str">
        <f>Articles!C21</f>
        <v/>
      </c>
      <c r="D21" s="19" t="str">
        <f>Articles!D21</f>
        <v/>
      </c>
      <c r="E21" s="19" t="str">
        <f>Articles!E21</f>
        <v/>
      </c>
      <c r="F21" s="19" t="str">
        <f>Articles!F21</f>
        <v/>
      </c>
      <c r="G21" s="17" t="str">
        <f>SUMIFS(Mouvements!$G:$G,Mouvements!$B:$B,A21,Mouvements!$F:$F,"Départ")</f>
        <v>0</v>
      </c>
      <c r="H21" s="17" t="str">
        <f>SUMIFS(Mouvements!$G:$G,Mouvements!$B:$B,A21,Mouvements!$F:$F,"Retour")</f>
        <v>0</v>
      </c>
      <c r="I21" s="17" t="str">
        <f>SUMIFS(Mouvements!$I:$I,Mouvements!$B:$B,A21,Mouvements!$F:$F,"Entrée stock")+SUMIFS(Mouvements!$I:$I,Mouvements!$B:$B,A21,Mouvements!$F:$F,"Correction +")+SUMIFS(Mouvements!$I:$I,Mouvements!$B:$B,A21,Mouvements!$F:$F,"Correction -")</f>
        <v>0</v>
      </c>
      <c r="J21" s="17" t="str">
        <f t="shared" si="1"/>
        <v/>
      </c>
      <c r="K21" s="19" t="str">
        <f>Articles!G21</f>
        <v/>
      </c>
      <c r="L21" s="17" t="str">
        <f t="shared" si="2"/>
        <v/>
      </c>
      <c r="M21" s="17" t="str">
        <f t="shared" si="3"/>
        <v/>
      </c>
      <c r="N21" s="18" t="str">
        <f>IF(A21="","",J21*Articles!H21)</f>
        <v/>
      </c>
    </row>
    <row r="22" ht="15.75" customHeight="1">
      <c r="A22" s="19" t="str">
        <f>Articles!A22</f>
        <v/>
      </c>
      <c r="B22" s="19" t="str">
        <f>Articles!B22</f>
        <v/>
      </c>
      <c r="C22" s="19" t="str">
        <f>Articles!C22</f>
        <v/>
      </c>
      <c r="D22" s="19" t="str">
        <f>Articles!D22</f>
        <v/>
      </c>
      <c r="E22" s="19" t="str">
        <f>Articles!E22</f>
        <v/>
      </c>
      <c r="F22" s="19" t="str">
        <f>Articles!F22</f>
        <v/>
      </c>
      <c r="G22" s="17" t="str">
        <f>SUMIFS(Mouvements!$G:$G,Mouvements!$B:$B,A22,Mouvements!$F:$F,"Départ")</f>
        <v>0</v>
      </c>
      <c r="H22" s="17" t="str">
        <f>SUMIFS(Mouvements!$G:$G,Mouvements!$B:$B,A22,Mouvements!$F:$F,"Retour")</f>
        <v>0</v>
      </c>
      <c r="I22" s="17" t="str">
        <f>SUMIFS(Mouvements!$I:$I,Mouvements!$B:$B,A22,Mouvements!$F:$F,"Entrée stock")+SUMIFS(Mouvements!$I:$I,Mouvements!$B:$B,A22,Mouvements!$F:$F,"Correction +")+SUMIFS(Mouvements!$I:$I,Mouvements!$B:$B,A22,Mouvements!$F:$F,"Correction -")</f>
        <v>0</v>
      </c>
      <c r="J22" s="17" t="str">
        <f t="shared" si="1"/>
        <v/>
      </c>
      <c r="K22" s="19" t="str">
        <f>Articles!G22</f>
        <v/>
      </c>
      <c r="L22" s="17" t="str">
        <f t="shared" si="2"/>
        <v/>
      </c>
      <c r="M22" s="17" t="str">
        <f t="shared" si="3"/>
        <v/>
      </c>
      <c r="N22" s="18" t="str">
        <f>IF(A22="","",J22*Articles!H22)</f>
        <v/>
      </c>
    </row>
    <row r="23" ht="15.75" customHeight="1">
      <c r="A23" s="19" t="str">
        <f>Articles!A23</f>
        <v/>
      </c>
      <c r="B23" s="19" t="str">
        <f>Articles!B23</f>
        <v/>
      </c>
      <c r="C23" s="19" t="str">
        <f>Articles!C23</f>
        <v/>
      </c>
      <c r="D23" s="19" t="str">
        <f>Articles!D23</f>
        <v/>
      </c>
      <c r="E23" s="19" t="str">
        <f>Articles!E23</f>
        <v/>
      </c>
      <c r="F23" s="19" t="str">
        <f>Articles!F23</f>
        <v/>
      </c>
      <c r="G23" s="17" t="str">
        <f>SUMIFS(Mouvements!$G:$G,Mouvements!$B:$B,A23,Mouvements!$F:$F,"Départ")</f>
        <v>0</v>
      </c>
      <c r="H23" s="17" t="str">
        <f>SUMIFS(Mouvements!$G:$G,Mouvements!$B:$B,A23,Mouvements!$F:$F,"Retour")</f>
        <v>0</v>
      </c>
      <c r="I23" s="17" t="str">
        <f>SUMIFS(Mouvements!$I:$I,Mouvements!$B:$B,A23,Mouvements!$F:$F,"Entrée stock")+SUMIFS(Mouvements!$I:$I,Mouvements!$B:$B,A23,Mouvements!$F:$F,"Correction +")+SUMIFS(Mouvements!$I:$I,Mouvements!$B:$B,A23,Mouvements!$F:$F,"Correction -")</f>
        <v>0</v>
      </c>
      <c r="J23" s="17" t="str">
        <f t="shared" si="1"/>
        <v/>
      </c>
      <c r="K23" s="19" t="str">
        <f>Articles!G23</f>
        <v/>
      </c>
      <c r="L23" s="17" t="str">
        <f t="shared" si="2"/>
        <v/>
      </c>
      <c r="M23" s="17" t="str">
        <f t="shared" si="3"/>
        <v/>
      </c>
      <c r="N23" s="18" t="str">
        <f>IF(A23="","",J23*Articles!H23)</f>
        <v/>
      </c>
    </row>
    <row r="24" ht="15.75" customHeight="1">
      <c r="A24" s="19" t="str">
        <f>Articles!A24</f>
        <v/>
      </c>
      <c r="B24" s="19" t="str">
        <f>Articles!B24</f>
        <v/>
      </c>
      <c r="C24" s="19" t="str">
        <f>Articles!C24</f>
        <v/>
      </c>
      <c r="D24" s="19" t="str">
        <f>Articles!D24</f>
        <v/>
      </c>
      <c r="E24" s="19" t="str">
        <f>Articles!E24</f>
        <v/>
      </c>
      <c r="F24" s="19" t="str">
        <f>Articles!F24</f>
        <v/>
      </c>
      <c r="G24" s="17" t="str">
        <f>SUMIFS(Mouvements!$G:$G,Mouvements!$B:$B,A24,Mouvements!$F:$F,"Départ")</f>
        <v>0</v>
      </c>
      <c r="H24" s="17" t="str">
        <f>SUMIFS(Mouvements!$G:$G,Mouvements!$B:$B,A24,Mouvements!$F:$F,"Retour")</f>
        <v>0</v>
      </c>
      <c r="I24" s="17" t="str">
        <f>SUMIFS(Mouvements!$I:$I,Mouvements!$B:$B,A24,Mouvements!$F:$F,"Entrée stock")+SUMIFS(Mouvements!$I:$I,Mouvements!$B:$B,A24,Mouvements!$F:$F,"Correction +")+SUMIFS(Mouvements!$I:$I,Mouvements!$B:$B,A24,Mouvements!$F:$F,"Correction -")</f>
        <v>0</v>
      </c>
      <c r="J24" s="17" t="str">
        <f t="shared" si="1"/>
        <v/>
      </c>
      <c r="K24" s="19" t="str">
        <f>Articles!G24</f>
        <v/>
      </c>
      <c r="L24" s="17" t="str">
        <f t="shared" si="2"/>
        <v/>
      </c>
      <c r="M24" s="17" t="str">
        <f t="shared" si="3"/>
        <v/>
      </c>
      <c r="N24" s="18" t="str">
        <f>IF(A24="","",J24*Articles!H24)</f>
        <v/>
      </c>
    </row>
    <row r="25" ht="15.75" customHeight="1">
      <c r="A25" s="19" t="str">
        <f>Articles!A25</f>
        <v/>
      </c>
      <c r="B25" s="19" t="str">
        <f>Articles!B25</f>
        <v/>
      </c>
      <c r="C25" s="19" t="str">
        <f>Articles!C25</f>
        <v/>
      </c>
      <c r="D25" s="19" t="str">
        <f>Articles!D25</f>
        <v/>
      </c>
      <c r="E25" s="19" t="str">
        <f>Articles!E25</f>
        <v/>
      </c>
      <c r="F25" s="19" t="str">
        <f>Articles!F25</f>
        <v/>
      </c>
      <c r="G25" s="17" t="str">
        <f>SUMIFS(Mouvements!$G:$G,Mouvements!$B:$B,A25,Mouvements!$F:$F,"Départ")</f>
        <v>0</v>
      </c>
      <c r="H25" s="17" t="str">
        <f>SUMIFS(Mouvements!$G:$G,Mouvements!$B:$B,A25,Mouvements!$F:$F,"Retour")</f>
        <v>0</v>
      </c>
      <c r="I25" s="17" t="str">
        <f>SUMIFS(Mouvements!$I:$I,Mouvements!$B:$B,A25,Mouvements!$F:$F,"Entrée stock")+SUMIFS(Mouvements!$I:$I,Mouvements!$B:$B,A25,Mouvements!$F:$F,"Correction +")+SUMIFS(Mouvements!$I:$I,Mouvements!$B:$B,A25,Mouvements!$F:$F,"Correction -")</f>
        <v>0</v>
      </c>
      <c r="J25" s="17" t="str">
        <f t="shared" si="1"/>
        <v/>
      </c>
      <c r="K25" s="19" t="str">
        <f>Articles!G25</f>
        <v/>
      </c>
      <c r="L25" s="17" t="str">
        <f t="shared" si="2"/>
        <v/>
      </c>
      <c r="M25" s="17" t="str">
        <f t="shared" si="3"/>
        <v/>
      </c>
      <c r="N25" s="18" t="str">
        <f>IF(A25="","",J25*Articles!H25)</f>
        <v/>
      </c>
    </row>
    <row r="26" ht="15.75" customHeight="1">
      <c r="A26" s="19" t="str">
        <f>Articles!A26</f>
        <v/>
      </c>
      <c r="B26" s="19" t="str">
        <f>Articles!B26</f>
        <v/>
      </c>
      <c r="C26" s="19" t="str">
        <f>Articles!C26</f>
        <v/>
      </c>
      <c r="D26" s="19" t="str">
        <f>Articles!D26</f>
        <v/>
      </c>
      <c r="E26" s="19" t="str">
        <f>Articles!E26</f>
        <v/>
      </c>
      <c r="F26" s="19" t="str">
        <f>Articles!F26</f>
        <v/>
      </c>
      <c r="G26" s="17" t="str">
        <f>SUMIFS(Mouvements!$G:$G,Mouvements!$B:$B,A26,Mouvements!$F:$F,"Départ")</f>
        <v>0</v>
      </c>
      <c r="H26" s="17" t="str">
        <f>SUMIFS(Mouvements!$G:$G,Mouvements!$B:$B,A26,Mouvements!$F:$F,"Retour")</f>
        <v>0</v>
      </c>
      <c r="I26" s="17" t="str">
        <f>SUMIFS(Mouvements!$I:$I,Mouvements!$B:$B,A26,Mouvements!$F:$F,"Entrée stock")+SUMIFS(Mouvements!$I:$I,Mouvements!$B:$B,A26,Mouvements!$F:$F,"Correction +")+SUMIFS(Mouvements!$I:$I,Mouvements!$B:$B,A26,Mouvements!$F:$F,"Correction -")</f>
        <v>0</v>
      </c>
      <c r="J26" s="17" t="str">
        <f t="shared" si="1"/>
        <v/>
      </c>
      <c r="K26" s="19" t="str">
        <f>Articles!G26</f>
        <v/>
      </c>
      <c r="L26" s="17" t="str">
        <f t="shared" si="2"/>
        <v/>
      </c>
      <c r="M26" s="17" t="str">
        <f t="shared" si="3"/>
        <v/>
      </c>
      <c r="N26" s="18" t="str">
        <f>IF(A26="","",J26*Articles!H26)</f>
        <v/>
      </c>
    </row>
    <row r="27" ht="15.75" customHeight="1">
      <c r="A27" s="19" t="str">
        <f>Articles!A27</f>
        <v/>
      </c>
      <c r="B27" s="19" t="str">
        <f>Articles!B27</f>
        <v/>
      </c>
      <c r="C27" s="19" t="str">
        <f>Articles!C27</f>
        <v/>
      </c>
      <c r="D27" s="19" t="str">
        <f>Articles!D27</f>
        <v/>
      </c>
      <c r="E27" s="19" t="str">
        <f>Articles!E27</f>
        <v/>
      </c>
      <c r="F27" s="19" t="str">
        <f>Articles!F27</f>
        <v/>
      </c>
      <c r="G27" s="17" t="str">
        <f>SUMIFS(Mouvements!$G:$G,Mouvements!$B:$B,A27,Mouvements!$F:$F,"Départ")</f>
        <v>0</v>
      </c>
      <c r="H27" s="17" t="str">
        <f>SUMIFS(Mouvements!$G:$G,Mouvements!$B:$B,A27,Mouvements!$F:$F,"Retour")</f>
        <v>0</v>
      </c>
      <c r="I27" s="17" t="str">
        <f>SUMIFS(Mouvements!$I:$I,Mouvements!$B:$B,A27,Mouvements!$F:$F,"Entrée stock")+SUMIFS(Mouvements!$I:$I,Mouvements!$B:$B,A27,Mouvements!$F:$F,"Correction +")+SUMIFS(Mouvements!$I:$I,Mouvements!$B:$B,A27,Mouvements!$F:$F,"Correction -")</f>
        <v>0</v>
      </c>
      <c r="J27" s="17" t="str">
        <f t="shared" si="1"/>
        <v/>
      </c>
      <c r="K27" s="19" t="str">
        <f>Articles!G27</f>
        <v/>
      </c>
      <c r="L27" s="17" t="str">
        <f t="shared" si="2"/>
        <v/>
      </c>
      <c r="M27" s="17" t="str">
        <f t="shared" si="3"/>
        <v/>
      </c>
      <c r="N27" s="18" t="str">
        <f>IF(A27="","",J27*Articles!H27)</f>
        <v/>
      </c>
    </row>
    <row r="28" ht="15.75" customHeight="1">
      <c r="A28" s="19" t="str">
        <f>Articles!A28</f>
        <v/>
      </c>
      <c r="B28" s="19" t="str">
        <f>Articles!B28</f>
        <v/>
      </c>
      <c r="C28" s="19" t="str">
        <f>Articles!C28</f>
        <v/>
      </c>
      <c r="D28" s="19" t="str">
        <f>Articles!D28</f>
        <v/>
      </c>
      <c r="E28" s="19" t="str">
        <f>Articles!E28</f>
        <v/>
      </c>
      <c r="F28" s="19" t="str">
        <f>Articles!F28</f>
        <v/>
      </c>
      <c r="G28" s="17" t="str">
        <f>SUMIFS(Mouvements!$G:$G,Mouvements!$B:$B,A28,Mouvements!$F:$F,"Départ")</f>
        <v>0</v>
      </c>
      <c r="H28" s="17" t="str">
        <f>SUMIFS(Mouvements!$G:$G,Mouvements!$B:$B,A28,Mouvements!$F:$F,"Retour")</f>
        <v>0</v>
      </c>
      <c r="I28" s="17" t="str">
        <f>SUMIFS(Mouvements!$I:$I,Mouvements!$B:$B,A28,Mouvements!$F:$F,"Entrée stock")+SUMIFS(Mouvements!$I:$I,Mouvements!$B:$B,A28,Mouvements!$F:$F,"Correction +")+SUMIFS(Mouvements!$I:$I,Mouvements!$B:$B,A28,Mouvements!$F:$F,"Correction -")</f>
        <v>0</v>
      </c>
      <c r="J28" s="17" t="str">
        <f t="shared" si="1"/>
        <v/>
      </c>
      <c r="K28" s="19" t="str">
        <f>Articles!G28</f>
        <v/>
      </c>
      <c r="L28" s="17" t="str">
        <f t="shared" si="2"/>
        <v/>
      </c>
      <c r="M28" s="17" t="str">
        <f t="shared" si="3"/>
        <v/>
      </c>
      <c r="N28" s="18" t="str">
        <f>IF(A28="","",J28*Articles!H28)</f>
        <v/>
      </c>
    </row>
    <row r="29" ht="15.75" customHeight="1">
      <c r="A29" s="19" t="str">
        <f>Articles!A29</f>
        <v/>
      </c>
      <c r="B29" s="19" t="str">
        <f>Articles!B29</f>
        <v/>
      </c>
      <c r="C29" s="19" t="str">
        <f>Articles!C29</f>
        <v/>
      </c>
      <c r="D29" s="19" t="str">
        <f>Articles!D29</f>
        <v/>
      </c>
      <c r="E29" s="19" t="str">
        <f>Articles!E29</f>
        <v/>
      </c>
      <c r="F29" s="19" t="str">
        <f>Articles!F29</f>
        <v/>
      </c>
      <c r="G29" s="17" t="str">
        <f>SUMIFS(Mouvements!$G:$G,Mouvements!$B:$B,A29,Mouvements!$F:$F,"Départ")</f>
        <v>0</v>
      </c>
      <c r="H29" s="17" t="str">
        <f>SUMIFS(Mouvements!$G:$G,Mouvements!$B:$B,A29,Mouvements!$F:$F,"Retour")</f>
        <v>0</v>
      </c>
      <c r="I29" s="17" t="str">
        <f>SUMIFS(Mouvements!$I:$I,Mouvements!$B:$B,A29,Mouvements!$F:$F,"Entrée stock")+SUMIFS(Mouvements!$I:$I,Mouvements!$B:$B,A29,Mouvements!$F:$F,"Correction +")+SUMIFS(Mouvements!$I:$I,Mouvements!$B:$B,A29,Mouvements!$F:$F,"Correction -")</f>
        <v>0</v>
      </c>
      <c r="J29" s="17" t="str">
        <f t="shared" si="1"/>
        <v/>
      </c>
      <c r="K29" s="19" t="str">
        <f>Articles!G29</f>
        <v/>
      </c>
      <c r="L29" s="17" t="str">
        <f t="shared" si="2"/>
        <v/>
      </c>
      <c r="M29" s="17" t="str">
        <f t="shared" si="3"/>
        <v/>
      </c>
      <c r="N29" s="18" t="str">
        <f>IF(A29="","",J29*Articles!H29)</f>
        <v/>
      </c>
    </row>
    <row r="30" ht="15.75" customHeight="1">
      <c r="A30" s="19" t="str">
        <f>Articles!A30</f>
        <v/>
      </c>
      <c r="B30" s="19" t="str">
        <f>Articles!B30</f>
        <v/>
      </c>
      <c r="C30" s="19" t="str">
        <f>Articles!C30</f>
        <v/>
      </c>
      <c r="D30" s="19" t="str">
        <f>Articles!D30</f>
        <v/>
      </c>
      <c r="E30" s="19" t="str">
        <f>Articles!E30</f>
        <v/>
      </c>
      <c r="F30" s="19" t="str">
        <f>Articles!F30</f>
        <v/>
      </c>
      <c r="G30" s="17" t="str">
        <f>SUMIFS(Mouvements!$G:$G,Mouvements!$B:$B,A30,Mouvements!$F:$F,"Départ")</f>
        <v>0</v>
      </c>
      <c r="H30" s="17" t="str">
        <f>SUMIFS(Mouvements!$G:$G,Mouvements!$B:$B,A30,Mouvements!$F:$F,"Retour")</f>
        <v>0</v>
      </c>
      <c r="I30" s="17" t="str">
        <f>SUMIFS(Mouvements!$I:$I,Mouvements!$B:$B,A30,Mouvements!$F:$F,"Entrée stock")+SUMIFS(Mouvements!$I:$I,Mouvements!$B:$B,A30,Mouvements!$F:$F,"Correction +")+SUMIFS(Mouvements!$I:$I,Mouvements!$B:$B,A30,Mouvements!$F:$F,"Correction -")</f>
        <v>0</v>
      </c>
      <c r="J30" s="17" t="str">
        <f t="shared" si="1"/>
        <v/>
      </c>
      <c r="K30" s="19" t="str">
        <f>Articles!G30</f>
        <v/>
      </c>
      <c r="L30" s="17" t="str">
        <f t="shared" si="2"/>
        <v/>
      </c>
      <c r="M30" s="17" t="str">
        <f t="shared" si="3"/>
        <v/>
      </c>
      <c r="N30" s="18" t="str">
        <f>IF(A30="","",J30*Articles!H30)</f>
        <v/>
      </c>
    </row>
    <row r="31" ht="15.75" customHeight="1">
      <c r="A31" s="19" t="str">
        <f>Articles!A31</f>
        <v/>
      </c>
      <c r="B31" s="19" t="str">
        <f>Articles!B31</f>
        <v/>
      </c>
      <c r="C31" s="19" t="str">
        <f>Articles!C31</f>
        <v/>
      </c>
      <c r="D31" s="19" t="str">
        <f>Articles!D31</f>
        <v/>
      </c>
      <c r="E31" s="19" t="str">
        <f>Articles!E31</f>
        <v/>
      </c>
      <c r="F31" s="19" t="str">
        <f>Articles!F31</f>
        <v/>
      </c>
      <c r="G31" s="17" t="str">
        <f>SUMIFS(Mouvements!$G:$G,Mouvements!$B:$B,A31,Mouvements!$F:$F,"Départ")</f>
        <v>0</v>
      </c>
      <c r="H31" s="17" t="str">
        <f>SUMIFS(Mouvements!$G:$G,Mouvements!$B:$B,A31,Mouvements!$F:$F,"Retour")</f>
        <v>0</v>
      </c>
      <c r="I31" s="17" t="str">
        <f>SUMIFS(Mouvements!$I:$I,Mouvements!$B:$B,A31,Mouvements!$F:$F,"Entrée stock")+SUMIFS(Mouvements!$I:$I,Mouvements!$B:$B,A31,Mouvements!$F:$F,"Correction +")+SUMIFS(Mouvements!$I:$I,Mouvements!$B:$B,A31,Mouvements!$F:$F,"Correction -")</f>
        <v>0</v>
      </c>
      <c r="J31" s="17" t="str">
        <f t="shared" si="1"/>
        <v/>
      </c>
      <c r="K31" s="19" t="str">
        <f>Articles!G31</f>
        <v/>
      </c>
      <c r="L31" s="17" t="str">
        <f t="shared" si="2"/>
        <v/>
      </c>
      <c r="M31" s="17" t="str">
        <f t="shared" si="3"/>
        <v/>
      </c>
      <c r="N31" s="18" t="str">
        <f>IF(A31="","",J31*Articles!H31)</f>
        <v/>
      </c>
    </row>
    <row r="32" ht="15.75" customHeight="1">
      <c r="A32" s="19" t="str">
        <f>Articles!A32</f>
        <v/>
      </c>
      <c r="B32" s="19" t="str">
        <f>Articles!B32</f>
        <v/>
      </c>
      <c r="C32" s="19" t="str">
        <f>Articles!C32</f>
        <v/>
      </c>
      <c r="D32" s="19" t="str">
        <f>Articles!D32</f>
        <v/>
      </c>
      <c r="E32" s="19" t="str">
        <f>Articles!E32</f>
        <v/>
      </c>
      <c r="F32" s="19" t="str">
        <f>Articles!F32</f>
        <v/>
      </c>
      <c r="G32" s="17" t="str">
        <f>SUMIFS(Mouvements!$G:$G,Mouvements!$B:$B,A32,Mouvements!$F:$F,"Départ")</f>
        <v>0</v>
      </c>
      <c r="H32" s="17" t="str">
        <f>SUMIFS(Mouvements!$G:$G,Mouvements!$B:$B,A32,Mouvements!$F:$F,"Retour")</f>
        <v>0</v>
      </c>
      <c r="I32" s="17" t="str">
        <f>SUMIFS(Mouvements!$I:$I,Mouvements!$B:$B,A32,Mouvements!$F:$F,"Entrée stock")+SUMIFS(Mouvements!$I:$I,Mouvements!$B:$B,A32,Mouvements!$F:$F,"Correction +")+SUMIFS(Mouvements!$I:$I,Mouvements!$B:$B,A32,Mouvements!$F:$F,"Correction -")</f>
        <v>0</v>
      </c>
      <c r="J32" s="17" t="str">
        <f t="shared" si="1"/>
        <v/>
      </c>
      <c r="K32" s="19" t="str">
        <f>Articles!G32</f>
        <v/>
      </c>
      <c r="L32" s="17" t="str">
        <f t="shared" si="2"/>
        <v/>
      </c>
      <c r="M32" s="17" t="str">
        <f t="shared" si="3"/>
        <v/>
      </c>
      <c r="N32" s="18" t="str">
        <f>IF(A32="","",J32*Articles!H32)</f>
        <v/>
      </c>
    </row>
    <row r="33" ht="15.75" customHeight="1">
      <c r="A33" s="19" t="str">
        <f>Articles!A33</f>
        <v/>
      </c>
      <c r="B33" s="19" t="str">
        <f>Articles!B33</f>
        <v/>
      </c>
      <c r="C33" s="19" t="str">
        <f>Articles!C33</f>
        <v/>
      </c>
      <c r="D33" s="19" t="str">
        <f>Articles!D33</f>
        <v/>
      </c>
      <c r="E33" s="19" t="str">
        <f>Articles!E33</f>
        <v/>
      </c>
      <c r="F33" s="19" t="str">
        <f>Articles!F33</f>
        <v/>
      </c>
      <c r="G33" s="17" t="str">
        <f>SUMIFS(Mouvements!$G:$G,Mouvements!$B:$B,A33,Mouvements!$F:$F,"Départ")</f>
        <v>0</v>
      </c>
      <c r="H33" s="17" t="str">
        <f>SUMIFS(Mouvements!$G:$G,Mouvements!$B:$B,A33,Mouvements!$F:$F,"Retour")</f>
        <v>0</v>
      </c>
      <c r="I33" s="17" t="str">
        <f>SUMIFS(Mouvements!$I:$I,Mouvements!$B:$B,A33,Mouvements!$F:$F,"Entrée stock")+SUMIFS(Mouvements!$I:$I,Mouvements!$B:$B,A33,Mouvements!$F:$F,"Correction +")+SUMIFS(Mouvements!$I:$I,Mouvements!$B:$B,A33,Mouvements!$F:$F,"Correction -")</f>
        <v>0</v>
      </c>
      <c r="J33" s="17" t="str">
        <f t="shared" si="1"/>
        <v/>
      </c>
      <c r="K33" s="19" t="str">
        <f>Articles!G33</f>
        <v/>
      </c>
      <c r="L33" s="17" t="str">
        <f t="shared" si="2"/>
        <v/>
      </c>
      <c r="M33" s="17" t="str">
        <f t="shared" si="3"/>
        <v/>
      </c>
      <c r="N33" s="18" t="str">
        <f>IF(A33="","",J33*Articles!H33)</f>
        <v/>
      </c>
    </row>
    <row r="34" ht="15.75" customHeight="1">
      <c r="A34" s="19" t="str">
        <f>Articles!A34</f>
        <v/>
      </c>
      <c r="B34" s="19" t="str">
        <f>Articles!B34</f>
        <v/>
      </c>
      <c r="C34" s="19" t="str">
        <f>Articles!C34</f>
        <v/>
      </c>
      <c r="D34" s="19" t="str">
        <f>Articles!D34</f>
        <v/>
      </c>
      <c r="E34" s="19" t="str">
        <f>Articles!E34</f>
        <v/>
      </c>
      <c r="F34" s="19" t="str">
        <f>Articles!F34</f>
        <v/>
      </c>
      <c r="G34" s="17" t="str">
        <f>SUMIFS(Mouvements!$G:$G,Mouvements!$B:$B,A34,Mouvements!$F:$F,"Départ")</f>
        <v>0</v>
      </c>
      <c r="H34" s="17" t="str">
        <f>SUMIFS(Mouvements!$G:$G,Mouvements!$B:$B,A34,Mouvements!$F:$F,"Retour")</f>
        <v>0</v>
      </c>
      <c r="I34" s="17" t="str">
        <f>SUMIFS(Mouvements!$I:$I,Mouvements!$B:$B,A34,Mouvements!$F:$F,"Entrée stock")+SUMIFS(Mouvements!$I:$I,Mouvements!$B:$B,A34,Mouvements!$F:$F,"Correction +")+SUMIFS(Mouvements!$I:$I,Mouvements!$B:$B,A34,Mouvements!$F:$F,"Correction -")</f>
        <v>0</v>
      </c>
      <c r="J34" s="17" t="str">
        <f t="shared" si="1"/>
        <v/>
      </c>
      <c r="K34" s="19" t="str">
        <f>Articles!G34</f>
        <v/>
      </c>
      <c r="L34" s="17" t="str">
        <f t="shared" si="2"/>
        <v/>
      </c>
      <c r="M34" s="17" t="str">
        <f t="shared" si="3"/>
        <v/>
      </c>
      <c r="N34" s="18" t="str">
        <f>IF(A34="","",J34*Articles!H34)</f>
        <v/>
      </c>
    </row>
    <row r="35" ht="15.75" customHeight="1">
      <c r="A35" s="19" t="str">
        <f>Articles!A35</f>
        <v/>
      </c>
      <c r="B35" s="19" t="str">
        <f>Articles!B35</f>
        <v/>
      </c>
      <c r="C35" s="19" t="str">
        <f>Articles!C35</f>
        <v/>
      </c>
      <c r="D35" s="19" t="str">
        <f>Articles!D35</f>
        <v/>
      </c>
      <c r="E35" s="19" t="str">
        <f>Articles!E35</f>
        <v/>
      </c>
      <c r="F35" s="19" t="str">
        <f>Articles!F35</f>
        <v/>
      </c>
      <c r="G35" s="17" t="str">
        <f>SUMIFS(Mouvements!$G:$G,Mouvements!$B:$B,A35,Mouvements!$F:$F,"Départ")</f>
        <v>0</v>
      </c>
      <c r="H35" s="17" t="str">
        <f>SUMIFS(Mouvements!$G:$G,Mouvements!$B:$B,A35,Mouvements!$F:$F,"Retour")</f>
        <v>0</v>
      </c>
      <c r="I35" s="17" t="str">
        <f>SUMIFS(Mouvements!$I:$I,Mouvements!$B:$B,A35,Mouvements!$F:$F,"Entrée stock")+SUMIFS(Mouvements!$I:$I,Mouvements!$B:$B,A35,Mouvements!$F:$F,"Correction +")+SUMIFS(Mouvements!$I:$I,Mouvements!$B:$B,A35,Mouvements!$F:$F,"Correction -")</f>
        <v>0</v>
      </c>
      <c r="J35" s="17" t="str">
        <f t="shared" si="1"/>
        <v/>
      </c>
      <c r="K35" s="19" t="str">
        <f>Articles!G35</f>
        <v/>
      </c>
      <c r="L35" s="17" t="str">
        <f t="shared" si="2"/>
        <v/>
      </c>
      <c r="M35" s="17" t="str">
        <f t="shared" si="3"/>
        <v/>
      </c>
      <c r="N35" s="18" t="str">
        <f>IF(A35="","",J35*Articles!H35)</f>
        <v/>
      </c>
    </row>
    <row r="36" ht="15.75" customHeight="1">
      <c r="A36" s="19" t="str">
        <f>Articles!A36</f>
        <v/>
      </c>
      <c r="B36" s="19" t="str">
        <f>Articles!B36</f>
        <v/>
      </c>
      <c r="C36" s="19" t="str">
        <f>Articles!C36</f>
        <v/>
      </c>
      <c r="D36" s="19" t="str">
        <f>Articles!D36</f>
        <v/>
      </c>
      <c r="E36" s="19" t="str">
        <f>Articles!E36</f>
        <v/>
      </c>
      <c r="F36" s="19" t="str">
        <f>Articles!F36</f>
        <v/>
      </c>
      <c r="G36" s="17" t="str">
        <f>SUMIFS(Mouvements!$G:$G,Mouvements!$B:$B,A36,Mouvements!$F:$F,"Départ")</f>
        <v>0</v>
      </c>
      <c r="H36" s="17" t="str">
        <f>SUMIFS(Mouvements!$G:$G,Mouvements!$B:$B,A36,Mouvements!$F:$F,"Retour")</f>
        <v>0</v>
      </c>
      <c r="I36" s="17" t="str">
        <f>SUMIFS(Mouvements!$I:$I,Mouvements!$B:$B,A36,Mouvements!$F:$F,"Entrée stock")+SUMIFS(Mouvements!$I:$I,Mouvements!$B:$B,A36,Mouvements!$F:$F,"Correction +")+SUMIFS(Mouvements!$I:$I,Mouvements!$B:$B,A36,Mouvements!$F:$F,"Correction -")</f>
        <v>0</v>
      </c>
      <c r="J36" s="17" t="str">
        <f t="shared" si="1"/>
        <v/>
      </c>
      <c r="K36" s="19" t="str">
        <f>Articles!G36</f>
        <v/>
      </c>
      <c r="L36" s="17" t="str">
        <f t="shared" si="2"/>
        <v/>
      </c>
      <c r="M36" s="17" t="str">
        <f t="shared" si="3"/>
        <v/>
      </c>
      <c r="N36" s="18" t="str">
        <f>IF(A36="","",J36*Articles!H36)</f>
        <v/>
      </c>
    </row>
    <row r="37" ht="15.75" customHeight="1">
      <c r="A37" s="19" t="str">
        <f>Articles!A37</f>
        <v/>
      </c>
      <c r="B37" s="19" t="str">
        <f>Articles!B37</f>
        <v/>
      </c>
      <c r="C37" s="19" t="str">
        <f>Articles!C37</f>
        <v/>
      </c>
      <c r="D37" s="19" t="str">
        <f>Articles!D37</f>
        <v/>
      </c>
      <c r="E37" s="19" t="str">
        <f>Articles!E37</f>
        <v/>
      </c>
      <c r="F37" s="19" t="str">
        <f>Articles!F37</f>
        <v/>
      </c>
      <c r="G37" s="17" t="str">
        <f>SUMIFS(Mouvements!$G:$G,Mouvements!$B:$B,A37,Mouvements!$F:$F,"Départ")</f>
        <v>0</v>
      </c>
      <c r="H37" s="17" t="str">
        <f>SUMIFS(Mouvements!$G:$G,Mouvements!$B:$B,A37,Mouvements!$F:$F,"Retour")</f>
        <v>0</v>
      </c>
      <c r="I37" s="17" t="str">
        <f>SUMIFS(Mouvements!$I:$I,Mouvements!$B:$B,A37,Mouvements!$F:$F,"Entrée stock")+SUMIFS(Mouvements!$I:$I,Mouvements!$B:$B,A37,Mouvements!$F:$F,"Correction +")+SUMIFS(Mouvements!$I:$I,Mouvements!$B:$B,A37,Mouvements!$F:$F,"Correction -")</f>
        <v>0</v>
      </c>
      <c r="J37" s="17" t="str">
        <f t="shared" si="1"/>
        <v/>
      </c>
      <c r="K37" s="19" t="str">
        <f>Articles!G37</f>
        <v/>
      </c>
      <c r="L37" s="17" t="str">
        <f t="shared" si="2"/>
        <v/>
      </c>
      <c r="M37" s="17" t="str">
        <f t="shared" si="3"/>
        <v/>
      </c>
      <c r="N37" s="18" t="str">
        <f>IF(A37="","",J37*Articles!H37)</f>
        <v/>
      </c>
    </row>
    <row r="38" ht="15.75" customHeight="1">
      <c r="A38" s="19" t="str">
        <f>Articles!A38</f>
        <v/>
      </c>
      <c r="B38" s="19" t="str">
        <f>Articles!B38</f>
        <v/>
      </c>
      <c r="C38" s="19" t="str">
        <f>Articles!C38</f>
        <v/>
      </c>
      <c r="D38" s="19" t="str">
        <f>Articles!D38</f>
        <v/>
      </c>
      <c r="E38" s="19" t="str">
        <f>Articles!E38</f>
        <v/>
      </c>
      <c r="F38" s="19" t="str">
        <f>Articles!F38</f>
        <v/>
      </c>
      <c r="G38" s="17" t="str">
        <f>SUMIFS(Mouvements!$G:$G,Mouvements!$B:$B,A38,Mouvements!$F:$F,"Départ")</f>
        <v>0</v>
      </c>
      <c r="H38" s="17" t="str">
        <f>SUMIFS(Mouvements!$G:$G,Mouvements!$B:$B,A38,Mouvements!$F:$F,"Retour")</f>
        <v>0</v>
      </c>
      <c r="I38" s="17" t="str">
        <f>SUMIFS(Mouvements!$I:$I,Mouvements!$B:$B,A38,Mouvements!$F:$F,"Entrée stock")+SUMIFS(Mouvements!$I:$I,Mouvements!$B:$B,A38,Mouvements!$F:$F,"Correction +")+SUMIFS(Mouvements!$I:$I,Mouvements!$B:$B,A38,Mouvements!$F:$F,"Correction -")</f>
        <v>0</v>
      </c>
      <c r="J38" s="17" t="str">
        <f t="shared" si="1"/>
        <v/>
      </c>
      <c r="K38" s="19" t="str">
        <f>Articles!G38</f>
        <v/>
      </c>
      <c r="L38" s="17" t="str">
        <f t="shared" si="2"/>
        <v/>
      </c>
      <c r="M38" s="17" t="str">
        <f t="shared" si="3"/>
        <v/>
      </c>
      <c r="N38" s="18" t="str">
        <f>IF(A38="","",J38*Articles!H38)</f>
        <v/>
      </c>
    </row>
    <row r="39" ht="15.75" customHeight="1">
      <c r="A39" s="19" t="str">
        <f>Articles!A39</f>
        <v/>
      </c>
      <c r="B39" s="19" t="str">
        <f>Articles!B39</f>
        <v/>
      </c>
      <c r="C39" s="19" t="str">
        <f>Articles!C39</f>
        <v/>
      </c>
      <c r="D39" s="19" t="str">
        <f>Articles!D39</f>
        <v/>
      </c>
      <c r="E39" s="19" t="str">
        <f>Articles!E39</f>
        <v/>
      </c>
      <c r="F39" s="19" t="str">
        <f>Articles!F39</f>
        <v/>
      </c>
      <c r="G39" s="17" t="str">
        <f>SUMIFS(Mouvements!$G:$G,Mouvements!$B:$B,A39,Mouvements!$F:$F,"Départ")</f>
        <v>0</v>
      </c>
      <c r="H39" s="17" t="str">
        <f>SUMIFS(Mouvements!$G:$G,Mouvements!$B:$B,A39,Mouvements!$F:$F,"Retour")</f>
        <v>0</v>
      </c>
      <c r="I39" s="17" t="str">
        <f>SUMIFS(Mouvements!$I:$I,Mouvements!$B:$B,A39,Mouvements!$F:$F,"Entrée stock")+SUMIFS(Mouvements!$I:$I,Mouvements!$B:$B,A39,Mouvements!$F:$F,"Correction +")+SUMIFS(Mouvements!$I:$I,Mouvements!$B:$B,A39,Mouvements!$F:$F,"Correction -")</f>
        <v>0</v>
      </c>
      <c r="J39" s="17" t="str">
        <f t="shared" si="1"/>
        <v/>
      </c>
      <c r="K39" s="19" t="str">
        <f>Articles!G39</f>
        <v/>
      </c>
      <c r="L39" s="17" t="str">
        <f t="shared" si="2"/>
        <v/>
      </c>
      <c r="M39" s="17" t="str">
        <f t="shared" si="3"/>
        <v/>
      </c>
      <c r="N39" s="18" t="str">
        <f>IF(A39="","",J39*Articles!H39)</f>
        <v/>
      </c>
    </row>
    <row r="40" ht="15.75" customHeight="1">
      <c r="A40" s="19" t="str">
        <f>Articles!A40</f>
        <v/>
      </c>
      <c r="B40" s="19" t="str">
        <f>Articles!B40</f>
        <v/>
      </c>
      <c r="C40" s="19" t="str">
        <f>Articles!C40</f>
        <v/>
      </c>
      <c r="D40" s="19" t="str">
        <f>Articles!D40</f>
        <v/>
      </c>
      <c r="E40" s="19" t="str">
        <f>Articles!E40</f>
        <v/>
      </c>
      <c r="F40" s="19" t="str">
        <f>Articles!F40</f>
        <v/>
      </c>
      <c r="G40" s="17" t="str">
        <f>SUMIFS(Mouvements!$G:$G,Mouvements!$B:$B,A40,Mouvements!$F:$F,"Départ")</f>
        <v>0</v>
      </c>
      <c r="H40" s="17" t="str">
        <f>SUMIFS(Mouvements!$G:$G,Mouvements!$B:$B,A40,Mouvements!$F:$F,"Retour")</f>
        <v>0</v>
      </c>
      <c r="I40" s="17" t="str">
        <f>SUMIFS(Mouvements!$I:$I,Mouvements!$B:$B,A40,Mouvements!$F:$F,"Entrée stock")+SUMIFS(Mouvements!$I:$I,Mouvements!$B:$B,A40,Mouvements!$F:$F,"Correction +")+SUMIFS(Mouvements!$I:$I,Mouvements!$B:$B,A40,Mouvements!$F:$F,"Correction -")</f>
        <v>0</v>
      </c>
      <c r="J40" s="17" t="str">
        <f t="shared" si="1"/>
        <v/>
      </c>
      <c r="K40" s="19" t="str">
        <f>Articles!G40</f>
        <v/>
      </c>
      <c r="L40" s="17" t="str">
        <f t="shared" si="2"/>
        <v/>
      </c>
      <c r="M40" s="17" t="str">
        <f t="shared" si="3"/>
        <v/>
      </c>
      <c r="N40" s="18" t="str">
        <f>IF(A40="","",J40*Articles!H40)</f>
        <v/>
      </c>
    </row>
    <row r="41" ht="15.75" customHeight="1">
      <c r="A41" s="19" t="str">
        <f>Articles!A41</f>
        <v/>
      </c>
      <c r="B41" s="19" t="str">
        <f>Articles!B41</f>
        <v/>
      </c>
      <c r="C41" s="19" t="str">
        <f>Articles!C41</f>
        <v/>
      </c>
      <c r="D41" s="19" t="str">
        <f>Articles!D41</f>
        <v/>
      </c>
      <c r="E41" s="19" t="str">
        <f>Articles!E41</f>
        <v/>
      </c>
      <c r="F41" s="19" t="str">
        <f>Articles!F41</f>
        <v/>
      </c>
      <c r="G41" s="17" t="str">
        <f>SUMIFS(Mouvements!$G:$G,Mouvements!$B:$B,A41,Mouvements!$F:$F,"Départ")</f>
        <v>0</v>
      </c>
      <c r="H41" s="17" t="str">
        <f>SUMIFS(Mouvements!$G:$G,Mouvements!$B:$B,A41,Mouvements!$F:$F,"Retour")</f>
        <v>0</v>
      </c>
      <c r="I41" s="17" t="str">
        <f>SUMIFS(Mouvements!$I:$I,Mouvements!$B:$B,A41,Mouvements!$F:$F,"Entrée stock")+SUMIFS(Mouvements!$I:$I,Mouvements!$B:$B,A41,Mouvements!$F:$F,"Correction +")+SUMIFS(Mouvements!$I:$I,Mouvements!$B:$B,A41,Mouvements!$F:$F,"Correction -")</f>
        <v>0</v>
      </c>
      <c r="J41" s="17" t="str">
        <f t="shared" si="1"/>
        <v/>
      </c>
      <c r="K41" s="19" t="str">
        <f>Articles!G41</f>
        <v/>
      </c>
      <c r="L41" s="17" t="str">
        <f t="shared" si="2"/>
        <v/>
      </c>
      <c r="M41" s="17" t="str">
        <f t="shared" si="3"/>
        <v/>
      </c>
      <c r="N41" s="18" t="str">
        <f>IF(A41="","",J41*Articles!H41)</f>
        <v/>
      </c>
    </row>
    <row r="42" ht="15.75" customHeight="1">
      <c r="A42" s="19" t="str">
        <f>Articles!A42</f>
        <v/>
      </c>
      <c r="B42" s="19" t="str">
        <f>Articles!B42</f>
        <v/>
      </c>
      <c r="C42" s="19" t="str">
        <f>Articles!C42</f>
        <v/>
      </c>
      <c r="D42" s="19" t="str">
        <f>Articles!D42</f>
        <v/>
      </c>
      <c r="E42" s="19" t="str">
        <f>Articles!E42</f>
        <v/>
      </c>
      <c r="F42" s="19" t="str">
        <f>Articles!F42</f>
        <v/>
      </c>
      <c r="G42" s="17" t="str">
        <f>SUMIFS(Mouvements!$G:$G,Mouvements!$B:$B,A42,Mouvements!$F:$F,"Départ")</f>
        <v>0</v>
      </c>
      <c r="H42" s="17" t="str">
        <f>SUMIFS(Mouvements!$G:$G,Mouvements!$B:$B,A42,Mouvements!$F:$F,"Retour")</f>
        <v>0</v>
      </c>
      <c r="I42" s="17" t="str">
        <f>SUMIFS(Mouvements!$I:$I,Mouvements!$B:$B,A42,Mouvements!$F:$F,"Entrée stock")+SUMIFS(Mouvements!$I:$I,Mouvements!$B:$B,A42,Mouvements!$F:$F,"Correction +")+SUMIFS(Mouvements!$I:$I,Mouvements!$B:$B,A42,Mouvements!$F:$F,"Correction -")</f>
        <v>0</v>
      </c>
      <c r="J42" s="17" t="str">
        <f t="shared" si="1"/>
        <v/>
      </c>
      <c r="K42" s="19" t="str">
        <f>Articles!G42</f>
        <v/>
      </c>
      <c r="L42" s="17" t="str">
        <f t="shared" si="2"/>
        <v/>
      </c>
      <c r="M42" s="17" t="str">
        <f t="shared" si="3"/>
        <v/>
      </c>
      <c r="N42" s="18" t="str">
        <f>IF(A42="","",J42*Articles!H42)</f>
        <v/>
      </c>
    </row>
    <row r="43" ht="15.75" customHeight="1">
      <c r="A43" s="19" t="str">
        <f>Articles!A43</f>
        <v/>
      </c>
      <c r="B43" s="19" t="str">
        <f>Articles!B43</f>
        <v/>
      </c>
      <c r="C43" s="19" t="str">
        <f>Articles!C43</f>
        <v/>
      </c>
      <c r="D43" s="19" t="str">
        <f>Articles!D43</f>
        <v/>
      </c>
      <c r="E43" s="19" t="str">
        <f>Articles!E43</f>
        <v/>
      </c>
      <c r="F43" s="19" t="str">
        <f>Articles!F43</f>
        <v/>
      </c>
      <c r="G43" s="17" t="str">
        <f>SUMIFS(Mouvements!$G:$G,Mouvements!$B:$B,A43,Mouvements!$F:$F,"Départ")</f>
        <v>0</v>
      </c>
      <c r="H43" s="17" t="str">
        <f>SUMIFS(Mouvements!$G:$G,Mouvements!$B:$B,A43,Mouvements!$F:$F,"Retour")</f>
        <v>0</v>
      </c>
      <c r="I43" s="17" t="str">
        <f>SUMIFS(Mouvements!$I:$I,Mouvements!$B:$B,A43,Mouvements!$F:$F,"Entrée stock")+SUMIFS(Mouvements!$I:$I,Mouvements!$B:$B,A43,Mouvements!$F:$F,"Correction +")+SUMIFS(Mouvements!$I:$I,Mouvements!$B:$B,A43,Mouvements!$F:$F,"Correction -")</f>
        <v>0</v>
      </c>
      <c r="J43" s="17" t="str">
        <f t="shared" si="1"/>
        <v/>
      </c>
      <c r="K43" s="19" t="str">
        <f>Articles!G43</f>
        <v/>
      </c>
      <c r="L43" s="17" t="str">
        <f t="shared" si="2"/>
        <v/>
      </c>
      <c r="M43" s="17" t="str">
        <f t="shared" si="3"/>
        <v/>
      </c>
      <c r="N43" s="18" t="str">
        <f>IF(A43="","",J43*Articles!H43)</f>
        <v/>
      </c>
    </row>
    <row r="44" ht="15.75" customHeight="1">
      <c r="A44" s="19" t="str">
        <f>Articles!A44</f>
        <v/>
      </c>
      <c r="B44" s="19" t="str">
        <f>Articles!B44</f>
        <v/>
      </c>
      <c r="C44" s="19" t="str">
        <f>Articles!C44</f>
        <v/>
      </c>
      <c r="D44" s="19" t="str">
        <f>Articles!D44</f>
        <v/>
      </c>
      <c r="E44" s="19" t="str">
        <f>Articles!E44</f>
        <v/>
      </c>
      <c r="F44" s="19" t="str">
        <f>Articles!F44</f>
        <v/>
      </c>
      <c r="G44" s="17" t="str">
        <f>SUMIFS(Mouvements!$G:$G,Mouvements!$B:$B,A44,Mouvements!$F:$F,"Départ")</f>
        <v>0</v>
      </c>
      <c r="H44" s="17" t="str">
        <f>SUMIFS(Mouvements!$G:$G,Mouvements!$B:$B,A44,Mouvements!$F:$F,"Retour")</f>
        <v>0</v>
      </c>
      <c r="I44" s="17" t="str">
        <f>SUMIFS(Mouvements!$I:$I,Mouvements!$B:$B,A44,Mouvements!$F:$F,"Entrée stock")+SUMIFS(Mouvements!$I:$I,Mouvements!$B:$B,A44,Mouvements!$F:$F,"Correction +")+SUMIFS(Mouvements!$I:$I,Mouvements!$B:$B,A44,Mouvements!$F:$F,"Correction -")</f>
        <v>0</v>
      </c>
      <c r="J44" s="17" t="str">
        <f t="shared" si="1"/>
        <v/>
      </c>
      <c r="K44" s="19" t="str">
        <f>Articles!G44</f>
        <v/>
      </c>
      <c r="L44" s="17" t="str">
        <f t="shared" si="2"/>
        <v/>
      </c>
      <c r="M44" s="17" t="str">
        <f t="shared" si="3"/>
        <v/>
      </c>
      <c r="N44" s="18" t="str">
        <f>IF(A44="","",J44*Articles!H44)</f>
        <v/>
      </c>
    </row>
    <row r="45" ht="15.75" customHeight="1">
      <c r="A45" s="19" t="str">
        <f>Articles!A45</f>
        <v/>
      </c>
      <c r="B45" s="19" t="str">
        <f>Articles!B45</f>
        <v/>
      </c>
      <c r="C45" s="19" t="str">
        <f>Articles!C45</f>
        <v/>
      </c>
      <c r="D45" s="19" t="str">
        <f>Articles!D45</f>
        <v/>
      </c>
      <c r="E45" s="19" t="str">
        <f>Articles!E45</f>
        <v/>
      </c>
      <c r="F45" s="19" t="str">
        <f>Articles!F45</f>
        <v/>
      </c>
      <c r="G45" s="17" t="str">
        <f>SUMIFS(Mouvements!$G:$G,Mouvements!$B:$B,A45,Mouvements!$F:$F,"Départ")</f>
        <v>0</v>
      </c>
      <c r="H45" s="17" t="str">
        <f>SUMIFS(Mouvements!$G:$G,Mouvements!$B:$B,A45,Mouvements!$F:$F,"Retour")</f>
        <v>0</v>
      </c>
      <c r="I45" s="17" t="str">
        <f>SUMIFS(Mouvements!$I:$I,Mouvements!$B:$B,A45,Mouvements!$F:$F,"Entrée stock")+SUMIFS(Mouvements!$I:$I,Mouvements!$B:$B,A45,Mouvements!$F:$F,"Correction +")+SUMIFS(Mouvements!$I:$I,Mouvements!$B:$B,A45,Mouvements!$F:$F,"Correction -")</f>
        <v>0</v>
      </c>
      <c r="J45" s="17" t="str">
        <f t="shared" si="1"/>
        <v/>
      </c>
      <c r="K45" s="19" t="str">
        <f>Articles!G45</f>
        <v/>
      </c>
      <c r="L45" s="17" t="str">
        <f t="shared" si="2"/>
        <v/>
      </c>
      <c r="M45" s="17" t="str">
        <f t="shared" si="3"/>
        <v/>
      </c>
      <c r="N45" s="18" t="str">
        <f>IF(A45="","",J45*Articles!H45)</f>
        <v/>
      </c>
    </row>
    <row r="46" ht="15.75" customHeight="1">
      <c r="A46" s="19" t="str">
        <f>Articles!A46</f>
        <v/>
      </c>
      <c r="B46" s="19" t="str">
        <f>Articles!B46</f>
        <v/>
      </c>
      <c r="C46" s="19" t="str">
        <f>Articles!C46</f>
        <v/>
      </c>
      <c r="D46" s="19" t="str">
        <f>Articles!D46</f>
        <v/>
      </c>
      <c r="E46" s="19" t="str">
        <f>Articles!E46</f>
        <v/>
      </c>
      <c r="F46" s="19" t="str">
        <f>Articles!F46</f>
        <v/>
      </c>
      <c r="G46" s="17" t="str">
        <f>SUMIFS(Mouvements!$G:$G,Mouvements!$B:$B,A46,Mouvements!$F:$F,"Départ")</f>
        <v>0</v>
      </c>
      <c r="H46" s="17" t="str">
        <f>SUMIFS(Mouvements!$G:$G,Mouvements!$B:$B,A46,Mouvements!$F:$F,"Retour")</f>
        <v>0</v>
      </c>
      <c r="I46" s="17" t="str">
        <f>SUMIFS(Mouvements!$I:$I,Mouvements!$B:$B,A46,Mouvements!$F:$F,"Entrée stock")+SUMIFS(Mouvements!$I:$I,Mouvements!$B:$B,A46,Mouvements!$F:$F,"Correction +")+SUMIFS(Mouvements!$I:$I,Mouvements!$B:$B,A46,Mouvements!$F:$F,"Correction -")</f>
        <v>0</v>
      </c>
      <c r="J46" s="17" t="str">
        <f t="shared" si="1"/>
        <v/>
      </c>
      <c r="K46" s="19" t="str">
        <f>Articles!G46</f>
        <v/>
      </c>
      <c r="L46" s="17" t="str">
        <f t="shared" si="2"/>
        <v/>
      </c>
      <c r="M46" s="17" t="str">
        <f t="shared" si="3"/>
        <v/>
      </c>
      <c r="N46" s="18" t="str">
        <f>IF(A46="","",J46*Articles!H46)</f>
        <v/>
      </c>
    </row>
    <row r="47" ht="15.75" customHeight="1">
      <c r="A47" s="19" t="str">
        <f>Articles!A47</f>
        <v/>
      </c>
      <c r="B47" s="19" t="str">
        <f>Articles!B47</f>
        <v/>
      </c>
      <c r="C47" s="19" t="str">
        <f>Articles!C47</f>
        <v/>
      </c>
      <c r="D47" s="19" t="str">
        <f>Articles!D47</f>
        <v/>
      </c>
      <c r="E47" s="19" t="str">
        <f>Articles!E47</f>
        <v/>
      </c>
      <c r="F47" s="19" t="str">
        <f>Articles!F47</f>
        <v/>
      </c>
      <c r="G47" s="17" t="str">
        <f>SUMIFS(Mouvements!$G:$G,Mouvements!$B:$B,A47,Mouvements!$F:$F,"Départ")</f>
        <v>0</v>
      </c>
      <c r="H47" s="17" t="str">
        <f>SUMIFS(Mouvements!$G:$G,Mouvements!$B:$B,A47,Mouvements!$F:$F,"Retour")</f>
        <v>0</v>
      </c>
      <c r="I47" s="17" t="str">
        <f>SUMIFS(Mouvements!$I:$I,Mouvements!$B:$B,A47,Mouvements!$F:$F,"Entrée stock")+SUMIFS(Mouvements!$I:$I,Mouvements!$B:$B,A47,Mouvements!$F:$F,"Correction +")+SUMIFS(Mouvements!$I:$I,Mouvements!$B:$B,A47,Mouvements!$F:$F,"Correction -")</f>
        <v>0</v>
      </c>
      <c r="J47" s="17" t="str">
        <f t="shared" si="1"/>
        <v/>
      </c>
      <c r="K47" s="19" t="str">
        <f>Articles!G47</f>
        <v/>
      </c>
      <c r="L47" s="17" t="str">
        <f t="shared" si="2"/>
        <v/>
      </c>
      <c r="M47" s="17" t="str">
        <f t="shared" si="3"/>
        <v/>
      </c>
      <c r="N47" s="18" t="str">
        <f>IF(A47="","",J47*Articles!H47)</f>
        <v/>
      </c>
    </row>
    <row r="48" ht="15.75" customHeight="1">
      <c r="A48" s="19" t="str">
        <f>Articles!A48</f>
        <v/>
      </c>
      <c r="B48" s="19" t="str">
        <f>Articles!B48</f>
        <v/>
      </c>
      <c r="C48" s="19" t="str">
        <f>Articles!C48</f>
        <v/>
      </c>
      <c r="D48" s="19" t="str">
        <f>Articles!D48</f>
        <v/>
      </c>
      <c r="E48" s="19" t="str">
        <f>Articles!E48</f>
        <v/>
      </c>
      <c r="F48" s="19" t="str">
        <f>Articles!F48</f>
        <v/>
      </c>
      <c r="G48" s="17" t="str">
        <f>SUMIFS(Mouvements!$G:$G,Mouvements!$B:$B,A48,Mouvements!$F:$F,"Départ")</f>
        <v>0</v>
      </c>
      <c r="H48" s="17" t="str">
        <f>SUMIFS(Mouvements!$G:$G,Mouvements!$B:$B,A48,Mouvements!$F:$F,"Retour")</f>
        <v>0</v>
      </c>
      <c r="I48" s="17" t="str">
        <f>SUMIFS(Mouvements!$I:$I,Mouvements!$B:$B,A48,Mouvements!$F:$F,"Entrée stock")+SUMIFS(Mouvements!$I:$I,Mouvements!$B:$B,A48,Mouvements!$F:$F,"Correction +")+SUMIFS(Mouvements!$I:$I,Mouvements!$B:$B,A48,Mouvements!$F:$F,"Correction -")</f>
        <v>0</v>
      </c>
      <c r="J48" s="17" t="str">
        <f t="shared" si="1"/>
        <v/>
      </c>
      <c r="K48" s="19" t="str">
        <f>Articles!G48</f>
        <v/>
      </c>
      <c r="L48" s="17" t="str">
        <f t="shared" si="2"/>
        <v/>
      </c>
      <c r="M48" s="17" t="str">
        <f t="shared" si="3"/>
        <v/>
      </c>
      <c r="N48" s="18" t="str">
        <f>IF(A48="","",J48*Articles!H48)</f>
        <v/>
      </c>
    </row>
    <row r="49" ht="15.75" customHeight="1">
      <c r="A49" s="19" t="str">
        <f>Articles!A49</f>
        <v/>
      </c>
      <c r="B49" s="19" t="str">
        <f>Articles!B49</f>
        <v/>
      </c>
      <c r="C49" s="19" t="str">
        <f>Articles!C49</f>
        <v/>
      </c>
      <c r="D49" s="19" t="str">
        <f>Articles!D49</f>
        <v/>
      </c>
      <c r="E49" s="19" t="str">
        <f>Articles!E49</f>
        <v/>
      </c>
      <c r="F49" s="19" t="str">
        <f>Articles!F49</f>
        <v/>
      </c>
      <c r="G49" s="17" t="str">
        <f>SUMIFS(Mouvements!$G:$G,Mouvements!$B:$B,A49,Mouvements!$F:$F,"Départ")</f>
        <v>0</v>
      </c>
      <c r="H49" s="17" t="str">
        <f>SUMIFS(Mouvements!$G:$G,Mouvements!$B:$B,A49,Mouvements!$F:$F,"Retour")</f>
        <v>0</v>
      </c>
      <c r="I49" s="17" t="str">
        <f>SUMIFS(Mouvements!$I:$I,Mouvements!$B:$B,A49,Mouvements!$F:$F,"Entrée stock")+SUMIFS(Mouvements!$I:$I,Mouvements!$B:$B,A49,Mouvements!$F:$F,"Correction +")+SUMIFS(Mouvements!$I:$I,Mouvements!$B:$B,A49,Mouvements!$F:$F,"Correction -")</f>
        <v>0</v>
      </c>
      <c r="J49" s="17" t="str">
        <f t="shared" si="1"/>
        <v/>
      </c>
      <c r="K49" s="19" t="str">
        <f>Articles!G49</f>
        <v/>
      </c>
      <c r="L49" s="17" t="str">
        <f t="shared" si="2"/>
        <v/>
      </c>
      <c r="M49" s="17" t="str">
        <f t="shared" si="3"/>
        <v/>
      </c>
      <c r="N49" s="18" t="str">
        <f>IF(A49="","",J49*Articles!H49)</f>
        <v/>
      </c>
    </row>
    <row r="50" ht="15.75" customHeight="1">
      <c r="A50" s="19" t="str">
        <f>Articles!A50</f>
        <v/>
      </c>
      <c r="B50" s="19" t="str">
        <f>Articles!B50</f>
        <v/>
      </c>
      <c r="C50" s="19" t="str">
        <f>Articles!C50</f>
        <v/>
      </c>
      <c r="D50" s="19" t="str">
        <f>Articles!D50</f>
        <v/>
      </c>
      <c r="E50" s="19" t="str">
        <f>Articles!E50</f>
        <v/>
      </c>
      <c r="F50" s="19" t="str">
        <f>Articles!F50</f>
        <v/>
      </c>
      <c r="G50" s="17" t="str">
        <f>SUMIFS(Mouvements!$G:$G,Mouvements!$B:$B,A50,Mouvements!$F:$F,"Départ")</f>
        <v>0</v>
      </c>
      <c r="H50" s="17" t="str">
        <f>SUMIFS(Mouvements!$G:$G,Mouvements!$B:$B,A50,Mouvements!$F:$F,"Retour")</f>
        <v>0</v>
      </c>
      <c r="I50" s="17" t="str">
        <f>SUMIFS(Mouvements!$I:$I,Mouvements!$B:$B,A50,Mouvements!$F:$F,"Entrée stock")+SUMIFS(Mouvements!$I:$I,Mouvements!$B:$B,A50,Mouvements!$F:$F,"Correction +")+SUMIFS(Mouvements!$I:$I,Mouvements!$B:$B,A50,Mouvements!$F:$F,"Correction -")</f>
        <v>0</v>
      </c>
      <c r="J50" s="17" t="str">
        <f t="shared" si="1"/>
        <v/>
      </c>
      <c r="K50" s="19" t="str">
        <f>Articles!G50</f>
        <v/>
      </c>
      <c r="L50" s="17" t="str">
        <f t="shared" si="2"/>
        <v/>
      </c>
      <c r="M50" s="17" t="str">
        <f t="shared" si="3"/>
        <v/>
      </c>
      <c r="N50" s="18" t="str">
        <f>IF(A50="","",J50*Articles!H50)</f>
        <v/>
      </c>
    </row>
    <row r="51" ht="15.75" customHeight="1">
      <c r="A51" s="19" t="str">
        <f>Articles!A51</f>
        <v/>
      </c>
      <c r="B51" s="19" t="str">
        <f>Articles!B51</f>
        <v/>
      </c>
      <c r="C51" s="19" t="str">
        <f>Articles!C51</f>
        <v/>
      </c>
      <c r="D51" s="19" t="str">
        <f>Articles!D51</f>
        <v/>
      </c>
      <c r="E51" s="19" t="str">
        <f>Articles!E51</f>
        <v/>
      </c>
      <c r="F51" s="19" t="str">
        <f>Articles!F51</f>
        <v/>
      </c>
      <c r="G51" s="17" t="str">
        <f>SUMIFS(Mouvements!$G:$G,Mouvements!$B:$B,A51,Mouvements!$F:$F,"Départ")</f>
        <v>0</v>
      </c>
      <c r="H51" s="17" t="str">
        <f>SUMIFS(Mouvements!$G:$G,Mouvements!$B:$B,A51,Mouvements!$F:$F,"Retour")</f>
        <v>0</v>
      </c>
      <c r="I51" s="17" t="str">
        <f>SUMIFS(Mouvements!$I:$I,Mouvements!$B:$B,A51,Mouvements!$F:$F,"Entrée stock")+SUMIFS(Mouvements!$I:$I,Mouvements!$B:$B,A51,Mouvements!$F:$F,"Correction +")+SUMIFS(Mouvements!$I:$I,Mouvements!$B:$B,A51,Mouvements!$F:$F,"Correction -")</f>
        <v>0</v>
      </c>
      <c r="J51" s="17" t="str">
        <f t="shared" si="1"/>
        <v/>
      </c>
      <c r="K51" s="19" t="str">
        <f>Articles!G51</f>
        <v/>
      </c>
      <c r="L51" s="17" t="str">
        <f t="shared" si="2"/>
        <v/>
      </c>
      <c r="M51" s="17" t="str">
        <f t="shared" si="3"/>
        <v/>
      </c>
      <c r="N51" s="18" t="str">
        <f>IF(A51="","",J51*Articles!H51)</f>
        <v/>
      </c>
    </row>
    <row r="52" ht="15.75" customHeight="1">
      <c r="A52" s="19" t="str">
        <f>Articles!A52</f>
        <v/>
      </c>
      <c r="B52" s="19" t="str">
        <f>Articles!B52</f>
        <v/>
      </c>
      <c r="C52" s="19" t="str">
        <f>Articles!C52</f>
        <v/>
      </c>
      <c r="D52" s="19" t="str">
        <f>Articles!D52</f>
        <v/>
      </c>
      <c r="E52" s="19" t="str">
        <f>Articles!E52</f>
        <v/>
      </c>
      <c r="F52" s="19" t="str">
        <f>Articles!F52</f>
        <v/>
      </c>
      <c r="G52" s="17" t="str">
        <f>SUMIFS(Mouvements!$G:$G,Mouvements!$B:$B,A52,Mouvements!$F:$F,"Départ")</f>
        <v>0</v>
      </c>
      <c r="H52" s="17" t="str">
        <f>SUMIFS(Mouvements!$G:$G,Mouvements!$B:$B,A52,Mouvements!$F:$F,"Retour")</f>
        <v>0</v>
      </c>
      <c r="I52" s="17" t="str">
        <f>SUMIFS(Mouvements!$I:$I,Mouvements!$B:$B,A52,Mouvements!$F:$F,"Entrée stock")+SUMIFS(Mouvements!$I:$I,Mouvements!$B:$B,A52,Mouvements!$F:$F,"Correction +")+SUMIFS(Mouvements!$I:$I,Mouvements!$B:$B,A52,Mouvements!$F:$F,"Correction -")</f>
        <v>0</v>
      </c>
      <c r="J52" s="17" t="str">
        <f t="shared" si="1"/>
        <v/>
      </c>
      <c r="K52" s="19" t="str">
        <f>Articles!G52</f>
        <v/>
      </c>
      <c r="L52" s="17" t="str">
        <f t="shared" si="2"/>
        <v/>
      </c>
      <c r="M52" s="17" t="str">
        <f t="shared" si="3"/>
        <v/>
      </c>
      <c r="N52" s="18" t="str">
        <f>IF(A52="","",J52*Articles!H52)</f>
        <v/>
      </c>
    </row>
    <row r="53" ht="15.75" customHeight="1">
      <c r="A53" s="19" t="str">
        <f>Articles!A53</f>
        <v/>
      </c>
      <c r="B53" s="19" t="str">
        <f>Articles!B53</f>
        <v/>
      </c>
      <c r="C53" s="19" t="str">
        <f>Articles!C53</f>
        <v/>
      </c>
      <c r="D53" s="19" t="str">
        <f>Articles!D53</f>
        <v/>
      </c>
      <c r="E53" s="19" t="str">
        <f>Articles!E53</f>
        <v/>
      </c>
      <c r="F53" s="19" t="str">
        <f>Articles!F53</f>
        <v/>
      </c>
      <c r="G53" s="17" t="str">
        <f>SUMIFS(Mouvements!$G:$G,Mouvements!$B:$B,A53,Mouvements!$F:$F,"Départ")</f>
        <v>0</v>
      </c>
      <c r="H53" s="17" t="str">
        <f>SUMIFS(Mouvements!$G:$G,Mouvements!$B:$B,A53,Mouvements!$F:$F,"Retour")</f>
        <v>0</v>
      </c>
      <c r="I53" s="17" t="str">
        <f>SUMIFS(Mouvements!$I:$I,Mouvements!$B:$B,A53,Mouvements!$F:$F,"Entrée stock")+SUMIFS(Mouvements!$I:$I,Mouvements!$B:$B,A53,Mouvements!$F:$F,"Correction +")+SUMIFS(Mouvements!$I:$I,Mouvements!$B:$B,A53,Mouvements!$F:$F,"Correction -")</f>
        <v>0</v>
      </c>
      <c r="J53" s="17" t="str">
        <f t="shared" si="1"/>
        <v/>
      </c>
      <c r="K53" s="19" t="str">
        <f>Articles!G53</f>
        <v/>
      </c>
      <c r="L53" s="17" t="str">
        <f t="shared" si="2"/>
        <v/>
      </c>
      <c r="M53" s="17" t="str">
        <f t="shared" si="3"/>
        <v/>
      </c>
      <c r="N53" s="18" t="str">
        <f>IF(A53="","",J53*Articles!H53)</f>
        <v/>
      </c>
    </row>
    <row r="54" ht="15.75" customHeight="1">
      <c r="A54" s="19" t="str">
        <f>Articles!A54</f>
        <v/>
      </c>
      <c r="B54" s="19" t="str">
        <f>Articles!B54</f>
        <v/>
      </c>
      <c r="C54" s="19" t="str">
        <f>Articles!C54</f>
        <v/>
      </c>
      <c r="D54" s="19" t="str">
        <f>Articles!D54</f>
        <v/>
      </c>
      <c r="E54" s="19" t="str">
        <f>Articles!E54</f>
        <v/>
      </c>
      <c r="F54" s="19" t="str">
        <f>Articles!F54</f>
        <v/>
      </c>
      <c r="G54" s="17" t="str">
        <f>SUMIFS(Mouvements!$G:$G,Mouvements!$B:$B,A54,Mouvements!$F:$F,"Départ")</f>
        <v>0</v>
      </c>
      <c r="H54" s="17" t="str">
        <f>SUMIFS(Mouvements!$G:$G,Mouvements!$B:$B,A54,Mouvements!$F:$F,"Retour")</f>
        <v>0</v>
      </c>
      <c r="I54" s="17" t="str">
        <f>SUMIFS(Mouvements!$I:$I,Mouvements!$B:$B,A54,Mouvements!$F:$F,"Entrée stock")+SUMIFS(Mouvements!$I:$I,Mouvements!$B:$B,A54,Mouvements!$F:$F,"Correction +")+SUMIFS(Mouvements!$I:$I,Mouvements!$B:$B,A54,Mouvements!$F:$F,"Correction -")</f>
        <v>0</v>
      </c>
      <c r="J54" s="17" t="str">
        <f t="shared" si="1"/>
        <v/>
      </c>
      <c r="K54" s="19" t="str">
        <f>Articles!G54</f>
        <v/>
      </c>
      <c r="L54" s="17" t="str">
        <f t="shared" si="2"/>
        <v/>
      </c>
      <c r="M54" s="17" t="str">
        <f t="shared" si="3"/>
        <v/>
      </c>
      <c r="N54" s="18" t="str">
        <f>IF(A54="","",J54*Articles!H54)</f>
        <v/>
      </c>
    </row>
    <row r="55" ht="15.75" customHeight="1">
      <c r="A55" s="19" t="str">
        <f>Articles!A55</f>
        <v/>
      </c>
      <c r="B55" s="19" t="str">
        <f>Articles!B55</f>
        <v/>
      </c>
      <c r="C55" s="19" t="str">
        <f>Articles!C55</f>
        <v/>
      </c>
      <c r="D55" s="19" t="str">
        <f>Articles!D55</f>
        <v/>
      </c>
      <c r="E55" s="19" t="str">
        <f>Articles!E55</f>
        <v/>
      </c>
      <c r="F55" s="19" t="str">
        <f>Articles!F55</f>
        <v/>
      </c>
      <c r="G55" s="17" t="str">
        <f>SUMIFS(Mouvements!$G:$G,Mouvements!$B:$B,A55,Mouvements!$F:$F,"Départ")</f>
        <v>0</v>
      </c>
      <c r="H55" s="17" t="str">
        <f>SUMIFS(Mouvements!$G:$G,Mouvements!$B:$B,A55,Mouvements!$F:$F,"Retour")</f>
        <v>0</v>
      </c>
      <c r="I55" s="17" t="str">
        <f>SUMIFS(Mouvements!$I:$I,Mouvements!$B:$B,A55,Mouvements!$F:$F,"Entrée stock")+SUMIFS(Mouvements!$I:$I,Mouvements!$B:$B,A55,Mouvements!$F:$F,"Correction +")+SUMIFS(Mouvements!$I:$I,Mouvements!$B:$B,A55,Mouvements!$F:$F,"Correction -")</f>
        <v>0</v>
      </c>
      <c r="J55" s="17" t="str">
        <f t="shared" si="1"/>
        <v/>
      </c>
      <c r="K55" s="19" t="str">
        <f>Articles!G55</f>
        <v/>
      </c>
      <c r="L55" s="17" t="str">
        <f t="shared" si="2"/>
        <v/>
      </c>
      <c r="M55" s="17" t="str">
        <f t="shared" si="3"/>
        <v/>
      </c>
      <c r="N55" s="18" t="str">
        <f>IF(A55="","",J55*Articles!H55)</f>
        <v/>
      </c>
    </row>
    <row r="56" ht="15.75" customHeight="1">
      <c r="A56" s="19" t="str">
        <f>Articles!A56</f>
        <v/>
      </c>
      <c r="B56" s="19" t="str">
        <f>Articles!B56</f>
        <v/>
      </c>
      <c r="C56" s="19" t="str">
        <f>Articles!C56</f>
        <v/>
      </c>
      <c r="D56" s="19" t="str">
        <f>Articles!D56</f>
        <v/>
      </c>
      <c r="E56" s="19" t="str">
        <f>Articles!E56</f>
        <v/>
      </c>
      <c r="F56" s="19" t="str">
        <f>Articles!F56</f>
        <v/>
      </c>
      <c r="G56" s="17" t="str">
        <f>SUMIFS(Mouvements!$G:$G,Mouvements!$B:$B,A56,Mouvements!$F:$F,"Départ")</f>
        <v>0</v>
      </c>
      <c r="H56" s="17" t="str">
        <f>SUMIFS(Mouvements!$G:$G,Mouvements!$B:$B,A56,Mouvements!$F:$F,"Retour")</f>
        <v>0</v>
      </c>
      <c r="I56" s="17" t="str">
        <f>SUMIFS(Mouvements!$I:$I,Mouvements!$B:$B,A56,Mouvements!$F:$F,"Entrée stock")+SUMIFS(Mouvements!$I:$I,Mouvements!$B:$B,A56,Mouvements!$F:$F,"Correction +")+SUMIFS(Mouvements!$I:$I,Mouvements!$B:$B,A56,Mouvements!$F:$F,"Correction -")</f>
        <v>0</v>
      </c>
      <c r="J56" s="17" t="str">
        <f t="shared" si="1"/>
        <v/>
      </c>
      <c r="K56" s="19" t="str">
        <f>Articles!G56</f>
        <v/>
      </c>
      <c r="L56" s="17" t="str">
        <f t="shared" si="2"/>
        <v/>
      </c>
      <c r="M56" s="17" t="str">
        <f t="shared" si="3"/>
        <v/>
      </c>
      <c r="N56" s="18" t="str">
        <f>IF(A56="","",J56*Articles!H56)</f>
        <v/>
      </c>
    </row>
    <row r="57" ht="15.75" customHeight="1">
      <c r="A57" s="19" t="str">
        <f>Articles!A57</f>
        <v/>
      </c>
      <c r="B57" s="19" t="str">
        <f>Articles!B57</f>
        <v/>
      </c>
      <c r="C57" s="19" t="str">
        <f>Articles!C57</f>
        <v/>
      </c>
      <c r="D57" s="19" t="str">
        <f>Articles!D57</f>
        <v/>
      </c>
      <c r="E57" s="19" t="str">
        <f>Articles!E57</f>
        <v/>
      </c>
      <c r="F57" s="19" t="str">
        <f>Articles!F57</f>
        <v/>
      </c>
      <c r="G57" s="17" t="str">
        <f>SUMIFS(Mouvements!$G:$G,Mouvements!$B:$B,A57,Mouvements!$F:$F,"Départ")</f>
        <v>0</v>
      </c>
      <c r="H57" s="17" t="str">
        <f>SUMIFS(Mouvements!$G:$G,Mouvements!$B:$B,A57,Mouvements!$F:$F,"Retour")</f>
        <v>0</v>
      </c>
      <c r="I57" s="17" t="str">
        <f>SUMIFS(Mouvements!$I:$I,Mouvements!$B:$B,A57,Mouvements!$F:$F,"Entrée stock")+SUMIFS(Mouvements!$I:$I,Mouvements!$B:$B,A57,Mouvements!$F:$F,"Correction +")+SUMIFS(Mouvements!$I:$I,Mouvements!$B:$B,A57,Mouvements!$F:$F,"Correction -")</f>
        <v>0</v>
      </c>
      <c r="J57" s="17" t="str">
        <f t="shared" si="1"/>
        <v/>
      </c>
      <c r="K57" s="19" t="str">
        <f>Articles!G57</f>
        <v/>
      </c>
      <c r="L57" s="17" t="str">
        <f t="shared" si="2"/>
        <v/>
      </c>
      <c r="M57" s="17" t="str">
        <f t="shared" si="3"/>
        <v/>
      </c>
      <c r="N57" s="18" t="str">
        <f>IF(A57="","",J57*Articles!H57)</f>
        <v/>
      </c>
    </row>
    <row r="58" ht="15.75" customHeight="1">
      <c r="A58" s="19" t="str">
        <f>Articles!A58</f>
        <v/>
      </c>
      <c r="B58" s="19" t="str">
        <f>Articles!B58</f>
        <v/>
      </c>
      <c r="C58" s="19" t="str">
        <f>Articles!C58</f>
        <v/>
      </c>
      <c r="D58" s="19" t="str">
        <f>Articles!D58</f>
        <v/>
      </c>
      <c r="E58" s="19" t="str">
        <f>Articles!E58</f>
        <v/>
      </c>
      <c r="F58" s="19" t="str">
        <f>Articles!F58</f>
        <v/>
      </c>
      <c r="G58" s="17" t="str">
        <f>SUMIFS(Mouvements!$G:$G,Mouvements!$B:$B,A58,Mouvements!$F:$F,"Départ")</f>
        <v>0</v>
      </c>
      <c r="H58" s="17" t="str">
        <f>SUMIFS(Mouvements!$G:$G,Mouvements!$B:$B,A58,Mouvements!$F:$F,"Retour")</f>
        <v>0</v>
      </c>
      <c r="I58" s="17" t="str">
        <f>SUMIFS(Mouvements!$I:$I,Mouvements!$B:$B,A58,Mouvements!$F:$F,"Entrée stock")+SUMIFS(Mouvements!$I:$I,Mouvements!$B:$B,A58,Mouvements!$F:$F,"Correction +")+SUMIFS(Mouvements!$I:$I,Mouvements!$B:$B,A58,Mouvements!$F:$F,"Correction -")</f>
        <v>0</v>
      </c>
      <c r="J58" s="17" t="str">
        <f t="shared" si="1"/>
        <v/>
      </c>
      <c r="K58" s="19" t="str">
        <f>Articles!G58</f>
        <v/>
      </c>
      <c r="L58" s="17" t="str">
        <f t="shared" si="2"/>
        <v/>
      </c>
      <c r="M58" s="17" t="str">
        <f t="shared" si="3"/>
        <v/>
      </c>
      <c r="N58" s="18" t="str">
        <f>IF(A58="","",J58*Articles!H58)</f>
        <v/>
      </c>
    </row>
    <row r="59" ht="15.75" customHeight="1">
      <c r="A59" s="19" t="str">
        <f>Articles!A59</f>
        <v/>
      </c>
      <c r="B59" s="19" t="str">
        <f>Articles!B59</f>
        <v/>
      </c>
      <c r="C59" s="19" t="str">
        <f>Articles!C59</f>
        <v/>
      </c>
      <c r="D59" s="19" t="str">
        <f>Articles!D59</f>
        <v/>
      </c>
      <c r="E59" s="19" t="str">
        <f>Articles!E59</f>
        <v/>
      </c>
      <c r="F59" s="19" t="str">
        <f>Articles!F59</f>
        <v/>
      </c>
      <c r="G59" s="17" t="str">
        <f>SUMIFS(Mouvements!$G:$G,Mouvements!$B:$B,A59,Mouvements!$F:$F,"Départ")</f>
        <v>0</v>
      </c>
      <c r="H59" s="17" t="str">
        <f>SUMIFS(Mouvements!$G:$G,Mouvements!$B:$B,A59,Mouvements!$F:$F,"Retour")</f>
        <v>0</v>
      </c>
      <c r="I59" s="17" t="str">
        <f>SUMIFS(Mouvements!$I:$I,Mouvements!$B:$B,A59,Mouvements!$F:$F,"Entrée stock")+SUMIFS(Mouvements!$I:$I,Mouvements!$B:$B,A59,Mouvements!$F:$F,"Correction +")+SUMIFS(Mouvements!$I:$I,Mouvements!$B:$B,A59,Mouvements!$F:$F,"Correction -")</f>
        <v>0</v>
      </c>
      <c r="J59" s="17" t="str">
        <f t="shared" si="1"/>
        <v/>
      </c>
      <c r="K59" s="19" t="str">
        <f>Articles!G59</f>
        <v/>
      </c>
      <c r="L59" s="17" t="str">
        <f t="shared" si="2"/>
        <v/>
      </c>
      <c r="M59" s="17" t="str">
        <f t="shared" si="3"/>
        <v/>
      </c>
      <c r="N59" s="18" t="str">
        <f>IF(A59="","",J59*Articles!H59)</f>
        <v/>
      </c>
    </row>
    <row r="60" ht="15.75" customHeight="1">
      <c r="A60" s="19" t="str">
        <f>Articles!A60</f>
        <v/>
      </c>
      <c r="B60" s="19" t="str">
        <f>Articles!B60</f>
        <v/>
      </c>
      <c r="C60" s="19" t="str">
        <f>Articles!C60</f>
        <v/>
      </c>
      <c r="D60" s="19" t="str">
        <f>Articles!D60</f>
        <v/>
      </c>
      <c r="E60" s="19" t="str">
        <f>Articles!E60</f>
        <v/>
      </c>
      <c r="F60" s="19" t="str">
        <f>Articles!F60</f>
        <v/>
      </c>
      <c r="G60" s="17" t="str">
        <f>SUMIFS(Mouvements!$G:$G,Mouvements!$B:$B,A60,Mouvements!$F:$F,"Départ")</f>
        <v>0</v>
      </c>
      <c r="H60" s="17" t="str">
        <f>SUMIFS(Mouvements!$G:$G,Mouvements!$B:$B,A60,Mouvements!$F:$F,"Retour")</f>
        <v>0</v>
      </c>
      <c r="I60" s="17" t="str">
        <f>SUMIFS(Mouvements!$I:$I,Mouvements!$B:$B,A60,Mouvements!$F:$F,"Entrée stock")+SUMIFS(Mouvements!$I:$I,Mouvements!$B:$B,A60,Mouvements!$F:$F,"Correction +")+SUMIFS(Mouvements!$I:$I,Mouvements!$B:$B,A60,Mouvements!$F:$F,"Correction -")</f>
        <v>0</v>
      </c>
      <c r="J60" s="17" t="str">
        <f t="shared" si="1"/>
        <v/>
      </c>
      <c r="K60" s="19" t="str">
        <f>Articles!G60</f>
        <v/>
      </c>
      <c r="L60" s="17" t="str">
        <f t="shared" si="2"/>
        <v/>
      </c>
      <c r="M60" s="17" t="str">
        <f t="shared" si="3"/>
        <v/>
      </c>
      <c r="N60" s="18" t="str">
        <f>IF(A60="","",J60*Articles!H60)</f>
        <v/>
      </c>
    </row>
    <row r="61" ht="15.75" customHeight="1">
      <c r="A61" s="19" t="str">
        <f>Articles!A61</f>
        <v/>
      </c>
      <c r="B61" s="19" t="str">
        <f>Articles!B61</f>
        <v/>
      </c>
      <c r="C61" s="19" t="str">
        <f>Articles!C61</f>
        <v/>
      </c>
      <c r="D61" s="19" t="str">
        <f>Articles!D61</f>
        <v/>
      </c>
      <c r="E61" s="19" t="str">
        <f>Articles!E61</f>
        <v/>
      </c>
      <c r="F61" s="19" t="str">
        <f>Articles!F61</f>
        <v/>
      </c>
      <c r="G61" s="17" t="str">
        <f>SUMIFS(Mouvements!$G:$G,Mouvements!$B:$B,A61,Mouvements!$F:$F,"Départ")</f>
        <v>0</v>
      </c>
      <c r="H61" s="17" t="str">
        <f>SUMIFS(Mouvements!$G:$G,Mouvements!$B:$B,A61,Mouvements!$F:$F,"Retour")</f>
        <v>0</v>
      </c>
      <c r="I61" s="17" t="str">
        <f>SUMIFS(Mouvements!$I:$I,Mouvements!$B:$B,A61,Mouvements!$F:$F,"Entrée stock")+SUMIFS(Mouvements!$I:$I,Mouvements!$B:$B,A61,Mouvements!$F:$F,"Correction +")+SUMIFS(Mouvements!$I:$I,Mouvements!$B:$B,A61,Mouvements!$F:$F,"Correction -")</f>
        <v>0</v>
      </c>
      <c r="J61" s="17" t="str">
        <f t="shared" si="1"/>
        <v/>
      </c>
      <c r="K61" s="19" t="str">
        <f>Articles!G61</f>
        <v/>
      </c>
      <c r="L61" s="17" t="str">
        <f t="shared" si="2"/>
        <v/>
      </c>
      <c r="M61" s="17" t="str">
        <f t="shared" si="3"/>
        <v/>
      </c>
      <c r="N61" s="18" t="str">
        <f>IF(A61="","",J61*Articles!H61)</f>
        <v/>
      </c>
    </row>
    <row r="62" ht="15.75" customHeight="1">
      <c r="A62" s="19" t="str">
        <f>Articles!A62</f>
        <v/>
      </c>
      <c r="B62" s="19" t="str">
        <f>Articles!B62</f>
        <v/>
      </c>
      <c r="C62" s="19" t="str">
        <f>Articles!C62</f>
        <v/>
      </c>
      <c r="D62" s="19" t="str">
        <f>Articles!D62</f>
        <v/>
      </c>
      <c r="E62" s="19" t="str">
        <f>Articles!E62</f>
        <v/>
      </c>
      <c r="F62" s="19" t="str">
        <f>Articles!F62</f>
        <v/>
      </c>
      <c r="G62" s="17" t="str">
        <f>SUMIFS(Mouvements!$G:$G,Mouvements!$B:$B,A62,Mouvements!$F:$F,"Départ")</f>
        <v>0</v>
      </c>
      <c r="H62" s="17" t="str">
        <f>SUMIFS(Mouvements!$G:$G,Mouvements!$B:$B,A62,Mouvements!$F:$F,"Retour")</f>
        <v>0</v>
      </c>
      <c r="I62" s="17" t="str">
        <f>SUMIFS(Mouvements!$I:$I,Mouvements!$B:$B,A62,Mouvements!$F:$F,"Entrée stock")+SUMIFS(Mouvements!$I:$I,Mouvements!$B:$B,A62,Mouvements!$F:$F,"Correction +")+SUMIFS(Mouvements!$I:$I,Mouvements!$B:$B,A62,Mouvements!$F:$F,"Correction -")</f>
        <v>0</v>
      </c>
      <c r="J62" s="17" t="str">
        <f t="shared" si="1"/>
        <v/>
      </c>
      <c r="K62" s="19" t="str">
        <f>Articles!G62</f>
        <v/>
      </c>
      <c r="L62" s="17" t="str">
        <f t="shared" si="2"/>
        <v/>
      </c>
      <c r="M62" s="17" t="str">
        <f t="shared" si="3"/>
        <v/>
      </c>
      <c r="N62" s="18" t="str">
        <f>IF(A62="","",J62*Articles!H62)</f>
        <v/>
      </c>
    </row>
    <row r="63" ht="15.75" customHeight="1">
      <c r="A63" s="19" t="str">
        <f>Articles!A63</f>
        <v/>
      </c>
      <c r="B63" s="19" t="str">
        <f>Articles!B63</f>
        <v/>
      </c>
      <c r="C63" s="19" t="str">
        <f>Articles!C63</f>
        <v/>
      </c>
      <c r="D63" s="19" t="str">
        <f>Articles!D63</f>
        <v/>
      </c>
      <c r="E63" s="19" t="str">
        <f>Articles!E63</f>
        <v/>
      </c>
      <c r="F63" s="19" t="str">
        <f>Articles!F63</f>
        <v/>
      </c>
      <c r="G63" s="17" t="str">
        <f>SUMIFS(Mouvements!$G:$G,Mouvements!$B:$B,A63,Mouvements!$F:$F,"Départ")</f>
        <v>0</v>
      </c>
      <c r="H63" s="17" t="str">
        <f>SUMIFS(Mouvements!$G:$G,Mouvements!$B:$B,A63,Mouvements!$F:$F,"Retour")</f>
        <v>0</v>
      </c>
      <c r="I63" s="17" t="str">
        <f>SUMIFS(Mouvements!$I:$I,Mouvements!$B:$B,A63,Mouvements!$F:$F,"Entrée stock")+SUMIFS(Mouvements!$I:$I,Mouvements!$B:$B,A63,Mouvements!$F:$F,"Correction +")+SUMIFS(Mouvements!$I:$I,Mouvements!$B:$B,A63,Mouvements!$F:$F,"Correction -")</f>
        <v>0</v>
      </c>
      <c r="J63" s="17" t="str">
        <f t="shared" si="1"/>
        <v/>
      </c>
      <c r="K63" s="19" t="str">
        <f>Articles!G63</f>
        <v/>
      </c>
      <c r="L63" s="17" t="str">
        <f t="shared" si="2"/>
        <v/>
      </c>
      <c r="M63" s="17" t="str">
        <f t="shared" si="3"/>
        <v/>
      </c>
      <c r="N63" s="18" t="str">
        <f>IF(A63="","",J63*Articles!H63)</f>
        <v/>
      </c>
    </row>
    <row r="64" ht="15.75" customHeight="1">
      <c r="A64" s="19" t="str">
        <f>Articles!A64</f>
        <v/>
      </c>
      <c r="B64" s="19" t="str">
        <f>Articles!B64</f>
        <v/>
      </c>
      <c r="C64" s="19" t="str">
        <f>Articles!C64</f>
        <v/>
      </c>
      <c r="D64" s="19" t="str">
        <f>Articles!D64</f>
        <v/>
      </c>
      <c r="E64" s="19" t="str">
        <f>Articles!E64</f>
        <v/>
      </c>
      <c r="F64" s="19" t="str">
        <f>Articles!F64</f>
        <v/>
      </c>
      <c r="G64" s="17" t="str">
        <f>SUMIFS(Mouvements!$G:$G,Mouvements!$B:$B,A64,Mouvements!$F:$F,"Départ")</f>
        <v>0</v>
      </c>
      <c r="H64" s="17" t="str">
        <f>SUMIFS(Mouvements!$G:$G,Mouvements!$B:$B,A64,Mouvements!$F:$F,"Retour")</f>
        <v>0</v>
      </c>
      <c r="I64" s="17" t="str">
        <f>SUMIFS(Mouvements!$I:$I,Mouvements!$B:$B,A64,Mouvements!$F:$F,"Entrée stock")+SUMIFS(Mouvements!$I:$I,Mouvements!$B:$B,A64,Mouvements!$F:$F,"Correction +")+SUMIFS(Mouvements!$I:$I,Mouvements!$B:$B,A64,Mouvements!$F:$F,"Correction -")</f>
        <v>0</v>
      </c>
      <c r="J64" s="17" t="str">
        <f t="shared" si="1"/>
        <v/>
      </c>
      <c r="K64" s="19" t="str">
        <f>Articles!G64</f>
        <v/>
      </c>
      <c r="L64" s="17" t="str">
        <f t="shared" si="2"/>
        <v/>
      </c>
      <c r="M64" s="17" t="str">
        <f t="shared" si="3"/>
        <v/>
      </c>
      <c r="N64" s="18" t="str">
        <f>IF(A64="","",J64*Articles!H64)</f>
        <v/>
      </c>
    </row>
    <row r="65" ht="15.75" customHeight="1">
      <c r="A65" s="19" t="str">
        <f>Articles!A65</f>
        <v/>
      </c>
      <c r="B65" s="19" t="str">
        <f>Articles!B65</f>
        <v/>
      </c>
      <c r="C65" s="19" t="str">
        <f>Articles!C65</f>
        <v/>
      </c>
      <c r="D65" s="19" t="str">
        <f>Articles!D65</f>
        <v/>
      </c>
      <c r="E65" s="19" t="str">
        <f>Articles!E65</f>
        <v/>
      </c>
      <c r="F65" s="19" t="str">
        <f>Articles!F65</f>
        <v/>
      </c>
      <c r="G65" s="17" t="str">
        <f>SUMIFS(Mouvements!$G:$G,Mouvements!$B:$B,A65,Mouvements!$F:$F,"Départ")</f>
        <v>0</v>
      </c>
      <c r="H65" s="17" t="str">
        <f>SUMIFS(Mouvements!$G:$G,Mouvements!$B:$B,A65,Mouvements!$F:$F,"Retour")</f>
        <v>0</v>
      </c>
      <c r="I65" s="17" t="str">
        <f>SUMIFS(Mouvements!$I:$I,Mouvements!$B:$B,A65,Mouvements!$F:$F,"Entrée stock")+SUMIFS(Mouvements!$I:$I,Mouvements!$B:$B,A65,Mouvements!$F:$F,"Correction +")+SUMIFS(Mouvements!$I:$I,Mouvements!$B:$B,A65,Mouvements!$F:$F,"Correction -")</f>
        <v>0</v>
      </c>
      <c r="J65" s="17" t="str">
        <f t="shared" si="1"/>
        <v/>
      </c>
      <c r="K65" s="19" t="str">
        <f>Articles!G65</f>
        <v/>
      </c>
      <c r="L65" s="17" t="str">
        <f t="shared" si="2"/>
        <v/>
      </c>
      <c r="M65" s="17" t="str">
        <f t="shared" si="3"/>
        <v/>
      </c>
      <c r="N65" s="18" t="str">
        <f>IF(A65="","",J65*Articles!H65)</f>
        <v/>
      </c>
    </row>
    <row r="66" ht="15.75" customHeight="1">
      <c r="A66" s="19" t="str">
        <f>Articles!A66</f>
        <v/>
      </c>
      <c r="B66" s="19" t="str">
        <f>Articles!B66</f>
        <v/>
      </c>
      <c r="C66" s="19" t="str">
        <f>Articles!C66</f>
        <v/>
      </c>
      <c r="D66" s="19" t="str">
        <f>Articles!D66</f>
        <v/>
      </c>
      <c r="E66" s="19" t="str">
        <f>Articles!E66</f>
        <v/>
      </c>
      <c r="F66" s="19" t="str">
        <f>Articles!F66</f>
        <v/>
      </c>
      <c r="G66" s="17" t="str">
        <f>SUMIFS(Mouvements!$G:$G,Mouvements!$B:$B,A66,Mouvements!$F:$F,"Départ")</f>
        <v>0</v>
      </c>
      <c r="H66" s="17" t="str">
        <f>SUMIFS(Mouvements!$G:$G,Mouvements!$B:$B,A66,Mouvements!$F:$F,"Retour")</f>
        <v>0</v>
      </c>
      <c r="I66" s="17" t="str">
        <f>SUMIFS(Mouvements!$I:$I,Mouvements!$B:$B,A66,Mouvements!$F:$F,"Entrée stock")+SUMIFS(Mouvements!$I:$I,Mouvements!$B:$B,A66,Mouvements!$F:$F,"Correction +")+SUMIFS(Mouvements!$I:$I,Mouvements!$B:$B,A66,Mouvements!$F:$F,"Correction -")</f>
        <v>0</v>
      </c>
      <c r="J66" s="17" t="str">
        <f t="shared" si="1"/>
        <v/>
      </c>
      <c r="K66" s="19" t="str">
        <f>Articles!G66</f>
        <v/>
      </c>
      <c r="L66" s="17" t="str">
        <f t="shared" si="2"/>
        <v/>
      </c>
      <c r="M66" s="17" t="str">
        <f t="shared" si="3"/>
        <v/>
      </c>
      <c r="N66" s="18" t="str">
        <f>IF(A66="","",J66*Articles!H66)</f>
        <v/>
      </c>
    </row>
    <row r="67" ht="15.75" customHeight="1">
      <c r="A67" s="19" t="str">
        <f>Articles!A67</f>
        <v/>
      </c>
      <c r="B67" s="19" t="str">
        <f>Articles!B67</f>
        <v/>
      </c>
      <c r="C67" s="19" t="str">
        <f>Articles!C67</f>
        <v/>
      </c>
      <c r="D67" s="19" t="str">
        <f>Articles!D67</f>
        <v/>
      </c>
      <c r="E67" s="19" t="str">
        <f>Articles!E67</f>
        <v/>
      </c>
      <c r="F67" s="19" t="str">
        <f>Articles!F67</f>
        <v/>
      </c>
      <c r="G67" s="17" t="str">
        <f>SUMIFS(Mouvements!$G:$G,Mouvements!$B:$B,A67,Mouvements!$F:$F,"Départ")</f>
        <v>0</v>
      </c>
      <c r="H67" s="17" t="str">
        <f>SUMIFS(Mouvements!$G:$G,Mouvements!$B:$B,A67,Mouvements!$F:$F,"Retour")</f>
        <v>0</v>
      </c>
      <c r="I67" s="17" t="str">
        <f>SUMIFS(Mouvements!$I:$I,Mouvements!$B:$B,A67,Mouvements!$F:$F,"Entrée stock")+SUMIFS(Mouvements!$I:$I,Mouvements!$B:$B,A67,Mouvements!$F:$F,"Correction +")+SUMIFS(Mouvements!$I:$I,Mouvements!$B:$B,A67,Mouvements!$F:$F,"Correction -")</f>
        <v>0</v>
      </c>
      <c r="J67" s="17" t="str">
        <f t="shared" si="1"/>
        <v/>
      </c>
      <c r="K67" s="19" t="str">
        <f>Articles!G67</f>
        <v/>
      </c>
      <c r="L67" s="17" t="str">
        <f t="shared" si="2"/>
        <v/>
      </c>
      <c r="M67" s="17" t="str">
        <f t="shared" si="3"/>
        <v/>
      </c>
      <c r="N67" s="18" t="str">
        <f>IF(A67="","",J67*Articles!H67)</f>
        <v/>
      </c>
    </row>
    <row r="68" ht="15.75" customHeight="1">
      <c r="A68" s="19" t="str">
        <f>Articles!A68</f>
        <v/>
      </c>
      <c r="B68" s="19" t="str">
        <f>Articles!B68</f>
        <v/>
      </c>
      <c r="C68" s="19" t="str">
        <f>Articles!C68</f>
        <v/>
      </c>
      <c r="D68" s="19" t="str">
        <f>Articles!D68</f>
        <v/>
      </c>
      <c r="E68" s="19" t="str">
        <f>Articles!E68</f>
        <v/>
      </c>
      <c r="F68" s="19" t="str">
        <f>Articles!F68</f>
        <v/>
      </c>
      <c r="G68" s="17" t="str">
        <f>SUMIFS(Mouvements!$G:$G,Mouvements!$B:$B,A68,Mouvements!$F:$F,"Départ")</f>
        <v>0</v>
      </c>
      <c r="H68" s="17" t="str">
        <f>SUMIFS(Mouvements!$G:$G,Mouvements!$B:$B,A68,Mouvements!$F:$F,"Retour")</f>
        <v>0</v>
      </c>
      <c r="I68" s="17" t="str">
        <f>SUMIFS(Mouvements!$I:$I,Mouvements!$B:$B,A68,Mouvements!$F:$F,"Entrée stock")+SUMIFS(Mouvements!$I:$I,Mouvements!$B:$B,A68,Mouvements!$F:$F,"Correction +")+SUMIFS(Mouvements!$I:$I,Mouvements!$B:$B,A68,Mouvements!$F:$F,"Correction -")</f>
        <v>0</v>
      </c>
      <c r="J68" s="17" t="str">
        <f t="shared" si="1"/>
        <v/>
      </c>
      <c r="K68" s="19" t="str">
        <f>Articles!G68</f>
        <v/>
      </c>
      <c r="L68" s="17" t="str">
        <f t="shared" si="2"/>
        <v/>
      </c>
      <c r="M68" s="17" t="str">
        <f t="shared" si="3"/>
        <v/>
      </c>
      <c r="N68" s="18" t="str">
        <f>IF(A68="","",J68*Articles!H68)</f>
        <v/>
      </c>
    </row>
    <row r="69" ht="15.75" customHeight="1">
      <c r="A69" s="19" t="str">
        <f>Articles!A69</f>
        <v/>
      </c>
      <c r="B69" s="19" t="str">
        <f>Articles!B69</f>
        <v/>
      </c>
      <c r="C69" s="19" t="str">
        <f>Articles!C69</f>
        <v/>
      </c>
      <c r="D69" s="19" t="str">
        <f>Articles!D69</f>
        <v/>
      </c>
      <c r="E69" s="19" t="str">
        <f>Articles!E69</f>
        <v/>
      </c>
      <c r="F69" s="19" t="str">
        <f>Articles!F69</f>
        <v/>
      </c>
      <c r="G69" s="17" t="str">
        <f>SUMIFS(Mouvements!$G:$G,Mouvements!$B:$B,A69,Mouvements!$F:$F,"Départ")</f>
        <v>0</v>
      </c>
      <c r="H69" s="17" t="str">
        <f>SUMIFS(Mouvements!$G:$G,Mouvements!$B:$B,A69,Mouvements!$F:$F,"Retour")</f>
        <v>0</v>
      </c>
      <c r="I69" s="17" t="str">
        <f>SUMIFS(Mouvements!$I:$I,Mouvements!$B:$B,A69,Mouvements!$F:$F,"Entrée stock")+SUMIFS(Mouvements!$I:$I,Mouvements!$B:$B,A69,Mouvements!$F:$F,"Correction +")+SUMIFS(Mouvements!$I:$I,Mouvements!$B:$B,A69,Mouvements!$F:$F,"Correction -")</f>
        <v>0</v>
      </c>
      <c r="J69" s="17" t="str">
        <f t="shared" si="1"/>
        <v/>
      </c>
      <c r="K69" s="19" t="str">
        <f>Articles!G69</f>
        <v/>
      </c>
      <c r="L69" s="17" t="str">
        <f t="shared" si="2"/>
        <v/>
      </c>
      <c r="M69" s="17" t="str">
        <f t="shared" si="3"/>
        <v/>
      </c>
      <c r="N69" s="18" t="str">
        <f>IF(A69="","",J69*Articles!H69)</f>
        <v/>
      </c>
    </row>
    <row r="70" ht="15.75" customHeight="1">
      <c r="A70" s="19" t="str">
        <f>Articles!A70</f>
        <v/>
      </c>
      <c r="B70" s="19" t="str">
        <f>Articles!B70</f>
        <v/>
      </c>
      <c r="C70" s="19" t="str">
        <f>Articles!C70</f>
        <v/>
      </c>
      <c r="D70" s="19" t="str">
        <f>Articles!D70</f>
        <v/>
      </c>
      <c r="E70" s="19" t="str">
        <f>Articles!E70</f>
        <v/>
      </c>
      <c r="F70" s="19" t="str">
        <f>Articles!F70</f>
        <v/>
      </c>
      <c r="G70" s="17" t="str">
        <f>SUMIFS(Mouvements!$G:$G,Mouvements!$B:$B,A70,Mouvements!$F:$F,"Départ")</f>
        <v>0</v>
      </c>
      <c r="H70" s="17" t="str">
        <f>SUMIFS(Mouvements!$G:$G,Mouvements!$B:$B,A70,Mouvements!$F:$F,"Retour")</f>
        <v>0</v>
      </c>
      <c r="I70" s="17" t="str">
        <f>SUMIFS(Mouvements!$I:$I,Mouvements!$B:$B,A70,Mouvements!$F:$F,"Entrée stock")+SUMIFS(Mouvements!$I:$I,Mouvements!$B:$B,A70,Mouvements!$F:$F,"Correction +")+SUMIFS(Mouvements!$I:$I,Mouvements!$B:$B,A70,Mouvements!$F:$F,"Correction -")</f>
        <v>0</v>
      </c>
      <c r="J70" s="17" t="str">
        <f t="shared" si="1"/>
        <v/>
      </c>
      <c r="K70" s="19" t="str">
        <f>Articles!G70</f>
        <v/>
      </c>
      <c r="L70" s="17" t="str">
        <f t="shared" si="2"/>
        <v/>
      </c>
      <c r="M70" s="17" t="str">
        <f t="shared" si="3"/>
        <v/>
      </c>
      <c r="N70" s="18" t="str">
        <f>IF(A70="","",J70*Articles!H70)</f>
        <v/>
      </c>
    </row>
    <row r="71" ht="15.75" customHeight="1">
      <c r="A71" s="19" t="str">
        <f>Articles!A71</f>
        <v/>
      </c>
      <c r="B71" s="19" t="str">
        <f>Articles!B71</f>
        <v/>
      </c>
      <c r="C71" s="19" t="str">
        <f>Articles!C71</f>
        <v/>
      </c>
      <c r="D71" s="19" t="str">
        <f>Articles!D71</f>
        <v/>
      </c>
      <c r="E71" s="19" t="str">
        <f>Articles!E71</f>
        <v/>
      </c>
      <c r="F71" s="19" t="str">
        <f>Articles!F71</f>
        <v/>
      </c>
      <c r="G71" s="17" t="str">
        <f>SUMIFS(Mouvements!$G:$G,Mouvements!$B:$B,A71,Mouvements!$F:$F,"Départ")</f>
        <v>0</v>
      </c>
      <c r="H71" s="17" t="str">
        <f>SUMIFS(Mouvements!$G:$G,Mouvements!$B:$B,A71,Mouvements!$F:$F,"Retour")</f>
        <v>0</v>
      </c>
      <c r="I71" s="17" t="str">
        <f>SUMIFS(Mouvements!$I:$I,Mouvements!$B:$B,A71,Mouvements!$F:$F,"Entrée stock")+SUMIFS(Mouvements!$I:$I,Mouvements!$B:$B,A71,Mouvements!$F:$F,"Correction +")+SUMIFS(Mouvements!$I:$I,Mouvements!$B:$B,A71,Mouvements!$F:$F,"Correction -")</f>
        <v>0</v>
      </c>
      <c r="J71" s="17" t="str">
        <f t="shared" si="1"/>
        <v/>
      </c>
      <c r="K71" s="19" t="str">
        <f>Articles!G71</f>
        <v/>
      </c>
      <c r="L71" s="17" t="str">
        <f t="shared" si="2"/>
        <v/>
      </c>
      <c r="M71" s="17" t="str">
        <f t="shared" si="3"/>
        <v/>
      </c>
      <c r="N71" s="18" t="str">
        <f>IF(A71="","",J71*Articles!H71)</f>
        <v/>
      </c>
    </row>
    <row r="72" ht="15.75" customHeight="1">
      <c r="A72" s="19" t="str">
        <f>Articles!A72</f>
        <v/>
      </c>
      <c r="B72" s="19" t="str">
        <f>Articles!B72</f>
        <v/>
      </c>
      <c r="C72" s="19" t="str">
        <f>Articles!C72</f>
        <v/>
      </c>
      <c r="D72" s="19" t="str">
        <f>Articles!D72</f>
        <v/>
      </c>
      <c r="E72" s="19" t="str">
        <f>Articles!E72</f>
        <v/>
      </c>
      <c r="F72" s="19" t="str">
        <f>Articles!F72</f>
        <v/>
      </c>
      <c r="G72" s="17" t="str">
        <f>SUMIFS(Mouvements!$G:$G,Mouvements!$B:$B,A72,Mouvements!$F:$F,"Départ")</f>
        <v>0</v>
      </c>
      <c r="H72" s="17" t="str">
        <f>SUMIFS(Mouvements!$G:$G,Mouvements!$B:$B,A72,Mouvements!$F:$F,"Retour")</f>
        <v>0</v>
      </c>
      <c r="I72" s="17" t="str">
        <f>SUMIFS(Mouvements!$I:$I,Mouvements!$B:$B,A72,Mouvements!$F:$F,"Entrée stock")+SUMIFS(Mouvements!$I:$I,Mouvements!$B:$B,A72,Mouvements!$F:$F,"Correction +")+SUMIFS(Mouvements!$I:$I,Mouvements!$B:$B,A72,Mouvements!$F:$F,"Correction -")</f>
        <v>0</v>
      </c>
      <c r="J72" s="17" t="str">
        <f t="shared" si="1"/>
        <v/>
      </c>
      <c r="K72" s="19" t="str">
        <f>Articles!G72</f>
        <v/>
      </c>
      <c r="L72" s="17" t="str">
        <f t="shared" si="2"/>
        <v/>
      </c>
      <c r="M72" s="17" t="str">
        <f t="shared" si="3"/>
        <v/>
      </c>
      <c r="N72" s="18" t="str">
        <f>IF(A72="","",J72*Articles!H72)</f>
        <v/>
      </c>
    </row>
    <row r="73" ht="15.75" customHeight="1">
      <c r="A73" s="19" t="str">
        <f>Articles!A73</f>
        <v/>
      </c>
      <c r="B73" s="19" t="str">
        <f>Articles!B73</f>
        <v/>
      </c>
      <c r="C73" s="19" t="str">
        <f>Articles!C73</f>
        <v/>
      </c>
      <c r="D73" s="19" t="str">
        <f>Articles!D73</f>
        <v/>
      </c>
      <c r="E73" s="19" t="str">
        <f>Articles!E73</f>
        <v/>
      </c>
      <c r="F73" s="19" t="str">
        <f>Articles!F73</f>
        <v/>
      </c>
      <c r="G73" s="17" t="str">
        <f>SUMIFS(Mouvements!$G:$G,Mouvements!$B:$B,A73,Mouvements!$F:$F,"Départ")</f>
        <v>0</v>
      </c>
      <c r="H73" s="17" t="str">
        <f>SUMIFS(Mouvements!$G:$G,Mouvements!$B:$B,A73,Mouvements!$F:$F,"Retour")</f>
        <v>0</v>
      </c>
      <c r="I73" s="17" t="str">
        <f>SUMIFS(Mouvements!$I:$I,Mouvements!$B:$B,A73,Mouvements!$F:$F,"Entrée stock")+SUMIFS(Mouvements!$I:$I,Mouvements!$B:$B,A73,Mouvements!$F:$F,"Correction +")+SUMIFS(Mouvements!$I:$I,Mouvements!$B:$B,A73,Mouvements!$F:$F,"Correction -")</f>
        <v>0</v>
      </c>
      <c r="J73" s="17" t="str">
        <f t="shared" si="1"/>
        <v/>
      </c>
      <c r="K73" s="19" t="str">
        <f>Articles!G73</f>
        <v/>
      </c>
      <c r="L73" s="17" t="str">
        <f t="shared" si="2"/>
        <v/>
      </c>
      <c r="M73" s="17" t="str">
        <f t="shared" si="3"/>
        <v/>
      </c>
      <c r="N73" s="18" t="str">
        <f>IF(A73="","",J73*Articles!H73)</f>
        <v/>
      </c>
    </row>
    <row r="74" ht="15.75" customHeight="1">
      <c r="A74" s="19" t="str">
        <f>Articles!A74</f>
        <v/>
      </c>
      <c r="B74" s="19" t="str">
        <f>Articles!B74</f>
        <v/>
      </c>
      <c r="C74" s="19" t="str">
        <f>Articles!C74</f>
        <v/>
      </c>
      <c r="D74" s="19" t="str">
        <f>Articles!D74</f>
        <v/>
      </c>
      <c r="E74" s="19" t="str">
        <f>Articles!E74</f>
        <v/>
      </c>
      <c r="F74" s="19" t="str">
        <f>Articles!F74</f>
        <v/>
      </c>
      <c r="G74" s="17" t="str">
        <f>SUMIFS(Mouvements!$G:$G,Mouvements!$B:$B,A74,Mouvements!$F:$F,"Départ")</f>
        <v>0</v>
      </c>
      <c r="H74" s="17" t="str">
        <f>SUMIFS(Mouvements!$G:$G,Mouvements!$B:$B,A74,Mouvements!$F:$F,"Retour")</f>
        <v>0</v>
      </c>
      <c r="I74" s="17" t="str">
        <f>SUMIFS(Mouvements!$I:$I,Mouvements!$B:$B,A74,Mouvements!$F:$F,"Entrée stock")+SUMIFS(Mouvements!$I:$I,Mouvements!$B:$B,A74,Mouvements!$F:$F,"Correction +")+SUMIFS(Mouvements!$I:$I,Mouvements!$B:$B,A74,Mouvements!$F:$F,"Correction -")</f>
        <v>0</v>
      </c>
      <c r="J74" s="17" t="str">
        <f t="shared" si="1"/>
        <v/>
      </c>
      <c r="K74" s="19" t="str">
        <f>Articles!G74</f>
        <v/>
      </c>
      <c r="L74" s="17" t="str">
        <f t="shared" si="2"/>
        <v/>
      </c>
      <c r="M74" s="17" t="str">
        <f t="shared" si="3"/>
        <v/>
      </c>
      <c r="N74" s="18" t="str">
        <f>IF(A74="","",J74*Articles!H74)</f>
        <v/>
      </c>
    </row>
    <row r="75" ht="15.75" customHeight="1">
      <c r="A75" s="19" t="str">
        <f>Articles!A75</f>
        <v/>
      </c>
      <c r="B75" s="19" t="str">
        <f>Articles!B75</f>
        <v/>
      </c>
      <c r="C75" s="19" t="str">
        <f>Articles!C75</f>
        <v/>
      </c>
      <c r="D75" s="19" t="str">
        <f>Articles!D75</f>
        <v/>
      </c>
      <c r="E75" s="19" t="str">
        <f>Articles!E75</f>
        <v/>
      </c>
      <c r="F75" s="19" t="str">
        <f>Articles!F75</f>
        <v/>
      </c>
      <c r="G75" s="17" t="str">
        <f>SUMIFS(Mouvements!$G:$G,Mouvements!$B:$B,A75,Mouvements!$F:$F,"Départ")</f>
        <v>0</v>
      </c>
      <c r="H75" s="17" t="str">
        <f>SUMIFS(Mouvements!$G:$G,Mouvements!$B:$B,A75,Mouvements!$F:$F,"Retour")</f>
        <v>0</v>
      </c>
      <c r="I75" s="17" t="str">
        <f>SUMIFS(Mouvements!$I:$I,Mouvements!$B:$B,A75,Mouvements!$F:$F,"Entrée stock")+SUMIFS(Mouvements!$I:$I,Mouvements!$B:$B,A75,Mouvements!$F:$F,"Correction +")+SUMIFS(Mouvements!$I:$I,Mouvements!$B:$B,A75,Mouvements!$F:$F,"Correction -")</f>
        <v>0</v>
      </c>
      <c r="J75" s="17" t="str">
        <f t="shared" si="1"/>
        <v/>
      </c>
      <c r="K75" s="19" t="str">
        <f>Articles!G75</f>
        <v/>
      </c>
      <c r="L75" s="17" t="str">
        <f t="shared" si="2"/>
        <v/>
      </c>
      <c r="M75" s="17" t="str">
        <f t="shared" si="3"/>
        <v/>
      </c>
      <c r="N75" s="18" t="str">
        <f>IF(A75="","",J75*Articles!H75)</f>
        <v/>
      </c>
    </row>
    <row r="76" ht="15.75" customHeight="1">
      <c r="A76" s="19" t="str">
        <f>Articles!A76</f>
        <v/>
      </c>
      <c r="B76" s="19" t="str">
        <f>Articles!B76</f>
        <v/>
      </c>
      <c r="C76" s="19" t="str">
        <f>Articles!C76</f>
        <v/>
      </c>
      <c r="D76" s="19" t="str">
        <f>Articles!D76</f>
        <v/>
      </c>
      <c r="E76" s="19" t="str">
        <f>Articles!E76</f>
        <v/>
      </c>
      <c r="F76" s="19" t="str">
        <f>Articles!F76</f>
        <v/>
      </c>
      <c r="G76" s="17" t="str">
        <f>SUMIFS(Mouvements!$G:$G,Mouvements!$B:$B,A76,Mouvements!$F:$F,"Départ")</f>
        <v>0</v>
      </c>
      <c r="H76" s="17" t="str">
        <f>SUMIFS(Mouvements!$G:$G,Mouvements!$B:$B,A76,Mouvements!$F:$F,"Retour")</f>
        <v>0</v>
      </c>
      <c r="I76" s="17" t="str">
        <f>SUMIFS(Mouvements!$I:$I,Mouvements!$B:$B,A76,Mouvements!$F:$F,"Entrée stock")+SUMIFS(Mouvements!$I:$I,Mouvements!$B:$B,A76,Mouvements!$F:$F,"Correction +")+SUMIFS(Mouvements!$I:$I,Mouvements!$B:$B,A76,Mouvements!$F:$F,"Correction -")</f>
        <v>0</v>
      </c>
      <c r="J76" s="17" t="str">
        <f t="shared" si="1"/>
        <v/>
      </c>
      <c r="K76" s="19" t="str">
        <f>Articles!G76</f>
        <v/>
      </c>
      <c r="L76" s="17" t="str">
        <f t="shared" si="2"/>
        <v/>
      </c>
      <c r="M76" s="17" t="str">
        <f t="shared" si="3"/>
        <v/>
      </c>
      <c r="N76" s="18" t="str">
        <f>IF(A76="","",J76*Articles!H76)</f>
        <v/>
      </c>
    </row>
    <row r="77" ht="15.75" customHeight="1">
      <c r="A77" s="19" t="str">
        <f>Articles!A77</f>
        <v/>
      </c>
      <c r="B77" s="19" t="str">
        <f>Articles!B77</f>
        <v/>
      </c>
      <c r="C77" s="19" t="str">
        <f>Articles!C77</f>
        <v/>
      </c>
      <c r="D77" s="19" t="str">
        <f>Articles!D77</f>
        <v/>
      </c>
      <c r="E77" s="19" t="str">
        <f>Articles!E77</f>
        <v/>
      </c>
      <c r="F77" s="19" t="str">
        <f>Articles!F77</f>
        <v/>
      </c>
      <c r="G77" s="17" t="str">
        <f>SUMIFS(Mouvements!$G:$G,Mouvements!$B:$B,A77,Mouvements!$F:$F,"Départ")</f>
        <v>0</v>
      </c>
      <c r="H77" s="17" t="str">
        <f>SUMIFS(Mouvements!$G:$G,Mouvements!$B:$B,A77,Mouvements!$F:$F,"Retour")</f>
        <v>0</v>
      </c>
      <c r="I77" s="17" t="str">
        <f>SUMIFS(Mouvements!$I:$I,Mouvements!$B:$B,A77,Mouvements!$F:$F,"Entrée stock")+SUMIFS(Mouvements!$I:$I,Mouvements!$B:$B,A77,Mouvements!$F:$F,"Correction +")+SUMIFS(Mouvements!$I:$I,Mouvements!$B:$B,A77,Mouvements!$F:$F,"Correction -")</f>
        <v>0</v>
      </c>
      <c r="J77" s="17" t="str">
        <f t="shared" si="1"/>
        <v/>
      </c>
      <c r="K77" s="19" t="str">
        <f>Articles!G77</f>
        <v/>
      </c>
      <c r="L77" s="17" t="str">
        <f t="shared" si="2"/>
        <v/>
      </c>
      <c r="M77" s="17" t="str">
        <f t="shared" si="3"/>
        <v/>
      </c>
      <c r="N77" s="18" t="str">
        <f>IF(A77="","",J77*Articles!H77)</f>
        <v/>
      </c>
    </row>
    <row r="78" ht="15.75" customHeight="1">
      <c r="A78" s="19" t="str">
        <f>Articles!A78</f>
        <v/>
      </c>
      <c r="B78" s="19" t="str">
        <f>Articles!B78</f>
        <v/>
      </c>
      <c r="C78" s="19" t="str">
        <f>Articles!C78</f>
        <v/>
      </c>
      <c r="D78" s="19" t="str">
        <f>Articles!D78</f>
        <v/>
      </c>
      <c r="E78" s="19" t="str">
        <f>Articles!E78</f>
        <v/>
      </c>
      <c r="F78" s="19" t="str">
        <f>Articles!F78</f>
        <v/>
      </c>
      <c r="G78" s="17" t="str">
        <f>SUMIFS(Mouvements!$G:$G,Mouvements!$B:$B,A78,Mouvements!$F:$F,"Départ")</f>
        <v>0</v>
      </c>
      <c r="H78" s="17" t="str">
        <f>SUMIFS(Mouvements!$G:$G,Mouvements!$B:$B,A78,Mouvements!$F:$F,"Retour")</f>
        <v>0</v>
      </c>
      <c r="I78" s="17" t="str">
        <f>SUMIFS(Mouvements!$I:$I,Mouvements!$B:$B,A78,Mouvements!$F:$F,"Entrée stock")+SUMIFS(Mouvements!$I:$I,Mouvements!$B:$B,A78,Mouvements!$F:$F,"Correction +")+SUMIFS(Mouvements!$I:$I,Mouvements!$B:$B,A78,Mouvements!$F:$F,"Correction -")</f>
        <v>0</v>
      </c>
      <c r="J78" s="17" t="str">
        <f t="shared" si="1"/>
        <v/>
      </c>
      <c r="K78" s="19" t="str">
        <f>Articles!G78</f>
        <v/>
      </c>
      <c r="L78" s="17" t="str">
        <f t="shared" si="2"/>
        <v/>
      </c>
      <c r="M78" s="17" t="str">
        <f t="shared" si="3"/>
        <v/>
      </c>
      <c r="N78" s="18" t="str">
        <f>IF(A78="","",J78*Articles!H78)</f>
        <v/>
      </c>
    </row>
    <row r="79" ht="15.75" customHeight="1">
      <c r="A79" s="19" t="str">
        <f>Articles!A79</f>
        <v/>
      </c>
      <c r="B79" s="19" t="str">
        <f>Articles!B79</f>
        <v/>
      </c>
      <c r="C79" s="19" t="str">
        <f>Articles!C79</f>
        <v/>
      </c>
      <c r="D79" s="19" t="str">
        <f>Articles!D79</f>
        <v/>
      </c>
      <c r="E79" s="19" t="str">
        <f>Articles!E79</f>
        <v/>
      </c>
      <c r="F79" s="19" t="str">
        <f>Articles!F79</f>
        <v/>
      </c>
      <c r="G79" s="17" t="str">
        <f>SUMIFS(Mouvements!$G:$G,Mouvements!$B:$B,A79,Mouvements!$F:$F,"Départ")</f>
        <v>0</v>
      </c>
      <c r="H79" s="17" t="str">
        <f>SUMIFS(Mouvements!$G:$G,Mouvements!$B:$B,A79,Mouvements!$F:$F,"Retour")</f>
        <v>0</v>
      </c>
      <c r="I79" s="17" t="str">
        <f>SUMIFS(Mouvements!$I:$I,Mouvements!$B:$B,A79,Mouvements!$F:$F,"Entrée stock")+SUMIFS(Mouvements!$I:$I,Mouvements!$B:$B,A79,Mouvements!$F:$F,"Correction +")+SUMIFS(Mouvements!$I:$I,Mouvements!$B:$B,A79,Mouvements!$F:$F,"Correction -")</f>
        <v>0</v>
      </c>
      <c r="J79" s="17" t="str">
        <f t="shared" si="1"/>
        <v/>
      </c>
      <c r="K79" s="19" t="str">
        <f>Articles!G79</f>
        <v/>
      </c>
      <c r="L79" s="17" t="str">
        <f t="shared" si="2"/>
        <v/>
      </c>
      <c r="M79" s="17" t="str">
        <f t="shared" si="3"/>
        <v/>
      </c>
      <c r="N79" s="18" t="str">
        <f>IF(A79="","",J79*Articles!H79)</f>
        <v/>
      </c>
    </row>
    <row r="80" ht="15.75" customHeight="1">
      <c r="A80" s="19" t="str">
        <f>Articles!A80</f>
        <v/>
      </c>
      <c r="B80" s="19" t="str">
        <f>Articles!B80</f>
        <v/>
      </c>
      <c r="C80" s="19" t="str">
        <f>Articles!C80</f>
        <v/>
      </c>
      <c r="D80" s="19" t="str">
        <f>Articles!D80</f>
        <v/>
      </c>
      <c r="E80" s="19" t="str">
        <f>Articles!E80</f>
        <v/>
      </c>
      <c r="F80" s="19" t="str">
        <f>Articles!F80</f>
        <v/>
      </c>
      <c r="G80" s="17" t="str">
        <f>SUMIFS(Mouvements!$G:$G,Mouvements!$B:$B,A80,Mouvements!$F:$F,"Départ")</f>
        <v>0</v>
      </c>
      <c r="H80" s="17" t="str">
        <f>SUMIFS(Mouvements!$G:$G,Mouvements!$B:$B,A80,Mouvements!$F:$F,"Retour")</f>
        <v>0</v>
      </c>
      <c r="I80" s="17" t="str">
        <f>SUMIFS(Mouvements!$I:$I,Mouvements!$B:$B,A80,Mouvements!$F:$F,"Entrée stock")+SUMIFS(Mouvements!$I:$I,Mouvements!$B:$B,A80,Mouvements!$F:$F,"Correction +")+SUMIFS(Mouvements!$I:$I,Mouvements!$B:$B,A80,Mouvements!$F:$F,"Correction -")</f>
        <v>0</v>
      </c>
      <c r="J80" s="17" t="str">
        <f t="shared" si="1"/>
        <v/>
      </c>
      <c r="K80" s="19" t="str">
        <f>Articles!G80</f>
        <v/>
      </c>
      <c r="L80" s="17" t="str">
        <f t="shared" si="2"/>
        <v/>
      </c>
      <c r="M80" s="17" t="str">
        <f t="shared" si="3"/>
        <v/>
      </c>
      <c r="N80" s="18" t="str">
        <f>IF(A80="","",J80*Articles!H80)</f>
        <v/>
      </c>
    </row>
    <row r="81" ht="15.75" customHeight="1">
      <c r="A81" s="19" t="str">
        <f>Articles!A81</f>
        <v/>
      </c>
      <c r="B81" s="19" t="str">
        <f>Articles!B81</f>
        <v/>
      </c>
      <c r="C81" s="19" t="str">
        <f>Articles!C81</f>
        <v/>
      </c>
      <c r="D81" s="19" t="str">
        <f>Articles!D81</f>
        <v/>
      </c>
      <c r="E81" s="19" t="str">
        <f>Articles!E81</f>
        <v/>
      </c>
      <c r="F81" s="19" t="str">
        <f>Articles!F81</f>
        <v/>
      </c>
      <c r="G81" s="17" t="str">
        <f>SUMIFS(Mouvements!$G:$G,Mouvements!$B:$B,A81,Mouvements!$F:$F,"Départ")</f>
        <v>0</v>
      </c>
      <c r="H81" s="17" t="str">
        <f>SUMIFS(Mouvements!$G:$G,Mouvements!$B:$B,A81,Mouvements!$F:$F,"Retour")</f>
        <v>0</v>
      </c>
      <c r="I81" s="17" t="str">
        <f>SUMIFS(Mouvements!$I:$I,Mouvements!$B:$B,A81,Mouvements!$F:$F,"Entrée stock")+SUMIFS(Mouvements!$I:$I,Mouvements!$B:$B,A81,Mouvements!$F:$F,"Correction +")+SUMIFS(Mouvements!$I:$I,Mouvements!$B:$B,A81,Mouvements!$F:$F,"Correction -")</f>
        <v>0</v>
      </c>
      <c r="J81" s="17" t="str">
        <f t="shared" si="1"/>
        <v/>
      </c>
      <c r="K81" s="19" t="str">
        <f>Articles!G81</f>
        <v/>
      </c>
      <c r="L81" s="17" t="str">
        <f t="shared" si="2"/>
        <v/>
      </c>
      <c r="M81" s="17" t="str">
        <f t="shared" si="3"/>
        <v/>
      </c>
      <c r="N81" s="18" t="str">
        <f>IF(A81="","",J81*Articles!H81)</f>
        <v/>
      </c>
    </row>
    <row r="82" ht="15.75" customHeight="1">
      <c r="A82" s="19" t="str">
        <f>Articles!A82</f>
        <v/>
      </c>
      <c r="B82" s="19" t="str">
        <f>Articles!B82</f>
        <v/>
      </c>
      <c r="C82" s="19" t="str">
        <f>Articles!C82</f>
        <v/>
      </c>
      <c r="D82" s="19" t="str">
        <f>Articles!D82</f>
        <v/>
      </c>
      <c r="E82" s="19" t="str">
        <f>Articles!E82</f>
        <v/>
      </c>
      <c r="F82" s="19" t="str">
        <f>Articles!F82</f>
        <v/>
      </c>
      <c r="G82" s="17" t="str">
        <f>SUMIFS(Mouvements!$G:$G,Mouvements!$B:$B,A82,Mouvements!$F:$F,"Départ")</f>
        <v>0</v>
      </c>
      <c r="H82" s="17" t="str">
        <f>SUMIFS(Mouvements!$G:$G,Mouvements!$B:$B,A82,Mouvements!$F:$F,"Retour")</f>
        <v>0</v>
      </c>
      <c r="I82" s="17" t="str">
        <f>SUMIFS(Mouvements!$I:$I,Mouvements!$B:$B,A82,Mouvements!$F:$F,"Entrée stock")+SUMIFS(Mouvements!$I:$I,Mouvements!$B:$B,A82,Mouvements!$F:$F,"Correction +")+SUMIFS(Mouvements!$I:$I,Mouvements!$B:$B,A82,Mouvements!$F:$F,"Correction -")</f>
        <v>0</v>
      </c>
      <c r="J82" s="17" t="str">
        <f t="shared" si="1"/>
        <v/>
      </c>
      <c r="K82" s="19" t="str">
        <f>Articles!G82</f>
        <v/>
      </c>
      <c r="L82" s="17" t="str">
        <f t="shared" si="2"/>
        <v/>
      </c>
      <c r="M82" s="17" t="str">
        <f t="shared" si="3"/>
        <v/>
      </c>
      <c r="N82" s="18" t="str">
        <f>IF(A82="","",J82*Articles!H82)</f>
        <v/>
      </c>
    </row>
    <row r="83" ht="15.75" customHeight="1">
      <c r="A83" s="19" t="str">
        <f>Articles!A83</f>
        <v/>
      </c>
      <c r="B83" s="19" t="str">
        <f>Articles!B83</f>
        <v/>
      </c>
      <c r="C83" s="19" t="str">
        <f>Articles!C83</f>
        <v/>
      </c>
      <c r="D83" s="19" t="str">
        <f>Articles!D83</f>
        <v/>
      </c>
      <c r="E83" s="19" t="str">
        <f>Articles!E83</f>
        <v/>
      </c>
      <c r="F83" s="19" t="str">
        <f>Articles!F83</f>
        <v/>
      </c>
      <c r="G83" s="17" t="str">
        <f>SUMIFS(Mouvements!$G:$G,Mouvements!$B:$B,A83,Mouvements!$F:$F,"Départ")</f>
        <v>0</v>
      </c>
      <c r="H83" s="17" t="str">
        <f>SUMIFS(Mouvements!$G:$G,Mouvements!$B:$B,A83,Mouvements!$F:$F,"Retour")</f>
        <v>0</v>
      </c>
      <c r="I83" s="17" t="str">
        <f>SUMIFS(Mouvements!$I:$I,Mouvements!$B:$B,A83,Mouvements!$F:$F,"Entrée stock")+SUMIFS(Mouvements!$I:$I,Mouvements!$B:$B,A83,Mouvements!$F:$F,"Correction +")+SUMIFS(Mouvements!$I:$I,Mouvements!$B:$B,A83,Mouvements!$F:$F,"Correction -")</f>
        <v>0</v>
      </c>
      <c r="J83" s="17" t="str">
        <f t="shared" si="1"/>
        <v/>
      </c>
      <c r="K83" s="19" t="str">
        <f>Articles!G83</f>
        <v/>
      </c>
      <c r="L83" s="17" t="str">
        <f t="shared" si="2"/>
        <v/>
      </c>
      <c r="M83" s="17" t="str">
        <f t="shared" si="3"/>
        <v/>
      </c>
      <c r="N83" s="18" t="str">
        <f>IF(A83="","",J83*Articles!H83)</f>
        <v/>
      </c>
    </row>
    <row r="84" ht="15.75" customHeight="1">
      <c r="A84" s="19" t="str">
        <f>Articles!A84</f>
        <v/>
      </c>
      <c r="B84" s="19" t="str">
        <f>Articles!B84</f>
        <v/>
      </c>
      <c r="C84" s="19" t="str">
        <f>Articles!C84</f>
        <v/>
      </c>
      <c r="D84" s="19" t="str">
        <f>Articles!D84</f>
        <v/>
      </c>
      <c r="E84" s="19" t="str">
        <f>Articles!E84</f>
        <v/>
      </c>
      <c r="F84" s="19" t="str">
        <f>Articles!F84</f>
        <v/>
      </c>
      <c r="G84" s="17" t="str">
        <f>SUMIFS(Mouvements!$G:$G,Mouvements!$B:$B,A84,Mouvements!$F:$F,"Départ")</f>
        <v>0</v>
      </c>
      <c r="H84" s="17" t="str">
        <f>SUMIFS(Mouvements!$G:$G,Mouvements!$B:$B,A84,Mouvements!$F:$F,"Retour")</f>
        <v>0</v>
      </c>
      <c r="I84" s="17" t="str">
        <f>SUMIFS(Mouvements!$I:$I,Mouvements!$B:$B,A84,Mouvements!$F:$F,"Entrée stock")+SUMIFS(Mouvements!$I:$I,Mouvements!$B:$B,A84,Mouvements!$F:$F,"Correction +")+SUMIFS(Mouvements!$I:$I,Mouvements!$B:$B,A84,Mouvements!$F:$F,"Correction -")</f>
        <v>0</v>
      </c>
      <c r="J84" s="17" t="str">
        <f t="shared" si="1"/>
        <v/>
      </c>
      <c r="K84" s="19" t="str">
        <f>Articles!G84</f>
        <v/>
      </c>
      <c r="L84" s="17" t="str">
        <f t="shared" si="2"/>
        <v/>
      </c>
      <c r="M84" s="17" t="str">
        <f t="shared" si="3"/>
        <v/>
      </c>
      <c r="N84" s="18" t="str">
        <f>IF(A84="","",J84*Articles!H84)</f>
        <v/>
      </c>
    </row>
    <row r="85" ht="15.75" customHeight="1">
      <c r="A85" s="19" t="str">
        <f>Articles!A85</f>
        <v/>
      </c>
      <c r="B85" s="19" t="str">
        <f>Articles!B85</f>
        <v/>
      </c>
      <c r="C85" s="19" t="str">
        <f>Articles!C85</f>
        <v/>
      </c>
      <c r="D85" s="19" t="str">
        <f>Articles!D85</f>
        <v/>
      </c>
      <c r="E85" s="19" t="str">
        <f>Articles!E85</f>
        <v/>
      </c>
      <c r="F85" s="19" t="str">
        <f>Articles!F85</f>
        <v/>
      </c>
      <c r="G85" s="17" t="str">
        <f>SUMIFS(Mouvements!$G:$G,Mouvements!$B:$B,A85,Mouvements!$F:$F,"Départ")</f>
        <v>0</v>
      </c>
      <c r="H85" s="17" t="str">
        <f>SUMIFS(Mouvements!$G:$G,Mouvements!$B:$B,A85,Mouvements!$F:$F,"Retour")</f>
        <v>0</v>
      </c>
      <c r="I85" s="17" t="str">
        <f>SUMIFS(Mouvements!$I:$I,Mouvements!$B:$B,A85,Mouvements!$F:$F,"Entrée stock")+SUMIFS(Mouvements!$I:$I,Mouvements!$B:$B,A85,Mouvements!$F:$F,"Correction +")+SUMIFS(Mouvements!$I:$I,Mouvements!$B:$B,A85,Mouvements!$F:$F,"Correction -")</f>
        <v>0</v>
      </c>
      <c r="J85" s="17" t="str">
        <f t="shared" si="1"/>
        <v/>
      </c>
      <c r="K85" s="19" t="str">
        <f>Articles!G85</f>
        <v/>
      </c>
      <c r="L85" s="17" t="str">
        <f t="shared" si="2"/>
        <v/>
      </c>
      <c r="M85" s="17" t="str">
        <f t="shared" si="3"/>
        <v/>
      </c>
      <c r="N85" s="18" t="str">
        <f>IF(A85="","",J85*Articles!H85)</f>
        <v/>
      </c>
    </row>
    <row r="86" ht="15.75" customHeight="1">
      <c r="A86" s="19" t="str">
        <f>Articles!A86</f>
        <v/>
      </c>
      <c r="B86" s="19" t="str">
        <f>Articles!B86</f>
        <v/>
      </c>
      <c r="C86" s="19" t="str">
        <f>Articles!C86</f>
        <v/>
      </c>
      <c r="D86" s="19" t="str">
        <f>Articles!D86</f>
        <v/>
      </c>
      <c r="E86" s="19" t="str">
        <f>Articles!E86</f>
        <v/>
      </c>
      <c r="F86" s="19" t="str">
        <f>Articles!F86</f>
        <v/>
      </c>
      <c r="G86" s="17" t="str">
        <f>SUMIFS(Mouvements!$G:$G,Mouvements!$B:$B,A86,Mouvements!$F:$F,"Départ")</f>
        <v>0</v>
      </c>
      <c r="H86" s="17" t="str">
        <f>SUMIFS(Mouvements!$G:$G,Mouvements!$B:$B,A86,Mouvements!$F:$F,"Retour")</f>
        <v>0</v>
      </c>
      <c r="I86" s="17" t="str">
        <f>SUMIFS(Mouvements!$I:$I,Mouvements!$B:$B,A86,Mouvements!$F:$F,"Entrée stock")+SUMIFS(Mouvements!$I:$I,Mouvements!$B:$B,A86,Mouvements!$F:$F,"Correction +")+SUMIFS(Mouvements!$I:$I,Mouvements!$B:$B,A86,Mouvements!$F:$F,"Correction -")</f>
        <v>0</v>
      </c>
      <c r="J86" s="17" t="str">
        <f t="shared" si="1"/>
        <v/>
      </c>
      <c r="K86" s="19" t="str">
        <f>Articles!G86</f>
        <v/>
      </c>
      <c r="L86" s="17" t="str">
        <f t="shared" si="2"/>
        <v/>
      </c>
      <c r="M86" s="17" t="str">
        <f t="shared" si="3"/>
        <v/>
      </c>
      <c r="N86" s="18" t="str">
        <f>IF(A86="","",J86*Articles!H86)</f>
        <v/>
      </c>
    </row>
    <row r="87" ht="15.75" customHeight="1">
      <c r="A87" s="19" t="str">
        <f>Articles!A87</f>
        <v/>
      </c>
      <c r="B87" s="19" t="str">
        <f>Articles!B87</f>
        <v/>
      </c>
      <c r="C87" s="19" t="str">
        <f>Articles!C87</f>
        <v/>
      </c>
      <c r="D87" s="19" t="str">
        <f>Articles!D87</f>
        <v/>
      </c>
      <c r="E87" s="19" t="str">
        <f>Articles!E87</f>
        <v/>
      </c>
      <c r="F87" s="19" t="str">
        <f>Articles!F87</f>
        <v/>
      </c>
      <c r="G87" s="17" t="str">
        <f>SUMIFS(Mouvements!$G:$G,Mouvements!$B:$B,A87,Mouvements!$F:$F,"Départ")</f>
        <v>0</v>
      </c>
      <c r="H87" s="17" t="str">
        <f>SUMIFS(Mouvements!$G:$G,Mouvements!$B:$B,A87,Mouvements!$F:$F,"Retour")</f>
        <v>0</v>
      </c>
      <c r="I87" s="17" t="str">
        <f>SUMIFS(Mouvements!$I:$I,Mouvements!$B:$B,A87,Mouvements!$F:$F,"Entrée stock")+SUMIFS(Mouvements!$I:$I,Mouvements!$B:$B,A87,Mouvements!$F:$F,"Correction +")+SUMIFS(Mouvements!$I:$I,Mouvements!$B:$B,A87,Mouvements!$F:$F,"Correction -")</f>
        <v>0</v>
      </c>
      <c r="J87" s="17" t="str">
        <f t="shared" si="1"/>
        <v/>
      </c>
      <c r="K87" s="19" t="str">
        <f>Articles!G87</f>
        <v/>
      </c>
      <c r="L87" s="17" t="str">
        <f t="shared" si="2"/>
        <v/>
      </c>
      <c r="M87" s="17" t="str">
        <f t="shared" si="3"/>
        <v/>
      </c>
      <c r="N87" s="18" t="str">
        <f>IF(A87="","",J87*Articles!H87)</f>
        <v/>
      </c>
    </row>
    <row r="88" ht="15.75" customHeight="1">
      <c r="A88" s="19" t="str">
        <f>Articles!A88</f>
        <v/>
      </c>
      <c r="B88" s="19" t="str">
        <f>Articles!B88</f>
        <v/>
      </c>
      <c r="C88" s="19" t="str">
        <f>Articles!C88</f>
        <v/>
      </c>
      <c r="D88" s="19" t="str">
        <f>Articles!D88</f>
        <v/>
      </c>
      <c r="E88" s="19" t="str">
        <f>Articles!E88</f>
        <v/>
      </c>
      <c r="F88" s="19" t="str">
        <f>Articles!F88</f>
        <v/>
      </c>
      <c r="G88" s="17" t="str">
        <f>SUMIFS(Mouvements!$G:$G,Mouvements!$B:$B,A88,Mouvements!$F:$F,"Départ")</f>
        <v>0</v>
      </c>
      <c r="H88" s="17" t="str">
        <f>SUMIFS(Mouvements!$G:$G,Mouvements!$B:$B,A88,Mouvements!$F:$F,"Retour")</f>
        <v>0</v>
      </c>
      <c r="I88" s="17" t="str">
        <f>SUMIFS(Mouvements!$I:$I,Mouvements!$B:$B,A88,Mouvements!$F:$F,"Entrée stock")+SUMIFS(Mouvements!$I:$I,Mouvements!$B:$B,A88,Mouvements!$F:$F,"Correction +")+SUMIFS(Mouvements!$I:$I,Mouvements!$B:$B,A88,Mouvements!$F:$F,"Correction -")</f>
        <v>0</v>
      </c>
      <c r="J88" s="17" t="str">
        <f t="shared" si="1"/>
        <v/>
      </c>
      <c r="K88" s="19" t="str">
        <f>Articles!G88</f>
        <v/>
      </c>
      <c r="L88" s="17" t="str">
        <f t="shared" si="2"/>
        <v/>
      </c>
      <c r="M88" s="17" t="str">
        <f t="shared" si="3"/>
        <v/>
      </c>
      <c r="N88" s="18" t="str">
        <f>IF(A88="","",J88*Articles!H88)</f>
        <v/>
      </c>
    </row>
    <row r="89" ht="15.75" customHeight="1">
      <c r="A89" s="19" t="str">
        <f>Articles!A89</f>
        <v/>
      </c>
      <c r="B89" s="19" t="str">
        <f>Articles!B89</f>
        <v/>
      </c>
      <c r="C89" s="19" t="str">
        <f>Articles!C89</f>
        <v/>
      </c>
      <c r="D89" s="19" t="str">
        <f>Articles!D89</f>
        <v/>
      </c>
      <c r="E89" s="19" t="str">
        <f>Articles!E89</f>
        <v/>
      </c>
      <c r="F89" s="19" t="str">
        <f>Articles!F89</f>
        <v/>
      </c>
      <c r="G89" s="17" t="str">
        <f>SUMIFS(Mouvements!$G:$G,Mouvements!$B:$B,A89,Mouvements!$F:$F,"Départ")</f>
        <v>0</v>
      </c>
      <c r="H89" s="17" t="str">
        <f>SUMIFS(Mouvements!$G:$G,Mouvements!$B:$B,A89,Mouvements!$F:$F,"Retour")</f>
        <v>0</v>
      </c>
      <c r="I89" s="17" t="str">
        <f>SUMIFS(Mouvements!$I:$I,Mouvements!$B:$B,A89,Mouvements!$F:$F,"Entrée stock")+SUMIFS(Mouvements!$I:$I,Mouvements!$B:$B,A89,Mouvements!$F:$F,"Correction +")+SUMIFS(Mouvements!$I:$I,Mouvements!$B:$B,A89,Mouvements!$F:$F,"Correction -")</f>
        <v>0</v>
      </c>
      <c r="J89" s="17" t="str">
        <f t="shared" si="1"/>
        <v/>
      </c>
      <c r="K89" s="19" t="str">
        <f>Articles!G89</f>
        <v/>
      </c>
      <c r="L89" s="17" t="str">
        <f t="shared" si="2"/>
        <v/>
      </c>
      <c r="M89" s="17" t="str">
        <f t="shared" si="3"/>
        <v/>
      </c>
      <c r="N89" s="18" t="str">
        <f>IF(A89="","",J89*Articles!H89)</f>
        <v/>
      </c>
    </row>
    <row r="90" ht="15.75" customHeight="1">
      <c r="A90" s="19" t="str">
        <f>Articles!A90</f>
        <v/>
      </c>
      <c r="B90" s="19" t="str">
        <f>Articles!B90</f>
        <v/>
      </c>
      <c r="C90" s="19" t="str">
        <f>Articles!C90</f>
        <v/>
      </c>
      <c r="D90" s="19" t="str">
        <f>Articles!D90</f>
        <v/>
      </c>
      <c r="E90" s="19" t="str">
        <f>Articles!E90</f>
        <v/>
      </c>
      <c r="F90" s="19" t="str">
        <f>Articles!F90</f>
        <v/>
      </c>
      <c r="G90" s="17" t="str">
        <f>SUMIFS(Mouvements!$G:$G,Mouvements!$B:$B,A90,Mouvements!$F:$F,"Départ")</f>
        <v>0</v>
      </c>
      <c r="H90" s="17" t="str">
        <f>SUMIFS(Mouvements!$G:$G,Mouvements!$B:$B,A90,Mouvements!$F:$F,"Retour")</f>
        <v>0</v>
      </c>
      <c r="I90" s="17" t="str">
        <f>SUMIFS(Mouvements!$I:$I,Mouvements!$B:$B,A90,Mouvements!$F:$F,"Entrée stock")+SUMIFS(Mouvements!$I:$I,Mouvements!$B:$B,A90,Mouvements!$F:$F,"Correction +")+SUMIFS(Mouvements!$I:$I,Mouvements!$B:$B,A90,Mouvements!$F:$F,"Correction -")</f>
        <v>0</v>
      </c>
      <c r="J90" s="17" t="str">
        <f t="shared" si="1"/>
        <v/>
      </c>
      <c r="K90" s="19" t="str">
        <f>Articles!G90</f>
        <v/>
      </c>
      <c r="L90" s="17" t="str">
        <f t="shared" si="2"/>
        <v/>
      </c>
      <c r="M90" s="17" t="str">
        <f t="shared" si="3"/>
        <v/>
      </c>
      <c r="N90" s="18" t="str">
        <f>IF(A90="","",J90*Articles!H90)</f>
        <v/>
      </c>
    </row>
    <row r="91" ht="15.75" customHeight="1">
      <c r="A91" s="19" t="str">
        <f>Articles!A91</f>
        <v/>
      </c>
      <c r="B91" s="19" t="str">
        <f>Articles!B91</f>
        <v/>
      </c>
      <c r="C91" s="19" t="str">
        <f>Articles!C91</f>
        <v/>
      </c>
      <c r="D91" s="19" t="str">
        <f>Articles!D91</f>
        <v/>
      </c>
      <c r="E91" s="19" t="str">
        <f>Articles!E91</f>
        <v/>
      </c>
      <c r="F91" s="19" t="str">
        <f>Articles!F91</f>
        <v/>
      </c>
      <c r="G91" s="17" t="str">
        <f>SUMIFS(Mouvements!$G:$G,Mouvements!$B:$B,A91,Mouvements!$F:$F,"Départ")</f>
        <v>0</v>
      </c>
      <c r="H91" s="17" t="str">
        <f>SUMIFS(Mouvements!$G:$G,Mouvements!$B:$B,A91,Mouvements!$F:$F,"Retour")</f>
        <v>0</v>
      </c>
      <c r="I91" s="17" t="str">
        <f>SUMIFS(Mouvements!$I:$I,Mouvements!$B:$B,A91,Mouvements!$F:$F,"Entrée stock")+SUMIFS(Mouvements!$I:$I,Mouvements!$B:$B,A91,Mouvements!$F:$F,"Correction +")+SUMIFS(Mouvements!$I:$I,Mouvements!$B:$B,A91,Mouvements!$F:$F,"Correction -")</f>
        <v>0</v>
      </c>
      <c r="J91" s="17" t="str">
        <f t="shared" si="1"/>
        <v/>
      </c>
      <c r="K91" s="19" t="str">
        <f>Articles!G91</f>
        <v/>
      </c>
      <c r="L91" s="17" t="str">
        <f t="shared" si="2"/>
        <v/>
      </c>
      <c r="M91" s="17" t="str">
        <f t="shared" si="3"/>
        <v/>
      </c>
      <c r="N91" s="18" t="str">
        <f>IF(A91="","",J91*Articles!H91)</f>
        <v/>
      </c>
    </row>
    <row r="92" ht="15.75" customHeight="1">
      <c r="A92" s="19" t="str">
        <f>Articles!A92</f>
        <v/>
      </c>
      <c r="B92" s="19" t="str">
        <f>Articles!B92</f>
        <v/>
      </c>
      <c r="C92" s="19" t="str">
        <f>Articles!C92</f>
        <v/>
      </c>
      <c r="D92" s="19" t="str">
        <f>Articles!D92</f>
        <v/>
      </c>
      <c r="E92" s="19" t="str">
        <f>Articles!E92</f>
        <v/>
      </c>
      <c r="F92" s="19" t="str">
        <f>Articles!F92</f>
        <v/>
      </c>
      <c r="G92" s="17" t="str">
        <f>SUMIFS(Mouvements!$G:$G,Mouvements!$B:$B,A92,Mouvements!$F:$F,"Départ")</f>
        <v>0</v>
      </c>
      <c r="H92" s="17" t="str">
        <f>SUMIFS(Mouvements!$G:$G,Mouvements!$B:$B,A92,Mouvements!$F:$F,"Retour")</f>
        <v>0</v>
      </c>
      <c r="I92" s="17" t="str">
        <f>SUMIFS(Mouvements!$I:$I,Mouvements!$B:$B,A92,Mouvements!$F:$F,"Entrée stock")+SUMIFS(Mouvements!$I:$I,Mouvements!$B:$B,A92,Mouvements!$F:$F,"Correction +")+SUMIFS(Mouvements!$I:$I,Mouvements!$B:$B,A92,Mouvements!$F:$F,"Correction -")</f>
        <v>0</v>
      </c>
      <c r="J92" s="17" t="str">
        <f t="shared" si="1"/>
        <v/>
      </c>
      <c r="K92" s="19" t="str">
        <f>Articles!G92</f>
        <v/>
      </c>
      <c r="L92" s="17" t="str">
        <f t="shared" si="2"/>
        <v/>
      </c>
      <c r="M92" s="17" t="str">
        <f t="shared" si="3"/>
        <v/>
      </c>
      <c r="N92" s="18" t="str">
        <f>IF(A92="","",J92*Articles!H92)</f>
        <v/>
      </c>
    </row>
    <row r="93" ht="15.75" customHeight="1">
      <c r="A93" s="19" t="str">
        <f>Articles!A93</f>
        <v/>
      </c>
      <c r="B93" s="19" t="str">
        <f>Articles!B93</f>
        <v/>
      </c>
      <c r="C93" s="19" t="str">
        <f>Articles!C93</f>
        <v/>
      </c>
      <c r="D93" s="19" t="str">
        <f>Articles!D93</f>
        <v/>
      </c>
      <c r="E93" s="19" t="str">
        <f>Articles!E93</f>
        <v/>
      </c>
      <c r="F93" s="19" t="str">
        <f>Articles!F93</f>
        <v/>
      </c>
      <c r="G93" s="17" t="str">
        <f>SUMIFS(Mouvements!$G:$G,Mouvements!$B:$B,A93,Mouvements!$F:$F,"Départ")</f>
        <v>0</v>
      </c>
      <c r="H93" s="17" t="str">
        <f>SUMIFS(Mouvements!$G:$G,Mouvements!$B:$B,A93,Mouvements!$F:$F,"Retour")</f>
        <v>0</v>
      </c>
      <c r="I93" s="17" t="str">
        <f>SUMIFS(Mouvements!$I:$I,Mouvements!$B:$B,A93,Mouvements!$F:$F,"Entrée stock")+SUMIFS(Mouvements!$I:$I,Mouvements!$B:$B,A93,Mouvements!$F:$F,"Correction +")+SUMIFS(Mouvements!$I:$I,Mouvements!$B:$B,A93,Mouvements!$F:$F,"Correction -")</f>
        <v>0</v>
      </c>
      <c r="J93" s="17" t="str">
        <f t="shared" si="1"/>
        <v/>
      </c>
      <c r="K93" s="19" t="str">
        <f>Articles!G93</f>
        <v/>
      </c>
      <c r="L93" s="17" t="str">
        <f t="shared" si="2"/>
        <v/>
      </c>
      <c r="M93" s="17" t="str">
        <f t="shared" si="3"/>
        <v/>
      </c>
      <c r="N93" s="18" t="str">
        <f>IF(A93="","",J93*Articles!H93)</f>
        <v/>
      </c>
    </row>
    <row r="94" ht="15.75" customHeight="1">
      <c r="A94" s="19" t="str">
        <f>Articles!A94</f>
        <v/>
      </c>
      <c r="B94" s="19" t="str">
        <f>Articles!B94</f>
        <v/>
      </c>
      <c r="C94" s="19" t="str">
        <f>Articles!C94</f>
        <v/>
      </c>
      <c r="D94" s="19" t="str">
        <f>Articles!D94</f>
        <v/>
      </c>
      <c r="E94" s="19" t="str">
        <f>Articles!E94</f>
        <v/>
      </c>
      <c r="F94" s="19" t="str">
        <f>Articles!F94</f>
        <v/>
      </c>
      <c r="G94" s="17" t="str">
        <f>SUMIFS(Mouvements!$G:$G,Mouvements!$B:$B,A94,Mouvements!$F:$F,"Départ")</f>
        <v>0</v>
      </c>
      <c r="H94" s="17" t="str">
        <f>SUMIFS(Mouvements!$G:$G,Mouvements!$B:$B,A94,Mouvements!$F:$F,"Retour")</f>
        <v>0</v>
      </c>
      <c r="I94" s="17" t="str">
        <f>SUMIFS(Mouvements!$I:$I,Mouvements!$B:$B,A94,Mouvements!$F:$F,"Entrée stock")+SUMIFS(Mouvements!$I:$I,Mouvements!$B:$B,A94,Mouvements!$F:$F,"Correction +")+SUMIFS(Mouvements!$I:$I,Mouvements!$B:$B,A94,Mouvements!$F:$F,"Correction -")</f>
        <v>0</v>
      </c>
      <c r="J94" s="17" t="str">
        <f t="shared" si="1"/>
        <v/>
      </c>
      <c r="K94" s="19" t="str">
        <f>Articles!G94</f>
        <v/>
      </c>
      <c r="L94" s="17" t="str">
        <f t="shared" si="2"/>
        <v/>
      </c>
      <c r="M94" s="17" t="str">
        <f t="shared" si="3"/>
        <v/>
      </c>
      <c r="N94" s="18" t="str">
        <f>IF(A94="","",J94*Articles!H94)</f>
        <v/>
      </c>
    </row>
    <row r="95" ht="15.75" customHeight="1">
      <c r="A95" s="19" t="str">
        <f>Articles!A95</f>
        <v/>
      </c>
      <c r="B95" s="19" t="str">
        <f>Articles!B95</f>
        <v/>
      </c>
      <c r="C95" s="19" t="str">
        <f>Articles!C95</f>
        <v/>
      </c>
      <c r="D95" s="19" t="str">
        <f>Articles!D95</f>
        <v/>
      </c>
      <c r="E95" s="19" t="str">
        <f>Articles!E95</f>
        <v/>
      </c>
      <c r="F95" s="19" t="str">
        <f>Articles!F95</f>
        <v/>
      </c>
      <c r="G95" s="17" t="str">
        <f>SUMIFS(Mouvements!$G:$G,Mouvements!$B:$B,A95,Mouvements!$F:$F,"Départ")</f>
        <v>0</v>
      </c>
      <c r="H95" s="17" t="str">
        <f>SUMIFS(Mouvements!$G:$G,Mouvements!$B:$B,A95,Mouvements!$F:$F,"Retour")</f>
        <v>0</v>
      </c>
      <c r="I95" s="17" t="str">
        <f>SUMIFS(Mouvements!$I:$I,Mouvements!$B:$B,A95,Mouvements!$F:$F,"Entrée stock")+SUMIFS(Mouvements!$I:$I,Mouvements!$B:$B,A95,Mouvements!$F:$F,"Correction +")+SUMIFS(Mouvements!$I:$I,Mouvements!$B:$B,A95,Mouvements!$F:$F,"Correction -")</f>
        <v>0</v>
      </c>
      <c r="J95" s="17" t="str">
        <f t="shared" si="1"/>
        <v/>
      </c>
      <c r="K95" s="19" t="str">
        <f>Articles!G95</f>
        <v/>
      </c>
      <c r="L95" s="17" t="str">
        <f t="shared" si="2"/>
        <v/>
      </c>
      <c r="M95" s="17" t="str">
        <f t="shared" si="3"/>
        <v/>
      </c>
      <c r="N95" s="18" t="str">
        <f>IF(A95="","",J95*Articles!H95)</f>
        <v/>
      </c>
    </row>
    <row r="96" ht="15.75" customHeight="1">
      <c r="A96" s="19" t="str">
        <f>Articles!A96</f>
        <v/>
      </c>
      <c r="B96" s="19" t="str">
        <f>Articles!B96</f>
        <v/>
      </c>
      <c r="C96" s="19" t="str">
        <f>Articles!C96</f>
        <v/>
      </c>
      <c r="D96" s="19" t="str">
        <f>Articles!D96</f>
        <v/>
      </c>
      <c r="E96" s="19" t="str">
        <f>Articles!E96</f>
        <v/>
      </c>
      <c r="F96" s="19" t="str">
        <f>Articles!F96</f>
        <v/>
      </c>
      <c r="G96" s="17" t="str">
        <f>SUMIFS(Mouvements!$G:$G,Mouvements!$B:$B,A96,Mouvements!$F:$F,"Départ")</f>
        <v>0</v>
      </c>
      <c r="H96" s="17" t="str">
        <f>SUMIFS(Mouvements!$G:$G,Mouvements!$B:$B,A96,Mouvements!$F:$F,"Retour")</f>
        <v>0</v>
      </c>
      <c r="I96" s="17" t="str">
        <f>SUMIFS(Mouvements!$I:$I,Mouvements!$B:$B,A96,Mouvements!$F:$F,"Entrée stock")+SUMIFS(Mouvements!$I:$I,Mouvements!$B:$B,A96,Mouvements!$F:$F,"Correction +")+SUMIFS(Mouvements!$I:$I,Mouvements!$B:$B,A96,Mouvements!$F:$F,"Correction -")</f>
        <v>0</v>
      </c>
      <c r="J96" s="17" t="str">
        <f t="shared" si="1"/>
        <v/>
      </c>
      <c r="K96" s="19" t="str">
        <f>Articles!G96</f>
        <v/>
      </c>
      <c r="L96" s="17" t="str">
        <f t="shared" si="2"/>
        <v/>
      </c>
      <c r="M96" s="17" t="str">
        <f t="shared" si="3"/>
        <v/>
      </c>
      <c r="N96" s="18" t="str">
        <f>IF(A96="","",J96*Articles!H96)</f>
        <v/>
      </c>
    </row>
    <row r="97" ht="15.75" customHeight="1">
      <c r="A97" s="19" t="str">
        <f>Articles!A97</f>
        <v/>
      </c>
      <c r="B97" s="19" t="str">
        <f>Articles!B97</f>
        <v/>
      </c>
      <c r="C97" s="19" t="str">
        <f>Articles!C97</f>
        <v/>
      </c>
      <c r="D97" s="19" t="str">
        <f>Articles!D97</f>
        <v/>
      </c>
      <c r="E97" s="19" t="str">
        <f>Articles!E97</f>
        <v/>
      </c>
      <c r="F97" s="19" t="str">
        <f>Articles!F97</f>
        <v/>
      </c>
      <c r="G97" s="17" t="str">
        <f>SUMIFS(Mouvements!$G:$G,Mouvements!$B:$B,A97,Mouvements!$F:$F,"Départ")</f>
        <v>0</v>
      </c>
      <c r="H97" s="17" t="str">
        <f>SUMIFS(Mouvements!$G:$G,Mouvements!$B:$B,A97,Mouvements!$F:$F,"Retour")</f>
        <v>0</v>
      </c>
      <c r="I97" s="17" t="str">
        <f>SUMIFS(Mouvements!$I:$I,Mouvements!$B:$B,A97,Mouvements!$F:$F,"Entrée stock")+SUMIFS(Mouvements!$I:$I,Mouvements!$B:$B,A97,Mouvements!$F:$F,"Correction +")+SUMIFS(Mouvements!$I:$I,Mouvements!$B:$B,A97,Mouvements!$F:$F,"Correction -")</f>
        <v>0</v>
      </c>
      <c r="J97" s="17" t="str">
        <f t="shared" si="1"/>
        <v/>
      </c>
      <c r="K97" s="19" t="str">
        <f>Articles!G97</f>
        <v/>
      </c>
      <c r="L97" s="17" t="str">
        <f t="shared" si="2"/>
        <v/>
      </c>
      <c r="M97" s="17" t="str">
        <f t="shared" si="3"/>
        <v/>
      </c>
      <c r="N97" s="18" t="str">
        <f>IF(A97="","",J97*Articles!H97)</f>
        <v/>
      </c>
    </row>
    <row r="98" ht="15.75" customHeight="1">
      <c r="A98" s="19" t="str">
        <f>Articles!A98</f>
        <v/>
      </c>
      <c r="B98" s="19" t="str">
        <f>Articles!B98</f>
        <v/>
      </c>
      <c r="C98" s="19" t="str">
        <f>Articles!C98</f>
        <v/>
      </c>
      <c r="D98" s="19" t="str">
        <f>Articles!D98</f>
        <v/>
      </c>
      <c r="E98" s="19" t="str">
        <f>Articles!E98</f>
        <v/>
      </c>
      <c r="F98" s="19" t="str">
        <f>Articles!F98</f>
        <v/>
      </c>
      <c r="G98" s="17" t="str">
        <f>SUMIFS(Mouvements!$G:$G,Mouvements!$B:$B,A98,Mouvements!$F:$F,"Départ")</f>
        <v>0</v>
      </c>
      <c r="H98" s="17" t="str">
        <f>SUMIFS(Mouvements!$G:$G,Mouvements!$B:$B,A98,Mouvements!$F:$F,"Retour")</f>
        <v>0</v>
      </c>
      <c r="I98" s="17" t="str">
        <f>SUMIFS(Mouvements!$I:$I,Mouvements!$B:$B,A98,Mouvements!$F:$F,"Entrée stock")+SUMIFS(Mouvements!$I:$I,Mouvements!$B:$B,A98,Mouvements!$F:$F,"Correction +")+SUMIFS(Mouvements!$I:$I,Mouvements!$B:$B,A98,Mouvements!$F:$F,"Correction -")</f>
        <v>0</v>
      </c>
      <c r="J98" s="17" t="str">
        <f t="shared" si="1"/>
        <v/>
      </c>
      <c r="K98" s="19" t="str">
        <f>Articles!G98</f>
        <v/>
      </c>
      <c r="L98" s="17" t="str">
        <f t="shared" si="2"/>
        <v/>
      </c>
      <c r="M98" s="17" t="str">
        <f t="shared" si="3"/>
        <v/>
      </c>
      <c r="N98" s="18" t="str">
        <f>IF(A98="","",J98*Articles!H98)</f>
        <v/>
      </c>
    </row>
    <row r="99" ht="15.75" customHeight="1">
      <c r="A99" s="19" t="str">
        <f>Articles!A99</f>
        <v/>
      </c>
      <c r="B99" s="19" t="str">
        <f>Articles!B99</f>
        <v/>
      </c>
      <c r="C99" s="19" t="str">
        <f>Articles!C99</f>
        <v/>
      </c>
      <c r="D99" s="19" t="str">
        <f>Articles!D99</f>
        <v/>
      </c>
      <c r="E99" s="19" t="str">
        <f>Articles!E99</f>
        <v/>
      </c>
      <c r="F99" s="19" t="str">
        <f>Articles!F99</f>
        <v/>
      </c>
      <c r="G99" s="17" t="str">
        <f>SUMIFS(Mouvements!$G:$G,Mouvements!$B:$B,A99,Mouvements!$F:$F,"Départ")</f>
        <v>0</v>
      </c>
      <c r="H99" s="17" t="str">
        <f>SUMIFS(Mouvements!$G:$G,Mouvements!$B:$B,A99,Mouvements!$F:$F,"Retour")</f>
        <v>0</v>
      </c>
      <c r="I99" s="17" t="str">
        <f>SUMIFS(Mouvements!$I:$I,Mouvements!$B:$B,A99,Mouvements!$F:$F,"Entrée stock")+SUMIFS(Mouvements!$I:$I,Mouvements!$B:$B,A99,Mouvements!$F:$F,"Correction +")+SUMIFS(Mouvements!$I:$I,Mouvements!$B:$B,A99,Mouvements!$F:$F,"Correction -")</f>
        <v>0</v>
      </c>
      <c r="J99" s="17" t="str">
        <f t="shared" si="1"/>
        <v/>
      </c>
      <c r="K99" s="19" t="str">
        <f>Articles!G99</f>
        <v/>
      </c>
      <c r="L99" s="17" t="str">
        <f t="shared" si="2"/>
        <v/>
      </c>
      <c r="M99" s="17" t="str">
        <f t="shared" si="3"/>
        <v/>
      </c>
      <c r="N99" s="18" t="str">
        <f>IF(A99="","",J99*Articles!H99)</f>
        <v/>
      </c>
    </row>
    <row r="100" ht="15.75" customHeight="1">
      <c r="A100" s="19" t="str">
        <f>Articles!A100</f>
        <v/>
      </c>
      <c r="B100" s="19" t="str">
        <f>Articles!B100</f>
        <v/>
      </c>
      <c r="C100" s="19" t="str">
        <f>Articles!C100</f>
        <v/>
      </c>
      <c r="D100" s="19" t="str">
        <f>Articles!D100</f>
        <v/>
      </c>
      <c r="E100" s="19" t="str">
        <f>Articles!E100</f>
        <v/>
      </c>
      <c r="F100" s="19" t="str">
        <f>Articles!F100</f>
        <v/>
      </c>
      <c r="G100" s="17" t="str">
        <f>SUMIFS(Mouvements!$G:$G,Mouvements!$B:$B,A100,Mouvements!$F:$F,"Départ")</f>
        <v>0</v>
      </c>
      <c r="H100" s="17" t="str">
        <f>SUMIFS(Mouvements!$G:$G,Mouvements!$B:$B,A100,Mouvements!$F:$F,"Retour")</f>
        <v>0</v>
      </c>
      <c r="I100" s="17" t="str">
        <f>SUMIFS(Mouvements!$I:$I,Mouvements!$B:$B,A100,Mouvements!$F:$F,"Entrée stock")+SUMIFS(Mouvements!$I:$I,Mouvements!$B:$B,A100,Mouvements!$F:$F,"Correction +")+SUMIFS(Mouvements!$I:$I,Mouvements!$B:$B,A100,Mouvements!$F:$F,"Correction -")</f>
        <v>0</v>
      </c>
      <c r="J100" s="17" t="str">
        <f t="shared" si="1"/>
        <v/>
      </c>
      <c r="K100" s="19" t="str">
        <f>Articles!G100</f>
        <v/>
      </c>
      <c r="L100" s="17" t="str">
        <f t="shared" si="2"/>
        <v/>
      </c>
      <c r="M100" s="17" t="str">
        <f t="shared" si="3"/>
        <v/>
      </c>
      <c r="N100" s="18" t="str">
        <f>IF(A100="","",J100*Articles!H100)</f>
        <v/>
      </c>
    </row>
    <row r="101" ht="15.75" customHeight="1">
      <c r="A101" s="19" t="str">
        <f>Articles!A101</f>
        <v/>
      </c>
      <c r="B101" s="19" t="str">
        <f>Articles!B101</f>
        <v/>
      </c>
      <c r="C101" s="19" t="str">
        <f>Articles!C101</f>
        <v/>
      </c>
      <c r="D101" s="19" t="str">
        <f>Articles!D101</f>
        <v/>
      </c>
      <c r="E101" s="19" t="str">
        <f>Articles!E101</f>
        <v/>
      </c>
      <c r="F101" s="19" t="str">
        <f>Articles!F101</f>
        <v/>
      </c>
      <c r="G101" s="17" t="str">
        <f>SUMIFS(Mouvements!$G:$G,Mouvements!$B:$B,A101,Mouvements!$F:$F,"Départ")</f>
        <v>0</v>
      </c>
      <c r="H101" s="17" t="str">
        <f>SUMIFS(Mouvements!$G:$G,Mouvements!$B:$B,A101,Mouvements!$F:$F,"Retour")</f>
        <v>0</v>
      </c>
      <c r="I101" s="17" t="str">
        <f>SUMIFS(Mouvements!$I:$I,Mouvements!$B:$B,A101,Mouvements!$F:$F,"Entrée stock")+SUMIFS(Mouvements!$I:$I,Mouvements!$B:$B,A101,Mouvements!$F:$F,"Correction +")+SUMIFS(Mouvements!$I:$I,Mouvements!$B:$B,A101,Mouvements!$F:$F,"Correction -")</f>
        <v>0</v>
      </c>
      <c r="J101" s="17" t="str">
        <f t="shared" si="1"/>
        <v/>
      </c>
      <c r="K101" s="19" t="str">
        <f>Articles!G101</f>
        <v/>
      </c>
      <c r="L101" s="17" t="str">
        <f t="shared" si="2"/>
        <v/>
      </c>
      <c r="M101" s="17" t="str">
        <f t="shared" si="3"/>
        <v/>
      </c>
      <c r="N101" s="18" t="str">
        <f>IF(A101="","",J101*Articles!H101)</f>
        <v/>
      </c>
    </row>
    <row r="102" ht="15.75" customHeight="1">
      <c r="A102" s="19" t="str">
        <f>Articles!A102</f>
        <v/>
      </c>
      <c r="B102" s="19" t="str">
        <f>Articles!B102</f>
        <v/>
      </c>
      <c r="C102" s="19" t="str">
        <f>Articles!C102</f>
        <v/>
      </c>
      <c r="D102" s="19" t="str">
        <f>Articles!D102</f>
        <v/>
      </c>
      <c r="E102" s="19" t="str">
        <f>Articles!E102</f>
        <v/>
      </c>
      <c r="F102" s="19" t="str">
        <f>Articles!F102</f>
        <v/>
      </c>
      <c r="G102" s="17" t="str">
        <f>SUMIFS(Mouvements!$G:$G,Mouvements!$B:$B,A102,Mouvements!$F:$F,"Départ")</f>
        <v>0</v>
      </c>
      <c r="H102" s="17" t="str">
        <f>SUMIFS(Mouvements!$G:$G,Mouvements!$B:$B,A102,Mouvements!$F:$F,"Retour")</f>
        <v>0</v>
      </c>
      <c r="I102" s="17" t="str">
        <f>SUMIFS(Mouvements!$I:$I,Mouvements!$B:$B,A102,Mouvements!$F:$F,"Entrée stock")+SUMIFS(Mouvements!$I:$I,Mouvements!$B:$B,A102,Mouvements!$F:$F,"Correction +")+SUMIFS(Mouvements!$I:$I,Mouvements!$B:$B,A102,Mouvements!$F:$F,"Correction -")</f>
        <v>0</v>
      </c>
      <c r="J102" s="17" t="str">
        <f t="shared" si="1"/>
        <v/>
      </c>
      <c r="K102" s="19" t="str">
        <f>Articles!G102</f>
        <v/>
      </c>
      <c r="L102" s="17" t="str">
        <f t="shared" si="2"/>
        <v/>
      </c>
      <c r="M102" s="17" t="str">
        <f t="shared" si="3"/>
        <v/>
      </c>
      <c r="N102" s="18" t="str">
        <f>IF(A102="","",J102*Articles!H102)</f>
        <v/>
      </c>
    </row>
    <row r="103" ht="15.75" customHeight="1">
      <c r="A103" s="19" t="str">
        <f>Articles!A103</f>
        <v/>
      </c>
      <c r="B103" s="19" t="str">
        <f>Articles!B103</f>
        <v/>
      </c>
      <c r="C103" s="19" t="str">
        <f>Articles!C103</f>
        <v/>
      </c>
      <c r="D103" s="19" t="str">
        <f>Articles!D103</f>
        <v/>
      </c>
      <c r="E103" s="19" t="str">
        <f>Articles!E103</f>
        <v/>
      </c>
      <c r="F103" s="19" t="str">
        <f>Articles!F103</f>
        <v/>
      </c>
      <c r="G103" s="17" t="str">
        <f>SUMIFS(Mouvements!$G:$G,Mouvements!$B:$B,A103,Mouvements!$F:$F,"Départ")</f>
        <v>0</v>
      </c>
      <c r="H103" s="17" t="str">
        <f>SUMIFS(Mouvements!$G:$G,Mouvements!$B:$B,A103,Mouvements!$F:$F,"Retour")</f>
        <v>0</v>
      </c>
      <c r="I103" s="17" t="str">
        <f>SUMIFS(Mouvements!$I:$I,Mouvements!$B:$B,A103,Mouvements!$F:$F,"Entrée stock")+SUMIFS(Mouvements!$I:$I,Mouvements!$B:$B,A103,Mouvements!$F:$F,"Correction +")+SUMIFS(Mouvements!$I:$I,Mouvements!$B:$B,A103,Mouvements!$F:$F,"Correction -")</f>
        <v>0</v>
      </c>
      <c r="J103" s="17" t="str">
        <f t="shared" si="1"/>
        <v/>
      </c>
      <c r="K103" s="19" t="str">
        <f>Articles!G103</f>
        <v/>
      </c>
      <c r="L103" s="17" t="str">
        <f t="shared" si="2"/>
        <v/>
      </c>
      <c r="M103" s="17" t="str">
        <f t="shared" si="3"/>
        <v/>
      </c>
      <c r="N103" s="18" t="str">
        <f>IF(A103="","",J103*Articles!H103)</f>
        <v/>
      </c>
    </row>
    <row r="104" ht="15.75" customHeight="1">
      <c r="A104" s="19" t="str">
        <f>Articles!A104</f>
        <v/>
      </c>
      <c r="B104" s="19" t="str">
        <f>Articles!B104</f>
        <v/>
      </c>
      <c r="C104" s="19" t="str">
        <f>Articles!C104</f>
        <v/>
      </c>
      <c r="D104" s="19" t="str">
        <f>Articles!D104</f>
        <v/>
      </c>
      <c r="E104" s="19" t="str">
        <f>Articles!E104</f>
        <v/>
      </c>
      <c r="F104" s="19" t="str">
        <f>Articles!F104</f>
        <v/>
      </c>
      <c r="G104" s="17" t="str">
        <f>SUMIFS(Mouvements!$G:$G,Mouvements!$B:$B,A104,Mouvements!$F:$F,"Départ")</f>
        <v>0</v>
      </c>
      <c r="H104" s="17" t="str">
        <f>SUMIFS(Mouvements!$G:$G,Mouvements!$B:$B,A104,Mouvements!$F:$F,"Retour")</f>
        <v>0</v>
      </c>
      <c r="I104" s="17" t="str">
        <f>SUMIFS(Mouvements!$I:$I,Mouvements!$B:$B,A104,Mouvements!$F:$F,"Entrée stock")+SUMIFS(Mouvements!$I:$I,Mouvements!$B:$B,A104,Mouvements!$F:$F,"Correction +")+SUMIFS(Mouvements!$I:$I,Mouvements!$B:$B,A104,Mouvements!$F:$F,"Correction -")</f>
        <v>0</v>
      </c>
      <c r="J104" s="17" t="str">
        <f t="shared" si="1"/>
        <v/>
      </c>
      <c r="K104" s="19" t="str">
        <f>Articles!G104</f>
        <v/>
      </c>
      <c r="L104" s="17" t="str">
        <f t="shared" si="2"/>
        <v/>
      </c>
      <c r="M104" s="17" t="str">
        <f t="shared" si="3"/>
        <v/>
      </c>
      <c r="N104" s="18" t="str">
        <f>IF(A104="","",J104*Articles!H104)</f>
        <v/>
      </c>
    </row>
    <row r="105" ht="15.75" customHeight="1">
      <c r="A105" s="19" t="str">
        <f>Articles!A105</f>
        <v/>
      </c>
      <c r="B105" s="19" t="str">
        <f>Articles!B105</f>
        <v/>
      </c>
      <c r="C105" s="19" t="str">
        <f>Articles!C105</f>
        <v/>
      </c>
      <c r="D105" s="19" t="str">
        <f>Articles!D105</f>
        <v/>
      </c>
      <c r="E105" s="19" t="str">
        <f>Articles!E105</f>
        <v/>
      </c>
      <c r="F105" s="19" t="str">
        <f>Articles!F105</f>
        <v/>
      </c>
      <c r="G105" s="17" t="str">
        <f>SUMIFS(Mouvements!$G:$G,Mouvements!$B:$B,A105,Mouvements!$F:$F,"Départ")</f>
        <v>0</v>
      </c>
      <c r="H105" s="17" t="str">
        <f>SUMIFS(Mouvements!$G:$G,Mouvements!$B:$B,A105,Mouvements!$F:$F,"Retour")</f>
        <v>0</v>
      </c>
      <c r="I105" s="17" t="str">
        <f>SUMIFS(Mouvements!$I:$I,Mouvements!$B:$B,A105,Mouvements!$F:$F,"Entrée stock")+SUMIFS(Mouvements!$I:$I,Mouvements!$B:$B,A105,Mouvements!$F:$F,"Correction +")+SUMIFS(Mouvements!$I:$I,Mouvements!$B:$B,A105,Mouvements!$F:$F,"Correction -")</f>
        <v>0</v>
      </c>
      <c r="J105" s="17" t="str">
        <f t="shared" si="1"/>
        <v/>
      </c>
      <c r="K105" s="19" t="str">
        <f>Articles!G105</f>
        <v/>
      </c>
      <c r="L105" s="17" t="str">
        <f t="shared" si="2"/>
        <v/>
      </c>
      <c r="M105" s="17" t="str">
        <f t="shared" si="3"/>
        <v/>
      </c>
      <c r="N105" s="18" t="str">
        <f>IF(A105="","",J105*Articles!H105)</f>
        <v/>
      </c>
    </row>
    <row r="106" ht="15.75" customHeight="1">
      <c r="A106" s="19" t="str">
        <f>Articles!A106</f>
        <v/>
      </c>
      <c r="B106" s="19" t="str">
        <f>Articles!B106</f>
        <v/>
      </c>
      <c r="C106" s="19" t="str">
        <f>Articles!C106</f>
        <v/>
      </c>
      <c r="D106" s="19" t="str">
        <f>Articles!D106</f>
        <v/>
      </c>
      <c r="E106" s="19" t="str">
        <f>Articles!E106</f>
        <v/>
      </c>
      <c r="F106" s="19" t="str">
        <f>Articles!F106</f>
        <v/>
      </c>
      <c r="G106" s="17" t="str">
        <f>SUMIFS(Mouvements!$G:$G,Mouvements!$B:$B,A106,Mouvements!$F:$F,"Départ")</f>
        <v>0</v>
      </c>
      <c r="H106" s="17" t="str">
        <f>SUMIFS(Mouvements!$G:$G,Mouvements!$B:$B,A106,Mouvements!$F:$F,"Retour")</f>
        <v>0</v>
      </c>
      <c r="I106" s="17" t="str">
        <f>SUMIFS(Mouvements!$I:$I,Mouvements!$B:$B,A106,Mouvements!$F:$F,"Entrée stock")+SUMIFS(Mouvements!$I:$I,Mouvements!$B:$B,A106,Mouvements!$F:$F,"Correction +")+SUMIFS(Mouvements!$I:$I,Mouvements!$B:$B,A106,Mouvements!$F:$F,"Correction -")</f>
        <v>0</v>
      </c>
      <c r="J106" s="17" t="str">
        <f t="shared" si="1"/>
        <v/>
      </c>
      <c r="K106" s="19" t="str">
        <f>Articles!G106</f>
        <v/>
      </c>
      <c r="L106" s="17" t="str">
        <f t="shared" si="2"/>
        <v/>
      </c>
      <c r="M106" s="17" t="str">
        <f t="shared" si="3"/>
        <v/>
      </c>
      <c r="N106" s="18" t="str">
        <f>IF(A106="","",J106*Articles!H106)</f>
        <v/>
      </c>
    </row>
    <row r="107" ht="15.75" customHeight="1">
      <c r="A107" s="19" t="str">
        <f>Articles!A107</f>
        <v/>
      </c>
      <c r="B107" s="19" t="str">
        <f>Articles!B107</f>
        <v/>
      </c>
      <c r="C107" s="19" t="str">
        <f>Articles!C107</f>
        <v/>
      </c>
      <c r="D107" s="19" t="str">
        <f>Articles!D107</f>
        <v/>
      </c>
      <c r="E107" s="19" t="str">
        <f>Articles!E107</f>
        <v/>
      </c>
      <c r="F107" s="19" t="str">
        <f>Articles!F107</f>
        <v/>
      </c>
      <c r="G107" s="17" t="str">
        <f>SUMIFS(Mouvements!$G:$G,Mouvements!$B:$B,A107,Mouvements!$F:$F,"Départ")</f>
        <v>0</v>
      </c>
      <c r="H107" s="17" t="str">
        <f>SUMIFS(Mouvements!$G:$G,Mouvements!$B:$B,A107,Mouvements!$F:$F,"Retour")</f>
        <v>0</v>
      </c>
      <c r="I107" s="17" t="str">
        <f>SUMIFS(Mouvements!$I:$I,Mouvements!$B:$B,A107,Mouvements!$F:$F,"Entrée stock")+SUMIFS(Mouvements!$I:$I,Mouvements!$B:$B,A107,Mouvements!$F:$F,"Correction +")+SUMIFS(Mouvements!$I:$I,Mouvements!$B:$B,A107,Mouvements!$F:$F,"Correction -")</f>
        <v>0</v>
      </c>
      <c r="J107" s="17" t="str">
        <f t="shared" si="1"/>
        <v/>
      </c>
      <c r="K107" s="19" t="str">
        <f>Articles!G107</f>
        <v/>
      </c>
      <c r="L107" s="17" t="str">
        <f t="shared" si="2"/>
        <v/>
      </c>
      <c r="M107" s="17" t="str">
        <f t="shared" si="3"/>
        <v/>
      </c>
      <c r="N107" s="18" t="str">
        <f>IF(A107="","",J107*Articles!H107)</f>
        <v/>
      </c>
    </row>
    <row r="108" ht="15.75" customHeight="1">
      <c r="A108" s="19" t="str">
        <f>Articles!A108</f>
        <v/>
      </c>
      <c r="B108" s="19" t="str">
        <f>Articles!B108</f>
        <v/>
      </c>
      <c r="C108" s="19" t="str">
        <f>Articles!C108</f>
        <v/>
      </c>
      <c r="D108" s="19" t="str">
        <f>Articles!D108</f>
        <v/>
      </c>
      <c r="E108" s="19" t="str">
        <f>Articles!E108</f>
        <v/>
      </c>
      <c r="F108" s="19" t="str">
        <f>Articles!F108</f>
        <v/>
      </c>
      <c r="G108" s="17" t="str">
        <f>SUMIFS(Mouvements!$G:$G,Mouvements!$B:$B,A108,Mouvements!$F:$F,"Départ")</f>
        <v>0</v>
      </c>
      <c r="H108" s="17" t="str">
        <f>SUMIFS(Mouvements!$G:$G,Mouvements!$B:$B,A108,Mouvements!$F:$F,"Retour")</f>
        <v>0</v>
      </c>
      <c r="I108" s="17" t="str">
        <f>SUMIFS(Mouvements!$I:$I,Mouvements!$B:$B,A108,Mouvements!$F:$F,"Entrée stock")+SUMIFS(Mouvements!$I:$I,Mouvements!$B:$B,A108,Mouvements!$F:$F,"Correction +")+SUMIFS(Mouvements!$I:$I,Mouvements!$B:$B,A108,Mouvements!$F:$F,"Correction -")</f>
        <v>0</v>
      </c>
      <c r="J108" s="17" t="str">
        <f t="shared" si="1"/>
        <v/>
      </c>
      <c r="K108" s="19" t="str">
        <f>Articles!G108</f>
        <v/>
      </c>
      <c r="L108" s="17" t="str">
        <f t="shared" si="2"/>
        <v/>
      </c>
      <c r="M108" s="17" t="str">
        <f t="shared" si="3"/>
        <v/>
      </c>
      <c r="N108" s="18" t="str">
        <f>IF(A108="","",J108*Articles!H108)</f>
        <v/>
      </c>
    </row>
    <row r="109" ht="15.75" customHeight="1">
      <c r="A109" s="19" t="str">
        <f>Articles!A109</f>
        <v/>
      </c>
      <c r="B109" s="19" t="str">
        <f>Articles!B109</f>
        <v/>
      </c>
      <c r="C109" s="19" t="str">
        <f>Articles!C109</f>
        <v/>
      </c>
      <c r="D109" s="19" t="str">
        <f>Articles!D109</f>
        <v/>
      </c>
      <c r="E109" s="19" t="str">
        <f>Articles!E109</f>
        <v/>
      </c>
      <c r="F109" s="19" t="str">
        <f>Articles!F109</f>
        <v/>
      </c>
      <c r="G109" s="17" t="str">
        <f>SUMIFS(Mouvements!$G:$G,Mouvements!$B:$B,A109,Mouvements!$F:$F,"Départ")</f>
        <v>0</v>
      </c>
      <c r="H109" s="17" t="str">
        <f>SUMIFS(Mouvements!$G:$G,Mouvements!$B:$B,A109,Mouvements!$F:$F,"Retour")</f>
        <v>0</v>
      </c>
      <c r="I109" s="17" t="str">
        <f>SUMIFS(Mouvements!$I:$I,Mouvements!$B:$B,A109,Mouvements!$F:$F,"Entrée stock")+SUMIFS(Mouvements!$I:$I,Mouvements!$B:$B,A109,Mouvements!$F:$F,"Correction +")+SUMIFS(Mouvements!$I:$I,Mouvements!$B:$B,A109,Mouvements!$F:$F,"Correction -")</f>
        <v>0</v>
      </c>
      <c r="J109" s="17" t="str">
        <f t="shared" si="1"/>
        <v/>
      </c>
      <c r="K109" s="19" t="str">
        <f>Articles!G109</f>
        <v/>
      </c>
      <c r="L109" s="17" t="str">
        <f t="shared" si="2"/>
        <v/>
      </c>
      <c r="M109" s="17" t="str">
        <f t="shared" si="3"/>
        <v/>
      </c>
      <c r="N109" s="18" t="str">
        <f>IF(A109="","",J109*Articles!H109)</f>
        <v/>
      </c>
    </row>
    <row r="110" ht="15.75" customHeight="1">
      <c r="A110" s="19" t="str">
        <f>Articles!A110</f>
        <v/>
      </c>
      <c r="B110" s="19" t="str">
        <f>Articles!B110</f>
        <v/>
      </c>
      <c r="C110" s="19" t="str">
        <f>Articles!C110</f>
        <v/>
      </c>
      <c r="D110" s="19" t="str">
        <f>Articles!D110</f>
        <v/>
      </c>
      <c r="E110" s="19" t="str">
        <f>Articles!E110</f>
        <v/>
      </c>
      <c r="F110" s="19" t="str">
        <f>Articles!F110</f>
        <v/>
      </c>
      <c r="G110" s="17" t="str">
        <f>SUMIFS(Mouvements!$G:$G,Mouvements!$B:$B,A110,Mouvements!$F:$F,"Départ")</f>
        <v>0</v>
      </c>
      <c r="H110" s="17" t="str">
        <f>SUMIFS(Mouvements!$G:$G,Mouvements!$B:$B,A110,Mouvements!$F:$F,"Retour")</f>
        <v>0</v>
      </c>
      <c r="I110" s="17" t="str">
        <f>SUMIFS(Mouvements!$I:$I,Mouvements!$B:$B,A110,Mouvements!$F:$F,"Entrée stock")+SUMIFS(Mouvements!$I:$I,Mouvements!$B:$B,A110,Mouvements!$F:$F,"Correction +")+SUMIFS(Mouvements!$I:$I,Mouvements!$B:$B,A110,Mouvements!$F:$F,"Correction -")</f>
        <v>0</v>
      </c>
      <c r="J110" s="17" t="str">
        <f t="shared" si="1"/>
        <v/>
      </c>
      <c r="K110" s="19" t="str">
        <f>Articles!G110</f>
        <v/>
      </c>
      <c r="L110" s="17" t="str">
        <f t="shared" si="2"/>
        <v/>
      </c>
      <c r="M110" s="17" t="str">
        <f t="shared" si="3"/>
        <v/>
      </c>
      <c r="N110" s="18" t="str">
        <f>IF(A110="","",J110*Articles!H110)</f>
        <v/>
      </c>
    </row>
    <row r="111" ht="15.75" customHeight="1">
      <c r="A111" s="19" t="str">
        <f>Articles!A111</f>
        <v/>
      </c>
      <c r="B111" s="19" t="str">
        <f>Articles!B111</f>
        <v/>
      </c>
      <c r="C111" s="19" t="str">
        <f>Articles!C111</f>
        <v/>
      </c>
      <c r="D111" s="19" t="str">
        <f>Articles!D111</f>
        <v/>
      </c>
      <c r="E111" s="19" t="str">
        <f>Articles!E111</f>
        <v/>
      </c>
      <c r="F111" s="19" t="str">
        <f>Articles!F111</f>
        <v/>
      </c>
      <c r="G111" s="17" t="str">
        <f>SUMIFS(Mouvements!$G:$G,Mouvements!$B:$B,A111,Mouvements!$F:$F,"Départ")</f>
        <v>0</v>
      </c>
      <c r="H111" s="17" t="str">
        <f>SUMIFS(Mouvements!$G:$G,Mouvements!$B:$B,A111,Mouvements!$F:$F,"Retour")</f>
        <v>0</v>
      </c>
      <c r="I111" s="17" t="str">
        <f>SUMIFS(Mouvements!$I:$I,Mouvements!$B:$B,A111,Mouvements!$F:$F,"Entrée stock")+SUMIFS(Mouvements!$I:$I,Mouvements!$B:$B,A111,Mouvements!$F:$F,"Correction +")+SUMIFS(Mouvements!$I:$I,Mouvements!$B:$B,A111,Mouvements!$F:$F,"Correction -")</f>
        <v>0</v>
      </c>
      <c r="J111" s="17" t="str">
        <f t="shared" si="1"/>
        <v/>
      </c>
      <c r="K111" s="19" t="str">
        <f>Articles!G111</f>
        <v/>
      </c>
      <c r="L111" s="17" t="str">
        <f t="shared" si="2"/>
        <v/>
      </c>
      <c r="M111" s="17" t="str">
        <f t="shared" si="3"/>
        <v/>
      </c>
      <c r="N111" s="18" t="str">
        <f>IF(A111="","",J111*Articles!H111)</f>
        <v/>
      </c>
    </row>
    <row r="112" ht="15.75" customHeight="1">
      <c r="A112" s="19" t="str">
        <f>Articles!A112</f>
        <v/>
      </c>
      <c r="B112" s="19" t="str">
        <f>Articles!B112</f>
        <v/>
      </c>
      <c r="C112" s="19" t="str">
        <f>Articles!C112</f>
        <v/>
      </c>
      <c r="D112" s="19" t="str">
        <f>Articles!D112</f>
        <v/>
      </c>
      <c r="E112" s="19" t="str">
        <f>Articles!E112</f>
        <v/>
      </c>
      <c r="F112" s="19" t="str">
        <f>Articles!F112</f>
        <v/>
      </c>
      <c r="G112" s="17" t="str">
        <f>SUMIFS(Mouvements!$G:$G,Mouvements!$B:$B,A112,Mouvements!$F:$F,"Départ")</f>
        <v>0</v>
      </c>
      <c r="H112" s="17" t="str">
        <f>SUMIFS(Mouvements!$G:$G,Mouvements!$B:$B,A112,Mouvements!$F:$F,"Retour")</f>
        <v>0</v>
      </c>
      <c r="I112" s="17" t="str">
        <f>SUMIFS(Mouvements!$I:$I,Mouvements!$B:$B,A112,Mouvements!$F:$F,"Entrée stock")+SUMIFS(Mouvements!$I:$I,Mouvements!$B:$B,A112,Mouvements!$F:$F,"Correction +")+SUMIFS(Mouvements!$I:$I,Mouvements!$B:$B,A112,Mouvements!$F:$F,"Correction -")</f>
        <v>0</v>
      </c>
      <c r="J112" s="17" t="str">
        <f t="shared" si="1"/>
        <v/>
      </c>
      <c r="K112" s="19" t="str">
        <f>Articles!G112</f>
        <v/>
      </c>
      <c r="L112" s="17" t="str">
        <f t="shared" si="2"/>
        <v/>
      </c>
      <c r="M112" s="17" t="str">
        <f t="shared" si="3"/>
        <v/>
      </c>
      <c r="N112" s="18" t="str">
        <f>IF(A112="","",J112*Articles!H112)</f>
        <v/>
      </c>
    </row>
    <row r="113" ht="15.75" customHeight="1">
      <c r="A113" s="19" t="str">
        <f>Articles!A113</f>
        <v/>
      </c>
      <c r="B113" s="19" t="str">
        <f>Articles!B113</f>
        <v/>
      </c>
      <c r="C113" s="19" t="str">
        <f>Articles!C113</f>
        <v/>
      </c>
      <c r="D113" s="19" t="str">
        <f>Articles!D113</f>
        <v/>
      </c>
      <c r="E113" s="19" t="str">
        <f>Articles!E113</f>
        <v/>
      </c>
      <c r="F113" s="19" t="str">
        <f>Articles!F113</f>
        <v/>
      </c>
      <c r="G113" s="17" t="str">
        <f>SUMIFS(Mouvements!$G:$G,Mouvements!$B:$B,A113,Mouvements!$F:$F,"Départ")</f>
        <v>0</v>
      </c>
      <c r="H113" s="17" t="str">
        <f>SUMIFS(Mouvements!$G:$G,Mouvements!$B:$B,A113,Mouvements!$F:$F,"Retour")</f>
        <v>0</v>
      </c>
      <c r="I113" s="17" t="str">
        <f>SUMIFS(Mouvements!$I:$I,Mouvements!$B:$B,A113,Mouvements!$F:$F,"Entrée stock")+SUMIFS(Mouvements!$I:$I,Mouvements!$B:$B,A113,Mouvements!$F:$F,"Correction +")+SUMIFS(Mouvements!$I:$I,Mouvements!$B:$B,A113,Mouvements!$F:$F,"Correction -")</f>
        <v>0</v>
      </c>
      <c r="J113" s="17" t="str">
        <f t="shared" si="1"/>
        <v/>
      </c>
      <c r="K113" s="19" t="str">
        <f>Articles!G113</f>
        <v/>
      </c>
      <c r="L113" s="17" t="str">
        <f t="shared" si="2"/>
        <v/>
      </c>
      <c r="M113" s="17" t="str">
        <f t="shared" si="3"/>
        <v/>
      </c>
      <c r="N113" s="18" t="str">
        <f>IF(A113="","",J113*Articles!H113)</f>
        <v/>
      </c>
    </row>
    <row r="114" ht="15.75" customHeight="1">
      <c r="A114" s="19" t="str">
        <f>Articles!A114</f>
        <v/>
      </c>
      <c r="B114" s="19" t="str">
        <f>Articles!B114</f>
        <v/>
      </c>
      <c r="C114" s="19" t="str">
        <f>Articles!C114</f>
        <v/>
      </c>
      <c r="D114" s="19" t="str">
        <f>Articles!D114</f>
        <v/>
      </c>
      <c r="E114" s="19" t="str">
        <f>Articles!E114</f>
        <v/>
      </c>
      <c r="F114" s="19" t="str">
        <f>Articles!F114</f>
        <v/>
      </c>
      <c r="G114" s="17" t="str">
        <f>SUMIFS(Mouvements!$G:$G,Mouvements!$B:$B,A114,Mouvements!$F:$F,"Départ")</f>
        <v>0</v>
      </c>
      <c r="H114" s="17" t="str">
        <f>SUMIFS(Mouvements!$G:$G,Mouvements!$B:$B,A114,Mouvements!$F:$F,"Retour")</f>
        <v>0</v>
      </c>
      <c r="I114" s="17" t="str">
        <f>SUMIFS(Mouvements!$I:$I,Mouvements!$B:$B,A114,Mouvements!$F:$F,"Entrée stock")+SUMIFS(Mouvements!$I:$I,Mouvements!$B:$B,A114,Mouvements!$F:$F,"Correction +")+SUMIFS(Mouvements!$I:$I,Mouvements!$B:$B,A114,Mouvements!$F:$F,"Correction -")</f>
        <v>0</v>
      </c>
      <c r="J114" s="17" t="str">
        <f t="shared" si="1"/>
        <v/>
      </c>
      <c r="K114" s="19" t="str">
        <f>Articles!G114</f>
        <v/>
      </c>
      <c r="L114" s="17" t="str">
        <f t="shared" si="2"/>
        <v/>
      </c>
      <c r="M114" s="17" t="str">
        <f t="shared" si="3"/>
        <v/>
      </c>
      <c r="N114" s="18" t="str">
        <f>IF(A114="","",J114*Articles!H114)</f>
        <v/>
      </c>
    </row>
    <row r="115" ht="15.75" customHeight="1">
      <c r="A115" s="19" t="str">
        <f>Articles!A115</f>
        <v/>
      </c>
      <c r="B115" s="19" t="str">
        <f>Articles!B115</f>
        <v/>
      </c>
      <c r="C115" s="19" t="str">
        <f>Articles!C115</f>
        <v/>
      </c>
      <c r="D115" s="19" t="str">
        <f>Articles!D115</f>
        <v/>
      </c>
      <c r="E115" s="19" t="str">
        <f>Articles!E115</f>
        <v/>
      </c>
      <c r="F115" s="19" t="str">
        <f>Articles!F115</f>
        <v/>
      </c>
      <c r="G115" s="17" t="str">
        <f>SUMIFS(Mouvements!$G:$G,Mouvements!$B:$B,A115,Mouvements!$F:$F,"Départ")</f>
        <v>0</v>
      </c>
      <c r="H115" s="17" t="str">
        <f>SUMIFS(Mouvements!$G:$G,Mouvements!$B:$B,A115,Mouvements!$F:$F,"Retour")</f>
        <v>0</v>
      </c>
      <c r="I115" s="17" t="str">
        <f>SUMIFS(Mouvements!$I:$I,Mouvements!$B:$B,A115,Mouvements!$F:$F,"Entrée stock")+SUMIFS(Mouvements!$I:$I,Mouvements!$B:$B,A115,Mouvements!$F:$F,"Correction +")+SUMIFS(Mouvements!$I:$I,Mouvements!$B:$B,A115,Mouvements!$F:$F,"Correction -")</f>
        <v>0</v>
      </c>
      <c r="J115" s="17" t="str">
        <f t="shared" si="1"/>
        <v/>
      </c>
      <c r="K115" s="19" t="str">
        <f>Articles!G115</f>
        <v/>
      </c>
      <c r="L115" s="17" t="str">
        <f t="shared" si="2"/>
        <v/>
      </c>
      <c r="M115" s="17" t="str">
        <f t="shared" si="3"/>
        <v/>
      </c>
      <c r="N115" s="18" t="str">
        <f>IF(A115="","",J115*Articles!H115)</f>
        <v/>
      </c>
    </row>
    <row r="116" ht="15.75" customHeight="1">
      <c r="A116" s="19" t="str">
        <f>Articles!A116</f>
        <v/>
      </c>
      <c r="B116" s="19" t="str">
        <f>Articles!B116</f>
        <v/>
      </c>
      <c r="C116" s="19" t="str">
        <f>Articles!C116</f>
        <v/>
      </c>
      <c r="D116" s="19" t="str">
        <f>Articles!D116</f>
        <v/>
      </c>
      <c r="E116" s="19" t="str">
        <f>Articles!E116</f>
        <v/>
      </c>
      <c r="F116" s="19" t="str">
        <f>Articles!F116</f>
        <v/>
      </c>
      <c r="G116" s="17" t="str">
        <f>SUMIFS(Mouvements!$G:$G,Mouvements!$B:$B,A116,Mouvements!$F:$F,"Départ")</f>
        <v>0</v>
      </c>
      <c r="H116" s="17" t="str">
        <f>SUMIFS(Mouvements!$G:$G,Mouvements!$B:$B,A116,Mouvements!$F:$F,"Retour")</f>
        <v>0</v>
      </c>
      <c r="I116" s="17" t="str">
        <f>SUMIFS(Mouvements!$I:$I,Mouvements!$B:$B,A116,Mouvements!$F:$F,"Entrée stock")+SUMIFS(Mouvements!$I:$I,Mouvements!$B:$B,A116,Mouvements!$F:$F,"Correction +")+SUMIFS(Mouvements!$I:$I,Mouvements!$B:$B,A116,Mouvements!$F:$F,"Correction -")</f>
        <v>0</v>
      </c>
      <c r="J116" s="17" t="str">
        <f t="shared" si="1"/>
        <v/>
      </c>
      <c r="K116" s="19" t="str">
        <f>Articles!G116</f>
        <v/>
      </c>
      <c r="L116" s="17" t="str">
        <f t="shared" si="2"/>
        <v/>
      </c>
      <c r="M116" s="17" t="str">
        <f t="shared" si="3"/>
        <v/>
      </c>
      <c r="N116" s="18" t="str">
        <f>IF(A116="","",J116*Articles!H116)</f>
        <v/>
      </c>
    </row>
    <row r="117" ht="15.75" customHeight="1">
      <c r="A117" s="19" t="str">
        <f>Articles!A117</f>
        <v/>
      </c>
      <c r="B117" s="19" t="str">
        <f>Articles!B117</f>
        <v/>
      </c>
      <c r="C117" s="19" t="str">
        <f>Articles!C117</f>
        <v/>
      </c>
      <c r="D117" s="19" t="str">
        <f>Articles!D117</f>
        <v/>
      </c>
      <c r="E117" s="19" t="str">
        <f>Articles!E117</f>
        <v/>
      </c>
      <c r="F117" s="19" t="str">
        <f>Articles!F117</f>
        <v/>
      </c>
      <c r="G117" s="17" t="str">
        <f>SUMIFS(Mouvements!$G:$G,Mouvements!$B:$B,A117,Mouvements!$F:$F,"Départ")</f>
        <v>0</v>
      </c>
      <c r="H117" s="17" t="str">
        <f>SUMIFS(Mouvements!$G:$G,Mouvements!$B:$B,A117,Mouvements!$F:$F,"Retour")</f>
        <v>0</v>
      </c>
      <c r="I117" s="17" t="str">
        <f>SUMIFS(Mouvements!$I:$I,Mouvements!$B:$B,A117,Mouvements!$F:$F,"Entrée stock")+SUMIFS(Mouvements!$I:$I,Mouvements!$B:$B,A117,Mouvements!$F:$F,"Correction +")+SUMIFS(Mouvements!$I:$I,Mouvements!$B:$B,A117,Mouvements!$F:$F,"Correction -")</f>
        <v>0</v>
      </c>
      <c r="J117" s="17" t="str">
        <f t="shared" si="1"/>
        <v/>
      </c>
      <c r="K117" s="19" t="str">
        <f>Articles!G117</f>
        <v/>
      </c>
      <c r="L117" s="17" t="str">
        <f t="shared" si="2"/>
        <v/>
      </c>
      <c r="M117" s="17" t="str">
        <f t="shared" si="3"/>
        <v/>
      </c>
      <c r="N117" s="18" t="str">
        <f>IF(A117="","",J117*Articles!H117)</f>
        <v/>
      </c>
    </row>
    <row r="118" ht="15.75" customHeight="1">
      <c r="A118" s="19" t="str">
        <f>Articles!A118</f>
        <v/>
      </c>
      <c r="B118" s="19" t="str">
        <f>Articles!B118</f>
        <v/>
      </c>
      <c r="C118" s="19" t="str">
        <f>Articles!C118</f>
        <v/>
      </c>
      <c r="D118" s="19" t="str">
        <f>Articles!D118</f>
        <v/>
      </c>
      <c r="E118" s="19" t="str">
        <f>Articles!E118</f>
        <v/>
      </c>
      <c r="F118" s="19" t="str">
        <f>Articles!F118</f>
        <v/>
      </c>
      <c r="G118" s="17" t="str">
        <f>SUMIFS(Mouvements!$G:$G,Mouvements!$B:$B,A118,Mouvements!$F:$F,"Départ")</f>
        <v>0</v>
      </c>
      <c r="H118" s="17" t="str">
        <f>SUMIFS(Mouvements!$G:$G,Mouvements!$B:$B,A118,Mouvements!$F:$F,"Retour")</f>
        <v>0</v>
      </c>
      <c r="I118" s="17" t="str">
        <f>SUMIFS(Mouvements!$I:$I,Mouvements!$B:$B,A118,Mouvements!$F:$F,"Entrée stock")+SUMIFS(Mouvements!$I:$I,Mouvements!$B:$B,A118,Mouvements!$F:$F,"Correction +")+SUMIFS(Mouvements!$I:$I,Mouvements!$B:$B,A118,Mouvements!$F:$F,"Correction -")</f>
        <v>0</v>
      </c>
      <c r="J118" s="17" t="str">
        <f t="shared" si="1"/>
        <v/>
      </c>
      <c r="K118" s="19" t="str">
        <f>Articles!G118</f>
        <v/>
      </c>
      <c r="L118" s="17" t="str">
        <f t="shared" si="2"/>
        <v/>
      </c>
      <c r="M118" s="17" t="str">
        <f t="shared" si="3"/>
        <v/>
      </c>
      <c r="N118" s="18" t="str">
        <f>IF(A118="","",J118*Articles!H118)</f>
        <v/>
      </c>
    </row>
    <row r="119" ht="15.75" customHeight="1">
      <c r="A119" s="19" t="str">
        <f>Articles!A119</f>
        <v/>
      </c>
      <c r="B119" s="19" t="str">
        <f>Articles!B119</f>
        <v/>
      </c>
      <c r="C119" s="19" t="str">
        <f>Articles!C119</f>
        <v/>
      </c>
      <c r="D119" s="19" t="str">
        <f>Articles!D119</f>
        <v/>
      </c>
      <c r="E119" s="19" t="str">
        <f>Articles!E119</f>
        <v/>
      </c>
      <c r="F119" s="19" t="str">
        <f>Articles!F119</f>
        <v/>
      </c>
      <c r="G119" s="17" t="str">
        <f>SUMIFS(Mouvements!$G:$G,Mouvements!$B:$B,A119,Mouvements!$F:$F,"Départ")</f>
        <v>0</v>
      </c>
      <c r="H119" s="17" t="str">
        <f>SUMIFS(Mouvements!$G:$G,Mouvements!$B:$B,A119,Mouvements!$F:$F,"Retour")</f>
        <v>0</v>
      </c>
      <c r="I119" s="17" t="str">
        <f>SUMIFS(Mouvements!$I:$I,Mouvements!$B:$B,A119,Mouvements!$F:$F,"Entrée stock")+SUMIFS(Mouvements!$I:$I,Mouvements!$B:$B,A119,Mouvements!$F:$F,"Correction +")+SUMIFS(Mouvements!$I:$I,Mouvements!$B:$B,A119,Mouvements!$F:$F,"Correction -")</f>
        <v>0</v>
      </c>
      <c r="J119" s="17" t="str">
        <f t="shared" si="1"/>
        <v/>
      </c>
      <c r="K119" s="19" t="str">
        <f>Articles!G119</f>
        <v/>
      </c>
      <c r="L119" s="17" t="str">
        <f t="shared" si="2"/>
        <v/>
      </c>
      <c r="M119" s="17" t="str">
        <f t="shared" si="3"/>
        <v/>
      </c>
      <c r="N119" s="18" t="str">
        <f>IF(A119="","",J119*Articles!H119)</f>
        <v/>
      </c>
    </row>
    <row r="120" ht="15.75" customHeight="1">
      <c r="A120" s="19" t="str">
        <f>Articles!A120</f>
        <v/>
      </c>
      <c r="B120" s="19" t="str">
        <f>Articles!B120</f>
        <v/>
      </c>
      <c r="C120" s="19" t="str">
        <f>Articles!C120</f>
        <v/>
      </c>
      <c r="D120" s="19" t="str">
        <f>Articles!D120</f>
        <v/>
      </c>
      <c r="E120" s="19" t="str">
        <f>Articles!E120</f>
        <v/>
      </c>
      <c r="F120" s="19" t="str">
        <f>Articles!F120</f>
        <v/>
      </c>
      <c r="G120" s="17" t="str">
        <f>SUMIFS(Mouvements!$G:$G,Mouvements!$B:$B,A120,Mouvements!$F:$F,"Départ")</f>
        <v>0</v>
      </c>
      <c r="H120" s="17" t="str">
        <f>SUMIFS(Mouvements!$G:$G,Mouvements!$B:$B,A120,Mouvements!$F:$F,"Retour")</f>
        <v>0</v>
      </c>
      <c r="I120" s="17" t="str">
        <f>SUMIFS(Mouvements!$I:$I,Mouvements!$B:$B,A120,Mouvements!$F:$F,"Entrée stock")+SUMIFS(Mouvements!$I:$I,Mouvements!$B:$B,A120,Mouvements!$F:$F,"Correction +")+SUMIFS(Mouvements!$I:$I,Mouvements!$B:$B,A120,Mouvements!$F:$F,"Correction -")</f>
        <v>0</v>
      </c>
      <c r="J120" s="17" t="str">
        <f t="shared" si="1"/>
        <v/>
      </c>
      <c r="K120" s="19" t="str">
        <f>Articles!G120</f>
        <v/>
      </c>
      <c r="L120" s="17" t="str">
        <f t="shared" si="2"/>
        <v/>
      </c>
      <c r="M120" s="17" t="str">
        <f t="shared" si="3"/>
        <v/>
      </c>
      <c r="N120" s="18" t="str">
        <f>IF(A120="","",J120*Articles!H120)</f>
        <v/>
      </c>
    </row>
    <row r="121" ht="15.75" customHeight="1">
      <c r="A121" s="19" t="str">
        <f>Articles!A121</f>
        <v/>
      </c>
      <c r="B121" s="19" t="str">
        <f>Articles!B121</f>
        <v/>
      </c>
      <c r="C121" s="19" t="str">
        <f>Articles!C121</f>
        <v/>
      </c>
      <c r="D121" s="19" t="str">
        <f>Articles!D121</f>
        <v/>
      </c>
      <c r="E121" s="19" t="str">
        <f>Articles!E121</f>
        <v/>
      </c>
      <c r="F121" s="19" t="str">
        <f>Articles!F121</f>
        <v/>
      </c>
      <c r="G121" s="17" t="str">
        <f>SUMIFS(Mouvements!$G:$G,Mouvements!$B:$B,A121,Mouvements!$F:$F,"Départ")</f>
        <v>0</v>
      </c>
      <c r="H121" s="17" t="str">
        <f>SUMIFS(Mouvements!$G:$G,Mouvements!$B:$B,A121,Mouvements!$F:$F,"Retour")</f>
        <v>0</v>
      </c>
      <c r="I121" s="17" t="str">
        <f>SUMIFS(Mouvements!$I:$I,Mouvements!$B:$B,A121,Mouvements!$F:$F,"Entrée stock")+SUMIFS(Mouvements!$I:$I,Mouvements!$B:$B,A121,Mouvements!$F:$F,"Correction +")+SUMIFS(Mouvements!$I:$I,Mouvements!$B:$B,A121,Mouvements!$F:$F,"Correction -")</f>
        <v>0</v>
      </c>
      <c r="J121" s="17" t="str">
        <f t="shared" si="1"/>
        <v/>
      </c>
      <c r="K121" s="19" t="str">
        <f>Articles!G121</f>
        <v/>
      </c>
      <c r="L121" s="17" t="str">
        <f t="shared" si="2"/>
        <v/>
      </c>
      <c r="M121" s="17" t="str">
        <f t="shared" si="3"/>
        <v/>
      </c>
      <c r="N121" s="18" t="str">
        <f>IF(A121="","",J121*Articles!H121)</f>
        <v/>
      </c>
    </row>
    <row r="122" ht="15.75" customHeight="1">
      <c r="A122" s="19" t="str">
        <f>Articles!A122</f>
        <v/>
      </c>
      <c r="B122" s="19" t="str">
        <f>Articles!B122</f>
        <v/>
      </c>
      <c r="C122" s="19" t="str">
        <f>Articles!C122</f>
        <v/>
      </c>
      <c r="D122" s="19" t="str">
        <f>Articles!D122</f>
        <v/>
      </c>
      <c r="E122" s="19" t="str">
        <f>Articles!E122</f>
        <v/>
      </c>
      <c r="F122" s="19" t="str">
        <f>Articles!F122</f>
        <v/>
      </c>
      <c r="G122" s="17" t="str">
        <f>SUMIFS(Mouvements!$G:$G,Mouvements!$B:$B,A122,Mouvements!$F:$F,"Départ")</f>
        <v>0</v>
      </c>
      <c r="H122" s="17" t="str">
        <f>SUMIFS(Mouvements!$G:$G,Mouvements!$B:$B,A122,Mouvements!$F:$F,"Retour")</f>
        <v>0</v>
      </c>
      <c r="I122" s="17" t="str">
        <f>SUMIFS(Mouvements!$I:$I,Mouvements!$B:$B,A122,Mouvements!$F:$F,"Entrée stock")+SUMIFS(Mouvements!$I:$I,Mouvements!$B:$B,A122,Mouvements!$F:$F,"Correction +")+SUMIFS(Mouvements!$I:$I,Mouvements!$B:$B,A122,Mouvements!$F:$F,"Correction -")</f>
        <v>0</v>
      </c>
      <c r="J122" s="17" t="str">
        <f t="shared" si="1"/>
        <v/>
      </c>
      <c r="K122" s="19" t="str">
        <f>Articles!G122</f>
        <v/>
      </c>
      <c r="L122" s="17" t="str">
        <f t="shared" si="2"/>
        <v/>
      </c>
      <c r="M122" s="17" t="str">
        <f t="shared" si="3"/>
        <v/>
      </c>
      <c r="N122" s="18" t="str">
        <f>IF(A122="","",J122*Articles!H122)</f>
        <v/>
      </c>
    </row>
    <row r="123" ht="15.75" customHeight="1">
      <c r="A123" s="19" t="str">
        <f>Articles!A123</f>
        <v/>
      </c>
      <c r="B123" s="19" t="str">
        <f>Articles!B123</f>
        <v/>
      </c>
      <c r="C123" s="19" t="str">
        <f>Articles!C123</f>
        <v/>
      </c>
      <c r="D123" s="19" t="str">
        <f>Articles!D123</f>
        <v/>
      </c>
      <c r="E123" s="19" t="str">
        <f>Articles!E123</f>
        <v/>
      </c>
      <c r="F123" s="19" t="str">
        <f>Articles!F123</f>
        <v/>
      </c>
      <c r="G123" s="17" t="str">
        <f>SUMIFS(Mouvements!$G:$G,Mouvements!$B:$B,A123,Mouvements!$F:$F,"Départ")</f>
        <v>0</v>
      </c>
      <c r="H123" s="17" t="str">
        <f>SUMIFS(Mouvements!$G:$G,Mouvements!$B:$B,A123,Mouvements!$F:$F,"Retour")</f>
        <v>0</v>
      </c>
      <c r="I123" s="17" t="str">
        <f>SUMIFS(Mouvements!$I:$I,Mouvements!$B:$B,A123,Mouvements!$F:$F,"Entrée stock")+SUMIFS(Mouvements!$I:$I,Mouvements!$B:$B,A123,Mouvements!$F:$F,"Correction +")+SUMIFS(Mouvements!$I:$I,Mouvements!$B:$B,A123,Mouvements!$F:$F,"Correction -")</f>
        <v>0</v>
      </c>
      <c r="J123" s="17" t="str">
        <f t="shared" si="1"/>
        <v/>
      </c>
      <c r="K123" s="19" t="str">
        <f>Articles!G123</f>
        <v/>
      </c>
      <c r="L123" s="17" t="str">
        <f t="shared" si="2"/>
        <v/>
      </c>
      <c r="M123" s="17" t="str">
        <f t="shared" si="3"/>
        <v/>
      </c>
      <c r="N123" s="18" t="str">
        <f>IF(A123="","",J123*Articles!H123)</f>
        <v/>
      </c>
    </row>
    <row r="124" ht="15.75" customHeight="1">
      <c r="A124" s="19" t="str">
        <f>Articles!A124</f>
        <v/>
      </c>
      <c r="B124" s="19" t="str">
        <f>Articles!B124</f>
        <v/>
      </c>
      <c r="C124" s="19" t="str">
        <f>Articles!C124</f>
        <v/>
      </c>
      <c r="D124" s="19" t="str">
        <f>Articles!D124</f>
        <v/>
      </c>
      <c r="E124" s="19" t="str">
        <f>Articles!E124</f>
        <v/>
      </c>
      <c r="F124" s="19" t="str">
        <f>Articles!F124</f>
        <v/>
      </c>
      <c r="G124" s="17" t="str">
        <f>SUMIFS(Mouvements!$G:$G,Mouvements!$B:$B,A124,Mouvements!$F:$F,"Départ")</f>
        <v>0</v>
      </c>
      <c r="H124" s="17" t="str">
        <f>SUMIFS(Mouvements!$G:$G,Mouvements!$B:$B,A124,Mouvements!$F:$F,"Retour")</f>
        <v>0</v>
      </c>
      <c r="I124" s="17" t="str">
        <f>SUMIFS(Mouvements!$I:$I,Mouvements!$B:$B,A124,Mouvements!$F:$F,"Entrée stock")+SUMIFS(Mouvements!$I:$I,Mouvements!$B:$B,A124,Mouvements!$F:$F,"Correction +")+SUMIFS(Mouvements!$I:$I,Mouvements!$B:$B,A124,Mouvements!$F:$F,"Correction -")</f>
        <v>0</v>
      </c>
      <c r="J124" s="17" t="str">
        <f t="shared" si="1"/>
        <v/>
      </c>
      <c r="K124" s="19" t="str">
        <f>Articles!G124</f>
        <v/>
      </c>
      <c r="L124" s="17" t="str">
        <f t="shared" si="2"/>
        <v/>
      </c>
      <c r="M124" s="17" t="str">
        <f t="shared" si="3"/>
        <v/>
      </c>
      <c r="N124" s="18" t="str">
        <f>IF(A124="","",J124*Articles!H124)</f>
        <v/>
      </c>
    </row>
    <row r="125" ht="15.75" customHeight="1">
      <c r="A125" s="19" t="str">
        <f>Articles!A125</f>
        <v/>
      </c>
      <c r="B125" s="19" t="str">
        <f>Articles!B125</f>
        <v/>
      </c>
      <c r="C125" s="19" t="str">
        <f>Articles!C125</f>
        <v/>
      </c>
      <c r="D125" s="19" t="str">
        <f>Articles!D125</f>
        <v/>
      </c>
      <c r="E125" s="19" t="str">
        <f>Articles!E125</f>
        <v/>
      </c>
      <c r="F125" s="19" t="str">
        <f>Articles!F125</f>
        <v/>
      </c>
      <c r="G125" s="17" t="str">
        <f>SUMIFS(Mouvements!$G:$G,Mouvements!$B:$B,A125,Mouvements!$F:$F,"Départ")</f>
        <v>0</v>
      </c>
      <c r="H125" s="17" t="str">
        <f>SUMIFS(Mouvements!$G:$G,Mouvements!$B:$B,A125,Mouvements!$F:$F,"Retour")</f>
        <v>0</v>
      </c>
      <c r="I125" s="17" t="str">
        <f>SUMIFS(Mouvements!$I:$I,Mouvements!$B:$B,A125,Mouvements!$F:$F,"Entrée stock")+SUMIFS(Mouvements!$I:$I,Mouvements!$B:$B,A125,Mouvements!$F:$F,"Correction +")+SUMIFS(Mouvements!$I:$I,Mouvements!$B:$B,A125,Mouvements!$F:$F,"Correction -")</f>
        <v>0</v>
      </c>
      <c r="J125" s="17" t="str">
        <f t="shared" si="1"/>
        <v/>
      </c>
      <c r="K125" s="19" t="str">
        <f>Articles!G125</f>
        <v/>
      </c>
      <c r="L125" s="17" t="str">
        <f t="shared" si="2"/>
        <v/>
      </c>
      <c r="M125" s="17" t="str">
        <f t="shared" si="3"/>
        <v/>
      </c>
      <c r="N125" s="18" t="str">
        <f>IF(A125="","",J125*Articles!H125)</f>
        <v/>
      </c>
    </row>
    <row r="126" ht="15.75" customHeight="1">
      <c r="A126" s="19" t="str">
        <f>Articles!A126</f>
        <v/>
      </c>
      <c r="B126" s="19" t="str">
        <f>Articles!B126</f>
        <v/>
      </c>
      <c r="C126" s="19" t="str">
        <f>Articles!C126</f>
        <v/>
      </c>
      <c r="D126" s="19" t="str">
        <f>Articles!D126</f>
        <v/>
      </c>
      <c r="E126" s="19" t="str">
        <f>Articles!E126</f>
        <v/>
      </c>
      <c r="F126" s="19" t="str">
        <f>Articles!F126</f>
        <v/>
      </c>
      <c r="G126" s="17" t="str">
        <f>SUMIFS(Mouvements!$G:$G,Mouvements!$B:$B,A126,Mouvements!$F:$F,"Départ")</f>
        <v>0</v>
      </c>
      <c r="H126" s="17" t="str">
        <f>SUMIFS(Mouvements!$G:$G,Mouvements!$B:$B,A126,Mouvements!$F:$F,"Retour")</f>
        <v>0</v>
      </c>
      <c r="I126" s="17" t="str">
        <f>SUMIFS(Mouvements!$I:$I,Mouvements!$B:$B,A126,Mouvements!$F:$F,"Entrée stock")+SUMIFS(Mouvements!$I:$I,Mouvements!$B:$B,A126,Mouvements!$F:$F,"Correction +")+SUMIFS(Mouvements!$I:$I,Mouvements!$B:$B,A126,Mouvements!$F:$F,"Correction -")</f>
        <v>0</v>
      </c>
      <c r="J126" s="17" t="str">
        <f t="shared" si="1"/>
        <v/>
      </c>
      <c r="K126" s="19" t="str">
        <f>Articles!G126</f>
        <v/>
      </c>
      <c r="L126" s="17" t="str">
        <f t="shared" si="2"/>
        <v/>
      </c>
      <c r="M126" s="17" t="str">
        <f t="shared" si="3"/>
        <v/>
      </c>
      <c r="N126" s="18" t="str">
        <f>IF(A126="","",J126*Articles!H126)</f>
        <v/>
      </c>
    </row>
    <row r="127" ht="15.75" customHeight="1">
      <c r="A127" s="19" t="str">
        <f>Articles!A127</f>
        <v/>
      </c>
      <c r="B127" s="19" t="str">
        <f>Articles!B127</f>
        <v/>
      </c>
      <c r="C127" s="19" t="str">
        <f>Articles!C127</f>
        <v/>
      </c>
      <c r="D127" s="19" t="str">
        <f>Articles!D127</f>
        <v/>
      </c>
      <c r="E127" s="19" t="str">
        <f>Articles!E127</f>
        <v/>
      </c>
      <c r="F127" s="19" t="str">
        <f>Articles!F127</f>
        <v/>
      </c>
      <c r="G127" s="17" t="str">
        <f>SUMIFS(Mouvements!$G:$G,Mouvements!$B:$B,A127,Mouvements!$F:$F,"Départ")</f>
        <v>0</v>
      </c>
      <c r="H127" s="17" t="str">
        <f>SUMIFS(Mouvements!$G:$G,Mouvements!$B:$B,A127,Mouvements!$F:$F,"Retour")</f>
        <v>0</v>
      </c>
      <c r="I127" s="17" t="str">
        <f>SUMIFS(Mouvements!$I:$I,Mouvements!$B:$B,A127,Mouvements!$F:$F,"Entrée stock")+SUMIFS(Mouvements!$I:$I,Mouvements!$B:$B,A127,Mouvements!$F:$F,"Correction +")+SUMIFS(Mouvements!$I:$I,Mouvements!$B:$B,A127,Mouvements!$F:$F,"Correction -")</f>
        <v>0</v>
      </c>
      <c r="J127" s="17" t="str">
        <f t="shared" si="1"/>
        <v/>
      </c>
      <c r="K127" s="19" t="str">
        <f>Articles!G127</f>
        <v/>
      </c>
      <c r="L127" s="17" t="str">
        <f t="shared" si="2"/>
        <v/>
      </c>
      <c r="M127" s="17" t="str">
        <f t="shared" si="3"/>
        <v/>
      </c>
      <c r="N127" s="18" t="str">
        <f>IF(A127="","",J127*Articles!H127)</f>
        <v/>
      </c>
    </row>
    <row r="128" ht="15.75" customHeight="1">
      <c r="A128" s="19" t="str">
        <f>Articles!A128</f>
        <v/>
      </c>
      <c r="B128" s="19" t="str">
        <f>Articles!B128</f>
        <v/>
      </c>
      <c r="C128" s="19" t="str">
        <f>Articles!C128</f>
        <v/>
      </c>
      <c r="D128" s="19" t="str">
        <f>Articles!D128</f>
        <v/>
      </c>
      <c r="E128" s="19" t="str">
        <f>Articles!E128</f>
        <v/>
      </c>
      <c r="F128" s="19" t="str">
        <f>Articles!F128</f>
        <v/>
      </c>
      <c r="G128" s="17" t="str">
        <f>SUMIFS(Mouvements!$G:$G,Mouvements!$B:$B,A128,Mouvements!$F:$F,"Départ")</f>
        <v>0</v>
      </c>
      <c r="H128" s="17" t="str">
        <f>SUMIFS(Mouvements!$G:$G,Mouvements!$B:$B,A128,Mouvements!$F:$F,"Retour")</f>
        <v>0</v>
      </c>
      <c r="I128" s="17" t="str">
        <f>SUMIFS(Mouvements!$I:$I,Mouvements!$B:$B,A128,Mouvements!$F:$F,"Entrée stock")+SUMIFS(Mouvements!$I:$I,Mouvements!$B:$B,A128,Mouvements!$F:$F,"Correction +")+SUMIFS(Mouvements!$I:$I,Mouvements!$B:$B,A128,Mouvements!$F:$F,"Correction -")</f>
        <v>0</v>
      </c>
      <c r="J128" s="17" t="str">
        <f t="shared" si="1"/>
        <v/>
      </c>
      <c r="K128" s="19" t="str">
        <f>Articles!G128</f>
        <v/>
      </c>
      <c r="L128" s="17" t="str">
        <f t="shared" si="2"/>
        <v/>
      </c>
      <c r="M128" s="17" t="str">
        <f t="shared" si="3"/>
        <v/>
      </c>
      <c r="N128" s="18" t="str">
        <f>IF(A128="","",J128*Articles!H128)</f>
        <v/>
      </c>
    </row>
    <row r="129" ht="15.75" customHeight="1">
      <c r="A129" s="19" t="str">
        <f>Articles!A129</f>
        <v/>
      </c>
      <c r="B129" s="19" t="str">
        <f>Articles!B129</f>
        <v/>
      </c>
      <c r="C129" s="19" t="str">
        <f>Articles!C129</f>
        <v/>
      </c>
      <c r="D129" s="19" t="str">
        <f>Articles!D129</f>
        <v/>
      </c>
      <c r="E129" s="19" t="str">
        <f>Articles!E129</f>
        <v/>
      </c>
      <c r="F129" s="19" t="str">
        <f>Articles!F129</f>
        <v/>
      </c>
      <c r="G129" s="17" t="str">
        <f>SUMIFS(Mouvements!$G:$G,Mouvements!$B:$B,A129,Mouvements!$F:$F,"Départ")</f>
        <v>0</v>
      </c>
      <c r="H129" s="17" t="str">
        <f>SUMIFS(Mouvements!$G:$G,Mouvements!$B:$B,A129,Mouvements!$F:$F,"Retour")</f>
        <v>0</v>
      </c>
      <c r="I129" s="17" t="str">
        <f>SUMIFS(Mouvements!$I:$I,Mouvements!$B:$B,A129,Mouvements!$F:$F,"Entrée stock")+SUMIFS(Mouvements!$I:$I,Mouvements!$B:$B,A129,Mouvements!$F:$F,"Correction +")+SUMIFS(Mouvements!$I:$I,Mouvements!$B:$B,A129,Mouvements!$F:$F,"Correction -")</f>
        <v>0</v>
      </c>
      <c r="J129" s="17" t="str">
        <f t="shared" si="1"/>
        <v/>
      </c>
      <c r="K129" s="19" t="str">
        <f>Articles!G129</f>
        <v/>
      </c>
      <c r="L129" s="17" t="str">
        <f t="shared" si="2"/>
        <v/>
      </c>
      <c r="M129" s="17" t="str">
        <f t="shared" si="3"/>
        <v/>
      </c>
      <c r="N129" s="18" t="str">
        <f>IF(A129="","",J129*Articles!H129)</f>
        <v/>
      </c>
    </row>
    <row r="130" ht="15.75" customHeight="1">
      <c r="A130" s="19" t="str">
        <f>Articles!A130</f>
        <v/>
      </c>
      <c r="B130" s="19" t="str">
        <f>Articles!B130</f>
        <v/>
      </c>
      <c r="C130" s="19" t="str">
        <f>Articles!C130</f>
        <v/>
      </c>
      <c r="D130" s="19" t="str">
        <f>Articles!D130</f>
        <v/>
      </c>
      <c r="E130" s="19" t="str">
        <f>Articles!E130</f>
        <v/>
      </c>
      <c r="F130" s="19" t="str">
        <f>Articles!F130</f>
        <v/>
      </c>
      <c r="G130" s="17" t="str">
        <f>SUMIFS(Mouvements!$G:$G,Mouvements!$B:$B,A130,Mouvements!$F:$F,"Départ")</f>
        <v>0</v>
      </c>
      <c r="H130" s="17" t="str">
        <f>SUMIFS(Mouvements!$G:$G,Mouvements!$B:$B,A130,Mouvements!$F:$F,"Retour")</f>
        <v>0</v>
      </c>
      <c r="I130" s="17" t="str">
        <f>SUMIFS(Mouvements!$I:$I,Mouvements!$B:$B,A130,Mouvements!$F:$F,"Entrée stock")+SUMIFS(Mouvements!$I:$I,Mouvements!$B:$B,A130,Mouvements!$F:$F,"Correction +")+SUMIFS(Mouvements!$I:$I,Mouvements!$B:$B,A130,Mouvements!$F:$F,"Correction -")</f>
        <v>0</v>
      </c>
      <c r="J130" s="17" t="str">
        <f t="shared" si="1"/>
        <v/>
      </c>
      <c r="K130" s="19" t="str">
        <f>Articles!G130</f>
        <v/>
      </c>
      <c r="L130" s="17" t="str">
        <f t="shared" si="2"/>
        <v/>
      </c>
      <c r="M130" s="17" t="str">
        <f t="shared" si="3"/>
        <v/>
      </c>
      <c r="N130" s="18" t="str">
        <f>IF(A130="","",J130*Articles!H130)</f>
        <v/>
      </c>
    </row>
    <row r="131" ht="15.75" customHeight="1">
      <c r="A131" s="19" t="str">
        <f>Articles!A131</f>
        <v/>
      </c>
      <c r="B131" s="19" t="str">
        <f>Articles!B131</f>
        <v/>
      </c>
      <c r="C131" s="19" t="str">
        <f>Articles!C131</f>
        <v/>
      </c>
      <c r="D131" s="19" t="str">
        <f>Articles!D131</f>
        <v/>
      </c>
      <c r="E131" s="19" t="str">
        <f>Articles!E131</f>
        <v/>
      </c>
      <c r="F131" s="19" t="str">
        <f>Articles!F131</f>
        <v/>
      </c>
      <c r="G131" s="17" t="str">
        <f>SUMIFS(Mouvements!$G:$G,Mouvements!$B:$B,A131,Mouvements!$F:$F,"Départ")</f>
        <v>0</v>
      </c>
      <c r="H131" s="17" t="str">
        <f>SUMIFS(Mouvements!$G:$G,Mouvements!$B:$B,A131,Mouvements!$F:$F,"Retour")</f>
        <v>0</v>
      </c>
      <c r="I131" s="17" t="str">
        <f>SUMIFS(Mouvements!$I:$I,Mouvements!$B:$B,A131,Mouvements!$F:$F,"Entrée stock")+SUMIFS(Mouvements!$I:$I,Mouvements!$B:$B,A131,Mouvements!$F:$F,"Correction +")+SUMIFS(Mouvements!$I:$I,Mouvements!$B:$B,A131,Mouvements!$F:$F,"Correction -")</f>
        <v>0</v>
      </c>
      <c r="J131" s="17" t="str">
        <f t="shared" si="1"/>
        <v/>
      </c>
      <c r="K131" s="19" t="str">
        <f>Articles!G131</f>
        <v/>
      </c>
      <c r="L131" s="17" t="str">
        <f t="shared" si="2"/>
        <v/>
      </c>
      <c r="M131" s="17" t="str">
        <f t="shared" si="3"/>
        <v/>
      </c>
      <c r="N131" s="18" t="str">
        <f>IF(A131="","",J131*Articles!H131)</f>
        <v/>
      </c>
    </row>
    <row r="132" ht="15.75" customHeight="1">
      <c r="A132" s="19" t="str">
        <f>Articles!A132</f>
        <v/>
      </c>
      <c r="B132" s="19" t="str">
        <f>Articles!B132</f>
        <v/>
      </c>
      <c r="C132" s="19" t="str">
        <f>Articles!C132</f>
        <v/>
      </c>
      <c r="D132" s="19" t="str">
        <f>Articles!D132</f>
        <v/>
      </c>
      <c r="E132" s="19" t="str">
        <f>Articles!E132</f>
        <v/>
      </c>
      <c r="F132" s="19" t="str">
        <f>Articles!F132</f>
        <v/>
      </c>
      <c r="G132" s="17" t="str">
        <f>SUMIFS(Mouvements!$G:$G,Mouvements!$B:$B,A132,Mouvements!$F:$F,"Départ")</f>
        <v>0</v>
      </c>
      <c r="H132" s="17" t="str">
        <f>SUMIFS(Mouvements!$G:$G,Mouvements!$B:$B,A132,Mouvements!$F:$F,"Retour")</f>
        <v>0</v>
      </c>
      <c r="I132" s="17" t="str">
        <f>SUMIFS(Mouvements!$I:$I,Mouvements!$B:$B,A132,Mouvements!$F:$F,"Entrée stock")+SUMIFS(Mouvements!$I:$I,Mouvements!$B:$B,A132,Mouvements!$F:$F,"Correction +")+SUMIFS(Mouvements!$I:$I,Mouvements!$B:$B,A132,Mouvements!$F:$F,"Correction -")</f>
        <v>0</v>
      </c>
      <c r="J132" s="17" t="str">
        <f t="shared" si="1"/>
        <v/>
      </c>
      <c r="K132" s="19" t="str">
        <f>Articles!G132</f>
        <v/>
      </c>
      <c r="L132" s="17" t="str">
        <f t="shared" si="2"/>
        <v/>
      </c>
      <c r="M132" s="17" t="str">
        <f t="shared" si="3"/>
        <v/>
      </c>
      <c r="N132" s="18" t="str">
        <f>IF(A132="","",J132*Articles!H132)</f>
        <v/>
      </c>
    </row>
    <row r="133" ht="15.75" customHeight="1">
      <c r="A133" s="19" t="str">
        <f>Articles!A133</f>
        <v/>
      </c>
      <c r="B133" s="19" t="str">
        <f>Articles!B133</f>
        <v/>
      </c>
      <c r="C133" s="19" t="str">
        <f>Articles!C133</f>
        <v/>
      </c>
      <c r="D133" s="19" t="str">
        <f>Articles!D133</f>
        <v/>
      </c>
      <c r="E133" s="19" t="str">
        <f>Articles!E133</f>
        <v/>
      </c>
      <c r="F133" s="19" t="str">
        <f>Articles!F133</f>
        <v/>
      </c>
      <c r="G133" s="17" t="str">
        <f>SUMIFS(Mouvements!$G:$G,Mouvements!$B:$B,A133,Mouvements!$F:$F,"Départ")</f>
        <v>0</v>
      </c>
      <c r="H133" s="17" t="str">
        <f>SUMIFS(Mouvements!$G:$G,Mouvements!$B:$B,A133,Mouvements!$F:$F,"Retour")</f>
        <v>0</v>
      </c>
      <c r="I133" s="17" t="str">
        <f>SUMIFS(Mouvements!$I:$I,Mouvements!$B:$B,A133,Mouvements!$F:$F,"Entrée stock")+SUMIFS(Mouvements!$I:$I,Mouvements!$B:$B,A133,Mouvements!$F:$F,"Correction +")+SUMIFS(Mouvements!$I:$I,Mouvements!$B:$B,A133,Mouvements!$F:$F,"Correction -")</f>
        <v>0</v>
      </c>
      <c r="J133" s="17" t="str">
        <f t="shared" si="1"/>
        <v/>
      </c>
      <c r="K133" s="19" t="str">
        <f>Articles!G133</f>
        <v/>
      </c>
      <c r="L133" s="17" t="str">
        <f t="shared" si="2"/>
        <v/>
      </c>
      <c r="M133" s="17" t="str">
        <f t="shared" si="3"/>
        <v/>
      </c>
      <c r="N133" s="18" t="str">
        <f>IF(A133="","",J133*Articles!H133)</f>
        <v/>
      </c>
    </row>
    <row r="134" ht="15.75" customHeight="1">
      <c r="A134" s="19" t="str">
        <f>Articles!A134</f>
        <v/>
      </c>
      <c r="B134" s="19" t="str">
        <f>Articles!B134</f>
        <v/>
      </c>
      <c r="C134" s="19" t="str">
        <f>Articles!C134</f>
        <v/>
      </c>
      <c r="D134" s="19" t="str">
        <f>Articles!D134</f>
        <v/>
      </c>
      <c r="E134" s="19" t="str">
        <f>Articles!E134</f>
        <v/>
      </c>
      <c r="F134" s="19" t="str">
        <f>Articles!F134</f>
        <v/>
      </c>
      <c r="G134" s="17" t="str">
        <f>SUMIFS(Mouvements!$G:$G,Mouvements!$B:$B,A134,Mouvements!$F:$F,"Départ")</f>
        <v>0</v>
      </c>
      <c r="H134" s="17" t="str">
        <f>SUMIFS(Mouvements!$G:$G,Mouvements!$B:$B,A134,Mouvements!$F:$F,"Retour")</f>
        <v>0</v>
      </c>
      <c r="I134" s="17" t="str">
        <f>SUMIFS(Mouvements!$I:$I,Mouvements!$B:$B,A134,Mouvements!$F:$F,"Entrée stock")+SUMIFS(Mouvements!$I:$I,Mouvements!$B:$B,A134,Mouvements!$F:$F,"Correction +")+SUMIFS(Mouvements!$I:$I,Mouvements!$B:$B,A134,Mouvements!$F:$F,"Correction -")</f>
        <v>0</v>
      </c>
      <c r="J134" s="17" t="str">
        <f t="shared" si="1"/>
        <v/>
      </c>
      <c r="K134" s="19" t="str">
        <f>Articles!G134</f>
        <v/>
      </c>
      <c r="L134" s="17" t="str">
        <f t="shared" si="2"/>
        <v/>
      </c>
      <c r="M134" s="17" t="str">
        <f t="shared" si="3"/>
        <v/>
      </c>
      <c r="N134" s="18" t="str">
        <f>IF(A134="","",J134*Articles!H134)</f>
        <v/>
      </c>
    </row>
    <row r="135" ht="15.75" customHeight="1">
      <c r="A135" s="19" t="str">
        <f>Articles!A135</f>
        <v/>
      </c>
      <c r="B135" s="19" t="str">
        <f>Articles!B135</f>
        <v/>
      </c>
      <c r="C135" s="19" t="str">
        <f>Articles!C135</f>
        <v/>
      </c>
      <c r="D135" s="19" t="str">
        <f>Articles!D135</f>
        <v/>
      </c>
      <c r="E135" s="19" t="str">
        <f>Articles!E135</f>
        <v/>
      </c>
      <c r="F135" s="19" t="str">
        <f>Articles!F135</f>
        <v/>
      </c>
      <c r="G135" s="17" t="str">
        <f>SUMIFS(Mouvements!$G:$G,Mouvements!$B:$B,A135,Mouvements!$F:$F,"Départ")</f>
        <v>0</v>
      </c>
      <c r="H135" s="17" t="str">
        <f>SUMIFS(Mouvements!$G:$G,Mouvements!$B:$B,A135,Mouvements!$F:$F,"Retour")</f>
        <v>0</v>
      </c>
      <c r="I135" s="17" t="str">
        <f>SUMIFS(Mouvements!$I:$I,Mouvements!$B:$B,A135,Mouvements!$F:$F,"Entrée stock")+SUMIFS(Mouvements!$I:$I,Mouvements!$B:$B,A135,Mouvements!$F:$F,"Correction +")+SUMIFS(Mouvements!$I:$I,Mouvements!$B:$B,A135,Mouvements!$F:$F,"Correction -")</f>
        <v>0</v>
      </c>
      <c r="J135" s="17" t="str">
        <f t="shared" si="1"/>
        <v/>
      </c>
      <c r="K135" s="19" t="str">
        <f>Articles!G135</f>
        <v/>
      </c>
      <c r="L135" s="17" t="str">
        <f t="shared" si="2"/>
        <v/>
      </c>
      <c r="M135" s="17" t="str">
        <f t="shared" si="3"/>
        <v/>
      </c>
      <c r="N135" s="18" t="str">
        <f>IF(A135="","",J135*Articles!H135)</f>
        <v/>
      </c>
    </row>
    <row r="136" ht="15.75" customHeight="1">
      <c r="A136" s="19" t="str">
        <f>Articles!A136</f>
        <v/>
      </c>
      <c r="B136" s="19" t="str">
        <f>Articles!B136</f>
        <v/>
      </c>
      <c r="C136" s="19" t="str">
        <f>Articles!C136</f>
        <v/>
      </c>
      <c r="D136" s="19" t="str">
        <f>Articles!D136</f>
        <v/>
      </c>
      <c r="E136" s="19" t="str">
        <f>Articles!E136</f>
        <v/>
      </c>
      <c r="F136" s="19" t="str">
        <f>Articles!F136</f>
        <v/>
      </c>
      <c r="G136" s="17" t="str">
        <f>SUMIFS(Mouvements!$G:$G,Mouvements!$B:$B,A136,Mouvements!$F:$F,"Départ")</f>
        <v>0</v>
      </c>
      <c r="H136" s="17" t="str">
        <f>SUMIFS(Mouvements!$G:$G,Mouvements!$B:$B,A136,Mouvements!$F:$F,"Retour")</f>
        <v>0</v>
      </c>
      <c r="I136" s="17" t="str">
        <f>SUMIFS(Mouvements!$I:$I,Mouvements!$B:$B,A136,Mouvements!$F:$F,"Entrée stock")+SUMIFS(Mouvements!$I:$I,Mouvements!$B:$B,A136,Mouvements!$F:$F,"Correction +")+SUMIFS(Mouvements!$I:$I,Mouvements!$B:$B,A136,Mouvements!$F:$F,"Correction -")</f>
        <v>0</v>
      </c>
      <c r="J136" s="17" t="str">
        <f t="shared" si="1"/>
        <v/>
      </c>
      <c r="K136" s="19" t="str">
        <f>Articles!G136</f>
        <v/>
      </c>
      <c r="L136" s="17" t="str">
        <f t="shared" si="2"/>
        <v/>
      </c>
      <c r="M136" s="17" t="str">
        <f t="shared" si="3"/>
        <v/>
      </c>
      <c r="N136" s="18" t="str">
        <f>IF(A136="","",J136*Articles!H136)</f>
        <v/>
      </c>
    </row>
    <row r="137" ht="15.75" customHeight="1">
      <c r="A137" s="19" t="str">
        <f>Articles!A137</f>
        <v/>
      </c>
      <c r="B137" s="19" t="str">
        <f>Articles!B137</f>
        <v/>
      </c>
      <c r="C137" s="19" t="str">
        <f>Articles!C137</f>
        <v/>
      </c>
      <c r="D137" s="19" t="str">
        <f>Articles!D137</f>
        <v/>
      </c>
      <c r="E137" s="19" t="str">
        <f>Articles!E137</f>
        <v/>
      </c>
      <c r="F137" s="19" t="str">
        <f>Articles!F137</f>
        <v/>
      </c>
      <c r="G137" s="17" t="str">
        <f>SUMIFS(Mouvements!$G:$G,Mouvements!$B:$B,A137,Mouvements!$F:$F,"Départ")</f>
        <v>0</v>
      </c>
      <c r="H137" s="17" t="str">
        <f>SUMIFS(Mouvements!$G:$G,Mouvements!$B:$B,A137,Mouvements!$F:$F,"Retour")</f>
        <v>0</v>
      </c>
      <c r="I137" s="17" t="str">
        <f>SUMIFS(Mouvements!$I:$I,Mouvements!$B:$B,A137,Mouvements!$F:$F,"Entrée stock")+SUMIFS(Mouvements!$I:$I,Mouvements!$B:$B,A137,Mouvements!$F:$F,"Correction +")+SUMIFS(Mouvements!$I:$I,Mouvements!$B:$B,A137,Mouvements!$F:$F,"Correction -")</f>
        <v>0</v>
      </c>
      <c r="J137" s="17" t="str">
        <f t="shared" si="1"/>
        <v/>
      </c>
      <c r="K137" s="19" t="str">
        <f>Articles!G137</f>
        <v/>
      </c>
      <c r="L137" s="17" t="str">
        <f t="shared" si="2"/>
        <v/>
      </c>
      <c r="M137" s="17" t="str">
        <f t="shared" si="3"/>
        <v/>
      </c>
      <c r="N137" s="18" t="str">
        <f>IF(A137="","",J137*Articles!H137)</f>
        <v/>
      </c>
    </row>
    <row r="138" ht="15.75" customHeight="1">
      <c r="A138" s="19" t="str">
        <f>Articles!A138</f>
        <v/>
      </c>
      <c r="B138" s="19" t="str">
        <f>Articles!B138</f>
        <v/>
      </c>
      <c r="C138" s="19" t="str">
        <f>Articles!C138</f>
        <v/>
      </c>
      <c r="D138" s="19" t="str">
        <f>Articles!D138</f>
        <v/>
      </c>
      <c r="E138" s="19" t="str">
        <f>Articles!E138</f>
        <v/>
      </c>
      <c r="F138" s="19" t="str">
        <f>Articles!F138</f>
        <v/>
      </c>
      <c r="G138" s="17" t="str">
        <f>SUMIFS(Mouvements!$G:$G,Mouvements!$B:$B,A138,Mouvements!$F:$F,"Départ")</f>
        <v>0</v>
      </c>
      <c r="H138" s="17" t="str">
        <f>SUMIFS(Mouvements!$G:$G,Mouvements!$B:$B,A138,Mouvements!$F:$F,"Retour")</f>
        <v>0</v>
      </c>
      <c r="I138" s="17" t="str">
        <f>SUMIFS(Mouvements!$I:$I,Mouvements!$B:$B,A138,Mouvements!$F:$F,"Entrée stock")+SUMIFS(Mouvements!$I:$I,Mouvements!$B:$B,A138,Mouvements!$F:$F,"Correction +")+SUMIFS(Mouvements!$I:$I,Mouvements!$B:$B,A138,Mouvements!$F:$F,"Correction -")</f>
        <v>0</v>
      </c>
      <c r="J138" s="17" t="str">
        <f t="shared" si="1"/>
        <v/>
      </c>
      <c r="K138" s="19" t="str">
        <f>Articles!G138</f>
        <v/>
      </c>
      <c r="L138" s="17" t="str">
        <f t="shared" si="2"/>
        <v/>
      </c>
      <c r="M138" s="17" t="str">
        <f t="shared" si="3"/>
        <v/>
      </c>
      <c r="N138" s="18" t="str">
        <f>IF(A138="","",J138*Articles!H138)</f>
        <v/>
      </c>
    </row>
    <row r="139" ht="15.75" customHeight="1">
      <c r="A139" s="19" t="str">
        <f>Articles!A139</f>
        <v/>
      </c>
      <c r="B139" s="19" t="str">
        <f>Articles!B139</f>
        <v/>
      </c>
      <c r="C139" s="19" t="str">
        <f>Articles!C139</f>
        <v/>
      </c>
      <c r="D139" s="19" t="str">
        <f>Articles!D139</f>
        <v/>
      </c>
      <c r="E139" s="19" t="str">
        <f>Articles!E139</f>
        <v/>
      </c>
      <c r="F139" s="19" t="str">
        <f>Articles!F139</f>
        <v/>
      </c>
      <c r="G139" s="17" t="str">
        <f>SUMIFS(Mouvements!$G:$G,Mouvements!$B:$B,A139,Mouvements!$F:$F,"Départ")</f>
        <v>0</v>
      </c>
      <c r="H139" s="17" t="str">
        <f>SUMIFS(Mouvements!$G:$G,Mouvements!$B:$B,A139,Mouvements!$F:$F,"Retour")</f>
        <v>0</v>
      </c>
      <c r="I139" s="17" t="str">
        <f>SUMIFS(Mouvements!$I:$I,Mouvements!$B:$B,A139,Mouvements!$F:$F,"Entrée stock")+SUMIFS(Mouvements!$I:$I,Mouvements!$B:$B,A139,Mouvements!$F:$F,"Correction +")+SUMIFS(Mouvements!$I:$I,Mouvements!$B:$B,A139,Mouvements!$F:$F,"Correction -")</f>
        <v>0</v>
      </c>
      <c r="J139" s="17" t="str">
        <f t="shared" si="1"/>
        <v/>
      </c>
      <c r="K139" s="19" t="str">
        <f>Articles!G139</f>
        <v/>
      </c>
      <c r="L139" s="17" t="str">
        <f t="shared" si="2"/>
        <v/>
      </c>
      <c r="M139" s="17" t="str">
        <f t="shared" si="3"/>
        <v/>
      </c>
      <c r="N139" s="18" t="str">
        <f>IF(A139="","",J139*Articles!H139)</f>
        <v/>
      </c>
    </row>
    <row r="140" ht="15.75" customHeight="1">
      <c r="A140" s="19" t="str">
        <f>Articles!A140</f>
        <v/>
      </c>
      <c r="B140" s="19" t="str">
        <f>Articles!B140</f>
        <v/>
      </c>
      <c r="C140" s="19" t="str">
        <f>Articles!C140</f>
        <v/>
      </c>
      <c r="D140" s="19" t="str">
        <f>Articles!D140</f>
        <v/>
      </c>
      <c r="E140" s="19" t="str">
        <f>Articles!E140</f>
        <v/>
      </c>
      <c r="F140" s="19" t="str">
        <f>Articles!F140</f>
        <v/>
      </c>
      <c r="G140" s="17" t="str">
        <f>SUMIFS(Mouvements!$G:$G,Mouvements!$B:$B,A140,Mouvements!$F:$F,"Départ")</f>
        <v>0</v>
      </c>
      <c r="H140" s="17" t="str">
        <f>SUMIFS(Mouvements!$G:$G,Mouvements!$B:$B,A140,Mouvements!$F:$F,"Retour")</f>
        <v>0</v>
      </c>
      <c r="I140" s="17" t="str">
        <f>SUMIFS(Mouvements!$I:$I,Mouvements!$B:$B,A140,Mouvements!$F:$F,"Entrée stock")+SUMIFS(Mouvements!$I:$I,Mouvements!$B:$B,A140,Mouvements!$F:$F,"Correction +")+SUMIFS(Mouvements!$I:$I,Mouvements!$B:$B,A140,Mouvements!$F:$F,"Correction -")</f>
        <v>0</v>
      </c>
      <c r="J140" s="17" t="str">
        <f t="shared" si="1"/>
        <v/>
      </c>
      <c r="K140" s="19" t="str">
        <f>Articles!G140</f>
        <v/>
      </c>
      <c r="L140" s="17" t="str">
        <f t="shared" si="2"/>
        <v/>
      </c>
      <c r="M140" s="17" t="str">
        <f t="shared" si="3"/>
        <v/>
      </c>
      <c r="N140" s="18" t="str">
        <f>IF(A140="","",J140*Articles!H140)</f>
        <v/>
      </c>
    </row>
    <row r="141" ht="15.75" customHeight="1">
      <c r="A141" s="19" t="str">
        <f>Articles!A141</f>
        <v/>
      </c>
      <c r="B141" s="19" t="str">
        <f>Articles!B141</f>
        <v/>
      </c>
      <c r="C141" s="19" t="str">
        <f>Articles!C141</f>
        <v/>
      </c>
      <c r="D141" s="19" t="str">
        <f>Articles!D141</f>
        <v/>
      </c>
      <c r="E141" s="19" t="str">
        <f>Articles!E141</f>
        <v/>
      </c>
      <c r="F141" s="19" t="str">
        <f>Articles!F141</f>
        <v/>
      </c>
      <c r="G141" s="17" t="str">
        <f>SUMIFS(Mouvements!$G:$G,Mouvements!$B:$B,A141,Mouvements!$F:$F,"Départ")</f>
        <v>0</v>
      </c>
      <c r="H141" s="17" t="str">
        <f>SUMIFS(Mouvements!$G:$G,Mouvements!$B:$B,A141,Mouvements!$F:$F,"Retour")</f>
        <v>0</v>
      </c>
      <c r="I141" s="17" t="str">
        <f>SUMIFS(Mouvements!$I:$I,Mouvements!$B:$B,A141,Mouvements!$F:$F,"Entrée stock")+SUMIFS(Mouvements!$I:$I,Mouvements!$B:$B,A141,Mouvements!$F:$F,"Correction +")+SUMIFS(Mouvements!$I:$I,Mouvements!$B:$B,A141,Mouvements!$F:$F,"Correction -")</f>
        <v>0</v>
      </c>
      <c r="J141" s="17" t="str">
        <f t="shared" si="1"/>
        <v/>
      </c>
      <c r="K141" s="19" t="str">
        <f>Articles!G141</f>
        <v/>
      </c>
      <c r="L141" s="17" t="str">
        <f t="shared" si="2"/>
        <v/>
      </c>
      <c r="M141" s="17" t="str">
        <f t="shared" si="3"/>
        <v/>
      </c>
      <c r="N141" s="18" t="str">
        <f>IF(A141="","",J141*Articles!H141)</f>
        <v/>
      </c>
    </row>
    <row r="142" ht="15.75" customHeight="1">
      <c r="A142" s="19" t="str">
        <f>Articles!A142</f>
        <v/>
      </c>
      <c r="B142" s="19" t="str">
        <f>Articles!B142</f>
        <v/>
      </c>
      <c r="C142" s="19" t="str">
        <f>Articles!C142</f>
        <v/>
      </c>
      <c r="D142" s="19" t="str">
        <f>Articles!D142</f>
        <v/>
      </c>
      <c r="E142" s="19" t="str">
        <f>Articles!E142</f>
        <v/>
      </c>
      <c r="F142" s="19" t="str">
        <f>Articles!F142</f>
        <v/>
      </c>
      <c r="G142" s="17" t="str">
        <f>SUMIFS(Mouvements!$G:$G,Mouvements!$B:$B,A142,Mouvements!$F:$F,"Départ")</f>
        <v>0</v>
      </c>
      <c r="H142" s="17" t="str">
        <f>SUMIFS(Mouvements!$G:$G,Mouvements!$B:$B,A142,Mouvements!$F:$F,"Retour")</f>
        <v>0</v>
      </c>
      <c r="I142" s="17" t="str">
        <f>SUMIFS(Mouvements!$I:$I,Mouvements!$B:$B,A142,Mouvements!$F:$F,"Entrée stock")+SUMIFS(Mouvements!$I:$I,Mouvements!$B:$B,A142,Mouvements!$F:$F,"Correction +")+SUMIFS(Mouvements!$I:$I,Mouvements!$B:$B,A142,Mouvements!$F:$F,"Correction -")</f>
        <v>0</v>
      </c>
      <c r="J142" s="17" t="str">
        <f t="shared" si="1"/>
        <v/>
      </c>
      <c r="K142" s="19" t="str">
        <f>Articles!G142</f>
        <v/>
      </c>
      <c r="L142" s="17" t="str">
        <f t="shared" si="2"/>
        <v/>
      </c>
      <c r="M142" s="17" t="str">
        <f t="shared" si="3"/>
        <v/>
      </c>
      <c r="N142" s="18" t="str">
        <f>IF(A142="","",J142*Articles!H142)</f>
        <v/>
      </c>
    </row>
    <row r="143" ht="15.75" customHeight="1">
      <c r="A143" s="19" t="str">
        <f>Articles!A143</f>
        <v/>
      </c>
      <c r="B143" s="19" t="str">
        <f>Articles!B143</f>
        <v/>
      </c>
      <c r="C143" s="19" t="str">
        <f>Articles!C143</f>
        <v/>
      </c>
      <c r="D143" s="19" t="str">
        <f>Articles!D143</f>
        <v/>
      </c>
      <c r="E143" s="19" t="str">
        <f>Articles!E143</f>
        <v/>
      </c>
      <c r="F143" s="19" t="str">
        <f>Articles!F143</f>
        <v/>
      </c>
      <c r="G143" s="17" t="str">
        <f>SUMIFS(Mouvements!$G:$G,Mouvements!$B:$B,A143,Mouvements!$F:$F,"Départ")</f>
        <v>0</v>
      </c>
      <c r="H143" s="17" t="str">
        <f>SUMIFS(Mouvements!$G:$G,Mouvements!$B:$B,A143,Mouvements!$F:$F,"Retour")</f>
        <v>0</v>
      </c>
      <c r="I143" s="17" t="str">
        <f>SUMIFS(Mouvements!$I:$I,Mouvements!$B:$B,A143,Mouvements!$F:$F,"Entrée stock")+SUMIFS(Mouvements!$I:$I,Mouvements!$B:$B,A143,Mouvements!$F:$F,"Correction +")+SUMIFS(Mouvements!$I:$I,Mouvements!$B:$B,A143,Mouvements!$F:$F,"Correction -")</f>
        <v>0</v>
      </c>
      <c r="J143" s="17" t="str">
        <f t="shared" si="1"/>
        <v/>
      </c>
      <c r="K143" s="19" t="str">
        <f>Articles!G143</f>
        <v/>
      </c>
      <c r="L143" s="17" t="str">
        <f t="shared" si="2"/>
        <v/>
      </c>
      <c r="M143" s="17" t="str">
        <f t="shared" si="3"/>
        <v/>
      </c>
      <c r="N143" s="18" t="str">
        <f>IF(A143="","",J143*Articles!H143)</f>
        <v/>
      </c>
    </row>
    <row r="144" ht="15.75" customHeight="1">
      <c r="A144" s="19" t="str">
        <f>Articles!A144</f>
        <v/>
      </c>
      <c r="B144" s="19" t="str">
        <f>Articles!B144</f>
        <v/>
      </c>
      <c r="C144" s="19" t="str">
        <f>Articles!C144</f>
        <v/>
      </c>
      <c r="D144" s="19" t="str">
        <f>Articles!D144</f>
        <v/>
      </c>
      <c r="E144" s="19" t="str">
        <f>Articles!E144</f>
        <v/>
      </c>
      <c r="F144" s="19" t="str">
        <f>Articles!F144</f>
        <v/>
      </c>
      <c r="G144" s="17" t="str">
        <f>SUMIFS(Mouvements!$G:$G,Mouvements!$B:$B,A144,Mouvements!$F:$F,"Départ")</f>
        <v>0</v>
      </c>
      <c r="H144" s="17" t="str">
        <f>SUMIFS(Mouvements!$G:$G,Mouvements!$B:$B,A144,Mouvements!$F:$F,"Retour")</f>
        <v>0</v>
      </c>
      <c r="I144" s="17" t="str">
        <f>SUMIFS(Mouvements!$I:$I,Mouvements!$B:$B,A144,Mouvements!$F:$F,"Entrée stock")+SUMIFS(Mouvements!$I:$I,Mouvements!$B:$B,A144,Mouvements!$F:$F,"Correction +")+SUMIFS(Mouvements!$I:$I,Mouvements!$B:$B,A144,Mouvements!$F:$F,"Correction -")</f>
        <v>0</v>
      </c>
      <c r="J144" s="17" t="str">
        <f t="shared" si="1"/>
        <v/>
      </c>
      <c r="K144" s="19" t="str">
        <f>Articles!G144</f>
        <v/>
      </c>
      <c r="L144" s="17" t="str">
        <f t="shared" si="2"/>
        <v/>
      </c>
      <c r="M144" s="17" t="str">
        <f t="shared" si="3"/>
        <v/>
      </c>
      <c r="N144" s="18" t="str">
        <f>IF(A144="","",J144*Articles!H144)</f>
        <v/>
      </c>
    </row>
    <row r="145" ht="15.75" customHeight="1">
      <c r="A145" s="19" t="str">
        <f>Articles!A145</f>
        <v/>
      </c>
      <c r="B145" s="19" t="str">
        <f>Articles!B145</f>
        <v/>
      </c>
      <c r="C145" s="19" t="str">
        <f>Articles!C145</f>
        <v/>
      </c>
      <c r="D145" s="19" t="str">
        <f>Articles!D145</f>
        <v/>
      </c>
      <c r="E145" s="19" t="str">
        <f>Articles!E145</f>
        <v/>
      </c>
      <c r="F145" s="19" t="str">
        <f>Articles!F145</f>
        <v/>
      </c>
      <c r="G145" s="17" t="str">
        <f>SUMIFS(Mouvements!$G:$G,Mouvements!$B:$B,A145,Mouvements!$F:$F,"Départ")</f>
        <v>0</v>
      </c>
      <c r="H145" s="17" t="str">
        <f>SUMIFS(Mouvements!$G:$G,Mouvements!$B:$B,A145,Mouvements!$F:$F,"Retour")</f>
        <v>0</v>
      </c>
      <c r="I145" s="17" t="str">
        <f>SUMIFS(Mouvements!$I:$I,Mouvements!$B:$B,A145,Mouvements!$F:$F,"Entrée stock")+SUMIFS(Mouvements!$I:$I,Mouvements!$B:$B,A145,Mouvements!$F:$F,"Correction +")+SUMIFS(Mouvements!$I:$I,Mouvements!$B:$B,A145,Mouvements!$F:$F,"Correction -")</f>
        <v>0</v>
      </c>
      <c r="J145" s="17" t="str">
        <f t="shared" si="1"/>
        <v/>
      </c>
      <c r="K145" s="19" t="str">
        <f>Articles!G145</f>
        <v/>
      </c>
      <c r="L145" s="17" t="str">
        <f t="shared" si="2"/>
        <v/>
      </c>
      <c r="M145" s="17" t="str">
        <f t="shared" si="3"/>
        <v/>
      </c>
      <c r="N145" s="18" t="str">
        <f>IF(A145="","",J145*Articles!H145)</f>
        <v/>
      </c>
    </row>
    <row r="146" ht="15.75" customHeight="1">
      <c r="A146" s="19" t="str">
        <f>Articles!A146</f>
        <v/>
      </c>
      <c r="B146" s="19" t="str">
        <f>Articles!B146</f>
        <v/>
      </c>
      <c r="C146" s="19" t="str">
        <f>Articles!C146</f>
        <v/>
      </c>
      <c r="D146" s="19" t="str">
        <f>Articles!D146</f>
        <v/>
      </c>
      <c r="E146" s="19" t="str">
        <f>Articles!E146</f>
        <v/>
      </c>
      <c r="F146" s="19" t="str">
        <f>Articles!F146</f>
        <v/>
      </c>
      <c r="G146" s="17" t="str">
        <f>SUMIFS(Mouvements!$G:$G,Mouvements!$B:$B,A146,Mouvements!$F:$F,"Départ")</f>
        <v>0</v>
      </c>
      <c r="H146" s="17" t="str">
        <f>SUMIFS(Mouvements!$G:$G,Mouvements!$B:$B,A146,Mouvements!$F:$F,"Retour")</f>
        <v>0</v>
      </c>
      <c r="I146" s="17" t="str">
        <f>SUMIFS(Mouvements!$I:$I,Mouvements!$B:$B,A146,Mouvements!$F:$F,"Entrée stock")+SUMIFS(Mouvements!$I:$I,Mouvements!$B:$B,A146,Mouvements!$F:$F,"Correction +")+SUMIFS(Mouvements!$I:$I,Mouvements!$B:$B,A146,Mouvements!$F:$F,"Correction -")</f>
        <v>0</v>
      </c>
      <c r="J146" s="17" t="str">
        <f t="shared" si="1"/>
        <v/>
      </c>
      <c r="K146" s="19" t="str">
        <f>Articles!G146</f>
        <v/>
      </c>
      <c r="L146" s="17" t="str">
        <f t="shared" si="2"/>
        <v/>
      </c>
      <c r="M146" s="17" t="str">
        <f t="shared" si="3"/>
        <v/>
      </c>
      <c r="N146" s="18" t="str">
        <f>IF(A146="","",J146*Articles!H146)</f>
        <v/>
      </c>
    </row>
    <row r="147" ht="15.75" customHeight="1">
      <c r="A147" s="19" t="str">
        <f>Articles!A147</f>
        <v/>
      </c>
      <c r="B147" s="19" t="str">
        <f>Articles!B147</f>
        <v/>
      </c>
      <c r="C147" s="19" t="str">
        <f>Articles!C147</f>
        <v/>
      </c>
      <c r="D147" s="19" t="str">
        <f>Articles!D147</f>
        <v/>
      </c>
      <c r="E147" s="19" t="str">
        <f>Articles!E147</f>
        <v/>
      </c>
      <c r="F147" s="19" t="str">
        <f>Articles!F147</f>
        <v/>
      </c>
      <c r="G147" s="17" t="str">
        <f>SUMIFS(Mouvements!$G:$G,Mouvements!$B:$B,A147,Mouvements!$F:$F,"Départ")</f>
        <v>0</v>
      </c>
      <c r="H147" s="17" t="str">
        <f>SUMIFS(Mouvements!$G:$G,Mouvements!$B:$B,A147,Mouvements!$F:$F,"Retour")</f>
        <v>0</v>
      </c>
      <c r="I147" s="17" t="str">
        <f>SUMIFS(Mouvements!$I:$I,Mouvements!$B:$B,A147,Mouvements!$F:$F,"Entrée stock")+SUMIFS(Mouvements!$I:$I,Mouvements!$B:$B,A147,Mouvements!$F:$F,"Correction +")+SUMIFS(Mouvements!$I:$I,Mouvements!$B:$B,A147,Mouvements!$F:$F,"Correction -")</f>
        <v>0</v>
      </c>
      <c r="J147" s="17" t="str">
        <f t="shared" si="1"/>
        <v/>
      </c>
      <c r="K147" s="19" t="str">
        <f>Articles!G147</f>
        <v/>
      </c>
      <c r="L147" s="17" t="str">
        <f t="shared" si="2"/>
        <v/>
      </c>
      <c r="M147" s="17" t="str">
        <f t="shared" si="3"/>
        <v/>
      </c>
      <c r="N147" s="18" t="str">
        <f>IF(A147="","",J147*Articles!H147)</f>
        <v/>
      </c>
    </row>
    <row r="148" ht="15.75" customHeight="1">
      <c r="A148" s="19" t="str">
        <f>Articles!A148</f>
        <v/>
      </c>
      <c r="B148" s="19" t="str">
        <f>Articles!B148</f>
        <v/>
      </c>
      <c r="C148" s="19" t="str">
        <f>Articles!C148</f>
        <v/>
      </c>
      <c r="D148" s="19" t="str">
        <f>Articles!D148</f>
        <v/>
      </c>
      <c r="E148" s="19" t="str">
        <f>Articles!E148</f>
        <v/>
      </c>
      <c r="F148" s="19" t="str">
        <f>Articles!F148</f>
        <v/>
      </c>
      <c r="G148" s="17" t="str">
        <f>SUMIFS(Mouvements!$G:$G,Mouvements!$B:$B,A148,Mouvements!$F:$F,"Départ")</f>
        <v>0</v>
      </c>
      <c r="H148" s="17" t="str">
        <f>SUMIFS(Mouvements!$G:$G,Mouvements!$B:$B,A148,Mouvements!$F:$F,"Retour")</f>
        <v>0</v>
      </c>
      <c r="I148" s="17" t="str">
        <f>SUMIFS(Mouvements!$I:$I,Mouvements!$B:$B,A148,Mouvements!$F:$F,"Entrée stock")+SUMIFS(Mouvements!$I:$I,Mouvements!$B:$B,A148,Mouvements!$F:$F,"Correction +")+SUMIFS(Mouvements!$I:$I,Mouvements!$B:$B,A148,Mouvements!$F:$F,"Correction -")</f>
        <v>0</v>
      </c>
      <c r="J148" s="17" t="str">
        <f t="shared" si="1"/>
        <v/>
      </c>
      <c r="K148" s="19" t="str">
        <f>Articles!G148</f>
        <v/>
      </c>
      <c r="L148" s="17" t="str">
        <f t="shared" si="2"/>
        <v/>
      </c>
      <c r="M148" s="17" t="str">
        <f t="shared" si="3"/>
        <v/>
      </c>
      <c r="N148" s="18" t="str">
        <f>IF(A148="","",J148*Articles!H148)</f>
        <v/>
      </c>
    </row>
    <row r="149" ht="15.75" customHeight="1">
      <c r="A149" s="19" t="str">
        <f>Articles!A149</f>
        <v/>
      </c>
      <c r="B149" s="19" t="str">
        <f>Articles!B149</f>
        <v/>
      </c>
      <c r="C149" s="19" t="str">
        <f>Articles!C149</f>
        <v/>
      </c>
      <c r="D149" s="19" t="str">
        <f>Articles!D149</f>
        <v/>
      </c>
      <c r="E149" s="19" t="str">
        <f>Articles!E149</f>
        <v/>
      </c>
      <c r="F149" s="19" t="str">
        <f>Articles!F149</f>
        <v/>
      </c>
      <c r="G149" s="17" t="str">
        <f>SUMIFS(Mouvements!$G:$G,Mouvements!$B:$B,A149,Mouvements!$F:$F,"Départ")</f>
        <v>0</v>
      </c>
      <c r="H149" s="17" t="str">
        <f>SUMIFS(Mouvements!$G:$G,Mouvements!$B:$B,A149,Mouvements!$F:$F,"Retour")</f>
        <v>0</v>
      </c>
      <c r="I149" s="17" t="str">
        <f>SUMIFS(Mouvements!$I:$I,Mouvements!$B:$B,A149,Mouvements!$F:$F,"Entrée stock")+SUMIFS(Mouvements!$I:$I,Mouvements!$B:$B,A149,Mouvements!$F:$F,"Correction +")+SUMIFS(Mouvements!$I:$I,Mouvements!$B:$B,A149,Mouvements!$F:$F,"Correction -")</f>
        <v>0</v>
      </c>
      <c r="J149" s="17" t="str">
        <f t="shared" si="1"/>
        <v/>
      </c>
      <c r="K149" s="19" t="str">
        <f>Articles!G149</f>
        <v/>
      </c>
      <c r="L149" s="17" t="str">
        <f t="shared" si="2"/>
        <v/>
      </c>
      <c r="M149" s="17" t="str">
        <f t="shared" si="3"/>
        <v/>
      </c>
      <c r="N149" s="18" t="str">
        <f>IF(A149="","",J149*Articles!H149)</f>
        <v/>
      </c>
    </row>
    <row r="150" ht="15.75" customHeight="1">
      <c r="A150" s="19" t="str">
        <f>Articles!A150</f>
        <v/>
      </c>
      <c r="B150" s="19" t="str">
        <f>Articles!B150</f>
        <v/>
      </c>
      <c r="C150" s="19" t="str">
        <f>Articles!C150</f>
        <v/>
      </c>
      <c r="D150" s="19" t="str">
        <f>Articles!D150</f>
        <v/>
      </c>
      <c r="E150" s="19" t="str">
        <f>Articles!E150</f>
        <v/>
      </c>
      <c r="F150" s="19" t="str">
        <f>Articles!F150</f>
        <v/>
      </c>
      <c r="G150" s="17" t="str">
        <f>SUMIFS(Mouvements!$G:$G,Mouvements!$B:$B,A150,Mouvements!$F:$F,"Départ")</f>
        <v>0</v>
      </c>
      <c r="H150" s="17" t="str">
        <f>SUMIFS(Mouvements!$G:$G,Mouvements!$B:$B,A150,Mouvements!$F:$F,"Retour")</f>
        <v>0</v>
      </c>
      <c r="I150" s="17" t="str">
        <f>SUMIFS(Mouvements!$I:$I,Mouvements!$B:$B,A150,Mouvements!$F:$F,"Entrée stock")+SUMIFS(Mouvements!$I:$I,Mouvements!$B:$B,A150,Mouvements!$F:$F,"Correction +")+SUMIFS(Mouvements!$I:$I,Mouvements!$B:$B,A150,Mouvements!$F:$F,"Correction -")</f>
        <v>0</v>
      </c>
      <c r="J150" s="17" t="str">
        <f t="shared" si="1"/>
        <v/>
      </c>
      <c r="K150" s="19" t="str">
        <f>Articles!G150</f>
        <v/>
      </c>
      <c r="L150" s="17" t="str">
        <f t="shared" si="2"/>
        <v/>
      </c>
      <c r="M150" s="17" t="str">
        <f t="shared" si="3"/>
        <v/>
      </c>
      <c r="N150" s="18" t="str">
        <f>IF(A150="","",J150*Articles!H150)</f>
        <v/>
      </c>
    </row>
    <row r="151" ht="15.75" customHeight="1">
      <c r="A151" s="19" t="str">
        <f>Articles!A151</f>
        <v/>
      </c>
      <c r="B151" s="19" t="str">
        <f>Articles!B151</f>
        <v/>
      </c>
      <c r="C151" s="19" t="str">
        <f>Articles!C151</f>
        <v/>
      </c>
      <c r="D151" s="19" t="str">
        <f>Articles!D151</f>
        <v/>
      </c>
      <c r="E151" s="19" t="str">
        <f>Articles!E151</f>
        <v/>
      </c>
      <c r="F151" s="19" t="str">
        <f>Articles!F151</f>
        <v/>
      </c>
      <c r="G151" s="17" t="str">
        <f>SUMIFS(Mouvements!$G:$G,Mouvements!$B:$B,A151,Mouvements!$F:$F,"Départ")</f>
        <v>0</v>
      </c>
      <c r="H151" s="17" t="str">
        <f>SUMIFS(Mouvements!$G:$G,Mouvements!$B:$B,A151,Mouvements!$F:$F,"Retour")</f>
        <v>0</v>
      </c>
      <c r="I151" s="17" t="str">
        <f>SUMIFS(Mouvements!$I:$I,Mouvements!$B:$B,A151,Mouvements!$F:$F,"Entrée stock")+SUMIFS(Mouvements!$I:$I,Mouvements!$B:$B,A151,Mouvements!$F:$F,"Correction +")+SUMIFS(Mouvements!$I:$I,Mouvements!$B:$B,A151,Mouvements!$F:$F,"Correction -")</f>
        <v>0</v>
      </c>
      <c r="J151" s="17" t="str">
        <f t="shared" si="1"/>
        <v/>
      </c>
      <c r="K151" s="19" t="str">
        <f>Articles!G151</f>
        <v/>
      </c>
      <c r="L151" s="17" t="str">
        <f t="shared" si="2"/>
        <v/>
      </c>
      <c r="M151" s="17" t="str">
        <f t="shared" si="3"/>
        <v/>
      </c>
      <c r="N151" s="18" t="str">
        <f>IF(A151="","",J151*Articles!H151)</f>
        <v/>
      </c>
    </row>
    <row r="152" ht="15.75" customHeight="1">
      <c r="A152" s="19" t="str">
        <f>Articles!A152</f>
        <v/>
      </c>
      <c r="B152" s="19" t="str">
        <f>Articles!B152</f>
        <v/>
      </c>
      <c r="C152" s="19" t="str">
        <f>Articles!C152</f>
        <v/>
      </c>
      <c r="D152" s="19" t="str">
        <f>Articles!D152</f>
        <v/>
      </c>
      <c r="E152" s="19" t="str">
        <f>Articles!E152</f>
        <v/>
      </c>
      <c r="F152" s="19" t="str">
        <f>Articles!F152</f>
        <v/>
      </c>
      <c r="G152" s="17" t="str">
        <f>SUMIFS(Mouvements!$G:$G,Mouvements!$B:$B,A152,Mouvements!$F:$F,"Départ")</f>
        <v>0</v>
      </c>
      <c r="H152" s="17" t="str">
        <f>SUMIFS(Mouvements!$G:$G,Mouvements!$B:$B,A152,Mouvements!$F:$F,"Retour")</f>
        <v>0</v>
      </c>
      <c r="I152" s="17" t="str">
        <f>SUMIFS(Mouvements!$I:$I,Mouvements!$B:$B,A152,Mouvements!$F:$F,"Entrée stock")+SUMIFS(Mouvements!$I:$I,Mouvements!$B:$B,A152,Mouvements!$F:$F,"Correction +")+SUMIFS(Mouvements!$I:$I,Mouvements!$B:$B,A152,Mouvements!$F:$F,"Correction -")</f>
        <v>0</v>
      </c>
      <c r="J152" s="17" t="str">
        <f t="shared" si="1"/>
        <v/>
      </c>
      <c r="K152" s="19" t="str">
        <f>Articles!G152</f>
        <v/>
      </c>
      <c r="L152" s="17" t="str">
        <f t="shared" si="2"/>
        <v/>
      </c>
      <c r="M152" s="17" t="str">
        <f t="shared" si="3"/>
        <v/>
      </c>
      <c r="N152" s="18" t="str">
        <f>IF(A152="","",J152*Articles!H152)</f>
        <v/>
      </c>
    </row>
    <row r="153" ht="15.75" customHeight="1">
      <c r="A153" s="19" t="str">
        <f>Articles!A153</f>
        <v/>
      </c>
      <c r="B153" s="19" t="str">
        <f>Articles!B153</f>
        <v/>
      </c>
      <c r="C153" s="19" t="str">
        <f>Articles!C153</f>
        <v/>
      </c>
      <c r="D153" s="19" t="str">
        <f>Articles!D153</f>
        <v/>
      </c>
      <c r="E153" s="19" t="str">
        <f>Articles!E153</f>
        <v/>
      </c>
      <c r="F153" s="19" t="str">
        <f>Articles!F153</f>
        <v/>
      </c>
      <c r="G153" s="17" t="str">
        <f>SUMIFS(Mouvements!$G:$G,Mouvements!$B:$B,A153,Mouvements!$F:$F,"Départ")</f>
        <v>0</v>
      </c>
      <c r="H153" s="17" t="str">
        <f>SUMIFS(Mouvements!$G:$G,Mouvements!$B:$B,A153,Mouvements!$F:$F,"Retour")</f>
        <v>0</v>
      </c>
      <c r="I153" s="17" t="str">
        <f>SUMIFS(Mouvements!$I:$I,Mouvements!$B:$B,A153,Mouvements!$F:$F,"Entrée stock")+SUMIFS(Mouvements!$I:$I,Mouvements!$B:$B,A153,Mouvements!$F:$F,"Correction +")+SUMIFS(Mouvements!$I:$I,Mouvements!$B:$B,A153,Mouvements!$F:$F,"Correction -")</f>
        <v>0</v>
      </c>
      <c r="J153" s="17" t="str">
        <f t="shared" si="1"/>
        <v/>
      </c>
      <c r="K153" s="19" t="str">
        <f>Articles!G153</f>
        <v/>
      </c>
      <c r="L153" s="17" t="str">
        <f t="shared" si="2"/>
        <v/>
      </c>
      <c r="M153" s="17" t="str">
        <f t="shared" si="3"/>
        <v/>
      </c>
      <c r="N153" s="18" t="str">
        <f>IF(A153="","",J153*Articles!H153)</f>
        <v/>
      </c>
    </row>
    <row r="154" ht="15.75" customHeight="1">
      <c r="A154" s="19" t="str">
        <f>Articles!A154</f>
        <v/>
      </c>
      <c r="B154" s="19" t="str">
        <f>Articles!B154</f>
        <v/>
      </c>
      <c r="C154" s="19" t="str">
        <f>Articles!C154</f>
        <v/>
      </c>
      <c r="D154" s="19" t="str">
        <f>Articles!D154</f>
        <v/>
      </c>
      <c r="E154" s="19" t="str">
        <f>Articles!E154</f>
        <v/>
      </c>
      <c r="F154" s="19" t="str">
        <f>Articles!F154</f>
        <v/>
      </c>
      <c r="G154" s="17" t="str">
        <f>SUMIFS(Mouvements!$G:$G,Mouvements!$B:$B,A154,Mouvements!$F:$F,"Départ")</f>
        <v>0</v>
      </c>
      <c r="H154" s="17" t="str">
        <f>SUMIFS(Mouvements!$G:$G,Mouvements!$B:$B,A154,Mouvements!$F:$F,"Retour")</f>
        <v>0</v>
      </c>
      <c r="I154" s="17" t="str">
        <f>SUMIFS(Mouvements!$I:$I,Mouvements!$B:$B,A154,Mouvements!$F:$F,"Entrée stock")+SUMIFS(Mouvements!$I:$I,Mouvements!$B:$B,A154,Mouvements!$F:$F,"Correction +")+SUMIFS(Mouvements!$I:$I,Mouvements!$B:$B,A154,Mouvements!$F:$F,"Correction -")</f>
        <v>0</v>
      </c>
      <c r="J154" s="17" t="str">
        <f t="shared" si="1"/>
        <v/>
      </c>
      <c r="K154" s="19" t="str">
        <f>Articles!G154</f>
        <v/>
      </c>
      <c r="L154" s="17" t="str">
        <f t="shared" si="2"/>
        <v/>
      </c>
      <c r="M154" s="17" t="str">
        <f t="shared" si="3"/>
        <v/>
      </c>
      <c r="N154" s="18" t="str">
        <f>IF(A154="","",J154*Articles!H154)</f>
        <v/>
      </c>
    </row>
    <row r="155" ht="15.75" customHeight="1">
      <c r="A155" s="19" t="str">
        <f>Articles!A155</f>
        <v/>
      </c>
      <c r="B155" s="19" t="str">
        <f>Articles!B155</f>
        <v/>
      </c>
      <c r="C155" s="19" t="str">
        <f>Articles!C155</f>
        <v/>
      </c>
      <c r="D155" s="19" t="str">
        <f>Articles!D155</f>
        <v/>
      </c>
      <c r="E155" s="19" t="str">
        <f>Articles!E155</f>
        <v/>
      </c>
      <c r="F155" s="19" t="str">
        <f>Articles!F155</f>
        <v/>
      </c>
      <c r="G155" s="17" t="str">
        <f>SUMIFS(Mouvements!$G:$G,Mouvements!$B:$B,A155,Mouvements!$F:$F,"Départ")</f>
        <v>0</v>
      </c>
      <c r="H155" s="17" t="str">
        <f>SUMIFS(Mouvements!$G:$G,Mouvements!$B:$B,A155,Mouvements!$F:$F,"Retour")</f>
        <v>0</v>
      </c>
      <c r="I155" s="17" t="str">
        <f>SUMIFS(Mouvements!$I:$I,Mouvements!$B:$B,A155,Mouvements!$F:$F,"Entrée stock")+SUMIFS(Mouvements!$I:$I,Mouvements!$B:$B,A155,Mouvements!$F:$F,"Correction +")+SUMIFS(Mouvements!$I:$I,Mouvements!$B:$B,A155,Mouvements!$F:$F,"Correction -")</f>
        <v>0</v>
      </c>
      <c r="J155" s="17" t="str">
        <f t="shared" si="1"/>
        <v/>
      </c>
      <c r="K155" s="19" t="str">
        <f>Articles!G155</f>
        <v/>
      </c>
      <c r="L155" s="17" t="str">
        <f t="shared" si="2"/>
        <v/>
      </c>
      <c r="M155" s="17" t="str">
        <f t="shared" si="3"/>
        <v/>
      </c>
      <c r="N155" s="18" t="str">
        <f>IF(A155="","",J155*Articles!H155)</f>
        <v/>
      </c>
    </row>
    <row r="156" ht="15.75" customHeight="1">
      <c r="A156" s="19" t="str">
        <f>Articles!A156</f>
        <v/>
      </c>
      <c r="B156" s="19" t="str">
        <f>Articles!B156</f>
        <v/>
      </c>
      <c r="C156" s="19" t="str">
        <f>Articles!C156</f>
        <v/>
      </c>
      <c r="D156" s="19" t="str">
        <f>Articles!D156</f>
        <v/>
      </c>
      <c r="E156" s="19" t="str">
        <f>Articles!E156</f>
        <v/>
      </c>
      <c r="F156" s="19" t="str">
        <f>Articles!F156</f>
        <v/>
      </c>
      <c r="G156" s="17" t="str">
        <f>SUMIFS(Mouvements!$G:$G,Mouvements!$B:$B,A156,Mouvements!$F:$F,"Départ")</f>
        <v>0</v>
      </c>
      <c r="H156" s="17" t="str">
        <f>SUMIFS(Mouvements!$G:$G,Mouvements!$B:$B,A156,Mouvements!$F:$F,"Retour")</f>
        <v>0</v>
      </c>
      <c r="I156" s="17" t="str">
        <f>SUMIFS(Mouvements!$I:$I,Mouvements!$B:$B,A156,Mouvements!$F:$F,"Entrée stock")+SUMIFS(Mouvements!$I:$I,Mouvements!$B:$B,A156,Mouvements!$F:$F,"Correction +")+SUMIFS(Mouvements!$I:$I,Mouvements!$B:$B,A156,Mouvements!$F:$F,"Correction -")</f>
        <v>0</v>
      </c>
      <c r="J156" s="17" t="str">
        <f t="shared" si="1"/>
        <v/>
      </c>
      <c r="K156" s="19" t="str">
        <f>Articles!G156</f>
        <v/>
      </c>
      <c r="L156" s="17" t="str">
        <f t="shared" si="2"/>
        <v/>
      </c>
      <c r="M156" s="17" t="str">
        <f t="shared" si="3"/>
        <v/>
      </c>
      <c r="N156" s="18" t="str">
        <f>IF(A156="","",J156*Articles!H156)</f>
        <v/>
      </c>
    </row>
    <row r="157" ht="15.75" customHeight="1">
      <c r="A157" s="19" t="str">
        <f>Articles!A157</f>
        <v/>
      </c>
      <c r="B157" s="19" t="str">
        <f>Articles!B157</f>
        <v/>
      </c>
      <c r="C157" s="19" t="str">
        <f>Articles!C157</f>
        <v/>
      </c>
      <c r="D157" s="19" t="str">
        <f>Articles!D157</f>
        <v/>
      </c>
      <c r="E157" s="19" t="str">
        <f>Articles!E157</f>
        <v/>
      </c>
      <c r="F157" s="19" t="str">
        <f>Articles!F157</f>
        <v/>
      </c>
      <c r="G157" s="17" t="str">
        <f>SUMIFS(Mouvements!$G:$G,Mouvements!$B:$B,A157,Mouvements!$F:$F,"Départ")</f>
        <v>0</v>
      </c>
      <c r="H157" s="17" t="str">
        <f>SUMIFS(Mouvements!$G:$G,Mouvements!$B:$B,A157,Mouvements!$F:$F,"Retour")</f>
        <v>0</v>
      </c>
      <c r="I157" s="17" t="str">
        <f>SUMIFS(Mouvements!$I:$I,Mouvements!$B:$B,A157,Mouvements!$F:$F,"Entrée stock")+SUMIFS(Mouvements!$I:$I,Mouvements!$B:$B,A157,Mouvements!$F:$F,"Correction +")+SUMIFS(Mouvements!$I:$I,Mouvements!$B:$B,A157,Mouvements!$F:$F,"Correction -")</f>
        <v>0</v>
      </c>
      <c r="J157" s="17" t="str">
        <f t="shared" si="1"/>
        <v/>
      </c>
      <c r="K157" s="19" t="str">
        <f>Articles!G157</f>
        <v/>
      </c>
      <c r="L157" s="17" t="str">
        <f t="shared" si="2"/>
        <v/>
      </c>
      <c r="M157" s="17" t="str">
        <f t="shared" si="3"/>
        <v/>
      </c>
      <c r="N157" s="18" t="str">
        <f>IF(A157="","",J157*Articles!H157)</f>
        <v/>
      </c>
    </row>
    <row r="158" ht="15.75" customHeight="1">
      <c r="A158" s="19" t="str">
        <f>Articles!A158</f>
        <v/>
      </c>
      <c r="B158" s="19" t="str">
        <f>Articles!B158</f>
        <v/>
      </c>
      <c r="C158" s="19" t="str">
        <f>Articles!C158</f>
        <v/>
      </c>
      <c r="D158" s="19" t="str">
        <f>Articles!D158</f>
        <v/>
      </c>
      <c r="E158" s="19" t="str">
        <f>Articles!E158</f>
        <v/>
      </c>
      <c r="F158" s="19" t="str">
        <f>Articles!F158</f>
        <v/>
      </c>
      <c r="G158" s="17" t="str">
        <f>SUMIFS(Mouvements!$G:$G,Mouvements!$B:$B,A158,Mouvements!$F:$F,"Départ")</f>
        <v>0</v>
      </c>
      <c r="H158" s="17" t="str">
        <f>SUMIFS(Mouvements!$G:$G,Mouvements!$B:$B,A158,Mouvements!$F:$F,"Retour")</f>
        <v>0</v>
      </c>
      <c r="I158" s="17" t="str">
        <f>SUMIFS(Mouvements!$I:$I,Mouvements!$B:$B,A158,Mouvements!$F:$F,"Entrée stock")+SUMIFS(Mouvements!$I:$I,Mouvements!$B:$B,A158,Mouvements!$F:$F,"Correction +")+SUMIFS(Mouvements!$I:$I,Mouvements!$B:$B,A158,Mouvements!$F:$F,"Correction -")</f>
        <v>0</v>
      </c>
      <c r="J158" s="17" t="str">
        <f t="shared" si="1"/>
        <v/>
      </c>
      <c r="K158" s="19" t="str">
        <f>Articles!G158</f>
        <v/>
      </c>
      <c r="L158" s="17" t="str">
        <f t="shared" si="2"/>
        <v/>
      </c>
      <c r="M158" s="17" t="str">
        <f t="shared" si="3"/>
        <v/>
      </c>
      <c r="N158" s="18" t="str">
        <f>IF(A158="","",J158*Articles!H158)</f>
        <v/>
      </c>
    </row>
    <row r="159" ht="15.75" customHeight="1">
      <c r="A159" s="19" t="str">
        <f>Articles!A159</f>
        <v/>
      </c>
      <c r="B159" s="19" t="str">
        <f>Articles!B159</f>
        <v/>
      </c>
      <c r="C159" s="19" t="str">
        <f>Articles!C159</f>
        <v/>
      </c>
      <c r="D159" s="19" t="str">
        <f>Articles!D159</f>
        <v/>
      </c>
      <c r="E159" s="19" t="str">
        <f>Articles!E159</f>
        <v/>
      </c>
      <c r="F159" s="19" t="str">
        <f>Articles!F159</f>
        <v/>
      </c>
      <c r="G159" s="17" t="str">
        <f>SUMIFS(Mouvements!$G:$G,Mouvements!$B:$B,A159,Mouvements!$F:$F,"Départ")</f>
        <v>0</v>
      </c>
      <c r="H159" s="17" t="str">
        <f>SUMIFS(Mouvements!$G:$G,Mouvements!$B:$B,A159,Mouvements!$F:$F,"Retour")</f>
        <v>0</v>
      </c>
      <c r="I159" s="17" t="str">
        <f>SUMIFS(Mouvements!$I:$I,Mouvements!$B:$B,A159,Mouvements!$F:$F,"Entrée stock")+SUMIFS(Mouvements!$I:$I,Mouvements!$B:$B,A159,Mouvements!$F:$F,"Correction +")+SUMIFS(Mouvements!$I:$I,Mouvements!$B:$B,A159,Mouvements!$F:$F,"Correction -")</f>
        <v>0</v>
      </c>
      <c r="J159" s="17" t="str">
        <f t="shared" si="1"/>
        <v/>
      </c>
      <c r="K159" s="19" t="str">
        <f>Articles!G159</f>
        <v/>
      </c>
      <c r="L159" s="17" t="str">
        <f t="shared" si="2"/>
        <v/>
      </c>
      <c r="M159" s="17" t="str">
        <f t="shared" si="3"/>
        <v/>
      </c>
      <c r="N159" s="18" t="str">
        <f>IF(A159="","",J159*Articles!H159)</f>
        <v/>
      </c>
    </row>
    <row r="160" ht="15.75" customHeight="1">
      <c r="A160" s="19" t="str">
        <f>Articles!A160</f>
        <v/>
      </c>
      <c r="B160" s="19" t="str">
        <f>Articles!B160</f>
        <v/>
      </c>
      <c r="C160" s="19" t="str">
        <f>Articles!C160</f>
        <v/>
      </c>
      <c r="D160" s="19" t="str">
        <f>Articles!D160</f>
        <v/>
      </c>
      <c r="E160" s="19" t="str">
        <f>Articles!E160</f>
        <v/>
      </c>
      <c r="F160" s="19" t="str">
        <f>Articles!F160</f>
        <v/>
      </c>
      <c r="G160" s="17" t="str">
        <f>SUMIFS(Mouvements!$G:$G,Mouvements!$B:$B,A160,Mouvements!$F:$F,"Départ")</f>
        <v>0</v>
      </c>
      <c r="H160" s="17" t="str">
        <f>SUMIFS(Mouvements!$G:$G,Mouvements!$B:$B,A160,Mouvements!$F:$F,"Retour")</f>
        <v>0</v>
      </c>
      <c r="I160" s="17" t="str">
        <f>SUMIFS(Mouvements!$I:$I,Mouvements!$B:$B,A160,Mouvements!$F:$F,"Entrée stock")+SUMIFS(Mouvements!$I:$I,Mouvements!$B:$B,A160,Mouvements!$F:$F,"Correction +")+SUMIFS(Mouvements!$I:$I,Mouvements!$B:$B,A160,Mouvements!$F:$F,"Correction -")</f>
        <v>0</v>
      </c>
      <c r="J160" s="17" t="str">
        <f t="shared" si="1"/>
        <v/>
      </c>
      <c r="K160" s="19" t="str">
        <f>Articles!G160</f>
        <v/>
      </c>
      <c r="L160" s="17" t="str">
        <f t="shared" si="2"/>
        <v/>
      </c>
      <c r="M160" s="17" t="str">
        <f t="shared" si="3"/>
        <v/>
      </c>
      <c r="N160" s="18" t="str">
        <f>IF(A160="","",J160*Articles!H160)</f>
        <v/>
      </c>
    </row>
    <row r="161" ht="15.75" customHeight="1">
      <c r="A161" s="19" t="str">
        <f>Articles!A161</f>
        <v/>
      </c>
      <c r="B161" s="19" t="str">
        <f>Articles!B161</f>
        <v/>
      </c>
      <c r="C161" s="19" t="str">
        <f>Articles!C161</f>
        <v/>
      </c>
      <c r="D161" s="19" t="str">
        <f>Articles!D161</f>
        <v/>
      </c>
      <c r="E161" s="19" t="str">
        <f>Articles!E161</f>
        <v/>
      </c>
      <c r="F161" s="19" t="str">
        <f>Articles!F161</f>
        <v/>
      </c>
      <c r="G161" s="17" t="str">
        <f>SUMIFS(Mouvements!$G:$G,Mouvements!$B:$B,A161,Mouvements!$F:$F,"Départ")</f>
        <v>0</v>
      </c>
      <c r="H161" s="17" t="str">
        <f>SUMIFS(Mouvements!$G:$G,Mouvements!$B:$B,A161,Mouvements!$F:$F,"Retour")</f>
        <v>0</v>
      </c>
      <c r="I161" s="17" t="str">
        <f>SUMIFS(Mouvements!$I:$I,Mouvements!$B:$B,A161,Mouvements!$F:$F,"Entrée stock")+SUMIFS(Mouvements!$I:$I,Mouvements!$B:$B,A161,Mouvements!$F:$F,"Correction +")+SUMIFS(Mouvements!$I:$I,Mouvements!$B:$B,A161,Mouvements!$F:$F,"Correction -")</f>
        <v>0</v>
      </c>
      <c r="J161" s="17" t="str">
        <f t="shared" si="1"/>
        <v/>
      </c>
      <c r="K161" s="19" t="str">
        <f>Articles!G161</f>
        <v/>
      </c>
      <c r="L161" s="17" t="str">
        <f t="shared" si="2"/>
        <v/>
      </c>
      <c r="M161" s="17" t="str">
        <f t="shared" si="3"/>
        <v/>
      </c>
      <c r="N161" s="18" t="str">
        <f>IF(A161="","",J161*Articles!H161)</f>
        <v/>
      </c>
    </row>
    <row r="162" ht="15.75" customHeight="1">
      <c r="A162" s="19" t="str">
        <f>Articles!A162</f>
        <v/>
      </c>
      <c r="B162" s="19" t="str">
        <f>Articles!B162</f>
        <v/>
      </c>
      <c r="C162" s="19" t="str">
        <f>Articles!C162</f>
        <v/>
      </c>
      <c r="D162" s="19" t="str">
        <f>Articles!D162</f>
        <v/>
      </c>
      <c r="E162" s="19" t="str">
        <f>Articles!E162</f>
        <v/>
      </c>
      <c r="F162" s="19" t="str">
        <f>Articles!F162</f>
        <v/>
      </c>
      <c r="G162" s="17" t="str">
        <f>SUMIFS(Mouvements!$G:$G,Mouvements!$B:$B,A162,Mouvements!$F:$F,"Départ")</f>
        <v>0</v>
      </c>
      <c r="H162" s="17" t="str">
        <f>SUMIFS(Mouvements!$G:$G,Mouvements!$B:$B,A162,Mouvements!$F:$F,"Retour")</f>
        <v>0</v>
      </c>
      <c r="I162" s="17" t="str">
        <f>SUMIFS(Mouvements!$I:$I,Mouvements!$B:$B,A162,Mouvements!$F:$F,"Entrée stock")+SUMIFS(Mouvements!$I:$I,Mouvements!$B:$B,A162,Mouvements!$F:$F,"Correction +")+SUMIFS(Mouvements!$I:$I,Mouvements!$B:$B,A162,Mouvements!$F:$F,"Correction -")</f>
        <v>0</v>
      </c>
      <c r="J162" s="17" t="str">
        <f t="shared" si="1"/>
        <v/>
      </c>
      <c r="K162" s="19" t="str">
        <f>Articles!G162</f>
        <v/>
      </c>
      <c r="L162" s="17" t="str">
        <f t="shared" si="2"/>
        <v/>
      </c>
      <c r="M162" s="17" t="str">
        <f t="shared" si="3"/>
        <v/>
      </c>
      <c r="N162" s="18" t="str">
        <f>IF(A162="","",J162*Articles!H162)</f>
        <v/>
      </c>
    </row>
    <row r="163" ht="15.75" customHeight="1">
      <c r="A163" s="19" t="str">
        <f>Articles!A163</f>
        <v/>
      </c>
      <c r="B163" s="19" t="str">
        <f>Articles!B163</f>
        <v/>
      </c>
      <c r="C163" s="19" t="str">
        <f>Articles!C163</f>
        <v/>
      </c>
      <c r="D163" s="19" t="str">
        <f>Articles!D163</f>
        <v/>
      </c>
      <c r="E163" s="19" t="str">
        <f>Articles!E163</f>
        <v/>
      </c>
      <c r="F163" s="19" t="str">
        <f>Articles!F163</f>
        <v/>
      </c>
      <c r="G163" s="17" t="str">
        <f>SUMIFS(Mouvements!$G:$G,Mouvements!$B:$B,A163,Mouvements!$F:$F,"Départ")</f>
        <v>0</v>
      </c>
      <c r="H163" s="17" t="str">
        <f>SUMIFS(Mouvements!$G:$G,Mouvements!$B:$B,A163,Mouvements!$F:$F,"Retour")</f>
        <v>0</v>
      </c>
      <c r="I163" s="17" t="str">
        <f>SUMIFS(Mouvements!$I:$I,Mouvements!$B:$B,A163,Mouvements!$F:$F,"Entrée stock")+SUMIFS(Mouvements!$I:$I,Mouvements!$B:$B,A163,Mouvements!$F:$F,"Correction +")+SUMIFS(Mouvements!$I:$I,Mouvements!$B:$B,A163,Mouvements!$F:$F,"Correction -")</f>
        <v>0</v>
      </c>
      <c r="J163" s="17" t="str">
        <f t="shared" si="1"/>
        <v/>
      </c>
      <c r="K163" s="19" t="str">
        <f>Articles!G163</f>
        <v/>
      </c>
      <c r="L163" s="17" t="str">
        <f t="shared" si="2"/>
        <v/>
      </c>
      <c r="M163" s="17" t="str">
        <f t="shared" si="3"/>
        <v/>
      </c>
      <c r="N163" s="18" t="str">
        <f>IF(A163="","",J163*Articles!H163)</f>
        <v/>
      </c>
    </row>
    <row r="164" ht="15.75" customHeight="1">
      <c r="A164" s="19" t="str">
        <f>Articles!A164</f>
        <v/>
      </c>
      <c r="B164" s="19" t="str">
        <f>Articles!B164</f>
        <v/>
      </c>
      <c r="C164" s="19" t="str">
        <f>Articles!C164</f>
        <v/>
      </c>
      <c r="D164" s="19" t="str">
        <f>Articles!D164</f>
        <v/>
      </c>
      <c r="E164" s="19" t="str">
        <f>Articles!E164</f>
        <v/>
      </c>
      <c r="F164" s="19" t="str">
        <f>Articles!F164</f>
        <v/>
      </c>
      <c r="G164" s="17" t="str">
        <f>SUMIFS(Mouvements!$G:$G,Mouvements!$B:$B,A164,Mouvements!$F:$F,"Départ")</f>
        <v>0</v>
      </c>
      <c r="H164" s="17" t="str">
        <f>SUMIFS(Mouvements!$G:$G,Mouvements!$B:$B,A164,Mouvements!$F:$F,"Retour")</f>
        <v>0</v>
      </c>
      <c r="I164" s="17" t="str">
        <f>SUMIFS(Mouvements!$I:$I,Mouvements!$B:$B,A164,Mouvements!$F:$F,"Entrée stock")+SUMIFS(Mouvements!$I:$I,Mouvements!$B:$B,A164,Mouvements!$F:$F,"Correction +")+SUMIFS(Mouvements!$I:$I,Mouvements!$B:$B,A164,Mouvements!$F:$F,"Correction -")</f>
        <v>0</v>
      </c>
      <c r="J164" s="17" t="str">
        <f t="shared" si="1"/>
        <v/>
      </c>
      <c r="K164" s="19" t="str">
        <f>Articles!G164</f>
        <v/>
      </c>
      <c r="L164" s="17" t="str">
        <f t="shared" si="2"/>
        <v/>
      </c>
      <c r="M164" s="17" t="str">
        <f t="shared" si="3"/>
        <v/>
      </c>
      <c r="N164" s="18" t="str">
        <f>IF(A164="","",J164*Articles!H164)</f>
        <v/>
      </c>
    </row>
    <row r="165" ht="15.75" customHeight="1">
      <c r="A165" s="19" t="str">
        <f>Articles!A165</f>
        <v/>
      </c>
      <c r="B165" s="19" t="str">
        <f>Articles!B165</f>
        <v/>
      </c>
      <c r="C165" s="19" t="str">
        <f>Articles!C165</f>
        <v/>
      </c>
      <c r="D165" s="19" t="str">
        <f>Articles!D165</f>
        <v/>
      </c>
      <c r="E165" s="19" t="str">
        <f>Articles!E165</f>
        <v/>
      </c>
      <c r="F165" s="19" t="str">
        <f>Articles!F165</f>
        <v/>
      </c>
      <c r="G165" s="17" t="str">
        <f>SUMIFS(Mouvements!$G:$G,Mouvements!$B:$B,A165,Mouvements!$F:$F,"Départ")</f>
        <v>0</v>
      </c>
      <c r="H165" s="17" t="str">
        <f>SUMIFS(Mouvements!$G:$G,Mouvements!$B:$B,A165,Mouvements!$F:$F,"Retour")</f>
        <v>0</v>
      </c>
      <c r="I165" s="17" t="str">
        <f>SUMIFS(Mouvements!$I:$I,Mouvements!$B:$B,A165,Mouvements!$F:$F,"Entrée stock")+SUMIFS(Mouvements!$I:$I,Mouvements!$B:$B,A165,Mouvements!$F:$F,"Correction +")+SUMIFS(Mouvements!$I:$I,Mouvements!$B:$B,A165,Mouvements!$F:$F,"Correction -")</f>
        <v>0</v>
      </c>
      <c r="J165" s="17" t="str">
        <f t="shared" si="1"/>
        <v/>
      </c>
      <c r="K165" s="19" t="str">
        <f>Articles!G165</f>
        <v/>
      </c>
      <c r="L165" s="17" t="str">
        <f t="shared" si="2"/>
        <v/>
      </c>
      <c r="M165" s="17" t="str">
        <f t="shared" si="3"/>
        <v/>
      </c>
      <c r="N165" s="18" t="str">
        <f>IF(A165="","",J165*Articles!H165)</f>
        <v/>
      </c>
    </row>
    <row r="166" ht="15.75" customHeight="1">
      <c r="A166" s="19" t="str">
        <f>Articles!A166</f>
        <v/>
      </c>
      <c r="B166" s="19" t="str">
        <f>Articles!B166</f>
        <v/>
      </c>
      <c r="C166" s="19" t="str">
        <f>Articles!C166</f>
        <v/>
      </c>
      <c r="D166" s="19" t="str">
        <f>Articles!D166</f>
        <v/>
      </c>
      <c r="E166" s="19" t="str">
        <f>Articles!E166</f>
        <v/>
      </c>
      <c r="F166" s="19" t="str">
        <f>Articles!F166</f>
        <v/>
      </c>
      <c r="G166" s="17" t="str">
        <f>SUMIFS(Mouvements!$G:$G,Mouvements!$B:$B,A166,Mouvements!$F:$F,"Départ")</f>
        <v>0</v>
      </c>
      <c r="H166" s="17" t="str">
        <f>SUMIFS(Mouvements!$G:$G,Mouvements!$B:$B,A166,Mouvements!$F:$F,"Retour")</f>
        <v>0</v>
      </c>
      <c r="I166" s="17" t="str">
        <f>SUMIFS(Mouvements!$I:$I,Mouvements!$B:$B,A166,Mouvements!$F:$F,"Entrée stock")+SUMIFS(Mouvements!$I:$I,Mouvements!$B:$B,A166,Mouvements!$F:$F,"Correction +")+SUMIFS(Mouvements!$I:$I,Mouvements!$B:$B,A166,Mouvements!$F:$F,"Correction -")</f>
        <v>0</v>
      </c>
      <c r="J166" s="17" t="str">
        <f t="shared" si="1"/>
        <v/>
      </c>
      <c r="K166" s="19" t="str">
        <f>Articles!G166</f>
        <v/>
      </c>
      <c r="L166" s="17" t="str">
        <f t="shared" si="2"/>
        <v/>
      </c>
      <c r="M166" s="17" t="str">
        <f t="shared" si="3"/>
        <v/>
      </c>
      <c r="N166" s="18" t="str">
        <f>IF(A166="","",J166*Articles!H166)</f>
        <v/>
      </c>
    </row>
    <row r="167" ht="15.75" customHeight="1">
      <c r="A167" s="19" t="str">
        <f>Articles!A167</f>
        <v/>
      </c>
      <c r="B167" s="19" t="str">
        <f>Articles!B167</f>
        <v/>
      </c>
      <c r="C167" s="19" t="str">
        <f>Articles!C167</f>
        <v/>
      </c>
      <c r="D167" s="19" t="str">
        <f>Articles!D167</f>
        <v/>
      </c>
      <c r="E167" s="19" t="str">
        <f>Articles!E167</f>
        <v/>
      </c>
      <c r="F167" s="19" t="str">
        <f>Articles!F167</f>
        <v/>
      </c>
      <c r="G167" s="17" t="str">
        <f>SUMIFS(Mouvements!$G:$G,Mouvements!$B:$B,A167,Mouvements!$F:$F,"Départ")</f>
        <v>0</v>
      </c>
      <c r="H167" s="17" t="str">
        <f>SUMIFS(Mouvements!$G:$G,Mouvements!$B:$B,A167,Mouvements!$F:$F,"Retour")</f>
        <v>0</v>
      </c>
      <c r="I167" s="17" t="str">
        <f>SUMIFS(Mouvements!$I:$I,Mouvements!$B:$B,A167,Mouvements!$F:$F,"Entrée stock")+SUMIFS(Mouvements!$I:$I,Mouvements!$B:$B,A167,Mouvements!$F:$F,"Correction +")+SUMIFS(Mouvements!$I:$I,Mouvements!$B:$B,A167,Mouvements!$F:$F,"Correction -")</f>
        <v>0</v>
      </c>
      <c r="J167" s="17" t="str">
        <f t="shared" si="1"/>
        <v/>
      </c>
      <c r="K167" s="19" t="str">
        <f>Articles!G167</f>
        <v/>
      </c>
      <c r="L167" s="17" t="str">
        <f t="shared" si="2"/>
        <v/>
      </c>
      <c r="M167" s="17" t="str">
        <f t="shared" si="3"/>
        <v/>
      </c>
      <c r="N167" s="18" t="str">
        <f>IF(A167="","",J167*Articles!H167)</f>
        <v/>
      </c>
    </row>
    <row r="168" ht="15.75" customHeight="1">
      <c r="A168" s="19" t="str">
        <f>Articles!A168</f>
        <v/>
      </c>
      <c r="B168" s="19" t="str">
        <f>Articles!B168</f>
        <v/>
      </c>
      <c r="C168" s="19" t="str">
        <f>Articles!C168</f>
        <v/>
      </c>
      <c r="D168" s="19" t="str">
        <f>Articles!D168</f>
        <v/>
      </c>
      <c r="E168" s="19" t="str">
        <f>Articles!E168</f>
        <v/>
      </c>
      <c r="F168" s="19" t="str">
        <f>Articles!F168</f>
        <v/>
      </c>
      <c r="G168" s="17" t="str">
        <f>SUMIFS(Mouvements!$G:$G,Mouvements!$B:$B,A168,Mouvements!$F:$F,"Départ")</f>
        <v>0</v>
      </c>
      <c r="H168" s="17" t="str">
        <f>SUMIFS(Mouvements!$G:$G,Mouvements!$B:$B,A168,Mouvements!$F:$F,"Retour")</f>
        <v>0</v>
      </c>
      <c r="I168" s="17" t="str">
        <f>SUMIFS(Mouvements!$I:$I,Mouvements!$B:$B,A168,Mouvements!$F:$F,"Entrée stock")+SUMIFS(Mouvements!$I:$I,Mouvements!$B:$B,A168,Mouvements!$F:$F,"Correction +")+SUMIFS(Mouvements!$I:$I,Mouvements!$B:$B,A168,Mouvements!$F:$F,"Correction -")</f>
        <v>0</v>
      </c>
      <c r="J168" s="17" t="str">
        <f t="shared" si="1"/>
        <v/>
      </c>
      <c r="K168" s="19" t="str">
        <f>Articles!G168</f>
        <v/>
      </c>
      <c r="L168" s="17" t="str">
        <f t="shared" si="2"/>
        <v/>
      </c>
      <c r="M168" s="17" t="str">
        <f t="shared" si="3"/>
        <v/>
      </c>
      <c r="N168" s="18" t="str">
        <f>IF(A168="","",J168*Articles!H168)</f>
        <v/>
      </c>
    </row>
    <row r="169" ht="15.75" customHeight="1">
      <c r="A169" s="19" t="str">
        <f>Articles!A169</f>
        <v/>
      </c>
      <c r="B169" s="19" t="str">
        <f>Articles!B169</f>
        <v/>
      </c>
      <c r="C169" s="19" t="str">
        <f>Articles!C169</f>
        <v/>
      </c>
      <c r="D169" s="19" t="str">
        <f>Articles!D169</f>
        <v/>
      </c>
      <c r="E169" s="19" t="str">
        <f>Articles!E169</f>
        <v/>
      </c>
      <c r="F169" s="19" t="str">
        <f>Articles!F169</f>
        <v/>
      </c>
      <c r="G169" s="17" t="str">
        <f>SUMIFS(Mouvements!$G:$G,Mouvements!$B:$B,A169,Mouvements!$F:$F,"Départ")</f>
        <v>0</v>
      </c>
      <c r="H169" s="17" t="str">
        <f>SUMIFS(Mouvements!$G:$G,Mouvements!$B:$B,A169,Mouvements!$F:$F,"Retour")</f>
        <v>0</v>
      </c>
      <c r="I169" s="17" t="str">
        <f>SUMIFS(Mouvements!$I:$I,Mouvements!$B:$B,A169,Mouvements!$F:$F,"Entrée stock")+SUMIFS(Mouvements!$I:$I,Mouvements!$B:$B,A169,Mouvements!$F:$F,"Correction +")+SUMIFS(Mouvements!$I:$I,Mouvements!$B:$B,A169,Mouvements!$F:$F,"Correction -")</f>
        <v>0</v>
      </c>
      <c r="J169" s="17" t="str">
        <f t="shared" si="1"/>
        <v/>
      </c>
      <c r="K169" s="19" t="str">
        <f>Articles!G169</f>
        <v/>
      </c>
      <c r="L169" s="17" t="str">
        <f t="shared" si="2"/>
        <v/>
      </c>
      <c r="M169" s="17" t="str">
        <f t="shared" si="3"/>
        <v/>
      </c>
      <c r="N169" s="18" t="str">
        <f>IF(A169="","",J169*Articles!H169)</f>
        <v/>
      </c>
    </row>
    <row r="170" ht="15.75" customHeight="1">
      <c r="A170" s="19" t="str">
        <f>Articles!A170</f>
        <v/>
      </c>
      <c r="B170" s="19" t="str">
        <f>Articles!B170</f>
        <v/>
      </c>
      <c r="C170" s="19" t="str">
        <f>Articles!C170</f>
        <v/>
      </c>
      <c r="D170" s="19" t="str">
        <f>Articles!D170</f>
        <v/>
      </c>
      <c r="E170" s="19" t="str">
        <f>Articles!E170</f>
        <v/>
      </c>
      <c r="F170" s="19" t="str">
        <f>Articles!F170</f>
        <v/>
      </c>
      <c r="G170" s="17" t="str">
        <f>SUMIFS(Mouvements!$G:$G,Mouvements!$B:$B,A170,Mouvements!$F:$F,"Départ")</f>
        <v>0</v>
      </c>
      <c r="H170" s="17" t="str">
        <f>SUMIFS(Mouvements!$G:$G,Mouvements!$B:$B,A170,Mouvements!$F:$F,"Retour")</f>
        <v>0</v>
      </c>
      <c r="I170" s="17" t="str">
        <f>SUMIFS(Mouvements!$I:$I,Mouvements!$B:$B,A170,Mouvements!$F:$F,"Entrée stock")+SUMIFS(Mouvements!$I:$I,Mouvements!$B:$B,A170,Mouvements!$F:$F,"Correction +")+SUMIFS(Mouvements!$I:$I,Mouvements!$B:$B,A170,Mouvements!$F:$F,"Correction -")</f>
        <v>0</v>
      </c>
      <c r="J170" s="17" t="str">
        <f t="shared" si="1"/>
        <v/>
      </c>
      <c r="K170" s="19" t="str">
        <f>Articles!G170</f>
        <v/>
      </c>
      <c r="L170" s="17" t="str">
        <f t="shared" si="2"/>
        <v/>
      </c>
      <c r="M170" s="17" t="str">
        <f t="shared" si="3"/>
        <v/>
      </c>
      <c r="N170" s="18" t="str">
        <f>IF(A170="","",J170*Articles!H170)</f>
        <v/>
      </c>
    </row>
    <row r="171" ht="15.75" customHeight="1">
      <c r="A171" s="19" t="str">
        <f>Articles!A171</f>
        <v/>
      </c>
      <c r="B171" s="19" t="str">
        <f>Articles!B171</f>
        <v/>
      </c>
      <c r="C171" s="19" t="str">
        <f>Articles!C171</f>
        <v/>
      </c>
      <c r="D171" s="19" t="str">
        <f>Articles!D171</f>
        <v/>
      </c>
      <c r="E171" s="19" t="str">
        <f>Articles!E171</f>
        <v/>
      </c>
      <c r="F171" s="19" t="str">
        <f>Articles!F171</f>
        <v/>
      </c>
      <c r="G171" s="17" t="str">
        <f>SUMIFS(Mouvements!$G:$G,Mouvements!$B:$B,A171,Mouvements!$F:$F,"Départ")</f>
        <v>0</v>
      </c>
      <c r="H171" s="17" t="str">
        <f>SUMIFS(Mouvements!$G:$G,Mouvements!$B:$B,A171,Mouvements!$F:$F,"Retour")</f>
        <v>0</v>
      </c>
      <c r="I171" s="17" t="str">
        <f>SUMIFS(Mouvements!$I:$I,Mouvements!$B:$B,A171,Mouvements!$F:$F,"Entrée stock")+SUMIFS(Mouvements!$I:$I,Mouvements!$B:$B,A171,Mouvements!$F:$F,"Correction +")+SUMIFS(Mouvements!$I:$I,Mouvements!$B:$B,A171,Mouvements!$F:$F,"Correction -")</f>
        <v>0</v>
      </c>
      <c r="J171" s="17" t="str">
        <f t="shared" si="1"/>
        <v/>
      </c>
      <c r="K171" s="19" t="str">
        <f>Articles!G171</f>
        <v/>
      </c>
      <c r="L171" s="17" t="str">
        <f t="shared" si="2"/>
        <v/>
      </c>
      <c r="M171" s="17" t="str">
        <f t="shared" si="3"/>
        <v/>
      </c>
      <c r="N171" s="18" t="str">
        <f>IF(A171="","",J171*Articles!H171)</f>
        <v/>
      </c>
    </row>
    <row r="172" ht="15.75" customHeight="1">
      <c r="A172" s="19" t="str">
        <f>Articles!A172</f>
        <v/>
      </c>
      <c r="B172" s="19" t="str">
        <f>Articles!B172</f>
        <v/>
      </c>
      <c r="C172" s="19" t="str">
        <f>Articles!C172</f>
        <v/>
      </c>
      <c r="D172" s="19" t="str">
        <f>Articles!D172</f>
        <v/>
      </c>
      <c r="E172" s="19" t="str">
        <f>Articles!E172</f>
        <v/>
      </c>
      <c r="F172" s="19" t="str">
        <f>Articles!F172</f>
        <v/>
      </c>
      <c r="G172" s="17" t="str">
        <f>SUMIFS(Mouvements!$G:$G,Mouvements!$B:$B,A172,Mouvements!$F:$F,"Départ")</f>
        <v>0</v>
      </c>
      <c r="H172" s="17" t="str">
        <f>SUMIFS(Mouvements!$G:$G,Mouvements!$B:$B,A172,Mouvements!$F:$F,"Retour")</f>
        <v>0</v>
      </c>
      <c r="I172" s="17" t="str">
        <f>SUMIFS(Mouvements!$I:$I,Mouvements!$B:$B,A172,Mouvements!$F:$F,"Entrée stock")+SUMIFS(Mouvements!$I:$I,Mouvements!$B:$B,A172,Mouvements!$F:$F,"Correction +")+SUMIFS(Mouvements!$I:$I,Mouvements!$B:$B,A172,Mouvements!$F:$F,"Correction -")</f>
        <v>0</v>
      </c>
      <c r="J172" s="17" t="str">
        <f t="shared" si="1"/>
        <v/>
      </c>
      <c r="K172" s="19" t="str">
        <f>Articles!G172</f>
        <v/>
      </c>
      <c r="L172" s="17" t="str">
        <f t="shared" si="2"/>
        <v/>
      </c>
      <c r="M172" s="17" t="str">
        <f t="shared" si="3"/>
        <v/>
      </c>
      <c r="N172" s="18" t="str">
        <f>IF(A172="","",J172*Articles!H172)</f>
        <v/>
      </c>
    </row>
    <row r="173" ht="15.75" customHeight="1">
      <c r="A173" s="19" t="str">
        <f>Articles!A173</f>
        <v/>
      </c>
      <c r="B173" s="19" t="str">
        <f>Articles!B173</f>
        <v/>
      </c>
      <c r="C173" s="19" t="str">
        <f>Articles!C173</f>
        <v/>
      </c>
      <c r="D173" s="19" t="str">
        <f>Articles!D173</f>
        <v/>
      </c>
      <c r="E173" s="19" t="str">
        <f>Articles!E173</f>
        <v/>
      </c>
      <c r="F173" s="19" t="str">
        <f>Articles!F173</f>
        <v/>
      </c>
      <c r="G173" s="17" t="str">
        <f>SUMIFS(Mouvements!$G:$G,Mouvements!$B:$B,A173,Mouvements!$F:$F,"Départ")</f>
        <v>0</v>
      </c>
      <c r="H173" s="17" t="str">
        <f>SUMIFS(Mouvements!$G:$G,Mouvements!$B:$B,A173,Mouvements!$F:$F,"Retour")</f>
        <v>0</v>
      </c>
      <c r="I173" s="17" t="str">
        <f>SUMIFS(Mouvements!$I:$I,Mouvements!$B:$B,A173,Mouvements!$F:$F,"Entrée stock")+SUMIFS(Mouvements!$I:$I,Mouvements!$B:$B,A173,Mouvements!$F:$F,"Correction +")+SUMIFS(Mouvements!$I:$I,Mouvements!$B:$B,A173,Mouvements!$F:$F,"Correction -")</f>
        <v>0</v>
      </c>
      <c r="J173" s="17" t="str">
        <f t="shared" si="1"/>
        <v/>
      </c>
      <c r="K173" s="19" t="str">
        <f>Articles!G173</f>
        <v/>
      </c>
      <c r="L173" s="17" t="str">
        <f t="shared" si="2"/>
        <v/>
      </c>
      <c r="M173" s="17" t="str">
        <f t="shared" si="3"/>
        <v/>
      </c>
      <c r="N173" s="18" t="str">
        <f>IF(A173="","",J173*Articles!H173)</f>
        <v/>
      </c>
    </row>
    <row r="174" ht="15.75" customHeight="1">
      <c r="A174" s="19" t="str">
        <f>Articles!A174</f>
        <v/>
      </c>
      <c r="B174" s="19" t="str">
        <f>Articles!B174</f>
        <v/>
      </c>
      <c r="C174" s="19" t="str">
        <f>Articles!C174</f>
        <v/>
      </c>
      <c r="D174" s="19" t="str">
        <f>Articles!D174</f>
        <v/>
      </c>
      <c r="E174" s="19" t="str">
        <f>Articles!E174</f>
        <v/>
      </c>
      <c r="F174" s="19" t="str">
        <f>Articles!F174</f>
        <v/>
      </c>
      <c r="G174" s="17" t="str">
        <f>SUMIFS(Mouvements!$G:$G,Mouvements!$B:$B,A174,Mouvements!$F:$F,"Départ")</f>
        <v>0</v>
      </c>
      <c r="H174" s="17" t="str">
        <f>SUMIFS(Mouvements!$G:$G,Mouvements!$B:$B,A174,Mouvements!$F:$F,"Retour")</f>
        <v>0</v>
      </c>
      <c r="I174" s="17" t="str">
        <f>SUMIFS(Mouvements!$I:$I,Mouvements!$B:$B,A174,Mouvements!$F:$F,"Entrée stock")+SUMIFS(Mouvements!$I:$I,Mouvements!$B:$B,A174,Mouvements!$F:$F,"Correction +")+SUMIFS(Mouvements!$I:$I,Mouvements!$B:$B,A174,Mouvements!$F:$F,"Correction -")</f>
        <v>0</v>
      </c>
      <c r="J174" s="17" t="str">
        <f t="shared" si="1"/>
        <v/>
      </c>
      <c r="K174" s="19" t="str">
        <f>Articles!G174</f>
        <v/>
      </c>
      <c r="L174" s="17" t="str">
        <f t="shared" si="2"/>
        <v/>
      </c>
      <c r="M174" s="17" t="str">
        <f t="shared" si="3"/>
        <v/>
      </c>
      <c r="N174" s="18" t="str">
        <f>IF(A174="","",J174*Articles!H174)</f>
        <v/>
      </c>
    </row>
    <row r="175" ht="15.75" customHeight="1">
      <c r="A175" s="19" t="str">
        <f>Articles!A175</f>
        <v/>
      </c>
      <c r="B175" s="19" t="str">
        <f>Articles!B175</f>
        <v/>
      </c>
      <c r="C175" s="19" t="str">
        <f>Articles!C175</f>
        <v/>
      </c>
      <c r="D175" s="19" t="str">
        <f>Articles!D175</f>
        <v/>
      </c>
      <c r="E175" s="19" t="str">
        <f>Articles!E175</f>
        <v/>
      </c>
      <c r="F175" s="19" t="str">
        <f>Articles!F175</f>
        <v/>
      </c>
      <c r="G175" s="17" t="str">
        <f>SUMIFS(Mouvements!$G:$G,Mouvements!$B:$B,A175,Mouvements!$F:$F,"Départ")</f>
        <v>0</v>
      </c>
      <c r="H175" s="17" t="str">
        <f>SUMIFS(Mouvements!$G:$G,Mouvements!$B:$B,A175,Mouvements!$F:$F,"Retour")</f>
        <v>0</v>
      </c>
      <c r="I175" s="17" t="str">
        <f>SUMIFS(Mouvements!$I:$I,Mouvements!$B:$B,A175,Mouvements!$F:$F,"Entrée stock")+SUMIFS(Mouvements!$I:$I,Mouvements!$B:$B,A175,Mouvements!$F:$F,"Correction +")+SUMIFS(Mouvements!$I:$I,Mouvements!$B:$B,A175,Mouvements!$F:$F,"Correction -")</f>
        <v>0</v>
      </c>
      <c r="J175" s="17" t="str">
        <f t="shared" si="1"/>
        <v/>
      </c>
      <c r="K175" s="19" t="str">
        <f>Articles!G175</f>
        <v/>
      </c>
      <c r="L175" s="17" t="str">
        <f t="shared" si="2"/>
        <v/>
      </c>
      <c r="M175" s="17" t="str">
        <f t="shared" si="3"/>
        <v/>
      </c>
      <c r="N175" s="18" t="str">
        <f>IF(A175="","",J175*Articles!H175)</f>
        <v/>
      </c>
    </row>
    <row r="176" ht="15.75" customHeight="1">
      <c r="A176" s="19" t="str">
        <f>Articles!A176</f>
        <v/>
      </c>
      <c r="B176" s="19" t="str">
        <f>Articles!B176</f>
        <v/>
      </c>
      <c r="C176" s="19" t="str">
        <f>Articles!C176</f>
        <v/>
      </c>
      <c r="D176" s="19" t="str">
        <f>Articles!D176</f>
        <v/>
      </c>
      <c r="E176" s="19" t="str">
        <f>Articles!E176</f>
        <v/>
      </c>
      <c r="F176" s="19" t="str">
        <f>Articles!F176</f>
        <v/>
      </c>
      <c r="G176" s="17" t="str">
        <f>SUMIFS(Mouvements!$G:$G,Mouvements!$B:$B,A176,Mouvements!$F:$F,"Départ")</f>
        <v>0</v>
      </c>
      <c r="H176" s="17" t="str">
        <f>SUMIFS(Mouvements!$G:$G,Mouvements!$B:$B,A176,Mouvements!$F:$F,"Retour")</f>
        <v>0</v>
      </c>
      <c r="I176" s="17" t="str">
        <f>SUMIFS(Mouvements!$I:$I,Mouvements!$B:$B,A176,Mouvements!$F:$F,"Entrée stock")+SUMIFS(Mouvements!$I:$I,Mouvements!$B:$B,A176,Mouvements!$F:$F,"Correction +")+SUMIFS(Mouvements!$I:$I,Mouvements!$B:$B,A176,Mouvements!$F:$F,"Correction -")</f>
        <v>0</v>
      </c>
      <c r="J176" s="17" t="str">
        <f t="shared" si="1"/>
        <v/>
      </c>
      <c r="K176" s="19" t="str">
        <f>Articles!G176</f>
        <v/>
      </c>
      <c r="L176" s="17" t="str">
        <f t="shared" si="2"/>
        <v/>
      </c>
      <c r="M176" s="17" t="str">
        <f t="shared" si="3"/>
        <v/>
      </c>
      <c r="N176" s="18" t="str">
        <f>IF(A176="","",J176*Articles!H176)</f>
        <v/>
      </c>
    </row>
    <row r="177" ht="15.75" customHeight="1">
      <c r="A177" s="19" t="str">
        <f>Articles!A177</f>
        <v/>
      </c>
      <c r="B177" s="19" t="str">
        <f>Articles!B177</f>
        <v/>
      </c>
      <c r="C177" s="19" t="str">
        <f>Articles!C177</f>
        <v/>
      </c>
      <c r="D177" s="19" t="str">
        <f>Articles!D177</f>
        <v/>
      </c>
      <c r="E177" s="19" t="str">
        <f>Articles!E177</f>
        <v/>
      </c>
      <c r="F177" s="19" t="str">
        <f>Articles!F177</f>
        <v/>
      </c>
      <c r="G177" s="17" t="str">
        <f>SUMIFS(Mouvements!$G:$G,Mouvements!$B:$B,A177,Mouvements!$F:$F,"Départ")</f>
        <v>0</v>
      </c>
      <c r="H177" s="17" t="str">
        <f>SUMIFS(Mouvements!$G:$G,Mouvements!$B:$B,A177,Mouvements!$F:$F,"Retour")</f>
        <v>0</v>
      </c>
      <c r="I177" s="17" t="str">
        <f>SUMIFS(Mouvements!$I:$I,Mouvements!$B:$B,A177,Mouvements!$F:$F,"Entrée stock")+SUMIFS(Mouvements!$I:$I,Mouvements!$B:$B,A177,Mouvements!$F:$F,"Correction +")+SUMIFS(Mouvements!$I:$I,Mouvements!$B:$B,A177,Mouvements!$F:$F,"Correction -")</f>
        <v>0</v>
      </c>
      <c r="J177" s="17" t="str">
        <f t="shared" si="1"/>
        <v/>
      </c>
      <c r="K177" s="19" t="str">
        <f>Articles!G177</f>
        <v/>
      </c>
      <c r="L177" s="17" t="str">
        <f t="shared" si="2"/>
        <v/>
      </c>
      <c r="M177" s="17" t="str">
        <f t="shared" si="3"/>
        <v/>
      </c>
      <c r="N177" s="18" t="str">
        <f>IF(A177="","",J177*Articles!H177)</f>
        <v/>
      </c>
    </row>
    <row r="178" ht="15.75" customHeight="1">
      <c r="A178" s="19" t="str">
        <f>Articles!A178</f>
        <v/>
      </c>
      <c r="B178" s="19" t="str">
        <f>Articles!B178</f>
        <v/>
      </c>
      <c r="C178" s="19" t="str">
        <f>Articles!C178</f>
        <v/>
      </c>
      <c r="D178" s="19" t="str">
        <f>Articles!D178</f>
        <v/>
      </c>
      <c r="E178" s="19" t="str">
        <f>Articles!E178</f>
        <v/>
      </c>
      <c r="F178" s="19" t="str">
        <f>Articles!F178</f>
        <v/>
      </c>
      <c r="G178" s="17" t="str">
        <f>SUMIFS(Mouvements!$G:$G,Mouvements!$B:$B,A178,Mouvements!$F:$F,"Départ")</f>
        <v>0</v>
      </c>
      <c r="H178" s="17" t="str">
        <f>SUMIFS(Mouvements!$G:$G,Mouvements!$B:$B,A178,Mouvements!$F:$F,"Retour")</f>
        <v>0</v>
      </c>
      <c r="I178" s="17" t="str">
        <f>SUMIFS(Mouvements!$I:$I,Mouvements!$B:$B,A178,Mouvements!$F:$F,"Entrée stock")+SUMIFS(Mouvements!$I:$I,Mouvements!$B:$B,A178,Mouvements!$F:$F,"Correction +")+SUMIFS(Mouvements!$I:$I,Mouvements!$B:$B,A178,Mouvements!$F:$F,"Correction -")</f>
        <v>0</v>
      </c>
      <c r="J178" s="17" t="str">
        <f t="shared" si="1"/>
        <v/>
      </c>
      <c r="K178" s="19" t="str">
        <f>Articles!G178</f>
        <v/>
      </c>
      <c r="L178" s="17" t="str">
        <f t="shared" si="2"/>
        <v/>
      </c>
      <c r="M178" s="17" t="str">
        <f t="shared" si="3"/>
        <v/>
      </c>
      <c r="N178" s="18" t="str">
        <f>IF(A178="","",J178*Articles!H178)</f>
        <v/>
      </c>
    </row>
    <row r="179" ht="15.75" customHeight="1">
      <c r="A179" s="19" t="str">
        <f>Articles!A179</f>
        <v/>
      </c>
      <c r="B179" s="19" t="str">
        <f>Articles!B179</f>
        <v/>
      </c>
      <c r="C179" s="19" t="str">
        <f>Articles!C179</f>
        <v/>
      </c>
      <c r="D179" s="19" t="str">
        <f>Articles!D179</f>
        <v/>
      </c>
      <c r="E179" s="19" t="str">
        <f>Articles!E179</f>
        <v/>
      </c>
      <c r="F179" s="19" t="str">
        <f>Articles!F179</f>
        <v/>
      </c>
      <c r="G179" s="17" t="str">
        <f>SUMIFS(Mouvements!$G:$G,Mouvements!$B:$B,A179,Mouvements!$F:$F,"Départ")</f>
        <v>0</v>
      </c>
      <c r="H179" s="17" t="str">
        <f>SUMIFS(Mouvements!$G:$G,Mouvements!$B:$B,A179,Mouvements!$F:$F,"Retour")</f>
        <v>0</v>
      </c>
      <c r="I179" s="17" t="str">
        <f>SUMIFS(Mouvements!$I:$I,Mouvements!$B:$B,A179,Mouvements!$F:$F,"Entrée stock")+SUMIFS(Mouvements!$I:$I,Mouvements!$B:$B,A179,Mouvements!$F:$F,"Correction +")+SUMIFS(Mouvements!$I:$I,Mouvements!$B:$B,A179,Mouvements!$F:$F,"Correction -")</f>
        <v>0</v>
      </c>
      <c r="J179" s="17" t="str">
        <f t="shared" si="1"/>
        <v/>
      </c>
      <c r="K179" s="19" t="str">
        <f>Articles!G179</f>
        <v/>
      </c>
      <c r="L179" s="17" t="str">
        <f t="shared" si="2"/>
        <v/>
      </c>
      <c r="M179" s="17" t="str">
        <f t="shared" si="3"/>
        <v/>
      </c>
      <c r="N179" s="18" t="str">
        <f>IF(A179="","",J179*Articles!H179)</f>
        <v/>
      </c>
    </row>
    <row r="180" ht="15.75" customHeight="1">
      <c r="A180" s="19" t="str">
        <f>Articles!A180</f>
        <v/>
      </c>
      <c r="B180" s="19" t="str">
        <f>Articles!B180</f>
        <v/>
      </c>
      <c r="C180" s="19" t="str">
        <f>Articles!C180</f>
        <v/>
      </c>
      <c r="D180" s="19" t="str">
        <f>Articles!D180</f>
        <v/>
      </c>
      <c r="E180" s="19" t="str">
        <f>Articles!E180</f>
        <v/>
      </c>
      <c r="F180" s="19" t="str">
        <f>Articles!F180</f>
        <v/>
      </c>
      <c r="G180" s="17" t="str">
        <f>SUMIFS(Mouvements!$G:$G,Mouvements!$B:$B,A180,Mouvements!$F:$F,"Départ")</f>
        <v>0</v>
      </c>
      <c r="H180" s="17" t="str">
        <f>SUMIFS(Mouvements!$G:$G,Mouvements!$B:$B,A180,Mouvements!$F:$F,"Retour")</f>
        <v>0</v>
      </c>
      <c r="I180" s="17" t="str">
        <f>SUMIFS(Mouvements!$I:$I,Mouvements!$B:$B,A180,Mouvements!$F:$F,"Entrée stock")+SUMIFS(Mouvements!$I:$I,Mouvements!$B:$B,A180,Mouvements!$F:$F,"Correction +")+SUMIFS(Mouvements!$I:$I,Mouvements!$B:$B,A180,Mouvements!$F:$F,"Correction -")</f>
        <v>0</v>
      </c>
      <c r="J180" s="17" t="str">
        <f t="shared" si="1"/>
        <v/>
      </c>
      <c r="K180" s="19" t="str">
        <f>Articles!G180</f>
        <v/>
      </c>
      <c r="L180" s="17" t="str">
        <f t="shared" si="2"/>
        <v/>
      </c>
      <c r="M180" s="17" t="str">
        <f t="shared" si="3"/>
        <v/>
      </c>
      <c r="N180" s="18" t="str">
        <f>IF(A180="","",J180*Articles!H180)</f>
        <v/>
      </c>
    </row>
    <row r="181" ht="15.75" customHeight="1">
      <c r="A181" s="19" t="str">
        <f>Articles!A181</f>
        <v/>
      </c>
      <c r="B181" s="19" t="str">
        <f>Articles!B181</f>
        <v/>
      </c>
      <c r="C181" s="19" t="str">
        <f>Articles!C181</f>
        <v/>
      </c>
      <c r="D181" s="19" t="str">
        <f>Articles!D181</f>
        <v/>
      </c>
      <c r="E181" s="19" t="str">
        <f>Articles!E181</f>
        <v/>
      </c>
      <c r="F181" s="19" t="str">
        <f>Articles!F181</f>
        <v/>
      </c>
      <c r="G181" s="17" t="str">
        <f>SUMIFS(Mouvements!$G:$G,Mouvements!$B:$B,A181,Mouvements!$F:$F,"Départ")</f>
        <v>0</v>
      </c>
      <c r="H181" s="17" t="str">
        <f>SUMIFS(Mouvements!$G:$G,Mouvements!$B:$B,A181,Mouvements!$F:$F,"Retour")</f>
        <v>0</v>
      </c>
      <c r="I181" s="17" t="str">
        <f>SUMIFS(Mouvements!$I:$I,Mouvements!$B:$B,A181,Mouvements!$F:$F,"Entrée stock")+SUMIFS(Mouvements!$I:$I,Mouvements!$B:$B,A181,Mouvements!$F:$F,"Correction +")+SUMIFS(Mouvements!$I:$I,Mouvements!$B:$B,A181,Mouvements!$F:$F,"Correction -")</f>
        <v>0</v>
      </c>
      <c r="J181" s="17" t="str">
        <f t="shared" si="1"/>
        <v/>
      </c>
      <c r="K181" s="19" t="str">
        <f>Articles!G181</f>
        <v/>
      </c>
      <c r="L181" s="17" t="str">
        <f t="shared" si="2"/>
        <v/>
      </c>
      <c r="M181" s="17" t="str">
        <f t="shared" si="3"/>
        <v/>
      </c>
      <c r="N181" s="18" t="str">
        <f>IF(A181="","",J181*Articles!H181)</f>
        <v/>
      </c>
    </row>
    <row r="182" ht="15.75" customHeight="1">
      <c r="A182" s="19" t="str">
        <f>Articles!A182</f>
        <v/>
      </c>
      <c r="B182" s="19" t="str">
        <f>Articles!B182</f>
        <v/>
      </c>
      <c r="C182" s="19" t="str">
        <f>Articles!C182</f>
        <v/>
      </c>
      <c r="D182" s="19" t="str">
        <f>Articles!D182</f>
        <v/>
      </c>
      <c r="E182" s="19" t="str">
        <f>Articles!E182</f>
        <v/>
      </c>
      <c r="F182" s="19" t="str">
        <f>Articles!F182</f>
        <v/>
      </c>
      <c r="G182" s="17" t="str">
        <f>SUMIFS(Mouvements!$G:$G,Mouvements!$B:$B,A182,Mouvements!$F:$F,"Départ")</f>
        <v>0</v>
      </c>
      <c r="H182" s="17" t="str">
        <f>SUMIFS(Mouvements!$G:$G,Mouvements!$B:$B,A182,Mouvements!$F:$F,"Retour")</f>
        <v>0</v>
      </c>
      <c r="I182" s="17" t="str">
        <f>SUMIFS(Mouvements!$I:$I,Mouvements!$B:$B,A182,Mouvements!$F:$F,"Entrée stock")+SUMIFS(Mouvements!$I:$I,Mouvements!$B:$B,A182,Mouvements!$F:$F,"Correction +")+SUMIFS(Mouvements!$I:$I,Mouvements!$B:$B,A182,Mouvements!$F:$F,"Correction -")</f>
        <v>0</v>
      </c>
      <c r="J182" s="17" t="str">
        <f t="shared" si="1"/>
        <v/>
      </c>
      <c r="K182" s="19" t="str">
        <f>Articles!G182</f>
        <v/>
      </c>
      <c r="L182" s="17" t="str">
        <f t="shared" si="2"/>
        <v/>
      </c>
      <c r="M182" s="17" t="str">
        <f t="shared" si="3"/>
        <v/>
      </c>
      <c r="N182" s="18" t="str">
        <f>IF(A182="","",J182*Articles!H182)</f>
        <v/>
      </c>
    </row>
    <row r="183" ht="15.75" customHeight="1">
      <c r="A183" s="19" t="str">
        <f>Articles!A183</f>
        <v/>
      </c>
      <c r="B183" s="19" t="str">
        <f>Articles!B183</f>
        <v/>
      </c>
      <c r="C183" s="19" t="str">
        <f>Articles!C183</f>
        <v/>
      </c>
      <c r="D183" s="19" t="str">
        <f>Articles!D183</f>
        <v/>
      </c>
      <c r="E183" s="19" t="str">
        <f>Articles!E183</f>
        <v/>
      </c>
      <c r="F183" s="19" t="str">
        <f>Articles!F183</f>
        <v/>
      </c>
      <c r="G183" s="17" t="str">
        <f>SUMIFS(Mouvements!$G:$G,Mouvements!$B:$B,A183,Mouvements!$F:$F,"Départ")</f>
        <v>0</v>
      </c>
      <c r="H183" s="17" t="str">
        <f>SUMIFS(Mouvements!$G:$G,Mouvements!$B:$B,A183,Mouvements!$F:$F,"Retour")</f>
        <v>0</v>
      </c>
      <c r="I183" s="17" t="str">
        <f>SUMIFS(Mouvements!$I:$I,Mouvements!$B:$B,A183,Mouvements!$F:$F,"Entrée stock")+SUMIFS(Mouvements!$I:$I,Mouvements!$B:$B,A183,Mouvements!$F:$F,"Correction +")+SUMIFS(Mouvements!$I:$I,Mouvements!$B:$B,A183,Mouvements!$F:$F,"Correction -")</f>
        <v>0</v>
      </c>
      <c r="J183" s="17" t="str">
        <f t="shared" si="1"/>
        <v/>
      </c>
      <c r="K183" s="19" t="str">
        <f>Articles!G183</f>
        <v/>
      </c>
      <c r="L183" s="17" t="str">
        <f t="shared" si="2"/>
        <v/>
      </c>
      <c r="M183" s="17" t="str">
        <f t="shared" si="3"/>
        <v/>
      </c>
      <c r="N183" s="18" t="str">
        <f>IF(A183="","",J183*Articles!H183)</f>
        <v/>
      </c>
    </row>
    <row r="184" ht="15.75" customHeight="1">
      <c r="A184" s="19" t="str">
        <f>Articles!A184</f>
        <v/>
      </c>
      <c r="B184" s="19" t="str">
        <f>Articles!B184</f>
        <v/>
      </c>
      <c r="C184" s="19" t="str">
        <f>Articles!C184</f>
        <v/>
      </c>
      <c r="D184" s="19" t="str">
        <f>Articles!D184</f>
        <v/>
      </c>
      <c r="E184" s="19" t="str">
        <f>Articles!E184</f>
        <v/>
      </c>
      <c r="F184" s="19" t="str">
        <f>Articles!F184</f>
        <v/>
      </c>
      <c r="G184" s="17" t="str">
        <f>SUMIFS(Mouvements!$G:$G,Mouvements!$B:$B,A184,Mouvements!$F:$F,"Départ")</f>
        <v>0</v>
      </c>
      <c r="H184" s="17" t="str">
        <f>SUMIFS(Mouvements!$G:$G,Mouvements!$B:$B,A184,Mouvements!$F:$F,"Retour")</f>
        <v>0</v>
      </c>
      <c r="I184" s="17" t="str">
        <f>SUMIFS(Mouvements!$I:$I,Mouvements!$B:$B,A184,Mouvements!$F:$F,"Entrée stock")+SUMIFS(Mouvements!$I:$I,Mouvements!$B:$B,A184,Mouvements!$F:$F,"Correction +")+SUMIFS(Mouvements!$I:$I,Mouvements!$B:$B,A184,Mouvements!$F:$F,"Correction -")</f>
        <v>0</v>
      </c>
      <c r="J184" s="17" t="str">
        <f t="shared" si="1"/>
        <v/>
      </c>
      <c r="K184" s="19" t="str">
        <f>Articles!G184</f>
        <v/>
      </c>
      <c r="L184" s="17" t="str">
        <f t="shared" si="2"/>
        <v/>
      </c>
      <c r="M184" s="17" t="str">
        <f t="shared" si="3"/>
        <v/>
      </c>
      <c r="N184" s="18" t="str">
        <f>IF(A184="","",J184*Articles!H184)</f>
        <v/>
      </c>
    </row>
    <row r="185" ht="15.75" customHeight="1">
      <c r="A185" s="19" t="str">
        <f>Articles!A185</f>
        <v/>
      </c>
      <c r="B185" s="19" t="str">
        <f>Articles!B185</f>
        <v/>
      </c>
      <c r="C185" s="19" t="str">
        <f>Articles!C185</f>
        <v/>
      </c>
      <c r="D185" s="19" t="str">
        <f>Articles!D185</f>
        <v/>
      </c>
      <c r="E185" s="19" t="str">
        <f>Articles!E185</f>
        <v/>
      </c>
      <c r="F185" s="19" t="str">
        <f>Articles!F185</f>
        <v/>
      </c>
      <c r="G185" s="17" t="str">
        <f>SUMIFS(Mouvements!$G:$G,Mouvements!$B:$B,A185,Mouvements!$F:$F,"Départ")</f>
        <v>0</v>
      </c>
      <c r="H185" s="17" t="str">
        <f>SUMIFS(Mouvements!$G:$G,Mouvements!$B:$B,A185,Mouvements!$F:$F,"Retour")</f>
        <v>0</v>
      </c>
      <c r="I185" s="17" t="str">
        <f>SUMIFS(Mouvements!$I:$I,Mouvements!$B:$B,A185,Mouvements!$F:$F,"Entrée stock")+SUMIFS(Mouvements!$I:$I,Mouvements!$B:$B,A185,Mouvements!$F:$F,"Correction +")+SUMIFS(Mouvements!$I:$I,Mouvements!$B:$B,A185,Mouvements!$F:$F,"Correction -")</f>
        <v>0</v>
      </c>
      <c r="J185" s="17" t="str">
        <f t="shared" si="1"/>
        <v/>
      </c>
      <c r="K185" s="19" t="str">
        <f>Articles!G185</f>
        <v/>
      </c>
      <c r="L185" s="17" t="str">
        <f t="shared" si="2"/>
        <v/>
      </c>
      <c r="M185" s="17" t="str">
        <f t="shared" si="3"/>
        <v/>
      </c>
      <c r="N185" s="18" t="str">
        <f>IF(A185="","",J185*Articles!H185)</f>
        <v/>
      </c>
    </row>
    <row r="186" ht="15.75" customHeight="1">
      <c r="A186" s="19" t="str">
        <f>Articles!A186</f>
        <v/>
      </c>
      <c r="B186" s="19" t="str">
        <f>Articles!B186</f>
        <v/>
      </c>
      <c r="C186" s="19" t="str">
        <f>Articles!C186</f>
        <v/>
      </c>
      <c r="D186" s="19" t="str">
        <f>Articles!D186</f>
        <v/>
      </c>
      <c r="E186" s="19" t="str">
        <f>Articles!E186</f>
        <v/>
      </c>
      <c r="F186" s="19" t="str">
        <f>Articles!F186</f>
        <v/>
      </c>
      <c r="G186" s="17" t="str">
        <f>SUMIFS(Mouvements!$G:$G,Mouvements!$B:$B,A186,Mouvements!$F:$F,"Départ")</f>
        <v>0</v>
      </c>
      <c r="H186" s="17" t="str">
        <f>SUMIFS(Mouvements!$G:$G,Mouvements!$B:$B,A186,Mouvements!$F:$F,"Retour")</f>
        <v>0</v>
      </c>
      <c r="I186" s="17" t="str">
        <f>SUMIFS(Mouvements!$I:$I,Mouvements!$B:$B,A186,Mouvements!$F:$F,"Entrée stock")+SUMIFS(Mouvements!$I:$I,Mouvements!$B:$B,A186,Mouvements!$F:$F,"Correction +")+SUMIFS(Mouvements!$I:$I,Mouvements!$B:$B,A186,Mouvements!$F:$F,"Correction -")</f>
        <v>0</v>
      </c>
      <c r="J186" s="17" t="str">
        <f t="shared" si="1"/>
        <v/>
      </c>
      <c r="K186" s="19" t="str">
        <f>Articles!G186</f>
        <v/>
      </c>
      <c r="L186" s="17" t="str">
        <f t="shared" si="2"/>
        <v/>
      </c>
      <c r="M186" s="17" t="str">
        <f t="shared" si="3"/>
        <v/>
      </c>
      <c r="N186" s="18" t="str">
        <f>IF(A186="","",J186*Articles!H186)</f>
        <v/>
      </c>
    </row>
    <row r="187" ht="15.75" customHeight="1">
      <c r="A187" s="19" t="str">
        <f>Articles!A187</f>
        <v/>
      </c>
      <c r="B187" s="19" t="str">
        <f>Articles!B187</f>
        <v/>
      </c>
      <c r="C187" s="19" t="str">
        <f>Articles!C187</f>
        <v/>
      </c>
      <c r="D187" s="19" t="str">
        <f>Articles!D187</f>
        <v/>
      </c>
      <c r="E187" s="19" t="str">
        <f>Articles!E187</f>
        <v/>
      </c>
      <c r="F187" s="19" t="str">
        <f>Articles!F187</f>
        <v/>
      </c>
      <c r="G187" s="17" t="str">
        <f>SUMIFS(Mouvements!$G:$G,Mouvements!$B:$B,A187,Mouvements!$F:$F,"Départ")</f>
        <v>0</v>
      </c>
      <c r="H187" s="17" t="str">
        <f>SUMIFS(Mouvements!$G:$G,Mouvements!$B:$B,A187,Mouvements!$F:$F,"Retour")</f>
        <v>0</v>
      </c>
      <c r="I187" s="17" t="str">
        <f>SUMIFS(Mouvements!$I:$I,Mouvements!$B:$B,A187,Mouvements!$F:$F,"Entrée stock")+SUMIFS(Mouvements!$I:$I,Mouvements!$B:$B,A187,Mouvements!$F:$F,"Correction +")+SUMIFS(Mouvements!$I:$I,Mouvements!$B:$B,A187,Mouvements!$F:$F,"Correction -")</f>
        <v>0</v>
      </c>
      <c r="J187" s="17" t="str">
        <f t="shared" si="1"/>
        <v/>
      </c>
      <c r="K187" s="19" t="str">
        <f>Articles!G187</f>
        <v/>
      </c>
      <c r="L187" s="17" t="str">
        <f t="shared" si="2"/>
        <v/>
      </c>
      <c r="M187" s="17" t="str">
        <f t="shared" si="3"/>
        <v/>
      </c>
      <c r="N187" s="18" t="str">
        <f>IF(A187="","",J187*Articles!H187)</f>
        <v/>
      </c>
    </row>
    <row r="188" ht="15.75" customHeight="1">
      <c r="A188" s="19" t="str">
        <f>Articles!A188</f>
        <v/>
      </c>
      <c r="B188" s="19" t="str">
        <f>Articles!B188</f>
        <v/>
      </c>
      <c r="C188" s="19" t="str">
        <f>Articles!C188</f>
        <v/>
      </c>
      <c r="D188" s="19" t="str">
        <f>Articles!D188</f>
        <v/>
      </c>
      <c r="E188" s="19" t="str">
        <f>Articles!E188</f>
        <v/>
      </c>
      <c r="F188" s="19" t="str">
        <f>Articles!F188</f>
        <v/>
      </c>
      <c r="G188" s="17" t="str">
        <f>SUMIFS(Mouvements!$G:$G,Mouvements!$B:$B,A188,Mouvements!$F:$F,"Départ")</f>
        <v>0</v>
      </c>
      <c r="H188" s="17" t="str">
        <f>SUMIFS(Mouvements!$G:$G,Mouvements!$B:$B,A188,Mouvements!$F:$F,"Retour")</f>
        <v>0</v>
      </c>
      <c r="I188" s="17" t="str">
        <f>SUMIFS(Mouvements!$I:$I,Mouvements!$B:$B,A188,Mouvements!$F:$F,"Entrée stock")+SUMIFS(Mouvements!$I:$I,Mouvements!$B:$B,A188,Mouvements!$F:$F,"Correction +")+SUMIFS(Mouvements!$I:$I,Mouvements!$B:$B,A188,Mouvements!$F:$F,"Correction -")</f>
        <v>0</v>
      </c>
      <c r="J188" s="17" t="str">
        <f t="shared" si="1"/>
        <v/>
      </c>
      <c r="K188" s="19" t="str">
        <f>Articles!G188</f>
        <v/>
      </c>
      <c r="L188" s="17" t="str">
        <f t="shared" si="2"/>
        <v/>
      </c>
      <c r="M188" s="17" t="str">
        <f t="shared" si="3"/>
        <v/>
      </c>
      <c r="N188" s="18" t="str">
        <f>IF(A188="","",J188*Articles!H188)</f>
        <v/>
      </c>
    </row>
    <row r="189" ht="15.75" customHeight="1">
      <c r="A189" s="19" t="str">
        <f>Articles!A189</f>
        <v/>
      </c>
      <c r="B189" s="19" t="str">
        <f>Articles!B189</f>
        <v/>
      </c>
      <c r="C189" s="19" t="str">
        <f>Articles!C189</f>
        <v/>
      </c>
      <c r="D189" s="19" t="str">
        <f>Articles!D189</f>
        <v/>
      </c>
      <c r="E189" s="19" t="str">
        <f>Articles!E189</f>
        <v/>
      </c>
      <c r="F189" s="19" t="str">
        <f>Articles!F189</f>
        <v/>
      </c>
      <c r="G189" s="17" t="str">
        <f>SUMIFS(Mouvements!$G:$G,Mouvements!$B:$B,A189,Mouvements!$F:$F,"Départ")</f>
        <v>0</v>
      </c>
      <c r="H189" s="17" t="str">
        <f>SUMIFS(Mouvements!$G:$G,Mouvements!$B:$B,A189,Mouvements!$F:$F,"Retour")</f>
        <v>0</v>
      </c>
      <c r="I189" s="17" t="str">
        <f>SUMIFS(Mouvements!$I:$I,Mouvements!$B:$B,A189,Mouvements!$F:$F,"Entrée stock")+SUMIFS(Mouvements!$I:$I,Mouvements!$B:$B,A189,Mouvements!$F:$F,"Correction +")+SUMIFS(Mouvements!$I:$I,Mouvements!$B:$B,A189,Mouvements!$F:$F,"Correction -")</f>
        <v>0</v>
      </c>
      <c r="J189" s="17" t="str">
        <f t="shared" si="1"/>
        <v/>
      </c>
      <c r="K189" s="19" t="str">
        <f>Articles!G189</f>
        <v/>
      </c>
      <c r="L189" s="17" t="str">
        <f t="shared" si="2"/>
        <v/>
      </c>
      <c r="M189" s="17" t="str">
        <f t="shared" si="3"/>
        <v/>
      </c>
      <c r="N189" s="18" t="str">
        <f>IF(A189="","",J189*Articles!H189)</f>
        <v/>
      </c>
    </row>
    <row r="190" ht="15.75" customHeight="1">
      <c r="A190" s="19" t="str">
        <f>Articles!A190</f>
        <v/>
      </c>
      <c r="B190" s="19" t="str">
        <f>Articles!B190</f>
        <v/>
      </c>
      <c r="C190" s="19" t="str">
        <f>Articles!C190</f>
        <v/>
      </c>
      <c r="D190" s="19" t="str">
        <f>Articles!D190</f>
        <v/>
      </c>
      <c r="E190" s="19" t="str">
        <f>Articles!E190</f>
        <v/>
      </c>
      <c r="F190" s="19" t="str">
        <f>Articles!F190</f>
        <v/>
      </c>
      <c r="G190" s="17" t="str">
        <f>SUMIFS(Mouvements!$G:$G,Mouvements!$B:$B,A190,Mouvements!$F:$F,"Départ")</f>
        <v>0</v>
      </c>
      <c r="H190" s="17" t="str">
        <f>SUMIFS(Mouvements!$G:$G,Mouvements!$B:$B,A190,Mouvements!$F:$F,"Retour")</f>
        <v>0</v>
      </c>
      <c r="I190" s="17" t="str">
        <f>SUMIFS(Mouvements!$I:$I,Mouvements!$B:$B,A190,Mouvements!$F:$F,"Entrée stock")+SUMIFS(Mouvements!$I:$I,Mouvements!$B:$B,A190,Mouvements!$F:$F,"Correction +")+SUMIFS(Mouvements!$I:$I,Mouvements!$B:$B,A190,Mouvements!$F:$F,"Correction -")</f>
        <v>0</v>
      </c>
      <c r="J190" s="17" t="str">
        <f t="shared" si="1"/>
        <v/>
      </c>
      <c r="K190" s="19" t="str">
        <f>Articles!G190</f>
        <v/>
      </c>
      <c r="L190" s="17" t="str">
        <f t="shared" si="2"/>
        <v/>
      </c>
      <c r="M190" s="17" t="str">
        <f t="shared" si="3"/>
        <v/>
      </c>
      <c r="N190" s="18" t="str">
        <f>IF(A190="","",J190*Articles!H190)</f>
        <v/>
      </c>
    </row>
    <row r="191" ht="15.75" customHeight="1">
      <c r="A191" s="19" t="str">
        <f>Articles!A191</f>
        <v/>
      </c>
      <c r="B191" s="19" t="str">
        <f>Articles!B191</f>
        <v/>
      </c>
      <c r="C191" s="19" t="str">
        <f>Articles!C191</f>
        <v/>
      </c>
      <c r="D191" s="19" t="str">
        <f>Articles!D191</f>
        <v/>
      </c>
      <c r="E191" s="19" t="str">
        <f>Articles!E191</f>
        <v/>
      </c>
      <c r="F191" s="19" t="str">
        <f>Articles!F191</f>
        <v/>
      </c>
      <c r="G191" s="17" t="str">
        <f>SUMIFS(Mouvements!$G:$G,Mouvements!$B:$B,A191,Mouvements!$F:$F,"Départ")</f>
        <v>0</v>
      </c>
      <c r="H191" s="17" t="str">
        <f>SUMIFS(Mouvements!$G:$G,Mouvements!$B:$B,A191,Mouvements!$F:$F,"Retour")</f>
        <v>0</v>
      </c>
      <c r="I191" s="17" t="str">
        <f>SUMIFS(Mouvements!$I:$I,Mouvements!$B:$B,A191,Mouvements!$F:$F,"Entrée stock")+SUMIFS(Mouvements!$I:$I,Mouvements!$B:$B,A191,Mouvements!$F:$F,"Correction +")+SUMIFS(Mouvements!$I:$I,Mouvements!$B:$B,A191,Mouvements!$F:$F,"Correction -")</f>
        <v>0</v>
      </c>
      <c r="J191" s="17" t="str">
        <f t="shared" si="1"/>
        <v/>
      </c>
      <c r="K191" s="19" t="str">
        <f>Articles!G191</f>
        <v/>
      </c>
      <c r="L191" s="17" t="str">
        <f t="shared" si="2"/>
        <v/>
      </c>
      <c r="M191" s="17" t="str">
        <f t="shared" si="3"/>
        <v/>
      </c>
      <c r="N191" s="18" t="str">
        <f>IF(A191="","",J191*Articles!H191)</f>
        <v/>
      </c>
    </row>
    <row r="192" ht="15.75" customHeight="1">
      <c r="A192" s="19" t="str">
        <f>Articles!A192</f>
        <v/>
      </c>
      <c r="B192" s="19" t="str">
        <f>Articles!B192</f>
        <v/>
      </c>
      <c r="C192" s="19" t="str">
        <f>Articles!C192</f>
        <v/>
      </c>
      <c r="D192" s="19" t="str">
        <f>Articles!D192</f>
        <v/>
      </c>
      <c r="E192" s="19" t="str">
        <f>Articles!E192</f>
        <v/>
      </c>
      <c r="F192" s="19" t="str">
        <f>Articles!F192</f>
        <v/>
      </c>
      <c r="G192" s="17" t="str">
        <f>SUMIFS(Mouvements!$G:$G,Mouvements!$B:$B,A192,Mouvements!$F:$F,"Départ")</f>
        <v>0</v>
      </c>
      <c r="H192" s="17" t="str">
        <f>SUMIFS(Mouvements!$G:$G,Mouvements!$B:$B,A192,Mouvements!$F:$F,"Retour")</f>
        <v>0</v>
      </c>
      <c r="I192" s="17" t="str">
        <f>SUMIFS(Mouvements!$I:$I,Mouvements!$B:$B,A192,Mouvements!$F:$F,"Entrée stock")+SUMIFS(Mouvements!$I:$I,Mouvements!$B:$B,A192,Mouvements!$F:$F,"Correction +")+SUMIFS(Mouvements!$I:$I,Mouvements!$B:$B,A192,Mouvements!$F:$F,"Correction -")</f>
        <v>0</v>
      </c>
      <c r="J192" s="17" t="str">
        <f t="shared" si="1"/>
        <v/>
      </c>
      <c r="K192" s="19" t="str">
        <f>Articles!G192</f>
        <v/>
      </c>
      <c r="L192" s="17" t="str">
        <f t="shared" si="2"/>
        <v/>
      </c>
      <c r="M192" s="17" t="str">
        <f t="shared" si="3"/>
        <v/>
      </c>
      <c r="N192" s="18" t="str">
        <f>IF(A192="","",J192*Articles!H192)</f>
        <v/>
      </c>
    </row>
    <row r="193" ht="15.75" customHeight="1">
      <c r="A193" s="19" t="str">
        <f>Articles!A193</f>
        <v/>
      </c>
      <c r="B193" s="19" t="str">
        <f>Articles!B193</f>
        <v/>
      </c>
      <c r="C193" s="19" t="str">
        <f>Articles!C193</f>
        <v/>
      </c>
      <c r="D193" s="19" t="str">
        <f>Articles!D193</f>
        <v/>
      </c>
      <c r="E193" s="19" t="str">
        <f>Articles!E193</f>
        <v/>
      </c>
      <c r="F193" s="19" t="str">
        <f>Articles!F193</f>
        <v/>
      </c>
      <c r="G193" s="17" t="str">
        <f>SUMIFS(Mouvements!$G:$G,Mouvements!$B:$B,A193,Mouvements!$F:$F,"Départ")</f>
        <v>0</v>
      </c>
      <c r="H193" s="17" t="str">
        <f>SUMIFS(Mouvements!$G:$G,Mouvements!$B:$B,A193,Mouvements!$F:$F,"Retour")</f>
        <v>0</v>
      </c>
      <c r="I193" s="17" t="str">
        <f>SUMIFS(Mouvements!$I:$I,Mouvements!$B:$B,A193,Mouvements!$F:$F,"Entrée stock")+SUMIFS(Mouvements!$I:$I,Mouvements!$B:$B,A193,Mouvements!$F:$F,"Correction +")+SUMIFS(Mouvements!$I:$I,Mouvements!$B:$B,A193,Mouvements!$F:$F,"Correction -")</f>
        <v>0</v>
      </c>
      <c r="J193" s="17" t="str">
        <f t="shared" si="1"/>
        <v/>
      </c>
      <c r="K193" s="19" t="str">
        <f>Articles!G193</f>
        <v/>
      </c>
      <c r="L193" s="17" t="str">
        <f t="shared" si="2"/>
        <v/>
      </c>
      <c r="M193" s="17" t="str">
        <f t="shared" si="3"/>
        <v/>
      </c>
      <c r="N193" s="18" t="str">
        <f>IF(A193="","",J193*Articles!H193)</f>
        <v/>
      </c>
    </row>
    <row r="194" ht="15.75" customHeight="1">
      <c r="A194" s="19" t="str">
        <f>Articles!A194</f>
        <v/>
      </c>
      <c r="B194" s="19" t="str">
        <f>Articles!B194</f>
        <v/>
      </c>
      <c r="C194" s="19" t="str">
        <f>Articles!C194</f>
        <v/>
      </c>
      <c r="D194" s="19" t="str">
        <f>Articles!D194</f>
        <v/>
      </c>
      <c r="E194" s="19" t="str">
        <f>Articles!E194</f>
        <v/>
      </c>
      <c r="F194" s="19" t="str">
        <f>Articles!F194</f>
        <v/>
      </c>
      <c r="G194" s="17" t="str">
        <f>SUMIFS(Mouvements!$G:$G,Mouvements!$B:$B,A194,Mouvements!$F:$F,"Départ")</f>
        <v>0</v>
      </c>
      <c r="H194" s="17" t="str">
        <f>SUMIFS(Mouvements!$G:$G,Mouvements!$B:$B,A194,Mouvements!$F:$F,"Retour")</f>
        <v>0</v>
      </c>
      <c r="I194" s="17" t="str">
        <f>SUMIFS(Mouvements!$I:$I,Mouvements!$B:$B,A194,Mouvements!$F:$F,"Entrée stock")+SUMIFS(Mouvements!$I:$I,Mouvements!$B:$B,A194,Mouvements!$F:$F,"Correction +")+SUMIFS(Mouvements!$I:$I,Mouvements!$B:$B,A194,Mouvements!$F:$F,"Correction -")</f>
        <v>0</v>
      </c>
      <c r="J194" s="17" t="str">
        <f t="shared" si="1"/>
        <v/>
      </c>
      <c r="K194" s="19" t="str">
        <f>Articles!G194</f>
        <v/>
      </c>
      <c r="L194" s="17" t="str">
        <f t="shared" si="2"/>
        <v/>
      </c>
      <c r="M194" s="17" t="str">
        <f t="shared" si="3"/>
        <v/>
      </c>
      <c r="N194" s="18" t="str">
        <f>IF(A194="","",J194*Articles!H194)</f>
        <v/>
      </c>
    </row>
    <row r="195" ht="15.75" customHeight="1">
      <c r="A195" s="19" t="str">
        <f>Articles!A195</f>
        <v/>
      </c>
      <c r="B195" s="19" t="str">
        <f>Articles!B195</f>
        <v/>
      </c>
      <c r="C195" s="19" t="str">
        <f>Articles!C195</f>
        <v/>
      </c>
      <c r="D195" s="19" t="str">
        <f>Articles!D195</f>
        <v/>
      </c>
      <c r="E195" s="19" t="str">
        <f>Articles!E195</f>
        <v/>
      </c>
      <c r="F195" s="19" t="str">
        <f>Articles!F195</f>
        <v/>
      </c>
      <c r="G195" s="17" t="str">
        <f>SUMIFS(Mouvements!$G:$G,Mouvements!$B:$B,A195,Mouvements!$F:$F,"Départ")</f>
        <v>0</v>
      </c>
      <c r="H195" s="17" t="str">
        <f>SUMIFS(Mouvements!$G:$G,Mouvements!$B:$B,A195,Mouvements!$F:$F,"Retour")</f>
        <v>0</v>
      </c>
      <c r="I195" s="17" t="str">
        <f>SUMIFS(Mouvements!$I:$I,Mouvements!$B:$B,A195,Mouvements!$F:$F,"Entrée stock")+SUMIFS(Mouvements!$I:$I,Mouvements!$B:$B,A195,Mouvements!$F:$F,"Correction +")+SUMIFS(Mouvements!$I:$I,Mouvements!$B:$B,A195,Mouvements!$F:$F,"Correction -")</f>
        <v>0</v>
      </c>
      <c r="J195" s="17" t="str">
        <f t="shared" si="1"/>
        <v/>
      </c>
      <c r="K195" s="19" t="str">
        <f>Articles!G195</f>
        <v/>
      </c>
      <c r="L195" s="17" t="str">
        <f t="shared" si="2"/>
        <v/>
      </c>
      <c r="M195" s="17" t="str">
        <f t="shared" si="3"/>
        <v/>
      </c>
      <c r="N195" s="18" t="str">
        <f>IF(A195="","",J195*Articles!H195)</f>
        <v/>
      </c>
    </row>
    <row r="196" ht="15.75" customHeight="1">
      <c r="A196" s="19" t="str">
        <f>Articles!A196</f>
        <v/>
      </c>
      <c r="B196" s="19" t="str">
        <f>Articles!B196</f>
        <v/>
      </c>
      <c r="C196" s="19" t="str">
        <f>Articles!C196</f>
        <v/>
      </c>
      <c r="D196" s="19" t="str">
        <f>Articles!D196</f>
        <v/>
      </c>
      <c r="E196" s="19" t="str">
        <f>Articles!E196</f>
        <v/>
      </c>
      <c r="F196" s="19" t="str">
        <f>Articles!F196</f>
        <v/>
      </c>
      <c r="G196" s="17" t="str">
        <f>SUMIFS(Mouvements!$G:$G,Mouvements!$B:$B,A196,Mouvements!$F:$F,"Départ")</f>
        <v>0</v>
      </c>
      <c r="H196" s="17" t="str">
        <f>SUMIFS(Mouvements!$G:$G,Mouvements!$B:$B,A196,Mouvements!$F:$F,"Retour")</f>
        <v>0</v>
      </c>
      <c r="I196" s="17" t="str">
        <f>SUMIFS(Mouvements!$I:$I,Mouvements!$B:$B,A196,Mouvements!$F:$F,"Entrée stock")+SUMIFS(Mouvements!$I:$I,Mouvements!$B:$B,A196,Mouvements!$F:$F,"Correction +")+SUMIFS(Mouvements!$I:$I,Mouvements!$B:$B,A196,Mouvements!$F:$F,"Correction -")</f>
        <v>0</v>
      </c>
      <c r="J196" s="17" t="str">
        <f t="shared" si="1"/>
        <v/>
      </c>
      <c r="K196" s="19" t="str">
        <f>Articles!G196</f>
        <v/>
      </c>
      <c r="L196" s="17" t="str">
        <f t="shared" si="2"/>
        <v/>
      </c>
      <c r="M196" s="17" t="str">
        <f t="shared" si="3"/>
        <v/>
      </c>
      <c r="N196" s="18" t="str">
        <f>IF(A196="","",J196*Articles!H196)</f>
        <v/>
      </c>
    </row>
    <row r="197" ht="15.75" customHeight="1">
      <c r="A197" s="19" t="str">
        <f>Articles!A197</f>
        <v/>
      </c>
      <c r="B197" s="19" t="str">
        <f>Articles!B197</f>
        <v/>
      </c>
      <c r="C197" s="19" t="str">
        <f>Articles!C197</f>
        <v/>
      </c>
      <c r="D197" s="19" t="str">
        <f>Articles!D197</f>
        <v/>
      </c>
      <c r="E197" s="19" t="str">
        <f>Articles!E197</f>
        <v/>
      </c>
      <c r="F197" s="19" t="str">
        <f>Articles!F197</f>
        <v/>
      </c>
      <c r="G197" s="17" t="str">
        <f>SUMIFS(Mouvements!$G:$G,Mouvements!$B:$B,A197,Mouvements!$F:$F,"Départ")</f>
        <v>0</v>
      </c>
      <c r="H197" s="17" t="str">
        <f>SUMIFS(Mouvements!$G:$G,Mouvements!$B:$B,A197,Mouvements!$F:$F,"Retour")</f>
        <v>0</v>
      </c>
      <c r="I197" s="17" t="str">
        <f>SUMIFS(Mouvements!$I:$I,Mouvements!$B:$B,A197,Mouvements!$F:$F,"Entrée stock")+SUMIFS(Mouvements!$I:$I,Mouvements!$B:$B,A197,Mouvements!$F:$F,"Correction +")+SUMIFS(Mouvements!$I:$I,Mouvements!$B:$B,A197,Mouvements!$F:$F,"Correction -")</f>
        <v>0</v>
      </c>
      <c r="J197" s="17" t="str">
        <f t="shared" si="1"/>
        <v/>
      </c>
      <c r="K197" s="19" t="str">
        <f>Articles!G197</f>
        <v/>
      </c>
      <c r="L197" s="17" t="str">
        <f t="shared" si="2"/>
        <v/>
      </c>
      <c r="M197" s="17" t="str">
        <f t="shared" si="3"/>
        <v/>
      </c>
      <c r="N197" s="18" t="str">
        <f>IF(A197="","",J197*Articles!H197)</f>
        <v/>
      </c>
    </row>
    <row r="198" ht="15.75" customHeight="1">
      <c r="A198" s="19" t="str">
        <f>Articles!A198</f>
        <v/>
      </c>
      <c r="B198" s="19" t="str">
        <f>Articles!B198</f>
        <v/>
      </c>
      <c r="C198" s="19" t="str">
        <f>Articles!C198</f>
        <v/>
      </c>
      <c r="D198" s="19" t="str">
        <f>Articles!D198</f>
        <v/>
      </c>
      <c r="E198" s="19" t="str">
        <f>Articles!E198</f>
        <v/>
      </c>
      <c r="F198" s="19" t="str">
        <f>Articles!F198</f>
        <v/>
      </c>
      <c r="G198" s="17" t="str">
        <f>SUMIFS(Mouvements!$G:$G,Mouvements!$B:$B,A198,Mouvements!$F:$F,"Départ")</f>
        <v>0</v>
      </c>
      <c r="H198" s="17" t="str">
        <f>SUMIFS(Mouvements!$G:$G,Mouvements!$B:$B,A198,Mouvements!$F:$F,"Retour")</f>
        <v>0</v>
      </c>
      <c r="I198" s="17" t="str">
        <f>SUMIFS(Mouvements!$I:$I,Mouvements!$B:$B,A198,Mouvements!$F:$F,"Entrée stock")+SUMIFS(Mouvements!$I:$I,Mouvements!$B:$B,A198,Mouvements!$F:$F,"Correction +")+SUMIFS(Mouvements!$I:$I,Mouvements!$B:$B,A198,Mouvements!$F:$F,"Correction -")</f>
        <v>0</v>
      </c>
      <c r="J198" s="17" t="str">
        <f t="shared" si="1"/>
        <v/>
      </c>
      <c r="K198" s="19" t="str">
        <f>Articles!G198</f>
        <v/>
      </c>
      <c r="L198" s="17" t="str">
        <f t="shared" si="2"/>
        <v/>
      </c>
      <c r="M198" s="17" t="str">
        <f t="shared" si="3"/>
        <v/>
      </c>
      <c r="N198" s="18" t="str">
        <f>IF(A198="","",J198*Articles!H198)</f>
        <v/>
      </c>
    </row>
    <row r="199" ht="15.75" customHeight="1">
      <c r="A199" s="19" t="str">
        <f>Articles!A199</f>
        <v/>
      </c>
      <c r="B199" s="19" t="str">
        <f>Articles!B199</f>
        <v/>
      </c>
      <c r="C199" s="19" t="str">
        <f>Articles!C199</f>
        <v/>
      </c>
      <c r="D199" s="19" t="str">
        <f>Articles!D199</f>
        <v/>
      </c>
      <c r="E199" s="19" t="str">
        <f>Articles!E199</f>
        <v/>
      </c>
      <c r="F199" s="19" t="str">
        <f>Articles!F199</f>
        <v/>
      </c>
      <c r="G199" s="17" t="str">
        <f>SUMIFS(Mouvements!$G:$G,Mouvements!$B:$B,A199,Mouvements!$F:$F,"Départ")</f>
        <v>0</v>
      </c>
      <c r="H199" s="17" t="str">
        <f>SUMIFS(Mouvements!$G:$G,Mouvements!$B:$B,A199,Mouvements!$F:$F,"Retour")</f>
        <v>0</v>
      </c>
      <c r="I199" s="17" t="str">
        <f>SUMIFS(Mouvements!$I:$I,Mouvements!$B:$B,A199,Mouvements!$F:$F,"Entrée stock")+SUMIFS(Mouvements!$I:$I,Mouvements!$B:$B,A199,Mouvements!$F:$F,"Correction +")+SUMIFS(Mouvements!$I:$I,Mouvements!$B:$B,A199,Mouvements!$F:$F,"Correction -")</f>
        <v>0</v>
      </c>
      <c r="J199" s="17" t="str">
        <f t="shared" si="1"/>
        <v/>
      </c>
      <c r="K199" s="19" t="str">
        <f>Articles!G199</f>
        <v/>
      </c>
      <c r="L199" s="17" t="str">
        <f t="shared" si="2"/>
        <v/>
      </c>
      <c r="M199" s="17" t="str">
        <f t="shared" si="3"/>
        <v/>
      </c>
      <c r="N199" s="18" t="str">
        <f>IF(A199="","",J199*Articles!H199)</f>
        <v/>
      </c>
    </row>
    <row r="200" ht="15.75" customHeight="1">
      <c r="A200" s="19" t="str">
        <f>Articles!A200</f>
        <v/>
      </c>
      <c r="B200" s="19" t="str">
        <f>Articles!B200</f>
        <v/>
      </c>
      <c r="C200" s="19" t="str">
        <f>Articles!C200</f>
        <v/>
      </c>
      <c r="D200" s="19" t="str">
        <f>Articles!D200</f>
        <v/>
      </c>
      <c r="E200" s="19" t="str">
        <f>Articles!E200</f>
        <v/>
      </c>
      <c r="F200" s="19" t="str">
        <f>Articles!F200</f>
        <v/>
      </c>
      <c r="G200" s="17" t="str">
        <f>SUMIFS(Mouvements!$G:$G,Mouvements!$B:$B,A200,Mouvements!$F:$F,"Départ")</f>
        <v>0</v>
      </c>
      <c r="H200" s="17" t="str">
        <f>SUMIFS(Mouvements!$G:$G,Mouvements!$B:$B,A200,Mouvements!$F:$F,"Retour")</f>
        <v>0</v>
      </c>
      <c r="I200" s="17" t="str">
        <f>SUMIFS(Mouvements!$I:$I,Mouvements!$B:$B,A200,Mouvements!$F:$F,"Entrée stock")+SUMIFS(Mouvements!$I:$I,Mouvements!$B:$B,A200,Mouvements!$F:$F,"Correction +")+SUMIFS(Mouvements!$I:$I,Mouvements!$B:$B,A200,Mouvements!$F:$F,"Correction -")</f>
        <v>0</v>
      </c>
      <c r="J200" s="17" t="str">
        <f t="shared" si="1"/>
        <v/>
      </c>
      <c r="K200" s="19" t="str">
        <f>Articles!G200</f>
        <v/>
      </c>
      <c r="L200" s="17" t="str">
        <f t="shared" si="2"/>
        <v/>
      </c>
      <c r="M200" s="17" t="str">
        <f t="shared" si="3"/>
        <v/>
      </c>
      <c r="N200" s="18" t="str">
        <f>IF(A200="","",J200*Articles!H200)</f>
        <v/>
      </c>
    </row>
    <row r="201" ht="15.75" customHeight="1">
      <c r="A201" s="19" t="str">
        <f>Articles!A201</f>
        <v/>
      </c>
      <c r="B201" s="19" t="str">
        <f>Articles!B201</f>
        <v/>
      </c>
      <c r="C201" s="19" t="str">
        <f>Articles!C201</f>
        <v/>
      </c>
      <c r="D201" s="19" t="str">
        <f>Articles!D201</f>
        <v/>
      </c>
      <c r="E201" s="19" t="str">
        <f>Articles!E201</f>
        <v/>
      </c>
      <c r="F201" s="19" t="str">
        <f>Articles!F201</f>
        <v/>
      </c>
      <c r="G201" s="17" t="str">
        <f>SUMIFS(Mouvements!$G:$G,Mouvements!$B:$B,A201,Mouvements!$F:$F,"Départ")</f>
        <v>0</v>
      </c>
      <c r="H201" s="17" t="str">
        <f>SUMIFS(Mouvements!$G:$G,Mouvements!$B:$B,A201,Mouvements!$F:$F,"Retour")</f>
        <v>0</v>
      </c>
      <c r="I201" s="17" t="str">
        <f>SUMIFS(Mouvements!$I:$I,Mouvements!$B:$B,A201,Mouvements!$F:$F,"Entrée stock")+SUMIFS(Mouvements!$I:$I,Mouvements!$B:$B,A201,Mouvements!$F:$F,"Correction +")+SUMIFS(Mouvements!$I:$I,Mouvements!$B:$B,A201,Mouvements!$F:$F,"Correction -")</f>
        <v>0</v>
      </c>
      <c r="J201" s="17" t="str">
        <f t="shared" si="1"/>
        <v/>
      </c>
      <c r="K201" s="19" t="str">
        <f>Articles!G201</f>
        <v/>
      </c>
      <c r="L201" s="17" t="str">
        <f t="shared" si="2"/>
        <v/>
      </c>
      <c r="M201" s="17" t="str">
        <f t="shared" si="3"/>
        <v/>
      </c>
      <c r="N201" s="18" t="str">
        <f>IF(A201="","",J201*Articles!H201)</f>
        <v/>
      </c>
    </row>
    <row r="202" ht="15.75" customHeight="1">
      <c r="A202" s="19" t="str">
        <f>Articles!A202</f>
        <v/>
      </c>
      <c r="B202" s="19" t="str">
        <f>Articles!B202</f>
        <v/>
      </c>
      <c r="C202" s="19" t="str">
        <f>Articles!C202</f>
        <v/>
      </c>
      <c r="D202" s="19" t="str">
        <f>Articles!D202</f>
        <v/>
      </c>
      <c r="E202" s="19" t="str">
        <f>Articles!E202</f>
        <v/>
      </c>
      <c r="F202" s="19" t="str">
        <f>Articles!F202</f>
        <v/>
      </c>
      <c r="G202" s="17" t="str">
        <f>SUMIFS(Mouvements!$G:$G,Mouvements!$B:$B,A202,Mouvements!$F:$F,"Départ")</f>
        <v>0</v>
      </c>
      <c r="H202" s="17" t="str">
        <f>SUMIFS(Mouvements!$G:$G,Mouvements!$B:$B,A202,Mouvements!$F:$F,"Retour")</f>
        <v>0</v>
      </c>
      <c r="I202" s="17" t="str">
        <f>SUMIFS(Mouvements!$I:$I,Mouvements!$B:$B,A202,Mouvements!$F:$F,"Entrée stock")+SUMIFS(Mouvements!$I:$I,Mouvements!$B:$B,A202,Mouvements!$F:$F,"Correction +")+SUMIFS(Mouvements!$I:$I,Mouvements!$B:$B,A202,Mouvements!$F:$F,"Correction -")</f>
        <v>0</v>
      </c>
      <c r="J202" s="17" t="str">
        <f t="shared" si="1"/>
        <v/>
      </c>
      <c r="K202" s="19" t="str">
        <f>Articles!G202</f>
        <v/>
      </c>
      <c r="L202" s="17" t="str">
        <f t="shared" si="2"/>
        <v/>
      </c>
      <c r="M202" s="17" t="str">
        <f t="shared" si="3"/>
        <v/>
      </c>
      <c r="N202" s="18" t="str">
        <f>IF(A202="","",J202*Articles!H202)</f>
        <v/>
      </c>
    </row>
    <row r="203" ht="15.75" customHeight="1">
      <c r="A203" s="19" t="str">
        <f>Articles!A203</f>
        <v/>
      </c>
      <c r="B203" s="19" t="str">
        <f>Articles!B203</f>
        <v/>
      </c>
      <c r="C203" s="19" t="str">
        <f>Articles!C203</f>
        <v/>
      </c>
      <c r="D203" s="19" t="str">
        <f>Articles!D203</f>
        <v/>
      </c>
      <c r="E203" s="19" t="str">
        <f>Articles!E203</f>
        <v/>
      </c>
      <c r="F203" s="19" t="str">
        <f>Articles!F203</f>
        <v/>
      </c>
      <c r="G203" s="17" t="str">
        <f>SUMIFS(Mouvements!$G:$G,Mouvements!$B:$B,A203,Mouvements!$F:$F,"Départ")</f>
        <v>0</v>
      </c>
      <c r="H203" s="17" t="str">
        <f>SUMIFS(Mouvements!$G:$G,Mouvements!$B:$B,A203,Mouvements!$F:$F,"Retour")</f>
        <v>0</v>
      </c>
      <c r="I203" s="17" t="str">
        <f>SUMIFS(Mouvements!$I:$I,Mouvements!$B:$B,A203,Mouvements!$F:$F,"Entrée stock")+SUMIFS(Mouvements!$I:$I,Mouvements!$B:$B,A203,Mouvements!$F:$F,"Correction +")+SUMIFS(Mouvements!$I:$I,Mouvements!$B:$B,A203,Mouvements!$F:$F,"Correction -")</f>
        <v>0</v>
      </c>
      <c r="J203" s="17" t="str">
        <f t="shared" si="1"/>
        <v/>
      </c>
      <c r="K203" s="19" t="str">
        <f>Articles!G203</f>
        <v/>
      </c>
      <c r="L203" s="17" t="str">
        <f t="shared" si="2"/>
        <v/>
      </c>
      <c r="M203" s="17" t="str">
        <f t="shared" si="3"/>
        <v/>
      </c>
      <c r="N203" s="18" t="str">
        <f>IF(A203="","",J203*Articles!H203)</f>
        <v/>
      </c>
    </row>
    <row r="204" ht="15.75" customHeight="1">
      <c r="A204" s="19" t="str">
        <f>Articles!A204</f>
        <v/>
      </c>
      <c r="B204" s="19" t="str">
        <f>Articles!B204</f>
        <v/>
      </c>
      <c r="C204" s="19" t="str">
        <f>Articles!C204</f>
        <v/>
      </c>
      <c r="D204" s="19" t="str">
        <f>Articles!D204</f>
        <v/>
      </c>
      <c r="E204" s="19" t="str">
        <f>Articles!E204</f>
        <v/>
      </c>
      <c r="F204" s="19" t="str">
        <f>Articles!F204</f>
        <v/>
      </c>
      <c r="G204" s="17" t="str">
        <f>SUMIFS(Mouvements!$G:$G,Mouvements!$B:$B,A204,Mouvements!$F:$F,"Départ")</f>
        <v>0</v>
      </c>
      <c r="H204" s="17" t="str">
        <f>SUMIFS(Mouvements!$G:$G,Mouvements!$B:$B,A204,Mouvements!$F:$F,"Retour")</f>
        <v>0</v>
      </c>
      <c r="I204" s="17" t="str">
        <f>SUMIFS(Mouvements!$I:$I,Mouvements!$B:$B,A204,Mouvements!$F:$F,"Entrée stock")+SUMIFS(Mouvements!$I:$I,Mouvements!$B:$B,A204,Mouvements!$F:$F,"Correction +")+SUMIFS(Mouvements!$I:$I,Mouvements!$B:$B,A204,Mouvements!$F:$F,"Correction -")</f>
        <v>0</v>
      </c>
      <c r="J204" s="17" t="str">
        <f t="shared" si="1"/>
        <v/>
      </c>
      <c r="K204" s="19" t="str">
        <f>Articles!G204</f>
        <v/>
      </c>
      <c r="L204" s="17" t="str">
        <f t="shared" si="2"/>
        <v/>
      </c>
      <c r="M204" s="17" t="str">
        <f t="shared" si="3"/>
        <v/>
      </c>
      <c r="N204" s="18" t="str">
        <f>IF(A204="","",J204*Articles!H204)</f>
        <v/>
      </c>
    </row>
  </sheetData>
  <mergeCells count="1">
    <mergeCell ref="A1:N1"/>
  </mergeCells>
  <conditionalFormatting sqref="A5:N204">
    <cfRule type="expression" dxfId="0" priority="1">
      <formula>$M5="À commander"</formula>
    </cfRule>
  </conditionalFormatting>
  <conditionalFormatting sqref="A5:N204">
    <cfRule type="expression" dxfId="5" priority="2">
      <formula>$M5="Stock négatif"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16.0"/>
    <col customWidth="1" min="3" max="3" width="32.0"/>
    <col customWidth="1" min="4" max="5" width="12.0"/>
    <col customWidth="1" min="6" max="7" width="14.0"/>
    <col customWidth="1" min="8" max="8" width="16.0"/>
    <col customWidth="1" min="9" max="9" width="14.0"/>
    <col customWidth="1" min="10" max="10" width="22.0"/>
    <col customWidth="1" min="11" max="11" width="9.14"/>
  </cols>
  <sheetData>
    <row r="1">
      <c r="A1" s="1" t="s">
        <v>92</v>
      </c>
      <c r="B1" s="2"/>
      <c r="C1" s="2"/>
      <c r="D1" s="2"/>
      <c r="E1" s="2"/>
      <c r="F1" s="2"/>
      <c r="G1" s="2"/>
      <c r="H1" s="2"/>
      <c r="I1" s="2"/>
      <c r="J1" s="3"/>
    </row>
    <row r="4">
      <c r="A4" s="20" t="s">
        <v>80</v>
      </c>
      <c r="B4" s="20" t="s">
        <v>6</v>
      </c>
      <c r="C4" s="20" t="s">
        <v>7</v>
      </c>
      <c r="D4" s="20" t="s">
        <v>12</v>
      </c>
      <c r="E4" s="20" t="s">
        <v>13</v>
      </c>
      <c r="F4" s="20" t="s">
        <v>93</v>
      </c>
      <c r="G4" s="20" t="s">
        <v>94</v>
      </c>
      <c r="H4" s="20" t="s">
        <v>95</v>
      </c>
      <c r="I4" s="20" t="s">
        <v>10</v>
      </c>
      <c r="J4" s="20" t="s">
        <v>96</v>
      </c>
    </row>
    <row r="5">
      <c r="A5" s="21" t="str">
        <f>'Paramètres'!D4</f>
        <v>Chantier A</v>
      </c>
      <c r="B5" s="21" t="str">
        <f>Articles!A5</f>
        <v>VIS-6X60</v>
      </c>
      <c r="C5" s="21" t="str">
        <f>Articles!B5</f>
        <v>Vis béton 6x60</v>
      </c>
      <c r="D5" s="21" t="str">
        <f>IF(OR($A5="",$B5=""),"",SUMIFS(Mouvements!$G:$G,Mouvements!$E:$E,$A5,Mouvements!$B:$B,$B5,Mouvements!$F:$F,"Départ"))</f>
        <v>0</v>
      </c>
      <c r="E5" s="21" t="str">
        <f>IF(OR($A5="",$B5=""),"",SUMIFS(Mouvements!$G:$G,Mouvements!$E:$E,$A5,Mouvements!$B:$B,$B5,Mouvements!$F:$F,"Retour"))</f>
        <v>0</v>
      </c>
      <c r="F5" s="21" t="str">
        <f t="shared" ref="F5:F304" si="1">IF(OR($A5="",$B5=""),"",D5-E5)</f>
        <v>0</v>
      </c>
      <c r="G5" s="21" t="str">
        <f>IF($B5="","",D5*VLOOKUP($B5,Articles!$A$5:$K$204,8,FALSE))</f>
        <v>0</v>
      </c>
      <c r="H5" s="21"/>
      <c r="I5" s="21" t="str">
        <f t="shared" ref="I5:I304" si="2">IF(F5="","",IF(F5&gt;0,"Sur chantier","Soldé"))</f>
        <v>Soldé</v>
      </c>
      <c r="J5" s="21"/>
    </row>
    <row r="6">
      <c r="A6" s="21" t="str">
        <f>'Paramètres'!D4</f>
        <v>Chantier A</v>
      </c>
      <c r="B6" s="21" t="str">
        <f>Articles!A6</f>
        <v>PERF-001</v>
      </c>
      <c r="C6" s="21" t="str">
        <f>Articles!B6</f>
        <v>Perforateur SDS</v>
      </c>
      <c r="D6" s="21" t="str">
        <f>IF(OR($A6="",$B6=""),"",SUMIFS(Mouvements!$G:$G,Mouvements!$E:$E,$A6,Mouvements!$B:$B,$B6,Mouvements!$F:$F,"Départ"))</f>
        <v>0</v>
      </c>
      <c r="E6" s="21" t="str">
        <f>IF(OR($A6="",$B6=""),"",SUMIFS(Mouvements!$G:$G,Mouvements!$E:$E,$A6,Mouvements!$B:$B,$B6,Mouvements!$F:$F,"Retour"))</f>
        <v>0</v>
      </c>
      <c r="F6" s="21" t="str">
        <f t="shared" si="1"/>
        <v>0</v>
      </c>
      <c r="G6" s="21" t="str">
        <f>IF($B6="","",D6*VLOOKUP($B6,Articles!$A$5:$K$204,8,FALSE))</f>
        <v>0</v>
      </c>
      <c r="H6" s="21"/>
      <c r="I6" s="21" t="str">
        <f t="shared" si="2"/>
        <v>Soldé</v>
      </c>
      <c r="J6" s="21"/>
    </row>
    <row r="7">
      <c r="A7" s="21" t="str">
        <f>'Paramètres'!D4</f>
        <v>Chantier A</v>
      </c>
      <c r="B7" s="21" t="str">
        <f>Articles!A7</f>
        <v>GANT-L</v>
      </c>
      <c r="C7" s="21" t="str">
        <f>Articles!B7</f>
        <v>Gants taille L</v>
      </c>
      <c r="D7" s="21" t="str">
        <f>IF(OR($A7="",$B7=""),"",SUMIFS(Mouvements!$G:$G,Mouvements!$E:$E,$A7,Mouvements!$B:$B,$B7,Mouvements!$F:$F,"Départ"))</f>
        <v>0</v>
      </c>
      <c r="E7" s="21" t="str">
        <f>IF(OR($A7="",$B7=""),"",SUMIFS(Mouvements!$G:$G,Mouvements!$E:$E,$A7,Mouvements!$B:$B,$B7,Mouvements!$F:$F,"Retour"))</f>
        <v>0</v>
      </c>
      <c r="F7" s="21" t="str">
        <f t="shared" si="1"/>
        <v>0</v>
      </c>
      <c r="G7" s="21" t="str">
        <f>IF($B7="","",D7*VLOOKUP($B7,Articles!$A$5:$K$204,8,FALSE))</f>
        <v>0</v>
      </c>
      <c r="H7" s="21"/>
      <c r="I7" s="21" t="str">
        <f t="shared" si="2"/>
        <v>Soldé</v>
      </c>
      <c r="J7" s="21"/>
    </row>
    <row r="8">
      <c r="A8" s="21" t="str">
        <f>'Paramètres'!D4</f>
        <v>Chantier A</v>
      </c>
      <c r="B8" s="21" t="str">
        <f>Articles!A8</f>
        <v>12345</v>
      </c>
      <c r="C8" s="21" t="str">
        <f>Articles!B8</f>
        <v>Quentin</v>
      </c>
      <c r="D8" s="21" t="str">
        <f>IF(OR($A8="",$B8=""),"",SUMIFS(Mouvements!$G:$G,Mouvements!$E:$E,$A8,Mouvements!$B:$B,$B8,Mouvements!$F:$F,"Départ"))</f>
        <v>100</v>
      </c>
      <c r="E8" s="21" t="str">
        <f>IF(OR($A8="",$B8=""),"",SUMIFS(Mouvements!$G:$G,Mouvements!$E:$E,$A8,Mouvements!$B:$B,$B8,Mouvements!$F:$F,"Retour"))</f>
        <v>0</v>
      </c>
      <c r="F8" s="21" t="str">
        <f t="shared" si="1"/>
        <v>100</v>
      </c>
      <c r="G8" s="21" t="str">
        <f>IF($B8="","",D8*VLOOKUP($B8,Articles!$A$5:$K$204,8,FALSE))</f>
        <v>1000</v>
      </c>
      <c r="H8" s="21"/>
      <c r="I8" s="21" t="str">
        <f t="shared" si="2"/>
        <v>Sur chantier</v>
      </c>
      <c r="J8" s="21"/>
    </row>
    <row r="9">
      <c r="A9" s="21" t="str">
        <f>'Paramètres'!D4</f>
        <v>Chantier A</v>
      </c>
      <c r="B9" s="21" t="str">
        <f>Articles!A9</f>
        <v>4969272</v>
      </c>
      <c r="C9" s="21" t="str">
        <f>Articles!B9</f>
        <v>teben </v>
      </c>
      <c r="D9" s="21" t="str">
        <f>IF(OR($A9="",$B9=""),"",SUMIFS(Mouvements!$G:$G,Mouvements!$E:$E,$A9,Mouvements!$B:$B,$B9,Mouvements!$F:$F,"Départ"))</f>
        <v>4</v>
      </c>
      <c r="E9" s="21" t="str">
        <f>IF(OR($A9="",$B9=""),"",SUMIFS(Mouvements!$G:$G,Mouvements!$E:$E,$A9,Mouvements!$B:$B,$B9,Mouvements!$F:$F,"Retour"))</f>
        <v>0</v>
      </c>
      <c r="F9" s="21" t="str">
        <f t="shared" si="1"/>
        <v>4</v>
      </c>
      <c r="G9" s="21" t="str">
        <f>IF($B9="","",D9*VLOOKUP($B9,Articles!$A$5:$K$204,8,FALSE))</f>
        <v>220</v>
      </c>
      <c r="H9" s="21"/>
      <c r="I9" s="21" t="str">
        <f t="shared" si="2"/>
        <v>Sur chantier</v>
      </c>
      <c r="J9" s="21"/>
    </row>
    <row r="10">
      <c r="A10" s="21" t="str">
        <f>'Paramètres'!D4</f>
        <v>Chantier A</v>
      </c>
      <c r="B10" s="21" t="str">
        <f>Articles!A10</f>
        <v/>
      </c>
      <c r="C10" s="21" t="str">
        <f>Articles!B10</f>
        <v/>
      </c>
      <c r="D10" s="21" t="str">
        <f>IF(OR($A10="",$B10=""),"",SUMIFS(Mouvements!$G:$G,Mouvements!$E:$E,$A10,Mouvements!$B:$B,$B10,Mouvements!$F:$F,"Départ"))</f>
        <v/>
      </c>
      <c r="E10" s="21" t="str">
        <f>IF(OR($A10="",$B10=""),"",SUMIFS(Mouvements!$G:$G,Mouvements!$E:$E,$A10,Mouvements!$B:$B,$B10,Mouvements!$F:$F,"Retour"))</f>
        <v/>
      </c>
      <c r="F10" s="21" t="str">
        <f t="shared" si="1"/>
        <v/>
      </c>
      <c r="G10" s="21" t="str">
        <f>IF($B10="","",D10*VLOOKUP($B10,Articles!$A$5:$K$204,8,FALSE))</f>
        <v/>
      </c>
      <c r="H10" s="21"/>
      <c r="I10" s="21" t="str">
        <f t="shared" si="2"/>
        <v/>
      </c>
      <c r="J10" s="21"/>
    </row>
    <row r="11">
      <c r="A11" s="21" t="str">
        <f>'Paramètres'!D4</f>
        <v>Chantier A</v>
      </c>
      <c r="B11" s="21" t="str">
        <f>Articles!A11</f>
        <v/>
      </c>
      <c r="C11" s="21" t="str">
        <f>Articles!B11</f>
        <v/>
      </c>
      <c r="D11" s="21" t="str">
        <f>IF(OR($A11="",$B11=""),"",SUMIFS(Mouvements!$G:$G,Mouvements!$E:$E,$A11,Mouvements!$B:$B,$B11,Mouvements!$F:$F,"Départ"))</f>
        <v/>
      </c>
      <c r="E11" s="21" t="str">
        <f>IF(OR($A11="",$B11=""),"",SUMIFS(Mouvements!$G:$G,Mouvements!$E:$E,$A11,Mouvements!$B:$B,$B11,Mouvements!$F:$F,"Retour"))</f>
        <v/>
      </c>
      <c r="F11" s="21" t="str">
        <f t="shared" si="1"/>
        <v/>
      </c>
      <c r="G11" s="21" t="str">
        <f>IF($B11="","",D11*VLOOKUP($B11,Articles!$A$5:$K$204,8,FALSE))</f>
        <v/>
      </c>
      <c r="H11" s="21"/>
      <c r="I11" s="21" t="str">
        <f t="shared" si="2"/>
        <v/>
      </c>
      <c r="J11" s="21"/>
    </row>
    <row r="12">
      <c r="A12" s="21" t="str">
        <f>'Paramètres'!D4</f>
        <v>Chantier A</v>
      </c>
      <c r="B12" s="21" t="str">
        <f>Articles!A12</f>
        <v/>
      </c>
      <c r="C12" s="21" t="str">
        <f>Articles!B12</f>
        <v/>
      </c>
      <c r="D12" s="21" t="str">
        <f>IF(OR($A12="",$B12=""),"",SUMIFS(Mouvements!$G:$G,Mouvements!$E:$E,$A12,Mouvements!$B:$B,$B12,Mouvements!$F:$F,"Départ"))</f>
        <v/>
      </c>
      <c r="E12" s="21" t="str">
        <f>IF(OR($A12="",$B12=""),"",SUMIFS(Mouvements!$G:$G,Mouvements!$E:$E,$A12,Mouvements!$B:$B,$B12,Mouvements!$F:$F,"Retour"))</f>
        <v/>
      </c>
      <c r="F12" s="21" t="str">
        <f t="shared" si="1"/>
        <v/>
      </c>
      <c r="G12" s="21" t="str">
        <f>IF($B12="","",D12*VLOOKUP($B12,Articles!$A$5:$K$204,8,FALSE))</f>
        <v/>
      </c>
      <c r="H12" s="21"/>
      <c r="I12" s="21" t="str">
        <f t="shared" si="2"/>
        <v/>
      </c>
      <c r="J12" s="21"/>
    </row>
    <row r="13">
      <c r="A13" s="21" t="str">
        <f>'Paramètres'!D4</f>
        <v>Chantier A</v>
      </c>
      <c r="B13" s="21" t="str">
        <f>Articles!A13</f>
        <v/>
      </c>
      <c r="C13" s="21" t="str">
        <f>Articles!B13</f>
        <v/>
      </c>
      <c r="D13" s="21" t="str">
        <f>IF(OR($A13="",$B13=""),"",SUMIFS(Mouvements!$G:$G,Mouvements!$E:$E,$A13,Mouvements!$B:$B,$B13,Mouvements!$F:$F,"Départ"))</f>
        <v/>
      </c>
      <c r="E13" s="21" t="str">
        <f>IF(OR($A13="",$B13=""),"",SUMIFS(Mouvements!$G:$G,Mouvements!$E:$E,$A13,Mouvements!$B:$B,$B13,Mouvements!$F:$F,"Retour"))</f>
        <v/>
      </c>
      <c r="F13" s="21" t="str">
        <f t="shared" si="1"/>
        <v/>
      </c>
      <c r="G13" s="21" t="str">
        <f>IF($B13="","",D13*VLOOKUP($B13,Articles!$A$5:$K$204,8,FALSE))</f>
        <v/>
      </c>
      <c r="H13" s="21"/>
      <c r="I13" s="21" t="str">
        <f t="shared" si="2"/>
        <v/>
      </c>
      <c r="J13" s="21"/>
    </row>
    <row r="14">
      <c r="A14" s="21" t="str">
        <f>'Paramètres'!D4</f>
        <v>Chantier A</v>
      </c>
      <c r="B14" s="21" t="str">
        <f>Articles!A14</f>
        <v/>
      </c>
      <c r="C14" s="21" t="str">
        <f>Articles!B14</f>
        <v/>
      </c>
      <c r="D14" s="21" t="str">
        <f>IF(OR($A14="",$B14=""),"",SUMIFS(Mouvements!$G:$G,Mouvements!$E:$E,$A14,Mouvements!$B:$B,$B14,Mouvements!$F:$F,"Départ"))</f>
        <v/>
      </c>
      <c r="E14" s="21" t="str">
        <f>IF(OR($A14="",$B14=""),"",SUMIFS(Mouvements!$G:$G,Mouvements!$E:$E,$A14,Mouvements!$B:$B,$B14,Mouvements!$F:$F,"Retour"))</f>
        <v/>
      </c>
      <c r="F14" s="21" t="str">
        <f t="shared" si="1"/>
        <v/>
      </c>
      <c r="G14" s="21" t="str">
        <f>IF($B14="","",D14*VLOOKUP($B14,Articles!$A$5:$K$204,8,FALSE))</f>
        <v/>
      </c>
      <c r="H14" s="21"/>
      <c r="I14" s="21" t="str">
        <f t="shared" si="2"/>
        <v/>
      </c>
      <c r="J14" s="21"/>
    </row>
    <row r="15">
      <c r="A15" s="21" t="str">
        <f>'Paramètres'!D4</f>
        <v>Chantier A</v>
      </c>
      <c r="B15" s="21" t="str">
        <f>Articles!A15</f>
        <v/>
      </c>
      <c r="C15" s="21" t="str">
        <f>Articles!B15</f>
        <v/>
      </c>
      <c r="D15" s="21" t="str">
        <f>IF(OR($A15="",$B15=""),"",SUMIFS(Mouvements!$G:$G,Mouvements!$E:$E,$A15,Mouvements!$B:$B,$B15,Mouvements!$F:$F,"Départ"))</f>
        <v/>
      </c>
      <c r="E15" s="21" t="str">
        <f>IF(OR($A15="",$B15=""),"",SUMIFS(Mouvements!$G:$G,Mouvements!$E:$E,$A15,Mouvements!$B:$B,$B15,Mouvements!$F:$F,"Retour"))</f>
        <v/>
      </c>
      <c r="F15" s="21" t="str">
        <f t="shared" si="1"/>
        <v/>
      </c>
      <c r="G15" s="21" t="str">
        <f>IF($B15="","",D15*VLOOKUP($B15,Articles!$A$5:$K$204,8,FALSE))</f>
        <v/>
      </c>
      <c r="H15" s="21"/>
      <c r="I15" s="21" t="str">
        <f t="shared" si="2"/>
        <v/>
      </c>
      <c r="J15" s="21"/>
    </row>
    <row r="16">
      <c r="A16" s="21" t="str">
        <f>'Paramètres'!D4</f>
        <v>Chantier A</v>
      </c>
      <c r="B16" s="21" t="str">
        <f>Articles!A16</f>
        <v/>
      </c>
      <c r="C16" s="21" t="str">
        <f>Articles!B16</f>
        <v/>
      </c>
      <c r="D16" s="21" t="str">
        <f>IF(OR($A16="",$B16=""),"",SUMIFS(Mouvements!$G:$G,Mouvements!$E:$E,$A16,Mouvements!$B:$B,$B16,Mouvements!$F:$F,"Départ"))</f>
        <v/>
      </c>
      <c r="E16" s="21" t="str">
        <f>IF(OR($A16="",$B16=""),"",SUMIFS(Mouvements!$G:$G,Mouvements!$E:$E,$A16,Mouvements!$B:$B,$B16,Mouvements!$F:$F,"Retour"))</f>
        <v/>
      </c>
      <c r="F16" s="21" t="str">
        <f t="shared" si="1"/>
        <v/>
      </c>
      <c r="G16" s="21" t="str">
        <f>IF($B16="","",D16*VLOOKUP($B16,Articles!$A$5:$K$204,8,FALSE))</f>
        <v/>
      </c>
      <c r="H16" s="21"/>
      <c r="I16" s="21" t="str">
        <f t="shared" si="2"/>
        <v/>
      </c>
      <c r="J16" s="21"/>
    </row>
    <row r="17">
      <c r="A17" s="21" t="str">
        <f>'Paramètres'!D4</f>
        <v>Chantier A</v>
      </c>
      <c r="B17" s="21" t="str">
        <f>Articles!A17</f>
        <v/>
      </c>
      <c r="C17" s="21" t="str">
        <f>Articles!B17</f>
        <v/>
      </c>
      <c r="D17" s="21" t="str">
        <f>IF(OR($A17="",$B17=""),"",SUMIFS(Mouvements!$G:$G,Mouvements!$E:$E,$A17,Mouvements!$B:$B,$B17,Mouvements!$F:$F,"Départ"))</f>
        <v/>
      </c>
      <c r="E17" s="21" t="str">
        <f>IF(OR($A17="",$B17=""),"",SUMIFS(Mouvements!$G:$G,Mouvements!$E:$E,$A17,Mouvements!$B:$B,$B17,Mouvements!$F:$F,"Retour"))</f>
        <v/>
      </c>
      <c r="F17" s="21" t="str">
        <f t="shared" si="1"/>
        <v/>
      </c>
      <c r="G17" s="21" t="str">
        <f>IF($B17="","",D17*VLOOKUP($B17,Articles!$A$5:$K$204,8,FALSE))</f>
        <v/>
      </c>
      <c r="H17" s="21"/>
      <c r="I17" s="21" t="str">
        <f t="shared" si="2"/>
        <v/>
      </c>
      <c r="J17" s="21"/>
    </row>
    <row r="18">
      <c r="A18" s="21" t="str">
        <f>'Paramètres'!D4</f>
        <v>Chantier A</v>
      </c>
      <c r="B18" s="21" t="str">
        <f>Articles!A18</f>
        <v/>
      </c>
      <c r="C18" s="21" t="str">
        <f>Articles!B18</f>
        <v/>
      </c>
      <c r="D18" s="21" t="str">
        <f>IF(OR($A18="",$B18=""),"",SUMIFS(Mouvements!$G:$G,Mouvements!$E:$E,$A18,Mouvements!$B:$B,$B18,Mouvements!$F:$F,"Départ"))</f>
        <v/>
      </c>
      <c r="E18" s="21" t="str">
        <f>IF(OR($A18="",$B18=""),"",SUMIFS(Mouvements!$G:$G,Mouvements!$E:$E,$A18,Mouvements!$B:$B,$B18,Mouvements!$F:$F,"Retour"))</f>
        <v/>
      </c>
      <c r="F18" s="21" t="str">
        <f t="shared" si="1"/>
        <v/>
      </c>
      <c r="G18" s="21" t="str">
        <f>IF($B18="","",D18*VLOOKUP($B18,Articles!$A$5:$K$204,8,FALSE))</f>
        <v/>
      </c>
      <c r="H18" s="21"/>
      <c r="I18" s="21" t="str">
        <f t="shared" si="2"/>
        <v/>
      </c>
      <c r="J18" s="21"/>
    </row>
    <row r="19">
      <c r="A19" s="21" t="str">
        <f>'Paramètres'!D4</f>
        <v>Chantier A</v>
      </c>
      <c r="B19" s="21" t="str">
        <f>Articles!A19</f>
        <v/>
      </c>
      <c r="C19" s="21" t="str">
        <f>Articles!B19</f>
        <v/>
      </c>
      <c r="D19" s="21" t="str">
        <f>IF(OR($A19="",$B19=""),"",SUMIFS(Mouvements!$G:$G,Mouvements!$E:$E,$A19,Mouvements!$B:$B,$B19,Mouvements!$F:$F,"Départ"))</f>
        <v/>
      </c>
      <c r="E19" s="21" t="str">
        <f>IF(OR($A19="",$B19=""),"",SUMIFS(Mouvements!$G:$G,Mouvements!$E:$E,$A19,Mouvements!$B:$B,$B19,Mouvements!$F:$F,"Retour"))</f>
        <v/>
      </c>
      <c r="F19" s="21" t="str">
        <f t="shared" si="1"/>
        <v/>
      </c>
      <c r="G19" s="21" t="str">
        <f>IF($B19="","",D19*VLOOKUP($B19,Articles!$A$5:$K$204,8,FALSE))</f>
        <v/>
      </c>
      <c r="H19" s="21"/>
      <c r="I19" s="21" t="str">
        <f t="shared" si="2"/>
        <v/>
      </c>
      <c r="J19" s="21"/>
    </row>
    <row r="20">
      <c r="A20" s="21" t="str">
        <f>'Paramètres'!D4</f>
        <v>Chantier A</v>
      </c>
      <c r="B20" s="21" t="str">
        <f>Articles!A20</f>
        <v/>
      </c>
      <c r="C20" s="21" t="str">
        <f>Articles!B20</f>
        <v/>
      </c>
      <c r="D20" s="21" t="str">
        <f>IF(OR($A20="",$B20=""),"",SUMIFS(Mouvements!$G:$G,Mouvements!$E:$E,$A20,Mouvements!$B:$B,$B20,Mouvements!$F:$F,"Départ"))</f>
        <v/>
      </c>
      <c r="E20" s="21" t="str">
        <f>IF(OR($A20="",$B20=""),"",SUMIFS(Mouvements!$G:$G,Mouvements!$E:$E,$A20,Mouvements!$B:$B,$B20,Mouvements!$F:$F,"Retour"))</f>
        <v/>
      </c>
      <c r="F20" s="21" t="str">
        <f t="shared" si="1"/>
        <v/>
      </c>
      <c r="G20" s="21" t="str">
        <f>IF($B20="","",D20*VLOOKUP($B20,Articles!$A$5:$K$204,8,FALSE))</f>
        <v/>
      </c>
      <c r="H20" s="21"/>
      <c r="I20" s="21" t="str">
        <f t="shared" si="2"/>
        <v/>
      </c>
      <c r="J20" s="21"/>
    </row>
    <row r="21" ht="15.75" customHeight="1">
      <c r="A21" s="21" t="str">
        <f>'Paramètres'!D4</f>
        <v>Chantier A</v>
      </c>
      <c r="B21" s="21" t="str">
        <f>Articles!A21</f>
        <v/>
      </c>
      <c r="C21" s="21" t="str">
        <f>Articles!B21</f>
        <v/>
      </c>
      <c r="D21" s="21" t="str">
        <f>IF(OR($A21="",$B21=""),"",SUMIFS(Mouvements!$G:$G,Mouvements!$E:$E,$A21,Mouvements!$B:$B,$B21,Mouvements!$F:$F,"Départ"))</f>
        <v/>
      </c>
      <c r="E21" s="21" t="str">
        <f>IF(OR($A21="",$B21=""),"",SUMIFS(Mouvements!$G:$G,Mouvements!$E:$E,$A21,Mouvements!$B:$B,$B21,Mouvements!$F:$F,"Retour"))</f>
        <v/>
      </c>
      <c r="F21" s="21" t="str">
        <f t="shared" si="1"/>
        <v/>
      </c>
      <c r="G21" s="21" t="str">
        <f>IF($B21="","",D21*VLOOKUP($B21,Articles!$A$5:$K$204,8,FALSE))</f>
        <v/>
      </c>
      <c r="H21" s="21"/>
      <c r="I21" s="21" t="str">
        <f t="shared" si="2"/>
        <v/>
      </c>
      <c r="J21" s="21"/>
    </row>
    <row r="22" ht="15.75" customHeight="1">
      <c r="A22" s="21" t="str">
        <f>'Paramètres'!D4</f>
        <v>Chantier A</v>
      </c>
      <c r="B22" s="21" t="str">
        <f>Articles!A22</f>
        <v/>
      </c>
      <c r="C22" s="21" t="str">
        <f>Articles!B22</f>
        <v/>
      </c>
      <c r="D22" s="21" t="str">
        <f>IF(OR($A22="",$B22=""),"",SUMIFS(Mouvements!$G:$G,Mouvements!$E:$E,$A22,Mouvements!$B:$B,$B22,Mouvements!$F:$F,"Départ"))</f>
        <v/>
      </c>
      <c r="E22" s="21" t="str">
        <f>IF(OR($A22="",$B22=""),"",SUMIFS(Mouvements!$G:$G,Mouvements!$E:$E,$A22,Mouvements!$B:$B,$B22,Mouvements!$F:$F,"Retour"))</f>
        <v/>
      </c>
      <c r="F22" s="21" t="str">
        <f t="shared" si="1"/>
        <v/>
      </c>
      <c r="G22" s="21" t="str">
        <f>IF($B22="","",D22*VLOOKUP($B22,Articles!$A$5:$K$204,8,FALSE))</f>
        <v/>
      </c>
      <c r="H22" s="21"/>
      <c r="I22" s="21" t="str">
        <f t="shared" si="2"/>
        <v/>
      </c>
      <c r="J22" s="21"/>
    </row>
    <row r="23" ht="15.75" customHeight="1">
      <c r="A23" s="21" t="str">
        <f>'Paramètres'!D4</f>
        <v>Chantier A</v>
      </c>
      <c r="B23" s="21" t="str">
        <f>Articles!A23</f>
        <v/>
      </c>
      <c r="C23" s="21" t="str">
        <f>Articles!B23</f>
        <v/>
      </c>
      <c r="D23" s="21" t="str">
        <f>IF(OR($A23="",$B23=""),"",SUMIFS(Mouvements!$G:$G,Mouvements!$E:$E,$A23,Mouvements!$B:$B,$B23,Mouvements!$F:$F,"Départ"))</f>
        <v/>
      </c>
      <c r="E23" s="21" t="str">
        <f>IF(OR($A23="",$B23=""),"",SUMIFS(Mouvements!$G:$G,Mouvements!$E:$E,$A23,Mouvements!$B:$B,$B23,Mouvements!$F:$F,"Retour"))</f>
        <v/>
      </c>
      <c r="F23" s="21" t="str">
        <f t="shared" si="1"/>
        <v/>
      </c>
      <c r="G23" s="21" t="str">
        <f>IF($B23="","",D23*VLOOKUP($B23,Articles!$A$5:$K$204,8,FALSE))</f>
        <v/>
      </c>
      <c r="H23" s="21"/>
      <c r="I23" s="21" t="str">
        <f t="shared" si="2"/>
        <v/>
      </c>
      <c r="J23" s="21"/>
    </row>
    <row r="24" ht="15.75" customHeight="1">
      <c r="A24" s="21" t="str">
        <f>'Paramètres'!D4</f>
        <v>Chantier A</v>
      </c>
      <c r="B24" s="21" t="str">
        <f>Articles!A24</f>
        <v/>
      </c>
      <c r="C24" s="21" t="str">
        <f>Articles!B24</f>
        <v/>
      </c>
      <c r="D24" s="21" t="str">
        <f>IF(OR($A24="",$B24=""),"",SUMIFS(Mouvements!$G:$G,Mouvements!$E:$E,$A24,Mouvements!$B:$B,$B24,Mouvements!$F:$F,"Départ"))</f>
        <v/>
      </c>
      <c r="E24" s="21" t="str">
        <f>IF(OR($A24="",$B24=""),"",SUMIFS(Mouvements!$G:$G,Mouvements!$E:$E,$A24,Mouvements!$B:$B,$B24,Mouvements!$F:$F,"Retour"))</f>
        <v/>
      </c>
      <c r="F24" s="21" t="str">
        <f t="shared" si="1"/>
        <v/>
      </c>
      <c r="G24" s="21" t="str">
        <f>IF($B24="","",D24*VLOOKUP($B24,Articles!$A$5:$K$204,8,FALSE))</f>
        <v/>
      </c>
      <c r="H24" s="21"/>
      <c r="I24" s="21" t="str">
        <f t="shared" si="2"/>
        <v/>
      </c>
      <c r="J24" s="21"/>
    </row>
    <row r="25" ht="15.75" customHeight="1">
      <c r="A25" s="21" t="str">
        <f>'Paramètres'!D4</f>
        <v>Chantier A</v>
      </c>
      <c r="B25" s="21" t="str">
        <f>Articles!A25</f>
        <v/>
      </c>
      <c r="C25" s="21" t="str">
        <f>Articles!B25</f>
        <v/>
      </c>
      <c r="D25" s="21" t="str">
        <f>IF(OR($A25="",$B25=""),"",SUMIFS(Mouvements!$G:$G,Mouvements!$E:$E,$A25,Mouvements!$B:$B,$B25,Mouvements!$F:$F,"Départ"))</f>
        <v/>
      </c>
      <c r="E25" s="21" t="str">
        <f>IF(OR($A25="",$B25=""),"",SUMIFS(Mouvements!$G:$G,Mouvements!$E:$E,$A25,Mouvements!$B:$B,$B25,Mouvements!$F:$F,"Retour"))</f>
        <v/>
      </c>
      <c r="F25" s="21" t="str">
        <f t="shared" si="1"/>
        <v/>
      </c>
      <c r="G25" s="21" t="str">
        <f>IF($B25="","",D25*VLOOKUP($B25,Articles!$A$5:$K$204,8,FALSE))</f>
        <v/>
      </c>
      <c r="H25" s="21"/>
      <c r="I25" s="21" t="str">
        <f t="shared" si="2"/>
        <v/>
      </c>
      <c r="J25" s="21"/>
    </row>
    <row r="26" ht="15.75" customHeight="1">
      <c r="A26" s="21" t="str">
        <f>'Paramètres'!D4</f>
        <v>Chantier A</v>
      </c>
      <c r="B26" s="21" t="str">
        <f>Articles!A26</f>
        <v/>
      </c>
      <c r="C26" s="21" t="str">
        <f>Articles!B26</f>
        <v/>
      </c>
      <c r="D26" s="21" t="str">
        <f>IF(OR($A26="",$B26=""),"",SUMIFS(Mouvements!$G:$G,Mouvements!$E:$E,$A26,Mouvements!$B:$B,$B26,Mouvements!$F:$F,"Départ"))</f>
        <v/>
      </c>
      <c r="E26" s="21" t="str">
        <f>IF(OR($A26="",$B26=""),"",SUMIFS(Mouvements!$G:$G,Mouvements!$E:$E,$A26,Mouvements!$B:$B,$B26,Mouvements!$F:$F,"Retour"))</f>
        <v/>
      </c>
      <c r="F26" s="21" t="str">
        <f t="shared" si="1"/>
        <v/>
      </c>
      <c r="G26" s="21" t="str">
        <f>IF($B26="","",D26*VLOOKUP($B26,Articles!$A$5:$K$204,8,FALSE))</f>
        <v/>
      </c>
      <c r="H26" s="21"/>
      <c r="I26" s="21" t="str">
        <f t="shared" si="2"/>
        <v/>
      </c>
      <c r="J26" s="21"/>
    </row>
    <row r="27" ht="15.75" customHeight="1">
      <c r="A27" s="21" t="str">
        <f>'Paramètres'!D4</f>
        <v>Chantier A</v>
      </c>
      <c r="B27" s="21" t="str">
        <f>Articles!A27</f>
        <v/>
      </c>
      <c r="C27" s="21" t="str">
        <f>Articles!B27</f>
        <v/>
      </c>
      <c r="D27" s="21" t="str">
        <f>IF(OR($A27="",$B27=""),"",SUMIFS(Mouvements!$G:$G,Mouvements!$E:$E,$A27,Mouvements!$B:$B,$B27,Mouvements!$F:$F,"Départ"))</f>
        <v/>
      </c>
      <c r="E27" s="21" t="str">
        <f>IF(OR($A27="",$B27=""),"",SUMIFS(Mouvements!$G:$G,Mouvements!$E:$E,$A27,Mouvements!$B:$B,$B27,Mouvements!$F:$F,"Retour"))</f>
        <v/>
      </c>
      <c r="F27" s="21" t="str">
        <f t="shared" si="1"/>
        <v/>
      </c>
      <c r="G27" s="21" t="str">
        <f>IF($B27="","",D27*VLOOKUP($B27,Articles!$A$5:$K$204,8,FALSE))</f>
        <v/>
      </c>
      <c r="H27" s="21"/>
      <c r="I27" s="21" t="str">
        <f t="shared" si="2"/>
        <v/>
      </c>
      <c r="J27" s="21"/>
    </row>
    <row r="28" ht="15.75" customHeight="1">
      <c r="A28" s="21" t="str">
        <f>'Paramètres'!D4</f>
        <v>Chantier A</v>
      </c>
      <c r="B28" s="21" t="str">
        <f>Articles!A28</f>
        <v/>
      </c>
      <c r="C28" s="21" t="str">
        <f>Articles!B28</f>
        <v/>
      </c>
      <c r="D28" s="21" t="str">
        <f>IF(OR($A28="",$B28=""),"",SUMIFS(Mouvements!$G:$G,Mouvements!$E:$E,$A28,Mouvements!$B:$B,$B28,Mouvements!$F:$F,"Départ"))</f>
        <v/>
      </c>
      <c r="E28" s="21" t="str">
        <f>IF(OR($A28="",$B28=""),"",SUMIFS(Mouvements!$G:$G,Mouvements!$E:$E,$A28,Mouvements!$B:$B,$B28,Mouvements!$F:$F,"Retour"))</f>
        <v/>
      </c>
      <c r="F28" s="21" t="str">
        <f t="shared" si="1"/>
        <v/>
      </c>
      <c r="G28" s="21" t="str">
        <f>IF($B28="","",D28*VLOOKUP($B28,Articles!$A$5:$K$204,8,FALSE))</f>
        <v/>
      </c>
      <c r="H28" s="21"/>
      <c r="I28" s="21" t="str">
        <f t="shared" si="2"/>
        <v/>
      </c>
      <c r="J28" s="21"/>
    </row>
    <row r="29" ht="15.75" customHeight="1">
      <c r="A29" s="21" t="str">
        <f>'Paramètres'!D4</f>
        <v>Chantier A</v>
      </c>
      <c r="B29" s="21" t="str">
        <f>Articles!A29</f>
        <v/>
      </c>
      <c r="C29" s="21" t="str">
        <f>Articles!B29</f>
        <v/>
      </c>
      <c r="D29" s="21" t="str">
        <f>IF(OR($A29="",$B29=""),"",SUMIFS(Mouvements!$G:$G,Mouvements!$E:$E,$A29,Mouvements!$B:$B,$B29,Mouvements!$F:$F,"Départ"))</f>
        <v/>
      </c>
      <c r="E29" s="21" t="str">
        <f>IF(OR($A29="",$B29=""),"",SUMIFS(Mouvements!$G:$G,Mouvements!$E:$E,$A29,Mouvements!$B:$B,$B29,Mouvements!$F:$F,"Retour"))</f>
        <v/>
      </c>
      <c r="F29" s="21" t="str">
        <f t="shared" si="1"/>
        <v/>
      </c>
      <c r="G29" s="21" t="str">
        <f>IF($B29="","",D29*VLOOKUP($B29,Articles!$A$5:$K$204,8,FALSE))</f>
        <v/>
      </c>
      <c r="H29" s="21"/>
      <c r="I29" s="21" t="str">
        <f t="shared" si="2"/>
        <v/>
      </c>
      <c r="J29" s="21"/>
    </row>
    <row r="30" ht="15.75" customHeight="1">
      <c r="A30" s="21" t="str">
        <f>'Paramètres'!D4</f>
        <v>Chantier A</v>
      </c>
      <c r="B30" s="21" t="str">
        <f>Articles!A30</f>
        <v/>
      </c>
      <c r="C30" s="21" t="str">
        <f>Articles!B30</f>
        <v/>
      </c>
      <c r="D30" s="21" t="str">
        <f>IF(OR($A30="",$B30=""),"",SUMIFS(Mouvements!$G:$G,Mouvements!$E:$E,$A30,Mouvements!$B:$B,$B30,Mouvements!$F:$F,"Départ"))</f>
        <v/>
      </c>
      <c r="E30" s="21" t="str">
        <f>IF(OR($A30="",$B30=""),"",SUMIFS(Mouvements!$G:$G,Mouvements!$E:$E,$A30,Mouvements!$B:$B,$B30,Mouvements!$F:$F,"Retour"))</f>
        <v/>
      </c>
      <c r="F30" s="21" t="str">
        <f t="shared" si="1"/>
        <v/>
      </c>
      <c r="G30" s="21" t="str">
        <f>IF($B30="","",D30*VLOOKUP($B30,Articles!$A$5:$K$204,8,FALSE))</f>
        <v/>
      </c>
      <c r="H30" s="21"/>
      <c r="I30" s="21" t="str">
        <f t="shared" si="2"/>
        <v/>
      </c>
      <c r="J30" s="21"/>
    </row>
    <row r="31" ht="15.75" customHeight="1">
      <c r="A31" s="21" t="str">
        <f>'Paramètres'!D4</f>
        <v>Chantier A</v>
      </c>
      <c r="B31" s="21" t="str">
        <f>Articles!A31</f>
        <v/>
      </c>
      <c r="C31" s="21" t="str">
        <f>Articles!B31</f>
        <v/>
      </c>
      <c r="D31" s="21" t="str">
        <f>IF(OR($A31="",$B31=""),"",SUMIFS(Mouvements!$G:$G,Mouvements!$E:$E,$A31,Mouvements!$B:$B,$B31,Mouvements!$F:$F,"Départ"))</f>
        <v/>
      </c>
      <c r="E31" s="21" t="str">
        <f>IF(OR($A31="",$B31=""),"",SUMIFS(Mouvements!$G:$G,Mouvements!$E:$E,$A31,Mouvements!$B:$B,$B31,Mouvements!$F:$F,"Retour"))</f>
        <v/>
      </c>
      <c r="F31" s="21" t="str">
        <f t="shared" si="1"/>
        <v/>
      </c>
      <c r="G31" s="21" t="str">
        <f>IF($B31="","",D31*VLOOKUP($B31,Articles!$A$5:$K$204,8,FALSE))</f>
        <v/>
      </c>
      <c r="H31" s="21"/>
      <c r="I31" s="21" t="str">
        <f t="shared" si="2"/>
        <v/>
      </c>
      <c r="J31" s="21"/>
    </row>
    <row r="32" ht="15.75" customHeight="1">
      <c r="A32" s="21" t="str">
        <f>'Paramètres'!D4</f>
        <v>Chantier A</v>
      </c>
      <c r="B32" s="21" t="str">
        <f>Articles!A32</f>
        <v/>
      </c>
      <c r="C32" s="21" t="str">
        <f>Articles!B32</f>
        <v/>
      </c>
      <c r="D32" s="21" t="str">
        <f>IF(OR($A32="",$B32=""),"",SUMIFS(Mouvements!$G:$G,Mouvements!$E:$E,$A32,Mouvements!$B:$B,$B32,Mouvements!$F:$F,"Départ"))</f>
        <v/>
      </c>
      <c r="E32" s="21" t="str">
        <f>IF(OR($A32="",$B32=""),"",SUMIFS(Mouvements!$G:$G,Mouvements!$E:$E,$A32,Mouvements!$B:$B,$B32,Mouvements!$F:$F,"Retour"))</f>
        <v/>
      </c>
      <c r="F32" s="21" t="str">
        <f t="shared" si="1"/>
        <v/>
      </c>
      <c r="G32" s="21" t="str">
        <f>IF($B32="","",D32*VLOOKUP($B32,Articles!$A$5:$K$204,8,FALSE))</f>
        <v/>
      </c>
      <c r="H32" s="21"/>
      <c r="I32" s="21" t="str">
        <f t="shared" si="2"/>
        <v/>
      </c>
      <c r="J32" s="21"/>
    </row>
    <row r="33" ht="15.75" customHeight="1">
      <c r="A33" s="21" t="str">
        <f>'Paramètres'!D4</f>
        <v>Chantier A</v>
      </c>
      <c r="B33" s="21" t="str">
        <f>Articles!A33</f>
        <v/>
      </c>
      <c r="C33" s="21" t="str">
        <f>Articles!B33</f>
        <v/>
      </c>
      <c r="D33" s="21" t="str">
        <f>IF(OR($A33="",$B33=""),"",SUMIFS(Mouvements!$G:$G,Mouvements!$E:$E,$A33,Mouvements!$B:$B,$B33,Mouvements!$F:$F,"Départ"))</f>
        <v/>
      </c>
      <c r="E33" s="21" t="str">
        <f>IF(OR($A33="",$B33=""),"",SUMIFS(Mouvements!$G:$G,Mouvements!$E:$E,$A33,Mouvements!$B:$B,$B33,Mouvements!$F:$F,"Retour"))</f>
        <v/>
      </c>
      <c r="F33" s="21" t="str">
        <f t="shared" si="1"/>
        <v/>
      </c>
      <c r="G33" s="21" t="str">
        <f>IF($B33="","",D33*VLOOKUP($B33,Articles!$A$5:$K$204,8,FALSE))</f>
        <v/>
      </c>
      <c r="H33" s="21"/>
      <c r="I33" s="21" t="str">
        <f t="shared" si="2"/>
        <v/>
      </c>
      <c r="J33" s="21"/>
    </row>
    <row r="34" ht="15.75" customHeight="1">
      <c r="A34" s="21" t="str">
        <f>'Paramètres'!D4</f>
        <v>Chantier A</v>
      </c>
      <c r="B34" s="21" t="str">
        <f>Articles!A34</f>
        <v/>
      </c>
      <c r="C34" s="21" t="str">
        <f>Articles!B34</f>
        <v/>
      </c>
      <c r="D34" s="21" t="str">
        <f>IF(OR($A34="",$B34=""),"",SUMIFS(Mouvements!$G:$G,Mouvements!$E:$E,$A34,Mouvements!$B:$B,$B34,Mouvements!$F:$F,"Départ"))</f>
        <v/>
      </c>
      <c r="E34" s="21" t="str">
        <f>IF(OR($A34="",$B34=""),"",SUMIFS(Mouvements!$G:$G,Mouvements!$E:$E,$A34,Mouvements!$B:$B,$B34,Mouvements!$F:$F,"Retour"))</f>
        <v/>
      </c>
      <c r="F34" s="21" t="str">
        <f t="shared" si="1"/>
        <v/>
      </c>
      <c r="G34" s="21" t="str">
        <f>IF($B34="","",D34*VLOOKUP($B34,Articles!$A$5:$K$204,8,FALSE))</f>
        <v/>
      </c>
      <c r="H34" s="21"/>
      <c r="I34" s="21" t="str">
        <f t="shared" si="2"/>
        <v/>
      </c>
      <c r="J34" s="21"/>
    </row>
    <row r="35" ht="15.75" customHeight="1">
      <c r="A35" s="21" t="str">
        <f>'Paramètres'!D5</f>
        <v>Chantier B</v>
      </c>
      <c r="B35" s="21" t="str">
        <f>Articles!A5</f>
        <v>VIS-6X60</v>
      </c>
      <c r="C35" s="21" t="str">
        <f>Articles!B5</f>
        <v>Vis béton 6x60</v>
      </c>
      <c r="D35" s="21" t="str">
        <f>IF(OR($A35="",$B35=""),"",SUMIFS(Mouvements!$G:$G,Mouvements!$E:$E,$A35,Mouvements!$B:$B,$B35,Mouvements!$F:$F,"Départ"))</f>
        <v>0</v>
      </c>
      <c r="E35" s="21" t="str">
        <f>IF(OR($A35="",$B35=""),"",SUMIFS(Mouvements!$G:$G,Mouvements!$E:$E,$A35,Mouvements!$B:$B,$B35,Mouvements!$F:$F,"Retour"))</f>
        <v>0</v>
      </c>
      <c r="F35" s="21" t="str">
        <f t="shared" si="1"/>
        <v>0</v>
      </c>
      <c r="G35" s="21" t="str">
        <f>IF($B35="","",D35*VLOOKUP($B35,Articles!$A$5:$K$204,8,FALSE))</f>
        <v>0</v>
      </c>
      <c r="H35" s="21"/>
      <c r="I35" s="21" t="str">
        <f t="shared" si="2"/>
        <v>Soldé</v>
      </c>
      <c r="J35" s="21"/>
    </row>
    <row r="36" ht="15.75" customHeight="1">
      <c r="A36" s="21" t="str">
        <f>'Paramètres'!D5</f>
        <v>Chantier B</v>
      </c>
      <c r="B36" s="21" t="str">
        <f>Articles!A6</f>
        <v>PERF-001</v>
      </c>
      <c r="C36" s="21" t="str">
        <f>Articles!B6</f>
        <v>Perforateur SDS</v>
      </c>
      <c r="D36" s="21" t="str">
        <f>IF(OR($A36="",$B36=""),"",SUMIFS(Mouvements!$G:$G,Mouvements!$E:$E,$A36,Mouvements!$B:$B,$B36,Mouvements!$F:$F,"Départ"))</f>
        <v>0</v>
      </c>
      <c r="E36" s="21" t="str">
        <f>IF(OR($A36="",$B36=""),"",SUMIFS(Mouvements!$G:$G,Mouvements!$E:$E,$A36,Mouvements!$B:$B,$B36,Mouvements!$F:$F,"Retour"))</f>
        <v>0</v>
      </c>
      <c r="F36" s="21" t="str">
        <f t="shared" si="1"/>
        <v>0</v>
      </c>
      <c r="G36" s="21" t="str">
        <f>IF($B36="","",D36*VLOOKUP($B36,Articles!$A$5:$K$204,8,FALSE))</f>
        <v>0</v>
      </c>
      <c r="H36" s="21"/>
      <c r="I36" s="21" t="str">
        <f t="shared" si="2"/>
        <v>Soldé</v>
      </c>
      <c r="J36" s="21"/>
    </row>
    <row r="37" ht="15.75" customHeight="1">
      <c r="A37" s="21" t="str">
        <f>'Paramètres'!D5</f>
        <v>Chantier B</v>
      </c>
      <c r="B37" s="21" t="str">
        <f>Articles!A7</f>
        <v>GANT-L</v>
      </c>
      <c r="C37" s="21" t="str">
        <f>Articles!B7</f>
        <v>Gants taille L</v>
      </c>
      <c r="D37" s="21" t="str">
        <f>IF(OR($A37="",$B37=""),"",SUMIFS(Mouvements!$G:$G,Mouvements!$E:$E,$A37,Mouvements!$B:$B,$B37,Mouvements!$F:$F,"Départ"))</f>
        <v>0</v>
      </c>
      <c r="E37" s="21" t="str">
        <f>IF(OR($A37="",$B37=""),"",SUMIFS(Mouvements!$G:$G,Mouvements!$E:$E,$A37,Mouvements!$B:$B,$B37,Mouvements!$F:$F,"Retour"))</f>
        <v>0</v>
      </c>
      <c r="F37" s="21" t="str">
        <f t="shared" si="1"/>
        <v>0</v>
      </c>
      <c r="G37" s="21" t="str">
        <f>IF($B37="","",D37*VLOOKUP($B37,Articles!$A$5:$K$204,8,FALSE))</f>
        <v>0</v>
      </c>
      <c r="H37" s="21"/>
      <c r="I37" s="21" t="str">
        <f t="shared" si="2"/>
        <v>Soldé</v>
      </c>
      <c r="J37" s="21"/>
    </row>
    <row r="38" ht="15.75" customHeight="1">
      <c r="A38" s="21" t="str">
        <f>'Paramètres'!D5</f>
        <v>Chantier B</v>
      </c>
      <c r="B38" s="21" t="str">
        <f>Articles!A8</f>
        <v>12345</v>
      </c>
      <c r="C38" s="21" t="str">
        <f>Articles!B8</f>
        <v>Quentin</v>
      </c>
      <c r="D38" s="21" t="str">
        <f>IF(OR($A38="",$B38=""),"",SUMIFS(Mouvements!$G:$G,Mouvements!$E:$E,$A38,Mouvements!$B:$B,$B38,Mouvements!$F:$F,"Départ"))</f>
        <v>0</v>
      </c>
      <c r="E38" s="21" t="str">
        <f>IF(OR($A38="",$B38=""),"",SUMIFS(Mouvements!$G:$G,Mouvements!$E:$E,$A38,Mouvements!$B:$B,$B38,Mouvements!$F:$F,"Retour"))</f>
        <v>0</v>
      </c>
      <c r="F38" s="21" t="str">
        <f t="shared" si="1"/>
        <v>0</v>
      </c>
      <c r="G38" s="21" t="str">
        <f>IF($B38="","",D38*VLOOKUP($B38,Articles!$A$5:$K$204,8,FALSE))</f>
        <v>0</v>
      </c>
      <c r="H38" s="21"/>
      <c r="I38" s="21" t="str">
        <f t="shared" si="2"/>
        <v>Soldé</v>
      </c>
      <c r="J38" s="21"/>
    </row>
    <row r="39" ht="15.75" customHeight="1">
      <c r="A39" s="21" t="str">
        <f>'Paramètres'!D5</f>
        <v>Chantier B</v>
      </c>
      <c r="B39" s="21" t="str">
        <f>Articles!A9</f>
        <v>4969272</v>
      </c>
      <c r="C39" s="21" t="str">
        <f>Articles!B9</f>
        <v>teben </v>
      </c>
      <c r="D39" s="21" t="str">
        <f>IF(OR($A39="",$B39=""),"",SUMIFS(Mouvements!$G:$G,Mouvements!$E:$E,$A39,Mouvements!$B:$B,$B39,Mouvements!$F:$F,"Départ"))</f>
        <v>0</v>
      </c>
      <c r="E39" s="21" t="str">
        <f>IF(OR($A39="",$B39=""),"",SUMIFS(Mouvements!$G:$G,Mouvements!$E:$E,$A39,Mouvements!$B:$B,$B39,Mouvements!$F:$F,"Retour"))</f>
        <v>0</v>
      </c>
      <c r="F39" s="21" t="str">
        <f t="shared" si="1"/>
        <v>0</v>
      </c>
      <c r="G39" s="21" t="str">
        <f>IF($B39="","",D39*VLOOKUP($B39,Articles!$A$5:$K$204,8,FALSE))</f>
        <v>0</v>
      </c>
      <c r="H39" s="21"/>
      <c r="I39" s="21" t="str">
        <f t="shared" si="2"/>
        <v>Soldé</v>
      </c>
      <c r="J39" s="21"/>
    </row>
    <row r="40" ht="15.75" customHeight="1">
      <c r="A40" s="21" t="str">
        <f>'Paramètres'!D5</f>
        <v>Chantier B</v>
      </c>
      <c r="B40" s="21" t="str">
        <f>Articles!A10</f>
        <v/>
      </c>
      <c r="C40" s="21" t="str">
        <f>Articles!B10</f>
        <v/>
      </c>
      <c r="D40" s="21" t="str">
        <f>IF(OR($A40="",$B40=""),"",SUMIFS(Mouvements!$G:$G,Mouvements!$E:$E,$A40,Mouvements!$B:$B,$B40,Mouvements!$F:$F,"Départ"))</f>
        <v/>
      </c>
      <c r="E40" s="21" t="str">
        <f>IF(OR($A40="",$B40=""),"",SUMIFS(Mouvements!$G:$G,Mouvements!$E:$E,$A40,Mouvements!$B:$B,$B40,Mouvements!$F:$F,"Retour"))</f>
        <v/>
      </c>
      <c r="F40" s="21" t="str">
        <f t="shared" si="1"/>
        <v/>
      </c>
      <c r="G40" s="21" t="str">
        <f>IF($B40="","",D40*VLOOKUP($B40,Articles!$A$5:$K$204,8,FALSE))</f>
        <v/>
      </c>
      <c r="H40" s="21"/>
      <c r="I40" s="21" t="str">
        <f t="shared" si="2"/>
        <v/>
      </c>
      <c r="J40" s="21"/>
    </row>
    <row r="41" ht="15.75" customHeight="1">
      <c r="A41" s="21" t="str">
        <f>'Paramètres'!D5</f>
        <v>Chantier B</v>
      </c>
      <c r="B41" s="21" t="str">
        <f>Articles!A11</f>
        <v/>
      </c>
      <c r="C41" s="21" t="str">
        <f>Articles!B11</f>
        <v/>
      </c>
      <c r="D41" s="21" t="str">
        <f>IF(OR($A41="",$B41=""),"",SUMIFS(Mouvements!$G:$G,Mouvements!$E:$E,$A41,Mouvements!$B:$B,$B41,Mouvements!$F:$F,"Départ"))</f>
        <v/>
      </c>
      <c r="E41" s="21" t="str">
        <f>IF(OR($A41="",$B41=""),"",SUMIFS(Mouvements!$G:$G,Mouvements!$E:$E,$A41,Mouvements!$B:$B,$B41,Mouvements!$F:$F,"Retour"))</f>
        <v/>
      </c>
      <c r="F41" s="21" t="str">
        <f t="shared" si="1"/>
        <v/>
      </c>
      <c r="G41" s="21" t="str">
        <f>IF($B41="","",D41*VLOOKUP($B41,Articles!$A$5:$K$204,8,FALSE))</f>
        <v/>
      </c>
      <c r="H41" s="21"/>
      <c r="I41" s="21" t="str">
        <f t="shared" si="2"/>
        <v/>
      </c>
      <c r="J41" s="21"/>
    </row>
    <row r="42" ht="15.75" customHeight="1">
      <c r="A42" s="21" t="str">
        <f>'Paramètres'!D5</f>
        <v>Chantier B</v>
      </c>
      <c r="B42" s="21" t="str">
        <f>Articles!A12</f>
        <v/>
      </c>
      <c r="C42" s="21" t="str">
        <f>Articles!B12</f>
        <v/>
      </c>
      <c r="D42" s="21" t="str">
        <f>IF(OR($A42="",$B42=""),"",SUMIFS(Mouvements!$G:$G,Mouvements!$E:$E,$A42,Mouvements!$B:$B,$B42,Mouvements!$F:$F,"Départ"))</f>
        <v/>
      </c>
      <c r="E42" s="21" t="str">
        <f>IF(OR($A42="",$B42=""),"",SUMIFS(Mouvements!$G:$G,Mouvements!$E:$E,$A42,Mouvements!$B:$B,$B42,Mouvements!$F:$F,"Retour"))</f>
        <v/>
      </c>
      <c r="F42" s="21" t="str">
        <f t="shared" si="1"/>
        <v/>
      </c>
      <c r="G42" s="21" t="str">
        <f>IF($B42="","",D42*VLOOKUP($B42,Articles!$A$5:$K$204,8,FALSE))</f>
        <v/>
      </c>
      <c r="H42" s="21"/>
      <c r="I42" s="21" t="str">
        <f t="shared" si="2"/>
        <v/>
      </c>
      <c r="J42" s="21"/>
    </row>
    <row r="43" ht="15.75" customHeight="1">
      <c r="A43" s="21" t="str">
        <f>'Paramètres'!D5</f>
        <v>Chantier B</v>
      </c>
      <c r="B43" s="21" t="str">
        <f>Articles!A13</f>
        <v/>
      </c>
      <c r="C43" s="21" t="str">
        <f>Articles!B13</f>
        <v/>
      </c>
      <c r="D43" s="21" t="str">
        <f>IF(OR($A43="",$B43=""),"",SUMIFS(Mouvements!$G:$G,Mouvements!$E:$E,$A43,Mouvements!$B:$B,$B43,Mouvements!$F:$F,"Départ"))</f>
        <v/>
      </c>
      <c r="E43" s="21" t="str">
        <f>IF(OR($A43="",$B43=""),"",SUMIFS(Mouvements!$G:$G,Mouvements!$E:$E,$A43,Mouvements!$B:$B,$B43,Mouvements!$F:$F,"Retour"))</f>
        <v/>
      </c>
      <c r="F43" s="21" t="str">
        <f t="shared" si="1"/>
        <v/>
      </c>
      <c r="G43" s="21" t="str">
        <f>IF($B43="","",D43*VLOOKUP($B43,Articles!$A$5:$K$204,8,FALSE))</f>
        <v/>
      </c>
      <c r="H43" s="21"/>
      <c r="I43" s="21" t="str">
        <f t="shared" si="2"/>
        <v/>
      </c>
      <c r="J43" s="21"/>
    </row>
    <row r="44" ht="15.75" customHeight="1">
      <c r="A44" s="21" t="str">
        <f>'Paramètres'!D5</f>
        <v>Chantier B</v>
      </c>
      <c r="B44" s="21" t="str">
        <f>Articles!A14</f>
        <v/>
      </c>
      <c r="C44" s="21" t="str">
        <f>Articles!B14</f>
        <v/>
      </c>
      <c r="D44" s="21" t="str">
        <f>IF(OR($A44="",$B44=""),"",SUMIFS(Mouvements!$G:$G,Mouvements!$E:$E,$A44,Mouvements!$B:$B,$B44,Mouvements!$F:$F,"Départ"))</f>
        <v/>
      </c>
      <c r="E44" s="21" t="str">
        <f>IF(OR($A44="",$B44=""),"",SUMIFS(Mouvements!$G:$G,Mouvements!$E:$E,$A44,Mouvements!$B:$B,$B44,Mouvements!$F:$F,"Retour"))</f>
        <v/>
      </c>
      <c r="F44" s="21" t="str">
        <f t="shared" si="1"/>
        <v/>
      </c>
      <c r="G44" s="21" t="str">
        <f>IF($B44="","",D44*VLOOKUP($B44,Articles!$A$5:$K$204,8,FALSE))</f>
        <v/>
      </c>
      <c r="H44" s="21"/>
      <c r="I44" s="21" t="str">
        <f t="shared" si="2"/>
        <v/>
      </c>
      <c r="J44" s="21"/>
    </row>
    <row r="45" ht="15.75" customHeight="1">
      <c r="A45" s="21" t="str">
        <f>'Paramètres'!D5</f>
        <v>Chantier B</v>
      </c>
      <c r="B45" s="21" t="str">
        <f>Articles!A15</f>
        <v/>
      </c>
      <c r="C45" s="21" t="str">
        <f>Articles!B15</f>
        <v/>
      </c>
      <c r="D45" s="21" t="str">
        <f>IF(OR($A45="",$B45=""),"",SUMIFS(Mouvements!$G:$G,Mouvements!$E:$E,$A45,Mouvements!$B:$B,$B45,Mouvements!$F:$F,"Départ"))</f>
        <v/>
      </c>
      <c r="E45" s="21" t="str">
        <f>IF(OR($A45="",$B45=""),"",SUMIFS(Mouvements!$G:$G,Mouvements!$E:$E,$A45,Mouvements!$B:$B,$B45,Mouvements!$F:$F,"Retour"))</f>
        <v/>
      </c>
      <c r="F45" s="21" t="str">
        <f t="shared" si="1"/>
        <v/>
      </c>
      <c r="G45" s="21" t="str">
        <f>IF($B45="","",D45*VLOOKUP($B45,Articles!$A$5:$K$204,8,FALSE))</f>
        <v/>
      </c>
      <c r="H45" s="21"/>
      <c r="I45" s="21" t="str">
        <f t="shared" si="2"/>
        <v/>
      </c>
      <c r="J45" s="21"/>
    </row>
    <row r="46" ht="15.75" customHeight="1">
      <c r="A46" s="21" t="str">
        <f>'Paramètres'!D5</f>
        <v>Chantier B</v>
      </c>
      <c r="B46" s="21" t="str">
        <f>Articles!A16</f>
        <v/>
      </c>
      <c r="C46" s="21" t="str">
        <f>Articles!B16</f>
        <v/>
      </c>
      <c r="D46" s="21" t="str">
        <f>IF(OR($A46="",$B46=""),"",SUMIFS(Mouvements!$G:$G,Mouvements!$E:$E,$A46,Mouvements!$B:$B,$B46,Mouvements!$F:$F,"Départ"))</f>
        <v/>
      </c>
      <c r="E46" s="21" t="str">
        <f>IF(OR($A46="",$B46=""),"",SUMIFS(Mouvements!$G:$G,Mouvements!$E:$E,$A46,Mouvements!$B:$B,$B46,Mouvements!$F:$F,"Retour"))</f>
        <v/>
      </c>
      <c r="F46" s="21" t="str">
        <f t="shared" si="1"/>
        <v/>
      </c>
      <c r="G46" s="21" t="str">
        <f>IF($B46="","",D46*VLOOKUP($B46,Articles!$A$5:$K$204,8,FALSE))</f>
        <v/>
      </c>
      <c r="H46" s="21"/>
      <c r="I46" s="21" t="str">
        <f t="shared" si="2"/>
        <v/>
      </c>
      <c r="J46" s="21"/>
    </row>
    <row r="47" ht="15.75" customHeight="1">
      <c r="A47" s="21" t="str">
        <f>'Paramètres'!D5</f>
        <v>Chantier B</v>
      </c>
      <c r="B47" s="21" t="str">
        <f>Articles!A17</f>
        <v/>
      </c>
      <c r="C47" s="21" t="str">
        <f>Articles!B17</f>
        <v/>
      </c>
      <c r="D47" s="21" t="str">
        <f>IF(OR($A47="",$B47=""),"",SUMIFS(Mouvements!$G:$G,Mouvements!$E:$E,$A47,Mouvements!$B:$B,$B47,Mouvements!$F:$F,"Départ"))</f>
        <v/>
      </c>
      <c r="E47" s="21" t="str">
        <f>IF(OR($A47="",$B47=""),"",SUMIFS(Mouvements!$G:$G,Mouvements!$E:$E,$A47,Mouvements!$B:$B,$B47,Mouvements!$F:$F,"Retour"))</f>
        <v/>
      </c>
      <c r="F47" s="21" t="str">
        <f t="shared" si="1"/>
        <v/>
      </c>
      <c r="G47" s="21" t="str">
        <f>IF($B47="","",D47*VLOOKUP($B47,Articles!$A$5:$K$204,8,FALSE))</f>
        <v/>
      </c>
      <c r="H47" s="21"/>
      <c r="I47" s="21" t="str">
        <f t="shared" si="2"/>
        <v/>
      </c>
      <c r="J47" s="21"/>
    </row>
    <row r="48" ht="15.75" customHeight="1">
      <c r="A48" s="21" t="str">
        <f>'Paramètres'!D5</f>
        <v>Chantier B</v>
      </c>
      <c r="B48" s="21" t="str">
        <f>Articles!A18</f>
        <v/>
      </c>
      <c r="C48" s="21" t="str">
        <f>Articles!B18</f>
        <v/>
      </c>
      <c r="D48" s="21" t="str">
        <f>IF(OR($A48="",$B48=""),"",SUMIFS(Mouvements!$G:$G,Mouvements!$E:$E,$A48,Mouvements!$B:$B,$B48,Mouvements!$F:$F,"Départ"))</f>
        <v/>
      </c>
      <c r="E48" s="21" t="str">
        <f>IF(OR($A48="",$B48=""),"",SUMIFS(Mouvements!$G:$G,Mouvements!$E:$E,$A48,Mouvements!$B:$B,$B48,Mouvements!$F:$F,"Retour"))</f>
        <v/>
      </c>
      <c r="F48" s="21" t="str">
        <f t="shared" si="1"/>
        <v/>
      </c>
      <c r="G48" s="21" t="str">
        <f>IF($B48="","",D48*VLOOKUP($B48,Articles!$A$5:$K$204,8,FALSE))</f>
        <v/>
      </c>
      <c r="H48" s="21"/>
      <c r="I48" s="21" t="str">
        <f t="shared" si="2"/>
        <v/>
      </c>
      <c r="J48" s="21"/>
    </row>
    <row r="49" ht="15.75" customHeight="1">
      <c r="A49" s="21" t="str">
        <f>'Paramètres'!D5</f>
        <v>Chantier B</v>
      </c>
      <c r="B49" s="21" t="str">
        <f>Articles!A19</f>
        <v/>
      </c>
      <c r="C49" s="21" t="str">
        <f>Articles!B19</f>
        <v/>
      </c>
      <c r="D49" s="21" t="str">
        <f>IF(OR($A49="",$B49=""),"",SUMIFS(Mouvements!$G:$G,Mouvements!$E:$E,$A49,Mouvements!$B:$B,$B49,Mouvements!$F:$F,"Départ"))</f>
        <v/>
      </c>
      <c r="E49" s="21" t="str">
        <f>IF(OR($A49="",$B49=""),"",SUMIFS(Mouvements!$G:$G,Mouvements!$E:$E,$A49,Mouvements!$B:$B,$B49,Mouvements!$F:$F,"Retour"))</f>
        <v/>
      </c>
      <c r="F49" s="21" t="str">
        <f t="shared" si="1"/>
        <v/>
      </c>
      <c r="G49" s="21" t="str">
        <f>IF($B49="","",D49*VLOOKUP($B49,Articles!$A$5:$K$204,8,FALSE))</f>
        <v/>
      </c>
      <c r="H49" s="21"/>
      <c r="I49" s="21" t="str">
        <f t="shared" si="2"/>
        <v/>
      </c>
      <c r="J49" s="21"/>
    </row>
    <row r="50" ht="15.75" customHeight="1">
      <c r="A50" s="21" t="str">
        <f>'Paramètres'!D5</f>
        <v>Chantier B</v>
      </c>
      <c r="B50" s="21" t="str">
        <f>Articles!A20</f>
        <v/>
      </c>
      <c r="C50" s="21" t="str">
        <f>Articles!B20</f>
        <v/>
      </c>
      <c r="D50" s="21" t="str">
        <f>IF(OR($A50="",$B50=""),"",SUMIFS(Mouvements!$G:$G,Mouvements!$E:$E,$A50,Mouvements!$B:$B,$B50,Mouvements!$F:$F,"Départ"))</f>
        <v/>
      </c>
      <c r="E50" s="21" t="str">
        <f>IF(OR($A50="",$B50=""),"",SUMIFS(Mouvements!$G:$G,Mouvements!$E:$E,$A50,Mouvements!$B:$B,$B50,Mouvements!$F:$F,"Retour"))</f>
        <v/>
      </c>
      <c r="F50" s="21" t="str">
        <f t="shared" si="1"/>
        <v/>
      </c>
      <c r="G50" s="21" t="str">
        <f>IF($B50="","",D50*VLOOKUP($B50,Articles!$A$5:$K$204,8,FALSE))</f>
        <v/>
      </c>
      <c r="H50" s="21"/>
      <c r="I50" s="21" t="str">
        <f t="shared" si="2"/>
        <v/>
      </c>
      <c r="J50" s="21"/>
    </row>
    <row r="51" ht="15.75" customHeight="1">
      <c r="A51" s="21" t="str">
        <f>'Paramètres'!D5</f>
        <v>Chantier B</v>
      </c>
      <c r="B51" s="21" t="str">
        <f>Articles!A21</f>
        <v/>
      </c>
      <c r="C51" s="21" t="str">
        <f>Articles!B21</f>
        <v/>
      </c>
      <c r="D51" s="21" t="str">
        <f>IF(OR($A51="",$B51=""),"",SUMIFS(Mouvements!$G:$G,Mouvements!$E:$E,$A51,Mouvements!$B:$B,$B51,Mouvements!$F:$F,"Départ"))</f>
        <v/>
      </c>
      <c r="E51" s="21" t="str">
        <f>IF(OR($A51="",$B51=""),"",SUMIFS(Mouvements!$G:$G,Mouvements!$E:$E,$A51,Mouvements!$B:$B,$B51,Mouvements!$F:$F,"Retour"))</f>
        <v/>
      </c>
      <c r="F51" s="21" t="str">
        <f t="shared" si="1"/>
        <v/>
      </c>
      <c r="G51" s="21" t="str">
        <f>IF($B51="","",D51*VLOOKUP($B51,Articles!$A$5:$K$204,8,FALSE))</f>
        <v/>
      </c>
      <c r="H51" s="21"/>
      <c r="I51" s="21" t="str">
        <f t="shared" si="2"/>
        <v/>
      </c>
      <c r="J51" s="21"/>
    </row>
    <row r="52" ht="15.75" customHeight="1">
      <c r="A52" s="21" t="str">
        <f>'Paramètres'!D5</f>
        <v>Chantier B</v>
      </c>
      <c r="B52" s="21" t="str">
        <f>Articles!A22</f>
        <v/>
      </c>
      <c r="C52" s="21" t="str">
        <f>Articles!B22</f>
        <v/>
      </c>
      <c r="D52" s="21" t="str">
        <f>IF(OR($A52="",$B52=""),"",SUMIFS(Mouvements!$G:$G,Mouvements!$E:$E,$A52,Mouvements!$B:$B,$B52,Mouvements!$F:$F,"Départ"))</f>
        <v/>
      </c>
      <c r="E52" s="21" t="str">
        <f>IF(OR($A52="",$B52=""),"",SUMIFS(Mouvements!$G:$G,Mouvements!$E:$E,$A52,Mouvements!$B:$B,$B52,Mouvements!$F:$F,"Retour"))</f>
        <v/>
      </c>
      <c r="F52" s="21" t="str">
        <f t="shared" si="1"/>
        <v/>
      </c>
      <c r="G52" s="21" t="str">
        <f>IF($B52="","",D52*VLOOKUP($B52,Articles!$A$5:$K$204,8,FALSE))</f>
        <v/>
      </c>
      <c r="H52" s="21"/>
      <c r="I52" s="21" t="str">
        <f t="shared" si="2"/>
        <v/>
      </c>
      <c r="J52" s="21"/>
    </row>
    <row r="53" ht="15.75" customHeight="1">
      <c r="A53" s="21" t="str">
        <f>'Paramètres'!D5</f>
        <v>Chantier B</v>
      </c>
      <c r="B53" s="21" t="str">
        <f>Articles!A23</f>
        <v/>
      </c>
      <c r="C53" s="21" t="str">
        <f>Articles!B23</f>
        <v/>
      </c>
      <c r="D53" s="21" t="str">
        <f>IF(OR($A53="",$B53=""),"",SUMIFS(Mouvements!$G:$G,Mouvements!$E:$E,$A53,Mouvements!$B:$B,$B53,Mouvements!$F:$F,"Départ"))</f>
        <v/>
      </c>
      <c r="E53" s="21" t="str">
        <f>IF(OR($A53="",$B53=""),"",SUMIFS(Mouvements!$G:$G,Mouvements!$E:$E,$A53,Mouvements!$B:$B,$B53,Mouvements!$F:$F,"Retour"))</f>
        <v/>
      </c>
      <c r="F53" s="21" t="str">
        <f t="shared" si="1"/>
        <v/>
      </c>
      <c r="G53" s="21" t="str">
        <f>IF($B53="","",D53*VLOOKUP($B53,Articles!$A$5:$K$204,8,FALSE))</f>
        <v/>
      </c>
      <c r="H53" s="21"/>
      <c r="I53" s="21" t="str">
        <f t="shared" si="2"/>
        <v/>
      </c>
      <c r="J53" s="21"/>
    </row>
    <row r="54" ht="15.75" customHeight="1">
      <c r="A54" s="21" t="str">
        <f>'Paramètres'!D5</f>
        <v>Chantier B</v>
      </c>
      <c r="B54" s="21" t="str">
        <f>Articles!A24</f>
        <v/>
      </c>
      <c r="C54" s="21" t="str">
        <f>Articles!B24</f>
        <v/>
      </c>
      <c r="D54" s="21" t="str">
        <f>IF(OR($A54="",$B54=""),"",SUMIFS(Mouvements!$G:$G,Mouvements!$E:$E,$A54,Mouvements!$B:$B,$B54,Mouvements!$F:$F,"Départ"))</f>
        <v/>
      </c>
      <c r="E54" s="21" t="str">
        <f>IF(OR($A54="",$B54=""),"",SUMIFS(Mouvements!$G:$G,Mouvements!$E:$E,$A54,Mouvements!$B:$B,$B54,Mouvements!$F:$F,"Retour"))</f>
        <v/>
      </c>
      <c r="F54" s="21" t="str">
        <f t="shared" si="1"/>
        <v/>
      </c>
      <c r="G54" s="21" t="str">
        <f>IF($B54="","",D54*VLOOKUP($B54,Articles!$A$5:$K$204,8,FALSE))</f>
        <v/>
      </c>
      <c r="H54" s="21"/>
      <c r="I54" s="21" t="str">
        <f t="shared" si="2"/>
        <v/>
      </c>
      <c r="J54" s="21"/>
    </row>
    <row r="55" ht="15.75" customHeight="1">
      <c r="A55" s="21" t="str">
        <f>'Paramètres'!D5</f>
        <v>Chantier B</v>
      </c>
      <c r="B55" s="21" t="str">
        <f>Articles!A25</f>
        <v/>
      </c>
      <c r="C55" s="21" t="str">
        <f>Articles!B25</f>
        <v/>
      </c>
      <c r="D55" s="21" t="str">
        <f>IF(OR($A55="",$B55=""),"",SUMIFS(Mouvements!$G:$G,Mouvements!$E:$E,$A55,Mouvements!$B:$B,$B55,Mouvements!$F:$F,"Départ"))</f>
        <v/>
      </c>
      <c r="E55" s="21" t="str">
        <f>IF(OR($A55="",$B55=""),"",SUMIFS(Mouvements!$G:$G,Mouvements!$E:$E,$A55,Mouvements!$B:$B,$B55,Mouvements!$F:$F,"Retour"))</f>
        <v/>
      </c>
      <c r="F55" s="21" t="str">
        <f t="shared" si="1"/>
        <v/>
      </c>
      <c r="G55" s="21" t="str">
        <f>IF($B55="","",D55*VLOOKUP($B55,Articles!$A$5:$K$204,8,FALSE))</f>
        <v/>
      </c>
      <c r="H55" s="21"/>
      <c r="I55" s="21" t="str">
        <f t="shared" si="2"/>
        <v/>
      </c>
      <c r="J55" s="21"/>
    </row>
    <row r="56" ht="15.75" customHeight="1">
      <c r="A56" s="21" t="str">
        <f>'Paramètres'!D5</f>
        <v>Chantier B</v>
      </c>
      <c r="B56" s="21" t="str">
        <f>Articles!A26</f>
        <v/>
      </c>
      <c r="C56" s="21" t="str">
        <f>Articles!B26</f>
        <v/>
      </c>
      <c r="D56" s="21" t="str">
        <f>IF(OR($A56="",$B56=""),"",SUMIFS(Mouvements!$G:$G,Mouvements!$E:$E,$A56,Mouvements!$B:$B,$B56,Mouvements!$F:$F,"Départ"))</f>
        <v/>
      </c>
      <c r="E56" s="21" t="str">
        <f>IF(OR($A56="",$B56=""),"",SUMIFS(Mouvements!$G:$G,Mouvements!$E:$E,$A56,Mouvements!$B:$B,$B56,Mouvements!$F:$F,"Retour"))</f>
        <v/>
      </c>
      <c r="F56" s="21" t="str">
        <f t="shared" si="1"/>
        <v/>
      </c>
      <c r="G56" s="21" t="str">
        <f>IF($B56="","",D56*VLOOKUP($B56,Articles!$A$5:$K$204,8,FALSE))</f>
        <v/>
      </c>
      <c r="H56" s="21"/>
      <c r="I56" s="21" t="str">
        <f t="shared" si="2"/>
        <v/>
      </c>
      <c r="J56" s="21"/>
    </row>
    <row r="57" ht="15.75" customHeight="1">
      <c r="A57" s="21" t="str">
        <f>'Paramètres'!D5</f>
        <v>Chantier B</v>
      </c>
      <c r="B57" s="21" t="str">
        <f>Articles!A27</f>
        <v/>
      </c>
      <c r="C57" s="21" t="str">
        <f>Articles!B27</f>
        <v/>
      </c>
      <c r="D57" s="21" t="str">
        <f>IF(OR($A57="",$B57=""),"",SUMIFS(Mouvements!$G:$G,Mouvements!$E:$E,$A57,Mouvements!$B:$B,$B57,Mouvements!$F:$F,"Départ"))</f>
        <v/>
      </c>
      <c r="E57" s="21" t="str">
        <f>IF(OR($A57="",$B57=""),"",SUMIFS(Mouvements!$G:$G,Mouvements!$E:$E,$A57,Mouvements!$B:$B,$B57,Mouvements!$F:$F,"Retour"))</f>
        <v/>
      </c>
      <c r="F57" s="21" t="str">
        <f t="shared" si="1"/>
        <v/>
      </c>
      <c r="G57" s="21" t="str">
        <f>IF($B57="","",D57*VLOOKUP($B57,Articles!$A$5:$K$204,8,FALSE))</f>
        <v/>
      </c>
      <c r="H57" s="21"/>
      <c r="I57" s="21" t="str">
        <f t="shared" si="2"/>
        <v/>
      </c>
      <c r="J57" s="21"/>
    </row>
    <row r="58" ht="15.75" customHeight="1">
      <c r="A58" s="21" t="str">
        <f>'Paramètres'!D5</f>
        <v>Chantier B</v>
      </c>
      <c r="B58" s="21" t="str">
        <f>Articles!A28</f>
        <v/>
      </c>
      <c r="C58" s="21" t="str">
        <f>Articles!B28</f>
        <v/>
      </c>
      <c r="D58" s="21" t="str">
        <f>IF(OR($A58="",$B58=""),"",SUMIFS(Mouvements!$G:$G,Mouvements!$E:$E,$A58,Mouvements!$B:$B,$B58,Mouvements!$F:$F,"Départ"))</f>
        <v/>
      </c>
      <c r="E58" s="21" t="str">
        <f>IF(OR($A58="",$B58=""),"",SUMIFS(Mouvements!$G:$G,Mouvements!$E:$E,$A58,Mouvements!$B:$B,$B58,Mouvements!$F:$F,"Retour"))</f>
        <v/>
      </c>
      <c r="F58" s="21" t="str">
        <f t="shared" si="1"/>
        <v/>
      </c>
      <c r="G58" s="21" t="str">
        <f>IF($B58="","",D58*VLOOKUP($B58,Articles!$A$5:$K$204,8,FALSE))</f>
        <v/>
      </c>
      <c r="H58" s="21"/>
      <c r="I58" s="21" t="str">
        <f t="shared" si="2"/>
        <v/>
      </c>
      <c r="J58" s="21"/>
    </row>
    <row r="59" ht="15.75" customHeight="1">
      <c r="A59" s="21" t="str">
        <f>'Paramètres'!D5</f>
        <v>Chantier B</v>
      </c>
      <c r="B59" s="21" t="str">
        <f>Articles!A29</f>
        <v/>
      </c>
      <c r="C59" s="21" t="str">
        <f>Articles!B29</f>
        <v/>
      </c>
      <c r="D59" s="21" t="str">
        <f>IF(OR($A59="",$B59=""),"",SUMIFS(Mouvements!$G:$G,Mouvements!$E:$E,$A59,Mouvements!$B:$B,$B59,Mouvements!$F:$F,"Départ"))</f>
        <v/>
      </c>
      <c r="E59" s="21" t="str">
        <f>IF(OR($A59="",$B59=""),"",SUMIFS(Mouvements!$G:$G,Mouvements!$E:$E,$A59,Mouvements!$B:$B,$B59,Mouvements!$F:$F,"Retour"))</f>
        <v/>
      </c>
      <c r="F59" s="21" t="str">
        <f t="shared" si="1"/>
        <v/>
      </c>
      <c r="G59" s="21" t="str">
        <f>IF($B59="","",D59*VLOOKUP($B59,Articles!$A$5:$K$204,8,FALSE))</f>
        <v/>
      </c>
      <c r="H59" s="21"/>
      <c r="I59" s="21" t="str">
        <f t="shared" si="2"/>
        <v/>
      </c>
      <c r="J59" s="21"/>
    </row>
    <row r="60" ht="15.75" customHeight="1">
      <c r="A60" s="21" t="str">
        <f>'Paramètres'!D5</f>
        <v>Chantier B</v>
      </c>
      <c r="B60" s="21" t="str">
        <f>Articles!A30</f>
        <v/>
      </c>
      <c r="C60" s="21" t="str">
        <f>Articles!B30</f>
        <v/>
      </c>
      <c r="D60" s="21" t="str">
        <f>IF(OR($A60="",$B60=""),"",SUMIFS(Mouvements!$G:$G,Mouvements!$E:$E,$A60,Mouvements!$B:$B,$B60,Mouvements!$F:$F,"Départ"))</f>
        <v/>
      </c>
      <c r="E60" s="21" t="str">
        <f>IF(OR($A60="",$B60=""),"",SUMIFS(Mouvements!$G:$G,Mouvements!$E:$E,$A60,Mouvements!$B:$B,$B60,Mouvements!$F:$F,"Retour"))</f>
        <v/>
      </c>
      <c r="F60" s="21" t="str">
        <f t="shared" si="1"/>
        <v/>
      </c>
      <c r="G60" s="21" t="str">
        <f>IF($B60="","",D60*VLOOKUP($B60,Articles!$A$5:$K$204,8,FALSE))</f>
        <v/>
      </c>
      <c r="H60" s="21"/>
      <c r="I60" s="21" t="str">
        <f t="shared" si="2"/>
        <v/>
      </c>
      <c r="J60" s="21"/>
    </row>
    <row r="61" ht="15.75" customHeight="1">
      <c r="A61" s="21" t="str">
        <f>'Paramètres'!D5</f>
        <v>Chantier B</v>
      </c>
      <c r="B61" s="21" t="str">
        <f>Articles!A31</f>
        <v/>
      </c>
      <c r="C61" s="21" t="str">
        <f>Articles!B31</f>
        <v/>
      </c>
      <c r="D61" s="21" t="str">
        <f>IF(OR($A61="",$B61=""),"",SUMIFS(Mouvements!$G:$G,Mouvements!$E:$E,$A61,Mouvements!$B:$B,$B61,Mouvements!$F:$F,"Départ"))</f>
        <v/>
      </c>
      <c r="E61" s="21" t="str">
        <f>IF(OR($A61="",$B61=""),"",SUMIFS(Mouvements!$G:$G,Mouvements!$E:$E,$A61,Mouvements!$B:$B,$B61,Mouvements!$F:$F,"Retour"))</f>
        <v/>
      </c>
      <c r="F61" s="21" t="str">
        <f t="shared" si="1"/>
        <v/>
      </c>
      <c r="G61" s="21" t="str">
        <f>IF($B61="","",D61*VLOOKUP($B61,Articles!$A$5:$K$204,8,FALSE))</f>
        <v/>
      </c>
      <c r="H61" s="21"/>
      <c r="I61" s="21" t="str">
        <f t="shared" si="2"/>
        <v/>
      </c>
      <c r="J61" s="21"/>
    </row>
    <row r="62" ht="15.75" customHeight="1">
      <c r="A62" s="21" t="str">
        <f>'Paramètres'!D5</f>
        <v>Chantier B</v>
      </c>
      <c r="B62" s="21" t="str">
        <f>Articles!A32</f>
        <v/>
      </c>
      <c r="C62" s="21" t="str">
        <f>Articles!B32</f>
        <v/>
      </c>
      <c r="D62" s="21" t="str">
        <f>IF(OR($A62="",$B62=""),"",SUMIFS(Mouvements!$G:$G,Mouvements!$E:$E,$A62,Mouvements!$B:$B,$B62,Mouvements!$F:$F,"Départ"))</f>
        <v/>
      </c>
      <c r="E62" s="21" t="str">
        <f>IF(OR($A62="",$B62=""),"",SUMIFS(Mouvements!$G:$G,Mouvements!$E:$E,$A62,Mouvements!$B:$B,$B62,Mouvements!$F:$F,"Retour"))</f>
        <v/>
      </c>
      <c r="F62" s="21" t="str">
        <f t="shared" si="1"/>
        <v/>
      </c>
      <c r="G62" s="21" t="str">
        <f>IF($B62="","",D62*VLOOKUP($B62,Articles!$A$5:$K$204,8,FALSE))</f>
        <v/>
      </c>
      <c r="H62" s="21"/>
      <c r="I62" s="21" t="str">
        <f t="shared" si="2"/>
        <v/>
      </c>
      <c r="J62" s="21"/>
    </row>
    <row r="63" ht="15.75" customHeight="1">
      <c r="A63" s="21" t="str">
        <f>'Paramètres'!D5</f>
        <v>Chantier B</v>
      </c>
      <c r="B63" s="21" t="str">
        <f>Articles!A33</f>
        <v/>
      </c>
      <c r="C63" s="21" t="str">
        <f>Articles!B33</f>
        <v/>
      </c>
      <c r="D63" s="21" t="str">
        <f>IF(OR($A63="",$B63=""),"",SUMIFS(Mouvements!$G:$G,Mouvements!$E:$E,$A63,Mouvements!$B:$B,$B63,Mouvements!$F:$F,"Départ"))</f>
        <v/>
      </c>
      <c r="E63" s="21" t="str">
        <f>IF(OR($A63="",$B63=""),"",SUMIFS(Mouvements!$G:$G,Mouvements!$E:$E,$A63,Mouvements!$B:$B,$B63,Mouvements!$F:$F,"Retour"))</f>
        <v/>
      </c>
      <c r="F63" s="21" t="str">
        <f t="shared" si="1"/>
        <v/>
      </c>
      <c r="G63" s="21" t="str">
        <f>IF($B63="","",D63*VLOOKUP($B63,Articles!$A$5:$K$204,8,FALSE))</f>
        <v/>
      </c>
      <c r="H63" s="21"/>
      <c r="I63" s="21" t="str">
        <f t="shared" si="2"/>
        <v/>
      </c>
      <c r="J63" s="21"/>
    </row>
    <row r="64" ht="15.75" customHeight="1">
      <c r="A64" s="21" t="str">
        <f>'Paramètres'!D5</f>
        <v>Chantier B</v>
      </c>
      <c r="B64" s="21" t="str">
        <f>Articles!A34</f>
        <v/>
      </c>
      <c r="C64" s="21" t="str">
        <f>Articles!B34</f>
        <v/>
      </c>
      <c r="D64" s="21" t="str">
        <f>IF(OR($A64="",$B64=""),"",SUMIFS(Mouvements!$G:$G,Mouvements!$E:$E,$A64,Mouvements!$B:$B,$B64,Mouvements!$F:$F,"Départ"))</f>
        <v/>
      </c>
      <c r="E64" s="21" t="str">
        <f>IF(OR($A64="",$B64=""),"",SUMIFS(Mouvements!$G:$G,Mouvements!$E:$E,$A64,Mouvements!$B:$B,$B64,Mouvements!$F:$F,"Retour"))</f>
        <v/>
      </c>
      <c r="F64" s="21" t="str">
        <f t="shared" si="1"/>
        <v/>
      </c>
      <c r="G64" s="21" t="str">
        <f>IF($B64="","",D64*VLOOKUP($B64,Articles!$A$5:$K$204,8,FALSE))</f>
        <v/>
      </c>
      <c r="H64" s="21"/>
      <c r="I64" s="21" t="str">
        <f t="shared" si="2"/>
        <v/>
      </c>
      <c r="J64" s="21"/>
    </row>
    <row r="65" ht="15.75" customHeight="1">
      <c r="A65" s="21" t="str">
        <f>'Paramètres'!D6</f>
        <v>Chantier C</v>
      </c>
      <c r="B65" s="21" t="str">
        <f>Articles!A5</f>
        <v>VIS-6X60</v>
      </c>
      <c r="C65" s="21" t="str">
        <f>Articles!B5</f>
        <v>Vis béton 6x60</v>
      </c>
      <c r="D65" s="21" t="str">
        <f>IF(OR($A65="",$B65=""),"",SUMIFS(Mouvements!$G:$G,Mouvements!$E:$E,$A65,Mouvements!$B:$B,$B65,Mouvements!$F:$F,"Départ"))</f>
        <v>0</v>
      </c>
      <c r="E65" s="21" t="str">
        <f>IF(OR($A65="",$B65=""),"",SUMIFS(Mouvements!$G:$G,Mouvements!$E:$E,$A65,Mouvements!$B:$B,$B65,Mouvements!$F:$F,"Retour"))</f>
        <v>0</v>
      </c>
      <c r="F65" s="21" t="str">
        <f t="shared" si="1"/>
        <v>0</v>
      </c>
      <c r="G65" s="21" t="str">
        <f>IF($B65="","",D65*VLOOKUP($B65,Articles!$A$5:$K$204,8,FALSE))</f>
        <v>0</v>
      </c>
      <c r="H65" s="21"/>
      <c r="I65" s="21" t="str">
        <f t="shared" si="2"/>
        <v>Soldé</v>
      </c>
      <c r="J65" s="21"/>
    </row>
    <row r="66" ht="15.75" customHeight="1">
      <c r="A66" s="21" t="str">
        <f>'Paramètres'!D6</f>
        <v>Chantier C</v>
      </c>
      <c r="B66" s="21" t="str">
        <f>Articles!A6</f>
        <v>PERF-001</v>
      </c>
      <c r="C66" s="21" t="str">
        <f>Articles!B6</f>
        <v>Perforateur SDS</v>
      </c>
      <c r="D66" s="21" t="str">
        <f>IF(OR($A66="",$B66=""),"",SUMIFS(Mouvements!$G:$G,Mouvements!$E:$E,$A66,Mouvements!$B:$B,$B66,Mouvements!$F:$F,"Départ"))</f>
        <v>0</v>
      </c>
      <c r="E66" s="21" t="str">
        <f>IF(OR($A66="",$B66=""),"",SUMIFS(Mouvements!$G:$G,Mouvements!$E:$E,$A66,Mouvements!$B:$B,$B66,Mouvements!$F:$F,"Retour"))</f>
        <v>0</v>
      </c>
      <c r="F66" s="21" t="str">
        <f t="shared" si="1"/>
        <v>0</v>
      </c>
      <c r="G66" s="21" t="str">
        <f>IF($B66="","",D66*VLOOKUP($B66,Articles!$A$5:$K$204,8,FALSE))</f>
        <v>0</v>
      </c>
      <c r="H66" s="21"/>
      <c r="I66" s="21" t="str">
        <f t="shared" si="2"/>
        <v>Soldé</v>
      </c>
      <c r="J66" s="21"/>
    </row>
    <row r="67" ht="15.75" customHeight="1">
      <c r="A67" s="21" t="str">
        <f>'Paramètres'!D6</f>
        <v>Chantier C</v>
      </c>
      <c r="B67" s="21" t="str">
        <f>Articles!A7</f>
        <v>GANT-L</v>
      </c>
      <c r="C67" s="21" t="str">
        <f>Articles!B7</f>
        <v>Gants taille L</v>
      </c>
      <c r="D67" s="21" t="str">
        <f>IF(OR($A67="",$B67=""),"",SUMIFS(Mouvements!$G:$G,Mouvements!$E:$E,$A67,Mouvements!$B:$B,$B67,Mouvements!$F:$F,"Départ"))</f>
        <v>0</v>
      </c>
      <c r="E67" s="21" t="str">
        <f>IF(OR($A67="",$B67=""),"",SUMIFS(Mouvements!$G:$G,Mouvements!$E:$E,$A67,Mouvements!$B:$B,$B67,Mouvements!$F:$F,"Retour"))</f>
        <v>0</v>
      </c>
      <c r="F67" s="21" t="str">
        <f t="shared" si="1"/>
        <v>0</v>
      </c>
      <c r="G67" s="21" t="str">
        <f>IF($B67="","",D67*VLOOKUP($B67,Articles!$A$5:$K$204,8,FALSE))</f>
        <v>0</v>
      </c>
      <c r="H67" s="21"/>
      <c r="I67" s="21" t="str">
        <f t="shared" si="2"/>
        <v>Soldé</v>
      </c>
      <c r="J67" s="21"/>
    </row>
    <row r="68" ht="15.75" customHeight="1">
      <c r="A68" s="21" t="str">
        <f>'Paramètres'!D6</f>
        <v>Chantier C</v>
      </c>
      <c r="B68" s="21" t="str">
        <f>Articles!A8</f>
        <v>12345</v>
      </c>
      <c r="C68" s="21" t="str">
        <f>Articles!B8</f>
        <v>Quentin</v>
      </c>
      <c r="D68" s="21" t="str">
        <f>IF(OR($A68="",$B68=""),"",SUMIFS(Mouvements!$G:$G,Mouvements!$E:$E,$A68,Mouvements!$B:$B,$B68,Mouvements!$F:$F,"Départ"))</f>
        <v>0</v>
      </c>
      <c r="E68" s="21" t="str">
        <f>IF(OR($A68="",$B68=""),"",SUMIFS(Mouvements!$G:$G,Mouvements!$E:$E,$A68,Mouvements!$B:$B,$B68,Mouvements!$F:$F,"Retour"))</f>
        <v>0</v>
      </c>
      <c r="F68" s="21" t="str">
        <f t="shared" si="1"/>
        <v>0</v>
      </c>
      <c r="G68" s="21" t="str">
        <f>IF($B68="","",D68*VLOOKUP($B68,Articles!$A$5:$K$204,8,FALSE))</f>
        <v>0</v>
      </c>
      <c r="H68" s="21"/>
      <c r="I68" s="21" t="str">
        <f t="shared" si="2"/>
        <v>Soldé</v>
      </c>
      <c r="J68" s="21"/>
    </row>
    <row r="69" ht="15.75" customHeight="1">
      <c r="A69" s="21" t="str">
        <f>'Paramètres'!D6</f>
        <v>Chantier C</v>
      </c>
      <c r="B69" s="21" t="str">
        <f>Articles!A9</f>
        <v>4969272</v>
      </c>
      <c r="C69" s="21" t="str">
        <f>Articles!B9</f>
        <v>teben </v>
      </c>
      <c r="D69" s="21" t="str">
        <f>IF(OR($A69="",$B69=""),"",SUMIFS(Mouvements!$G:$G,Mouvements!$E:$E,$A69,Mouvements!$B:$B,$B69,Mouvements!$F:$F,"Départ"))</f>
        <v>0</v>
      </c>
      <c r="E69" s="21" t="str">
        <f>IF(OR($A69="",$B69=""),"",SUMIFS(Mouvements!$G:$G,Mouvements!$E:$E,$A69,Mouvements!$B:$B,$B69,Mouvements!$F:$F,"Retour"))</f>
        <v>0</v>
      </c>
      <c r="F69" s="21" t="str">
        <f t="shared" si="1"/>
        <v>0</v>
      </c>
      <c r="G69" s="21" t="str">
        <f>IF($B69="","",D69*VLOOKUP($B69,Articles!$A$5:$K$204,8,FALSE))</f>
        <v>0</v>
      </c>
      <c r="H69" s="21"/>
      <c r="I69" s="21" t="str">
        <f t="shared" si="2"/>
        <v>Soldé</v>
      </c>
      <c r="J69" s="21"/>
    </row>
    <row r="70" ht="15.75" customHeight="1">
      <c r="A70" s="21" t="str">
        <f>'Paramètres'!D6</f>
        <v>Chantier C</v>
      </c>
      <c r="B70" s="21" t="str">
        <f>Articles!A10</f>
        <v/>
      </c>
      <c r="C70" s="21" t="str">
        <f>Articles!B10</f>
        <v/>
      </c>
      <c r="D70" s="21" t="str">
        <f>IF(OR($A70="",$B70=""),"",SUMIFS(Mouvements!$G:$G,Mouvements!$E:$E,$A70,Mouvements!$B:$B,$B70,Mouvements!$F:$F,"Départ"))</f>
        <v/>
      </c>
      <c r="E70" s="21" t="str">
        <f>IF(OR($A70="",$B70=""),"",SUMIFS(Mouvements!$G:$G,Mouvements!$E:$E,$A70,Mouvements!$B:$B,$B70,Mouvements!$F:$F,"Retour"))</f>
        <v/>
      </c>
      <c r="F70" s="21" t="str">
        <f t="shared" si="1"/>
        <v/>
      </c>
      <c r="G70" s="21" t="str">
        <f>IF($B70="","",D70*VLOOKUP($B70,Articles!$A$5:$K$204,8,FALSE))</f>
        <v/>
      </c>
      <c r="H70" s="21"/>
      <c r="I70" s="21" t="str">
        <f t="shared" si="2"/>
        <v/>
      </c>
      <c r="J70" s="21"/>
    </row>
    <row r="71" ht="15.75" customHeight="1">
      <c r="A71" s="21" t="str">
        <f>'Paramètres'!D6</f>
        <v>Chantier C</v>
      </c>
      <c r="B71" s="21" t="str">
        <f>Articles!A11</f>
        <v/>
      </c>
      <c r="C71" s="21" t="str">
        <f>Articles!B11</f>
        <v/>
      </c>
      <c r="D71" s="21" t="str">
        <f>IF(OR($A71="",$B71=""),"",SUMIFS(Mouvements!$G:$G,Mouvements!$E:$E,$A71,Mouvements!$B:$B,$B71,Mouvements!$F:$F,"Départ"))</f>
        <v/>
      </c>
      <c r="E71" s="21" t="str">
        <f>IF(OR($A71="",$B71=""),"",SUMIFS(Mouvements!$G:$G,Mouvements!$E:$E,$A71,Mouvements!$B:$B,$B71,Mouvements!$F:$F,"Retour"))</f>
        <v/>
      </c>
      <c r="F71" s="21" t="str">
        <f t="shared" si="1"/>
        <v/>
      </c>
      <c r="G71" s="21" t="str">
        <f>IF($B71="","",D71*VLOOKUP($B71,Articles!$A$5:$K$204,8,FALSE))</f>
        <v/>
      </c>
      <c r="H71" s="21"/>
      <c r="I71" s="21" t="str">
        <f t="shared" si="2"/>
        <v/>
      </c>
      <c r="J71" s="21"/>
    </row>
    <row r="72" ht="15.75" customHeight="1">
      <c r="A72" s="21" t="str">
        <f>'Paramètres'!D6</f>
        <v>Chantier C</v>
      </c>
      <c r="B72" s="21" t="str">
        <f>Articles!A12</f>
        <v/>
      </c>
      <c r="C72" s="21" t="str">
        <f>Articles!B12</f>
        <v/>
      </c>
      <c r="D72" s="21" t="str">
        <f>IF(OR($A72="",$B72=""),"",SUMIFS(Mouvements!$G:$G,Mouvements!$E:$E,$A72,Mouvements!$B:$B,$B72,Mouvements!$F:$F,"Départ"))</f>
        <v/>
      </c>
      <c r="E72" s="21" t="str">
        <f>IF(OR($A72="",$B72=""),"",SUMIFS(Mouvements!$G:$G,Mouvements!$E:$E,$A72,Mouvements!$B:$B,$B72,Mouvements!$F:$F,"Retour"))</f>
        <v/>
      </c>
      <c r="F72" s="21" t="str">
        <f t="shared" si="1"/>
        <v/>
      </c>
      <c r="G72" s="21" t="str">
        <f>IF($B72="","",D72*VLOOKUP($B72,Articles!$A$5:$K$204,8,FALSE))</f>
        <v/>
      </c>
      <c r="H72" s="21"/>
      <c r="I72" s="21" t="str">
        <f t="shared" si="2"/>
        <v/>
      </c>
      <c r="J72" s="21"/>
    </row>
    <row r="73" ht="15.75" customHeight="1">
      <c r="A73" s="21" t="str">
        <f>'Paramètres'!D6</f>
        <v>Chantier C</v>
      </c>
      <c r="B73" s="21" t="str">
        <f>Articles!A13</f>
        <v/>
      </c>
      <c r="C73" s="21" t="str">
        <f>Articles!B13</f>
        <v/>
      </c>
      <c r="D73" s="21" t="str">
        <f>IF(OR($A73="",$B73=""),"",SUMIFS(Mouvements!$G:$G,Mouvements!$E:$E,$A73,Mouvements!$B:$B,$B73,Mouvements!$F:$F,"Départ"))</f>
        <v/>
      </c>
      <c r="E73" s="21" t="str">
        <f>IF(OR($A73="",$B73=""),"",SUMIFS(Mouvements!$G:$G,Mouvements!$E:$E,$A73,Mouvements!$B:$B,$B73,Mouvements!$F:$F,"Retour"))</f>
        <v/>
      </c>
      <c r="F73" s="21" t="str">
        <f t="shared" si="1"/>
        <v/>
      </c>
      <c r="G73" s="21" t="str">
        <f>IF($B73="","",D73*VLOOKUP($B73,Articles!$A$5:$K$204,8,FALSE))</f>
        <v/>
      </c>
      <c r="H73" s="21"/>
      <c r="I73" s="21" t="str">
        <f t="shared" si="2"/>
        <v/>
      </c>
      <c r="J73" s="21"/>
    </row>
    <row r="74" ht="15.75" customHeight="1">
      <c r="A74" s="21" t="str">
        <f>'Paramètres'!D6</f>
        <v>Chantier C</v>
      </c>
      <c r="B74" s="21" t="str">
        <f>Articles!A14</f>
        <v/>
      </c>
      <c r="C74" s="21" t="str">
        <f>Articles!B14</f>
        <v/>
      </c>
      <c r="D74" s="21" t="str">
        <f>IF(OR($A74="",$B74=""),"",SUMIFS(Mouvements!$G:$G,Mouvements!$E:$E,$A74,Mouvements!$B:$B,$B74,Mouvements!$F:$F,"Départ"))</f>
        <v/>
      </c>
      <c r="E74" s="21" t="str">
        <f>IF(OR($A74="",$B74=""),"",SUMIFS(Mouvements!$G:$G,Mouvements!$E:$E,$A74,Mouvements!$B:$B,$B74,Mouvements!$F:$F,"Retour"))</f>
        <v/>
      </c>
      <c r="F74" s="21" t="str">
        <f t="shared" si="1"/>
        <v/>
      </c>
      <c r="G74" s="21" t="str">
        <f>IF($B74="","",D74*VLOOKUP($B74,Articles!$A$5:$K$204,8,FALSE))</f>
        <v/>
      </c>
      <c r="H74" s="21"/>
      <c r="I74" s="21" t="str">
        <f t="shared" si="2"/>
        <v/>
      </c>
      <c r="J74" s="21"/>
    </row>
    <row r="75" ht="15.75" customHeight="1">
      <c r="A75" s="21" t="str">
        <f>'Paramètres'!D6</f>
        <v>Chantier C</v>
      </c>
      <c r="B75" s="21" t="str">
        <f>Articles!A15</f>
        <v/>
      </c>
      <c r="C75" s="21" t="str">
        <f>Articles!B15</f>
        <v/>
      </c>
      <c r="D75" s="21" t="str">
        <f>IF(OR($A75="",$B75=""),"",SUMIFS(Mouvements!$G:$G,Mouvements!$E:$E,$A75,Mouvements!$B:$B,$B75,Mouvements!$F:$F,"Départ"))</f>
        <v/>
      </c>
      <c r="E75" s="21" t="str">
        <f>IF(OR($A75="",$B75=""),"",SUMIFS(Mouvements!$G:$G,Mouvements!$E:$E,$A75,Mouvements!$B:$B,$B75,Mouvements!$F:$F,"Retour"))</f>
        <v/>
      </c>
      <c r="F75" s="21" t="str">
        <f t="shared" si="1"/>
        <v/>
      </c>
      <c r="G75" s="21" t="str">
        <f>IF($B75="","",D75*VLOOKUP($B75,Articles!$A$5:$K$204,8,FALSE))</f>
        <v/>
      </c>
      <c r="H75" s="21"/>
      <c r="I75" s="21" t="str">
        <f t="shared" si="2"/>
        <v/>
      </c>
      <c r="J75" s="21"/>
    </row>
    <row r="76" ht="15.75" customHeight="1">
      <c r="A76" s="21" t="str">
        <f>'Paramètres'!D6</f>
        <v>Chantier C</v>
      </c>
      <c r="B76" s="21" t="str">
        <f>Articles!A16</f>
        <v/>
      </c>
      <c r="C76" s="21" t="str">
        <f>Articles!B16</f>
        <v/>
      </c>
      <c r="D76" s="21" t="str">
        <f>IF(OR($A76="",$B76=""),"",SUMIFS(Mouvements!$G:$G,Mouvements!$E:$E,$A76,Mouvements!$B:$B,$B76,Mouvements!$F:$F,"Départ"))</f>
        <v/>
      </c>
      <c r="E76" s="21" t="str">
        <f>IF(OR($A76="",$B76=""),"",SUMIFS(Mouvements!$G:$G,Mouvements!$E:$E,$A76,Mouvements!$B:$B,$B76,Mouvements!$F:$F,"Retour"))</f>
        <v/>
      </c>
      <c r="F76" s="21" t="str">
        <f t="shared" si="1"/>
        <v/>
      </c>
      <c r="G76" s="21" t="str">
        <f>IF($B76="","",D76*VLOOKUP($B76,Articles!$A$5:$K$204,8,FALSE))</f>
        <v/>
      </c>
      <c r="H76" s="21"/>
      <c r="I76" s="21" t="str">
        <f t="shared" si="2"/>
        <v/>
      </c>
      <c r="J76" s="21"/>
    </row>
    <row r="77" ht="15.75" customHeight="1">
      <c r="A77" s="21" t="str">
        <f>'Paramètres'!D6</f>
        <v>Chantier C</v>
      </c>
      <c r="B77" s="21" t="str">
        <f>Articles!A17</f>
        <v/>
      </c>
      <c r="C77" s="21" t="str">
        <f>Articles!B17</f>
        <v/>
      </c>
      <c r="D77" s="21" t="str">
        <f>IF(OR($A77="",$B77=""),"",SUMIFS(Mouvements!$G:$G,Mouvements!$E:$E,$A77,Mouvements!$B:$B,$B77,Mouvements!$F:$F,"Départ"))</f>
        <v/>
      </c>
      <c r="E77" s="21" t="str">
        <f>IF(OR($A77="",$B77=""),"",SUMIFS(Mouvements!$G:$G,Mouvements!$E:$E,$A77,Mouvements!$B:$B,$B77,Mouvements!$F:$F,"Retour"))</f>
        <v/>
      </c>
      <c r="F77" s="21" t="str">
        <f t="shared" si="1"/>
        <v/>
      </c>
      <c r="G77" s="21" t="str">
        <f>IF($B77="","",D77*VLOOKUP($B77,Articles!$A$5:$K$204,8,FALSE))</f>
        <v/>
      </c>
      <c r="H77" s="21"/>
      <c r="I77" s="21" t="str">
        <f t="shared" si="2"/>
        <v/>
      </c>
      <c r="J77" s="21"/>
    </row>
    <row r="78" ht="15.75" customHeight="1">
      <c r="A78" s="21" t="str">
        <f>'Paramètres'!D6</f>
        <v>Chantier C</v>
      </c>
      <c r="B78" s="21" t="str">
        <f>Articles!A18</f>
        <v/>
      </c>
      <c r="C78" s="21" t="str">
        <f>Articles!B18</f>
        <v/>
      </c>
      <c r="D78" s="21" t="str">
        <f>IF(OR($A78="",$B78=""),"",SUMIFS(Mouvements!$G:$G,Mouvements!$E:$E,$A78,Mouvements!$B:$B,$B78,Mouvements!$F:$F,"Départ"))</f>
        <v/>
      </c>
      <c r="E78" s="21" t="str">
        <f>IF(OR($A78="",$B78=""),"",SUMIFS(Mouvements!$G:$G,Mouvements!$E:$E,$A78,Mouvements!$B:$B,$B78,Mouvements!$F:$F,"Retour"))</f>
        <v/>
      </c>
      <c r="F78" s="21" t="str">
        <f t="shared" si="1"/>
        <v/>
      </c>
      <c r="G78" s="21" t="str">
        <f>IF($B78="","",D78*VLOOKUP($B78,Articles!$A$5:$K$204,8,FALSE))</f>
        <v/>
      </c>
      <c r="H78" s="21"/>
      <c r="I78" s="21" t="str">
        <f t="shared" si="2"/>
        <v/>
      </c>
      <c r="J78" s="21"/>
    </row>
    <row r="79" ht="15.75" customHeight="1">
      <c r="A79" s="21" t="str">
        <f>'Paramètres'!D6</f>
        <v>Chantier C</v>
      </c>
      <c r="B79" s="21" t="str">
        <f>Articles!A19</f>
        <v/>
      </c>
      <c r="C79" s="21" t="str">
        <f>Articles!B19</f>
        <v/>
      </c>
      <c r="D79" s="21" t="str">
        <f>IF(OR($A79="",$B79=""),"",SUMIFS(Mouvements!$G:$G,Mouvements!$E:$E,$A79,Mouvements!$B:$B,$B79,Mouvements!$F:$F,"Départ"))</f>
        <v/>
      </c>
      <c r="E79" s="21" t="str">
        <f>IF(OR($A79="",$B79=""),"",SUMIFS(Mouvements!$G:$G,Mouvements!$E:$E,$A79,Mouvements!$B:$B,$B79,Mouvements!$F:$F,"Retour"))</f>
        <v/>
      </c>
      <c r="F79" s="21" t="str">
        <f t="shared" si="1"/>
        <v/>
      </c>
      <c r="G79" s="21" t="str">
        <f>IF($B79="","",D79*VLOOKUP($B79,Articles!$A$5:$K$204,8,FALSE))</f>
        <v/>
      </c>
      <c r="H79" s="21"/>
      <c r="I79" s="21" t="str">
        <f t="shared" si="2"/>
        <v/>
      </c>
      <c r="J79" s="21"/>
    </row>
    <row r="80" ht="15.75" customHeight="1">
      <c r="A80" s="21" t="str">
        <f>'Paramètres'!D6</f>
        <v>Chantier C</v>
      </c>
      <c r="B80" s="21" t="str">
        <f>Articles!A20</f>
        <v/>
      </c>
      <c r="C80" s="21" t="str">
        <f>Articles!B20</f>
        <v/>
      </c>
      <c r="D80" s="21" t="str">
        <f>IF(OR($A80="",$B80=""),"",SUMIFS(Mouvements!$G:$G,Mouvements!$E:$E,$A80,Mouvements!$B:$B,$B80,Mouvements!$F:$F,"Départ"))</f>
        <v/>
      </c>
      <c r="E80" s="21" t="str">
        <f>IF(OR($A80="",$B80=""),"",SUMIFS(Mouvements!$G:$G,Mouvements!$E:$E,$A80,Mouvements!$B:$B,$B80,Mouvements!$F:$F,"Retour"))</f>
        <v/>
      </c>
      <c r="F80" s="21" t="str">
        <f t="shared" si="1"/>
        <v/>
      </c>
      <c r="G80" s="21" t="str">
        <f>IF($B80="","",D80*VLOOKUP($B80,Articles!$A$5:$K$204,8,FALSE))</f>
        <v/>
      </c>
      <c r="H80" s="21"/>
      <c r="I80" s="21" t="str">
        <f t="shared" si="2"/>
        <v/>
      </c>
      <c r="J80" s="21"/>
    </row>
    <row r="81" ht="15.75" customHeight="1">
      <c r="A81" s="21" t="str">
        <f>'Paramètres'!D6</f>
        <v>Chantier C</v>
      </c>
      <c r="B81" s="21" t="str">
        <f>Articles!A21</f>
        <v/>
      </c>
      <c r="C81" s="21" t="str">
        <f>Articles!B21</f>
        <v/>
      </c>
      <c r="D81" s="21" t="str">
        <f>IF(OR($A81="",$B81=""),"",SUMIFS(Mouvements!$G:$G,Mouvements!$E:$E,$A81,Mouvements!$B:$B,$B81,Mouvements!$F:$F,"Départ"))</f>
        <v/>
      </c>
      <c r="E81" s="21" t="str">
        <f>IF(OR($A81="",$B81=""),"",SUMIFS(Mouvements!$G:$G,Mouvements!$E:$E,$A81,Mouvements!$B:$B,$B81,Mouvements!$F:$F,"Retour"))</f>
        <v/>
      </c>
      <c r="F81" s="21" t="str">
        <f t="shared" si="1"/>
        <v/>
      </c>
      <c r="G81" s="21" t="str">
        <f>IF($B81="","",D81*VLOOKUP($B81,Articles!$A$5:$K$204,8,FALSE))</f>
        <v/>
      </c>
      <c r="H81" s="21"/>
      <c r="I81" s="21" t="str">
        <f t="shared" si="2"/>
        <v/>
      </c>
      <c r="J81" s="21"/>
    </row>
    <row r="82" ht="15.75" customHeight="1">
      <c r="A82" s="21" t="str">
        <f>'Paramètres'!D6</f>
        <v>Chantier C</v>
      </c>
      <c r="B82" s="21" t="str">
        <f>Articles!A22</f>
        <v/>
      </c>
      <c r="C82" s="21" t="str">
        <f>Articles!B22</f>
        <v/>
      </c>
      <c r="D82" s="21" t="str">
        <f>IF(OR($A82="",$B82=""),"",SUMIFS(Mouvements!$G:$G,Mouvements!$E:$E,$A82,Mouvements!$B:$B,$B82,Mouvements!$F:$F,"Départ"))</f>
        <v/>
      </c>
      <c r="E82" s="21" t="str">
        <f>IF(OR($A82="",$B82=""),"",SUMIFS(Mouvements!$G:$G,Mouvements!$E:$E,$A82,Mouvements!$B:$B,$B82,Mouvements!$F:$F,"Retour"))</f>
        <v/>
      </c>
      <c r="F82" s="21" t="str">
        <f t="shared" si="1"/>
        <v/>
      </c>
      <c r="G82" s="21" t="str">
        <f>IF($B82="","",D82*VLOOKUP($B82,Articles!$A$5:$K$204,8,FALSE))</f>
        <v/>
      </c>
      <c r="H82" s="21"/>
      <c r="I82" s="21" t="str">
        <f t="shared" si="2"/>
        <v/>
      </c>
      <c r="J82" s="21"/>
    </row>
    <row r="83" ht="15.75" customHeight="1">
      <c r="A83" s="21" t="str">
        <f>'Paramètres'!D6</f>
        <v>Chantier C</v>
      </c>
      <c r="B83" s="21" t="str">
        <f>Articles!A23</f>
        <v/>
      </c>
      <c r="C83" s="21" t="str">
        <f>Articles!B23</f>
        <v/>
      </c>
      <c r="D83" s="21" t="str">
        <f>IF(OR($A83="",$B83=""),"",SUMIFS(Mouvements!$G:$G,Mouvements!$E:$E,$A83,Mouvements!$B:$B,$B83,Mouvements!$F:$F,"Départ"))</f>
        <v/>
      </c>
      <c r="E83" s="21" t="str">
        <f>IF(OR($A83="",$B83=""),"",SUMIFS(Mouvements!$G:$G,Mouvements!$E:$E,$A83,Mouvements!$B:$B,$B83,Mouvements!$F:$F,"Retour"))</f>
        <v/>
      </c>
      <c r="F83" s="21" t="str">
        <f t="shared" si="1"/>
        <v/>
      </c>
      <c r="G83" s="21" t="str">
        <f>IF($B83="","",D83*VLOOKUP($B83,Articles!$A$5:$K$204,8,FALSE))</f>
        <v/>
      </c>
      <c r="H83" s="21"/>
      <c r="I83" s="21" t="str">
        <f t="shared" si="2"/>
        <v/>
      </c>
      <c r="J83" s="21"/>
    </row>
    <row r="84" ht="15.75" customHeight="1">
      <c r="A84" s="21" t="str">
        <f>'Paramètres'!D6</f>
        <v>Chantier C</v>
      </c>
      <c r="B84" s="21" t="str">
        <f>Articles!A24</f>
        <v/>
      </c>
      <c r="C84" s="21" t="str">
        <f>Articles!B24</f>
        <v/>
      </c>
      <c r="D84" s="21" t="str">
        <f>IF(OR($A84="",$B84=""),"",SUMIFS(Mouvements!$G:$G,Mouvements!$E:$E,$A84,Mouvements!$B:$B,$B84,Mouvements!$F:$F,"Départ"))</f>
        <v/>
      </c>
      <c r="E84" s="21" t="str">
        <f>IF(OR($A84="",$B84=""),"",SUMIFS(Mouvements!$G:$G,Mouvements!$E:$E,$A84,Mouvements!$B:$B,$B84,Mouvements!$F:$F,"Retour"))</f>
        <v/>
      </c>
      <c r="F84" s="21" t="str">
        <f t="shared" si="1"/>
        <v/>
      </c>
      <c r="G84" s="21" t="str">
        <f>IF($B84="","",D84*VLOOKUP($B84,Articles!$A$5:$K$204,8,FALSE))</f>
        <v/>
      </c>
      <c r="H84" s="21"/>
      <c r="I84" s="21" t="str">
        <f t="shared" si="2"/>
        <v/>
      </c>
      <c r="J84" s="21"/>
    </row>
    <row r="85" ht="15.75" customHeight="1">
      <c r="A85" s="21" t="str">
        <f>'Paramètres'!D6</f>
        <v>Chantier C</v>
      </c>
      <c r="B85" s="21" t="str">
        <f>Articles!A25</f>
        <v/>
      </c>
      <c r="C85" s="21" t="str">
        <f>Articles!B25</f>
        <v/>
      </c>
      <c r="D85" s="21" t="str">
        <f>IF(OR($A85="",$B85=""),"",SUMIFS(Mouvements!$G:$G,Mouvements!$E:$E,$A85,Mouvements!$B:$B,$B85,Mouvements!$F:$F,"Départ"))</f>
        <v/>
      </c>
      <c r="E85" s="21" t="str">
        <f>IF(OR($A85="",$B85=""),"",SUMIFS(Mouvements!$G:$G,Mouvements!$E:$E,$A85,Mouvements!$B:$B,$B85,Mouvements!$F:$F,"Retour"))</f>
        <v/>
      </c>
      <c r="F85" s="21" t="str">
        <f t="shared" si="1"/>
        <v/>
      </c>
      <c r="G85" s="21" t="str">
        <f>IF($B85="","",D85*VLOOKUP($B85,Articles!$A$5:$K$204,8,FALSE))</f>
        <v/>
      </c>
      <c r="H85" s="21"/>
      <c r="I85" s="21" t="str">
        <f t="shared" si="2"/>
        <v/>
      </c>
      <c r="J85" s="21"/>
    </row>
    <row r="86" ht="15.75" customHeight="1">
      <c r="A86" s="21" t="str">
        <f>'Paramètres'!D6</f>
        <v>Chantier C</v>
      </c>
      <c r="B86" s="21" t="str">
        <f>Articles!A26</f>
        <v/>
      </c>
      <c r="C86" s="21" t="str">
        <f>Articles!B26</f>
        <v/>
      </c>
      <c r="D86" s="21" t="str">
        <f>IF(OR($A86="",$B86=""),"",SUMIFS(Mouvements!$G:$G,Mouvements!$E:$E,$A86,Mouvements!$B:$B,$B86,Mouvements!$F:$F,"Départ"))</f>
        <v/>
      </c>
      <c r="E86" s="21" t="str">
        <f>IF(OR($A86="",$B86=""),"",SUMIFS(Mouvements!$G:$G,Mouvements!$E:$E,$A86,Mouvements!$B:$B,$B86,Mouvements!$F:$F,"Retour"))</f>
        <v/>
      </c>
      <c r="F86" s="21" t="str">
        <f t="shared" si="1"/>
        <v/>
      </c>
      <c r="G86" s="21" t="str">
        <f>IF($B86="","",D86*VLOOKUP($B86,Articles!$A$5:$K$204,8,FALSE))</f>
        <v/>
      </c>
      <c r="H86" s="21"/>
      <c r="I86" s="21" t="str">
        <f t="shared" si="2"/>
        <v/>
      </c>
      <c r="J86" s="21"/>
    </row>
    <row r="87" ht="15.75" customHeight="1">
      <c r="A87" s="21" t="str">
        <f>'Paramètres'!D6</f>
        <v>Chantier C</v>
      </c>
      <c r="B87" s="21" t="str">
        <f>Articles!A27</f>
        <v/>
      </c>
      <c r="C87" s="21" t="str">
        <f>Articles!B27</f>
        <v/>
      </c>
      <c r="D87" s="21" t="str">
        <f>IF(OR($A87="",$B87=""),"",SUMIFS(Mouvements!$G:$G,Mouvements!$E:$E,$A87,Mouvements!$B:$B,$B87,Mouvements!$F:$F,"Départ"))</f>
        <v/>
      </c>
      <c r="E87" s="21" t="str">
        <f>IF(OR($A87="",$B87=""),"",SUMIFS(Mouvements!$G:$G,Mouvements!$E:$E,$A87,Mouvements!$B:$B,$B87,Mouvements!$F:$F,"Retour"))</f>
        <v/>
      </c>
      <c r="F87" s="21" t="str">
        <f t="shared" si="1"/>
        <v/>
      </c>
      <c r="G87" s="21" t="str">
        <f>IF($B87="","",D87*VLOOKUP($B87,Articles!$A$5:$K$204,8,FALSE))</f>
        <v/>
      </c>
      <c r="H87" s="21"/>
      <c r="I87" s="21" t="str">
        <f t="shared" si="2"/>
        <v/>
      </c>
      <c r="J87" s="21"/>
    </row>
    <row r="88" ht="15.75" customHeight="1">
      <c r="A88" s="21" t="str">
        <f>'Paramètres'!D6</f>
        <v>Chantier C</v>
      </c>
      <c r="B88" s="21" t="str">
        <f>Articles!A28</f>
        <v/>
      </c>
      <c r="C88" s="21" t="str">
        <f>Articles!B28</f>
        <v/>
      </c>
      <c r="D88" s="21" t="str">
        <f>IF(OR($A88="",$B88=""),"",SUMIFS(Mouvements!$G:$G,Mouvements!$E:$E,$A88,Mouvements!$B:$B,$B88,Mouvements!$F:$F,"Départ"))</f>
        <v/>
      </c>
      <c r="E88" s="21" t="str">
        <f>IF(OR($A88="",$B88=""),"",SUMIFS(Mouvements!$G:$G,Mouvements!$E:$E,$A88,Mouvements!$B:$B,$B88,Mouvements!$F:$F,"Retour"))</f>
        <v/>
      </c>
      <c r="F88" s="21" t="str">
        <f t="shared" si="1"/>
        <v/>
      </c>
      <c r="G88" s="21" t="str">
        <f>IF($B88="","",D88*VLOOKUP($B88,Articles!$A$5:$K$204,8,FALSE))</f>
        <v/>
      </c>
      <c r="H88" s="21"/>
      <c r="I88" s="21" t="str">
        <f t="shared" si="2"/>
        <v/>
      </c>
      <c r="J88" s="21"/>
    </row>
    <row r="89" ht="15.75" customHeight="1">
      <c r="A89" s="21" t="str">
        <f>'Paramètres'!D6</f>
        <v>Chantier C</v>
      </c>
      <c r="B89" s="21" t="str">
        <f>Articles!A29</f>
        <v/>
      </c>
      <c r="C89" s="21" t="str">
        <f>Articles!B29</f>
        <v/>
      </c>
      <c r="D89" s="21" t="str">
        <f>IF(OR($A89="",$B89=""),"",SUMIFS(Mouvements!$G:$G,Mouvements!$E:$E,$A89,Mouvements!$B:$B,$B89,Mouvements!$F:$F,"Départ"))</f>
        <v/>
      </c>
      <c r="E89" s="21" t="str">
        <f>IF(OR($A89="",$B89=""),"",SUMIFS(Mouvements!$G:$G,Mouvements!$E:$E,$A89,Mouvements!$B:$B,$B89,Mouvements!$F:$F,"Retour"))</f>
        <v/>
      </c>
      <c r="F89" s="21" t="str">
        <f t="shared" si="1"/>
        <v/>
      </c>
      <c r="G89" s="21" t="str">
        <f>IF($B89="","",D89*VLOOKUP($B89,Articles!$A$5:$K$204,8,FALSE))</f>
        <v/>
      </c>
      <c r="H89" s="21"/>
      <c r="I89" s="21" t="str">
        <f t="shared" si="2"/>
        <v/>
      </c>
      <c r="J89" s="21"/>
    </row>
    <row r="90" ht="15.75" customHeight="1">
      <c r="A90" s="21" t="str">
        <f>'Paramètres'!D6</f>
        <v>Chantier C</v>
      </c>
      <c r="B90" s="21" t="str">
        <f>Articles!A30</f>
        <v/>
      </c>
      <c r="C90" s="21" t="str">
        <f>Articles!B30</f>
        <v/>
      </c>
      <c r="D90" s="21" t="str">
        <f>IF(OR($A90="",$B90=""),"",SUMIFS(Mouvements!$G:$G,Mouvements!$E:$E,$A90,Mouvements!$B:$B,$B90,Mouvements!$F:$F,"Départ"))</f>
        <v/>
      </c>
      <c r="E90" s="21" t="str">
        <f>IF(OR($A90="",$B90=""),"",SUMIFS(Mouvements!$G:$G,Mouvements!$E:$E,$A90,Mouvements!$B:$B,$B90,Mouvements!$F:$F,"Retour"))</f>
        <v/>
      </c>
      <c r="F90" s="21" t="str">
        <f t="shared" si="1"/>
        <v/>
      </c>
      <c r="G90" s="21" t="str">
        <f>IF($B90="","",D90*VLOOKUP($B90,Articles!$A$5:$K$204,8,FALSE))</f>
        <v/>
      </c>
      <c r="H90" s="21"/>
      <c r="I90" s="21" t="str">
        <f t="shared" si="2"/>
        <v/>
      </c>
      <c r="J90" s="21"/>
    </row>
    <row r="91" ht="15.75" customHeight="1">
      <c r="A91" s="21" t="str">
        <f>'Paramètres'!D6</f>
        <v>Chantier C</v>
      </c>
      <c r="B91" s="21" t="str">
        <f>Articles!A31</f>
        <v/>
      </c>
      <c r="C91" s="21" t="str">
        <f>Articles!B31</f>
        <v/>
      </c>
      <c r="D91" s="21" t="str">
        <f>IF(OR($A91="",$B91=""),"",SUMIFS(Mouvements!$G:$G,Mouvements!$E:$E,$A91,Mouvements!$B:$B,$B91,Mouvements!$F:$F,"Départ"))</f>
        <v/>
      </c>
      <c r="E91" s="21" t="str">
        <f>IF(OR($A91="",$B91=""),"",SUMIFS(Mouvements!$G:$G,Mouvements!$E:$E,$A91,Mouvements!$B:$B,$B91,Mouvements!$F:$F,"Retour"))</f>
        <v/>
      </c>
      <c r="F91" s="21" t="str">
        <f t="shared" si="1"/>
        <v/>
      </c>
      <c r="G91" s="21" t="str">
        <f>IF($B91="","",D91*VLOOKUP($B91,Articles!$A$5:$K$204,8,FALSE))</f>
        <v/>
      </c>
      <c r="H91" s="21"/>
      <c r="I91" s="21" t="str">
        <f t="shared" si="2"/>
        <v/>
      </c>
      <c r="J91" s="21"/>
    </row>
    <row r="92" ht="15.75" customHeight="1">
      <c r="A92" s="21" t="str">
        <f>'Paramètres'!D6</f>
        <v>Chantier C</v>
      </c>
      <c r="B92" s="21" t="str">
        <f>Articles!A32</f>
        <v/>
      </c>
      <c r="C92" s="21" t="str">
        <f>Articles!B32</f>
        <v/>
      </c>
      <c r="D92" s="21" t="str">
        <f>IF(OR($A92="",$B92=""),"",SUMIFS(Mouvements!$G:$G,Mouvements!$E:$E,$A92,Mouvements!$B:$B,$B92,Mouvements!$F:$F,"Départ"))</f>
        <v/>
      </c>
      <c r="E92" s="21" t="str">
        <f>IF(OR($A92="",$B92=""),"",SUMIFS(Mouvements!$G:$G,Mouvements!$E:$E,$A92,Mouvements!$B:$B,$B92,Mouvements!$F:$F,"Retour"))</f>
        <v/>
      </c>
      <c r="F92" s="21" t="str">
        <f t="shared" si="1"/>
        <v/>
      </c>
      <c r="G92" s="21" t="str">
        <f>IF($B92="","",D92*VLOOKUP($B92,Articles!$A$5:$K$204,8,FALSE))</f>
        <v/>
      </c>
      <c r="H92" s="21"/>
      <c r="I92" s="21" t="str">
        <f t="shared" si="2"/>
        <v/>
      </c>
      <c r="J92" s="21"/>
    </row>
    <row r="93" ht="15.75" customHeight="1">
      <c r="A93" s="21" t="str">
        <f>'Paramètres'!D6</f>
        <v>Chantier C</v>
      </c>
      <c r="B93" s="21" t="str">
        <f>Articles!A33</f>
        <v/>
      </c>
      <c r="C93" s="21" t="str">
        <f>Articles!B33</f>
        <v/>
      </c>
      <c r="D93" s="21" t="str">
        <f>IF(OR($A93="",$B93=""),"",SUMIFS(Mouvements!$G:$G,Mouvements!$E:$E,$A93,Mouvements!$B:$B,$B93,Mouvements!$F:$F,"Départ"))</f>
        <v/>
      </c>
      <c r="E93" s="21" t="str">
        <f>IF(OR($A93="",$B93=""),"",SUMIFS(Mouvements!$G:$G,Mouvements!$E:$E,$A93,Mouvements!$B:$B,$B93,Mouvements!$F:$F,"Retour"))</f>
        <v/>
      </c>
      <c r="F93" s="21" t="str">
        <f t="shared" si="1"/>
        <v/>
      </c>
      <c r="G93" s="21" t="str">
        <f>IF($B93="","",D93*VLOOKUP($B93,Articles!$A$5:$K$204,8,FALSE))</f>
        <v/>
      </c>
      <c r="H93" s="21"/>
      <c r="I93" s="21" t="str">
        <f t="shared" si="2"/>
        <v/>
      </c>
      <c r="J93" s="21"/>
    </row>
    <row r="94" ht="15.75" customHeight="1">
      <c r="A94" s="21" t="str">
        <f>'Paramètres'!D6</f>
        <v>Chantier C</v>
      </c>
      <c r="B94" s="21" t="str">
        <f>Articles!A34</f>
        <v/>
      </c>
      <c r="C94" s="21" t="str">
        <f>Articles!B34</f>
        <v/>
      </c>
      <c r="D94" s="21" t="str">
        <f>IF(OR($A94="",$B94=""),"",SUMIFS(Mouvements!$G:$G,Mouvements!$E:$E,$A94,Mouvements!$B:$B,$B94,Mouvements!$F:$F,"Départ"))</f>
        <v/>
      </c>
      <c r="E94" s="21" t="str">
        <f>IF(OR($A94="",$B94=""),"",SUMIFS(Mouvements!$G:$G,Mouvements!$E:$E,$A94,Mouvements!$B:$B,$B94,Mouvements!$F:$F,"Retour"))</f>
        <v/>
      </c>
      <c r="F94" s="21" t="str">
        <f t="shared" si="1"/>
        <v/>
      </c>
      <c r="G94" s="21" t="str">
        <f>IF($B94="","",D94*VLOOKUP($B94,Articles!$A$5:$K$204,8,FALSE))</f>
        <v/>
      </c>
      <c r="H94" s="21"/>
      <c r="I94" s="21" t="str">
        <f t="shared" si="2"/>
        <v/>
      </c>
      <c r="J94" s="21"/>
    </row>
    <row r="95" ht="15.75" customHeight="1">
      <c r="A95" s="21" t="str">
        <f>'Paramètres'!D7</f>
        <v>Atelier</v>
      </c>
      <c r="B95" s="21" t="str">
        <f>Articles!A5</f>
        <v>VIS-6X60</v>
      </c>
      <c r="C95" s="21" t="str">
        <f>Articles!B5</f>
        <v>Vis béton 6x60</v>
      </c>
      <c r="D95" s="21" t="str">
        <f>IF(OR($A95="",$B95=""),"",SUMIFS(Mouvements!$G:$G,Mouvements!$E:$E,$A95,Mouvements!$B:$B,$B95,Mouvements!$F:$F,"Départ"))</f>
        <v>0</v>
      </c>
      <c r="E95" s="21" t="str">
        <f>IF(OR($A95="",$B95=""),"",SUMIFS(Mouvements!$G:$G,Mouvements!$E:$E,$A95,Mouvements!$B:$B,$B95,Mouvements!$F:$F,"Retour"))</f>
        <v>0</v>
      </c>
      <c r="F95" s="21" t="str">
        <f t="shared" si="1"/>
        <v>0</v>
      </c>
      <c r="G95" s="21" t="str">
        <f>IF($B95="","",D95*VLOOKUP($B95,Articles!$A$5:$K$204,8,FALSE))</f>
        <v>0</v>
      </c>
      <c r="H95" s="21"/>
      <c r="I95" s="21" t="str">
        <f t="shared" si="2"/>
        <v>Soldé</v>
      </c>
      <c r="J95" s="21"/>
    </row>
    <row r="96" ht="15.75" customHeight="1">
      <c r="A96" s="21" t="str">
        <f>'Paramètres'!D7</f>
        <v>Atelier</v>
      </c>
      <c r="B96" s="21" t="str">
        <f>Articles!A6</f>
        <v>PERF-001</v>
      </c>
      <c r="C96" s="21" t="str">
        <f>Articles!B6</f>
        <v>Perforateur SDS</v>
      </c>
      <c r="D96" s="21" t="str">
        <f>IF(OR($A96="",$B96=""),"",SUMIFS(Mouvements!$G:$G,Mouvements!$E:$E,$A96,Mouvements!$B:$B,$B96,Mouvements!$F:$F,"Départ"))</f>
        <v>0</v>
      </c>
      <c r="E96" s="21" t="str">
        <f>IF(OR($A96="",$B96=""),"",SUMIFS(Mouvements!$G:$G,Mouvements!$E:$E,$A96,Mouvements!$B:$B,$B96,Mouvements!$F:$F,"Retour"))</f>
        <v>0</v>
      </c>
      <c r="F96" s="21" t="str">
        <f t="shared" si="1"/>
        <v>0</v>
      </c>
      <c r="G96" s="21" t="str">
        <f>IF($B96="","",D96*VLOOKUP($B96,Articles!$A$5:$K$204,8,FALSE))</f>
        <v>0</v>
      </c>
      <c r="H96" s="21"/>
      <c r="I96" s="21" t="str">
        <f t="shared" si="2"/>
        <v>Soldé</v>
      </c>
      <c r="J96" s="21"/>
    </row>
    <row r="97" ht="15.75" customHeight="1">
      <c r="A97" s="21" t="str">
        <f>'Paramètres'!D7</f>
        <v>Atelier</v>
      </c>
      <c r="B97" s="21" t="str">
        <f>Articles!A7</f>
        <v>GANT-L</v>
      </c>
      <c r="C97" s="21" t="str">
        <f>Articles!B7</f>
        <v>Gants taille L</v>
      </c>
      <c r="D97" s="21" t="str">
        <f>IF(OR($A97="",$B97=""),"",SUMIFS(Mouvements!$G:$G,Mouvements!$E:$E,$A97,Mouvements!$B:$B,$B97,Mouvements!$F:$F,"Départ"))</f>
        <v>0</v>
      </c>
      <c r="E97" s="21" t="str">
        <f>IF(OR($A97="",$B97=""),"",SUMIFS(Mouvements!$G:$G,Mouvements!$E:$E,$A97,Mouvements!$B:$B,$B97,Mouvements!$F:$F,"Retour"))</f>
        <v>0</v>
      </c>
      <c r="F97" s="21" t="str">
        <f t="shared" si="1"/>
        <v>0</v>
      </c>
      <c r="G97" s="21" t="str">
        <f>IF($B97="","",D97*VLOOKUP($B97,Articles!$A$5:$K$204,8,FALSE))</f>
        <v>0</v>
      </c>
      <c r="H97" s="21"/>
      <c r="I97" s="21" t="str">
        <f t="shared" si="2"/>
        <v>Soldé</v>
      </c>
      <c r="J97" s="21"/>
    </row>
    <row r="98" ht="15.75" customHeight="1">
      <c r="A98" s="21" t="str">
        <f>'Paramètres'!D7</f>
        <v>Atelier</v>
      </c>
      <c r="B98" s="21" t="str">
        <f>Articles!A8</f>
        <v>12345</v>
      </c>
      <c r="C98" s="21" t="str">
        <f>Articles!B8</f>
        <v>Quentin</v>
      </c>
      <c r="D98" s="21" t="str">
        <f>IF(OR($A98="",$B98=""),"",SUMIFS(Mouvements!$G:$G,Mouvements!$E:$E,$A98,Mouvements!$B:$B,$B98,Mouvements!$F:$F,"Départ"))</f>
        <v>0</v>
      </c>
      <c r="E98" s="21" t="str">
        <f>IF(OR($A98="",$B98=""),"",SUMIFS(Mouvements!$G:$G,Mouvements!$E:$E,$A98,Mouvements!$B:$B,$B98,Mouvements!$F:$F,"Retour"))</f>
        <v>0</v>
      </c>
      <c r="F98" s="21" t="str">
        <f t="shared" si="1"/>
        <v>0</v>
      </c>
      <c r="G98" s="21" t="str">
        <f>IF($B98="","",D98*VLOOKUP($B98,Articles!$A$5:$K$204,8,FALSE))</f>
        <v>0</v>
      </c>
      <c r="H98" s="21"/>
      <c r="I98" s="21" t="str">
        <f t="shared" si="2"/>
        <v>Soldé</v>
      </c>
      <c r="J98" s="21"/>
    </row>
    <row r="99" ht="15.75" customHeight="1">
      <c r="A99" s="21" t="str">
        <f>'Paramètres'!D7</f>
        <v>Atelier</v>
      </c>
      <c r="B99" s="21" t="str">
        <f>Articles!A9</f>
        <v>4969272</v>
      </c>
      <c r="C99" s="21" t="str">
        <f>Articles!B9</f>
        <v>teben </v>
      </c>
      <c r="D99" s="21" t="str">
        <f>IF(OR($A99="",$B99=""),"",SUMIFS(Mouvements!$G:$G,Mouvements!$E:$E,$A99,Mouvements!$B:$B,$B99,Mouvements!$F:$F,"Départ"))</f>
        <v>0</v>
      </c>
      <c r="E99" s="21" t="str">
        <f>IF(OR($A99="",$B99=""),"",SUMIFS(Mouvements!$G:$G,Mouvements!$E:$E,$A99,Mouvements!$B:$B,$B99,Mouvements!$F:$F,"Retour"))</f>
        <v>0</v>
      </c>
      <c r="F99" s="21" t="str">
        <f t="shared" si="1"/>
        <v>0</v>
      </c>
      <c r="G99" s="21" t="str">
        <f>IF($B99="","",D99*VLOOKUP($B99,Articles!$A$5:$K$204,8,FALSE))</f>
        <v>0</v>
      </c>
      <c r="H99" s="21"/>
      <c r="I99" s="21" t="str">
        <f t="shared" si="2"/>
        <v>Soldé</v>
      </c>
      <c r="J99" s="21"/>
    </row>
    <row r="100" ht="15.75" customHeight="1">
      <c r="A100" s="21" t="str">
        <f>'Paramètres'!D7</f>
        <v>Atelier</v>
      </c>
      <c r="B100" s="21" t="str">
        <f>Articles!A10</f>
        <v/>
      </c>
      <c r="C100" s="21" t="str">
        <f>Articles!B10</f>
        <v/>
      </c>
      <c r="D100" s="21" t="str">
        <f>IF(OR($A100="",$B100=""),"",SUMIFS(Mouvements!$G:$G,Mouvements!$E:$E,$A100,Mouvements!$B:$B,$B100,Mouvements!$F:$F,"Départ"))</f>
        <v/>
      </c>
      <c r="E100" s="21" t="str">
        <f>IF(OR($A100="",$B100=""),"",SUMIFS(Mouvements!$G:$G,Mouvements!$E:$E,$A100,Mouvements!$B:$B,$B100,Mouvements!$F:$F,"Retour"))</f>
        <v/>
      </c>
      <c r="F100" s="21" t="str">
        <f t="shared" si="1"/>
        <v/>
      </c>
      <c r="G100" s="21" t="str">
        <f>IF($B100="","",D100*VLOOKUP($B100,Articles!$A$5:$K$204,8,FALSE))</f>
        <v/>
      </c>
      <c r="H100" s="21"/>
      <c r="I100" s="21" t="str">
        <f t="shared" si="2"/>
        <v/>
      </c>
      <c r="J100" s="21"/>
    </row>
    <row r="101" ht="15.75" customHeight="1">
      <c r="A101" s="21" t="str">
        <f>'Paramètres'!D7</f>
        <v>Atelier</v>
      </c>
      <c r="B101" s="21" t="str">
        <f>Articles!A11</f>
        <v/>
      </c>
      <c r="C101" s="21" t="str">
        <f>Articles!B11</f>
        <v/>
      </c>
      <c r="D101" s="21" t="str">
        <f>IF(OR($A101="",$B101=""),"",SUMIFS(Mouvements!$G:$G,Mouvements!$E:$E,$A101,Mouvements!$B:$B,$B101,Mouvements!$F:$F,"Départ"))</f>
        <v/>
      </c>
      <c r="E101" s="21" t="str">
        <f>IF(OR($A101="",$B101=""),"",SUMIFS(Mouvements!$G:$G,Mouvements!$E:$E,$A101,Mouvements!$B:$B,$B101,Mouvements!$F:$F,"Retour"))</f>
        <v/>
      </c>
      <c r="F101" s="21" t="str">
        <f t="shared" si="1"/>
        <v/>
      </c>
      <c r="G101" s="21" t="str">
        <f>IF($B101="","",D101*VLOOKUP($B101,Articles!$A$5:$K$204,8,FALSE))</f>
        <v/>
      </c>
      <c r="H101" s="21"/>
      <c r="I101" s="21" t="str">
        <f t="shared" si="2"/>
        <v/>
      </c>
      <c r="J101" s="21"/>
    </row>
    <row r="102" ht="15.75" customHeight="1">
      <c r="A102" s="21" t="str">
        <f>'Paramètres'!D7</f>
        <v>Atelier</v>
      </c>
      <c r="B102" s="21" t="str">
        <f>Articles!A12</f>
        <v/>
      </c>
      <c r="C102" s="21" t="str">
        <f>Articles!B12</f>
        <v/>
      </c>
      <c r="D102" s="21" t="str">
        <f>IF(OR($A102="",$B102=""),"",SUMIFS(Mouvements!$G:$G,Mouvements!$E:$E,$A102,Mouvements!$B:$B,$B102,Mouvements!$F:$F,"Départ"))</f>
        <v/>
      </c>
      <c r="E102" s="21" t="str">
        <f>IF(OR($A102="",$B102=""),"",SUMIFS(Mouvements!$G:$G,Mouvements!$E:$E,$A102,Mouvements!$B:$B,$B102,Mouvements!$F:$F,"Retour"))</f>
        <v/>
      </c>
      <c r="F102" s="21" t="str">
        <f t="shared" si="1"/>
        <v/>
      </c>
      <c r="G102" s="21" t="str">
        <f>IF($B102="","",D102*VLOOKUP($B102,Articles!$A$5:$K$204,8,FALSE))</f>
        <v/>
      </c>
      <c r="H102" s="21"/>
      <c r="I102" s="21" t="str">
        <f t="shared" si="2"/>
        <v/>
      </c>
      <c r="J102" s="21"/>
    </row>
    <row r="103" ht="15.75" customHeight="1">
      <c r="A103" s="21" t="str">
        <f>'Paramètres'!D7</f>
        <v>Atelier</v>
      </c>
      <c r="B103" s="21" t="str">
        <f>Articles!A13</f>
        <v/>
      </c>
      <c r="C103" s="21" t="str">
        <f>Articles!B13</f>
        <v/>
      </c>
      <c r="D103" s="21" t="str">
        <f>IF(OR($A103="",$B103=""),"",SUMIFS(Mouvements!$G:$G,Mouvements!$E:$E,$A103,Mouvements!$B:$B,$B103,Mouvements!$F:$F,"Départ"))</f>
        <v/>
      </c>
      <c r="E103" s="21" t="str">
        <f>IF(OR($A103="",$B103=""),"",SUMIFS(Mouvements!$G:$G,Mouvements!$E:$E,$A103,Mouvements!$B:$B,$B103,Mouvements!$F:$F,"Retour"))</f>
        <v/>
      </c>
      <c r="F103" s="21" t="str">
        <f t="shared" si="1"/>
        <v/>
      </c>
      <c r="G103" s="21" t="str">
        <f>IF($B103="","",D103*VLOOKUP($B103,Articles!$A$5:$K$204,8,FALSE))</f>
        <v/>
      </c>
      <c r="H103" s="21"/>
      <c r="I103" s="21" t="str">
        <f t="shared" si="2"/>
        <v/>
      </c>
      <c r="J103" s="21"/>
    </row>
    <row r="104" ht="15.75" customHeight="1">
      <c r="A104" s="21" t="str">
        <f>'Paramètres'!D7</f>
        <v>Atelier</v>
      </c>
      <c r="B104" s="21" t="str">
        <f>Articles!A14</f>
        <v/>
      </c>
      <c r="C104" s="21" t="str">
        <f>Articles!B14</f>
        <v/>
      </c>
      <c r="D104" s="21" t="str">
        <f>IF(OR($A104="",$B104=""),"",SUMIFS(Mouvements!$G:$G,Mouvements!$E:$E,$A104,Mouvements!$B:$B,$B104,Mouvements!$F:$F,"Départ"))</f>
        <v/>
      </c>
      <c r="E104" s="21" t="str">
        <f>IF(OR($A104="",$B104=""),"",SUMIFS(Mouvements!$G:$G,Mouvements!$E:$E,$A104,Mouvements!$B:$B,$B104,Mouvements!$F:$F,"Retour"))</f>
        <v/>
      </c>
      <c r="F104" s="21" t="str">
        <f t="shared" si="1"/>
        <v/>
      </c>
      <c r="G104" s="21" t="str">
        <f>IF($B104="","",D104*VLOOKUP($B104,Articles!$A$5:$K$204,8,FALSE))</f>
        <v/>
      </c>
      <c r="H104" s="21"/>
      <c r="I104" s="21" t="str">
        <f t="shared" si="2"/>
        <v/>
      </c>
      <c r="J104" s="21"/>
    </row>
    <row r="105" ht="15.75" customHeight="1">
      <c r="A105" s="21" t="str">
        <f>'Paramètres'!D7</f>
        <v>Atelier</v>
      </c>
      <c r="B105" s="21" t="str">
        <f>Articles!A15</f>
        <v/>
      </c>
      <c r="C105" s="21" t="str">
        <f>Articles!B15</f>
        <v/>
      </c>
      <c r="D105" s="21" t="str">
        <f>IF(OR($A105="",$B105=""),"",SUMIFS(Mouvements!$G:$G,Mouvements!$E:$E,$A105,Mouvements!$B:$B,$B105,Mouvements!$F:$F,"Départ"))</f>
        <v/>
      </c>
      <c r="E105" s="21" t="str">
        <f>IF(OR($A105="",$B105=""),"",SUMIFS(Mouvements!$G:$G,Mouvements!$E:$E,$A105,Mouvements!$B:$B,$B105,Mouvements!$F:$F,"Retour"))</f>
        <v/>
      </c>
      <c r="F105" s="21" t="str">
        <f t="shared" si="1"/>
        <v/>
      </c>
      <c r="G105" s="21" t="str">
        <f>IF($B105="","",D105*VLOOKUP($B105,Articles!$A$5:$K$204,8,FALSE))</f>
        <v/>
      </c>
      <c r="H105" s="21"/>
      <c r="I105" s="21" t="str">
        <f t="shared" si="2"/>
        <v/>
      </c>
      <c r="J105" s="21"/>
    </row>
    <row r="106" ht="15.75" customHeight="1">
      <c r="A106" s="21" t="str">
        <f>'Paramètres'!D7</f>
        <v>Atelier</v>
      </c>
      <c r="B106" s="21" t="str">
        <f>Articles!A16</f>
        <v/>
      </c>
      <c r="C106" s="21" t="str">
        <f>Articles!B16</f>
        <v/>
      </c>
      <c r="D106" s="21" t="str">
        <f>IF(OR($A106="",$B106=""),"",SUMIFS(Mouvements!$G:$G,Mouvements!$E:$E,$A106,Mouvements!$B:$B,$B106,Mouvements!$F:$F,"Départ"))</f>
        <v/>
      </c>
      <c r="E106" s="21" t="str">
        <f>IF(OR($A106="",$B106=""),"",SUMIFS(Mouvements!$G:$G,Mouvements!$E:$E,$A106,Mouvements!$B:$B,$B106,Mouvements!$F:$F,"Retour"))</f>
        <v/>
      </c>
      <c r="F106" s="21" t="str">
        <f t="shared" si="1"/>
        <v/>
      </c>
      <c r="G106" s="21" t="str">
        <f>IF($B106="","",D106*VLOOKUP($B106,Articles!$A$5:$K$204,8,FALSE))</f>
        <v/>
      </c>
      <c r="H106" s="21"/>
      <c r="I106" s="21" t="str">
        <f t="shared" si="2"/>
        <v/>
      </c>
      <c r="J106" s="21"/>
    </row>
    <row r="107" ht="15.75" customHeight="1">
      <c r="A107" s="21" t="str">
        <f>'Paramètres'!D7</f>
        <v>Atelier</v>
      </c>
      <c r="B107" s="21" t="str">
        <f>Articles!A17</f>
        <v/>
      </c>
      <c r="C107" s="21" t="str">
        <f>Articles!B17</f>
        <v/>
      </c>
      <c r="D107" s="21" t="str">
        <f>IF(OR($A107="",$B107=""),"",SUMIFS(Mouvements!$G:$G,Mouvements!$E:$E,$A107,Mouvements!$B:$B,$B107,Mouvements!$F:$F,"Départ"))</f>
        <v/>
      </c>
      <c r="E107" s="21" t="str">
        <f>IF(OR($A107="",$B107=""),"",SUMIFS(Mouvements!$G:$G,Mouvements!$E:$E,$A107,Mouvements!$B:$B,$B107,Mouvements!$F:$F,"Retour"))</f>
        <v/>
      </c>
      <c r="F107" s="21" t="str">
        <f t="shared" si="1"/>
        <v/>
      </c>
      <c r="G107" s="21" t="str">
        <f>IF($B107="","",D107*VLOOKUP($B107,Articles!$A$5:$K$204,8,FALSE))</f>
        <v/>
      </c>
      <c r="H107" s="21"/>
      <c r="I107" s="21" t="str">
        <f t="shared" si="2"/>
        <v/>
      </c>
      <c r="J107" s="21"/>
    </row>
    <row r="108" ht="15.75" customHeight="1">
      <c r="A108" s="21" t="str">
        <f>'Paramètres'!D7</f>
        <v>Atelier</v>
      </c>
      <c r="B108" s="21" t="str">
        <f>Articles!A18</f>
        <v/>
      </c>
      <c r="C108" s="21" t="str">
        <f>Articles!B18</f>
        <v/>
      </c>
      <c r="D108" s="21" t="str">
        <f>IF(OR($A108="",$B108=""),"",SUMIFS(Mouvements!$G:$G,Mouvements!$E:$E,$A108,Mouvements!$B:$B,$B108,Mouvements!$F:$F,"Départ"))</f>
        <v/>
      </c>
      <c r="E108" s="21" t="str">
        <f>IF(OR($A108="",$B108=""),"",SUMIFS(Mouvements!$G:$G,Mouvements!$E:$E,$A108,Mouvements!$B:$B,$B108,Mouvements!$F:$F,"Retour"))</f>
        <v/>
      </c>
      <c r="F108" s="21" t="str">
        <f t="shared" si="1"/>
        <v/>
      </c>
      <c r="G108" s="21" t="str">
        <f>IF($B108="","",D108*VLOOKUP($B108,Articles!$A$5:$K$204,8,FALSE))</f>
        <v/>
      </c>
      <c r="H108" s="21"/>
      <c r="I108" s="21" t="str">
        <f t="shared" si="2"/>
        <v/>
      </c>
      <c r="J108" s="21"/>
    </row>
    <row r="109" ht="15.75" customHeight="1">
      <c r="A109" s="21" t="str">
        <f>'Paramètres'!D7</f>
        <v>Atelier</v>
      </c>
      <c r="B109" s="21" t="str">
        <f>Articles!A19</f>
        <v/>
      </c>
      <c r="C109" s="21" t="str">
        <f>Articles!B19</f>
        <v/>
      </c>
      <c r="D109" s="21" t="str">
        <f>IF(OR($A109="",$B109=""),"",SUMIFS(Mouvements!$G:$G,Mouvements!$E:$E,$A109,Mouvements!$B:$B,$B109,Mouvements!$F:$F,"Départ"))</f>
        <v/>
      </c>
      <c r="E109" s="21" t="str">
        <f>IF(OR($A109="",$B109=""),"",SUMIFS(Mouvements!$G:$G,Mouvements!$E:$E,$A109,Mouvements!$B:$B,$B109,Mouvements!$F:$F,"Retour"))</f>
        <v/>
      </c>
      <c r="F109" s="21" t="str">
        <f t="shared" si="1"/>
        <v/>
      </c>
      <c r="G109" s="21" t="str">
        <f>IF($B109="","",D109*VLOOKUP($B109,Articles!$A$5:$K$204,8,FALSE))</f>
        <v/>
      </c>
      <c r="H109" s="21"/>
      <c r="I109" s="21" t="str">
        <f t="shared" si="2"/>
        <v/>
      </c>
      <c r="J109" s="21"/>
    </row>
    <row r="110" ht="15.75" customHeight="1">
      <c r="A110" s="21" t="str">
        <f>'Paramètres'!D7</f>
        <v>Atelier</v>
      </c>
      <c r="B110" s="21" t="str">
        <f>Articles!A20</f>
        <v/>
      </c>
      <c r="C110" s="21" t="str">
        <f>Articles!B20</f>
        <v/>
      </c>
      <c r="D110" s="21" t="str">
        <f>IF(OR($A110="",$B110=""),"",SUMIFS(Mouvements!$G:$G,Mouvements!$E:$E,$A110,Mouvements!$B:$B,$B110,Mouvements!$F:$F,"Départ"))</f>
        <v/>
      </c>
      <c r="E110" s="21" t="str">
        <f>IF(OR($A110="",$B110=""),"",SUMIFS(Mouvements!$G:$G,Mouvements!$E:$E,$A110,Mouvements!$B:$B,$B110,Mouvements!$F:$F,"Retour"))</f>
        <v/>
      </c>
      <c r="F110" s="21" t="str">
        <f t="shared" si="1"/>
        <v/>
      </c>
      <c r="G110" s="21" t="str">
        <f>IF($B110="","",D110*VLOOKUP($B110,Articles!$A$5:$K$204,8,FALSE))</f>
        <v/>
      </c>
      <c r="H110" s="21"/>
      <c r="I110" s="21" t="str">
        <f t="shared" si="2"/>
        <v/>
      </c>
      <c r="J110" s="21"/>
    </row>
    <row r="111" ht="15.75" customHeight="1">
      <c r="A111" s="21" t="str">
        <f>'Paramètres'!D7</f>
        <v>Atelier</v>
      </c>
      <c r="B111" s="21" t="str">
        <f>Articles!A21</f>
        <v/>
      </c>
      <c r="C111" s="21" t="str">
        <f>Articles!B21</f>
        <v/>
      </c>
      <c r="D111" s="21" t="str">
        <f>IF(OR($A111="",$B111=""),"",SUMIFS(Mouvements!$G:$G,Mouvements!$E:$E,$A111,Mouvements!$B:$B,$B111,Mouvements!$F:$F,"Départ"))</f>
        <v/>
      </c>
      <c r="E111" s="21" t="str">
        <f>IF(OR($A111="",$B111=""),"",SUMIFS(Mouvements!$G:$G,Mouvements!$E:$E,$A111,Mouvements!$B:$B,$B111,Mouvements!$F:$F,"Retour"))</f>
        <v/>
      </c>
      <c r="F111" s="21" t="str">
        <f t="shared" si="1"/>
        <v/>
      </c>
      <c r="G111" s="21" t="str">
        <f>IF($B111="","",D111*VLOOKUP($B111,Articles!$A$5:$K$204,8,FALSE))</f>
        <v/>
      </c>
      <c r="H111" s="21"/>
      <c r="I111" s="21" t="str">
        <f t="shared" si="2"/>
        <v/>
      </c>
      <c r="J111" s="21"/>
    </row>
    <row r="112" ht="15.75" customHeight="1">
      <c r="A112" s="21" t="str">
        <f>'Paramètres'!D7</f>
        <v>Atelier</v>
      </c>
      <c r="B112" s="21" t="str">
        <f>Articles!A22</f>
        <v/>
      </c>
      <c r="C112" s="21" t="str">
        <f>Articles!B22</f>
        <v/>
      </c>
      <c r="D112" s="21" t="str">
        <f>IF(OR($A112="",$B112=""),"",SUMIFS(Mouvements!$G:$G,Mouvements!$E:$E,$A112,Mouvements!$B:$B,$B112,Mouvements!$F:$F,"Départ"))</f>
        <v/>
      </c>
      <c r="E112" s="21" t="str">
        <f>IF(OR($A112="",$B112=""),"",SUMIFS(Mouvements!$G:$G,Mouvements!$E:$E,$A112,Mouvements!$B:$B,$B112,Mouvements!$F:$F,"Retour"))</f>
        <v/>
      </c>
      <c r="F112" s="21" t="str">
        <f t="shared" si="1"/>
        <v/>
      </c>
      <c r="G112" s="21" t="str">
        <f>IF($B112="","",D112*VLOOKUP($B112,Articles!$A$5:$K$204,8,FALSE))</f>
        <v/>
      </c>
      <c r="H112" s="21"/>
      <c r="I112" s="21" t="str">
        <f t="shared" si="2"/>
        <v/>
      </c>
      <c r="J112" s="21"/>
    </row>
    <row r="113" ht="15.75" customHeight="1">
      <c r="A113" s="21" t="str">
        <f>'Paramètres'!D7</f>
        <v>Atelier</v>
      </c>
      <c r="B113" s="21" t="str">
        <f>Articles!A23</f>
        <v/>
      </c>
      <c r="C113" s="21" t="str">
        <f>Articles!B23</f>
        <v/>
      </c>
      <c r="D113" s="21" t="str">
        <f>IF(OR($A113="",$B113=""),"",SUMIFS(Mouvements!$G:$G,Mouvements!$E:$E,$A113,Mouvements!$B:$B,$B113,Mouvements!$F:$F,"Départ"))</f>
        <v/>
      </c>
      <c r="E113" s="21" t="str">
        <f>IF(OR($A113="",$B113=""),"",SUMIFS(Mouvements!$G:$G,Mouvements!$E:$E,$A113,Mouvements!$B:$B,$B113,Mouvements!$F:$F,"Retour"))</f>
        <v/>
      </c>
      <c r="F113" s="21" t="str">
        <f t="shared" si="1"/>
        <v/>
      </c>
      <c r="G113" s="21" t="str">
        <f>IF($B113="","",D113*VLOOKUP($B113,Articles!$A$5:$K$204,8,FALSE))</f>
        <v/>
      </c>
      <c r="H113" s="21"/>
      <c r="I113" s="21" t="str">
        <f t="shared" si="2"/>
        <v/>
      </c>
      <c r="J113" s="21"/>
    </row>
    <row r="114" ht="15.75" customHeight="1">
      <c r="A114" s="21" t="str">
        <f>'Paramètres'!D7</f>
        <v>Atelier</v>
      </c>
      <c r="B114" s="21" t="str">
        <f>Articles!A24</f>
        <v/>
      </c>
      <c r="C114" s="21" t="str">
        <f>Articles!B24</f>
        <v/>
      </c>
      <c r="D114" s="21" t="str">
        <f>IF(OR($A114="",$B114=""),"",SUMIFS(Mouvements!$G:$G,Mouvements!$E:$E,$A114,Mouvements!$B:$B,$B114,Mouvements!$F:$F,"Départ"))</f>
        <v/>
      </c>
      <c r="E114" s="21" t="str">
        <f>IF(OR($A114="",$B114=""),"",SUMIFS(Mouvements!$G:$G,Mouvements!$E:$E,$A114,Mouvements!$B:$B,$B114,Mouvements!$F:$F,"Retour"))</f>
        <v/>
      </c>
      <c r="F114" s="21" t="str">
        <f t="shared" si="1"/>
        <v/>
      </c>
      <c r="G114" s="21" t="str">
        <f>IF($B114="","",D114*VLOOKUP($B114,Articles!$A$5:$K$204,8,FALSE))</f>
        <v/>
      </c>
      <c r="H114" s="21"/>
      <c r="I114" s="21" t="str">
        <f t="shared" si="2"/>
        <v/>
      </c>
      <c r="J114" s="21"/>
    </row>
    <row r="115" ht="15.75" customHeight="1">
      <c r="A115" s="21" t="str">
        <f>'Paramètres'!D7</f>
        <v>Atelier</v>
      </c>
      <c r="B115" s="21" t="str">
        <f>Articles!A25</f>
        <v/>
      </c>
      <c r="C115" s="21" t="str">
        <f>Articles!B25</f>
        <v/>
      </c>
      <c r="D115" s="21" t="str">
        <f>IF(OR($A115="",$B115=""),"",SUMIFS(Mouvements!$G:$G,Mouvements!$E:$E,$A115,Mouvements!$B:$B,$B115,Mouvements!$F:$F,"Départ"))</f>
        <v/>
      </c>
      <c r="E115" s="21" t="str">
        <f>IF(OR($A115="",$B115=""),"",SUMIFS(Mouvements!$G:$G,Mouvements!$E:$E,$A115,Mouvements!$B:$B,$B115,Mouvements!$F:$F,"Retour"))</f>
        <v/>
      </c>
      <c r="F115" s="21" t="str">
        <f t="shared" si="1"/>
        <v/>
      </c>
      <c r="G115" s="21" t="str">
        <f>IF($B115="","",D115*VLOOKUP($B115,Articles!$A$5:$K$204,8,FALSE))</f>
        <v/>
      </c>
      <c r="H115" s="21"/>
      <c r="I115" s="21" t="str">
        <f t="shared" si="2"/>
        <v/>
      </c>
      <c r="J115" s="21"/>
    </row>
    <row r="116" ht="15.75" customHeight="1">
      <c r="A116" s="21" t="str">
        <f>'Paramètres'!D7</f>
        <v>Atelier</v>
      </c>
      <c r="B116" s="21" t="str">
        <f>Articles!A26</f>
        <v/>
      </c>
      <c r="C116" s="21" t="str">
        <f>Articles!B26</f>
        <v/>
      </c>
      <c r="D116" s="21" t="str">
        <f>IF(OR($A116="",$B116=""),"",SUMIFS(Mouvements!$G:$G,Mouvements!$E:$E,$A116,Mouvements!$B:$B,$B116,Mouvements!$F:$F,"Départ"))</f>
        <v/>
      </c>
      <c r="E116" s="21" t="str">
        <f>IF(OR($A116="",$B116=""),"",SUMIFS(Mouvements!$G:$G,Mouvements!$E:$E,$A116,Mouvements!$B:$B,$B116,Mouvements!$F:$F,"Retour"))</f>
        <v/>
      </c>
      <c r="F116" s="21" t="str">
        <f t="shared" si="1"/>
        <v/>
      </c>
      <c r="G116" s="21" t="str">
        <f>IF($B116="","",D116*VLOOKUP($B116,Articles!$A$5:$K$204,8,FALSE))</f>
        <v/>
      </c>
      <c r="H116" s="21"/>
      <c r="I116" s="21" t="str">
        <f t="shared" si="2"/>
        <v/>
      </c>
      <c r="J116" s="21"/>
    </row>
    <row r="117" ht="15.75" customHeight="1">
      <c r="A117" s="21" t="str">
        <f>'Paramètres'!D7</f>
        <v>Atelier</v>
      </c>
      <c r="B117" s="21" t="str">
        <f>Articles!A27</f>
        <v/>
      </c>
      <c r="C117" s="21" t="str">
        <f>Articles!B27</f>
        <v/>
      </c>
      <c r="D117" s="21" t="str">
        <f>IF(OR($A117="",$B117=""),"",SUMIFS(Mouvements!$G:$G,Mouvements!$E:$E,$A117,Mouvements!$B:$B,$B117,Mouvements!$F:$F,"Départ"))</f>
        <v/>
      </c>
      <c r="E117" s="21" t="str">
        <f>IF(OR($A117="",$B117=""),"",SUMIFS(Mouvements!$G:$G,Mouvements!$E:$E,$A117,Mouvements!$B:$B,$B117,Mouvements!$F:$F,"Retour"))</f>
        <v/>
      </c>
      <c r="F117" s="21" t="str">
        <f t="shared" si="1"/>
        <v/>
      </c>
      <c r="G117" s="21" t="str">
        <f>IF($B117="","",D117*VLOOKUP($B117,Articles!$A$5:$K$204,8,FALSE))</f>
        <v/>
      </c>
      <c r="H117" s="21"/>
      <c r="I117" s="21" t="str">
        <f t="shared" si="2"/>
        <v/>
      </c>
      <c r="J117" s="21"/>
    </row>
    <row r="118" ht="15.75" customHeight="1">
      <c r="A118" s="21" t="str">
        <f>'Paramètres'!D7</f>
        <v>Atelier</v>
      </c>
      <c r="B118" s="21" t="str">
        <f>Articles!A28</f>
        <v/>
      </c>
      <c r="C118" s="21" t="str">
        <f>Articles!B28</f>
        <v/>
      </c>
      <c r="D118" s="21" t="str">
        <f>IF(OR($A118="",$B118=""),"",SUMIFS(Mouvements!$G:$G,Mouvements!$E:$E,$A118,Mouvements!$B:$B,$B118,Mouvements!$F:$F,"Départ"))</f>
        <v/>
      </c>
      <c r="E118" s="21" t="str">
        <f>IF(OR($A118="",$B118=""),"",SUMIFS(Mouvements!$G:$G,Mouvements!$E:$E,$A118,Mouvements!$B:$B,$B118,Mouvements!$F:$F,"Retour"))</f>
        <v/>
      </c>
      <c r="F118" s="21" t="str">
        <f t="shared" si="1"/>
        <v/>
      </c>
      <c r="G118" s="21" t="str">
        <f>IF($B118="","",D118*VLOOKUP($B118,Articles!$A$5:$K$204,8,FALSE))</f>
        <v/>
      </c>
      <c r="H118" s="21"/>
      <c r="I118" s="21" t="str">
        <f t="shared" si="2"/>
        <v/>
      </c>
      <c r="J118" s="21"/>
    </row>
    <row r="119" ht="15.75" customHeight="1">
      <c r="A119" s="21" t="str">
        <f>'Paramètres'!D7</f>
        <v>Atelier</v>
      </c>
      <c r="B119" s="21" t="str">
        <f>Articles!A29</f>
        <v/>
      </c>
      <c r="C119" s="21" t="str">
        <f>Articles!B29</f>
        <v/>
      </c>
      <c r="D119" s="21" t="str">
        <f>IF(OR($A119="",$B119=""),"",SUMIFS(Mouvements!$G:$G,Mouvements!$E:$E,$A119,Mouvements!$B:$B,$B119,Mouvements!$F:$F,"Départ"))</f>
        <v/>
      </c>
      <c r="E119" s="21" t="str">
        <f>IF(OR($A119="",$B119=""),"",SUMIFS(Mouvements!$G:$G,Mouvements!$E:$E,$A119,Mouvements!$B:$B,$B119,Mouvements!$F:$F,"Retour"))</f>
        <v/>
      </c>
      <c r="F119" s="21" t="str">
        <f t="shared" si="1"/>
        <v/>
      </c>
      <c r="G119" s="21" t="str">
        <f>IF($B119="","",D119*VLOOKUP($B119,Articles!$A$5:$K$204,8,FALSE))</f>
        <v/>
      </c>
      <c r="H119" s="21"/>
      <c r="I119" s="21" t="str">
        <f t="shared" si="2"/>
        <v/>
      </c>
      <c r="J119" s="21"/>
    </row>
    <row r="120" ht="15.75" customHeight="1">
      <c r="A120" s="21" t="str">
        <f>'Paramètres'!D7</f>
        <v>Atelier</v>
      </c>
      <c r="B120" s="21" t="str">
        <f>Articles!A30</f>
        <v/>
      </c>
      <c r="C120" s="21" t="str">
        <f>Articles!B30</f>
        <v/>
      </c>
      <c r="D120" s="21" t="str">
        <f>IF(OR($A120="",$B120=""),"",SUMIFS(Mouvements!$G:$G,Mouvements!$E:$E,$A120,Mouvements!$B:$B,$B120,Mouvements!$F:$F,"Départ"))</f>
        <v/>
      </c>
      <c r="E120" s="21" t="str">
        <f>IF(OR($A120="",$B120=""),"",SUMIFS(Mouvements!$G:$G,Mouvements!$E:$E,$A120,Mouvements!$B:$B,$B120,Mouvements!$F:$F,"Retour"))</f>
        <v/>
      </c>
      <c r="F120" s="21" t="str">
        <f t="shared" si="1"/>
        <v/>
      </c>
      <c r="G120" s="21" t="str">
        <f>IF($B120="","",D120*VLOOKUP($B120,Articles!$A$5:$K$204,8,FALSE))</f>
        <v/>
      </c>
      <c r="H120" s="21"/>
      <c r="I120" s="21" t="str">
        <f t="shared" si="2"/>
        <v/>
      </c>
      <c r="J120" s="21"/>
    </row>
    <row r="121" ht="15.75" customHeight="1">
      <c r="A121" s="21" t="str">
        <f>'Paramètres'!D7</f>
        <v>Atelier</v>
      </c>
      <c r="B121" s="21" t="str">
        <f>Articles!A31</f>
        <v/>
      </c>
      <c r="C121" s="21" t="str">
        <f>Articles!B31</f>
        <v/>
      </c>
      <c r="D121" s="21" t="str">
        <f>IF(OR($A121="",$B121=""),"",SUMIFS(Mouvements!$G:$G,Mouvements!$E:$E,$A121,Mouvements!$B:$B,$B121,Mouvements!$F:$F,"Départ"))</f>
        <v/>
      </c>
      <c r="E121" s="21" t="str">
        <f>IF(OR($A121="",$B121=""),"",SUMIFS(Mouvements!$G:$G,Mouvements!$E:$E,$A121,Mouvements!$B:$B,$B121,Mouvements!$F:$F,"Retour"))</f>
        <v/>
      </c>
      <c r="F121" s="21" t="str">
        <f t="shared" si="1"/>
        <v/>
      </c>
      <c r="G121" s="21" t="str">
        <f>IF($B121="","",D121*VLOOKUP($B121,Articles!$A$5:$K$204,8,FALSE))</f>
        <v/>
      </c>
      <c r="H121" s="21"/>
      <c r="I121" s="21" t="str">
        <f t="shared" si="2"/>
        <v/>
      </c>
      <c r="J121" s="21"/>
    </row>
    <row r="122" ht="15.75" customHeight="1">
      <c r="A122" s="21" t="str">
        <f>'Paramètres'!D7</f>
        <v>Atelier</v>
      </c>
      <c r="B122" s="21" t="str">
        <f>Articles!A32</f>
        <v/>
      </c>
      <c r="C122" s="21" t="str">
        <f>Articles!B32</f>
        <v/>
      </c>
      <c r="D122" s="21" t="str">
        <f>IF(OR($A122="",$B122=""),"",SUMIFS(Mouvements!$G:$G,Mouvements!$E:$E,$A122,Mouvements!$B:$B,$B122,Mouvements!$F:$F,"Départ"))</f>
        <v/>
      </c>
      <c r="E122" s="21" t="str">
        <f>IF(OR($A122="",$B122=""),"",SUMIFS(Mouvements!$G:$G,Mouvements!$E:$E,$A122,Mouvements!$B:$B,$B122,Mouvements!$F:$F,"Retour"))</f>
        <v/>
      </c>
      <c r="F122" s="21" t="str">
        <f t="shared" si="1"/>
        <v/>
      </c>
      <c r="G122" s="21" t="str">
        <f>IF($B122="","",D122*VLOOKUP($B122,Articles!$A$5:$K$204,8,FALSE))</f>
        <v/>
      </c>
      <c r="H122" s="21"/>
      <c r="I122" s="21" t="str">
        <f t="shared" si="2"/>
        <v/>
      </c>
      <c r="J122" s="21"/>
    </row>
    <row r="123" ht="15.75" customHeight="1">
      <c r="A123" s="21" t="str">
        <f>'Paramètres'!D7</f>
        <v>Atelier</v>
      </c>
      <c r="B123" s="21" t="str">
        <f>Articles!A33</f>
        <v/>
      </c>
      <c r="C123" s="21" t="str">
        <f>Articles!B33</f>
        <v/>
      </c>
      <c r="D123" s="21" t="str">
        <f>IF(OR($A123="",$B123=""),"",SUMIFS(Mouvements!$G:$G,Mouvements!$E:$E,$A123,Mouvements!$B:$B,$B123,Mouvements!$F:$F,"Départ"))</f>
        <v/>
      </c>
      <c r="E123" s="21" t="str">
        <f>IF(OR($A123="",$B123=""),"",SUMIFS(Mouvements!$G:$G,Mouvements!$E:$E,$A123,Mouvements!$B:$B,$B123,Mouvements!$F:$F,"Retour"))</f>
        <v/>
      </c>
      <c r="F123" s="21" t="str">
        <f t="shared" si="1"/>
        <v/>
      </c>
      <c r="G123" s="21" t="str">
        <f>IF($B123="","",D123*VLOOKUP($B123,Articles!$A$5:$K$204,8,FALSE))</f>
        <v/>
      </c>
      <c r="H123" s="21"/>
      <c r="I123" s="21" t="str">
        <f t="shared" si="2"/>
        <v/>
      </c>
      <c r="J123" s="21"/>
    </row>
    <row r="124" ht="15.75" customHeight="1">
      <c r="A124" s="21" t="str">
        <f>'Paramètres'!D7</f>
        <v>Atelier</v>
      </c>
      <c r="B124" s="21" t="str">
        <f>Articles!A34</f>
        <v/>
      </c>
      <c r="C124" s="21" t="str">
        <f>Articles!B34</f>
        <v/>
      </c>
      <c r="D124" s="21" t="str">
        <f>IF(OR($A124="",$B124=""),"",SUMIFS(Mouvements!$G:$G,Mouvements!$E:$E,$A124,Mouvements!$B:$B,$B124,Mouvements!$F:$F,"Départ"))</f>
        <v/>
      </c>
      <c r="E124" s="21" t="str">
        <f>IF(OR($A124="",$B124=""),"",SUMIFS(Mouvements!$G:$G,Mouvements!$E:$E,$A124,Mouvements!$B:$B,$B124,Mouvements!$F:$F,"Retour"))</f>
        <v/>
      </c>
      <c r="F124" s="21" t="str">
        <f t="shared" si="1"/>
        <v/>
      </c>
      <c r="G124" s="21" t="str">
        <f>IF($B124="","",D124*VLOOKUP($B124,Articles!$A$5:$K$204,8,FALSE))</f>
        <v/>
      </c>
      <c r="H124" s="21"/>
      <c r="I124" s="21" t="str">
        <f t="shared" si="2"/>
        <v/>
      </c>
      <c r="J124" s="21"/>
    </row>
    <row r="125" ht="15.75" customHeight="1">
      <c r="A125" s="21" t="str">
        <f>'Paramètres'!D8</f>
        <v>Dépôt</v>
      </c>
      <c r="B125" s="21" t="str">
        <f>Articles!A5</f>
        <v>VIS-6X60</v>
      </c>
      <c r="C125" s="21" t="str">
        <f>Articles!B5</f>
        <v>Vis béton 6x60</v>
      </c>
      <c r="D125" s="21" t="str">
        <f>IF(OR($A125="",$B125=""),"",SUMIFS(Mouvements!$G:$G,Mouvements!$E:$E,$A125,Mouvements!$B:$B,$B125,Mouvements!$F:$F,"Départ"))</f>
        <v>0</v>
      </c>
      <c r="E125" s="21" t="str">
        <f>IF(OR($A125="",$B125=""),"",SUMIFS(Mouvements!$G:$G,Mouvements!$E:$E,$A125,Mouvements!$B:$B,$B125,Mouvements!$F:$F,"Retour"))</f>
        <v>0</v>
      </c>
      <c r="F125" s="21" t="str">
        <f t="shared" si="1"/>
        <v>0</v>
      </c>
      <c r="G125" s="21" t="str">
        <f>IF($B125="","",D125*VLOOKUP($B125,Articles!$A$5:$K$204,8,FALSE))</f>
        <v>0</v>
      </c>
      <c r="H125" s="21"/>
      <c r="I125" s="21" t="str">
        <f t="shared" si="2"/>
        <v>Soldé</v>
      </c>
      <c r="J125" s="21"/>
    </row>
    <row r="126" ht="15.75" customHeight="1">
      <c r="A126" s="21" t="str">
        <f>'Paramètres'!D8</f>
        <v>Dépôt</v>
      </c>
      <c r="B126" s="21" t="str">
        <f>Articles!A6</f>
        <v>PERF-001</v>
      </c>
      <c r="C126" s="21" t="str">
        <f>Articles!B6</f>
        <v>Perforateur SDS</v>
      </c>
      <c r="D126" s="21" t="str">
        <f>IF(OR($A126="",$B126=""),"",SUMIFS(Mouvements!$G:$G,Mouvements!$E:$E,$A126,Mouvements!$B:$B,$B126,Mouvements!$F:$F,"Départ"))</f>
        <v>0</v>
      </c>
      <c r="E126" s="21" t="str">
        <f>IF(OR($A126="",$B126=""),"",SUMIFS(Mouvements!$G:$G,Mouvements!$E:$E,$A126,Mouvements!$B:$B,$B126,Mouvements!$F:$F,"Retour"))</f>
        <v>0</v>
      </c>
      <c r="F126" s="21" t="str">
        <f t="shared" si="1"/>
        <v>0</v>
      </c>
      <c r="G126" s="21" t="str">
        <f>IF($B126="","",D126*VLOOKUP($B126,Articles!$A$5:$K$204,8,FALSE))</f>
        <v>0</v>
      </c>
      <c r="H126" s="21"/>
      <c r="I126" s="21" t="str">
        <f t="shared" si="2"/>
        <v>Soldé</v>
      </c>
      <c r="J126" s="21"/>
    </row>
    <row r="127" ht="15.75" customHeight="1">
      <c r="A127" s="21" t="str">
        <f>'Paramètres'!D8</f>
        <v>Dépôt</v>
      </c>
      <c r="B127" s="21" t="str">
        <f>Articles!A7</f>
        <v>GANT-L</v>
      </c>
      <c r="C127" s="21" t="str">
        <f>Articles!B7</f>
        <v>Gants taille L</v>
      </c>
      <c r="D127" s="21" t="str">
        <f>IF(OR($A127="",$B127=""),"",SUMIFS(Mouvements!$G:$G,Mouvements!$E:$E,$A127,Mouvements!$B:$B,$B127,Mouvements!$F:$F,"Départ"))</f>
        <v>0</v>
      </c>
      <c r="E127" s="21" t="str">
        <f>IF(OR($A127="",$B127=""),"",SUMIFS(Mouvements!$G:$G,Mouvements!$E:$E,$A127,Mouvements!$B:$B,$B127,Mouvements!$F:$F,"Retour"))</f>
        <v>0</v>
      </c>
      <c r="F127" s="21" t="str">
        <f t="shared" si="1"/>
        <v>0</v>
      </c>
      <c r="G127" s="21" t="str">
        <f>IF($B127="","",D127*VLOOKUP($B127,Articles!$A$5:$K$204,8,FALSE))</f>
        <v>0</v>
      </c>
      <c r="H127" s="21"/>
      <c r="I127" s="21" t="str">
        <f t="shared" si="2"/>
        <v>Soldé</v>
      </c>
      <c r="J127" s="21"/>
    </row>
    <row r="128" ht="15.75" customHeight="1">
      <c r="A128" s="21" t="str">
        <f>'Paramètres'!D8</f>
        <v>Dépôt</v>
      </c>
      <c r="B128" s="21" t="str">
        <f>Articles!A8</f>
        <v>12345</v>
      </c>
      <c r="C128" s="21" t="str">
        <f>Articles!B8</f>
        <v>Quentin</v>
      </c>
      <c r="D128" s="21" t="str">
        <f>IF(OR($A128="",$B128=""),"",SUMIFS(Mouvements!$G:$G,Mouvements!$E:$E,$A128,Mouvements!$B:$B,$B128,Mouvements!$F:$F,"Départ"))</f>
        <v>0</v>
      </c>
      <c r="E128" s="21" t="str">
        <f>IF(OR($A128="",$B128=""),"",SUMIFS(Mouvements!$G:$G,Mouvements!$E:$E,$A128,Mouvements!$B:$B,$B128,Mouvements!$F:$F,"Retour"))</f>
        <v>0</v>
      </c>
      <c r="F128" s="21" t="str">
        <f t="shared" si="1"/>
        <v>0</v>
      </c>
      <c r="G128" s="21" t="str">
        <f>IF($B128="","",D128*VLOOKUP($B128,Articles!$A$5:$K$204,8,FALSE))</f>
        <v>0</v>
      </c>
      <c r="H128" s="21"/>
      <c r="I128" s="21" t="str">
        <f t="shared" si="2"/>
        <v>Soldé</v>
      </c>
      <c r="J128" s="21"/>
    </row>
    <row r="129" ht="15.75" customHeight="1">
      <c r="A129" s="21" t="str">
        <f>'Paramètres'!D8</f>
        <v>Dépôt</v>
      </c>
      <c r="B129" s="21" t="str">
        <f>Articles!A9</f>
        <v>4969272</v>
      </c>
      <c r="C129" s="21" t="str">
        <f>Articles!B9</f>
        <v>teben </v>
      </c>
      <c r="D129" s="21" t="str">
        <f>IF(OR($A129="",$B129=""),"",SUMIFS(Mouvements!$G:$G,Mouvements!$E:$E,$A129,Mouvements!$B:$B,$B129,Mouvements!$F:$F,"Départ"))</f>
        <v>0</v>
      </c>
      <c r="E129" s="21" t="str">
        <f>IF(OR($A129="",$B129=""),"",SUMIFS(Mouvements!$G:$G,Mouvements!$E:$E,$A129,Mouvements!$B:$B,$B129,Mouvements!$F:$F,"Retour"))</f>
        <v>0</v>
      </c>
      <c r="F129" s="21" t="str">
        <f t="shared" si="1"/>
        <v>0</v>
      </c>
      <c r="G129" s="21" t="str">
        <f>IF($B129="","",D129*VLOOKUP($B129,Articles!$A$5:$K$204,8,FALSE))</f>
        <v>0</v>
      </c>
      <c r="H129" s="21"/>
      <c r="I129" s="21" t="str">
        <f t="shared" si="2"/>
        <v>Soldé</v>
      </c>
      <c r="J129" s="21"/>
    </row>
    <row r="130" ht="15.75" customHeight="1">
      <c r="A130" s="21" t="str">
        <f>'Paramètres'!D8</f>
        <v>Dépôt</v>
      </c>
      <c r="B130" s="21" t="str">
        <f>Articles!A10</f>
        <v/>
      </c>
      <c r="C130" s="21" t="str">
        <f>Articles!B10</f>
        <v/>
      </c>
      <c r="D130" s="21" t="str">
        <f>IF(OR($A130="",$B130=""),"",SUMIFS(Mouvements!$G:$G,Mouvements!$E:$E,$A130,Mouvements!$B:$B,$B130,Mouvements!$F:$F,"Départ"))</f>
        <v/>
      </c>
      <c r="E130" s="21" t="str">
        <f>IF(OR($A130="",$B130=""),"",SUMIFS(Mouvements!$G:$G,Mouvements!$E:$E,$A130,Mouvements!$B:$B,$B130,Mouvements!$F:$F,"Retour"))</f>
        <v/>
      </c>
      <c r="F130" s="21" t="str">
        <f t="shared" si="1"/>
        <v/>
      </c>
      <c r="G130" s="21" t="str">
        <f>IF($B130="","",D130*VLOOKUP($B130,Articles!$A$5:$K$204,8,FALSE))</f>
        <v/>
      </c>
      <c r="H130" s="21"/>
      <c r="I130" s="21" t="str">
        <f t="shared" si="2"/>
        <v/>
      </c>
      <c r="J130" s="21"/>
    </row>
    <row r="131" ht="15.75" customHeight="1">
      <c r="A131" s="21" t="str">
        <f>'Paramètres'!D8</f>
        <v>Dépôt</v>
      </c>
      <c r="B131" s="21" t="str">
        <f>Articles!A11</f>
        <v/>
      </c>
      <c r="C131" s="21" t="str">
        <f>Articles!B11</f>
        <v/>
      </c>
      <c r="D131" s="21" t="str">
        <f>IF(OR($A131="",$B131=""),"",SUMIFS(Mouvements!$G:$G,Mouvements!$E:$E,$A131,Mouvements!$B:$B,$B131,Mouvements!$F:$F,"Départ"))</f>
        <v/>
      </c>
      <c r="E131" s="21" t="str">
        <f>IF(OR($A131="",$B131=""),"",SUMIFS(Mouvements!$G:$G,Mouvements!$E:$E,$A131,Mouvements!$B:$B,$B131,Mouvements!$F:$F,"Retour"))</f>
        <v/>
      </c>
      <c r="F131" s="21" t="str">
        <f t="shared" si="1"/>
        <v/>
      </c>
      <c r="G131" s="21" t="str">
        <f>IF($B131="","",D131*VLOOKUP($B131,Articles!$A$5:$K$204,8,FALSE))</f>
        <v/>
      </c>
      <c r="H131" s="21"/>
      <c r="I131" s="21" t="str">
        <f t="shared" si="2"/>
        <v/>
      </c>
      <c r="J131" s="21"/>
    </row>
    <row r="132" ht="15.75" customHeight="1">
      <c r="A132" s="21" t="str">
        <f>'Paramètres'!D8</f>
        <v>Dépôt</v>
      </c>
      <c r="B132" s="21" t="str">
        <f>Articles!A12</f>
        <v/>
      </c>
      <c r="C132" s="21" t="str">
        <f>Articles!B12</f>
        <v/>
      </c>
      <c r="D132" s="21" t="str">
        <f>IF(OR($A132="",$B132=""),"",SUMIFS(Mouvements!$G:$G,Mouvements!$E:$E,$A132,Mouvements!$B:$B,$B132,Mouvements!$F:$F,"Départ"))</f>
        <v/>
      </c>
      <c r="E132" s="21" t="str">
        <f>IF(OR($A132="",$B132=""),"",SUMIFS(Mouvements!$G:$G,Mouvements!$E:$E,$A132,Mouvements!$B:$B,$B132,Mouvements!$F:$F,"Retour"))</f>
        <v/>
      </c>
      <c r="F132" s="21" t="str">
        <f t="shared" si="1"/>
        <v/>
      </c>
      <c r="G132" s="21" t="str">
        <f>IF($B132="","",D132*VLOOKUP($B132,Articles!$A$5:$K$204,8,FALSE))</f>
        <v/>
      </c>
      <c r="H132" s="21"/>
      <c r="I132" s="21" t="str">
        <f t="shared" si="2"/>
        <v/>
      </c>
      <c r="J132" s="21"/>
    </row>
    <row r="133" ht="15.75" customHeight="1">
      <c r="A133" s="21" t="str">
        <f>'Paramètres'!D8</f>
        <v>Dépôt</v>
      </c>
      <c r="B133" s="21" t="str">
        <f>Articles!A13</f>
        <v/>
      </c>
      <c r="C133" s="21" t="str">
        <f>Articles!B13</f>
        <v/>
      </c>
      <c r="D133" s="21" t="str">
        <f>IF(OR($A133="",$B133=""),"",SUMIFS(Mouvements!$G:$G,Mouvements!$E:$E,$A133,Mouvements!$B:$B,$B133,Mouvements!$F:$F,"Départ"))</f>
        <v/>
      </c>
      <c r="E133" s="21" t="str">
        <f>IF(OR($A133="",$B133=""),"",SUMIFS(Mouvements!$G:$G,Mouvements!$E:$E,$A133,Mouvements!$B:$B,$B133,Mouvements!$F:$F,"Retour"))</f>
        <v/>
      </c>
      <c r="F133" s="21" t="str">
        <f t="shared" si="1"/>
        <v/>
      </c>
      <c r="G133" s="21" t="str">
        <f>IF($B133="","",D133*VLOOKUP($B133,Articles!$A$5:$K$204,8,FALSE))</f>
        <v/>
      </c>
      <c r="H133" s="21"/>
      <c r="I133" s="21" t="str">
        <f t="shared" si="2"/>
        <v/>
      </c>
      <c r="J133" s="21"/>
    </row>
    <row r="134" ht="15.75" customHeight="1">
      <c r="A134" s="21" t="str">
        <f>'Paramètres'!D8</f>
        <v>Dépôt</v>
      </c>
      <c r="B134" s="21" t="str">
        <f>Articles!A14</f>
        <v/>
      </c>
      <c r="C134" s="21" t="str">
        <f>Articles!B14</f>
        <v/>
      </c>
      <c r="D134" s="21" t="str">
        <f>IF(OR($A134="",$B134=""),"",SUMIFS(Mouvements!$G:$G,Mouvements!$E:$E,$A134,Mouvements!$B:$B,$B134,Mouvements!$F:$F,"Départ"))</f>
        <v/>
      </c>
      <c r="E134" s="21" t="str">
        <f>IF(OR($A134="",$B134=""),"",SUMIFS(Mouvements!$G:$G,Mouvements!$E:$E,$A134,Mouvements!$B:$B,$B134,Mouvements!$F:$F,"Retour"))</f>
        <v/>
      </c>
      <c r="F134" s="21" t="str">
        <f t="shared" si="1"/>
        <v/>
      </c>
      <c r="G134" s="21" t="str">
        <f>IF($B134="","",D134*VLOOKUP($B134,Articles!$A$5:$K$204,8,FALSE))</f>
        <v/>
      </c>
      <c r="H134" s="21"/>
      <c r="I134" s="21" t="str">
        <f t="shared" si="2"/>
        <v/>
      </c>
      <c r="J134" s="21"/>
    </row>
    <row r="135" ht="15.75" customHeight="1">
      <c r="A135" s="21" t="str">
        <f>'Paramètres'!D8</f>
        <v>Dépôt</v>
      </c>
      <c r="B135" s="21" t="str">
        <f>Articles!A15</f>
        <v/>
      </c>
      <c r="C135" s="21" t="str">
        <f>Articles!B15</f>
        <v/>
      </c>
      <c r="D135" s="21" t="str">
        <f>IF(OR($A135="",$B135=""),"",SUMIFS(Mouvements!$G:$G,Mouvements!$E:$E,$A135,Mouvements!$B:$B,$B135,Mouvements!$F:$F,"Départ"))</f>
        <v/>
      </c>
      <c r="E135" s="21" t="str">
        <f>IF(OR($A135="",$B135=""),"",SUMIFS(Mouvements!$G:$G,Mouvements!$E:$E,$A135,Mouvements!$B:$B,$B135,Mouvements!$F:$F,"Retour"))</f>
        <v/>
      </c>
      <c r="F135" s="21" t="str">
        <f t="shared" si="1"/>
        <v/>
      </c>
      <c r="G135" s="21" t="str">
        <f>IF($B135="","",D135*VLOOKUP($B135,Articles!$A$5:$K$204,8,FALSE))</f>
        <v/>
      </c>
      <c r="H135" s="21"/>
      <c r="I135" s="21" t="str">
        <f t="shared" si="2"/>
        <v/>
      </c>
      <c r="J135" s="21"/>
    </row>
    <row r="136" ht="15.75" customHeight="1">
      <c r="A136" s="21" t="str">
        <f>'Paramètres'!D8</f>
        <v>Dépôt</v>
      </c>
      <c r="B136" s="21" t="str">
        <f>Articles!A16</f>
        <v/>
      </c>
      <c r="C136" s="21" t="str">
        <f>Articles!B16</f>
        <v/>
      </c>
      <c r="D136" s="21" t="str">
        <f>IF(OR($A136="",$B136=""),"",SUMIFS(Mouvements!$G:$G,Mouvements!$E:$E,$A136,Mouvements!$B:$B,$B136,Mouvements!$F:$F,"Départ"))</f>
        <v/>
      </c>
      <c r="E136" s="21" t="str">
        <f>IF(OR($A136="",$B136=""),"",SUMIFS(Mouvements!$G:$G,Mouvements!$E:$E,$A136,Mouvements!$B:$B,$B136,Mouvements!$F:$F,"Retour"))</f>
        <v/>
      </c>
      <c r="F136" s="21" t="str">
        <f t="shared" si="1"/>
        <v/>
      </c>
      <c r="G136" s="21" t="str">
        <f>IF($B136="","",D136*VLOOKUP($B136,Articles!$A$5:$K$204,8,FALSE))</f>
        <v/>
      </c>
      <c r="H136" s="21"/>
      <c r="I136" s="21" t="str">
        <f t="shared" si="2"/>
        <v/>
      </c>
      <c r="J136" s="21"/>
    </row>
    <row r="137" ht="15.75" customHeight="1">
      <c r="A137" s="21" t="str">
        <f>'Paramètres'!D8</f>
        <v>Dépôt</v>
      </c>
      <c r="B137" s="21" t="str">
        <f>Articles!A17</f>
        <v/>
      </c>
      <c r="C137" s="21" t="str">
        <f>Articles!B17</f>
        <v/>
      </c>
      <c r="D137" s="21" t="str">
        <f>IF(OR($A137="",$B137=""),"",SUMIFS(Mouvements!$G:$G,Mouvements!$E:$E,$A137,Mouvements!$B:$B,$B137,Mouvements!$F:$F,"Départ"))</f>
        <v/>
      </c>
      <c r="E137" s="21" t="str">
        <f>IF(OR($A137="",$B137=""),"",SUMIFS(Mouvements!$G:$G,Mouvements!$E:$E,$A137,Mouvements!$B:$B,$B137,Mouvements!$F:$F,"Retour"))</f>
        <v/>
      </c>
      <c r="F137" s="21" t="str">
        <f t="shared" si="1"/>
        <v/>
      </c>
      <c r="G137" s="21" t="str">
        <f>IF($B137="","",D137*VLOOKUP($B137,Articles!$A$5:$K$204,8,FALSE))</f>
        <v/>
      </c>
      <c r="H137" s="21"/>
      <c r="I137" s="21" t="str">
        <f t="shared" si="2"/>
        <v/>
      </c>
      <c r="J137" s="21"/>
    </row>
    <row r="138" ht="15.75" customHeight="1">
      <c r="A138" s="21" t="str">
        <f>'Paramètres'!D8</f>
        <v>Dépôt</v>
      </c>
      <c r="B138" s="21" t="str">
        <f>Articles!A18</f>
        <v/>
      </c>
      <c r="C138" s="21" t="str">
        <f>Articles!B18</f>
        <v/>
      </c>
      <c r="D138" s="21" t="str">
        <f>IF(OR($A138="",$B138=""),"",SUMIFS(Mouvements!$G:$G,Mouvements!$E:$E,$A138,Mouvements!$B:$B,$B138,Mouvements!$F:$F,"Départ"))</f>
        <v/>
      </c>
      <c r="E138" s="21" t="str">
        <f>IF(OR($A138="",$B138=""),"",SUMIFS(Mouvements!$G:$G,Mouvements!$E:$E,$A138,Mouvements!$B:$B,$B138,Mouvements!$F:$F,"Retour"))</f>
        <v/>
      </c>
      <c r="F138" s="21" t="str">
        <f t="shared" si="1"/>
        <v/>
      </c>
      <c r="G138" s="21" t="str">
        <f>IF($B138="","",D138*VLOOKUP($B138,Articles!$A$5:$K$204,8,FALSE))</f>
        <v/>
      </c>
      <c r="H138" s="21"/>
      <c r="I138" s="21" t="str">
        <f t="shared" si="2"/>
        <v/>
      </c>
      <c r="J138" s="21"/>
    </row>
    <row r="139" ht="15.75" customHeight="1">
      <c r="A139" s="21" t="str">
        <f>'Paramètres'!D8</f>
        <v>Dépôt</v>
      </c>
      <c r="B139" s="21" t="str">
        <f>Articles!A19</f>
        <v/>
      </c>
      <c r="C139" s="21" t="str">
        <f>Articles!B19</f>
        <v/>
      </c>
      <c r="D139" s="21" t="str">
        <f>IF(OR($A139="",$B139=""),"",SUMIFS(Mouvements!$G:$G,Mouvements!$E:$E,$A139,Mouvements!$B:$B,$B139,Mouvements!$F:$F,"Départ"))</f>
        <v/>
      </c>
      <c r="E139" s="21" t="str">
        <f>IF(OR($A139="",$B139=""),"",SUMIFS(Mouvements!$G:$G,Mouvements!$E:$E,$A139,Mouvements!$B:$B,$B139,Mouvements!$F:$F,"Retour"))</f>
        <v/>
      </c>
      <c r="F139" s="21" t="str">
        <f t="shared" si="1"/>
        <v/>
      </c>
      <c r="G139" s="21" t="str">
        <f>IF($B139="","",D139*VLOOKUP($B139,Articles!$A$5:$K$204,8,FALSE))</f>
        <v/>
      </c>
      <c r="H139" s="21"/>
      <c r="I139" s="21" t="str">
        <f t="shared" si="2"/>
        <v/>
      </c>
      <c r="J139" s="21"/>
    </row>
    <row r="140" ht="15.75" customHeight="1">
      <c r="A140" s="21" t="str">
        <f>'Paramètres'!D8</f>
        <v>Dépôt</v>
      </c>
      <c r="B140" s="21" t="str">
        <f>Articles!A20</f>
        <v/>
      </c>
      <c r="C140" s="21" t="str">
        <f>Articles!B20</f>
        <v/>
      </c>
      <c r="D140" s="21" t="str">
        <f>IF(OR($A140="",$B140=""),"",SUMIFS(Mouvements!$G:$G,Mouvements!$E:$E,$A140,Mouvements!$B:$B,$B140,Mouvements!$F:$F,"Départ"))</f>
        <v/>
      </c>
      <c r="E140" s="21" t="str">
        <f>IF(OR($A140="",$B140=""),"",SUMIFS(Mouvements!$G:$G,Mouvements!$E:$E,$A140,Mouvements!$B:$B,$B140,Mouvements!$F:$F,"Retour"))</f>
        <v/>
      </c>
      <c r="F140" s="21" t="str">
        <f t="shared" si="1"/>
        <v/>
      </c>
      <c r="G140" s="21" t="str">
        <f>IF($B140="","",D140*VLOOKUP($B140,Articles!$A$5:$K$204,8,FALSE))</f>
        <v/>
      </c>
      <c r="H140" s="21"/>
      <c r="I140" s="21" t="str">
        <f t="shared" si="2"/>
        <v/>
      </c>
      <c r="J140" s="21"/>
    </row>
    <row r="141" ht="15.75" customHeight="1">
      <c r="A141" s="21" t="str">
        <f>'Paramètres'!D8</f>
        <v>Dépôt</v>
      </c>
      <c r="B141" s="21" t="str">
        <f>Articles!A21</f>
        <v/>
      </c>
      <c r="C141" s="21" t="str">
        <f>Articles!B21</f>
        <v/>
      </c>
      <c r="D141" s="21" t="str">
        <f>IF(OR($A141="",$B141=""),"",SUMIFS(Mouvements!$G:$G,Mouvements!$E:$E,$A141,Mouvements!$B:$B,$B141,Mouvements!$F:$F,"Départ"))</f>
        <v/>
      </c>
      <c r="E141" s="21" t="str">
        <f>IF(OR($A141="",$B141=""),"",SUMIFS(Mouvements!$G:$G,Mouvements!$E:$E,$A141,Mouvements!$B:$B,$B141,Mouvements!$F:$F,"Retour"))</f>
        <v/>
      </c>
      <c r="F141" s="21" t="str">
        <f t="shared" si="1"/>
        <v/>
      </c>
      <c r="G141" s="21" t="str">
        <f>IF($B141="","",D141*VLOOKUP($B141,Articles!$A$5:$K$204,8,FALSE))</f>
        <v/>
      </c>
      <c r="H141" s="21"/>
      <c r="I141" s="21" t="str">
        <f t="shared" si="2"/>
        <v/>
      </c>
      <c r="J141" s="21"/>
    </row>
    <row r="142" ht="15.75" customHeight="1">
      <c r="A142" s="21" t="str">
        <f>'Paramètres'!D8</f>
        <v>Dépôt</v>
      </c>
      <c r="B142" s="21" t="str">
        <f>Articles!A22</f>
        <v/>
      </c>
      <c r="C142" s="21" t="str">
        <f>Articles!B22</f>
        <v/>
      </c>
      <c r="D142" s="21" t="str">
        <f>IF(OR($A142="",$B142=""),"",SUMIFS(Mouvements!$G:$G,Mouvements!$E:$E,$A142,Mouvements!$B:$B,$B142,Mouvements!$F:$F,"Départ"))</f>
        <v/>
      </c>
      <c r="E142" s="21" t="str">
        <f>IF(OR($A142="",$B142=""),"",SUMIFS(Mouvements!$G:$G,Mouvements!$E:$E,$A142,Mouvements!$B:$B,$B142,Mouvements!$F:$F,"Retour"))</f>
        <v/>
      </c>
      <c r="F142" s="21" t="str">
        <f t="shared" si="1"/>
        <v/>
      </c>
      <c r="G142" s="21" t="str">
        <f>IF($B142="","",D142*VLOOKUP($B142,Articles!$A$5:$K$204,8,FALSE))</f>
        <v/>
      </c>
      <c r="H142" s="21"/>
      <c r="I142" s="21" t="str">
        <f t="shared" si="2"/>
        <v/>
      </c>
      <c r="J142" s="21"/>
    </row>
    <row r="143" ht="15.75" customHeight="1">
      <c r="A143" s="21" t="str">
        <f>'Paramètres'!D8</f>
        <v>Dépôt</v>
      </c>
      <c r="B143" s="21" t="str">
        <f>Articles!A23</f>
        <v/>
      </c>
      <c r="C143" s="21" t="str">
        <f>Articles!B23</f>
        <v/>
      </c>
      <c r="D143" s="21" t="str">
        <f>IF(OR($A143="",$B143=""),"",SUMIFS(Mouvements!$G:$G,Mouvements!$E:$E,$A143,Mouvements!$B:$B,$B143,Mouvements!$F:$F,"Départ"))</f>
        <v/>
      </c>
      <c r="E143" s="21" t="str">
        <f>IF(OR($A143="",$B143=""),"",SUMIFS(Mouvements!$G:$G,Mouvements!$E:$E,$A143,Mouvements!$B:$B,$B143,Mouvements!$F:$F,"Retour"))</f>
        <v/>
      </c>
      <c r="F143" s="21" t="str">
        <f t="shared" si="1"/>
        <v/>
      </c>
      <c r="G143" s="21" t="str">
        <f>IF($B143="","",D143*VLOOKUP($B143,Articles!$A$5:$K$204,8,FALSE))</f>
        <v/>
      </c>
      <c r="H143" s="21"/>
      <c r="I143" s="21" t="str">
        <f t="shared" si="2"/>
        <v/>
      </c>
      <c r="J143" s="21"/>
    </row>
    <row r="144" ht="15.75" customHeight="1">
      <c r="A144" s="21" t="str">
        <f>'Paramètres'!D8</f>
        <v>Dépôt</v>
      </c>
      <c r="B144" s="21" t="str">
        <f>Articles!A24</f>
        <v/>
      </c>
      <c r="C144" s="21" t="str">
        <f>Articles!B24</f>
        <v/>
      </c>
      <c r="D144" s="21" t="str">
        <f>IF(OR($A144="",$B144=""),"",SUMIFS(Mouvements!$G:$G,Mouvements!$E:$E,$A144,Mouvements!$B:$B,$B144,Mouvements!$F:$F,"Départ"))</f>
        <v/>
      </c>
      <c r="E144" s="21" t="str">
        <f>IF(OR($A144="",$B144=""),"",SUMIFS(Mouvements!$G:$G,Mouvements!$E:$E,$A144,Mouvements!$B:$B,$B144,Mouvements!$F:$F,"Retour"))</f>
        <v/>
      </c>
      <c r="F144" s="21" t="str">
        <f t="shared" si="1"/>
        <v/>
      </c>
      <c r="G144" s="21" t="str">
        <f>IF($B144="","",D144*VLOOKUP($B144,Articles!$A$5:$K$204,8,FALSE))</f>
        <v/>
      </c>
      <c r="H144" s="21"/>
      <c r="I144" s="21" t="str">
        <f t="shared" si="2"/>
        <v/>
      </c>
      <c r="J144" s="21"/>
    </row>
    <row r="145" ht="15.75" customHeight="1">
      <c r="A145" s="21" t="str">
        <f>'Paramètres'!D8</f>
        <v>Dépôt</v>
      </c>
      <c r="B145" s="21" t="str">
        <f>Articles!A25</f>
        <v/>
      </c>
      <c r="C145" s="21" t="str">
        <f>Articles!B25</f>
        <v/>
      </c>
      <c r="D145" s="21" t="str">
        <f>IF(OR($A145="",$B145=""),"",SUMIFS(Mouvements!$G:$G,Mouvements!$E:$E,$A145,Mouvements!$B:$B,$B145,Mouvements!$F:$F,"Départ"))</f>
        <v/>
      </c>
      <c r="E145" s="21" t="str">
        <f>IF(OR($A145="",$B145=""),"",SUMIFS(Mouvements!$G:$G,Mouvements!$E:$E,$A145,Mouvements!$B:$B,$B145,Mouvements!$F:$F,"Retour"))</f>
        <v/>
      </c>
      <c r="F145" s="21" t="str">
        <f t="shared" si="1"/>
        <v/>
      </c>
      <c r="G145" s="21" t="str">
        <f>IF($B145="","",D145*VLOOKUP($B145,Articles!$A$5:$K$204,8,FALSE))</f>
        <v/>
      </c>
      <c r="H145" s="21"/>
      <c r="I145" s="21" t="str">
        <f t="shared" si="2"/>
        <v/>
      </c>
      <c r="J145" s="21"/>
    </row>
    <row r="146" ht="15.75" customHeight="1">
      <c r="A146" s="21" t="str">
        <f>'Paramètres'!D8</f>
        <v>Dépôt</v>
      </c>
      <c r="B146" s="21" t="str">
        <f>Articles!A26</f>
        <v/>
      </c>
      <c r="C146" s="21" t="str">
        <f>Articles!B26</f>
        <v/>
      </c>
      <c r="D146" s="21" t="str">
        <f>IF(OR($A146="",$B146=""),"",SUMIFS(Mouvements!$G:$G,Mouvements!$E:$E,$A146,Mouvements!$B:$B,$B146,Mouvements!$F:$F,"Départ"))</f>
        <v/>
      </c>
      <c r="E146" s="21" t="str">
        <f>IF(OR($A146="",$B146=""),"",SUMIFS(Mouvements!$G:$G,Mouvements!$E:$E,$A146,Mouvements!$B:$B,$B146,Mouvements!$F:$F,"Retour"))</f>
        <v/>
      </c>
      <c r="F146" s="21" t="str">
        <f t="shared" si="1"/>
        <v/>
      </c>
      <c r="G146" s="21" t="str">
        <f>IF($B146="","",D146*VLOOKUP($B146,Articles!$A$5:$K$204,8,FALSE))</f>
        <v/>
      </c>
      <c r="H146" s="21"/>
      <c r="I146" s="21" t="str">
        <f t="shared" si="2"/>
        <v/>
      </c>
      <c r="J146" s="21"/>
    </row>
    <row r="147" ht="15.75" customHeight="1">
      <c r="A147" s="21" t="str">
        <f>'Paramètres'!D8</f>
        <v>Dépôt</v>
      </c>
      <c r="B147" s="21" t="str">
        <f>Articles!A27</f>
        <v/>
      </c>
      <c r="C147" s="21" t="str">
        <f>Articles!B27</f>
        <v/>
      </c>
      <c r="D147" s="21" t="str">
        <f>IF(OR($A147="",$B147=""),"",SUMIFS(Mouvements!$G:$G,Mouvements!$E:$E,$A147,Mouvements!$B:$B,$B147,Mouvements!$F:$F,"Départ"))</f>
        <v/>
      </c>
      <c r="E147" s="21" t="str">
        <f>IF(OR($A147="",$B147=""),"",SUMIFS(Mouvements!$G:$G,Mouvements!$E:$E,$A147,Mouvements!$B:$B,$B147,Mouvements!$F:$F,"Retour"))</f>
        <v/>
      </c>
      <c r="F147" s="21" t="str">
        <f t="shared" si="1"/>
        <v/>
      </c>
      <c r="G147" s="21" t="str">
        <f>IF($B147="","",D147*VLOOKUP($B147,Articles!$A$5:$K$204,8,FALSE))</f>
        <v/>
      </c>
      <c r="H147" s="21"/>
      <c r="I147" s="21" t="str">
        <f t="shared" si="2"/>
        <v/>
      </c>
      <c r="J147" s="21"/>
    </row>
    <row r="148" ht="15.75" customHeight="1">
      <c r="A148" s="21" t="str">
        <f>'Paramètres'!D8</f>
        <v>Dépôt</v>
      </c>
      <c r="B148" s="21" t="str">
        <f>Articles!A28</f>
        <v/>
      </c>
      <c r="C148" s="21" t="str">
        <f>Articles!B28</f>
        <v/>
      </c>
      <c r="D148" s="21" t="str">
        <f>IF(OR($A148="",$B148=""),"",SUMIFS(Mouvements!$G:$G,Mouvements!$E:$E,$A148,Mouvements!$B:$B,$B148,Mouvements!$F:$F,"Départ"))</f>
        <v/>
      </c>
      <c r="E148" s="21" t="str">
        <f>IF(OR($A148="",$B148=""),"",SUMIFS(Mouvements!$G:$G,Mouvements!$E:$E,$A148,Mouvements!$B:$B,$B148,Mouvements!$F:$F,"Retour"))</f>
        <v/>
      </c>
      <c r="F148" s="21" t="str">
        <f t="shared" si="1"/>
        <v/>
      </c>
      <c r="G148" s="21" t="str">
        <f>IF($B148="","",D148*VLOOKUP($B148,Articles!$A$5:$K$204,8,FALSE))</f>
        <v/>
      </c>
      <c r="H148" s="21"/>
      <c r="I148" s="21" t="str">
        <f t="shared" si="2"/>
        <v/>
      </c>
      <c r="J148" s="21"/>
    </row>
    <row r="149" ht="15.75" customHeight="1">
      <c r="A149" s="21" t="str">
        <f>'Paramètres'!D8</f>
        <v>Dépôt</v>
      </c>
      <c r="B149" s="21" t="str">
        <f>Articles!A29</f>
        <v/>
      </c>
      <c r="C149" s="21" t="str">
        <f>Articles!B29</f>
        <v/>
      </c>
      <c r="D149" s="21" t="str">
        <f>IF(OR($A149="",$B149=""),"",SUMIFS(Mouvements!$G:$G,Mouvements!$E:$E,$A149,Mouvements!$B:$B,$B149,Mouvements!$F:$F,"Départ"))</f>
        <v/>
      </c>
      <c r="E149" s="21" t="str">
        <f>IF(OR($A149="",$B149=""),"",SUMIFS(Mouvements!$G:$G,Mouvements!$E:$E,$A149,Mouvements!$B:$B,$B149,Mouvements!$F:$F,"Retour"))</f>
        <v/>
      </c>
      <c r="F149" s="21" t="str">
        <f t="shared" si="1"/>
        <v/>
      </c>
      <c r="G149" s="21" t="str">
        <f>IF($B149="","",D149*VLOOKUP($B149,Articles!$A$5:$K$204,8,FALSE))</f>
        <v/>
      </c>
      <c r="H149" s="21"/>
      <c r="I149" s="21" t="str">
        <f t="shared" si="2"/>
        <v/>
      </c>
      <c r="J149" s="21"/>
    </row>
    <row r="150" ht="15.75" customHeight="1">
      <c r="A150" s="21" t="str">
        <f>'Paramètres'!D8</f>
        <v>Dépôt</v>
      </c>
      <c r="B150" s="21" t="str">
        <f>Articles!A30</f>
        <v/>
      </c>
      <c r="C150" s="21" t="str">
        <f>Articles!B30</f>
        <v/>
      </c>
      <c r="D150" s="21" t="str">
        <f>IF(OR($A150="",$B150=""),"",SUMIFS(Mouvements!$G:$G,Mouvements!$E:$E,$A150,Mouvements!$B:$B,$B150,Mouvements!$F:$F,"Départ"))</f>
        <v/>
      </c>
      <c r="E150" s="21" t="str">
        <f>IF(OR($A150="",$B150=""),"",SUMIFS(Mouvements!$G:$G,Mouvements!$E:$E,$A150,Mouvements!$B:$B,$B150,Mouvements!$F:$F,"Retour"))</f>
        <v/>
      </c>
      <c r="F150" s="21" t="str">
        <f t="shared" si="1"/>
        <v/>
      </c>
      <c r="G150" s="21" t="str">
        <f>IF($B150="","",D150*VLOOKUP($B150,Articles!$A$5:$K$204,8,FALSE))</f>
        <v/>
      </c>
      <c r="H150" s="21"/>
      <c r="I150" s="21" t="str">
        <f t="shared" si="2"/>
        <v/>
      </c>
      <c r="J150" s="21"/>
    </row>
    <row r="151" ht="15.75" customHeight="1">
      <c r="A151" s="21" t="str">
        <f>'Paramètres'!D8</f>
        <v>Dépôt</v>
      </c>
      <c r="B151" s="21" t="str">
        <f>Articles!A31</f>
        <v/>
      </c>
      <c r="C151" s="21" t="str">
        <f>Articles!B31</f>
        <v/>
      </c>
      <c r="D151" s="21" t="str">
        <f>IF(OR($A151="",$B151=""),"",SUMIFS(Mouvements!$G:$G,Mouvements!$E:$E,$A151,Mouvements!$B:$B,$B151,Mouvements!$F:$F,"Départ"))</f>
        <v/>
      </c>
      <c r="E151" s="21" t="str">
        <f>IF(OR($A151="",$B151=""),"",SUMIFS(Mouvements!$G:$G,Mouvements!$E:$E,$A151,Mouvements!$B:$B,$B151,Mouvements!$F:$F,"Retour"))</f>
        <v/>
      </c>
      <c r="F151" s="21" t="str">
        <f t="shared" si="1"/>
        <v/>
      </c>
      <c r="G151" s="21" t="str">
        <f>IF($B151="","",D151*VLOOKUP($B151,Articles!$A$5:$K$204,8,FALSE))</f>
        <v/>
      </c>
      <c r="H151" s="21"/>
      <c r="I151" s="21" t="str">
        <f t="shared" si="2"/>
        <v/>
      </c>
      <c r="J151" s="21"/>
    </row>
    <row r="152" ht="15.75" customHeight="1">
      <c r="A152" s="21" t="str">
        <f>'Paramètres'!D8</f>
        <v>Dépôt</v>
      </c>
      <c r="B152" s="21" t="str">
        <f>Articles!A32</f>
        <v/>
      </c>
      <c r="C152" s="21" t="str">
        <f>Articles!B32</f>
        <v/>
      </c>
      <c r="D152" s="21" t="str">
        <f>IF(OR($A152="",$B152=""),"",SUMIFS(Mouvements!$G:$G,Mouvements!$E:$E,$A152,Mouvements!$B:$B,$B152,Mouvements!$F:$F,"Départ"))</f>
        <v/>
      </c>
      <c r="E152" s="21" t="str">
        <f>IF(OR($A152="",$B152=""),"",SUMIFS(Mouvements!$G:$G,Mouvements!$E:$E,$A152,Mouvements!$B:$B,$B152,Mouvements!$F:$F,"Retour"))</f>
        <v/>
      </c>
      <c r="F152" s="21" t="str">
        <f t="shared" si="1"/>
        <v/>
      </c>
      <c r="G152" s="21" t="str">
        <f>IF($B152="","",D152*VLOOKUP($B152,Articles!$A$5:$K$204,8,FALSE))</f>
        <v/>
      </c>
      <c r="H152" s="21"/>
      <c r="I152" s="21" t="str">
        <f t="shared" si="2"/>
        <v/>
      </c>
      <c r="J152" s="21"/>
    </row>
    <row r="153" ht="15.75" customHeight="1">
      <c r="A153" s="21" t="str">
        <f>'Paramètres'!D8</f>
        <v>Dépôt</v>
      </c>
      <c r="B153" s="21" t="str">
        <f>Articles!A33</f>
        <v/>
      </c>
      <c r="C153" s="21" t="str">
        <f>Articles!B33</f>
        <v/>
      </c>
      <c r="D153" s="21" t="str">
        <f>IF(OR($A153="",$B153=""),"",SUMIFS(Mouvements!$G:$G,Mouvements!$E:$E,$A153,Mouvements!$B:$B,$B153,Mouvements!$F:$F,"Départ"))</f>
        <v/>
      </c>
      <c r="E153" s="21" t="str">
        <f>IF(OR($A153="",$B153=""),"",SUMIFS(Mouvements!$G:$G,Mouvements!$E:$E,$A153,Mouvements!$B:$B,$B153,Mouvements!$F:$F,"Retour"))</f>
        <v/>
      </c>
      <c r="F153" s="21" t="str">
        <f t="shared" si="1"/>
        <v/>
      </c>
      <c r="G153" s="21" t="str">
        <f>IF($B153="","",D153*VLOOKUP($B153,Articles!$A$5:$K$204,8,FALSE))</f>
        <v/>
      </c>
      <c r="H153" s="21"/>
      <c r="I153" s="21" t="str">
        <f t="shared" si="2"/>
        <v/>
      </c>
      <c r="J153" s="21"/>
    </row>
    <row r="154" ht="15.75" customHeight="1">
      <c r="A154" s="21" t="str">
        <f>'Paramètres'!D8</f>
        <v>Dépôt</v>
      </c>
      <c r="B154" s="21" t="str">
        <f>Articles!A34</f>
        <v/>
      </c>
      <c r="C154" s="21" t="str">
        <f>Articles!B34</f>
        <v/>
      </c>
      <c r="D154" s="21" t="str">
        <f>IF(OR($A154="",$B154=""),"",SUMIFS(Mouvements!$G:$G,Mouvements!$E:$E,$A154,Mouvements!$B:$B,$B154,Mouvements!$F:$F,"Départ"))</f>
        <v/>
      </c>
      <c r="E154" s="21" t="str">
        <f>IF(OR($A154="",$B154=""),"",SUMIFS(Mouvements!$G:$G,Mouvements!$E:$E,$A154,Mouvements!$B:$B,$B154,Mouvements!$F:$F,"Retour"))</f>
        <v/>
      </c>
      <c r="F154" s="21" t="str">
        <f t="shared" si="1"/>
        <v/>
      </c>
      <c r="G154" s="21" t="str">
        <f>IF($B154="","",D154*VLOOKUP($B154,Articles!$A$5:$K$204,8,FALSE))</f>
        <v/>
      </c>
      <c r="H154" s="21"/>
      <c r="I154" s="21" t="str">
        <f t="shared" si="2"/>
        <v/>
      </c>
      <c r="J154" s="21"/>
    </row>
    <row r="155" ht="15.75" customHeight="1">
      <c r="A155" s="21" t="str">
        <f>'Paramètres'!D9</f>
        <v/>
      </c>
      <c r="B155" s="21" t="str">
        <f>Articles!A5</f>
        <v>VIS-6X60</v>
      </c>
      <c r="C155" s="21" t="str">
        <f>Articles!B5</f>
        <v>Vis béton 6x60</v>
      </c>
      <c r="D155" s="21" t="str">
        <f>IF(OR($A155="",$B155=""),"",SUMIFS(Mouvements!$G:$G,Mouvements!$E:$E,$A155,Mouvements!$B:$B,$B155,Mouvements!$F:$F,"Départ"))</f>
        <v/>
      </c>
      <c r="E155" s="21" t="str">
        <f>IF(OR($A155="",$B155=""),"",SUMIFS(Mouvements!$G:$G,Mouvements!$E:$E,$A155,Mouvements!$B:$B,$B155,Mouvements!$F:$F,"Retour"))</f>
        <v/>
      </c>
      <c r="F155" s="21" t="str">
        <f t="shared" si="1"/>
        <v/>
      </c>
      <c r="G155" s="21" t="str">
        <f>IF($B155="","",D155*VLOOKUP($B155,Articles!$A$5:$K$204,8,FALSE))</f>
        <v>0</v>
      </c>
      <c r="H155" s="21"/>
      <c r="I155" s="21" t="str">
        <f t="shared" si="2"/>
        <v/>
      </c>
      <c r="J155" s="21"/>
    </row>
    <row r="156" ht="15.75" customHeight="1">
      <c r="A156" s="21" t="str">
        <f>'Paramètres'!D9</f>
        <v/>
      </c>
      <c r="B156" s="21" t="str">
        <f>Articles!A6</f>
        <v>PERF-001</v>
      </c>
      <c r="C156" s="21" t="str">
        <f>Articles!B6</f>
        <v>Perforateur SDS</v>
      </c>
      <c r="D156" s="21" t="str">
        <f>IF(OR($A156="",$B156=""),"",SUMIFS(Mouvements!$G:$G,Mouvements!$E:$E,$A156,Mouvements!$B:$B,$B156,Mouvements!$F:$F,"Départ"))</f>
        <v/>
      </c>
      <c r="E156" s="21" t="str">
        <f>IF(OR($A156="",$B156=""),"",SUMIFS(Mouvements!$G:$G,Mouvements!$E:$E,$A156,Mouvements!$B:$B,$B156,Mouvements!$F:$F,"Retour"))</f>
        <v/>
      </c>
      <c r="F156" s="21" t="str">
        <f t="shared" si="1"/>
        <v/>
      </c>
      <c r="G156" s="21" t="str">
        <f>IF($B156="","",D156*VLOOKUP($B156,Articles!$A$5:$K$204,8,FALSE))</f>
        <v>0</v>
      </c>
      <c r="H156" s="21"/>
      <c r="I156" s="21" t="str">
        <f t="shared" si="2"/>
        <v/>
      </c>
      <c r="J156" s="21"/>
    </row>
    <row r="157" ht="15.75" customHeight="1">
      <c r="A157" s="21" t="str">
        <f>'Paramètres'!D9</f>
        <v/>
      </c>
      <c r="B157" s="21" t="str">
        <f>Articles!A7</f>
        <v>GANT-L</v>
      </c>
      <c r="C157" s="21" t="str">
        <f>Articles!B7</f>
        <v>Gants taille L</v>
      </c>
      <c r="D157" s="21" t="str">
        <f>IF(OR($A157="",$B157=""),"",SUMIFS(Mouvements!$G:$G,Mouvements!$E:$E,$A157,Mouvements!$B:$B,$B157,Mouvements!$F:$F,"Départ"))</f>
        <v/>
      </c>
      <c r="E157" s="21" t="str">
        <f>IF(OR($A157="",$B157=""),"",SUMIFS(Mouvements!$G:$G,Mouvements!$E:$E,$A157,Mouvements!$B:$B,$B157,Mouvements!$F:$F,"Retour"))</f>
        <v/>
      </c>
      <c r="F157" s="21" t="str">
        <f t="shared" si="1"/>
        <v/>
      </c>
      <c r="G157" s="21" t="str">
        <f>IF($B157="","",D157*VLOOKUP($B157,Articles!$A$5:$K$204,8,FALSE))</f>
        <v>0</v>
      </c>
      <c r="H157" s="21"/>
      <c r="I157" s="21" t="str">
        <f t="shared" si="2"/>
        <v/>
      </c>
      <c r="J157" s="21"/>
    </row>
    <row r="158" ht="15.75" customHeight="1">
      <c r="A158" s="21" t="str">
        <f>'Paramètres'!D9</f>
        <v/>
      </c>
      <c r="B158" s="21" t="str">
        <f>Articles!A8</f>
        <v>12345</v>
      </c>
      <c r="C158" s="21" t="str">
        <f>Articles!B8</f>
        <v>Quentin</v>
      </c>
      <c r="D158" s="21" t="str">
        <f>IF(OR($A158="",$B158=""),"",SUMIFS(Mouvements!$G:$G,Mouvements!$E:$E,$A158,Mouvements!$B:$B,$B158,Mouvements!$F:$F,"Départ"))</f>
        <v/>
      </c>
      <c r="E158" s="21" t="str">
        <f>IF(OR($A158="",$B158=""),"",SUMIFS(Mouvements!$G:$G,Mouvements!$E:$E,$A158,Mouvements!$B:$B,$B158,Mouvements!$F:$F,"Retour"))</f>
        <v/>
      </c>
      <c r="F158" s="21" t="str">
        <f t="shared" si="1"/>
        <v/>
      </c>
      <c r="G158" s="21" t="str">
        <f>IF($B158="","",D158*VLOOKUP($B158,Articles!$A$5:$K$204,8,FALSE))</f>
        <v>0</v>
      </c>
      <c r="H158" s="21"/>
      <c r="I158" s="21" t="str">
        <f t="shared" si="2"/>
        <v/>
      </c>
      <c r="J158" s="21"/>
    </row>
    <row r="159" ht="15.75" customHeight="1">
      <c r="A159" s="21" t="str">
        <f>'Paramètres'!D9</f>
        <v/>
      </c>
      <c r="B159" s="21" t="str">
        <f>Articles!A9</f>
        <v>4969272</v>
      </c>
      <c r="C159" s="21" t="str">
        <f>Articles!B9</f>
        <v>teben </v>
      </c>
      <c r="D159" s="21" t="str">
        <f>IF(OR($A159="",$B159=""),"",SUMIFS(Mouvements!$G:$G,Mouvements!$E:$E,$A159,Mouvements!$B:$B,$B159,Mouvements!$F:$F,"Départ"))</f>
        <v/>
      </c>
      <c r="E159" s="21" t="str">
        <f>IF(OR($A159="",$B159=""),"",SUMIFS(Mouvements!$G:$G,Mouvements!$E:$E,$A159,Mouvements!$B:$B,$B159,Mouvements!$F:$F,"Retour"))</f>
        <v/>
      </c>
      <c r="F159" s="21" t="str">
        <f t="shared" si="1"/>
        <v/>
      </c>
      <c r="G159" s="21" t="str">
        <f>IF($B159="","",D159*VLOOKUP($B159,Articles!$A$5:$K$204,8,FALSE))</f>
        <v>0</v>
      </c>
      <c r="H159" s="21"/>
      <c r="I159" s="21" t="str">
        <f t="shared" si="2"/>
        <v/>
      </c>
      <c r="J159" s="21"/>
    </row>
    <row r="160" ht="15.75" customHeight="1">
      <c r="A160" s="21" t="str">
        <f>'Paramètres'!D9</f>
        <v/>
      </c>
      <c r="B160" s="21" t="str">
        <f>Articles!A10</f>
        <v/>
      </c>
      <c r="C160" s="21" t="str">
        <f>Articles!B10</f>
        <v/>
      </c>
      <c r="D160" s="21" t="str">
        <f>IF(OR($A160="",$B160=""),"",SUMIFS(Mouvements!$G:$G,Mouvements!$E:$E,$A160,Mouvements!$B:$B,$B160,Mouvements!$F:$F,"Départ"))</f>
        <v/>
      </c>
      <c r="E160" s="21" t="str">
        <f>IF(OR($A160="",$B160=""),"",SUMIFS(Mouvements!$G:$G,Mouvements!$E:$E,$A160,Mouvements!$B:$B,$B160,Mouvements!$F:$F,"Retour"))</f>
        <v/>
      </c>
      <c r="F160" s="21" t="str">
        <f t="shared" si="1"/>
        <v/>
      </c>
      <c r="G160" s="21" t="str">
        <f>IF($B160="","",D160*VLOOKUP($B160,Articles!$A$5:$K$204,8,FALSE))</f>
        <v/>
      </c>
      <c r="H160" s="21"/>
      <c r="I160" s="21" t="str">
        <f t="shared" si="2"/>
        <v/>
      </c>
      <c r="J160" s="21"/>
    </row>
    <row r="161" ht="15.75" customHeight="1">
      <c r="A161" s="21" t="str">
        <f>'Paramètres'!D9</f>
        <v/>
      </c>
      <c r="B161" s="21" t="str">
        <f>Articles!A11</f>
        <v/>
      </c>
      <c r="C161" s="21" t="str">
        <f>Articles!B11</f>
        <v/>
      </c>
      <c r="D161" s="21" t="str">
        <f>IF(OR($A161="",$B161=""),"",SUMIFS(Mouvements!$G:$G,Mouvements!$E:$E,$A161,Mouvements!$B:$B,$B161,Mouvements!$F:$F,"Départ"))</f>
        <v/>
      </c>
      <c r="E161" s="21" t="str">
        <f>IF(OR($A161="",$B161=""),"",SUMIFS(Mouvements!$G:$G,Mouvements!$E:$E,$A161,Mouvements!$B:$B,$B161,Mouvements!$F:$F,"Retour"))</f>
        <v/>
      </c>
      <c r="F161" s="21" t="str">
        <f t="shared" si="1"/>
        <v/>
      </c>
      <c r="G161" s="21" t="str">
        <f>IF($B161="","",D161*VLOOKUP($B161,Articles!$A$5:$K$204,8,FALSE))</f>
        <v/>
      </c>
      <c r="H161" s="21"/>
      <c r="I161" s="21" t="str">
        <f t="shared" si="2"/>
        <v/>
      </c>
      <c r="J161" s="21"/>
    </row>
    <row r="162" ht="15.75" customHeight="1">
      <c r="A162" s="21" t="str">
        <f>'Paramètres'!D9</f>
        <v/>
      </c>
      <c r="B162" s="21" t="str">
        <f>Articles!A12</f>
        <v/>
      </c>
      <c r="C162" s="21" t="str">
        <f>Articles!B12</f>
        <v/>
      </c>
      <c r="D162" s="21" t="str">
        <f>IF(OR($A162="",$B162=""),"",SUMIFS(Mouvements!$G:$G,Mouvements!$E:$E,$A162,Mouvements!$B:$B,$B162,Mouvements!$F:$F,"Départ"))</f>
        <v/>
      </c>
      <c r="E162" s="21" t="str">
        <f>IF(OR($A162="",$B162=""),"",SUMIFS(Mouvements!$G:$G,Mouvements!$E:$E,$A162,Mouvements!$B:$B,$B162,Mouvements!$F:$F,"Retour"))</f>
        <v/>
      </c>
      <c r="F162" s="21" t="str">
        <f t="shared" si="1"/>
        <v/>
      </c>
      <c r="G162" s="21" t="str">
        <f>IF($B162="","",D162*VLOOKUP($B162,Articles!$A$5:$K$204,8,FALSE))</f>
        <v/>
      </c>
      <c r="H162" s="21"/>
      <c r="I162" s="21" t="str">
        <f t="shared" si="2"/>
        <v/>
      </c>
      <c r="J162" s="21"/>
    </row>
    <row r="163" ht="15.75" customHeight="1">
      <c r="A163" s="21" t="str">
        <f>'Paramètres'!D9</f>
        <v/>
      </c>
      <c r="B163" s="21" t="str">
        <f>Articles!A13</f>
        <v/>
      </c>
      <c r="C163" s="21" t="str">
        <f>Articles!B13</f>
        <v/>
      </c>
      <c r="D163" s="21" t="str">
        <f>IF(OR($A163="",$B163=""),"",SUMIFS(Mouvements!$G:$G,Mouvements!$E:$E,$A163,Mouvements!$B:$B,$B163,Mouvements!$F:$F,"Départ"))</f>
        <v/>
      </c>
      <c r="E163" s="21" t="str">
        <f>IF(OR($A163="",$B163=""),"",SUMIFS(Mouvements!$G:$G,Mouvements!$E:$E,$A163,Mouvements!$B:$B,$B163,Mouvements!$F:$F,"Retour"))</f>
        <v/>
      </c>
      <c r="F163" s="21" t="str">
        <f t="shared" si="1"/>
        <v/>
      </c>
      <c r="G163" s="21" t="str">
        <f>IF($B163="","",D163*VLOOKUP($B163,Articles!$A$5:$K$204,8,FALSE))</f>
        <v/>
      </c>
      <c r="H163" s="21"/>
      <c r="I163" s="21" t="str">
        <f t="shared" si="2"/>
        <v/>
      </c>
      <c r="J163" s="21"/>
    </row>
    <row r="164" ht="15.75" customHeight="1">
      <c r="A164" s="21" t="str">
        <f>'Paramètres'!D9</f>
        <v/>
      </c>
      <c r="B164" s="21" t="str">
        <f>Articles!A14</f>
        <v/>
      </c>
      <c r="C164" s="21" t="str">
        <f>Articles!B14</f>
        <v/>
      </c>
      <c r="D164" s="21" t="str">
        <f>IF(OR($A164="",$B164=""),"",SUMIFS(Mouvements!$G:$G,Mouvements!$E:$E,$A164,Mouvements!$B:$B,$B164,Mouvements!$F:$F,"Départ"))</f>
        <v/>
      </c>
      <c r="E164" s="21" t="str">
        <f>IF(OR($A164="",$B164=""),"",SUMIFS(Mouvements!$G:$G,Mouvements!$E:$E,$A164,Mouvements!$B:$B,$B164,Mouvements!$F:$F,"Retour"))</f>
        <v/>
      </c>
      <c r="F164" s="21" t="str">
        <f t="shared" si="1"/>
        <v/>
      </c>
      <c r="G164" s="21" t="str">
        <f>IF($B164="","",D164*VLOOKUP($B164,Articles!$A$5:$K$204,8,FALSE))</f>
        <v/>
      </c>
      <c r="H164" s="21"/>
      <c r="I164" s="21" t="str">
        <f t="shared" si="2"/>
        <v/>
      </c>
      <c r="J164" s="21"/>
    </row>
    <row r="165" ht="15.75" customHeight="1">
      <c r="A165" s="21" t="str">
        <f>'Paramètres'!D9</f>
        <v/>
      </c>
      <c r="B165" s="21" t="str">
        <f>Articles!A15</f>
        <v/>
      </c>
      <c r="C165" s="21" t="str">
        <f>Articles!B15</f>
        <v/>
      </c>
      <c r="D165" s="21" t="str">
        <f>IF(OR($A165="",$B165=""),"",SUMIFS(Mouvements!$G:$G,Mouvements!$E:$E,$A165,Mouvements!$B:$B,$B165,Mouvements!$F:$F,"Départ"))</f>
        <v/>
      </c>
      <c r="E165" s="21" t="str">
        <f>IF(OR($A165="",$B165=""),"",SUMIFS(Mouvements!$G:$G,Mouvements!$E:$E,$A165,Mouvements!$B:$B,$B165,Mouvements!$F:$F,"Retour"))</f>
        <v/>
      </c>
      <c r="F165" s="21" t="str">
        <f t="shared" si="1"/>
        <v/>
      </c>
      <c r="G165" s="21" t="str">
        <f>IF($B165="","",D165*VLOOKUP($B165,Articles!$A$5:$K$204,8,FALSE))</f>
        <v/>
      </c>
      <c r="H165" s="21"/>
      <c r="I165" s="21" t="str">
        <f t="shared" si="2"/>
        <v/>
      </c>
      <c r="J165" s="21"/>
    </row>
    <row r="166" ht="15.75" customHeight="1">
      <c r="A166" s="21" t="str">
        <f>'Paramètres'!D9</f>
        <v/>
      </c>
      <c r="B166" s="21" t="str">
        <f>Articles!A16</f>
        <v/>
      </c>
      <c r="C166" s="21" t="str">
        <f>Articles!B16</f>
        <v/>
      </c>
      <c r="D166" s="21" t="str">
        <f>IF(OR($A166="",$B166=""),"",SUMIFS(Mouvements!$G:$G,Mouvements!$E:$E,$A166,Mouvements!$B:$B,$B166,Mouvements!$F:$F,"Départ"))</f>
        <v/>
      </c>
      <c r="E166" s="21" t="str">
        <f>IF(OR($A166="",$B166=""),"",SUMIFS(Mouvements!$G:$G,Mouvements!$E:$E,$A166,Mouvements!$B:$B,$B166,Mouvements!$F:$F,"Retour"))</f>
        <v/>
      </c>
      <c r="F166" s="21" t="str">
        <f t="shared" si="1"/>
        <v/>
      </c>
      <c r="G166" s="21" t="str">
        <f>IF($B166="","",D166*VLOOKUP($B166,Articles!$A$5:$K$204,8,FALSE))</f>
        <v/>
      </c>
      <c r="H166" s="21"/>
      <c r="I166" s="21" t="str">
        <f t="shared" si="2"/>
        <v/>
      </c>
      <c r="J166" s="21"/>
    </row>
    <row r="167" ht="15.75" customHeight="1">
      <c r="A167" s="21" t="str">
        <f>'Paramètres'!D9</f>
        <v/>
      </c>
      <c r="B167" s="21" t="str">
        <f>Articles!A17</f>
        <v/>
      </c>
      <c r="C167" s="21" t="str">
        <f>Articles!B17</f>
        <v/>
      </c>
      <c r="D167" s="21" t="str">
        <f>IF(OR($A167="",$B167=""),"",SUMIFS(Mouvements!$G:$G,Mouvements!$E:$E,$A167,Mouvements!$B:$B,$B167,Mouvements!$F:$F,"Départ"))</f>
        <v/>
      </c>
      <c r="E167" s="21" t="str">
        <f>IF(OR($A167="",$B167=""),"",SUMIFS(Mouvements!$G:$G,Mouvements!$E:$E,$A167,Mouvements!$B:$B,$B167,Mouvements!$F:$F,"Retour"))</f>
        <v/>
      </c>
      <c r="F167" s="21" t="str">
        <f t="shared" si="1"/>
        <v/>
      </c>
      <c r="G167" s="21" t="str">
        <f>IF($B167="","",D167*VLOOKUP($B167,Articles!$A$5:$K$204,8,FALSE))</f>
        <v/>
      </c>
      <c r="H167" s="21"/>
      <c r="I167" s="21" t="str">
        <f t="shared" si="2"/>
        <v/>
      </c>
      <c r="J167" s="21"/>
    </row>
    <row r="168" ht="15.75" customHeight="1">
      <c r="A168" s="21" t="str">
        <f>'Paramètres'!D9</f>
        <v/>
      </c>
      <c r="B168" s="21" t="str">
        <f>Articles!A18</f>
        <v/>
      </c>
      <c r="C168" s="21" t="str">
        <f>Articles!B18</f>
        <v/>
      </c>
      <c r="D168" s="21" t="str">
        <f>IF(OR($A168="",$B168=""),"",SUMIFS(Mouvements!$G:$G,Mouvements!$E:$E,$A168,Mouvements!$B:$B,$B168,Mouvements!$F:$F,"Départ"))</f>
        <v/>
      </c>
      <c r="E168" s="21" t="str">
        <f>IF(OR($A168="",$B168=""),"",SUMIFS(Mouvements!$G:$G,Mouvements!$E:$E,$A168,Mouvements!$B:$B,$B168,Mouvements!$F:$F,"Retour"))</f>
        <v/>
      </c>
      <c r="F168" s="21" t="str">
        <f t="shared" si="1"/>
        <v/>
      </c>
      <c r="G168" s="21" t="str">
        <f>IF($B168="","",D168*VLOOKUP($B168,Articles!$A$5:$K$204,8,FALSE))</f>
        <v/>
      </c>
      <c r="H168" s="21"/>
      <c r="I168" s="21" t="str">
        <f t="shared" si="2"/>
        <v/>
      </c>
      <c r="J168" s="21"/>
    </row>
    <row r="169" ht="15.75" customHeight="1">
      <c r="A169" s="21" t="str">
        <f>'Paramètres'!D9</f>
        <v/>
      </c>
      <c r="B169" s="21" t="str">
        <f>Articles!A19</f>
        <v/>
      </c>
      <c r="C169" s="21" t="str">
        <f>Articles!B19</f>
        <v/>
      </c>
      <c r="D169" s="21" t="str">
        <f>IF(OR($A169="",$B169=""),"",SUMIFS(Mouvements!$G:$G,Mouvements!$E:$E,$A169,Mouvements!$B:$B,$B169,Mouvements!$F:$F,"Départ"))</f>
        <v/>
      </c>
      <c r="E169" s="21" t="str">
        <f>IF(OR($A169="",$B169=""),"",SUMIFS(Mouvements!$G:$G,Mouvements!$E:$E,$A169,Mouvements!$B:$B,$B169,Mouvements!$F:$F,"Retour"))</f>
        <v/>
      </c>
      <c r="F169" s="21" t="str">
        <f t="shared" si="1"/>
        <v/>
      </c>
      <c r="G169" s="21" t="str">
        <f>IF($B169="","",D169*VLOOKUP($B169,Articles!$A$5:$K$204,8,FALSE))</f>
        <v/>
      </c>
      <c r="H169" s="21"/>
      <c r="I169" s="21" t="str">
        <f t="shared" si="2"/>
        <v/>
      </c>
      <c r="J169" s="21"/>
    </row>
    <row r="170" ht="15.75" customHeight="1">
      <c r="A170" s="21" t="str">
        <f>'Paramètres'!D9</f>
        <v/>
      </c>
      <c r="B170" s="21" t="str">
        <f>Articles!A20</f>
        <v/>
      </c>
      <c r="C170" s="21" t="str">
        <f>Articles!B20</f>
        <v/>
      </c>
      <c r="D170" s="21" t="str">
        <f>IF(OR($A170="",$B170=""),"",SUMIFS(Mouvements!$G:$G,Mouvements!$E:$E,$A170,Mouvements!$B:$B,$B170,Mouvements!$F:$F,"Départ"))</f>
        <v/>
      </c>
      <c r="E170" s="21" t="str">
        <f>IF(OR($A170="",$B170=""),"",SUMIFS(Mouvements!$G:$G,Mouvements!$E:$E,$A170,Mouvements!$B:$B,$B170,Mouvements!$F:$F,"Retour"))</f>
        <v/>
      </c>
      <c r="F170" s="21" t="str">
        <f t="shared" si="1"/>
        <v/>
      </c>
      <c r="G170" s="21" t="str">
        <f>IF($B170="","",D170*VLOOKUP($B170,Articles!$A$5:$K$204,8,FALSE))</f>
        <v/>
      </c>
      <c r="H170" s="21"/>
      <c r="I170" s="21" t="str">
        <f t="shared" si="2"/>
        <v/>
      </c>
      <c r="J170" s="21"/>
    </row>
    <row r="171" ht="15.75" customHeight="1">
      <c r="A171" s="21" t="str">
        <f>'Paramètres'!D9</f>
        <v/>
      </c>
      <c r="B171" s="21" t="str">
        <f>Articles!A21</f>
        <v/>
      </c>
      <c r="C171" s="21" t="str">
        <f>Articles!B21</f>
        <v/>
      </c>
      <c r="D171" s="21" t="str">
        <f>IF(OR($A171="",$B171=""),"",SUMIFS(Mouvements!$G:$G,Mouvements!$E:$E,$A171,Mouvements!$B:$B,$B171,Mouvements!$F:$F,"Départ"))</f>
        <v/>
      </c>
      <c r="E171" s="21" t="str">
        <f>IF(OR($A171="",$B171=""),"",SUMIFS(Mouvements!$G:$G,Mouvements!$E:$E,$A171,Mouvements!$B:$B,$B171,Mouvements!$F:$F,"Retour"))</f>
        <v/>
      </c>
      <c r="F171" s="21" t="str">
        <f t="shared" si="1"/>
        <v/>
      </c>
      <c r="G171" s="21" t="str">
        <f>IF($B171="","",D171*VLOOKUP($B171,Articles!$A$5:$K$204,8,FALSE))</f>
        <v/>
      </c>
      <c r="H171" s="21"/>
      <c r="I171" s="21" t="str">
        <f t="shared" si="2"/>
        <v/>
      </c>
      <c r="J171" s="21"/>
    </row>
    <row r="172" ht="15.75" customHeight="1">
      <c r="A172" s="21" t="str">
        <f>'Paramètres'!D9</f>
        <v/>
      </c>
      <c r="B172" s="21" t="str">
        <f>Articles!A22</f>
        <v/>
      </c>
      <c r="C172" s="21" t="str">
        <f>Articles!B22</f>
        <v/>
      </c>
      <c r="D172" s="21" t="str">
        <f>IF(OR($A172="",$B172=""),"",SUMIFS(Mouvements!$G:$G,Mouvements!$E:$E,$A172,Mouvements!$B:$B,$B172,Mouvements!$F:$F,"Départ"))</f>
        <v/>
      </c>
      <c r="E172" s="21" t="str">
        <f>IF(OR($A172="",$B172=""),"",SUMIFS(Mouvements!$G:$G,Mouvements!$E:$E,$A172,Mouvements!$B:$B,$B172,Mouvements!$F:$F,"Retour"))</f>
        <v/>
      </c>
      <c r="F172" s="21" t="str">
        <f t="shared" si="1"/>
        <v/>
      </c>
      <c r="G172" s="21" t="str">
        <f>IF($B172="","",D172*VLOOKUP($B172,Articles!$A$5:$K$204,8,FALSE))</f>
        <v/>
      </c>
      <c r="H172" s="21"/>
      <c r="I172" s="21" t="str">
        <f t="shared" si="2"/>
        <v/>
      </c>
      <c r="J172" s="21"/>
    </row>
    <row r="173" ht="15.75" customHeight="1">
      <c r="A173" s="21" t="str">
        <f>'Paramètres'!D9</f>
        <v/>
      </c>
      <c r="B173" s="21" t="str">
        <f>Articles!A23</f>
        <v/>
      </c>
      <c r="C173" s="21" t="str">
        <f>Articles!B23</f>
        <v/>
      </c>
      <c r="D173" s="21" t="str">
        <f>IF(OR($A173="",$B173=""),"",SUMIFS(Mouvements!$G:$G,Mouvements!$E:$E,$A173,Mouvements!$B:$B,$B173,Mouvements!$F:$F,"Départ"))</f>
        <v/>
      </c>
      <c r="E173" s="21" t="str">
        <f>IF(OR($A173="",$B173=""),"",SUMIFS(Mouvements!$G:$G,Mouvements!$E:$E,$A173,Mouvements!$B:$B,$B173,Mouvements!$F:$F,"Retour"))</f>
        <v/>
      </c>
      <c r="F173" s="21" t="str">
        <f t="shared" si="1"/>
        <v/>
      </c>
      <c r="G173" s="21" t="str">
        <f>IF($B173="","",D173*VLOOKUP($B173,Articles!$A$5:$K$204,8,FALSE))</f>
        <v/>
      </c>
      <c r="H173" s="21"/>
      <c r="I173" s="21" t="str">
        <f t="shared" si="2"/>
        <v/>
      </c>
      <c r="J173" s="21"/>
    </row>
    <row r="174" ht="15.75" customHeight="1">
      <c r="A174" s="21" t="str">
        <f>'Paramètres'!D9</f>
        <v/>
      </c>
      <c r="B174" s="21" t="str">
        <f>Articles!A24</f>
        <v/>
      </c>
      <c r="C174" s="21" t="str">
        <f>Articles!B24</f>
        <v/>
      </c>
      <c r="D174" s="21" t="str">
        <f>IF(OR($A174="",$B174=""),"",SUMIFS(Mouvements!$G:$G,Mouvements!$E:$E,$A174,Mouvements!$B:$B,$B174,Mouvements!$F:$F,"Départ"))</f>
        <v/>
      </c>
      <c r="E174" s="21" t="str">
        <f>IF(OR($A174="",$B174=""),"",SUMIFS(Mouvements!$G:$G,Mouvements!$E:$E,$A174,Mouvements!$B:$B,$B174,Mouvements!$F:$F,"Retour"))</f>
        <v/>
      </c>
      <c r="F174" s="21" t="str">
        <f t="shared" si="1"/>
        <v/>
      </c>
      <c r="G174" s="21" t="str">
        <f>IF($B174="","",D174*VLOOKUP($B174,Articles!$A$5:$K$204,8,FALSE))</f>
        <v/>
      </c>
      <c r="H174" s="21"/>
      <c r="I174" s="21" t="str">
        <f t="shared" si="2"/>
        <v/>
      </c>
      <c r="J174" s="21"/>
    </row>
    <row r="175" ht="15.75" customHeight="1">
      <c r="A175" s="21" t="str">
        <f>'Paramètres'!D9</f>
        <v/>
      </c>
      <c r="B175" s="21" t="str">
        <f>Articles!A25</f>
        <v/>
      </c>
      <c r="C175" s="21" t="str">
        <f>Articles!B25</f>
        <v/>
      </c>
      <c r="D175" s="21" t="str">
        <f>IF(OR($A175="",$B175=""),"",SUMIFS(Mouvements!$G:$G,Mouvements!$E:$E,$A175,Mouvements!$B:$B,$B175,Mouvements!$F:$F,"Départ"))</f>
        <v/>
      </c>
      <c r="E175" s="21" t="str">
        <f>IF(OR($A175="",$B175=""),"",SUMIFS(Mouvements!$G:$G,Mouvements!$E:$E,$A175,Mouvements!$B:$B,$B175,Mouvements!$F:$F,"Retour"))</f>
        <v/>
      </c>
      <c r="F175" s="21" t="str">
        <f t="shared" si="1"/>
        <v/>
      </c>
      <c r="G175" s="21" t="str">
        <f>IF($B175="","",D175*VLOOKUP($B175,Articles!$A$5:$K$204,8,FALSE))</f>
        <v/>
      </c>
      <c r="H175" s="21"/>
      <c r="I175" s="21" t="str">
        <f t="shared" si="2"/>
        <v/>
      </c>
      <c r="J175" s="21"/>
    </row>
    <row r="176" ht="15.75" customHeight="1">
      <c r="A176" s="21" t="str">
        <f>'Paramètres'!D9</f>
        <v/>
      </c>
      <c r="B176" s="21" t="str">
        <f>Articles!A26</f>
        <v/>
      </c>
      <c r="C176" s="21" t="str">
        <f>Articles!B26</f>
        <v/>
      </c>
      <c r="D176" s="21" t="str">
        <f>IF(OR($A176="",$B176=""),"",SUMIFS(Mouvements!$G:$G,Mouvements!$E:$E,$A176,Mouvements!$B:$B,$B176,Mouvements!$F:$F,"Départ"))</f>
        <v/>
      </c>
      <c r="E176" s="21" t="str">
        <f>IF(OR($A176="",$B176=""),"",SUMIFS(Mouvements!$G:$G,Mouvements!$E:$E,$A176,Mouvements!$B:$B,$B176,Mouvements!$F:$F,"Retour"))</f>
        <v/>
      </c>
      <c r="F176" s="21" t="str">
        <f t="shared" si="1"/>
        <v/>
      </c>
      <c r="G176" s="21" t="str">
        <f>IF($B176="","",D176*VLOOKUP($B176,Articles!$A$5:$K$204,8,FALSE))</f>
        <v/>
      </c>
      <c r="H176" s="21"/>
      <c r="I176" s="21" t="str">
        <f t="shared" si="2"/>
        <v/>
      </c>
      <c r="J176" s="21"/>
    </row>
    <row r="177" ht="15.75" customHeight="1">
      <c r="A177" s="21" t="str">
        <f>'Paramètres'!D9</f>
        <v/>
      </c>
      <c r="B177" s="21" t="str">
        <f>Articles!A27</f>
        <v/>
      </c>
      <c r="C177" s="21" t="str">
        <f>Articles!B27</f>
        <v/>
      </c>
      <c r="D177" s="21" t="str">
        <f>IF(OR($A177="",$B177=""),"",SUMIFS(Mouvements!$G:$G,Mouvements!$E:$E,$A177,Mouvements!$B:$B,$B177,Mouvements!$F:$F,"Départ"))</f>
        <v/>
      </c>
      <c r="E177" s="21" t="str">
        <f>IF(OR($A177="",$B177=""),"",SUMIFS(Mouvements!$G:$G,Mouvements!$E:$E,$A177,Mouvements!$B:$B,$B177,Mouvements!$F:$F,"Retour"))</f>
        <v/>
      </c>
      <c r="F177" s="21" t="str">
        <f t="shared" si="1"/>
        <v/>
      </c>
      <c r="G177" s="21" t="str">
        <f>IF($B177="","",D177*VLOOKUP($B177,Articles!$A$5:$K$204,8,FALSE))</f>
        <v/>
      </c>
      <c r="H177" s="21"/>
      <c r="I177" s="21" t="str">
        <f t="shared" si="2"/>
        <v/>
      </c>
      <c r="J177" s="21"/>
    </row>
    <row r="178" ht="15.75" customHeight="1">
      <c r="A178" s="21" t="str">
        <f>'Paramètres'!D9</f>
        <v/>
      </c>
      <c r="B178" s="21" t="str">
        <f>Articles!A28</f>
        <v/>
      </c>
      <c r="C178" s="21" t="str">
        <f>Articles!B28</f>
        <v/>
      </c>
      <c r="D178" s="21" t="str">
        <f>IF(OR($A178="",$B178=""),"",SUMIFS(Mouvements!$G:$G,Mouvements!$E:$E,$A178,Mouvements!$B:$B,$B178,Mouvements!$F:$F,"Départ"))</f>
        <v/>
      </c>
      <c r="E178" s="21" t="str">
        <f>IF(OR($A178="",$B178=""),"",SUMIFS(Mouvements!$G:$G,Mouvements!$E:$E,$A178,Mouvements!$B:$B,$B178,Mouvements!$F:$F,"Retour"))</f>
        <v/>
      </c>
      <c r="F178" s="21" t="str">
        <f t="shared" si="1"/>
        <v/>
      </c>
      <c r="G178" s="21" t="str">
        <f>IF($B178="","",D178*VLOOKUP($B178,Articles!$A$5:$K$204,8,FALSE))</f>
        <v/>
      </c>
      <c r="H178" s="21"/>
      <c r="I178" s="21" t="str">
        <f t="shared" si="2"/>
        <v/>
      </c>
      <c r="J178" s="21"/>
    </row>
    <row r="179" ht="15.75" customHeight="1">
      <c r="A179" s="21" t="str">
        <f>'Paramètres'!D9</f>
        <v/>
      </c>
      <c r="B179" s="21" t="str">
        <f>Articles!A29</f>
        <v/>
      </c>
      <c r="C179" s="21" t="str">
        <f>Articles!B29</f>
        <v/>
      </c>
      <c r="D179" s="21" t="str">
        <f>IF(OR($A179="",$B179=""),"",SUMIFS(Mouvements!$G:$G,Mouvements!$E:$E,$A179,Mouvements!$B:$B,$B179,Mouvements!$F:$F,"Départ"))</f>
        <v/>
      </c>
      <c r="E179" s="21" t="str">
        <f>IF(OR($A179="",$B179=""),"",SUMIFS(Mouvements!$G:$G,Mouvements!$E:$E,$A179,Mouvements!$B:$B,$B179,Mouvements!$F:$F,"Retour"))</f>
        <v/>
      </c>
      <c r="F179" s="21" t="str">
        <f t="shared" si="1"/>
        <v/>
      </c>
      <c r="G179" s="21" t="str">
        <f>IF($B179="","",D179*VLOOKUP($B179,Articles!$A$5:$K$204,8,FALSE))</f>
        <v/>
      </c>
      <c r="H179" s="21"/>
      <c r="I179" s="21" t="str">
        <f t="shared" si="2"/>
        <v/>
      </c>
      <c r="J179" s="21"/>
    </row>
    <row r="180" ht="15.75" customHeight="1">
      <c r="A180" s="21" t="str">
        <f>'Paramètres'!D9</f>
        <v/>
      </c>
      <c r="B180" s="21" t="str">
        <f>Articles!A30</f>
        <v/>
      </c>
      <c r="C180" s="21" t="str">
        <f>Articles!B30</f>
        <v/>
      </c>
      <c r="D180" s="21" t="str">
        <f>IF(OR($A180="",$B180=""),"",SUMIFS(Mouvements!$G:$G,Mouvements!$E:$E,$A180,Mouvements!$B:$B,$B180,Mouvements!$F:$F,"Départ"))</f>
        <v/>
      </c>
      <c r="E180" s="21" t="str">
        <f>IF(OR($A180="",$B180=""),"",SUMIFS(Mouvements!$G:$G,Mouvements!$E:$E,$A180,Mouvements!$B:$B,$B180,Mouvements!$F:$F,"Retour"))</f>
        <v/>
      </c>
      <c r="F180" s="21" t="str">
        <f t="shared" si="1"/>
        <v/>
      </c>
      <c r="G180" s="21" t="str">
        <f>IF($B180="","",D180*VLOOKUP($B180,Articles!$A$5:$K$204,8,FALSE))</f>
        <v/>
      </c>
      <c r="H180" s="21"/>
      <c r="I180" s="21" t="str">
        <f t="shared" si="2"/>
        <v/>
      </c>
      <c r="J180" s="21"/>
    </row>
    <row r="181" ht="15.75" customHeight="1">
      <c r="A181" s="21" t="str">
        <f>'Paramètres'!D9</f>
        <v/>
      </c>
      <c r="B181" s="21" t="str">
        <f>Articles!A31</f>
        <v/>
      </c>
      <c r="C181" s="21" t="str">
        <f>Articles!B31</f>
        <v/>
      </c>
      <c r="D181" s="21" t="str">
        <f>IF(OR($A181="",$B181=""),"",SUMIFS(Mouvements!$G:$G,Mouvements!$E:$E,$A181,Mouvements!$B:$B,$B181,Mouvements!$F:$F,"Départ"))</f>
        <v/>
      </c>
      <c r="E181" s="21" t="str">
        <f>IF(OR($A181="",$B181=""),"",SUMIFS(Mouvements!$G:$G,Mouvements!$E:$E,$A181,Mouvements!$B:$B,$B181,Mouvements!$F:$F,"Retour"))</f>
        <v/>
      </c>
      <c r="F181" s="21" t="str">
        <f t="shared" si="1"/>
        <v/>
      </c>
      <c r="G181" s="21" t="str">
        <f>IF($B181="","",D181*VLOOKUP($B181,Articles!$A$5:$K$204,8,FALSE))</f>
        <v/>
      </c>
      <c r="H181" s="21"/>
      <c r="I181" s="21" t="str">
        <f t="shared" si="2"/>
        <v/>
      </c>
      <c r="J181" s="21"/>
    </row>
    <row r="182" ht="15.75" customHeight="1">
      <c r="A182" s="21" t="str">
        <f>'Paramètres'!D9</f>
        <v/>
      </c>
      <c r="B182" s="21" t="str">
        <f>Articles!A32</f>
        <v/>
      </c>
      <c r="C182" s="21" t="str">
        <f>Articles!B32</f>
        <v/>
      </c>
      <c r="D182" s="21" t="str">
        <f>IF(OR($A182="",$B182=""),"",SUMIFS(Mouvements!$G:$G,Mouvements!$E:$E,$A182,Mouvements!$B:$B,$B182,Mouvements!$F:$F,"Départ"))</f>
        <v/>
      </c>
      <c r="E182" s="21" t="str">
        <f>IF(OR($A182="",$B182=""),"",SUMIFS(Mouvements!$G:$G,Mouvements!$E:$E,$A182,Mouvements!$B:$B,$B182,Mouvements!$F:$F,"Retour"))</f>
        <v/>
      </c>
      <c r="F182" s="21" t="str">
        <f t="shared" si="1"/>
        <v/>
      </c>
      <c r="G182" s="21" t="str">
        <f>IF($B182="","",D182*VLOOKUP($B182,Articles!$A$5:$K$204,8,FALSE))</f>
        <v/>
      </c>
      <c r="H182" s="21"/>
      <c r="I182" s="21" t="str">
        <f t="shared" si="2"/>
        <v/>
      </c>
      <c r="J182" s="21"/>
    </row>
    <row r="183" ht="15.75" customHeight="1">
      <c r="A183" s="21" t="str">
        <f>'Paramètres'!D9</f>
        <v/>
      </c>
      <c r="B183" s="21" t="str">
        <f>Articles!A33</f>
        <v/>
      </c>
      <c r="C183" s="21" t="str">
        <f>Articles!B33</f>
        <v/>
      </c>
      <c r="D183" s="21" t="str">
        <f>IF(OR($A183="",$B183=""),"",SUMIFS(Mouvements!$G:$G,Mouvements!$E:$E,$A183,Mouvements!$B:$B,$B183,Mouvements!$F:$F,"Départ"))</f>
        <v/>
      </c>
      <c r="E183" s="21" t="str">
        <f>IF(OR($A183="",$B183=""),"",SUMIFS(Mouvements!$G:$G,Mouvements!$E:$E,$A183,Mouvements!$B:$B,$B183,Mouvements!$F:$F,"Retour"))</f>
        <v/>
      </c>
      <c r="F183" s="21" t="str">
        <f t="shared" si="1"/>
        <v/>
      </c>
      <c r="G183" s="21" t="str">
        <f>IF($B183="","",D183*VLOOKUP($B183,Articles!$A$5:$K$204,8,FALSE))</f>
        <v/>
      </c>
      <c r="H183" s="21"/>
      <c r="I183" s="21" t="str">
        <f t="shared" si="2"/>
        <v/>
      </c>
      <c r="J183" s="21"/>
    </row>
    <row r="184" ht="15.75" customHeight="1">
      <c r="A184" s="21" t="str">
        <f>'Paramètres'!D9</f>
        <v/>
      </c>
      <c r="B184" s="21" t="str">
        <f>Articles!A34</f>
        <v/>
      </c>
      <c r="C184" s="21" t="str">
        <f>Articles!B34</f>
        <v/>
      </c>
      <c r="D184" s="21" t="str">
        <f>IF(OR($A184="",$B184=""),"",SUMIFS(Mouvements!$G:$G,Mouvements!$E:$E,$A184,Mouvements!$B:$B,$B184,Mouvements!$F:$F,"Départ"))</f>
        <v/>
      </c>
      <c r="E184" s="21" t="str">
        <f>IF(OR($A184="",$B184=""),"",SUMIFS(Mouvements!$G:$G,Mouvements!$E:$E,$A184,Mouvements!$B:$B,$B184,Mouvements!$F:$F,"Retour"))</f>
        <v/>
      </c>
      <c r="F184" s="21" t="str">
        <f t="shared" si="1"/>
        <v/>
      </c>
      <c r="G184" s="21" t="str">
        <f>IF($B184="","",D184*VLOOKUP($B184,Articles!$A$5:$K$204,8,FALSE))</f>
        <v/>
      </c>
      <c r="H184" s="21"/>
      <c r="I184" s="21" t="str">
        <f t="shared" si="2"/>
        <v/>
      </c>
      <c r="J184" s="21"/>
    </row>
    <row r="185" ht="15.75" customHeight="1">
      <c r="A185" s="21" t="str">
        <f>'Paramètres'!D10</f>
        <v/>
      </c>
      <c r="B185" s="21" t="str">
        <f>Articles!A5</f>
        <v>VIS-6X60</v>
      </c>
      <c r="C185" s="21" t="str">
        <f>Articles!B5</f>
        <v>Vis béton 6x60</v>
      </c>
      <c r="D185" s="21" t="str">
        <f>IF(OR($A185="",$B185=""),"",SUMIFS(Mouvements!$G:$G,Mouvements!$E:$E,$A185,Mouvements!$B:$B,$B185,Mouvements!$F:$F,"Départ"))</f>
        <v/>
      </c>
      <c r="E185" s="21" t="str">
        <f>IF(OR($A185="",$B185=""),"",SUMIFS(Mouvements!$G:$G,Mouvements!$E:$E,$A185,Mouvements!$B:$B,$B185,Mouvements!$F:$F,"Retour"))</f>
        <v/>
      </c>
      <c r="F185" s="21" t="str">
        <f t="shared" si="1"/>
        <v/>
      </c>
      <c r="G185" s="21" t="str">
        <f>IF($B185="","",D185*VLOOKUP($B185,Articles!$A$5:$K$204,8,FALSE))</f>
        <v>0</v>
      </c>
      <c r="H185" s="21"/>
      <c r="I185" s="21" t="str">
        <f t="shared" si="2"/>
        <v/>
      </c>
      <c r="J185" s="21"/>
    </row>
    <row r="186" ht="15.75" customHeight="1">
      <c r="A186" s="21" t="str">
        <f>'Paramètres'!D10</f>
        <v/>
      </c>
      <c r="B186" s="21" t="str">
        <f>Articles!A6</f>
        <v>PERF-001</v>
      </c>
      <c r="C186" s="21" t="str">
        <f>Articles!B6</f>
        <v>Perforateur SDS</v>
      </c>
      <c r="D186" s="21" t="str">
        <f>IF(OR($A186="",$B186=""),"",SUMIFS(Mouvements!$G:$G,Mouvements!$E:$E,$A186,Mouvements!$B:$B,$B186,Mouvements!$F:$F,"Départ"))</f>
        <v/>
      </c>
      <c r="E186" s="21" t="str">
        <f>IF(OR($A186="",$B186=""),"",SUMIFS(Mouvements!$G:$G,Mouvements!$E:$E,$A186,Mouvements!$B:$B,$B186,Mouvements!$F:$F,"Retour"))</f>
        <v/>
      </c>
      <c r="F186" s="21" t="str">
        <f t="shared" si="1"/>
        <v/>
      </c>
      <c r="G186" s="21" t="str">
        <f>IF($B186="","",D186*VLOOKUP($B186,Articles!$A$5:$K$204,8,FALSE))</f>
        <v>0</v>
      </c>
      <c r="H186" s="21"/>
      <c r="I186" s="21" t="str">
        <f t="shared" si="2"/>
        <v/>
      </c>
      <c r="J186" s="21"/>
    </row>
    <row r="187" ht="15.75" customHeight="1">
      <c r="A187" s="21" t="str">
        <f>'Paramètres'!D10</f>
        <v/>
      </c>
      <c r="B187" s="21" t="str">
        <f>Articles!A7</f>
        <v>GANT-L</v>
      </c>
      <c r="C187" s="21" t="str">
        <f>Articles!B7</f>
        <v>Gants taille L</v>
      </c>
      <c r="D187" s="21" t="str">
        <f>IF(OR($A187="",$B187=""),"",SUMIFS(Mouvements!$G:$G,Mouvements!$E:$E,$A187,Mouvements!$B:$B,$B187,Mouvements!$F:$F,"Départ"))</f>
        <v/>
      </c>
      <c r="E187" s="21" t="str">
        <f>IF(OR($A187="",$B187=""),"",SUMIFS(Mouvements!$G:$G,Mouvements!$E:$E,$A187,Mouvements!$B:$B,$B187,Mouvements!$F:$F,"Retour"))</f>
        <v/>
      </c>
      <c r="F187" s="21" t="str">
        <f t="shared" si="1"/>
        <v/>
      </c>
      <c r="G187" s="21" t="str">
        <f>IF($B187="","",D187*VLOOKUP($B187,Articles!$A$5:$K$204,8,FALSE))</f>
        <v>0</v>
      </c>
      <c r="H187" s="21"/>
      <c r="I187" s="21" t="str">
        <f t="shared" si="2"/>
        <v/>
      </c>
      <c r="J187" s="21"/>
    </row>
    <row r="188" ht="15.75" customHeight="1">
      <c r="A188" s="21" t="str">
        <f>'Paramètres'!D10</f>
        <v/>
      </c>
      <c r="B188" s="21" t="str">
        <f>Articles!A8</f>
        <v>12345</v>
      </c>
      <c r="C188" s="21" t="str">
        <f>Articles!B8</f>
        <v>Quentin</v>
      </c>
      <c r="D188" s="21" t="str">
        <f>IF(OR($A188="",$B188=""),"",SUMIFS(Mouvements!$G:$G,Mouvements!$E:$E,$A188,Mouvements!$B:$B,$B188,Mouvements!$F:$F,"Départ"))</f>
        <v/>
      </c>
      <c r="E188" s="21" t="str">
        <f>IF(OR($A188="",$B188=""),"",SUMIFS(Mouvements!$G:$G,Mouvements!$E:$E,$A188,Mouvements!$B:$B,$B188,Mouvements!$F:$F,"Retour"))</f>
        <v/>
      </c>
      <c r="F188" s="21" t="str">
        <f t="shared" si="1"/>
        <v/>
      </c>
      <c r="G188" s="21" t="str">
        <f>IF($B188="","",D188*VLOOKUP($B188,Articles!$A$5:$K$204,8,FALSE))</f>
        <v>0</v>
      </c>
      <c r="H188" s="21"/>
      <c r="I188" s="21" t="str">
        <f t="shared" si="2"/>
        <v/>
      </c>
      <c r="J188" s="21"/>
    </row>
    <row r="189" ht="15.75" customHeight="1">
      <c r="A189" s="21" t="str">
        <f>'Paramètres'!D10</f>
        <v/>
      </c>
      <c r="B189" s="21" t="str">
        <f>Articles!A9</f>
        <v>4969272</v>
      </c>
      <c r="C189" s="21" t="str">
        <f>Articles!B9</f>
        <v>teben </v>
      </c>
      <c r="D189" s="21" t="str">
        <f>IF(OR($A189="",$B189=""),"",SUMIFS(Mouvements!$G:$G,Mouvements!$E:$E,$A189,Mouvements!$B:$B,$B189,Mouvements!$F:$F,"Départ"))</f>
        <v/>
      </c>
      <c r="E189" s="21" t="str">
        <f>IF(OR($A189="",$B189=""),"",SUMIFS(Mouvements!$G:$G,Mouvements!$E:$E,$A189,Mouvements!$B:$B,$B189,Mouvements!$F:$F,"Retour"))</f>
        <v/>
      </c>
      <c r="F189" s="21" t="str">
        <f t="shared" si="1"/>
        <v/>
      </c>
      <c r="G189" s="21" t="str">
        <f>IF($B189="","",D189*VLOOKUP($B189,Articles!$A$5:$K$204,8,FALSE))</f>
        <v>0</v>
      </c>
      <c r="H189" s="21"/>
      <c r="I189" s="21" t="str">
        <f t="shared" si="2"/>
        <v/>
      </c>
      <c r="J189" s="21"/>
    </row>
    <row r="190" ht="15.75" customHeight="1">
      <c r="A190" s="21" t="str">
        <f>'Paramètres'!D10</f>
        <v/>
      </c>
      <c r="B190" s="21" t="str">
        <f>Articles!A10</f>
        <v/>
      </c>
      <c r="C190" s="21" t="str">
        <f>Articles!B10</f>
        <v/>
      </c>
      <c r="D190" s="21" t="str">
        <f>IF(OR($A190="",$B190=""),"",SUMIFS(Mouvements!$G:$G,Mouvements!$E:$E,$A190,Mouvements!$B:$B,$B190,Mouvements!$F:$F,"Départ"))</f>
        <v/>
      </c>
      <c r="E190" s="21" t="str">
        <f>IF(OR($A190="",$B190=""),"",SUMIFS(Mouvements!$G:$G,Mouvements!$E:$E,$A190,Mouvements!$B:$B,$B190,Mouvements!$F:$F,"Retour"))</f>
        <v/>
      </c>
      <c r="F190" s="21" t="str">
        <f t="shared" si="1"/>
        <v/>
      </c>
      <c r="G190" s="21" t="str">
        <f>IF($B190="","",D190*VLOOKUP($B190,Articles!$A$5:$K$204,8,FALSE))</f>
        <v/>
      </c>
      <c r="H190" s="21"/>
      <c r="I190" s="21" t="str">
        <f t="shared" si="2"/>
        <v/>
      </c>
      <c r="J190" s="21"/>
    </row>
    <row r="191" ht="15.75" customHeight="1">
      <c r="A191" s="21" t="str">
        <f>'Paramètres'!D10</f>
        <v/>
      </c>
      <c r="B191" s="21" t="str">
        <f>Articles!A11</f>
        <v/>
      </c>
      <c r="C191" s="21" t="str">
        <f>Articles!B11</f>
        <v/>
      </c>
      <c r="D191" s="21" t="str">
        <f>IF(OR($A191="",$B191=""),"",SUMIFS(Mouvements!$G:$G,Mouvements!$E:$E,$A191,Mouvements!$B:$B,$B191,Mouvements!$F:$F,"Départ"))</f>
        <v/>
      </c>
      <c r="E191" s="21" t="str">
        <f>IF(OR($A191="",$B191=""),"",SUMIFS(Mouvements!$G:$G,Mouvements!$E:$E,$A191,Mouvements!$B:$B,$B191,Mouvements!$F:$F,"Retour"))</f>
        <v/>
      </c>
      <c r="F191" s="21" t="str">
        <f t="shared" si="1"/>
        <v/>
      </c>
      <c r="G191" s="21" t="str">
        <f>IF($B191="","",D191*VLOOKUP($B191,Articles!$A$5:$K$204,8,FALSE))</f>
        <v/>
      </c>
      <c r="H191" s="21"/>
      <c r="I191" s="21" t="str">
        <f t="shared" si="2"/>
        <v/>
      </c>
      <c r="J191" s="21"/>
    </row>
    <row r="192" ht="15.75" customHeight="1">
      <c r="A192" s="21" t="str">
        <f>'Paramètres'!D10</f>
        <v/>
      </c>
      <c r="B192" s="21" t="str">
        <f>Articles!A12</f>
        <v/>
      </c>
      <c r="C192" s="21" t="str">
        <f>Articles!B12</f>
        <v/>
      </c>
      <c r="D192" s="21" t="str">
        <f>IF(OR($A192="",$B192=""),"",SUMIFS(Mouvements!$G:$G,Mouvements!$E:$E,$A192,Mouvements!$B:$B,$B192,Mouvements!$F:$F,"Départ"))</f>
        <v/>
      </c>
      <c r="E192" s="21" t="str">
        <f>IF(OR($A192="",$B192=""),"",SUMIFS(Mouvements!$G:$G,Mouvements!$E:$E,$A192,Mouvements!$B:$B,$B192,Mouvements!$F:$F,"Retour"))</f>
        <v/>
      </c>
      <c r="F192" s="21" t="str">
        <f t="shared" si="1"/>
        <v/>
      </c>
      <c r="G192" s="21" t="str">
        <f>IF($B192="","",D192*VLOOKUP($B192,Articles!$A$5:$K$204,8,FALSE))</f>
        <v/>
      </c>
      <c r="H192" s="21"/>
      <c r="I192" s="21" t="str">
        <f t="shared" si="2"/>
        <v/>
      </c>
      <c r="J192" s="21"/>
    </row>
    <row r="193" ht="15.75" customHeight="1">
      <c r="A193" s="21" t="str">
        <f>'Paramètres'!D10</f>
        <v/>
      </c>
      <c r="B193" s="21" t="str">
        <f>Articles!A13</f>
        <v/>
      </c>
      <c r="C193" s="21" t="str">
        <f>Articles!B13</f>
        <v/>
      </c>
      <c r="D193" s="21" t="str">
        <f>IF(OR($A193="",$B193=""),"",SUMIFS(Mouvements!$G:$G,Mouvements!$E:$E,$A193,Mouvements!$B:$B,$B193,Mouvements!$F:$F,"Départ"))</f>
        <v/>
      </c>
      <c r="E193" s="21" t="str">
        <f>IF(OR($A193="",$B193=""),"",SUMIFS(Mouvements!$G:$G,Mouvements!$E:$E,$A193,Mouvements!$B:$B,$B193,Mouvements!$F:$F,"Retour"))</f>
        <v/>
      </c>
      <c r="F193" s="21" t="str">
        <f t="shared" si="1"/>
        <v/>
      </c>
      <c r="G193" s="21" t="str">
        <f>IF($B193="","",D193*VLOOKUP($B193,Articles!$A$5:$K$204,8,FALSE))</f>
        <v/>
      </c>
      <c r="H193" s="21"/>
      <c r="I193" s="21" t="str">
        <f t="shared" si="2"/>
        <v/>
      </c>
      <c r="J193" s="21"/>
    </row>
    <row r="194" ht="15.75" customHeight="1">
      <c r="A194" s="21" t="str">
        <f>'Paramètres'!D10</f>
        <v/>
      </c>
      <c r="B194" s="21" t="str">
        <f>Articles!A14</f>
        <v/>
      </c>
      <c r="C194" s="21" t="str">
        <f>Articles!B14</f>
        <v/>
      </c>
      <c r="D194" s="21" t="str">
        <f>IF(OR($A194="",$B194=""),"",SUMIFS(Mouvements!$G:$G,Mouvements!$E:$E,$A194,Mouvements!$B:$B,$B194,Mouvements!$F:$F,"Départ"))</f>
        <v/>
      </c>
      <c r="E194" s="21" t="str">
        <f>IF(OR($A194="",$B194=""),"",SUMIFS(Mouvements!$G:$G,Mouvements!$E:$E,$A194,Mouvements!$B:$B,$B194,Mouvements!$F:$F,"Retour"))</f>
        <v/>
      </c>
      <c r="F194" s="21" t="str">
        <f t="shared" si="1"/>
        <v/>
      </c>
      <c r="G194" s="21" t="str">
        <f>IF($B194="","",D194*VLOOKUP($B194,Articles!$A$5:$K$204,8,FALSE))</f>
        <v/>
      </c>
      <c r="H194" s="21"/>
      <c r="I194" s="21" t="str">
        <f t="shared" si="2"/>
        <v/>
      </c>
      <c r="J194" s="21"/>
    </row>
    <row r="195" ht="15.75" customHeight="1">
      <c r="A195" s="21" t="str">
        <f>'Paramètres'!D10</f>
        <v/>
      </c>
      <c r="B195" s="21" t="str">
        <f>Articles!A15</f>
        <v/>
      </c>
      <c r="C195" s="21" t="str">
        <f>Articles!B15</f>
        <v/>
      </c>
      <c r="D195" s="21" t="str">
        <f>IF(OR($A195="",$B195=""),"",SUMIFS(Mouvements!$G:$G,Mouvements!$E:$E,$A195,Mouvements!$B:$B,$B195,Mouvements!$F:$F,"Départ"))</f>
        <v/>
      </c>
      <c r="E195" s="21" t="str">
        <f>IF(OR($A195="",$B195=""),"",SUMIFS(Mouvements!$G:$G,Mouvements!$E:$E,$A195,Mouvements!$B:$B,$B195,Mouvements!$F:$F,"Retour"))</f>
        <v/>
      </c>
      <c r="F195" s="21" t="str">
        <f t="shared" si="1"/>
        <v/>
      </c>
      <c r="G195" s="21" t="str">
        <f>IF($B195="","",D195*VLOOKUP($B195,Articles!$A$5:$K$204,8,FALSE))</f>
        <v/>
      </c>
      <c r="H195" s="21"/>
      <c r="I195" s="21" t="str">
        <f t="shared" si="2"/>
        <v/>
      </c>
      <c r="J195" s="21"/>
    </row>
    <row r="196" ht="15.75" customHeight="1">
      <c r="A196" s="21" t="str">
        <f>'Paramètres'!D10</f>
        <v/>
      </c>
      <c r="B196" s="21" t="str">
        <f>Articles!A16</f>
        <v/>
      </c>
      <c r="C196" s="21" t="str">
        <f>Articles!B16</f>
        <v/>
      </c>
      <c r="D196" s="21" t="str">
        <f>IF(OR($A196="",$B196=""),"",SUMIFS(Mouvements!$G:$G,Mouvements!$E:$E,$A196,Mouvements!$B:$B,$B196,Mouvements!$F:$F,"Départ"))</f>
        <v/>
      </c>
      <c r="E196" s="21" t="str">
        <f>IF(OR($A196="",$B196=""),"",SUMIFS(Mouvements!$G:$G,Mouvements!$E:$E,$A196,Mouvements!$B:$B,$B196,Mouvements!$F:$F,"Retour"))</f>
        <v/>
      </c>
      <c r="F196" s="21" t="str">
        <f t="shared" si="1"/>
        <v/>
      </c>
      <c r="G196" s="21" t="str">
        <f>IF($B196="","",D196*VLOOKUP($B196,Articles!$A$5:$K$204,8,FALSE))</f>
        <v/>
      </c>
      <c r="H196" s="21"/>
      <c r="I196" s="21" t="str">
        <f t="shared" si="2"/>
        <v/>
      </c>
      <c r="J196" s="21"/>
    </row>
    <row r="197" ht="15.75" customHeight="1">
      <c r="A197" s="21" t="str">
        <f>'Paramètres'!D10</f>
        <v/>
      </c>
      <c r="B197" s="21" t="str">
        <f>Articles!A17</f>
        <v/>
      </c>
      <c r="C197" s="21" t="str">
        <f>Articles!B17</f>
        <v/>
      </c>
      <c r="D197" s="21" t="str">
        <f>IF(OR($A197="",$B197=""),"",SUMIFS(Mouvements!$G:$G,Mouvements!$E:$E,$A197,Mouvements!$B:$B,$B197,Mouvements!$F:$F,"Départ"))</f>
        <v/>
      </c>
      <c r="E197" s="21" t="str">
        <f>IF(OR($A197="",$B197=""),"",SUMIFS(Mouvements!$G:$G,Mouvements!$E:$E,$A197,Mouvements!$B:$B,$B197,Mouvements!$F:$F,"Retour"))</f>
        <v/>
      </c>
      <c r="F197" s="21" t="str">
        <f t="shared" si="1"/>
        <v/>
      </c>
      <c r="G197" s="21" t="str">
        <f>IF($B197="","",D197*VLOOKUP($B197,Articles!$A$5:$K$204,8,FALSE))</f>
        <v/>
      </c>
      <c r="H197" s="21"/>
      <c r="I197" s="21" t="str">
        <f t="shared" si="2"/>
        <v/>
      </c>
      <c r="J197" s="21"/>
    </row>
    <row r="198" ht="15.75" customHeight="1">
      <c r="A198" s="21" t="str">
        <f>'Paramètres'!D10</f>
        <v/>
      </c>
      <c r="B198" s="21" t="str">
        <f>Articles!A18</f>
        <v/>
      </c>
      <c r="C198" s="21" t="str">
        <f>Articles!B18</f>
        <v/>
      </c>
      <c r="D198" s="21" t="str">
        <f>IF(OR($A198="",$B198=""),"",SUMIFS(Mouvements!$G:$G,Mouvements!$E:$E,$A198,Mouvements!$B:$B,$B198,Mouvements!$F:$F,"Départ"))</f>
        <v/>
      </c>
      <c r="E198" s="21" t="str">
        <f>IF(OR($A198="",$B198=""),"",SUMIFS(Mouvements!$G:$G,Mouvements!$E:$E,$A198,Mouvements!$B:$B,$B198,Mouvements!$F:$F,"Retour"))</f>
        <v/>
      </c>
      <c r="F198" s="21" t="str">
        <f t="shared" si="1"/>
        <v/>
      </c>
      <c r="G198" s="21" t="str">
        <f>IF($B198="","",D198*VLOOKUP($B198,Articles!$A$5:$K$204,8,FALSE))</f>
        <v/>
      </c>
      <c r="H198" s="21"/>
      <c r="I198" s="21" t="str">
        <f t="shared" si="2"/>
        <v/>
      </c>
      <c r="J198" s="21"/>
    </row>
    <row r="199" ht="15.75" customHeight="1">
      <c r="A199" s="21" t="str">
        <f>'Paramètres'!D10</f>
        <v/>
      </c>
      <c r="B199" s="21" t="str">
        <f>Articles!A19</f>
        <v/>
      </c>
      <c r="C199" s="21" t="str">
        <f>Articles!B19</f>
        <v/>
      </c>
      <c r="D199" s="21" t="str">
        <f>IF(OR($A199="",$B199=""),"",SUMIFS(Mouvements!$G:$G,Mouvements!$E:$E,$A199,Mouvements!$B:$B,$B199,Mouvements!$F:$F,"Départ"))</f>
        <v/>
      </c>
      <c r="E199" s="21" t="str">
        <f>IF(OR($A199="",$B199=""),"",SUMIFS(Mouvements!$G:$G,Mouvements!$E:$E,$A199,Mouvements!$B:$B,$B199,Mouvements!$F:$F,"Retour"))</f>
        <v/>
      </c>
      <c r="F199" s="21" t="str">
        <f t="shared" si="1"/>
        <v/>
      </c>
      <c r="G199" s="21" t="str">
        <f>IF($B199="","",D199*VLOOKUP($B199,Articles!$A$5:$K$204,8,FALSE))</f>
        <v/>
      </c>
      <c r="H199" s="21"/>
      <c r="I199" s="21" t="str">
        <f t="shared" si="2"/>
        <v/>
      </c>
      <c r="J199" s="21"/>
    </row>
    <row r="200" ht="15.75" customHeight="1">
      <c r="A200" s="21" t="str">
        <f>'Paramètres'!D10</f>
        <v/>
      </c>
      <c r="B200" s="21" t="str">
        <f>Articles!A20</f>
        <v/>
      </c>
      <c r="C200" s="21" t="str">
        <f>Articles!B20</f>
        <v/>
      </c>
      <c r="D200" s="21" t="str">
        <f>IF(OR($A200="",$B200=""),"",SUMIFS(Mouvements!$G:$G,Mouvements!$E:$E,$A200,Mouvements!$B:$B,$B200,Mouvements!$F:$F,"Départ"))</f>
        <v/>
      </c>
      <c r="E200" s="21" t="str">
        <f>IF(OR($A200="",$B200=""),"",SUMIFS(Mouvements!$G:$G,Mouvements!$E:$E,$A200,Mouvements!$B:$B,$B200,Mouvements!$F:$F,"Retour"))</f>
        <v/>
      </c>
      <c r="F200" s="21" t="str">
        <f t="shared" si="1"/>
        <v/>
      </c>
      <c r="G200" s="21" t="str">
        <f>IF($B200="","",D200*VLOOKUP($B200,Articles!$A$5:$K$204,8,FALSE))</f>
        <v/>
      </c>
      <c r="H200" s="21"/>
      <c r="I200" s="21" t="str">
        <f t="shared" si="2"/>
        <v/>
      </c>
      <c r="J200" s="21"/>
    </row>
    <row r="201" ht="15.75" customHeight="1">
      <c r="A201" s="21" t="str">
        <f>'Paramètres'!D10</f>
        <v/>
      </c>
      <c r="B201" s="21" t="str">
        <f>Articles!A21</f>
        <v/>
      </c>
      <c r="C201" s="21" t="str">
        <f>Articles!B21</f>
        <v/>
      </c>
      <c r="D201" s="21" t="str">
        <f>IF(OR($A201="",$B201=""),"",SUMIFS(Mouvements!$G:$G,Mouvements!$E:$E,$A201,Mouvements!$B:$B,$B201,Mouvements!$F:$F,"Départ"))</f>
        <v/>
      </c>
      <c r="E201" s="21" t="str">
        <f>IF(OR($A201="",$B201=""),"",SUMIFS(Mouvements!$G:$G,Mouvements!$E:$E,$A201,Mouvements!$B:$B,$B201,Mouvements!$F:$F,"Retour"))</f>
        <v/>
      </c>
      <c r="F201" s="21" t="str">
        <f t="shared" si="1"/>
        <v/>
      </c>
      <c r="G201" s="21" t="str">
        <f>IF($B201="","",D201*VLOOKUP($B201,Articles!$A$5:$K$204,8,FALSE))</f>
        <v/>
      </c>
      <c r="H201" s="21"/>
      <c r="I201" s="21" t="str">
        <f t="shared" si="2"/>
        <v/>
      </c>
      <c r="J201" s="21"/>
    </row>
    <row r="202" ht="15.75" customHeight="1">
      <c r="A202" s="21" t="str">
        <f>'Paramètres'!D10</f>
        <v/>
      </c>
      <c r="B202" s="21" t="str">
        <f>Articles!A22</f>
        <v/>
      </c>
      <c r="C202" s="21" t="str">
        <f>Articles!B22</f>
        <v/>
      </c>
      <c r="D202" s="21" t="str">
        <f>IF(OR($A202="",$B202=""),"",SUMIFS(Mouvements!$G:$G,Mouvements!$E:$E,$A202,Mouvements!$B:$B,$B202,Mouvements!$F:$F,"Départ"))</f>
        <v/>
      </c>
      <c r="E202" s="21" t="str">
        <f>IF(OR($A202="",$B202=""),"",SUMIFS(Mouvements!$G:$G,Mouvements!$E:$E,$A202,Mouvements!$B:$B,$B202,Mouvements!$F:$F,"Retour"))</f>
        <v/>
      </c>
      <c r="F202" s="21" t="str">
        <f t="shared" si="1"/>
        <v/>
      </c>
      <c r="G202" s="21" t="str">
        <f>IF($B202="","",D202*VLOOKUP($B202,Articles!$A$5:$K$204,8,FALSE))</f>
        <v/>
      </c>
      <c r="H202" s="21"/>
      <c r="I202" s="21" t="str">
        <f t="shared" si="2"/>
        <v/>
      </c>
      <c r="J202" s="21"/>
    </row>
    <row r="203" ht="15.75" customHeight="1">
      <c r="A203" s="21" t="str">
        <f>'Paramètres'!D10</f>
        <v/>
      </c>
      <c r="B203" s="21" t="str">
        <f>Articles!A23</f>
        <v/>
      </c>
      <c r="C203" s="21" t="str">
        <f>Articles!B23</f>
        <v/>
      </c>
      <c r="D203" s="21" t="str">
        <f>IF(OR($A203="",$B203=""),"",SUMIFS(Mouvements!$G:$G,Mouvements!$E:$E,$A203,Mouvements!$B:$B,$B203,Mouvements!$F:$F,"Départ"))</f>
        <v/>
      </c>
      <c r="E203" s="21" t="str">
        <f>IF(OR($A203="",$B203=""),"",SUMIFS(Mouvements!$G:$G,Mouvements!$E:$E,$A203,Mouvements!$B:$B,$B203,Mouvements!$F:$F,"Retour"))</f>
        <v/>
      </c>
      <c r="F203" s="21" t="str">
        <f t="shared" si="1"/>
        <v/>
      </c>
      <c r="G203" s="21" t="str">
        <f>IF($B203="","",D203*VLOOKUP($B203,Articles!$A$5:$K$204,8,FALSE))</f>
        <v/>
      </c>
      <c r="H203" s="21"/>
      <c r="I203" s="21" t="str">
        <f t="shared" si="2"/>
        <v/>
      </c>
      <c r="J203" s="21"/>
    </row>
    <row r="204" ht="15.75" customHeight="1">
      <c r="A204" s="21" t="str">
        <f>'Paramètres'!D10</f>
        <v/>
      </c>
      <c r="B204" s="21" t="str">
        <f>Articles!A24</f>
        <v/>
      </c>
      <c r="C204" s="21" t="str">
        <f>Articles!B24</f>
        <v/>
      </c>
      <c r="D204" s="21" t="str">
        <f>IF(OR($A204="",$B204=""),"",SUMIFS(Mouvements!$G:$G,Mouvements!$E:$E,$A204,Mouvements!$B:$B,$B204,Mouvements!$F:$F,"Départ"))</f>
        <v/>
      </c>
      <c r="E204" s="21" t="str">
        <f>IF(OR($A204="",$B204=""),"",SUMIFS(Mouvements!$G:$G,Mouvements!$E:$E,$A204,Mouvements!$B:$B,$B204,Mouvements!$F:$F,"Retour"))</f>
        <v/>
      </c>
      <c r="F204" s="21" t="str">
        <f t="shared" si="1"/>
        <v/>
      </c>
      <c r="G204" s="21" t="str">
        <f>IF($B204="","",D204*VLOOKUP($B204,Articles!$A$5:$K$204,8,FALSE))</f>
        <v/>
      </c>
      <c r="H204" s="21"/>
      <c r="I204" s="21" t="str">
        <f t="shared" si="2"/>
        <v/>
      </c>
      <c r="J204" s="21"/>
    </row>
    <row r="205" ht="15.75" customHeight="1">
      <c r="A205" s="21" t="str">
        <f>'Paramètres'!D10</f>
        <v/>
      </c>
      <c r="B205" s="21" t="str">
        <f>Articles!A25</f>
        <v/>
      </c>
      <c r="C205" s="21" t="str">
        <f>Articles!B25</f>
        <v/>
      </c>
      <c r="D205" s="21" t="str">
        <f>IF(OR($A205="",$B205=""),"",SUMIFS(Mouvements!$G:$G,Mouvements!$E:$E,$A205,Mouvements!$B:$B,$B205,Mouvements!$F:$F,"Départ"))</f>
        <v/>
      </c>
      <c r="E205" s="21" t="str">
        <f>IF(OR($A205="",$B205=""),"",SUMIFS(Mouvements!$G:$G,Mouvements!$E:$E,$A205,Mouvements!$B:$B,$B205,Mouvements!$F:$F,"Retour"))</f>
        <v/>
      </c>
      <c r="F205" s="21" t="str">
        <f t="shared" si="1"/>
        <v/>
      </c>
      <c r="G205" s="21" t="str">
        <f>IF($B205="","",D205*VLOOKUP($B205,Articles!$A$5:$K$204,8,FALSE))</f>
        <v/>
      </c>
      <c r="H205" s="21"/>
      <c r="I205" s="21" t="str">
        <f t="shared" si="2"/>
        <v/>
      </c>
      <c r="J205" s="21"/>
    </row>
    <row r="206" ht="15.75" customHeight="1">
      <c r="A206" s="21" t="str">
        <f>'Paramètres'!D10</f>
        <v/>
      </c>
      <c r="B206" s="21" t="str">
        <f>Articles!A26</f>
        <v/>
      </c>
      <c r="C206" s="21" t="str">
        <f>Articles!B26</f>
        <v/>
      </c>
      <c r="D206" s="21" t="str">
        <f>IF(OR($A206="",$B206=""),"",SUMIFS(Mouvements!$G:$G,Mouvements!$E:$E,$A206,Mouvements!$B:$B,$B206,Mouvements!$F:$F,"Départ"))</f>
        <v/>
      </c>
      <c r="E206" s="21" t="str">
        <f>IF(OR($A206="",$B206=""),"",SUMIFS(Mouvements!$G:$G,Mouvements!$E:$E,$A206,Mouvements!$B:$B,$B206,Mouvements!$F:$F,"Retour"))</f>
        <v/>
      </c>
      <c r="F206" s="21" t="str">
        <f t="shared" si="1"/>
        <v/>
      </c>
      <c r="G206" s="21" t="str">
        <f>IF($B206="","",D206*VLOOKUP($B206,Articles!$A$5:$K$204,8,FALSE))</f>
        <v/>
      </c>
      <c r="H206" s="21"/>
      <c r="I206" s="21" t="str">
        <f t="shared" si="2"/>
        <v/>
      </c>
      <c r="J206" s="21"/>
    </row>
    <row r="207" ht="15.75" customHeight="1">
      <c r="A207" s="21" t="str">
        <f>'Paramètres'!D10</f>
        <v/>
      </c>
      <c r="B207" s="21" t="str">
        <f>Articles!A27</f>
        <v/>
      </c>
      <c r="C207" s="21" t="str">
        <f>Articles!B27</f>
        <v/>
      </c>
      <c r="D207" s="21" t="str">
        <f>IF(OR($A207="",$B207=""),"",SUMIFS(Mouvements!$G:$G,Mouvements!$E:$E,$A207,Mouvements!$B:$B,$B207,Mouvements!$F:$F,"Départ"))</f>
        <v/>
      </c>
      <c r="E207" s="21" t="str">
        <f>IF(OR($A207="",$B207=""),"",SUMIFS(Mouvements!$G:$G,Mouvements!$E:$E,$A207,Mouvements!$B:$B,$B207,Mouvements!$F:$F,"Retour"))</f>
        <v/>
      </c>
      <c r="F207" s="21" t="str">
        <f t="shared" si="1"/>
        <v/>
      </c>
      <c r="G207" s="21" t="str">
        <f>IF($B207="","",D207*VLOOKUP($B207,Articles!$A$5:$K$204,8,FALSE))</f>
        <v/>
      </c>
      <c r="H207" s="21"/>
      <c r="I207" s="21" t="str">
        <f t="shared" si="2"/>
        <v/>
      </c>
      <c r="J207" s="21"/>
    </row>
    <row r="208" ht="15.75" customHeight="1">
      <c r="A208" s="21" t="str">
        <f>'Paramètres'!D10</f>
        <v/>
      </c>
      <c r="B208" s="21" t="str">
        <f>Articles!A28</f>
        <v/>
      </c>
      <c r="C208" s="21" t="str">
        <f>Articles!B28</f>
        <v/>
      </c>
      <c r="D208" s="21" t="str">
        <f>IF(OR($A208="",$B208=""),"",SUMIFS(Mouvements!$G:$G,Mouvements!$E:$E,$A208,Mouvements!$B:$B,$B208,Mouvements!$F:$F,"Départ"))</f>
        <v/>
      </c>
      <c r="E208" s="21" t="str">
        <f>IF(OR($A208="",$B208=""),"",SUMIFS(Mouvements!$G:$G,Mouvements!$E:$E,$A208,Mouvements!$B:$B,$B208,Mouvements!$F:$F,"Retour"))</f>
        <v/>
      </c>
      <c r="F208" s="21" t="str">
        <f t="shared" si="1"/>
        <v/>
      </c>
      <c r="G208" s="21" t="str">
        <f>IF($B208="","",D208*VLOOKUP($B208,Articles!$A$5:$K$204,8,FALSE))</f>
        <v/>
      </c>
      <c r="H208" s="21"/>
      <c r="I208" s="21" t="str">
        <f t="shared" si="2"/>
        <v/>
      </c>
      <c r="J208" s="21"/>
    </row>
    <row r="209" ht="15.75" customHeight="1">
      <c r="A209" s="21" t="str">
        <f>'Paramètres'!D10</f>
        <v/>
      </c>
      <c r="B209" s="21" t="str">
        <f>Articles!A29</f>
        <v/>
      </c>
      <c r="C209" s="21" t="str">
        <f>Articles!B29</f>
        <v/>
      </c>
      <c r="D209" s="21" t="str">
        <f>IF(OR($A209="",$B209=""),"",SUMIFS(Mouvements!$G:$G,Mouvements!$E:$E,$A209,Mouvements!$B:$B,$B209,Mouvements!$F:$F,"Départ"))</f>
        <v/>
      </c>
      <c r="E209" s="21" t="str">
        <f>IF(OR($A209="",$B209=""),"",SUMIFS(Mouvements!$G:$G,Mouvements!$E:$E,$A209,Mouvements!$B:$B,$B209,Mouvements!$F:$F,"Retour"))</f>
        <v/>
      </c>
      <c r="F209" s="21" t="str">
        <f t="shared" si="1"/>
        <v/>
      </c>
      <c r="G209" s="21" t="str">
        <f>IF($B209="","",D209*VLOOKUP($B209,Articles!$A$5:$K$204,8,FALSE))</f>
        <v/>
      </c>
      <c r="H209" s="21"/>
      <c r="I209" s="21" t="str">
        <f t="shared" si="2"/>
        <v/>
      </c>
      <c r="J209" s="21"/>
    </row>
    <row r="210" ht="15.75" customHeight="1">
      <c r="A210" s="21" t="str">
        <f>'Paramètres'!D10</f>
        <v/>
      </c>
      <c r="B210" s="21" t="str">
        <f>Articles!A30</f>
        <v/>
      </c>
      <c r="C210" s="21" t="str">
        <f>Articles!B30</f>
        <v/>
      </c>
      <c r="D210" s="21" t="str">
        <f>IF(OR($A210="",$B210=""),"",SUMIFS(Mouvements!$G:$G,Mouvements!$E:$E,$A210,Mouvements!$B:$B,$B210,Mouvements!$F:$F,"Départ"))</f>
        <v/>
      </c>
      <c r="E210" s="21" t="str">
        <f>IF(OR($A210="",$B210=""),"",SUMIFS(Mouvements!$G:$G,Mouvements!$E:$E,$A210,Mouvements!$B:$B,$B210,Mouvements!$F:$F,"Retour"))</f>
        <v/>
      </c>
      <c r="F210" s="21" t="str">
        <f t="shared" si="1"/>
        <v/>
      </c>
      <c r="G210" s="21" t="str">
        <f>IF($B210="","",D210*VLOOKUP($B210,Articles!$A$5:$K$204,8,FALSE))</f>
        <v/>
      </c>
      <c r="H210" s="21"/>
      <c r="I210" s="21" t="str">
        <f t="shared" si="2"/>
        <v/>
      </c>
      <c r="J210" s="21"/>
    </row>
    <row r="211" ht="15.75" customHeight="1">
      <c r="A211" s="21" t="str">
        <f>'Paramètres'!D10</f>
        <v/>
      </c>
      <c r="B211" s="21" t="str">
        <f>Articles!A31</f>
        <v/>
      </c>
      <c r="C211" s="21" t="str">
        <f>Articles!B31</f>
        <v/>
      </c>
      <c r="D211" s="21" t="str">
        <f>IF(OR($A211="",$B211=""),"",SUMIFS(Mouvements!$G:$G,Mouvements!$E:$E,$A211,Mouvements!$B:$B,$B211,Mouvements!$F:$F,"Départ"))</f>
        <v/>
      </c>
      <c r="E211" s="21" t="str">
        <f>IF(OR($A211="",$B211=""),"",SUMIFS(Mouvements!$G:$G,Mouvements!$E:$E,$A211,Mouvements!$B:$B,$B211,Mouvements!$F:$F,"Retour"))</f>
        <v/>
      </c>
      <c r="F211" s="21" t="str">
        <f t="shared" si="1"/>
        <v/>
      </c>
      <c r="G211" s="21" t="str">
        <f>IF($B211="","",D211*VLOOKUP($B211,Articles!$A$5:$K$204,8,FALSE))</f>
        <v/>
      </c>
      <c r="H211" s="21"/>
      <c r="I211" s="21" t="str">
        <f t="shared" si="2"/>
        <v/>
      </c>
      <c r="J211" s="21"/>
    </row>
    <row r="212" ht="15.75" customHeight="1">
      <c r="A212" s="21" t="str">
        <f>'Paramètres'!D10</f>
        <v/>
      </c>
      <c r="B212" s="21" t="str">
        <f>Articles!A32</f>
        <v/>
      </c>
      <c r="C212" s="21" t="str">
        <f>Articles!B32</f>
        <v/>
      </c>
      <c r="D212" s="21" t="str">
        <f>IF(OR($A212="",$B212=""),"",SUMIFS(Mouvements!$G:$G,Mouvements!$E:$E,$A212,Mouvements!$B:$B,$B212,Mouvements!$F:$F,"Départ"))</f>
        <v/>
      </c>
      <c r="E212" s="21" t="str">
        <f>IF(OR($A212="",$B212=""),"",SUMIFS(Mouvements!$G:$G,Mouvements!$E:$E,$A212,Mouvements!$B:$B,$B212,Mouvements!$F:$F,"Retour"))</f>
        <v/>
      </c>
      <c r="F212" s="21" t="str">
        <f t="shared" si="1"/>
        <v/>
      </c>
      <c r="G212" s="21" t="str">
        <f>IF($B212="","",D212*VLOOKUP($B212,Articles!$A$5:$K$204,8,FALSE))</f>
        <v/>
      </c>
      <c r="H212" s="21"/>
      <c r="I212" s="21" t="str">
        <f t="shared" si="2"/>
        <v/>
      </c>
      <c r="J212" s="21"/>
    </row>
    <row r="213" ht="15.75" customHeight="1">
      <c r="A213" s="21" t="str">
        <f>'Paramètres'!D10</f>
        <v/>
      </c>
      <c r="B213" s="21" t="str">
        <f>Articles!A33</f>
        <v/>
      </c>
      <c r="C213" s="21" t="str">
        <f>Articles!B33</f>
        <v/>
      </c>
      <c r="D213" s="21" t="str">
        <f>IF(OR($A213="",$B213=""),"",SUMIFS(Mouvements!$G:$G,Mouvements!$E:$E,$A213,Mouvements!$B:$B,$B213,Mouvements!$F:$F,"Départ"))</f>
        <v/>
      </c>
      <c r="E213" s="21" t="str">
        <f>IF(OR($A213="",$B213=""),"",SUMIFS(Mouvements!$G:$G,Mouvements!$E:$E,$A213,Mouvements!$B:$B,$B213,Mouvements!$F:$F,"Retour"))</f>
        <v/>
      </c>
      <c r="F213" s="21" t="str">
        <f t="shared" si="1"/>
        <v/>
      </c>
      <c r="G213" s="21" t="str">
        <f>IF($B213="","",D213*VLOOKUP($B213,Articles!$A$5:$K$204,8,FALSE))</f>
        <v/>
      </c>
      <c r="H213" s="21"/>
      <c r="I213" s="21" t="str">
        <f t="shared" si="2"/>
        <v/>
      </c>
      <c r="J213" s="21"/>
    </row>
    <row r="214" ht="15.75" customHeight="1">
      <c r="A214" s="21" t="str">
        <f>'Paramètres'!D10</f>
        <v/>
      </c>
      <c r="B214" s="21" t="str">
        <f>Articles!A34</f>
        <v/>
      </c>
      <c r="C214" s="21" t="str">
        <f>Articles!B34</f>
        <v/>
      </c>
      <c r="D214" s="21" t="str">
        <f>IF(OR($A214="",$B214=""),"",SUMIFS(Mouvements!$G:$G,Mouvements!$E:$E,$A214,Mouvements!$B:$B,$B214,Mouvements!$F:$F,"Départ"))</f>
        <v/>
      </c>
      <c r="E214" s="21" t="str">
        <f>IF(OR($A214="",$B214=""),"",SUMIFS(Mouvements!$G:$G,Mouvements!$E:$E,$A214,Mouvements!$B:$B,$B214,Mouvements!$F:$F,"Retour"))</f>
        <v/>
      </c>
      <c r="F214" s="21" t="str">
        <f t="shared" si="1"/>
        <v/>
      </c>
      <c r="G214" s="21" t="str">
        <f>IF($B214="","",D214*VLOOKUP($B214,Articles!$A$5:$K$204,8,FALSE))</f>
        <v/>
      </c>
      <c r="H214" s="21"/>
      <c r="I214" s="21" t="str">
        <f t="shared" si="2"/>
        <v/>
      </c>
      <c r="J214" s="21"/>
    </row>
    <row r="215" ht="15.75" customHeight="1">
      <c r="A215" s="21" t="str">
        <f>'Paramètres'!D11</f>
        <v/>
      </c>
      <c r="B215" s="21" t="str">
        <f>Articles!A5</f>
        <v>VIS-6X60</v>
      </c>
      <c r="C215" s="21" t="str">
        <f>Articles!B5</f>
        <v>Vis béton 6x60</v>
      </c>
      <c r="D215" s="21" t="str">
        <f>IF(OR($A215="",$B215=""),"",SUMIFS(Mouvements!$G:$G,Mouvements!$E:$E,$A215,Mouvements!$B:$B,$B215,Mouvements!$F:$F,"Départ"))</f>
        <v/>
      </c>
      <c r="E215" s="21" t="str">
        <f>IF(OR($A215="",$B215=""),"",SUMIFS(Mouvements!$G:$G,Mouvements!$E:$E,$A215,Mouvements!$B:$B,$B215,Mouvements!$F:$F,"Retour"))</f>
        <v/>
      </c>
      <c r="F215" s="21" t="str">
        <f t="shared" si="1"/>
        <v/>
      </c>
      <c r="G215" s="21" t="str">
        <f>IF($B215="","",D215*VLOOKUP($B215,Articles!$A$5:$K$204,8,FALSE))</f>
        <v>0</v>
      </c>
      <c r="H215" s="21"/>
      <c r="I215" s="21" t="str">
        <f t="shared" si="2"/>
        <v/>
      </c>
      <c r="J215" s="21"/>
    </row>
    <row r="216" ht="15.75" customHeight="1">
      <c r="A216" s="21" t="str">
        <f>'Paramètres'!D11</f>
        <v/>
      </c>
      <c r="B216" s="21" t="str">
        <f>Articles!A6</f>
        <v>PERF-001</v>
      </c>
      <c r="C216" s="21" t="str">
        <f>Articles!B6</f>
        <v>Perforateur SDS</v>
      </c>
      <c r="D216" s="21" t="str">
        <f>IF(OR($A216="",$B216=""),"",SUMIFS(Mouvements!$G:$G,Mouvements!$E:$E,$A216,Mouvements!$B:$B,$B216,Mouvements!$F:$F,"Départ"))</f>
        <v/>
      </c>
      <c r="E216" s="21" t="str">
        <f>IF(OR($A216="",$B216=""),"",SUMIFS(Mouvements!$G:$G,Mouvements!$E:$E,$A216,Mouvements!$B:$B,$B216,Mouvements!$F:$F,"Retour"))</f>
        <v/>
      </c>
      <c r="F216" s="21" t="str">
        <f t="shared" si="1"/>
        <v/>
      </c>
      <c r="G216" s="21" t="str">
        <f>IF($B216="","",D216*VLOOKUP($B216,Articles!$A$5:$K$204,8,FALSE))</f>
        <v>0</v>
      </c>
      <c r="H216" s="21"/>
      <c r="I216" s="21" t="str">
        <f t="shared" si="2"/>
        <v/>
      </c>
      <c r="J216" s="21"/>
    </row>
    <row r="217" ht="15.75" customHeight="1">
      <c r="A217" s="21" t="str">
        <f>'Paramètres'!D11</f>
        <v/>
      </c>
      <c r="B217" s="21" t="str">
        <f>Articles!A7</f>
        <v>GANT-L</v>
      </c>
      <c r="C217" s="21" t="str">
        <f>Articles!B7</f>
        <v>Gants taille L</v>
      </c>
      <c r="D217" s="21" t="str">
        <f>IF(OR($A217="",$B217=""),"",SUMIFS(Mouvements!$G:$G,Mouvements!$E:$E,$A217,Mouvements!$B:$B,$B217,Mouvements!$F:$F,"Départ"))</f>
        <v/>
      </c>
      <c r="E217" s="21" t="str">
        <f>IF(OR($A217="",$B217=""),"",SUMIFS(Mouvements!$G:$G,Mouvements!$E:$E,$A217,Mouvements!$B:$B,$B217,Mouvements!$F:$F,"Retour"))</f>
        <v/>
      </c>
      <c r="F217" s="21" t="str">
        <f t="shared" si="1"/>
        <v/>
      </c>
      <c r="G217" s="21" t="str">
        <f>IF($B217="","",D217*VLOOKUP($B217,Articles!$A$5:$K$204,8,FALSE))</f>
        <v>0</v>
      </c>
      <c r="H217" s="21"/>
      <c r="I217" s="21" t="str">
        <f t="shared" si="2"/>
        <v/>
      </c>
      <c r="J217" s="21"/>
    </row>
    <row r="218" ht="15.75" customHeight="1">
      <c r="A218" s="21" t="str">
        <f>'Paramètres'!D11</f>
        <v/>
      </c>
      <c r="B218" s="21" t="str">
        <f>Articles!A8</f>
        <v>12345</v>
      </c>
      <c r="C218" s="21" t="str">
        <f>Articles!B8</f>
        <v>Quentin</v>
      </c>
      <c r="D218" s="21" t="str">
        <f>IF(OR($A218="",$B218=""),"",SUMIFS(Mouvements!$G:$G,Mouvements!$E:$E,$A218,Mouvements!$B:$B,$B218,Mouvements!$F:$F,"Départ"))</f>
        <v/>
      </c>
      <c r="E218" s="21" t="str">
        <f>IF(OR($A218="",$B218=""),"",SUMIFS(Mouvements!$G:$G,Mouvements!$E:$E,$A218,Mouvements!$B:$B,$B218,Mouvements!$F:$F,"Retour"))</f>
        <v/>
      </c>
      <c r="F218" s="21" t="str">
        <f t="shared" si="1"/>
        <v/>
      </c>
      <c r="G218" s="21" t="str">
        <f>IF($B218="","",D218*VLOOKUP($B218,Articles!$A$5:$K$204,8,FALSE))</f>
        <v>0</v>
      </c>
      <c r="H218" s="21"/>
      <c r="I218" s="21" t="str">
        <f t="shared" si="2"/>
        <v/>
      </c>
      <c r="J218" s="21"/>
    </row>
    <row r="219" ht="15.75" customHeight="1">
      <c r="A219" s="21" t="str">
        <f>'Paramètres'!D11</f>
        <v/>
      </c>
      <c r="B219" s="21" t="str">
        <f>Articles!A9</f>
        <v>4969272</v>
      </c>
      <c r="C219" s="21" t="str">
        <f>Articles!B9</f>
        <v>teben </v>
      </c>
      <c r="D219" s="21" t="str">
        <f>IF(OR($A219="",$B219=""),"",SUMIFS(Mouvements!$G:$G,Mouvements!$E:$E,$A219,Mouvements!$B:$B,$B219,Mouvements!$F:$F,"Départ"))</f>
        <v/>
      </c>
      <c r="E219" s="21" t="str">
        <f>IF(OR($A219="",$B219=""),"",SUMIFS(Mouvements!$G:$G,Mouvements!$E:$E,$A219,Mouvements!$B:$B,$B219,Mouvements!$F:$F,"Retour"))</f>
        <v/>
      </c>
      <c r="F219" s="21" t="str">
        <f t="shared" si="1"/>
        <v/>
      </c>
      <c r="G219" s="21" t="str">
        <f>IF($B219="","",D219*VLOOKUP($B219,Articles!$A$5:$K$204,8,FALSE))</f>
        <v>0</v>
      </c>
      <c r="H219" s="21"/>
      <c r="I219" s="21" t="str">
        <f t="shared" si="2"/>
        <v/>
      </c>
      <c r="J219" s="21"/>
    </row>
    <row r="220" ht="15.75" customHeight="1">
      <c r="A220" s="21" t="str">
        <f>'Paramètres'!D11</f>
        <v/>
      </c>
      <c r="B220" s="21" t="str">
        <f>Articles!A10</f>
        <v/>
      </c>
      <c r="C220" s="21" t="str">
        <f>Articles!B10</f>
        <v/>
      </c>
      <c r="D220" s="21" t="str">
        <f>IF(OR($A220="",$B220=""),"",SUMIFS(Mouvements!$G:$G,Mouvements!$E:$E,$A220,Mouvements!$B:$B,$B220,Mouvements!$F:$F,"Départ"))</f>
        <v/>
      </c>
      <c r="E220" s="21" t="str">
        <f>IF(OR($A220="",$B220=""),"",SUMIFS(Mouvements!$G:$G,Mouvements!$E:$E,$A220,Mouvements!$B:$B,$B220,Mouvements!$F:$F,"Retour"))</f>
        <v/>
      </c>
      <c r="F220" s="21" t="str">
        <f t="shared" si="1"/>
        <v/>
      </c>
      <c r="G220" s="21" t="str">
        <f>IF($B220="","",D220*VLOOKUP($B220,Articles!$A$5:$K$204,8,FALSE))</f>
        <v/>
      </c>
      <c r="H220" s="21"/>
      <c r="I220" s="21" t="str">
        <f t="shared" si="2"/>
        <v/>
      </c>
      <c r="J220" s="21"/>
    </row>
    <row r="221" ht="15.75" customHeight="1">
      <c r="A221" s="21" t="str">
        <f>'Paramètres'!D11</f>
        <v/>
      </c>
      <c r="B221" s="21" t="str">
        <f>Articles!A11</f>
        <v/>
      </c>
      <c r="C221" s="21" t="str">
        <f>Articles!B11</f>
        <v/>
      </c>
      <c r="D221" s="21" t="str">
        <f>IF(OR($A221="",$B221=""),"",SUMIFS(Mouvements!$G:$G,Mouvements!$E:$E,$A221,Mouvements!$B:$B,$B221,Mouvements!$F:$F,"Départ"))</f>
        <v/>
      </c>
      <c r="E221" s="21" t="str">
        <f>IF(OR($A221="",$B221=""),"",SUMIFS(Mouvements!$G:$G,Mouvements!$E:$E,$A221,Mouvements!$B:$B,$B221,Mouvements!$F:$F,"Retour"))</f>
        <v/>
      </c>
      <c r="F221" s="21" t="str">
        <f t="shared" si="1"/>
        <v/>
      </c>
      <c r="G221" s="21" t="str">
        <f>IF($B221="","",D221*VLOOKUP($B221,Articles!$A$5:$K$204,8,FALSE))</f>
        <v/>
      </c>
      <c r="H221" s="21"/>
      <c r="I221" s="21" t="str">
        <f t="shared" si="2"/>
        <v/>
      </c>
      <c r="J221" s="21"/>
    </row>
    <row r="222" ht="15.75" customHeight="1">
      <c r="A222" s="21" t="str">
        <f>'Paramètres'!D11</f>
        <v/>
      </c>
      <c r="B222" s="21" t="str">
        <f>Articles!A12</f>
        <v/>
      </c>
      <c r="C222" s="21" t="str">
        <f>Articles!B12</f>
        <v/>
      </c>
      <c r="D222" s="21" t="str">
        <f>IF(OR($A222="",$B222=""),"",SUMIFS(Mouvements!$G:$G,Mouvements!$E:$E,$A222,Mouvements!$B:$B,$B222,Mouvements!$F:$F,"Départ"))</f>
        <v/>
      </c>
      <c r="E222" s="21" t="str">
        <f>IF(OR($A222="",$B222=""),"",SUMIFS(Mouvements!$G:$G,Mouvements!$E:$E,$A222,Mouvements!$B:$B,$B222,Mouvements!$F:$F,"Retour"))</f>
        <v/>
      </c>
      <c r="F222" s="21" t="str">
        <f t="shared" si="1"/>
        <v/>
      </c>
      <c r="G222" s="21" t="str">
        <f>IF($B222="","",D222*VLOOKUP($B222,Articles!$A$5:$K$204,8,FALSE))</f>
        <v/>
      </c>
      <c r="H222" s="21"/>
      <c r="I222" s="21" t="str">
        <f t="shared" si="2"/>
        <v/>
      </c>
      <c r="J222" s="21"/>
    </row>
    <row r="223" ht="15.75" customHeight="1">
      <c r="A223" s="21" t="str">
        <f>'Paramètres'!D11</f>
        <v/>
      </c>
      <c r="B223" s="21" t="str">
        <f>Articles!A13</f>
        <v/>
      </c>
      <c r="C223" s="21" t="str">
        <f>Articles!B13</f>
        <v/>
      </c>
      <c r="D223" s="21" t="str">
        <f>IF(OR($A223="",$B223=""),"",SUMIFS(Mouvements!$G:$G,Mouvements!$E:$E,$A223,Mouvements!$B:$B,$B223,Mouvements!$F:$F,"Départ"))</f>
        <v/>
      </c>
      <c r="E223" s="21" t="str">
        <f>IF(OR($A223="",$B223=""),"",SUMIFS(Mouvements!$G:$G,Mouvements!$E:$E,$A223,Mouvements!$B:$B,$B223,Mouvements!$F:$F,"Retour"))</f>
        <v/>
      </c>
      <c r="F223" s="21" t="str">
        <f t="shared" si="1"/>
        <v/>
      </c>
      <c r="G223" s="21" t="str">
        <f>IF($B223="","",D223*VLOOKUP($B223,Articles!$A$5:$K$204,8,FALSE))</f>
        <v/>
      </c>
      <c r="H223" s="21"/>
      <c r="I223" s="21" t="str">
        <f t="shared" si="2"/>
        <v/>
      </c>
      <c r="J223" s="21"/>
    </row>
    <row r="224" ht="15.75" customHeight="1">
      <c r="A224" s="21" t="str">
        <f>'Paramètres'!D11</f>
        <v/>
      </c>
      <c r="B224" s="21" t="str">
        <f>Articles!A14</f>
        <v/>
      </c>
      <c r="C224" s="21" t="str">
        <f>Articles!B14</f>
        <v/>
      </c>
      <c r="D224" s="21" t="str">
        <f>IF(OR($A224="",$B224=""),"",SUMIFS(Mouvements!$G:$G,Mouvements!$E:$E,$A224,Mouvements!$B:$B,$B224,Mouvements!$F:$F,"Départ"))</f>
        <v/>
      </c>
      <c r="E224" s="21" t="str">
        <f>IF(OR($A224="",$B224=""),"",SUMIFS(Mouvements!$G:$G,Mouvements!$E:$E,$A224,Mouvements!$B:$B,$B224,Mouvements!$F:$F,"Retour"))</f>
        <v/>
      </c>
      <c r="F224" s="21" t="str">
        <f t="shared" si="1"/>
        <v/>
      </c>
      <c r="G224" s="21" t="str">
        <f>IF($B224="","",D224*VLOOKUP($B224,Articles!$A$5:$K$204,8,FALSE))</f>
        <v/>
      </c>
      <c r="H224" s="21"/>
      <c r="I224" s="21" t="str">
        <f t="shared" si="2"/>
        <v/>
      </c>
      <c r="J224" s="21"/>
    </row>
    <row r="225" ht="15.75" customHeight="1">
      <c r="A225" s="21" t="str">
        <f>'Paramètres'!D11</f>
        <v/>
      </c>
      <c r="B225" s="21" t="str">
        <f>Articles!A15</f>
        <v/>
      </c>
      <c r="C225" s="21" t="str">
        <f>Articles!B15</f>
        <v/>
      </c>
      <c r="D225" s="21" t="str">
        <f>IF(OR($A225="",$B225=""),"",SUMIFS(Mouvements!$G:$G,Mouvements!$E:$E,$A225,Mouvements!$B:$B,$B225,Mouvements!$F:$F,"Départ"))</f>
        <v/>
      </c>
      <c r="E225" s="21" t="str">
        <f>IF(OR($A225="",$B225=""),"",SUMIFS(Mouvements!$G:$G,Mouvements!$E:$E,$A225,Mouvements!$B:$B,$B225,Mouvements!$F:$F,"Retour"))</f>
        <v/>
      </c>
      <c r="F225" s="21" t="str">
        <f t="shared" si="1"/>
        <v/>
      </c>
      <c r="G225" s="21" t="str">
        <f>IF($B225="","",D225*VLOOKUP($B225,Articles!$A$5:$K$204,8,FALSE))</f>
        <v/>
      </c>
      <c r="H225" s="21"/>
      <c r="I225" s="21" t="str">
        <f t="shared" si="2"/>
        <v/>
      </c>
      <c r="J225" s="21"/>
    </row>
    <row r="226" ht="15.75" customHeight="1">
      <c r="A226" s="21" t="str">
        <f>'Paramètres'!D11</f>
        <v/>
      </c>
      <c r="B226" s="21" t="str">
        <f>Articles!A16</f>
        <v/>
      </c>
      <c r="C226" s="21" t="str">
        <f>Articles!B16</f>
        <v/>
      </c>
      <c r="D226" s="21" t="str">
        <f>IF(OR($A226="",$B226=""),"",SUMIFS(Mouvements!$G:$G,Mouvements!$E:$E,$A226,Mouvements!$B:$B,$B226,Mouvements!$F:$F,"Départ"))</f>
        <v/>
      </c>
      <c r="E226" s="21" t="str">
        <f>IF(OR($A226="",$B226=""),"",SUMIFS(Mouvements!$G:$G,Mouvements!$E:$E,$A226,Mouvements!$B:$B,$B226,Mouvements!$F:$F,"Retour"))</f>
        <v/>
      </c>
      <c r="F226" s="21" t="str">
        <f t="shared" si="1"/>
        <v/>
      </c>
      <c r="G226" s="21" t="str">
        <f>IF($B226="","",D226*VLOOKUP($B226,Articles!$A$5:$K$204,8,FALSE))</f>
        <v/>
      </c>
      <c r="H226" s="21"/>
      <c r="I226" s="21" t="str">
        <f t="shared" si="2"/>
        <v/>
      </c>
      <c r="J226" s="21"/>
    </row>
    <row r="227" ht="15.75" customHeight="1">
      <c r="A227" s="21" t="str">
        <f>'Paramètres'!D11</f>
        <v/>
      </c>
      <c r="B227" s="21" t="str">
        <f>Articles!A17</f>
        <v/>
      </c>
      <c r="C227" s="21" t="str">
        <f>Articles!B17</f>
        <v/>
      </c>
      <c r="D227" s="21" t="str">
        <f>IF(OR($A227="",$B227=""),"",SUMIFS(Mouvements!$G:$G,Mouvements!$E:$E,$A227,Mouvements!$B:$B,$B227,Mouvements!$F:$F,"Départ"))</f>
        <v/>
      </c>
      <c r="E227" s="21" t="str">
        <f>IF(OR($A227="",$B227=""),"",SUMIFS(Mouvements!$G:$G,Mouvements!$E:$E,$A227,Mouvements!$B:$B,$B227,Mouvements!$F:$F,"Retour"))</f>
        <v/>
      </c>
      <c r="F227" s="21" t="str">
        <f t="shared" si="1"/>
        <v/>
      </c>
      <c r="G227" s="21" t="str">
        <f>IF($B227="","",D227*VLOOKUP($B227,Articles!$A$5:$K$204,8,FALSE))</f>
        <v/>
      </c>
      <c r="H227" s="21"/>
      <c r="I227" s="21" t="str">
        <f t="shared" si="2"/>
        <v/>
      </c>
      <c r="J227" s="21"/>
    </row>
    <row r="228" ht="15.75" customHeight="1">
      <c r="A228" s="21" t="str">
        <f>'Paramètres'!D11</f>
        <v/>
      </c>
      <c r="B228" s="21" t="str">
        <f>Articles!A18</f>
        <v/>
      </c>
      <c r="C228" s="21" t="str">
        <f>Articles!B18</f>
        <v/>
      </c>
      <c r="D228" s="21" t="str">
        <f>IF(OR($A228="",$B228=""),"",SUMIFS(Mouvements!$G:$G,Mouvements!$E:$E,$A228,Mouvements!$B:$B,$B228,Mouvements!$F:$F,"Départ"))</f>
        <v/>
      </c>
      <c r="E228" s="21" t="str">
        <f>IF(OR($A228="",$B228=""),"",SUMIFS(Mouvements!$G:$G,Mouvements!$E:$E,$A228,Mouvements!$B:$B,$B228,Mouvements!$F:$F,"Retour"))</f>
        <v/>
      </c>
      <c r="F228" s="21" t="str">
        <f t="shared" si="1"/>
        <v/>
      </c>
      <c r="G228" s="21" t="str">
        <f>IF($B228="","",D228*VLOOKUP($B228,Articles!$A$5:$K$204,8,FALSE))</f>
        <v/>
      </c>
      <c r="H228" s="21"/>
      <c r="I228" s="21" t="str">
        <f t="shared" si="2"/>
        <v/>
      </c>
      <c r="J228" s="21"/>
    </row>
    <row r="229" ht="15.75" customHeight="1">
      <c r="A229" s="21" t="str">
        <f>'Paramètres'!D11</f>
        <v/>
      </c>
      <c r="B229" s="21" t="str">
        <f>Articles!A19</f>
        <v/>
      </c>
      <c r="C229" s="21" t="str">
        <f>Articles!B19</f>
        <v/>
      </c>
      <c r="D229" s="21" t="str">
        <f>IF(OR($A229="",$B229=""),"",SUMIFS(Mouvements!$G:$G,Mouvements!$E:$E,$A229,Mouvements!$B:$B,$B229,Mouvements!$F:$F,"Départ"))</f>
        <v/>
      </c>
      <c r="E229" s="21" t="str">
        <f>IF(OR($A229="",$B229=""),"",SUMIFS(Mouvements!$G:$G,Mouvements!$E:$E,$A229,Mouvements!$B:$B,$B229,Mouvements!$F:$F,"Retour"))</f>
        <v/>
      </c>
      <c r="F229" s="21" t="str">
        <f t="shared" si="1"/>
        <v/>
      </c>
      <c r="G229" s="21" t="str">
        <f>IF($B229="","",D229*VLOOKUP($B229,Articles!$A$5:$K$204,8,FALSE))</f>
        <v/>
      </c>
      <c r="H229" s="21"/>
      <c r="I229" s="21" t="str">
        <f t="shared" si="2"/>
        <v/>
      </c>
      <c r="J229" s="21"/>
    </row>
    <row r="230" ht="15.75" customHeight="1">
      <c r="A230" s="21" t="str">
        <f>'Paramètres'!D11</f>
        <v/>
      </c>
      <c r="B230" s="21" t="str">
        <f>Articles!A20</f>
        <v/>
      </c>
      <c r="C230" s="21" t="str">
        <f>Articles!B20</f>
        <v/>
      </c>
      <c r="D230" s="21" t="str">
        <f>IF(OR($A230="",$B230=""),"",SUMIFS(Mouvements!$G:$G,Mouvements!$E:$E,$A230,Mouvements!$B:$B,$B230,Mouvements!$F:$F,"Départ"))</f>
        <v/>
      </c>
      <c r="E230" s="21" t="str">
        <f>IF(OR($A230="",$B230=""),"",SUMIFS(Mouvements!$G:$G,Mouvements!$E:$E,$A230,Mouvements!$B:$B,$B230,Mouvements!$F:$F,"Retour"))</f>
        <v/>
      </c>
      <c r="F230" s="21" t="str">
        <f t="shared" si="1"/>
        <v/>
      </c>
      <c r="G230" s="21" t="str">
        <f>IF($B230="","",D230*VLOOKUP($B230,Articles!$A$5:$K$204,8,FALSE))</f>
        <v/>
      </c>
      <c r="H230" s="21"/>
      <c r="I230" s="21" t="str">
        <f t="shared" si="2"/>
        <v/>
      </c>
      <c r="J230" s="21"/>
    </row>
    <row r="231" ht="15.75" customHeight="1">
      <c r="A231" s="21" t="str">
        <f>'Paramètres'!D11</f>
        <v/>
      </c>
      <c r="B231" s="21" t="str">
        <f>Articles!A21</f>
        <v/>
      </c>
      <c r="C231" s="21" t="str">
        <f>Articles!B21</f>
        <v/>
      </c>
      <c r="D231" s="21" t="str">
        <f>IF(OR($A231="",$B231=""),"",SUMIFS(Mouvements!$G:$G,Mouvements!$E:$E,$A231,Mouvements!$B:$B,$B231,Mouvements!$F:$F,"Départ"))</f>
        <v/>
      </c>
      <c r="E231" s="21" t="str">
        <f>IF(OR($A231="",$B231=""),"",SUMIFS(Mouvements!$G:$G,Mouvements!$E:$E,$A231,Mouvements!$B:$B,$B231,Mouvements!$F:$F,"Retour"))</f>
        <v/>
      </c>
      <c r="F231" s="21" t="str">
        <f t="shared" si="1"/>
        <v/>
      </c>
      <c r="G231" s="21" t="str">
        <f>IF($B231="","",D231*VLOOKUP($B231,Articles!$A$5:$K$204,8,FALSE))</f>
        <v/>
      </c>
      <c r="H231" s="21"/>
      <c r="I231" s="21" t="str">
        <f t="shared" si="2"/>
        <v/>
      </c>
      <c r="J231" s="21"/>
    </row>
    <row r="232" ht="15.75" customHeight="1">
      <c r="A232" s="21" t="str">
        <f>'Paramètres'!D11</f>
        <v/>
      </c>
      <c r="B232" s="21" t="str">
        <f>Articles!A22</f>
        <v/>
      </c>
      <c r="C232" s="21" t="str">
        <f>Articles!B22</f>
        <v/>
      </c>
      <c r="D232" s="21" t="str">
        <f>IF(OR($A232="",$B232=""),"",SUMIFS(Mouvements!$G:$G,Mouvements!$E:$E,$A232,Mouvements!$B:$B,$B232,Mouvements!$F:$F,"Départ"))</f>
        <v/>
      </c>
      <c r="E232" s="21" t="str">
        <f>IF(OR($A232="",$B232=""),"",SUMIFS(Mouvements!$G:$G,Mouvements!$E:$E,$A232,Mouvements!$B:$B,$B232,Mouvements!$F:$F,"Retour"))</f>
        <v/>
      </c>
      <c r="F232" s="21" t="str">
        <f t="shared" si="1"/>
        <v/>
      </c>
      <c r="G232" s="21" t="str">
        <f>IF($B232="","",D232*VLOOKUP($B232,Articles!$A$5:$K$204,8,FALSE))</f>
        <v/>
      </c>
      <c r="H232" s="21"/>
      <c r="I232" s="21" t="str">
        <f t="shared" si="2"/>
        <v/>
      </c>
      <c r="J232" s="21"/>
    </row>
    <row r="233" ht="15.75" customHeight="1">
      <c r="A233" s="21" t="str">
        <f>'Paramètres'!D11</f>
        <v/>
      </c>
      <c r="B233" s="21" t="str">
        <f>Articles!A23</f>
        <v/>
      </c>
      <c r="C233" s="21" t="str">
        <f>Articles!B23</f>
        <v/>
      </c>
      <c r="D233" s="21" t="str">
        <f>IF(OR($A233="",$B233=""),"",SUMIFS(Mouvements!$G:$G,Mouvements!$E:$E,$A233,Mouvements!$B:$B,$B233,Mouvements!$F:$F,"Départ"))</f>
        <v/>
      </c>
      <c r="E233" s="21" t="str">
        <f>IF(OR($A233="",$B233=""),"",SUMIFS(Mouvements!$G:$G,Mouvements!$E:$E,$A233,Mouvements!$B:$B,$B233,Mouvements!$F:$F,"Retour"))</f>
        <v/>
      </c>
      <c r="F233" s="21" t="str">
        <f t="shared" si="1"/>
        <v/>
      </c>
      <c r="G233" s="21" t="str">
        <f>IF($B233="","",D233*VLOOKUP($B233,Articles!$A$5:$K$204,8,FALSE))</f>
        <v/>
      </c>
      <c r="H233" s="21"/>
      <c r="I233" s="21" t="str">
        <f t="shared" si="2"/>
        <v/>
      </c>
      <c r="J233" s="21"/>
    </row>
    <row r="234" ht="15.75" customHeight="1">
      <c r="A234" s="21" t="str">
        <f>'Paramètres'!D11</f>
        <v/>
      </c>
      <c r="B234" s="21" t="str">
        <f>Articles!A24</f>
        <v/>
      </c>
      <c r="C234" s="21" t="str">
        <f>Articles!B24</f>
        <v/>
      </c>
      <c r="D234" s="21" t="str">
        <f>IF(OR($A234="",$B234=""),"",SUMIFS(Mouvements!$G:$G,Mouvements!$E:$E,$A234,Mouvements!$B:$B,$B234,Mouvements!$F:$F,"Départ"))</f>
        <v/>
      </c>
      <c r="E234" s="21" t="str">
        <f>IF(OR($A234="",$B234=""),"",SUMIFS(Mouvements!$G:$G,Mouvements!$E:$E,$A234,Mouvements!$B:$B,$B234,Mouvements!$F:$F,"Retour"))</f>
        <v/>
      </c>
      <c r="F234" s="21" t="str">
        <f t="shared" si="1"/>
        <v/>
      </c>
      <c r="G234" s="21" t="str">
        <f>IF($B234="","",D234*VLOOKUP($B234,Articles!$A$5:$K$204,8,FALSE))</f>
        <v/>
      </c>
      <c r="H234" s="21"/>
      <c r="I234" s="21" t="str">
        <f t="shared" si="2"/>
        <v/>
      </c>
      <c r="J234" s="21"/>
    </row>
    <row r="235" ht="15.75" customHeight="1">
      <c r="A235" s="21" t="str">
        <f>'Paramètres'!D11</f>
        <v/>
      </c>
      <c r="B235" s="21" t="str">
        <f>Articles!A25</f>
        <v/>
      </c>
      <c r="C235" s="21" t="str">
        <f>Articles!B25</f>
        <v/>
      </c>
      <c r="D235" s="21" t="str">
        <f>IF(OR($A235="",$B235=""),"",SUMIFS(Mouvements!$G:$G,Mouvements!$E:$E,$A235,Mouvements!$B:$B,$B235,Mouvements!$F:$F,"Départ"))</f>
        <v/>
      </c>
      <c r="E235" s="21" t="str">
        <f>IF(OR($A235="",$B235=""),"",SUMIFS(Mouvements!$G:$G,Mouvements!$E:$E,$A235,Mouvements!$B:$B,$B235,Mouvements!$F:$F,"Retour"))</f>
        <v/>
      </c>
      <c r="F235" s="21" t="str">
        <f t="shared" si="1"/>
        <v/>
      </c>
      <c r="G235" s="21" t="str">
        <f>IF($B235="","",D235*VLOOKUP($B235,Articles!$A$5:$K$204,8,FALSE))</f>
        <v/>
      </c>
      <c r="H235" s="21"/>
      <c r="I235" s="21" t="str">
        <f t="shared" si="2"/>
        <v/>
      </c>
      <c r="J235" s="21"/>
    </row>
    <row r="236" ht="15.75" customHeight="1">
      <c r="A236" s="21" t="str">
        <f>'Paramètres'!D11</f>
        <v/>
      </c>
      <c r="B236" s="21" t="str">
        <f>Articles!A26</f>
        <v/>
      </c>
      <c r="C236" s="21" t="str">
        <f>Articles!B26</f>
        <v/>
      </c>
      <c r="D236" s="21" t="str">
        <f>IF(OR($A236="",$B236=""),"",SUMIFS(Mouvements!$G:$G,Mouvements!$E:$E,$A236,Mouvements!$B:$B,$B236,Mouvements!$F:$F,"Départ"))</f>
        <v/>
      </c>
      <c r="E236" s="21" t="str">
        <f>IF(OR($A236="",$B236=""),"",SUMIFS(Mouvements!$G:$G,Mouvements!$E:$E,$A236,Mouvements!$B:$B,$B236,Mouvements!$F:$F,"Retour"))</f>
        <v/>
      </c>
      <c r="F236" s="21" t="str">
        <f t="shared" si="1"/>
        <v/>
      </c>
      <c r="G236" s="21" t="str">
        <f>IF($B236="","",D236*VLOOKUP($B236,Articles!$A$5:$K$204,8,FALSE))</f>
        <v/>
      </c>
      <c r="H236" s="21"/>
      <c r="I236" s="21" t="str">
        <f t="shared" si="2"/>
        <v/>
      </c>
      <c r="J236" s="21"/>
    </row>
    <row r="237" ht="15.75" customHeight="1">
      <c r="A237" s="21" t="str">
        <f>'Paramètres'!D11</f>
        <v/>
      </c>
      <c r="B237" s="21" t="str">
        <f>Articles!A27</f>
        <v/>
      </c>
      <c r="C237" s="21" t="str">
        <f>Articles!B27</f>
        <v/>
      </c>
      <c r="D237" s="21" t="str">
        <f>IF(OR($A237="",$B237=""),"",SUMIFS(Mouvements!$G:$G,Mouvements!$E:$E,$A237,Mouvements!$B:$B,$B237,Mouvements!$F:$F,"Départ"))</f>
        <v/>
      </c>
      <c r="E237" s="21" t="str">
        <f>IF(OR($A237="",$B237=""),"",SUMIFS(Mouvements!$G:$G,Mouvements!$E:$E,$A237,Mouvements!$B:$B,$B237,Mouvements!$F:$F,"Retour"))</f>
        <v/>
      </c>
      <c r="F237" s="21" t="str">
        <f t="shared" si="1"/>
        <v/>
      </c>
      <c r="G237" s="21" t="str">
        <f>IF($B237="","",D237*VLOOKUP($B237,Articles!$A$5:$K$204,8,FALSE))</f>
        <v/>
      </c>
      <c r="H237" s="21"/>
      <c r="I237" s="21" t="str">
        <f t="shared" si="2"/>
        <v/>
      </c>
      <c r="J237" s="21"/>
    </row>
    <row r="238" ht="15.75" customHeight="1">
      <c r="A238" s="21" t="str">
        <f>'Paramètres'!D11</f>
        <v/>
      </c>
      <c r="B238" s="21" t="str">
        <f>Articles!A28</f>
        <v/>
      </c>
      <c r="C238" s="21" t="str">
        <f>Articles!B28</f>
        <v/>
      </c>
      <c r="D238" s="21" t="str">
        <f>IF(OR($A238="",$B238=""),"",SUMIFS(Mouvements!$G:$G,Mouvements!$E:$E,$A238,Mouvements!$B:$B,$B238,Mouvements!$F:$F,"Départ"))</f>
        <v/>
      </c>
      <c r="E238" s="21" t="str">
        <f>IF(OR($A238="",$B238=""),"",SUMIFS(Mouvements!$G:$G,Mouvements!$E:$E,$A238,Mouvements!$B:$B,$B238,Mouvements!$F:$F,"Retour"))</f>
        <v/>
      </c>
      <c r="F238" s="21" t="str">
        <f t="shared" si="1"/>
        <v/>
      </c>
      <c r="G238" s="21" t="str">
        <f>IF($B238="","",D238*VLOOKUP($B238,Articles!$A$5:$K$204,8,FALSE))</f>
        <v/>
      </c>
      <c r="H238" s="21"/>
      <c r="I238" s="21" t="str">
        <f t="shared" si="2"/>
        <v/>
      </c>
      <c r="J238" s="21"/>
    </row>
    <row r="239" ht="15.75" customHeight="1">
      <c r="A239" s="21" t="str">
        <f>'Paramètres'!D11</f>
        <v/>
      </c>
      <c r="B239" s="21" t="str">
        <f>Articles!A29</f>
        <v/>
      </c>
      <c r="C239" s="21" t="str">
        <f>Articles!B29</f>
        <v/>
      </c>
      <c r="D239" s="21" t="str">
        <f>IF(OR($A239="",$B239=""),"",SUMIFS(Mouvements!$G:$G,Mouvements!$E:$E,$A239,Mouvements!$B:$B,$B239,Mouvements!$F:$F,"Départ"))</f>
        <v/>
      </c>
      <c r="E239" s="21" t="str">
        <f>IF(OR($A239="",$B239=""),"",SUMIFS(Mouvements!$G:$G,Mouvements!$E:$E,$A239,Mouvements!$B:$B,$B239,Mouvements!$F:$F,"Retour"))</f>
        <v/>
      </c>
      <c r="F239" s="21" t="str">
        <f t="shared" si="1"/>
        <v/>
      </c>
      <c r="G239" s="21" t="str">
        <f>IF($B239="","",D239*VLOOKUP($B239,Articles!$A$5:$K$204,8,FALSE))</f>
        <v/>
      </c>
      <c r="H239" s="21"/>
      <c r="I239" s="21" t="str">
        <f t="shared" si="2"/>
        <v/>
      </c>
      <c r="J239" s="21"/>
    </row>
    <row r="240" ht="15.75" customHeight="1">
      <c r="A240" s="21" t="str">
        <f>'Paramètres'!D11</f>
        <v/>
      </c>
      <c r="B240" s="21" t="str">
        <f>Articles!A30</f>
        <v/>
      </c>
      <c r="C240" s="21" t="str">
        <f>Articles!B30</f>
        <v/>
      </c>
      <c r="D240" s="21" t="str">
        <f>IF(OR($A240="",$B240=""),"",SUMIFS(Mouvements!$G:$G,Mouvements!$E:$E,$A240,Mouvements!$B:$B,$B240,Mouvements!$F:$F,"Départ"))</f>
        <v/>
      </c>
      <c r="E240" s="21" t="str">
        <f>IF(OR($A240="",$B240=""),"",SUMIFS(Mouvements!$G:$G,Mouvements!$E:$E,$A240,Mouvements!$B:$B,$B240,Mouvements!$F:$F,"Retour"))</f>
        <v/>
      </c>
      <c r="F240" s="21" t="str">
        <f t="shared" si="1"/>
        <v/>
      </c>
      <c r="G240" s="21" t="str">
        <f>IF($B240="","",D240*VLOOKUP($B240,Articles!$A$5:$K$204,8,FALSE))</f>
        <v/>
      </c>
      <c r="H240" s="21"/>
      <c r="I240" s="21" t="str">
        <f t="shared" si="2"/>
        <v/>
      </c>
      <c r="J240" s="21"/>
    </row>
    <row r="241" ht="15.75" customHeight="1">
      <c r="A241" s="21" t="str">
        <f>'Paramètres'!D11</f>
        <v/>
      </c>
      <c r="B241" s="21" t="str">
        <f>Articles!A31</f>
        <v/>
      </c>
      <c r="C241" s="21" t="str">
        <f>Articles!B31</f>
        <v/>
      </c>
      <c r="D241" s="21" t="str">
        <f>IF(OR($A241="",$B241=""),"",SUMIFS(Mouvements!$G:$G,Mouvements!$E:$E,$A241,Mouvements!$B:$B,$B241,Mouvements!$F:$F,"Départ"))</f>
        <v/>
      </c>
      <c r="E241" s="21" t="str">
        <f>IF(OR($A241="",$B241=""),"",SUMIFS(Mouvements!$G:$G,Mouvements!$E:$E,$A241,Mouvements!$B:$B,$B241,Mouvements!$F:$F,"Retour"))</f>
        <v/>
      </c>
      <c r="F241" s="21" t="str">
        <f t="shared" si="1"/>
        <v/>
      </c>
      <c r="G241" s="21" t="str">
        <f>IF($B241="","",D241*VLOOKUP($B241,Articles!$A$5:$K$204,8,FALSE))</f>
        <v/>
      </c>
      <c r="H241" s="21"/>
      <c r="I241" s="21" t="str">
        <f t="shared" si="2"/>
        <v/>
      </c>
      <c r="J241" s="21"/>
    </row>
    <row r="242" ht="15.75" customHeight="1">
      <c r="A242" s="21" t="str">
        <f>'Paramètres'!D11</f>
        <v/>
      </c>
      <c r="B242" s="21" t="str">
        <f>Articles!A32</f>
        <v/>
      </c>
      <c r="C242" s="21" t="str">
        <f>Articles!B32</f>
        <v/>
      </c>
      <c r="D242" s="21" t="str">
        <f>IF(OR($A242="",$B242=""),"",SUMIFS(Mouvements!$G:$G,Mouvements!$E:$E,$A242,Mouvements!$B:$B,$B242,Mouvements!$F:$F,"Départ"))</f>
        <v/>
      </c>
      <c r="E242" s="21" t="str">
        <f>IF(OR($A242="",$B242=""),"",SUMIFS(Mouvements!$G:$G,Mouvements!$E:$E,$A242,Mouvements!$B:$B,$B242,Mouvements!$F:$F,"Retour"))</f>
        <v/>
      </c>
      <c r="F242" s="21" t="str">
        <f t="shared" si="1"/>
        <v/>
      </c>
      <c r="G242" s="21" t="str">
        <f>IF($B242="","",D242*VLOOKUP($B242,Articles!$A$5:$K$204,8,FALSE))</f>
        <v/>
      </c>
      <c r="H242" s="21"/>
      <c r="I242" s="21" t="str">
        <f t="shared" si="2"/>
        <v/>
      </c>
      <c r="J242" s="21"/>
    </row>
    <row r="243" ht="15.75" customHeight="1">
      <c r="A243" s="21" t="str">
        <f>'Paramètres'!D11</f>
        <v/>
      </c>
      <c r="B243" s="21" t="str">
        <f>Articles!A33</f>
        <v/>
      </c>
      <c r="C243" s="21" t="str">
        <f>Articles!B33</f>
        <v/>
      </c>
      <c r="D243" s="21" t="str">
        <f>IF(OR($A243="",$B243=""),"",SUMIFS(Mouvements!$G:$G,Mouvements!$E:$E,$A243,Mouvements!$B:$B,$B243,Mouvements!$F:$F,"Départ"))</f>
        <v/>
      </c>
      <c r="E243" s="21" t="str">
        <f>IF(OR($A243="",$B243=""),"",SUMIFS(Mouvements!$G:$G,Mouvements!$E:$E,$A243,Mouvements!$B:$B,$B243,Mouvements!$F:$F,"Retour"))</f>
        <v/>
      </c>
      <c r="F243" s="21" t="str">
        <f t="shared" si="1"/>
        <v/>
      </c>
      <c r="G243" s="21" t="str">
        <f>IF($B243="","",D243*VLOOKUP($B243,Articles!$A$5:$K$204,8,FALSE))</f>
        <v/>
      </c>
      <c r="H243" s="21"/>
      <c r="I243" s="21" t="str">
        <f t="shared" si="2"/>
        <v/>
      </c>
      <c r="J243" s="21"/>
    </row>
    <row r="244" ht="15.75" customHeight="1">
      <c r="A244" s="21" t="str">
        <f>'Paramètres'!D11</f>
        <v/>
      </c>
      <c r="B244" s="21" t="str">
        <f>Articles!A34</f>
        <v/>
      </c>
      <c r="C244" s="21" t="str">
        <f>Articles!B34</f>
        <v/>
      </c>
      <c r="D244" s="21" t="str">
        <f>IF(OR($A244="",$B244=""),"",SUMIFS(Mouvements!$G:$G,Mouvements!$E:$E,$A244,Mouvements!$B:$B,$B244,Mouvements!$F:$F,"Départ"))</f>
        <v/>
      </c>
      <c r="E244" s="21" t="str">
        <f>IF(OR($A244="",$B244=""),"",SUMIFS(Mouvements!$G:$G,Mouvements!$E:$E,$A244,Mouvements!$B:$B,$B244,Mouvements!$F:$F,"Retour"))</f>
        <v/>
      </c>
      <c r="F244" s="21" t="str">
        <f t="shared" si="1"/>
        <v/>
      </c>
      <c r="G244" s="21" t="str">
        <f>IF($B244="","",D244*VLOOKUP($B244,Articles!$A$5:$K$204,8,FALSE))</f>
        <v/>
      </c>
      <c r="H244" s="21"/>
      <c r="I244" s="21" t="str">
        <f t="shared" si="2"/>
        <v/>
      </c>
      <c r="J244" s="21"/>
    </row>
    <row r="245" ht="15.75" customHeight="1">
      <c r="A245" s="21" t="str">
        <f>'Paramètres'!D12</f>
        <v/>
      </c>
      <c r="B245" s="21" t="str">
        <f>Articles!A5</f>
        <v>VIS-6X60</v>
      </c>
      <c r="C245" s="21" t="str">
        <f>Articles!B5</f>
        <v>Vis béton 6x60</v>
      </c>
      <c r="D245" s="21" t="str">
        <f>IF(OR($A245="",$B245=""),"",SUMIFS(Mouvements!$G:$G,Mouvements!$E:$E,$A245,Mouvements!$B:$B,$B245,Mouvements!$F:$F,"Départ"))</f>
        <v/>
      </c>
      <c r="E245" s="21" t="str">
        <f>IF(OR($A245="",$B245=""),"",SUMIFS(Mouvements!$G:$G,Mouvements!$E:$E,$A245,Mouvements!$B:$B,$B245,Mouvements!$F:$F,"Retour"))</f>
        <v/>
      </c>
      <c r="F245" s="21" t="str">
        <f t="shared" si="1"/>
        <v/>
      </c>
      <c r="G245" s="21" t="str">
        <f>IF($B245="","",D245*VLOOKUP($B245,Articles!$A$5:$K$204,8,FALSE))</f>
        <v>0</v>
      </c>
      <c r="H245" s="21"/>
      <c r="I245" s="21" t="str">
        <f t="shared" si="2"/>
        <v/>
      </c>
      <c r="J245" s="21"/>
    </row>
    <row r="246" ht="15.75" customHeight="1">
      <c r="A246" s="21" t="str">
        <f>'Paramètres'!D12</f>
        <v/>
      </c>
      <c r="B246" s="21" t="str">
        <f>Articles!A6</f>
        <v>PERF-001</v>
      </c>
      <c r="C246" s="21" t="str">
        <f>Articles!B6</f>
        <v>Perforateur SDS</v>
      </c>
      <c r="D246" s="21" t="str">
        <f>IF(OR($A246="",$B246=""),"",SUMIFS(Mouvements!$G:$G,Mouvements!$E:$E,$A246,Mouvements!$B:$B,$B246,Mouvements!$F:$F,"Départ"))</f>
        <v/>
      </c>
      <c r="E246" s="21" t="str">
        <f>IF(OR($A246="",$B246=""),"",SUMIFS(Mouvements!$G:$G,Mouvements!$E:$E,$A246,Mouvements!$B:$B,$B246,Mouvements!$F:$F,"Retour"))</f>
        <v/>
      </c>
      <c r="F246" s="21" t="str">
        <f t="shared" si="1"/>
        <v/>
      </c>
      <c r="G246" s="21" t="str">
        <f>IF($B246="","",D246*VLOOKUP($B246,Articles!$A$5:$K$204,8,FALSE))</f>
        <v>0</v>
      </c>
      <c r="H246" s="21"/>
      <c r="I246" s="21" t="str">
        <f t="shared" si="2"/>
        <v/>
      </c>
      <c r="J246" s="21"/>
    </row>
    <row r="247" ht="15.75" customHeight="1">
      <c r="A247" s="21" t="str">
        <f>'Paramètres'!D12</f>
        <v/>
      </c>
      <c r="B247" s="21" t="str">
        <f>Articles!A7</f>
        <v>GANT-L</v>
      </c>
      <c r="C247" s="21" t="str">
        <f>Articles!B7</f>
        <v>Gants taille L</v>
      </c>
      <c r="D247" s="21" t="str">
        <f>IF(OR($A247="",$B247=""),"",SUMIFS(Mouvements!$G:$G,Mouvements!$E:$E,$A247,Mouvements!$B:$B,$B247,Mouvements!$F:$F,"Départ"))</f>
        <v/>
      </c>
      <c r="E247" s="21" t="str">
        <f>IF(OR($A247="",$B247=""),"",SUMIFS(Mouvements!$G:$G,Mouvements!$E:$E,$A247,Mouvements!$B:$B,$B247,Mouvements!$F:$F,"Retour"))</f>
        <v/>
      </c>
      <c r="F247" s="21" t="str">
        <f t="shared" si="1"/>
        <v/>
      </c>
      <c r="G247" s="21" t="str">
        <f>IF($B247="","",D247*VLOOKUP($B247,Articles!$A$5:$K$204,8,FALSE))</f>
        <v>0</v>
      </c>
      <c r="H247" s="21"/>
      <c r="I247" s="21" t="str">
        <f t="shared" si="2"/>
        <v/>
      </c>
      <c r="J247" s="21"/>
    </row>
    <row r="248" ht="15.75" customHeight="1">
      <c r="A248" s="21" t="str">
        <f>'Paramètres'!D12</f>
        <v/>
      </c>
      <c r="B248" s="21" t="str">
        <f>Articles!A8</f>
        <v>12345</v>
      </c>
      <c r="C248" s="21" t="str">
        <f>Articles!B8</f>
        <v>Quentin</v>
      </c>
      <c r="D248" s="21" t="str">
        <f>IF(OR($A248="",$B248=""),"",SUMIFS(Mouvements!$G:$G,Mouvements!$E:$E,$A248,Mouvements!$B:$B,$B248,Mouvements!$F:$F,"Départ"))</f>
        <v/>
      </c>
      <c r="E248" s="21" t="str">
        <f>IF(OR($A248="",$B248=""),"",SUMIFS(Mouvements!$G:$G,Mouvements!$E:$E,$A248,Mouvements!$B:$B,$B248,Mouvements!$F:$F,"Retour"))</f>
        <v/>
      </c>
      <c r="F248" s="21" t="str">
        <f t="shared" si="1"/>
        <v/>
      </c>
      <c r="G248" s="21" t="str">
        <f>IF($B248="","",D248*VLOOKUP($B248,Articles!$A$5:$K$204,8,FALSE))</f>
        <v>0</v>
      </c>
      <c r="H248" s="21"/>
      <c r="I248" s="21" t="str">
        <f t="shared" si="2"/>
        <v/>
      </c>
      <c r="J248" s="21"/>
    </row>
    <row r="249" ht="15.75" customHeight="1">
      <c r="A249" s="21" t="str">
        <f>'Paramètres'!D12</f>
        <v/>
      </c>
      <c r="B249" s="21" t="str">
        <f>Articles!A9</f>
        <v>4969272</v>
      </c>
      <c r="C249" s="21" t="str">
        <f>Articles!B9</f>
        <v>teben </v>
      </c>
      <c r="D249" s="21" t="str">
        <f>IF(OR($A249="",$B249=""),"",SUMIFS(Mouvements!$G:$G,Mouvements!$E:$E,$A249,Mouvements!$B:$B,$B249,Mouvements!$F:$F,"Départ"))</f>
        <v/>
      </c>
      <c r="E249" s="21" t="str">
        <f>IF(OR($A249="",$B249=""),"",SUMIFS(Mouvements!$G:$G,Mouvements!$E:$E,$A249,Mouvements!$B:$B,$B249,Mouvements!$F:$F,"Retour"))</f>
        <v/>
      </c>
      <c r="F249" s="21" t="str">
        <f t="shared" si="1"/>
        <v/>
      </c>
      <c r="G249" s="21" t="str">
        <f>IF($B249="","",D249*VLOOKUP($B249,Articles!$A$5:$K$204,8,FALSE))</f>
        <v>0</v>
      </c>
      <c r="H249" s="21"/>
      <c r="I249" s="21" t="str">
        <f t="shared" si="2"/>
        <v/>
      </c>
      <c r="J249" s="21"/>
    </row>
    <row r="250" ht="15.75" customHeight="1">
      <c r="A250" s="21" t="str">
        <f>'Paramètres'!D12</f>
        <v/>
      </c>
      <c r="B250" s="21" t="str">
        <f>Articles!A10</f>
        <v/>
      </c>
      <c r="C250" s="21" t="str">
        <f>Articles!B10</f>
        <v/>
      </c>
      <c r="D250" s="21" t="str">
        <f>IF(OR($A250="",$B250=""),"",SUMIFS(Mouvements!$G:$G,Mouvements!$E:$E,$A250,Mouvements!$B:$B,$B250,Mouvements!$F:$F,"Départ"))</f>
        <v/>
      </c>
      <c r="E250" s="21" t="str">
        <f>IF(OR($A250="",$B250=""),"",SUMIFS(Mouvements!$G:$G,Mouvements!$E:$E,$A250,Mouvements!$B:$B,$B250,Mouvements!$F:$F,"Retour"))</f>
        <v/>
      </c>
      <c r="F250" s="21" t="str">
        <f t="shared" si="1"/>
        <v/>
      </c>
      <c r="G250" s="21" t="str">
        <f>IF($B250="","",D250*VLOOKUP($B250,Articles!$A$5:$K$204,8,FALSE))</f>
        <v/>
      </c>
      <c r="H250" s="21"/>
      <c r="I250" s="21" t="str">
        <f t="shared" si="2"/>
        <v/>
      </c>
      <c r="J250" s="21"/>
    </row>
    <row r="251" ht="15.75" customHeight="1">
      <c r="A251" s="21" t="str">
        <f>'Paramètres'!D12</f>
        <v/>
      </c>
      <c r="B251" s="21" t="str">
        <f>Articles!A11</f>
        <v/>
      </c>
      <c r="C251" s="21" t="str">
        <f>Articles!B11</f>
        <v/>
      </c>
      <c r="D251" s="21" t="str">
        <f>IF(OR($A251="",$B251=""),"",SUMIFS(Mouvements!$G:$G,Mouvements!$E:$E,$A251,Mouvements!$B:$B,$B251,Mouvements!$F:$F,"Départ"))</f>
        <v/>
      </c>
      <c r="E251" s="21" t="str">
        <f>IF(OR($A251="",$B251=""),"",SUMIFS(Mouvements!$G:$G,Mouvements!$E:$E,$A251,Mouvements!$B:$B,$B251,Mouvements!$F:$F,"Retour"))</f>
        <v/>
      </c>
      <c r="F251" s="21" t="str">
        <f t="shared" si="1"/>
        <v/>
      </c>
      <c r="G251" s="21" t="str">
        <f>IF($B251="","",D251*VLOOKUP($B251,Articles!$A$5:$K$204,8,FALSE))</f>
        <v/>
      </c>
      <c r="H251" s="21"/>
      <c r="I251" s="21" t="str">
        <f t="shared" si="2"/>
        <v/>
      </c>
      <c r="J251" s="21"/>
    </row>
    <row r="252" ht="15.75" customHeight="1">
      <c r="A252" s="21" t="str">
        <f>'Paramètres'!D12</f>
        <v/>
      </c>
      <c r="B252" s="21" t="str">
        <f>Articles!A12</f>
        <v/>
      </c>
      <c r="C252" s="21" t="str">
        <f>Articles!B12</f>
        <v/>
      </c>
      <c r="D252" s="21" t="str">
        <f>IF(OR($A252="",$B252=""),"",SUMIFS(Mouvements!$G:$G,Mouvements!$E:$E,$A252,Mouvements!$B:$B,$B252,Mouvements!$F:$F,"Départ"))</f>
        <v/>
      </c>
      <c r="E252" s="21" t="str">
        <f>IF(OR($A252="",$B252=""),"",SUMIFS(Mouvements!$G:$G,Mouvements!$E:$E,$A252,Mouvements!$B:$B,$B252,Mouvements!$F:$F,"Retour"))</f>
        <v/>
      </c>
      <c r="F252" s="21" t="str">
        <f t="shared" si="1"/>
        <v/>
      </c>
      <c r="G252" s="21" t="str">
        <f>IF($B252="","",D252*VLOOKUP($B252,Articles!$A$5:$K$204,8,FALSE))</f>
        <v/>
      </c>
      <c r="H252" s="21"/>
      <c r="I252" s="21" t="str">
        <f t="shared" si="2"/>
        <v/>
      </c>
      <c r="J252" s="21"/>
    </row>
    <row r="253" ht="15.75" customHeight="1">
      <c r="A253" s="21" t="str">
        <f>'Paramètres'!D12</f>
        <v/>
      </c>
      <c r="B253" s="21" t="str">
        <f>Articles!A13</f>
        <v/>
      </c>
      <c r="C253" s="21" t="str">
        <f>Articles!B13</f>
        <v/>
      </c>
      <c r="D253" s="21" t="str">
        <f>IF(OR($A253="",$B253=""),"",SUMIFS(Mouvements!$G:$G,Mouvements!$E:$E,$A253,Mouvements!$B:$B,$B253,Mouvements!$F:$F,"Départ"))</f>
        <v/>
      </c>
      <c r="E253" s="21" t="str">
        <f>IF(OR($A253="",$B253=""),"",SUMIFS(Mouvements!$G:$G,Mouvements!$E:$E,$A253,Mouvements!$B:$B,$B253,Mouvements!$F:$F,"Retour"))</f>
        <v/>
      </c>
      <c r="F253" s="21" t="str">
        <f t="shared" si="1"/>
        <v/>
      </c>
      <c r="G253" s="21" t="str">
        <f>IF($B253="","",D253*VLOOKUP($B253,Articles!$A$5:$K$204,8,FALSE))</f>
        <v/>
      </c>
      <c r="H253" s="21"/>
      <c r="I253" s="21" t="str">
        <f t="shared" si="2"/>
        <v/>
      </c>
      <c r="J253" s="21"/>
    </row>
    <row r="254" ht="15.75" customHeight="1">
      <c r="A254" s="21" t="str">
        <f>'Paramètres'!D12</f>
        <v/>
      </c>
      <c r="B254" s="21" t="str">
        <f>Articles!A14</f>
        <v/>
      </c>
      <c r="C254" s="21" t="str">
        <f>Articles!B14</f>
        <v/>
      </c>
      <c r="D254" s="21" t="str">
        <f>IF(OR($A254="",$B254=""),"",SUMIFS(Mouvements!$G:$G,Mouvements!$E:$E,$A254,Mouvements!$B:$B,$B254,Mouvements!$F:$F,"Départ"))</f>
        <v/>
      </c>
      <c r="E254" s="21" t="str">
        <f>IF(OR($A254="",$B254=""),"",SUMIFS(Mouvements!$G:$G,Mouvements!$E:$E,$A254,Mouvements!$B:$B,$B254,Mouvements!$F:$F,"Retour"))</f>
        <v/>
      </c>
      <c r="F254" s="21" t="str">
        <f t="shared" si="1"/>
        <v/>
      </c>
      <c r="G254" s="21" t="str">
        <f>IF($B254="","",D254*VLOOKUP($B254,Articles!$A$5:$K$204,8,FALSE))</f>
        <v/>
      </c>
      <c r="H254" s="21"/>
      <c r="I254" s="21" t="str">
        <f t="shared" si="2"/>
        <v/>
      </c>
      <c r="J254" s="21"/>
    </row>
    <row r="255" ht="15.75" customHeight="1">
      <c r="A255" s="21" t="str">
        <f>'Paramètres'!D12</f>
        <v/>
      </c>
      <c r="B255" s="21" t="str">
        <f>Articles!A15</f>
        <v/>
      </c>
      <c r="C255" s="21" t="str">
        <f>Articles!B15</f>
        <v/>
      </c>
      <c r="D255" s="21" t="str">
        <f>IF(OR($A255="",$B255=""),"",SUMIFS(Mouvements!$G:$G,Mouvements!$E:$E,$A255,Mouvements!$B:$B,$B255,Mouvements!$F:$F,"Départ"))</f>
        <v/>
      </c>
      <c r="E255" s="21" t="str">
        <f>IF(OR($A255="",$B255=""),"",SUMIFS(Mouvements!$G:$G,Mouvements!$E:$E,$A255,Mouvements!$B:$B,$B255,Mouvements!$F:$F,"Retour"))</f>
        <v/>
      </c>
      <c r="F255" s="21" t="str">
        <f t="shared" si="1"/>
        <v/>
      </c>
      <c r="G255" s="21" t="str">
        <f>IF($B255="","",D255*VLOOKUP($B255,Articles!$A$5:$K$204,8,FALSE))</f>
        <v/>
      </c>
      <c r="H255" s="21"/>
      <c r="I255" s="21" t="str">
        <f t="shared" si="2"/>
        <v/>
      </c>
      <c r="J255" s="21"/>
    </row>
    <row r="256" ht="15.75" customHeight="1">
      <c r="A256" s="21" t="str">
        <f>'Paramètres'!D12</f>
        <v/>
      </c>
      <c r="B256" s="21" t="str">
        <f>Articles!A16</f>
        <v/>
      </c>
      <c r="C256" s="21" t="str">
        <f>Articles!B16</f>
        <v/>
      </c>
      <c r="D256" s="21" t="str">
        <f>IF(OR($A256="",$B256=""),"",SUMIFS(Mouvements!$G:$G,Mouvements!$E:$E,$A256,Mouvements!$B:$B,$B256,Mouvements!$F:$F,"Départ"))</f>
        <v/>
      </c>
      <c r="E256" s="21" t="str">
        <f>IF(OR($A256="",$B256=""),"",SUMIFS(Mouvements!$G:$G,Mouvements!$E:$E,$A256,Mouvements!$B:$B,$B256,Mouvements!$F:$F,"Retour"))</f>
        <v/>
      </c>
      <c r="F256" s="21" t="str">
        <f t="shared" si="1"/>
        <v/>
      </c>
      <c r="G256" s="21" t="str">
        <f>IF($B256="","",D256*VLOOKUP($B256,Articles!$A$5:$K$204,8,FALSE))</f>
        <v/>
      </c>
      <c r="H256" s="21"/>
      <c r="I256" s="21" t="str">
        <f t="shared" si="2"/>
        <v/>
      </c>
      <c r="J256" s="21"/>
    </row>
    <row r="257" ht="15.75" customHeight="1">
      <c r="A257" s="21" t="str">
        <f>'Paramètres'!D12</f>
        <v/>
      </c>
      <c r="B257" s="21" t="str">
        <f>Articles!A17</f>
        <v/>
      </c>
      <c r="C257" s="21" t="str">
        <f>Articles!B17</f>
        <v/>
      </c>
      <c r="D257" s="21" t="str">
        <f>IF(OR($A257="",$B257=""),"",SUMIFS(Mouvements!$G:$G,Mouvements!$E:$E,$A257,Mouvements!$B:$B,$B257,Mouvements!$F:$F,"Départ"))</f>
        <v/>
      </c>
      <c r="E257" s="21" t="str">
        <f>IF(OR($A257="",$B257=""),"",SUMIFS(Mouvements!$G:$G,Mouvements!$E:$E,$A257,Mouvements!$B:$B,$B257,Mouvements!$F:$F,"Retour"))</f>
        <v/>
      </c>
      <c r="F257" s="21" t="str">
        <f t="shared" si="1"/>
        <v/>
      </c>
      <c r="G257" s="21" t="str">
        <f>IF($B257="","",D257*VLOOKUP($B257,Articles!$A$5:$K$204,8,FALSE))</f>
        <v/>
      </c>
      <c r="H257" s="21"/>
      <c r="I257" s="21" t="str">
        <f t="shared" si="2"/>
        <v/>
      </c>
      <c r="J257" s="21"/>
    </row>
    <row r="258" ht="15.75" customHeight="1">
      <c r="A258" s="21" t="str">
        <f>'Paramètres'!D12</f>
        <v/>
      </c>
      <c r="B258" s="21" t="str">
        <f>Articles!A18</f>
        <v/>
      </c>
      <c r="C258" s="21" t="str">
        <f>Articles!B18</f>
        <v/>
      </c>
      <c r="D258" s="21" t="str">
        <f>IF(OR($A258="",$B258=""),"",SUMIFS(Mouvements!$G:$G,Mouvements!$E:$E,$A258,Mouvements!$B:$B,$B258,Mouvements!$F:$F,"Départ"))</f>
        <v/>
      </c>
      <c r="E258" s="21" t="str">
        <f>IF(OR($A258="",$B258=""),"",SUMIFS(Mouvements!$G:$G,Mouvements!$E:$E,$A258,Mouvements!$B:$B,$B258,Mouvements!$F:$F,"Retour"))</f>
        <v/>
      </c>
      <c r="F258" s="21" t="str">
        <f t="shared" si="1"/>
        <v/>
      </c>
      <c r="G258" s="21" t="str">
        <f>IF($B258="","",D258*VLOOKUP($B258,Articles!$A$5:$K$204,8,FALSE))</f>
        <v/>
      </c>
      <c r="H258" s="21"/>
      <c r="I258" s="21" t="str">
        <f t="shared" si="2"/>
        <v/>
      </c>
      <c r="J258" s="21"/>
    </row>
    <row r="259" ht="15.75" customHeight="1">
      <c r="A259" s="21" t="str">
        <f>'Paramètres'!D12</f>
        <v/>
      </c>
      <c r="B259" s="21" t="str">
        <f>Articles!A19</f>
        <v/>
      </c>
      <c r="C259" s="21" t="str">
        <f>Articles!B19</f>
        <v/>
      </c>
      <c r="D259" s="21" t="str">
        <f>IF(OR($A259="",$B259=""),"",SUMIFS(Mouvements!$G:$G,Mouvements!$E:$E,$A259,Mouvements!$B:$B,$B259,Mouvements!$F:$F,"Départ"))</f>
        <v/>
      </c>
      <c r="E259" s="21" t="str">
        <f>IF(OR($A259="",$B259=""),"",SUMIFS(Mouvements!$G:$G,Mouvements!$E:$E,$A259,Mouvements!$B:$B,$B259,Mouvements!$F:$F,"Retour"))</f>
        <v/>
      </c>
      <c r="F259" s="21" t="str">
        <f t="shared" si="1"/>
        <v/>
      </c>
      <c r="G259" s="21" t="str">
        <f>IF($B259="","",D259*VLOOKUP($B259,Articles!$A$5:$K$204,8,FALSE))</f>
        <v/>
      </c>
      <c r="H259" s="21"/>
      <c r="I259" s="21" t="str">
        <f t="shared" si="2"/>
        <v/>
      </c>
      <c r="J259" s="21"/>
    </row>
    <row r="260" ht="15.75" customHeight="1">
      <c r="A260" s="21" t="str">
        <f>'Paramètres'!D12</f>
        <v/>
      </c>
      <c r="B260" s="21" t="str">
        <f>Articles!A20</f>
        <v/>
      </c>
      <c r="C260" s="21" t="str">
        <f>Articles!B20</f>
        <v/>
      </c>
      <c r="D260" s="21" t="str">
        <f>IF(OR($A260="",$B260=""),"",SUMIFS(Mouvements!$G:$G,Mouvements!$E:$E,$A260,Mouvements!$B:$B,$B260,Mouvements!$F:$F,"Départ"))</f>
        <v/>
      </c>
      <c r="E260" s="21" t="str">
        <f>IF(OR($A260="",$B260=""),"",SUMIFS(Mouvements!$G:$G,Mouvements!$E:$E,$A260,Mouvements!$B:$B,$B260,Mouvements!$F:$F,"Retour"))</f>
        <v/>
      </c>
      <c r="F260" s="21" t="str">
        <f t="shared" si="1"/>
        <v/>
      </c>
      <c r="G260" s="21" t="str">
        <f>IF($B260="","",D260*VLOOKUP($B260,Articles!$A$5:$K$204,8,FALSE))</f>
        <v/>
      </c>
      <c r="H260" s="21"/>
      <c r="I260" s="21" t="str">
        <f t="shared" si="2"/>
        <v/>
      </c>
      <c r="J260" s="21"/>
    </row>
    <row r="261" ht="15.75" customHeight="1">
      <c r="A261" s="21" t="str">
        <f>'Paramètres'!D12</f>
        <v/>
      </c>
      <c r="B261" s="21" t="str">
        <f>Articles!A21</f>
        <v/>
      </c>
      <c r="C261" s="21" t="str">
        <f>Articles!B21</f>
        <v/>
      </c>
      <c r="D261" s="21" t="str">
        <f>IF(OR($A261="",$B261=""),"",SUMIFS(Mouvements!$G:$G,Mouvements!$E:$E,$A261,Mouvements!$B:$B,$B261,Mouvements!$F:$F,"Départ"))</f>
        <v/>
      </c>
      <c r="E261" s="21" t="str">
        <f>IF(OR($A261="",$B261=""),"",SUMIFS(Mouvements!$G:$G,Mouvements!$E:$E,$A261,Mouvements!$B:$B,$B261,Mouvements!$F:$F,"Retour"))</f>
        <v/>
      </c>
      <c r="F261" s="21" t="str">
        <f t="shared" si="1"/>
        <v/>
      </c>
      <c r="G261" s="21" t="str">
        <f>IF($B261="","",D261*VLOOKUP($B261,Articles!$A$5:$K$204,8,FALSE))</f>
        <v/>
      </c>
      <c r="H261" s="21"/>
      <c r="I261" s="21" t="str">
        <f t="shared" si="2"/>
        <v/>
      </c>
      <c r="J261" s="21"/>
    </row>
    <row r="262" ht="15.75" customHeight="1">
      <c r="A262" s="21" t="str">
        <f>'Paramètres'!D12</f>
        <v/>
      </c>
      <c r="B262" s="21" t="str">
        <f>Articles!A22</f>
        <v/>
      </c>
      <c r="C262" s="21" t="str">
        <f>Articles!B22</f>
        <v/>
      </c>
      <c r="D262" s="21" t="str">
        <f>IF(OR($A262="",$B262=""),"",SUMIFS(Mouvements!$G:$G,Mouvements!$E:$E,$A262,Mouvements!$B:$B,$B262,Mouvements!$F:$F,"Départ"))</f>
        <v/>
      </c>
      <c r="E262" s="21" t="str">
        <f>IF(OR($A262="",$B262=""),"",SUMIFS(Mouvements!$G:$G,Mouvements!$E:$E,$A262,Mouvements!$B:$B,$B262,Mouvements!$F:$F,"Retour"))</f>
        <v/>
      </c>
      <c r="F262" s="21" t="str">
        <f t="shared" si="1"/>
        <v/>
      </c>
      <c r="G262" s="21" t="str">
        <f>IF($B262="","",D262*VLOOKUP($B262,Articles!$A$5:$K$204,8,FALSE))</f>
        <v/>
      </c>
      <c r="H262" s="21"/>
      <c r="I262" s="21" t="str">
        <f t="shared" si="2"/>
        <v/>
      </c>
      <c r="J262" s="21"/>
    </row>
    <row r="263" ht="15.75" customHeight="1">
      <c r="A263" s="21" t="str">
        <f>'Paramètres'!D12</f>
        <v/>
      </c>
      <c r="B263" s="21" t="str">
        <f>Articles!A23</f>
        <v/>
      </c>
      <c r="C263" s="21" t="str">
        <f>Articles!B23</f>
        <v/>
      </c>
      <c r="D263" s="21" t="str">
        <f>IF(OR($A263="",$B263=""),"",SUMIFS(Mouvements!$G:$G,Mouvements!$E:$E,$A263,Mouvements!$B:$B,$B263,Mouvements!$F:$F,"Départ"))</f>
        <v/>
      </c>
      <c r="E263" s="21" t="str">
        <f>IF(OR($A263="",$B263=""),"",SUMIFS(Mouvements!$G:$G,Mouvements!$E:$E,$A263,Mouvements!$B:$B,$B263,Mouvements!$F:$F,"Retour"))</f>
        <v/>
      </c>
      <c r="F263" s="21" t="str">
        <f t="shared" si="1"/>
        <v/>
      </c>
      <c r="G263" s="21" t="str">
        <f>IF($B263="","",D263*VLOOKUP($B263,Articles!$A$5:$K$204,8,FALSE))</f>
        <v/>
      </c>
      <c r="H263" s="21"/>
      <c r="I263" s="21" t="str">
        <f t="shared" si="2"/>
        <v/>
      </c>
      <c r="J263" s="21"/>
    </row>
    <row r="264" ht="15.75" customHeight="1">
      <c r="A264" s="21" t="str">
        <f>'Paramètres'!D12</f>
        <v/>
      </c>
      <c r="B264" s="21" t="str">
        <f>Articles!A24</f>
        <v/>
      </c>
      <c r="C264" s="21" t="str">
        <f>Articles!B24</f>
        <v/>
      </c>
      <c r="D264" s="21" t="str">
        <f>IF(OR($A264="",$B264=""),"",SUMIFS(Mouvements!$G:$G,Mouvements!$E:$E,$A264,Mouvements!$B:$B,$B264,Mouvements!$F:$F,"Départ"))</f>
        <v/>
      </c>
      <c r="E264" s="21" t="str">
        <f>IF(OR($A264="",$B264=""),"",SUMIFS(Mouvements!$G:$G,Mouvements!$E:$E,$A264,Mouvements!$B:$B,$B264,Mouvements!$F:$F,"Retour"))</f>
        <v/>
      </c>
      <c r="F264" s="21" t="str">
        <f t="shared" si="1"/>
        <v/>
      </c>
      <c r="G264" s="21" t="str">
        <f>IF($B264="","",D264*VLOOKUP($B264,Articles!$A$5:$K$204,8,FALSE))</f>
        <v/>
      </c>
      <c r="H264" s="21"/>
      <c r="I264" s="21" t="str">
        <f t="shared" si="2"/>
        <v/>
      </c>
      <c r="J264" s="21"/>
    </row>
    <row r="265" ht="15.75" customHeight="1">
      <c r="A265" s="21" t="str">
        <f>'Paramètres'!D12</f>
        <v/>
      </c>
      <c r="B265" s="21" t="str">
        <f>Articles!A25</f>
        <v/>
      </c>
      <c r="C265" s="21" t="str">
        <f>Articles!B25</f>
        <v/>
      </c>
      <c r="D265" s="21" t="str">
        <f>IF(OR($A265="",$B265=""),"",SUMIFS(Mouvements!$G:$G,Mouvements!$E:$E,$A265,Mouvements!$B:$B,$B265,Mouvements!$F:$F,"Départ"))</f>
        <v/>
      </c>
      <c r="E265" s="21" t="str">
        <f>IF(OR($A265="",$B265=""),"",SUMIFS(Mouvements!$G:$G,Mouvements!$E:$E,$A265,Mouvements!$B:$B,$B265,Mouvements!$F:$F,"Retour"))</f>
        <v/>
      </c>
      <c r="F265" s="21" t="str">
        <f t="shared" si="1"/>
        <v/>
      </c>
      <c r="G265" s="21" t="str">
        <f>IF($B265="","",D265*VLOOKUP($B265,Articles!$A$5:$K$204,8,FALSE))</f>
        <v/>
      </c>
      <c r="H265" s="21"/>
      <c r="I265" s="21" t="str">
        <f t="shared" si="2"/>
        <v/>
      </c>
      <c r="J265" s="21"/>
    </row>
    <row r="266" ht="15.75" customHeight="1">
      <c r="A266" s="21" t="str">
        <f>'Paramètres'!D12</f>
        <v/>
      </c>
      <c r="B266" s="21" t="str">
        <f>Articles!A26</f>
        <v/>
      </c>
      <c r="C266" s="21" t="str">
        <f>Articles!B26</f>
        <v/>
      </c>
      <c r="D266" s="21" t="str">
        <f>IF(OR($A266="",$B266=""),"",SUMIFS(Mouvements!$G:$G,Mouvements!$E:$E,$A266,Mouvements!$B:$B,$B266,Mouvements!$F:$F,"Départ"))</f>
        <v/>
      </c>
      <c r="E266" s="21" t="str">
        <f>IF(OR($A266="",$B266=""),"",SUMIFS(Mouvements!$G:$G,Mouvements!$E:$E,$A266,Mouvements!$B:$B,$B266,Mouvements!$F:$F,"Retour"))</f>
        <v/>
      </c>
      <c r="F266" s="21" t="str">
        <f t="shared" si="1"/>
        <v/>
      </c>
      <c r="G266" s="21" t="str">
        <f>IF($B266="","",D266*VLOOKUP($B266,Articles!$A$5:$K$204,8,FALSE))</f>
        <v/>
      </c>
      <c r="H266" s="21"/>
      <c r="I266" s="21" t="str">
        <f t="shared" si="2"/>
        <v/>
      </c>
      <c r="J266" s="21"/>
    </row>
    <row r="267" ht="15.75" customHeight="1">
      <c r="A267" s="21" t="str">
        <f>'Paramètres'!D12</f>
        <v/>
      </c>
      <c r="B267" s="21" t="str">
        <f>Articles!A27</f>
        <v/>
      </c>
      <c r="C267" s="21" t="str">
        <f>Articles!B27</f>
        <v/>
      </c>
      <c r="D267" s="21" t="str">
        <f>IF(OR($A267="",$B267=""),"",SUMIFS(Mouvements!$G:$G,Mouvements!$E:$E,$A267,Mouvements!$B:$B,$B267,Mouvements!$F:$F,"Départ"))</f>
        <v/>
      </c>
      <c r="E267" s="21" t="str">
        <f>IF(OR($A267="",$B267=""),"",SUMIFS(Mouvements!$G:$G,Mouvements!$E:$E,$A267,Mouvements!$B:$B,$B267,Mouvements!$F:$F,"Retour"))</f>
        <v/>
      </c>
      <c r="F267" s="21" t="str">
        <f t="shared" si="1"/>
        <v/>
      </c>
      <c r="G267" s="21" t="str">
        <f>IF($B267="","",D267*VLOOKUP($B267,Articles!$A$5:$K$204,8,FALSE))</f>
        <v/>
      </c>
      <c r="H267" s="21"/>
      <c r="I267" s="21" t="str">
        <f t="shared" si="2"/>
        <v/>
      </c>
      <c r="J267" s="21"/>
    </row>
    <row r="268" ht="15.75" customHeight="1">
      <c r="A268" s="21" t="str">
        <f>'Paramètres'!D12</f>
        <v/>
      </c>
      <c r="B268" s="21" t="str">
        <f>Articles!A28</f>
        <v/>
      </c>
      <c r="C268" s="21" t="str">
        <f>Articles!B28</f>
        <v/>
      </c>
      <c r="D268" s="21" t="str">
        <f>IF(OR($A268="",$B268=""),"",SUMIFS(Mouvements!$G:$G,Mouvements!$E:$E,$A268,Mouvements!$B:$B,$B268,Mouvements!$F:$F,"Départ"))</f>
        <v/>
      </c>
      <c r="E268" s="21" t="str">
        <f>IF(OR($A268="",$B268=""),"",SUMIFS(Mouvements!$G:$G,Mouvements!$E:$E,$A268,Mouvements!$B:$B,$B268,Mouvements!$F:$F,"Retour"))</f>
        <v/>
      </c>
      <c r="F268" s="21" t="str">
        <f t="shared" si="1"/>
        <v/>
      </c>
      <c r="G268" s="21" t="str">
        <f>IF($B268="","",D268*VLOOKUP($B268,Articles!$A$5:$K$204,8,FALSE))</f>
        <v/>
      </c>
      <c r="H268" s="21"/>
      <c r="I268" s="21" t="str">
        <f t="shared" si="2"/>
        <v/>
      </c>
      <c r="J268" s="21"/>
    </row>
    <row r="269" ht="15.75" customHeight="1">
      <c r="A269" s="21" t="str">
        <f>'Paramètres'!D12</f>
        <v/>
      </c>
      <c r="B269" s="21" t="str">
        <f>Articles!A29</f>
        <v/>
      </c>
      <c r="C269" s="21" t="str">
        <f>Articles!B29</f>
        <v/>
      </c>
      <c r="D269" s="21" t="str">
        <f>IF(OR($A269="",$B269=""),"",SUMIFS(Mouvements!$G:$G,Mouvements!$E:$E,$A269,Mouvements!$B:$B,$B269,Mouvements!$F:$F,"Départ"))</f>
        <v/>
      </c>
      <c r="E269" s="21" t="str">
        <f>IF(OR($A269="",$B269=""),"",SUMIFS(Mouvements!$G:$G,Mouvements!$E:$E,$A269,Mouvements!$B:$B,$B269,Mouvements!$F:$F,"Retour"))</f>
        <v/>
      </c>
      <c r="F269" s="21" t="str">
        <f t="shared" si="1"/>
        <v/>
      </c>
      <c r="G269" s="21" t="str">
        <f>IF($B269="","",D269*VLOOKUP($B269,Articles!$A$5:$K$204,8,FALSE))</f>
        <v/>
      </c>
      <c r="H269" s="21"/>
      <c r="I269" s="21" t="str">
        <f t="shared" si="2"/>
        <v/>
      </c>
      <c r="J269" s="21"/>
    </row>
    <row r="270" ht="15.75" customHeight="1">
      <c r="A270" s="21" t="str">
        <f>'Paramètres'!D12</f>
        <v/>
      </c>
      <c r="B270" s="21" t="str">
        <f>Articles!A30</f>
        <v/>
      </c>
      <c r="C270" s="21" t="str">
        <f>Articles!B30</f>
        <v/>
      </c>
      <c r="D270" s="21" t="str">
        <f>IF(OR($A270="",$B270=""),"",SUMIFS(Mouvements!$G:$G,Mouvements!$E:$E,$A270,Mouvements!$B:$B,$B270,Mouvements!$F:$F,"Départ"))</f>
        <v/>
      </c>
      <c r="E270" s="21" t="str">
        <f>IF(OR($A270="",$B270=""),"",SUMIFS(Mouvements!$G:$G,Mouvements!$E:$E,$A270,Mouvements!$B:$B,$B270,Mouvements!$F:$F,"Retour"))</f>
        <v/>
      </c>
      <c r="F270" s="21" t="str">
        <f t="shared" si="1"/>
        <v/>
      </c>
      <c r="G270" s="21" t="str">
        <f>IF($B270="","",D270*VLOOKUP($B270,Articles!$A$5:$K$204,8,FALSE))</f>
        <v/>
      </c>
      <c r="H270" s="21"/>
      <c r="I270" s="21" t="str">
        <f t="shared" si="2"/>
        <v/>
      </c>
      <c r="J270" s="21"/>
    </row>
    <row r="271" ht="15.75" customHeight="1">
      <c r="A271" s="21" t="str">
        <f>'Paramètres'!D12</f>
        <v/>
      </c>
      <c r="B271" s="21" t="str">
        <f>Articles!A31</f>
        <v/>
      </c>
      <c r="C271" s="21" t="str">
        <f>Articles!B31</f>
        <v/>
      </c>
      <c r="D271" s="21" t="str">
        <f>IF(OR($A271="",$B271=""),"",SUMIFS(Mouvements!$G:$G,Mouvements!$E:$E,$A271,Mouvements!$B:$B,$B271,Mouvements!$F:$F,"Départ"))</f>
        <v/>
      </c>
      <c r="E271" s="21" t="str">
        <f>IF(OR($A271="",$B271=""),"",SUMIFS(Mouvements!$G:$G,Mouvements!$E:$E,$A271,Mouvements!$B:$B,$B271,Mouvements!$F:$F,"Retour"))</f>
        <v/>
      </c>
      <c r="F271" s="21" t="str">
        <f t="shared" si="1"/>
        <v/>
      </c>
      <c r="G271" s="21" t="str">
        <f>IF($B271="","",D271*VLOOKUP($B271,Articles!$A$5:$K$204,8,FALSE))</f>
        <v/>
      </c>
      <c r="H271" s="21"/>
      <c r="I271" s="21" t="str">
        <f t="shared" si="2"/>
        <v/>
      </c>
      <c r="J271" s="21"/>
    </row>
    <row r="272" ht="15.75" customHeight="1">
      <c r="A272" s="21" t="str">
        <f>'Paramètres'!D12</f>
        <v/>
      </c>
      <c r="B272" s="21" t="str">
        <f>Articles!A32</f>
        <v/>
      </c>
      <c r="C272" s="21" t="str">
        <f>Articles!B32</f>
        <v/>
      </c>
      <c r="D272" s="21" t="str">
        <f>IF(OR($A272="",$B272=""),"",SUMIFS(Mouvements!$G:$G,Mouvements!$E:$E,$A272,Mouvements!$B:$B,$B272,Mouvements!$F:$F,"Départ"))</f>
        <v/>
      </c>
      <c r="E272" s="21" t="str">
        <f>IF(OR($A272="",$B272=""),"",SUMIFS(Mouvements!$G:$G,Mouvements!$E:$E,$A272,Mouvements!$B:$B,$B272,Mouvements!$F:$F,"Retour"))</f>
        <v/>
      </c>
      <c r="F272" s="21" t="str">
        <f t="shared" si="1"/>
        <v/>
      </c>
      <c r="G272" s="21" t="str">
        <f>IF($B272="","",D272*VLOOKUP($B272,Articles!$A$5:$K$204,8,FALSE))</f>
        <v/>
      </c>
      <c r="H272" s="21"/>
      <c r="I272" s="21" t="str">
        <f t="shared" si="2"/>
        <v/>
      </c>
      <c r="J272" s="21"/>
    </row>
    <row r="273" ht="15.75" customHeight="1">
      <c r="A273" s="21" t="str">
        <f>'Paramètres'!D12</f>
        <v/>
      </c>
      <c r="B273" s="21" t="str">
        <f>Articles!A33</f>
        <v/>
      </c>
      <c r="C273" s="21" t="str">
        <f>Articles!B33</f>
        <v/>
      </c>
      <c r="D273" s="21" t="str">
        <f>IF(OR($A273="",$B273=""),"",SUMIFS(Mouvements!$G:$G,Mouvements!$E:$E,$A273,Mouvements!$B:$B,$B273,Mouvements!$F:$F,"Départ"))</f>
        <v/>
      </c>
      <c r="E273" s="21" t="str">
        <f>IF(OR($A273="",$B273=""),"",SUMIFS(Mouvements!$G:$G,Mouvements!$E:$E,$A273,Mouvements!$B:$B,$B273,Mouvements!$F:$F,"Retour"))</f>
        <v/>
      </c>
      <c r="F273" s="21" t="str">
        <f t="shared" si="1"/>
        <v/>
      </c>
      <c r="G273" s="21" t="str">
        <f>IF($B273="","",D273*VLOOKUP($B273,Articles!$A$5:$K$204,8,FALSE))</f>
        <v/>
      </c>
      <c r="H273" s="21"/>
      <c r="I273" s="21" t="str">
        <f t="shared" si="2"/>
        <v/>
      </c>
      <c r="J273" s="21"/>
    </row>
    <row r="274" ht="15.75" customHeight="1">
      <c r="A274" s="21" t="str">
        <f>'Paramètres'!D12</f>
        <v/>
      </c>
      <c r="B274" s="21" t="str">
        <f>Articles!A34</f>
        <v/>
      </c>
      <c r="C274" s="21" t="str">
        <f>Articles!B34</f>
        <v/>
      </c>
      <c r="D274" s="21" t="str">
        <f>IF(OR($A274="",$B274=""),"",SUMIFS(Mouvements!$G:$G,Mouvements!$E:$E,$A274,Mouvements!$B:$B,$B274,Mouvements!$F:$F,"Départ"))</f>
        <v/>
      </c>
      <c r="E274" s="21" t="str">
        <f>IF(OR($A274="",$B274=""),"",SUMIFS(Mouvements!$G:$G,Mouvements!$E:$E,$A274,Mouvements!$B:$B,$B274,Mouvements!$F:$F,"Retour"))</f>
        <v/>
      </c>
      <c r="F274" s="21" t="str">
        <f t="shared" si="1"/>
        <v/>
      </c>
      <c r="G274" s="21" t="str">
        <f>IF($B274="","",D274*VLOOKUP($B274,Articles!$A$5:$K$204,8,FALSE))</f>
        <v/>
      </c>
      <c r="H274" s="21"/>
      <c r="I274" s="21" t="str">
        <f t="shared" si="2"/>
        <v/>
      </c>
      <c r="J274" s="21"/>
    </row>
    <row r="275" ht="15.75" customHeight="1">
      <c r="A275" s="21" t="str">
        <f>'Paramètres'!D13</f>
        <v/>
      </c>
      <c r="B275" s="21" t="str">
        <f>Articles!A5</f>
        <v>VIS-6X60</v>
      </c>
      <c r="C275" s="21" t="str">
        <f>Articles!B5</f>
        <v>Vis béton 6x60</v>
      </c>
      <c r="D275" s="21" t="str">
        <f>IF(OR($A275="",$B275=""),"",SUMIFS(Mouvements!$G:$G,Mouvements!$E:$E,$A275,Mouvements!$B:$B,$B275,Mouvements!$F:$F,"Départ"))</f>
        <v/>
      </c>
      <c r="E275" s="21" t="str">
        <f>IF(OR($A275="",$B275=""),"",SUMIFS(Mouvements!$G:$G,Mouvements!$E:$E,$A275,Mouvements!$B:$B,$B275,Mouvements!$F:$F,"Retour"))</f>
        <v/>
      </c>
      <c r="F275" s="21" t="str">
        <f t="shared" si="1"/>
        <v/>
      </c>
      <c r="G275" s="21" t="str">
        <f>IF($B275="","",D275*VLOOKUP($B275,Articles!$A$5:$K$204,8,FALSE))</f>
        <v>0</v>
      </c>
      <c r="H275" s="21"/>
      <c r="I275" s="21" t="str">
        <f t="shared" si="2"/>
        <v/>
      </c>
      <c r="J275" s="21"/>
    </row>
    <row r="276" ht="15.75" customHeight="1">
      <c r="A276" s="21" t="str">
        <f>'Paramètres'!D13</f>
        <v/>
      </c>
      <c r="B276" s="21" t="str">
        <f>Articles!A6</f>
        <v>PERF-001</v>
      </c>
      <c r="C276" s="21" t="str">
        <f>Articles!B6</f>
        <v>Perforateur SDS</v>
      </c>
      <c r="D276" s="21" t="str">
        <f>IF(OR($A276="",$B276=""),"",SUMIFS(Mouvements!$G:$G,Mouvements!$E:$E,$A276,Mouvements!$B:$B,$B276,Mouvements!$F:$F,"Départ"))</f>
        <v/>
      </c>
      <c r="E276" s="21" t="str">
        <f>IF(OR($A276="",$B276=""),"",SUMIFS(Mouvements!$G:$G,Mouvements!$E:$E,$A276,Mouvements!$B:$B,$B276,Mouvements!$F:$F,"Retour"))</f>
        <v/>
      </c>
      <c r="F276" s="21" t="str">
        <f t="shared" si="1"/>
        <v/>
      </c>
      <c r="G276" s="21" t="str">
        <f>IF($B276="","",D276*VLOOKUP($B276,Articles!$A$5:$K$204,8,FALSE))</f>
        <v>0</v>
      </c>
      <c r="H276" s="21"/>
      <c r="I276" s="21" t="str">
        <f t="shared" si="2"/>
        <v/>
      </c>
      <c r="J276" s="21"/>
    </row>
    <row r="277" ht="15.75" customHeight="1">
      <c r="A277" s="21" t="str">
        <f>'Paramètres'!D13</f>
        <v/>
      </c>
      <c r="B277" s="21" t="str">
        <f>Articles!A7</f>
        <v>GANT-L</v>
      </c>
      <c r="C277" s="21" t="str">
        <f>Articles!B7</f>
        <v>Gants taille L</v>
      </c>
      <c r="D277" s="21" t="str">
        <f>IF(OR($A277="",$B277=""),"",SUMIFS(Mouvements!$G:$G,Mouvements!$E:$E,$A277,Mouvements!$B:$B,$B277,Mouvements!$F:$F,"Départ"))</f>
        <v/>
      </c>
      <c r="E277" s="21" t="str">
        <f>IF(OR($A277="",$B277=""),"",SUMIFS(Mouvements!$G:$G,Mouvements!$E:$E,$A277,Mouvements!$B:$B,$B277,Mouvements!$F:$F,"Retour"))</f>
        <v/>
      </c>
      <c r="F277" s="21" t="str">
        <f t="shared" si="1"/>
        <v/>
      </c>
      <c r="G277" s="21" t="str">
        <f>IF($B277="","",D277*VLOOKUP($B277,Articles!$A$5:$K$204,8,FALSE))</f>
        <v>0</v>
      </c>
      <c r="H277" s="21"/>
      <c r="I277" s="21" t="str">
        <f t="shared" si="2"/>
        <v/>
      </c>
      <c r="J277" s="21"/>
    </row>
    <row r="278" ht="15.75" customHeight="1">
      <c r="A278" s="21" t="str">
        <f>'Paramètres'!D13</f>
        <v/>
      </c>
      <c r="B278" s="21" t="str">
        <f>Articles!A8</f>
        <v>12345</v>
      </c>
      <c r="C278" s="21" t="str">
        <f>Articles!B8</f>
        <v>Quentin</v>
      </c>
      <c r="D278" s="21" t="str">
        <f>IF(OR($A278="",$B278=""),"",SUMIFS(Mouvements!$G:$G,Mouvements!$E:$E,$A278,Mouvements!$B:$B,$B278,Mouvements!$F:$F,"Départ"))</f>
        <v/>
      </c>
      <c r="E278" s="21" t="str">
        <f>IF(OR($A278="",$B278=""),"",SUMIFS(Mouvements!$G:$G,Mouvements!$E:$E,$A278,Mouvements!$B:$B,$B278,Mouvements!$F:$F,"Retour"))</f>
        <v/>
      </c>
      <c r="F278" s="21" t="str">
        <f t="shared" si="1"/>
        <v/>
      </c>
      <c r="G278" s="21" t="str">
        <f>IF($B278="","",D278*VLOOKUP($B278,Articles!$A$5:$K$204,8,FALSE))</f>
        <v>0</v>
      </c>
      <c r="H278" s="21"/>
      <c r="I278" s="21" t="str">
        <f t="shared" si="2"/>
        <v/>
      </c>
      <c r="J278" s="21"/>
    </row>
    <row r="279" ht="15.75" customHeight="1">
      <c r="A279" s="21" t="str">
        <f>'Paramètres'!D13</f>
        <v/>
      </c>
      <c r="B279" s="21" t="str">
        <f>Articles!A9</f>
        <v>4969272</v>
      </c>
      <c r="C279" s="21" t="str">
        <f>Articles!B9</f>
        <v>teben </v>
      </c>
      <c r="D279" s="21" t="str">
        <f>IF(OR($A279="",$B279=""),"",SUMIFS(Mouvements!$G:$G,Mouvements!$E:$E,$A279,Mouvements!$B:$B,$B279,Mouvements!$F:$F,"Départ"))</f>
        <v/>
      </c>
      <c r="E279" s="21" t="str">
        <f>IF(OR($A279="",$B279=""),"",SUMIFS(Mouvements!$G:$G,Mouvements!$E:$E,$A279,Mouvements!$B:$B,$B279,Mouvements!$F:$F,"Retour"))</f>
        <v/>
      </c>
      <c r="F279" s="21" t="str">
        <f t="shared" si="1"/>
        <v/>
      </c>
      <c r="G279" s="21" t="str">
        <f>IF($B279="","",D279*VLOOKUP($B279,Articles!$A$5:$K$204,8,FALSE))</f>
        <v>0</v>
      </c>
      <c r="H279" s="21"/>
      <c r="I279" s="21" t="str">
        <f t="shared" si="2"/>
        <v/>
      </c>
      <c r="J279" s="21"/>
    </row>
    <row r="280" ht="15.75" customHeight="1">
      <c r="A280" s="21" t="str">
        <f>'Paramètres'!D13</f>
        <v/>
      </c>
      <c r="B280" s="21" t="str">
        <f>Articles!A10</f>
        <v/>
      </c>
      <c r="C280" s="21" t="str">
        <f>Articles!B10</f>
        <v/>
      </c>
      <c r="D280" s="21" t="str">
        <f>IF(OR($A280="",$B280=""),"",SUMIFS(Mouvements!$G:$G,Mouvements!$E:$E,$A280,Mouvements!$B:$B,$B280,Mouvements!$F:$F,"Départ"))</f>
        <v/>
      </c>
      <c r="E280" s="21" t="str">
        <f>IF(OR($A280="",$B280=""),"",SUMIFS(Mouvements!$G:$G,Mouvements!$E:$E,$A280,Mouvements!$B:$B,$B280,Mouvements!$F:$F,"Retour"))</f>
        <v/>
      </c>
      <c r="F280" s="21" t="str">
        <f t="shared" si="1"/>
        <v/>
      </c>
      <c r="G280" s="21" t="str">
        <f>IF($B280="","",D280*VLOOKUP($B280,Articles!$A$5:$K$204,8,FALSE))</f>
        <v/>
      </c>
      <c r="H280" s="21"/>
      <c r="I280" s="21" t="str">
        <f t="shared" si="2"/>
        <v/>
      </c>
      <c r="J280" s="21"/>
    </row>
    <row r="281" ht="15.75" customHeight="1">
      <c r="A281" s="21" t="str">
        <f>'Paramètres'!D13</f>
        <v/>
      </c>
      <c r="B281" s="21" t="str">
        <f>Articles!A11</f>
        <v/>
      </c>
      <c r="C281" s="21" t="str">
        <f>Articles!B11</f>
        <v/>
      </c>
      <c r="D281" s="21" t="str">
        <f>IF(OR($A281="",$B281=""),"",SUMIFS(Mouvements!$G:$G,Mouvements!$E:$E,$A281,Mouvements!$B:$B,$B281,Mouvements!$F:$F,"Départ"))</f>
        <v/>
      </c>
      <c r="E281" s="21" t="str">
        <f>IF(OR($A281="",$B281=""),"",SUMIFS(Mouvements!$G:$G,Mouvements!$E:$E,$A281,Mouvements!$B:$B,$B281,Mouvements!$F:$F,"Retour"))</f>
        <v/>
      </c>
      <c r="F281" s="21" t="str">
        <f t="shared" si="1"/>
        <v/>
      </c>
      <c r="G281" s="21" t="str">
        <f>IF($B281="","",D281*VLOOKUP($B281,Articles!$A$5:$K$204,8,FALSE))</f>
        <v/>
      </c>
      <c r="H281" s="21"/>
      <c r="I281" s="21" t="str">
        <f t="shared" si="2"/>
        <v/>
      </c>
      <c r="J281" s="21"/>
    </row>
    <row r="282" ht="15.75" customHeight="1">
      <c r="A282" s="21" t="str">
        <f>'Paramètres'!D13</f>
        <v/>
      </c>
      <c r="B282" s="21" t="str">
        <f>Articles!A12</f>
        <v/>
      </c>
      <c r="C282" s="21" t="str">
        <f>Articles!B12</f>
        <v/>
      </c>
      <c r="D282" s="21" t="str">
        <f>IF(OR($A282="",$B282=""),"",SUMIFS(Mouvements!$G:$G,Mouvements!$E:$E,$A282,Mouvements!$B:$B,$B282,Mouvements!$F:$F,"Départ"))</f>
        <v/>
      </c>
      <c r="E282" s="21" t="str">
        <f>IF(OR($A282="",$B282=""),"",SUMIFS(Mouvements!$G:$G,Mouvements!$E:$E,$A282,Mouvements!$B:$B,$B282,Mouvements!$F:$F,"Retour"))</f>
        <v/>
      </c>
      <c r="F282" s="21" t="str">
        <f t="shared" si="1"/>
        <v/>
      </c>
      <c r="G282" s="21" t="str">
        <f>IF($B282="","",D282*VLOOKUP($B282,Articles!$A$5:$K$204,8,FALSE))</f>
        <v/>
      </c>
      <c r="H282" s="21"/>
      <c r="I282" s="21" t="str">
        <f t="shared" si="2"/>
        <v/>
      </c>
      <c r="J282" s="21"/>
    </row>
    <row r="283" ht="15.75" customHeight="1">
      <c r="A283" s="21" t="str">
        <f>'Paramètres'!D13</f>
        <v/>
      </c>
      <c r="B283" s="21" t="str">
        <f>Articles!A13</f>
        <v/>
      </c>
      <c r="C283" s="21" t="str">
        <f>Articles!B13</f>
        <v/>
      </c>
      <c r="D283" s="21" t="str">
        <f>IF(OR($A283="",$B283=""),"",SUMIFS(Mouvements!$G:$G,Mouvements!$E:$E,$A283,Mouvements!$B:$B,$B283,Mouvements!$F:$F,"Départ"))</f>
        <v/>
      </c>
      <c r="E283" s="21" t="str">
        <f>IF(OR($A283="",$B283=""),"",SUMIFS(Mouvements!$G:$G,Mouvements!$E:$E,$A283,Mouvements!$B:$B,$B283,Mouvements!$F:$F,"Retour"))</f>
        <v/>
      </c>
      <c r="F283" s="21" t="str">
        <f t="shared" si="1"/>
        <v/>
      </c>
      <c r="G283" s="21" t="str">
        <f>IF($B283="","",D283*VLOOKUP($B283,Articles!$A$5:$K$204,8,FALSE))</f>
        <v/>
      </c>
      <c r="H283" s="21"/>
      <c r="I283" s="21" t="str">
        <f t="shared" si="2"/>
        <v/>
      </c>
      <c r="J283" s="21"/>
    </row>
    <row r="284" ht="15.75" customHeight="1">
      <c r="A284" s="21" t="str">
        <f>'Paramètres'!D13</f>
        <v/>
      </c>
      <c r="B284" s="21" t="str">
        <f>Articles!A14</f>
        <v/>
      </c>
      <c r="C284" s="21" t="str">
        <f>Articles!B14</f>
        <v/>
      </c>
      <c r="D284" s="21" t="str">
        <f>IF(OR($A284="",$B284=""),"",SUMIFS(Mouvements!$G:$G,Mouvements!$E:$E,$A284,Mouvements!$B:$B,$B284,Mouvements!$F:$F,"Départ"))</f>
        <v/>
      </c>
      <c r="E284" s="21" t="str">
        <f>IF(OR($A284="",$B284=""),"",SUMIFS(Mouvements!$G:$G,Mouvements!$E:$E,$A284,Mouvements!$B:$B,$B284,Mouvements!$F:$F,"Retour"))</f>
        <v/>
      </c>
      <c r="F284" s="21" t="str">
        <f t="shared" si="1"/>
        <v/>
      </c>
      <c r="G284" s="21" t="str">
        <f>IF($B284="","",D284*VLOOKUP($B284,Articles!$A$5:$K$204,8,FALSE))</f>
        <v/>
      </c>
      <c r="H284" s="21"/>
      <c r="I284" s="21" t="str">
        <f t="shared" si="2"/>
        <v/>
      </c>
      <c r="J284" s="21"/>
    </row>
    <row r="285" ht="15.75" customHeight="1">
      <c r="A285" s="21" t="str">
        <f>'Paramètres'!D13</f>
        <v/>
      </c>
      <c r="B285" s="21" t="str">
        <f>Articles!A15</f>
        <v/>
      </c>
      <c r="C285" s="21" t="str">
        <f>Articles!B15</f>
        <v/>
      </c>
      <c r="D285" s="21" t="str">
        <f>IF(OR($A285="",$B285=""),"",SUMIFS(Mouvements!$G:$G,Mouvements!$E:$E,$A285,Mouvements!$B:$B,$B285,Mouvements!$F:$F,"Départ"))</f>
        <v/>
      </c>
      <c r="E285" s="21" t="str">
        <f>IF(OR($A285="",$B285=""),"",SUMIFS(Mouvements!$G:$G,Mouvements!$E:$E,$A285,Mouvements!$B:$B,$B285,Mouvements!$F:$F,"Retour"))</f>
        <v/>
      </c>
      <c r="F285" s="21" t="str">
        <f t="shared" si="1"/>
        <v/>
      </c>
      <c r="G285" s="21" t="str">
        <f>IF($B285="","",D285*VLOOKUP($B285,Articles!$A$5:$K$204,8,FALSE))</f>
        <v/>
      </c>
      <c r="H285" s="21"/>
      <c r="I285" s="21" t="str">
        <f t="shared" si="2"/>
        <v/>
      </c>
      <c r="J285" s="21"/>
    </row>
    <row r="286" ht="15.75" customHeight="1">
      <c r="A286" s="21" t="str">
        <f>'Paramètres'!D13</f>
        <v/>
      </c>
      <c r="B286" s="21" t="str">
        <f>Articles!A16</f>
        <v/>
      </c>
      <c r="C286" s="21" t="str">
        <f>Articles!B16</f>
        <v/>
      </c>
      <c r="D286" s="21" t="str">
        <f>IF(OR($A286="",$B286=""),"",SUMIFS(Mouvements!$G:$G,Mouvements!$E:$E,$A286,Mouvements!$B:$B,$B286,Mouvements!$F:$F,"Départ"))</f>
        <v/>
      </c>
      <c r="E286" s="21" t="str">
        <f>IF(OR($A286="",$B286=""),"",SUMIFS(Mouvements!$G:$G,Mouvements!$E:$E,$A286,Mouvements!$B:$B,$B286,Mouvements!$F:$F,"Retour"))</f>
        <v/>
      </c>
      <c r="F286" s="21" t="str">
        <f t="shared" si="1"/>
        <v/>
      </c>
      <c r="G286" s="21" t="str">
        <f>IF($B286="","",D286*VLOOKUP($B286,Articles!$A$5:$K$204,8,FALSE))</f>
        <v/>
      </c>
      <c r="H286" s="21"/>
      <c r="I286" s="21" t="str">
        <f t="shared" si="2"/>
        <v/>
      </c>
      <c r="J286" s="21"/>
    </row>
    <row r="287" ht="15.75" customHeight="1">
      <c r="A287" s="21" t="str">
        <f>'Paramètres'!D13</f>
        <v/>
      </c>
      <c r="B287" s="21" t="str">
        <f>Articles!A17</f>
        <v/>
      </c>
      <c r="C287" s="21" t="str">
        <f>Articles!B17</f>
        <v/>
      </c>
      <c r="D287" s="21" t="str">
        <f>IF(OR($A287="",$B287=""),"",SUMIFS(Mouvements!$G:$G,Mouvements!$E:$E,$A287,Mouvements!$B:$B,$B287,Mouvements!$F:$F,"Départ"))</f>
        <v/>
      </c>
      <c r="E287" s="21" t="str">
        <f>IF(OR($A287="",$B287=""),"",SUMIFS(Mouvements!$G:$G,Mouvements!$E:$E,$A287,Mouvements!$B:$B,$B287,Mouvements!$F:$F,"Retour"))</f>
        <v/>
      </c>
      <c r="F287" s="21" t="str">
        <f t="shared" si="1"/>
        <v/>
      </c>
      <c r="G287" s="21" t="str">
        <f>IF($B287="","",D287*VLOOKUP($B287,Articles!$A$5:$K$204,8,FALSE))</f>
        <v/>
      </c>
      <c r="H287" s="21"/>
      <c r="I287" s="21" t="str">
        <f t="shared" si="2"/>
        <v/>
      </c>
      <c r="J287" s="21"/>
    </row>
    <row r="288" ht="15.75" customHeight="1">
      <c r="A288" s="21" t="str">
        <f>'Paramètres'!D13</f>
        <v/>
      </c>
      <c r="B288" s="21" t="str">
        <f>Articles!A18</f>
        <v/>
      </c>
      <c r="C288" s="21" t="str">
        <f>Articles!B18</f>
        <v/>
      </c>
      <c r="D288" s="21" t="str">
        <f>IF(OR($A288="",$B288=""),"",SUMIFS(Mouvements!$G:$G,Mouvements!$E:$E,$A288,Mouvements!$B:$B,$B288,Mouvements!$F:$F,"Départ"))</f>
        <v/>
      </c>
      <c r="E288" s="21" t="str">
        <f>IF(OR($A288="",$B288=""),"",SUMIFS(Mouvements!$G:$G,Mouvements!$E:$E,$A288,Mouvements!$B:$B,$B288,Mouvements!$F:$F,"Retour"))</f>
        <v/>
      </c>
      <c r="F288" s="21" t="str">
        <f t="shared" si="1"/>
        <v/>
      </c>
      <c r="G288" s="21" t="str">
        <f>IF($B288="","",D288*VLOOKUP($B288,Articles!$A$5:$K$204,8,FALSE))</f>
        <v/>
      </c>
      <c r="H288" s="21"/>
      <c r="I288" s="21" t="str">
        <f t="shared" si="2"/>
        <v/>
      </c>
      <c r="J288" s="21"/>
    </row>
    <row r="289" ht="15.75" customHeight="1">
      <c r="A289" s="21" t="str">
        <f>'Paramètres'!D13</f>
        <v/>
      </c>
      <c r="B289" s="21" t="str">
        <f>Articles!A19</f>
        <v/>
      </c>
      <c r="C289" s="21" t="str">
        <f>Articles!B19</f>
        <v/>
      </c>
      <c r="D289" s="21" t="str">
        <f>IF(OR($A289="",$B289=""),"",SUMIFS(Mouvements!$G:$G,Mouvements!$E:$E,$A289,Mouvements!$B:$B,$B289,Mouvements!$F:$F,"Départ"))</f>
        <v/>
      </c>
      <c r="E289" s="21" t="str">
        <f>IF(OR($A289="",$B289=""),"",SUMIFS(Mouvements!$G:$G,Mouvements!$E:$E,$A289,Mouvements!$B:$B,$B289,Mouvements!$F:$F,"Retour"))</f>
        <v/>
      </c>
      <c r="F289" s="21" t="str">
        <f t="shared" si="1"/>
        <v/>
      </c>
      <c r="G289" s="21" t="str">
        <f>IF($B289="","",D289*VLOOKUP($B289,Articles!$A$5:$K$204,8,FALSE))</f>
        <v/>
      </c>
      <c r="H289" s="21"/>
      <c r="I289" s="21" t="str">
        <f t="shared" si="2"/>
        <v/>
      </c>
      <c r="J289" s="21"/>
    </row>
    <row r="290" ht="15.75" customHeight="1">
      <c r="A290" s="21" t="str">
        <f>'Paramètres'!D13</f>
        <v/>
      </c>
      <c r="B290" s="21" t="str">
        <f>Articles!A20</f>
        <v/>
      </c>
      <c r="C290" s="21" t="str">
        <f>Articles!B20</f>
        <v/>
      </c>
      <c r="D290" s="21" t="str">
        <f>IF(OR($A290="",$B290=""),"",SUMIFS(Mouvements!$G:$G,Mouvements!$E:$E,$A290,Mouvements!$B:$B,$B290,Mouvements!$F:$F,"Départ"))</f>
        <v/>
      </c>
      <c r="E290" s="21" t="str">
        <f>IF(OR($A290="",$B290=""),"",SUMIFS(Mouvements!$G:$G,Mouvements!$E:$E,$A290,Mouvements!$B:$B,$B290,Mouvements!$F:$F,"Retour"))</f>
        <v/>
      </c>
      <c r="F290" s="21" t="str">
        <f t="shared" si="1"/>
        <v/>
      </c>
      <c r="G290" s="21" t="str">
        <f>IF($B290="","",D290*VLOOKUP($B290,Articles!$A$5:$K$204,8,FALSE))</f>
        <v/>
      </c>
      <c r="H290" s="21"/>
      <c r="I290" s="21" t="str">
        <f t="shared" si="2"/>
        <v/>
      </c>
      <c r="J290" s="21"/>
    </row>
    <row r="291" ht="15.75" customHeight="1">
      <c r="A291" s="21" t="str">
        <f>'Paramètres'!D13</f>
        <v/>
      </c>
      <c r="B291" s="21" t="str">
        <f>Articles!A21</f>
        <v/>
      </c>
      <c r="C291" s="21" t="str">
        <f>Articles!B21</f>
        <v/>
      </c>
      <c r="D291" s="21" t="str">
        <f>IF(OR($A291="",$B291=""),"",SUMIFS(Mouvements!$G:$G,Mouvements!$E:$E,$A291,Mouvements!$B:$B,$B291,Mouvements!$F:$F,"Départ"))</f>
        <v/>
      </c>
      <c r="E291" s="21" t="str">
        <f>IF(OR($A291="",$B291=""),"",SUMIFS(Mouvements!$G:$G,Mouvements!$E:$E,$A291,Mouvements!$B:$B,$B291,Mouvements!$F:$F,"Retour"))</f>
        <v/>
      </c>
      <c r="F291" s="21" t="str">
        <f t="shared" si="1"/>
        <v/>
      </c>
      <c r="G291" s="21" t="str">
        <f>IF($B291="","",D291*VLOOKUP($B291,Articles!$A$5:$K$204,8,FALSE))</f>
        <v/>
      </c>
      <c r="H291" s="21"/>
      <c r="I291" s="21" t="str">
        <f t="shared" si="2"/>
        <v/>
      </c>
      <c r="J291" s="21"/>
    </row>
    <row r="292" ht="15.75" customHeight="1">
      <c r="A292" s="21" t="str">
        <f>'Paramètres'!D13</f>
        <v/>
      </c>
      <c r="B292" s="21" t="str">
        <f>Articles!A22</f>
        <v/>
      </c>
      <c r="C292" s="21" t="str">
        <f>Articles!B22</f>
        <v/>
      </c>
      <c r="D292" s="21" t="str">
        <f>IF(OR($A292="",$B292=""),"",SUMIFS(Mouvements!$G:$G,Mouvements!$E:$E,$A292,Mouvements!$B:$B,$B292,Mouvements!$F:$F,"Départ"))</f>
        <v/>
      </c>
      <c r="E292" s="21" t="str">
        <f>IF(OR($A292="",$B292=""),"",SUMIFS(Mouvements!$G:$G,Mouvements!$E:$E,$A292,Mouvements!$B:$B,$B292,Mouvements!$F:$F,"Retour"))</f>
        <v/>
      </c>
      <c r="F292" s="21" t="str">
        <f t="shared" si="1"/>
        <v/>
      </c>
      <c r="G292" s="21" t="str">
        <f>IF($B292="","",D292*VLOOKUP($B292,Articles!$A$5:$K$204,8,FALSE))</f>
        <v/>
      </c>
      <c r="H292" s="21"/>
      <c r="I292" s="21" t="str">
        <f t="shared" si="2"/>
        <v/>
      </c>
      <c r="J292" s="21"/>
    </row>
    <row r="293" ht="15.75" customHeight="1">
      <c r="A293" s="21" t="str">
        <f>'Paramètres'!D13</f>
        <v/>
      </c>
      <c r="B293" s="21" t="str">
        <f>Articles!A23</f>
        <v/>
      </c>
      <c r="C293" s="21" t="str">
        <f>Articles!B23</f>
        <v/>
      </c>
      <c r="D293" s="21" t="str">
        <f>IF(OR($A293="",$B293=""),"",SUMIFS(Mouvements!$G:$G,Mouvements!$E:$E,$A293,Mouvements!$B:$B,$B293,Mouvements!$F:$F,"Départ"))</f>
        <v/>
      </c>
      <c r="E293" s="21" t="str">
        <f>IF(OR($A293="",$B293=""),"",SUMIFS(Mouvements!$G:$G,Mouvements!$E:$E,$A293,Mouvements!$B:$B,$B293,Mouvements!$F:$F,"Retour"))</f>
        <v/>
      </c>
      <c r="F293" s="21" t="str">
        <f t="shared" si="1"/>
        <v/>
      </c>
      <c r="G293" s="21" t="str">
        <f>IF($B293="","",D293*VLOOKUP($B293,Articles!$A$5:$K$204,8,FALSE))</f>
        <v/>
      </c>
      <c r="H293" s="21"/>
      <c r="I293" s="21" t="str">
        <f t="shared" si="2"/>
        <v/>
      </c>
      <c r="J293" s="21"/>
    </row>
    <row r="294" ht="15.75" customHeight="1">
      <c r="A294" s="21" t="str">
        <f>'Paramètres'!D13</f>
        <v/>
      </c>
      <c r="B294" s="21" t="str">
        <f>Articles!A24</f>
        <v/>
      </c>
      <c r="C294" s="21" t="str">
        <f>Articles!B24</f>
        <v/>
      </c>
      <c r="D294" s="21" t="str">
        <f>IF(OR($A294="",$B294=""),"",SUMIFS(Mouvements!$G:$G,Mouvements!$E:$E,$A294,Mouvements!$B:$B,$B294,Mouvements!$F:$F,"Départ"))</f>
        <v/>
      </c>
      <c r="E294" s="21" t="str">
        <f>IF(OR($A294="",$B294=""),"",SUMIFS(Mouvements!$G:$G,Mouvements!$E:$E,$A294,Mouvements!$B:$B,$B294,Mouvements!$F:$F,"Retour"))</f>
        <v/>
      </c>
      <c r="F294" s="21" t="str">
        <f t="shared" si="1"/>
        <v/>
      </c>
      <c r="G294" s="21" t="str">
        <f>IF($B294="","",D294*VLOOKUP($B294,Articles!$A$5:$K$204,8,FALSE))</f>
        <v/>
      </c>
      <c r="H294" s="21"/>
      <c r="I294" s="21" t="str">
        <f t="shared" si="2"/>
        <v/>
      </c>
      <c r="J294" s="21"/>
    </row>
    <row r="295" ht="15.75" customHeight="1">
      <c r="A295" s="21" t="str">
        <f>'Paramètres'!D13</f>
        <v/>
      </c>
      <c r="B295" s="21" t="str">
        <f>Articles!A25</f>
        <v/>
      </c>
      <c r="C295" s="21" t="str">
        <f>Articles!B25</f>
        <v/>
      </c>
      <c r="D295" s="21" t="str">
        <f>IF(OR($A295="",$B295=""),"",SUMIFS(Mouvements!$G:$G,Mouvements!$E:$E,$A295,Mouvements!$B:$B,$B295,Mouvements!$F:$F,"Départ"))</f>
        <v/>
      </c>
      <c r="E295" s="21" t="str">
        <f>IF(OR($A295="",$B295=""),"",SUMIFS(Mouvements!$G:$G,Mouvements!$E:$E,$A295,Mouvements!$B:$B,$B295,Mouvements!$F:$F,"Retour"))</f>
        <v/>
      </c>
      <c r="F295" s="21" t="str">
        <f t="shared" si="1"/>
        <v/>
      </c>
      <c r="G295" s="21" t="str">
        <f>IF($B295="","",D295*VLOOKUP($B295,Articles!$A$5:$K$204,8,FALSE))</f>
        <v/>
      </c>
      <c r="H295" s="21"/>
      <c r="I295" s="21" t="str">
        <f t="shared" si="2"/>
        <v/>
      </c>
      <c r="J295" s="21"/>
    </row>
    <row r="296" ht="15.75" customHeight="1">
      <c r="A296" s="21" t="str">
        <f>'Paramètres'!D13</f>
        <v/>
      </c>
      <c r="B296" s="21" t="str">
        <f>Articles!A26</f>
        <v/>
      </c>
      <c r="C296" s="21" t="str">
        <f>Articles!B26</f>
        <v/>
      </c>
      <c r="D296" s="21" t="str">
        <f>IF(OR($A296="",$B296=""),"",SUMIFS(Mouvements!$G:$G,Mouvements!$E:$E,$A296,Mouvements!$B:$B,$B296,Mouvements!$F:$F,"Départ"))</f>
        <v/>
      </c>
      <c r="E296" s="21" t="str">
        <f>IF(OR($A296="",$B296=""),"",SUMIFS(Mouvements!$G:$G,Mouvements!$E:$E,$A296,Mouvements!$B:$B,$B296,Mouvements!$F:$F,"Retour"))</f>
        <v/>
      </c>
      <c r="F296" s="21" t="str">
        <f t="shared" si="1"/>
        <v/>
      </c>
      <c r="G296" s="21" t="str">
        <f>IF($B296="","",D296*VLOOKUP($B296,Articles!$A$5:$K$204,8,FALSE))</f>
        <v/>
      </c>
      <c r="H296" s="21"/>
      <c r="I296" s="21" t="str">
        <f t="shared" si="2"/>
        <v/>
      </c>
      <c r="J296" s="21"/>
    </row>
    <row r="297" ht="15.75" customHeight="1">
      <c r="A297" s="21" t="str">
        <f>'Paramètres'!D13</f>
        <v/>
      </c>
      <c r="B297" s="21" t="str">
        <f>Articles!A27</f>
        <v/>
      </c>
      <c r="C297" s="21" t="str">
        <f>Articles!B27</f>
        <v/>
      </c>
      <c r="D297" s="21" t="str">
        <f>IF(OR($A297="",$B297=""),"",SUMIFS(Mouvements!$G:$G,Mouvements!$E:$E,$A297,Mouvements!$B:$B,$B297,Mouvements!$F:$F,"Départ"))</f>
        <v/>
      </c>
      <c r="E297" s="21" t="str">
        <f>IF(OR($A297="",$B297=""),"",SUMIFS(Mouvements!$G:$G,Mouvements!$E:$E,$A297,Mouvements!$B:$B,$B297,Mouvements!$F:$F,"Retour"))</f>
        <v/>
      </c>
      <c r="F297" s="21" t="str">
        <f t="shared" si="1"/>
        <v/>
      </c>
      <c r="G297" s="21" t="str">
        <f>IF($B297="","",D297*VLOOKUP($B297,Articles!$A$5:$K$204,8,FALSE))</f>
        <v/>
      </c>
      <c r="H297" s="21"/>
      <c r="I297" s="21" t="str">
        <f t="shared" si="2"/>
        <v/>
      </c>
      <c r="J297" s="21"/>
    </row>
    <row r="298" ht="15.75" customHeight="1">
      <c r="A298" s="21" t="str">
        <f>'Paramètres'!D13</f>
        <v/>
      </c>
      <c r="B298" s="21" t="str">
        <f>Articles!A28</f>
        <v/>
      </c>
      <c r="C298" s="21" t="str">
        <f>Articles!B28</f>
        <v/>
      </c>
      <c r="D298" s="21" t="str">
        <f>IF(OR($A298="",$B298=""),"",SUMIFS(Mouvements!$G:$G,Mouvements!$E:$E,$A298,Mouvements!$B:$B,$B298,Mouvements!$F:$F,"Départ"))</f>
        <v/>
      </c>
      <c r="E298" s="21" t="str">
        <f>IF(OR($A298="",$B298=""),"",SUMIFS(Mouvements!$G:$G,Mouvements!$E:$E,$A298,Mouvements!$B:$B,$B298,Mouvements!$F:$F,"Retour"))</f>
        <v/>
      </c>
      <c r="F298" s="21" t="str">
        <f t="shared" si="1"/>
        <v/>
      </c>
      <c r="G298" s="21" t="str">
        <f>IF($B298="","",D298*VLOOKUP($B298,Articles!$A$5:$K$204,8,FALSE))</f>
        <v/>
      </c>
      <c r="H298" s="21"/>
      <c r="I298" s="21" t="str">
        <f t="shared" si="2"/>
        <v/>
      </c>
      <c r="J298" s="21"/>
    </row>
    <row r="299" ht="15.75" customHeight="1">
      <c r="A299" s="21" t="str">
        <f>'Paramètres'!D13</f>
        <v/>
      </c>
      <c r="B299" s="21" t="str">
        <f>Articles!A29</f>
        <v/>
      </c>
      <c r="C299" s="21" t="str">
        <f>Articles!B29</f>
        <v/>
      </c>
      <c r="D299" s="21" t="str">
        <f>IF(OR($A299="",$B299=""),"",SUMIFS(Mouvements!$G:$G,Mouvements!$E:$E,$A299,Mouvements!$B:$B,$B299,Mouvements!$F:$F,"Départ"))</f>
        <v/>
      </c>
      <c r="E299" s="21" t="str">
        <f>IF(OR($A299="",$B299=""),"",SUMIFS(Mouvements!$G:$G,Mouvements!$E:$E,$A299,Mouvements!$B:$B,$B299,Mouvements!$F:$F,"Retour"))</f>
        <v/>
      </c>
      <c r="F299" s="21" t="str">
        <f t="shared" si="1"/>
        <v/>
      </c>
      <c r="G299" s="21" t="str">
        <f>IF($B299="","",D299*VLOOKUP($B299,Articles!$A$5:$K$204,8,FALSE))</f>
        <v/>
      </c>
      <c r="H299" s="21"/>
      <c r="I299" s="21" t="str">
        <f t="shared" si="2"/>
        <v/>
      </c>
      <c r="J299" s="21"/>
    </row>
    <row r="300" ht="15.75" customHeight="1">
      <c r="A300" s="21" t="str">
        <f>'Paramètres'!D13</f>
        <v/>
      </c>
      <c r="B300" s="21" t="str">
        <f>Articles!A30</f>
        <v/>
      </c>
      <c r="C300" s="21" t="str">
        <f>Articles!B30</f>
        <v/>
      </c>
      <c r="D300" s="21" t="str">
        <f>IF(OR($A300="",$B300=""),"",SUMIFS(Mouvements!$G:$G,Mouvements!$E:$E,$A300,Mouvements!$B:$B,$B300,Mouvements!$F:$F,"Départ"))</f>
        <v/>
      </c>
      <c r="E300" s="21" t="str">
        <f>IF(OR($A300="",$B300=""),"",SUMIFS(Mouvements!$G:$G,Mouvements!$E:$E,$A300,Mouvements!$B:$B,$B300,Mouvements!$F:$F,"Retour"))</f>
        <v/>
      </c>
      <c r="F300" s="21" t="str">
        <f t="shared" si="1"/>
        <v/>
      </c>
      <c r="G300" s="21" t="str">
        <f>IF($B300="","",D300*VLOOKUP($B300,Articles!$A$5:$K$204,8,FALSE))</f>
        <v/>
      </c>
      <c r="H300" s="21"/>
      <c r="I300" s="21" t="str">
        <f t="shared" si="2"/>
        <v/>
      </c>
      <c r="J300" s="21"/>
    </row>
    <row r="301" ht="15.75" customHeight="1">
      <c r="A301" s="21" t="str">
        <f>'Paramètres'!D13</f>
        <v/>
      </c>
      <c r="B301" s="21" t="str">
        <f>Articles!A31</f>
        <v/>
      </c>
      <c r="C301" s="21" t="str">
        <f>Articles!B31</f>
        <v/>
      </c>
      <c r="D301" s="21" t="str">
        <f>IF(OR($A301="",$B301=""),"",SUMIFS(Mouvements!$G:$G,Mouvements!$E:$E,$A301,Mouvements!$B:$B,$B301,Mouvements!$F:$F,"Départ"))</f>
        <v/>
      </c>
      <c r="E301" s="21" t="str">
        <f>IF(OR($A301="",$B301=""),"",SUMIFS(Mouvements!$G:$G,Mouvements!$E:$E,$A301,Mouvements!$B:$B,$B301,Mouvements!$F:$F,"Retour"))</f>
        <v/>
      </c>
      <c r="F301" s="21" t="str">
        <f t="shared" si="1"/>
        <v/>
      </c>
      <c r="G301" s="21" t="str">
        <f>IF($B301="","",D301*VLOOKUP($B301,Articles!$A$5:$K$204,8,FALSE))</f>
        <v/>
      </c>
      <c r="H301" s="21"/>
      <c r="I301" s="21" t="str">
        <f t="shared" si="2"/>
        <v/>
      </c>
      <c r="J301" s="21"/>
    </row>
    <row r="302" ht="15.75" customHeight="1">
      <c r="A302" s="21" t="str">
        <f>'Paramètres'!D13</f>
        <v/>
      </c>
      <c r="B302" s="21" t="str">
        <f>Articles!A32</f>
        <v/>
      </c>
      <c r="C302" s="21" t="str">
        <f>Articles!B32</f>
        <v/>
      </c>
      <c r="D302" s="21" t="str">
        <f>IF(OR($A302="",$B302=""),"",SUMIFS(Mouvements!$G:$G,Mouvements!$E:$E,$A302,Mouvements!$B:$B,$B302,Mouvements!$F:$F,"Départ"))</f>
        <v/>
      </c>
      <c r="E302" s="21" t="str">
        <f>IF(OR($A302="",$B302=""),"",SUMIFS(Mouvements!$G:$G,Mouvements!$E:$E,$A302,Mouvements!$B:$B,$B302,Mouvements!$F:$F,"Retour"))</f>
        <v/>
      </c>
      <c r="F302" s="21" t="str">
        <f t="shared" si="1"/>
        <v/>
      </c>
      <c r="G302" s="21" t="str">
        <f>IF($B302="","",D302*VLOOKUP($B302,Articles!$A$5:$K$204,8,FALSE))</f>
        <v/>
      </c>
      <c r="H302" s="21"/>
      <c r="I302" s="21" t="str">
        <f t="shared" si="2"/>
        <v/>
      </c>
      <c r="J302" s="21"/>
    </row>
    <row r="303" ht="15.75" customHeight="1">
      <c r="A303" s="21" t="str">
        <f>'Paramètres'!D13</f>
        <v/>
      </c>
      <c r="B303" s="21" t="str">
        <f>Articles!A33</f>
        <v/>
      </c>
      <c r="C303" s="21" t="str">
        <f>Articles!B33</f>
        <v/>
      </c>
      <c r="D303" s="21" t="str">
        <f>IF(OR($A303="",$B303=""),"",SUMIFS(Mouvements!$G:$G,Mouvements!$E:$E,$A303,Mouvements!$B:$B,$B303,Mouvements!$F:$F,"Départ"))</f>
        <v/>
      </c>
      <c r="E303" s="21" t="str">
        <f>IF(OR($A303="",$B303=""),"",SUMIFS(Mouvements!$G:$G,Mouvements!$E:$E,$A303,Mouvements!$B:$B,$B303,Mouvements!$F:$F,"Retour"))</f>
        <v/>
      </c>
      <c r="F303" s="21" t="str">
        <f t="shared" si="1"/>
        <v/>
      </c>
      <c r="G303" s="21" t="str">
        <f>IF($B303="","",D303*VLOOKUP($B303,Articles!$A$5:$K$204,8,FALSE))</f>
        <v/>
      </c>
      <c r="H303" s="21"/>
      <c r="I303" s="21" t="str">
        <f t="shared" si="2"/>
        <v/>
      </c>
      <c r="J303" s="21"/>
    </row>
    <row r="304" ht="15.75" customHeight="1">
      <c r="A304" s="21" t="str">
        <f>'Paramètres'!D13</f>
        <v/>
      </c>
      <c r="B304" s="21" t="str">
        <f>Articles!A34</f>
        <v/>
      </c>
      <c r="C304" s="21" t="str">
        <f>Articles!B34</f>
        <v/>
      </c>
      <c r="D304" s="21" t="str">
        <f>IF(OR($A304="",$B304=""),"",SUMIFS(Mouvements!$G:$G,Mouvements!$E:$E,$A304,Mouvements!$B:$B,$B304,Mouvements!$F:$F,"Départ"))</f>
        <v/>
      </c>
      <c r="E304" s="21" t="str">
        <f>IF(OR($A304="",$B304=""),"",SUMIFS(Mouvements!$G:$G,Mouvements!$E:$E,$A304,Mouvements!$B:$B,$B304,Mouvements!$F:$F,"Retour"))</f>
        <v/>
      </c>
      <c r="F304" s="21" t="str">
        <f t="shared" si="1"/>
        <v/>
      </c>
      <c r="G304" s="21" t="str">
        <f>IF($B304="","",D304*VLOOKUP($B304,Articles!$A$5:$K$204,8,FALSE))</f>
        <v/>
      </c>
      <c r="H304" s="21"/>
      <c r="I304" s="21" t="str">
        <f t="shared" si="2"/>
        <v/>
      </c>
      <c r="J304" s="21"/>
    </row>
  </sheetData>
  <mergeCells count="1">
    <mergeCell ref="A1:J1"/>
  </mergeCells>
  <conditionalFormatting sqref="A5:J304">
    <cfRule type="expression" dxfId="6" priority="1">
      <formula>$I5="Sur chantier"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6.0"/>
    <col customWidth="1" min="2" max="2" width="32.0"/>
    <col customWidth="1" min="3" max="4" width="12.0"/>
    <col customWidth="1" min="5" max="5" width="14.0"/>
    <col customWidth="1" min="6" max="6" width="16.0"/>
    <col customWidth="1" min="7" max="7" width="14.0"/>
    <col customWidth="1" min="8" max="8" width="22.0"/>
    <col customWidth="1" min="9" max="9" width="18.0"/>
    <col customWidth="1" min="10" max="11" width="9.14"/>
  </cols>
  <sheetData>
    <row r="1">
      <c r="A1" s="1" t="s">
        <v>97</v>
      </c>
      <c r="B1" s="2"/>
      <c r="C1" s="2"/>
      <c r="D1" s="2"/>
      <c r="E1" s="2"/>
      <c r="F1" s="2"/>
      <c r="G1" s="2"/>
      <c r="H1" s="2"/>
      <c r="I1" s="3"/>
    </row>
    <row r="2">
      <c r="A2" s="11" t="s">
        <v>98</v>
      </c>
    </row>
    <row r="3">
      <c r="A3" s="22" t="s">
        <v>80</v>
      </c>
      <c r="B3" s="23" t="s">
        <v>25</v>
      </c>
    </row>
    <row r="5">
      <c r="A5" s="20" t="s">
        <v>6</v>
      </c>
      <c r="B5" s="20" t="s">
        <v>7</v>
      </c>
      <c r="C5" s="20" t="s">
        <v>12</v>
      </c>
      <c r="D5" s="20" t="s">
        <v>13</v>
      </c>
      <c r="E5" s="20" t="s">
        <v>99</v>
      </c>
      <c r="F5" s="20" t="s">
        <v>100</v>
      </c>
      <c r="G5" s="20" t="s">
        <v>10</v>
      </c>
      <c r="H5" s="20" t="s">
        <v>87</v>
      </c>
      <c r="I5" s="20" t="s">
        <v>101</v>
      </c>
    </row>
    <row r="6">
      <c r="A6" s="21" t="str">
        <f>Articles!A5</f>
        <v>VIS-6X60</v>
      </c>
      <c r="B6" s="21" t="str">
        <f>Articles!B5</f>
        <v>Vis béton 6x60</v>
      </c>
      <c r="C6" s="21">
        <v>10.0</v>
      </c>
      <c r="D6" s="21" t="str">
        <f>IF(A6="","",SUMIFS(Mouvements!$G:$G,Mouvements!$E:$E,$B$3,Mouvements!$B:$B,A6,Mouvements!$F:$F,"Retour"))</f>
        <v>0</v>
      </c>
      <c r="E6" s="21" t="str">
        <f t="shared" ref="E6:E105" si="1">IF(A6="","",C6-D6)</f>
        <v>10</v>
      </c>
      <c r="F6" s="21"/>
      <c r="G6" s="21" t="str">
        <f t="shared" ref="G6:G105" si="2">IF(E6="","",IF(E6&gt;0,"À récupérer","Soldé"))</f>
        <v>À récupérer</v>
      </c>
      <c r="H6" s="21"/>
      <c r="I6" s="21" t="str">
        <f t="shared" ref="I6:I105" si="3">IF(E6&lt;0,"Retour &gt; départ","")</f>
        <v/>
      </c>
    </row>
    <row r="7">
      <c r="A7" s="21" t="str">
        <f>Articles!A6</f>
        <v>PERF-001</v>
      </c>
      <c r="B7" s="21" t="str">
        <f>Articles!B6</f>
        <v>Perforateur SDS</v>
      </c>
      <c r="C7" s="21" t="str">
        <f>IF(A7="","",SUMIFS(Mouvements!$G:$G,Mouvements!$E:$E,$B$3,Mouvements!$B:$B,A7,Mouvements!$F:$F,"Départ"))</f>
        <v>0</v>
      </c>
      <c r="D7" s="21" t="str">
        <f>IF(A7="","",SUMIFS(Mouvements!$G:$G,Mouvements!$E:$E,$B$3,Mouvements!$B:$B,A7,Mouvements!$F:$F,"Retour"))</f>
        <v>0</v>
      </c>
      <c r="E7" s="21" t="str">
        <f t="shared" si="1"/>
        <v>0</v>
      </c>
      <c r="F7" s="21"/>
      <c r="G7" s="21" t="str">
        <f t="shared" si="2"/>
        <v>Soldé</v>
      </c>
      <c r="H7" s="21"/>
      <c r="I7" s="21" t="str">
        <f t="shared" si="3"/>
        <v/>
      </c>
    </row>
    <row r="8">
      <c r="A8" s="21" t="str">
        <f>Articles!A7</f>
        <v>GANT-L</v>
      </c>
      <c r="B8" s="21" t="str">
        <f>Articles!B7</f>
        <v>Gants taille L</v>
      </c>
      <c r="C8" s="21" t="str">
        <f>IF(A8="","",SUMIFS(Mouvements!$G:$G,Mouvements!$E:$E,$B$3,Mouvements!$B:$B,A8,Mouvements!$F:$F,"Départ"))</f>
        <v>0</v>
      </c>
      <c r="D8" s="21" t="str">
        <f>IF(A8="","",SUMIFS(Mouvements!$G:$G,Mouvements!$E:$E,$B$3,Mouvements!$B:$B,A8,Mouvements!$F:$F,"Retour"))</f>
        <v>0</v>
      </c>
      <c r="E8" s="21" t="str">
        <f t="shared" si="1"/>
        <v>0</v>
      </c>
      <c r="F8" s="21"/>
      <c r="G8" s="21" t="str">
        <f t="shared" si="2"/>
        <v>Soldé</v>
      </c>
      <c r="H8" s="21"/>
      <c r="I8" s="21" t="str">
        <f t="shared" si="3"/>
        <v/>
      </c>
    </row>
    <row r="9">
      <c r="A9" s="21" t="str">
        <f>Articles!A8</f>
        <v>12345</v>
      </c>
      <c r="B9" s="21" t="str">
        <f>Articles!B8</f>
        <v>Quentin</v>
      </c>
      <c r="C9" s="21">
        <v>10.0</v>
      </c>
      <c r="D9" s="21" t="str">
        <f>IF(A9="","",SUMIFS(Mouvements!$G:$G,Mouvements!$E:$E,$B$3,Mouvements!$B:$B,A9,Mouvements!$F:$F,"Retour"))</f>
        <v>0</v>
      </c>
      <c r="E9" s="21" t="str">
        <f t="shared" si="1"/>
        <v>10</v>
      </c>
      <c r="F9" s="21"/>
      <c r="G9" s="21" t="str">
        <f t="shared" si="2"/>
        <v>À récupérer</v>
      </c>
      <c r="H9" s="21"/>
      <c r="I9" s="21" t="str">
        <f t="shared" si="3"/>
        <v/>
      </c>
    </row>
    <row r="10">
      <c r="A10" s="21" t="str">
        <f>Articles!A9</f>
        <v>4969272</v>
      </c>
      <c r="B10" s="21" t="str">
        <f>Articles!B9</f>
        <v>teben </v>
      </c>
      <c r="C10" s="21" t="str">
        <f>IF(A10="","",SUMIFS(Mouvements!$G:$G,Mouvements!$E:$E,$B$3,Mouvements!$B:$B,A10,Mouvements!$F:$F,"Départ"))</f>
        <v>4</v>
      </c>
      <c r="D10" s="21" t="str">
        <f>IF(A10="","",SUMIFS(Mouvements!$G:$G,Mouvements!$E:$E,$B$3,Mouvements!$B:$B,A10,Mouvements!$F:$F,"Retour"))</f>
        <v>0</v>
      </c>
      <c r="E10" s="21" t="str">
        <f t="shared" si="1"/>
        <v>4</v>
      </c>
      <c r="F10" s="21"/>
      <c r="G10" s="21" t="str">
        <f t="shared" si="2"/>
        <v>À récupérer</v>
      </c>
      <c r="H10" s="21"/>
      <c r="I10" s="21" t="str">
        <f t="shared" si="3"/>
        <v/>
      </c>
    </row>
    <row r="11">
      <c r="A11" s="21" t="str">
        <f>Articles!A10</f>
        <v/>
      </c>
      <c r="B11" s="21" t="str">
        <f>Articles!B10</f>
        <v/>
      </c>
      <c r="C11" s="21" t="str">
        <f>IF(A11="","",SUMIFS(Mouvements!$G:$G,Mouvements!$E:$E,$B$3,Mouvements!$B:$B,A11,Mouvements!$F:$F,"Départ"))</f>
        <v/>
      </c>
      <c r="D11" s="21" t="str">
        <f>IF(A11="","",SUMIFS(Mouvements!$G:$G,Mouvements!$E:$E,$B$3,Mouvements!$B:$B,A11,Mouvements!$F:$F,"Retour"))</f>
        <v/>
      </c>
      <c r="E11" s="21" t="str">
        <f t="shared" si="1"/>
        <v/>
      </c>
      <c r="F11" s="21"/>
      <c r="G11" s="21" t="str">
        <f t="shared" si="2"/>
        <v/>
      </c>
      <c r="H11" s="21"/>
      <c r="I11" s="21" t="str">
        <f t="shared" si="3"/>
        <v/>
      </c>
    </row>
    <row r="12">
      <c r="A12" s="21" t="str">
        <f>Articles!A11</f>
        <v/>
      </c>
      <c r="B12" s="21" t="str">
        <f>Articles!B11</f>
        <v/>
      </c>
      <c r="C12" s="21" t="str">
        <f>IF(A12="","",SUMIFS(Mouvements!$G:$G,Mouvements!$E:$E,$B$3,Mouvements!$B:$B,A12,Mouvements!$F:$F,"Départ"))</f>
        <v/>
      </c>
      <c r="D12" s="21" t="str">
        <f>IF(A12="","",SUMIFS(Mouvements!$G:$G,Mouvements!$E:$E,$B$3,Mouvements!$B:$B,A12,Mouvements!$F:$F,"Retour"))</f>
        <v/>
      </c>
      <c r="E12" s="21" t="str">
        <f t="shared" si="1"/>
        <v/>
      </c>
      <c r="F12" s="21"/>
      <c r="G12" s="21" t="str">
        <f t="shared" si="2"/>
        <v/>
      </c>
      <c r="H12" s="21"/>
      <c r="I12" s="21" t="str">
        <f t="shared" si="3"/>
        <v/>
      </c>
    </row>
    <row r="13">
      <c r="A13" s="21" t="str">
        <f>Articles!A12</f>
        <v/>
      </c>
      <c r="B13" s="21" t="str">
        <f>Articles!B12</f>
        <v/>
      </c>
      <c r="C13" s="21" t="str">
        <f>IF(A13="","",SUMIFS(Mouvements!$G:$G,Mouvements!$E:$E,$B$3,Mouvements!$B:$B,A13,Mouvements!$F:$F,"Départ"))</f>
        <v/>
      </c>
      <c r="D13" s="21" t="str">
        <f>IF(A13="","",SUMIFS(Mouvements!$G:$G,Mouvements!$E:$E,$B$3,Mouvements!$B:$B,A13,Mouvements!$F:$F,"Retour"))</f>
        <v/>
      </c>
      <c r="E13" s="21" t="str">
        <f t="shared" si="1"/>
        <v/>
      </c>
      <c r="F13" s="21"/>
      <c r="G13" s="21" t="str">
        <f t="shared" si="2"/>
        <v/>
      </c>
      <c r="H13" s="21"/>
      <c r="I13" s="21" t="str">
        <f t="shared" si="3"/>
        <v/>
      </c>
    </row>
    <row r="14">
      <c r="A14" s="21" t="str">
        <f>Articles!A13</f>
        <v/>
      </c>
      <c r="B14" s="21" t="str">
        <f>Articles!B13</f>
        <v/>
      </c>
      <c r="C14" s="21" t="str">
        <f>IF(A14="","",SUMIFS(Mouvements!$G:$G,Mouvements!$E:$E,$B$3,Mouvements!$B:$B,A14,Mouvements!$F:$F,"Départ"))</f>
        <v/>
      </c>
      <c r="D14" s="21" t="str">
        <f>IF(A14="","",SUMIFS(Mouvements!$G:$G,Mouvements!$E:$E,$B$3,Mouvements!$B:$B,A14,Mouvements!$F:$F,"Retour"))</f>
        <v/>
      </c>
      <c r="E14" s="21" t="str">
        <f t="shared" si="1"/>
        <v/>
      </c>
      <c r="F14" s="21"/>
      <c r="G14" s="21" t="str">
        <f t="shared" si="2"/>
        <v/>
      </c>
      <c r="H14" s="21"/>
      <c r="I14" s="21" t="str">
        <f t="shared" si="3"/>
        <v/>
      </c>
    </row>
    <row r="15">
      <c r="A15" s="21" t="str">
        <f>Articles!A14</f>
        <v/>
      </c>
      <c r="B15" s="21" t="str">
        <f>Articles!B14</f>
        <v/>
      </c>
      <c r="C15" s="21" t="str">
        <f>IF(A15="","",SUMIFS(Mouvements!$G:$G,Mouvements!$E:$E,$B$3,Mouvements!$B:$B,A15,Mouvements!$F:$F,"Départ"))</f>
        <v/>
      </c>
      <c r="D15" s="21" t="str">
        <f>IF(A15="","",SUMIFS(Mouvements!$G:$G,Mouvements!$E:$E,$B$3,Mouvements!$B:$B,A15,Mouvements!$F:$F,"Retour"))</f>
        <v/>
      </c>
      <c r="E15" s="21" t="str">
        <f t="shared" si="1"/>
        <v/>
      </c>
      <c r="F15" s="21"/>
      <c r="G15" s="21" t="str">
        <f t="shared" si="2"/>
        <v/>
      </c>
      <c r="H15" s="21"/>
      <c r="I15" s="21" t="str">
        <f t="shared" si="3"/>
        <v/>
      </c>
    </row>
    <row r="16">
      <c r="A16" s="21" t="str">
        <f>Articles!A15</f>
        <v/>
      </c>
      <c r="B16" s="21" t="str">
        <f>Articles!B15</f>
        <v/>
      </c>
      <c r="C16" s="21" t="str">
        <f>IF(A16="","",SUMIFS(Mouvements!$G:$G,Mouvements!$E:$E,$B$3,Mouvements!$B:$B,A16,Mouvements!$F:$F,"Départ"))</f>
        <v/>
      </c>
      <c r="D16" s="21" t="str">
        <f>IF(A16="","",SUMIFS(Mouvements!$G:$G,Mouvements!$E:$E,$B$3,Mouvements!$B:$B,A16,Mouvements!$F:$F,"Retour"))</f>
        <v/>
      </c>
      <c r="E16" s="21" t="str">
        <f t="shared" si="1"/>
        <v/>
      </c>
      <c r="F16" s="21"/>
      <c r="G16" s="21" t="str">
        <f t="shared" si="2"/>
        <v/>
      </c>
      <c r="H16" s="21"/>
      <c r="I16" s="21" t="str">
        <f t="shared" si="3"/>
        <v/>
      </c>
    </row>
    <row r="17">
      <c r="A17" s="21" t="str">
        <f>Articles!A16</f>
        <v/>
      </c>
      <c r="B17" s="21" t="str">
        <f>Articles!B16</f>
        <v/>
      </c>
      <c r="C17" s="21" t="str">
        <f>IF(A17="","",SUMIFS(Mouvements!$G:$G,Mouvements!$E:$E,$B$3,Mouvements!$B:$B,A17,Mouvements!$F:$F,"Départ"))</f>
        <v/>
      </c>
      <c r="D17" s="21" t="str">
        <f>IF(A17="","",SUMIFS(Mouvements!$G:$G,Mouvements!$E:$E,$B$3,Mouvements!$B:$B,A17,Mouvements!$F:$F,"Retour"))</f>
        <v/>
      </c>
      <c r="E17" s="21" t="str">
        <f t="shared" si="1"/>
        <v/>
      </c>
      <c r="F17" s="21"/>
      <c r="G17" s="21" t="str">
        <f t="shared" si="2"/>
        <v/>
      </c>
      <c r="H17" s="21"/>
      <c r="I17" s="21" t="str">
        <f t="shared" si="3"/>
        <v/>
      </c>
    </row>
    <row r="18">
      <c r="A18" s="21" t="str">
        <f>Articles!A17</f>
        <v/>
      </c>
      <c r="B18" s="21" t="str">
        <f>Articles!B17</f>
        <v/>
      </c>
      <c r="C18" s="21" t="str">
        <f>IF(A18="","",SUMIFS(Mouvements!$G:$G,Mouvements!$E:$E,$B$3,Mouvements!$B:$B,A18,Mouvements!$F:$F,"Départ"))</f>
        <v/>
      </c>
      <c r="D18" s="21" t="str">
        <f>IF(A18="","",SUMIFS(Mouvements!$G:$G,Mouvements!$E:$E,$B$3,Mouvements!$B:$B,A18,Mouvements!$F:$F,"Retour"))</f>
        <v/>
      </c>
      <c r="E18" s="21" t="str">
        <f t="shared" si="1"/>
        <v/>
      </c>
      <c r="F18" s="21"/>
      <c r="G18" s="21" t="str">
        <f t="shared" si="2"/>
        <v/>
      </c>
      <c r="H18" s="21"/>
      <c r="I18" s="21" t="str">
        <f t="shared" si="3"/>
        <v/>
      </c>
    </row>
    <row r="19">
      <c r="A19" s="21" t="str">
        <f>Articles!A18</f>
        <v/>
      </c>
      <c r="B19" s="21" t="str">
        <f>Articles!B18</f>
        <v/>
      </c>
      <c r="C19" s="21" t="str">
        <f>IF(A19="","",SUMIFS(Mouvements!$G:$G,Mouvements!$E:$E,$B$3,Mouvements!$B:$B,A19,Mouvements!$F:$F,"Départ"))</f>
        <v/>
      </c>
      <c r="D19" s="21" t="str">
        <f>IF(A19="","",SUMIFS(Mouvements!$G:$G,Mouvements!$E:$E,$B$3,Mouvements!$B:$B,A19,Mouvements!$F:$F,"Retour"))</f>
        <v/>
      </c>
      <c r="E19" s="21" t="str">
        <f t="shared" si="1"/>
        <v/>
      </c>
      <c r="F19" s="21"/>
      <c r="G19" s="21" t="str">
        <f t="shared" si="2"/>
        <v/>
      </c>
      <c r="H19" s="21"/>
      <c r="I19" s="21" t="str">
        <f t="shared" si="3"/>
        <v/>
      </c>
    </row>
    <row r="20">
      <c r="A20" s="21" t="str">
        <f>Articles!A19</f>
        <v/>
      </c>
      <c r="B20" s="21" t="str">
        <f>Articles!B19</f>
        <v/>
      </c>
      <c r="C20" s="21" t="str">
        <f>IF(A20="","",SUMIFS(Mouvements!$G:$G,Mouvements!$E:$E,$B$3,Mouvements!$B:$B,A20,Mouvements!$F:$F,"Départ"))</f>
        <v/>
      </c>
      <c r="D20" s="21" t="str">
        <f>IF(A20="","",SUMIFS(Mouvements!$G:$G,Mouvements!$E:$E,$B$3,Mouvements!$B:$B,A20,Mouvements!$F:$F,"Retour"))</f>
        <v/>
      </c>
      <c r="E20" s="21" t="str">
        <f t="shared" si="1"/>
        <v/>
      </c>
      <c r="F20" s="21"/>
      <c r="G20" s="21" t="str">
        <f t="shared" si="2"/>
        <v/>
      </c>
      <c r="H20" s="21"/>
      <c r="I20" s="21" t="str">
        <f t="shared" si="3"/>
        <v/>
      </c>
    </row>
    <row r="21" ht="15.75" customHeight="1">
      <c r="A21" s="21" t="str">
        <f>Articles!A20</f>
        <v/>
      </c>
      <c r="B21" s="21" t="str">
        <f>Articles!B20</f>
        <v/>
      </c>
      <c r="C21" s="21" t="str">
        <f>IF(A21="","",SUMIFS(Mouvements!$G:$G,Mouvements!$E:$E,$B$3,Mouvements!$B:$B,A21,Mouvements!$F:$F,"Départ"))</f>
        <v/>
      </c>
      <c r="D21" s="21" t="str">
        <f>IF(A21="","",SUMIFS(Mouvements!$G:$G,Mouvements!$E:$E,$B$3,Mouvements!$B:$B,A21,Mouvements!$F:$F,"Retour"))</f>
        <v/>
      </c>
      <c r="E21" s="21" t="str">
        <f t="shared" si="1"/>
        <v/>
      </c>
      <c r="F21" s="21"/>
      <c r="G21" s="21" t="str">
        <f t="shared" si="2"/>
        <v/>
      </c>
      <c r="H21" s="21"/>
      <c r="I21" s="21" t="str">
        <f t="shared" si="3"/>
        <v/>
      </c>
    </row>
    <row r="22" ht="15.75" customHeight="1">
      <c r="A22" s="21" t="str">
        <f>Articles!A21</f>
        <v/>
      </c>
      <c r="B22" s="21" t="str">
        <f>Articles!B21</f>
        <v/>
      </c>
      <c r="C22" s="21" t="str">
        <f>IF(A22="","",SUMIFS(Mouvements!$G:$G,Mouvements!$E:$E,$B$3,Mouvements!$B:$B,A22,Mouvements!$F:$F,"Départ"))</f>
        <v/>
      </c>
      <c r="D22" s="21" t="str">
        <f>IF(A22="","",SUMIFS(Mouvements!$G:$G,Mouvements!$E:$E,$B$3,Mouvements!$B:$B,A22,Mouvements!$F:$F,"Retour"))</f>
        <v/>
      </c>
      <c r="E22" s="21" t="str">
        <f t="shared" si="1"/>
        <v/>
      </c>
      <c r="F22" s="21"/>
      <c r="G22" s="21" t="str">
        <f t="shared" si="2"/>
        <v/>
      </c>
      <c r="H22" s="21"/>
      <c r="I22" s="21" t="str">
        <f t="shared" si="3"/>
        <v/>
      </c>
    </row>
    <row r="23" ht="15.75" customHeight="1">
      <c r="A23" s="21" t="str">
        <f>Articles!A22</f>
        <v/>
      </c>
      <c r="B23" s="21" t="str">
        <f>Articles!B22</f>
        <v/>
      </c>
      <c r="C23" s="21" t="str">
        <f>IF(A23="","",SUMIFS(Mouvements!$G:$G,Mouvements!$E:$E,$B$3,Mouvements!$B:$B,A23,Mouvements!$F:$F,"Départ"))</f>
        <v/>
      </c>
      <c r="D23" s="21" t="str">
        <f>IF(A23="","",SUMIFS(Mouvements!$G:$G,Mouvements!$E:$E,$B$3,Mouvements!$B:$B,A23,Mouvements!$F:$F,"Retour"))</f>
        <v/>
      </c>
      <c r="E23" s="21" t="str">
        <f t="shared" si="1"/>
        <v/>
      </c>
      <c r="F23" s="21"/>
      <c r="G23" s="21" t="str">
        <f t="shared" si="2"/>
        <v/>
      </c>
      <c r="H23" s="21"/>
      <c r="I23" s="21" t="str">
        <f t="shared" si="3"/>
        <v/>
      </c>
    </row>
    <row r="24" ht="15.75" customHeight="1">
      <c r="A24" s="21" t="str">
        <f>Articles!A23</f>
        <v/>
      </c>
      <c r="B24" s="21" t="str">
        <f>Articles!B23</f>
        <v/>
      </c>
      <c r="C24" s="21" t="str">
        <f>IF(A24="","",SUMIFS(Mouvements!$G:$G,Mouvements!$E:$E,$B$3,Mouvements!$B:$B,A24,Mouvements!$F:$F,"Départ"))</f>
        <v/>
      </c>
      <c r="D24" s="21" t="str">
        <f>IF(A24="","",SUMIFS(Mouvements!$G:$G,Mouvements!$E:$E,$B$3,Mouvements!$B:$B,A24,Mouvements!$F:$F,"Retour"))</f>
        <v/>
      </c>
      <c r="E24" s="21" t="str">
        <f t="shared" si="1"/>
        <v/>
      </c>
      <c r="F24" s="21"/>
      <c r="G24" s="21" t="str">
        <f t="shared" si="2"/>
        <v/>
      </c>
      <c r="H24" s="21"/>
      <c r="I24" s="21" t="str">
        <f t="shared" si="3"/>
        <v/>
      </c>
    </row>
    <row r="25" ht="15.75" customHeight="1">
      <c r="A25" s="21" t="str">
        <f>Articles!A24</f>
        <v/>
      </c>
      <c r="B25" s="21" t="str">
        <f>Articles!B24</f>
        <v/>
      </c>
      <c r="C25" s="21" t="str">
        <f>IF(A25="","",SUMIFS(Mouvements!$G:$G,Mouvements!$E:$E,$B$3,Mouvements!$B:$B,A25,Mouvements!$F:$F,"Départ"))</f>
        <v/>
      </c>
      <c r="D25" s="21" t="str">
        <f>IF(A25="","",SUMIFS(Mouvements!$G:$G,Mouvements!$E:$E,$B$3,Mouvements!$B:$B,A25,Mouvements!$F:$F,"Retour"))</f>
        <v/>
      </c>
      <c r="E25" s="21" t="str">
        <f t="shared" si="1"/>
        <v/>
      </c>
      <c r="F25" s="21"/>
      <c r="G25" s="21" t="str">
        <f t="shared" si="2"/>
        <v/>
      </c>
      <c r="H25" s="21"/>
      <c r="I25" s="21" t="str">
        <f t="shared" si="3"/>
        <v/>
      </c>
    </row>
    <row r="26" ht="15.75" customHeight="1">
      <c r="A26" s="21" t="str">
        <f>Articles!A25</f>
        <v/>
      </c>
      <c r="B26" s="21" t="str">
        <f>Articles!B25</f>
        <v/>
      </c>
      <c r="C26" s="21" t="str">
        <f>IF(A26="","",SUMIFS(Mouvements!$G:$G,Mouvements!$E:$E,$B$3,Mouvements!$B:$B,A26,Mouvements!$F:$F,"Départ"))</f>
        <v/>
      </c>
      <c r="D26" s="21" t="str">
        <f>IF(A26="","",SUMIFS(Mouvements!$G:$G,Mouvements!$E:$E,$B$3,Mouvements!$B:$B,A26,Mouvements!$F:$F,"Retour"))</f>
        <v/>
      </c>
      <c r="E26" s="21" t="str">
        <f t="shared" si="1"/>
        <v/>
      </c>
      <c r="F26" s="21"/>
      <c r="G26" s="21" t="str">
        <f t="shared" si="2"/>
        <v/>
      </c>
      <c r="H26" s="21"/>
      <c r="I26" s="21" t="str">
        <f t="shared" si="3"/>
        <v/>
      </c>
    </row>
    <row r="27" ht="15.75" customHeight="1">
      <c r="A27" s="21" t="str">
        <f>Articles!A26</f>
        <v/>
      </c>
      <c r="B27" s="21" t="str">
        <f>Articles!B26</f>
        <v/>
      </c>
      <c r="C27" s="21" t="str">
        <f>IF(A27="","",SUMIFS(Mouvements!$G:$G,Mouvements!$E:$E,$B$3,Mouvements!$B:$B,A27,Mouvements!$F:$F,"Départ"))</f>
        <v/>
      </c>
      <c r="D27" s="21" t="str">
        <f>IF(A27="","",SUMIFS(Mouvements!$G:$G,Mouvements!$E:$E,$B$3,Mouvements!$B:$B,A27,Mouvements!$F:$F,"Retour"))</f>
        <v/>
      </c>
      <c r="E27" s="21" t="str">
        <f t="shared" si="1"/>
        <v/>
      </c>
      <c r="F27" s="21"/>
      <c r="G27" s="21" t="str">
        <f t="shared" si="2"/>
        <v/>
      </c>
      <c r="H27" s="21"/>
      <c r="I27" s="21" t="str">
        <f t="shared" si="3"/>
        <v/>
      </c>
    </row>
    <row r="28" ht="15.75" customHeight="1">
      <c r="A28" s="21" t="str">
        <f>Articles!A27</f>
        <v/>
      </c>
      <c r="B28" s="21" t="str">
        <f>Articles!B27</f>
        <v/>
      </c>
      <c r="C28" s="21" t="str">
        <f>IF(A28="","",SUMIFS(Mouvements!$G:$G,Mouvements!$E:$E,$B$3,Mouvements!$B:$B,A28,Mouvements!$F:$F,"Départ"))</f>
        <v/>
      </c>
      <c r="D28" s="21" t="str">
        <f>IF(A28="","",SUMIFS(Mouvements!$G:$G,Mouvements!$E:$E,$B$3,Mouvements!$B:$B,A28,Mouvements!$F:$F,"Retour"))</f>
        <v/>
      </c>
      <c r="E28" s="21" t="str">
        <f t="shared" si="1"/>
        <v/>
      </c>
      <c r="F28" s="21"/>
      <c r="G28" s="21" t="str">
        <f t="shared" si="2"/>
        <v/>
      </c>
      <c r="H28" s="21"/>
      <c r="I28" s="21" t="str">
        <f t="shared" si="3"/>
        <v/>
      </c>
    </row>
    <row r="29" ht="15.75" customHeight="1">
      <c r="A29" s="21" t="str">
        <f>Articles!A28</f>
        <v/>
      </c>
      <c r="B29" s="21" t="str">
        <f>Articles!B28</f>
        <v/>
      </c>
      <c r="C29" s="21" t="str">
        <f>IF(A29="","",SUMIFS(Mouvements!$G:$G,Mouvements!$E:$E,$B$3,Mouvements!$B:$B,A29,Mouvements!$F:$F,"Départ"))</f>
        <v/>
      </c>
      <c r="D29" s="21" t="str">
        <f>IF(A29="","",SUMIFS(Mouvements!$G:$G,Mouvements!$E:$E,$B$3,Mouvements!$B:$B,A29,Mouvements!$F:$F,"Retour"))</f>
        <v/>
      </c>
      <c r="E29" s="21" t="str">
        <f t="shared" si="1"/>
        <v/>
      </c>
      <c r="F29" s="21"/>
      <c r="G29" s="21" t="str">
        <f t="shared" si="2"/>
        <v/>
      </c>
      <c r="H29" s="21"/>
      <c r="I29" s="21" t="str">
        <f t="shared" si="3"/>
        <v/>
      </c>
    </row>
    <row r="30" ht="15.75" customHeight="1">
      <c r="A30" s="21" t="str">
        <f>Articles!A29</f>
        <v/>
      </c>
      <c r="B30" s="21" t="str">
        <f>Articles!B29</f>
        <v/>
      </c>
      <c r="C30" s="21" t="str">
        <f>IF(A30="","",SUMIFS(Mouvements!$G:$G,Mouvements!$E:$E,$B$3,Mouvements!$B:$B,A30,Mouvements!$F:$F,"Départ"))</f>
        <v/>
      </c>
      <c r="D30" s="21" t="str">
        <f>IF(A30="","",SUMIFS(Mouvements!$G:$G,Mouvements!$E:$E,$B$3,Mouvements!$B:$B,A30,Mouvements!$F:$F,"Retour"))</f>
        <v/>
      </c>
      <c r="E30" s="21" t="str">
        <f t="shared" si="1"/>
        <v/>
      </c>
      <c r="F30" s="21"/>
      <c r="G30" s="21" t="str">
        <f t="shared" si="2"/>
        <v/>
      </c>
      <c r="H30" s="21"/>
      <c r="I30" s="21" t="str">
        <f t="shared" si="3"/>
        <v/>
      </c>
    </row>
    <row r="31" ht="15.75" customHeight="1">
      <c r="A31" s="21" t="str">
        <f>Articles!A30</f>
        <v/>
      </c>
      <c r="B31" s="21" t="str">
        <f>Articles!B30</f>
        <v/>
      </c>
      <c r="C31" s="21" t="str">
        <f>IF(A31="","",SUMIFS(Mouvements!$G:$G,Mouvements!$E:$E,$B$3,Mouvements!$B:$B,A31,Mouvements!$F:$F,"Départ"))</f>
        <v/>
      </c>
      <c r="D31" s="21" t="str">
        <f>IF(A31="","",SUMIFS(Mouvements!$G:$G,Mouvements!$E:$E,$B$3,Mouvements!$B:$B,A31,Mouvements!$F:$F,"Retour"))</f>
        <v/>
      </c>
      <c r="E31" s="21" t="str">
        <f t="shared" si="1"/>
        <v/>
      </c>
      <c r="F31" s="21"/>
      <c r="G31" s="21" t="str">
        <f t="shared" si="2"/>
        <v/>
      </c>
      <c r="H31" s="21"/>
      <c r="I31" s="21" t="str">
        <f t="shared" si="3"/>
        <v/>
      </c>
    </row>
    <row r="32" ht="15.75" customHeight="1">
      <c r="A32" s="21" t="str">
        <f>Articles!A31</f>
        <v/>
      </c>
      <c r="B32" s="21" t="str">
        <f>Articles!B31</f>
        <v/>
      </c>
      <c r="C32" s="21" t="str">
        <f>IF(A32="","",SUMIFS(Mouvements!$G:$G,Mouvements!$E:$E,$B$3,Mouvements!$B:$B,A32,Mouvements!$F:$F,"Départ"))</f>
        <v/>
      </c>
      <c r="D32" s="21" t="str">
        <f>IF(A32="","",SUMIFS(Mouvements!$G:$G,Mouvements!$E:$E,$B$3,Mouvements!$B:$B,A32,Mouvements!$F:$F,"Retour"))</f>
        <v/>
      </c>
      <c r="E32" s="21" t="str">
        <f t="shared" si="1"/>
        <v/>
      </c>
      <c r="F32" s="21"/>
      <c r="G32" s="21" t="str">
        <f t="shared" si="2"/>
        <v/>
      </c>
      <c r="H32" s="21"/>
      <c r="I32" s="21" t="str">
        <f t="shared" si="3"/>
        <v/>
      </c>
    </row>
    <row r="33" ht="15.75" customHeight="1">
      <c r="A33" s="21" t="str">
        <f>Articles!A32</f>
        <v/>
      </c>
      <c r="B33" s="21" t="str">
        <f>Articles!B32</f>
        <v/>
      </c>
      <c r="C33" s="21" t="str">
        <f>IF(A33="","",SUMIFS(Mouvements!$G:$G,Mouvements!$E:$E,$B$3,Mouvements!$B:$B,A33,Mouvements!$F:$F,"Départ"))</f>
        <v/>
      </c>
      <c r="D33" s="21" t="str">
        <f>IF(A33="","",SUMIFS(Mouvements!$G:$G,Mouvements!$E:$E,$B$3,Mouvements!$B:$B,A33,Mouvements!$F:$F,"Retour"))</f>
        <v/>
      </c>
      <c r="E33" s="21" t="str">
        <f t="shared" si="1"/>
        <v/>
      </c>
      <c r="F33" s="21"/>
      <c r="G33" s="21" t="str">
        <f t="shared" si="2"/>
        <v/>
      </c>
      <c r="H33" s="21"/>
      <c r="I33" s="21" t="str">
        <f t="shared" si="3"/>
        <v/>
      </c>
    </row>
    <row r="34" ht="15.75" customHeight="1">
      <c r="A34" s="21" t="str">
        <f>Articles!A33</f>
        <v/>
      </c>
      <c r="B34" s="21" t="str">
        <f>Articles!B33</f>
        <v/>
      </c>
      <c r="C34" s="21" t="str">
        <f>IF(A34="","",SUMIFS(Mouvements!$G:$G,Mouvements!$E:$E,$B$3,Mouvements!$B:$B,A34,Mouvements!$F:$F,"Départ"))</f>
        <v/>
      </c>
      <c r="D34" s="21" t="str">
        <f>IF(A34="","",SUMIFS(Mouvements!$G:$G,Mouvements!$E:$E,$B$3,Mouvements!$B:$B,A34,Mouvements!$F:$F,"Retour"))</f>
        <v/>
      </c>
      <c r="E34" s="21" t="str">
        <f t="shared" si="1"/>
        <v/>
      </c>
      <c r="F34" s="21"/>
      <c r="G34" s="21" t="str">
        <f t="shared" si="2"/>
        <v/>
      </c>
      <c r="H34" s="21"/>
      <c r="I34" s="21" t="str">
        <f t="shared" si="3"/>
        <v/>
      </c>
    </row>
    <row r="35" ht="15.75" customHeight="1">
      <c r="A35" s="21" t="str">
        <f>Articles!A34</f>
        <v/>
      </c>
      <c r="B35" s="21" t="str">
        <f>Articles!B34</f>
        <v/>
      </c>
      <c r="C35" s="21" t="str">
        <f>IF(A35="","",SUMIFS(Mouvements!$G:$G,Mouvements!$E:$E,$B$3,Mouvements!$B:$B,A35,Mouvements!$F:$F,"Départ"))</f>
        <v/>
      </c>
      <c r="D35" s="21" t="str">
        <f>IF(A35="","",SUMIFS(Mouvements!$G:$G,Mouvements!$E:$E,$B$3,Mouvements!$B:$B,A35,Mouvements!$F:$F,"Retour"))</f>
        <v/>
      </c>
      <c r="E35" s="21" t="str">
        <f t="shared" si="1"/>
        <v/>
      </c>
      <c r="F35" s="21"/>
      <c r="G35" s="21" t="str">
        <f t="shared" si="2"/>
        <v/>
      </c>
      <c r="H35" s="21"/>
      <c r="I35" s="21" t="str">
        <f t="shared" si="3"/>
        <v/>
      </c>
    </row>
    <row r="36" ht="15.75" customHeight="1">
      <c r="A36" s="21" t="str">
        <f>Articles!A35</f>
        <v/>
      </c>
      <c r="B36" s="21" t="str">
        <f>Articles!B35</f>
        <v/>
      </c>
      <c r="C36" s="21" t="str">
        <f>IF(A36="","",SUMIFS(Mouvements!$G:$G,Mouvements!$E:$E,$B$3,Mouvements!$B:$B,A36,Mouvements!$F:$F,"Départ"))</f>
        <v/>
      </c>
      <c r="D36" s="21" t="str">
        <f>IF(A36="","",SUMIFS(Mouvements!$G:$G,Mouvements!$E:$E,$B$3,Mouvements!$B:$B,A36,Mouvements!$F:$F,"Retour"))</f>
        <v/>
      </c>
      <c r="E36" s="21" t="str">
        <f t="shared" si="1"/>
        <v/>
      </c>
      <c r="F36" s="21"/>
      <c r="G36" s="21" t="str">
        <f t="shared" si="2"/>
        <v/>
      </c>
      <c r="H36" s="21"/>
      <c r="I36" s="21" t="str">
        <f t="shared" si="3"/>
        <v/>
      </c>
    </row>
    <row r="37" ht="15.75" customHeight="1">
      <c r="A37" s="21" t="str">
        <f>Articles!A36</f>
        <v/>
      </c>
      <c r="B37" s="21" t="str">
        <f>Articles!B36</f>
        <v/>
      </c>
      <c r="C37" s="21" t="str">
        <f>IF(A37="","",SUMIFS(Mouvements!$G:$G,Mouvements!$E:$E,$B$3,Mouvements!$B:$B,A37,Mouvements!$F:$F,"Départ"))</f>
        <v/>
      </c>
      <c r="D37" s="21" t="str">
        <f>IF(A37="","",SUMIFS(Mouvements!$G:$G,Mouvements!$E:$E,$B$3,Mouvements!$B:$B,A37,Mouvements!$F:$F,"Retour"))</f>
        <v/>
      </c>
      <c r="E37" s="21" t="str">
        <f t="shared" si="1"/>
        <v/>
      </c>
      <c r="F37" s="21"/>
      <c r="G37" s="21" t="str">
        <f t="shared" si="2"/>
        <v/>
      </c>
      <c r="H37" s="21"/>
      <c r="I37" s="21" t="str">
        <f t="shared" si="3"/>
        <v/>
      </c>
    </row>
    <row r="38" ht="15.75" customHeight="1">
      <c r="A38" s="21" t="str">
        <f>Articles!A37</f>
        <v/>
      </c>
      <c r="B38" s="21" t="str">
        <f>Articles!B37</f>
        <v/>
      </c>
      <c r="C38" s="21" t="str">
        <f>IF(A38="","",SUMIFS(Mouvements!$G:$G,Mouvements!$E:$E,$B$3,Mouvements!$B:$B,A38,Mouvements!$F:$F,"Départ"))</f>
        <v/>
      </c>
      <c r="D38" s="21" t="str">
        <f>IF(A38="","",SUMIFS(Mouvements!$G:$G,Mouvements!$E:$E,$B$3,Mouvements!$B:$B,A38,Mouvements!$F:$F,"Retour"))</f>
        <v/>
      </c>
      <c r="E38" s="21" t="str">
        <f t="shared" si="1"/>
        <v/>
      </c>
      <c r="F38" s="21"/>
      <c r="G38" s="21" t="str">
        <f t="shared" si="2"/>
        <v/>
      </c>
      <c r="H38" s="21"/>
      <c r="I38" s="21" t="str">
        <f t="shared" si="3"/>
        <v/>
      </c>
    </row>
    <row r="39" ht="15.75" customHeight="1">
      <c r="A39" s="21" t="str">
        <f>Articles!A38</f>
        <v/>
      </c>
      <c r="B39" s="21" t="str">
        <f>Articles!B38</f>
        <v/>
      </c>
      <c r="C39" s="21" t="str">
        <f>IF(A39="","",SUMIFS(Mouvements!$G:$G,Mouvements!$E:$E,$B$3,Mouvements!$B:$B,A39,Mouvements!$F:$F,"Départ"))</f>
        <v/>
      </c>
      <c r="D39" s="21" t="str">
        <f>IF(A39="","",SUMIFS(Mouvements!$G:$G,Mouvements!$E:$E,$B$3,Mouvements!$B:$B,A39,Mouvements!$F:$F,"Retour"))</f>
        <v/>
      </c>
      <c r="E39" s="21" t="str">
        <f t="shared" si="1"/>
        <v/>
      </c>
      <c r="F39" s="21"/>
      <c r="G39" s="21" t="str">
        <f t="shared" si="2"/>
        <v/>
      </c>
      <c r="H39" s="21"/>
      <c r="I39" s="21" t="str">
        <f t="shared" si="3"/>
        <v/>
      </c>
    </row>
    <row r="40" ht="15.75" customHeight="1">
      <c r="A40" s="21" t="str">
        <f>Articles!A39</f>
        <v/>
      </c>
      <c r="B40" s="21" t="str">
        <f>Articles!B39</f>
        <v/>
      </c>
      <c r="C40" s="21" t="str">
        <f>IF(A40="","",SUMIFS(Mouvements!$G:$G,Mouvements!$E:$E,$B$3,Mouvements!$B:$B,A40,Mouvements!$F:$F,"Départ"))</f>
        <v/>
      </c>
      <c r="D40" s="21" t="str">
        <f>IF(A40="","",SUMIFS(Mouvements!$G:$G,Mouvements!$E:$E,$B$3,Mouvements!$B:$B,A40,Mouvements!$F:$F,"Retour"))</f>
        <v/>
      </c>
      <c r="E40" s="21" t="str">
        <f t="shared" si="1"/>
        <v/>
      </c>
      <c r="F40" s="21"/>
      <c r="G40" s="21" t="str">
        <f t="shared" si="2"/>
        <v/>
      </c>
      <c r="H40" s="21"/>
      <c r="I40" s="21" t="str">
        <f t="shared" si="3"/>
        <v/>
      </c>
    </row>
    <row r="41" ht="15.75" customHeight="1">
      <c r="A41" s="21" t="str">
        <f>Articles!A40</f>
        <v/>
      </c>
      <c r="B41" s="21" t="str">
        <f>Articles!B40</f>
        <v/>
      </c>
      <c r="C41" s="21" t="str">
        <f>IF(A41="","",SUMIFS(Mouvements!$G:$G,Mouvements!$E:$E,$B$3,Mouvements!$B:$B,A41,Mouvements!$F:$F,"Départ"))</f>
        <v/>
      </c>
      <c r="D41" s="21" t="str">
        <f>IF(A41="","",SUMIFS(Mouvements!$G:$G,Mouvements!$E:$E,$B$3,Mouvements!$B:$B,A41,Mouvements!$F:$F,"Retour"))</f>
        <v/>
      </c>
      <c r="E41" s="21" t="str">
        <f t="shared" si="1"/>
        <v/>
      </c>
      <c r="F41" s="21"/>
      <c r="G41" s="21" t="str">
        <f t="shared" si="2"/>
        <v/>
      </c>
      <c r="H41" s="21"/>
      <c r="I41" s="21" t="str">
        <f t="shared" si="3"/>
        <v/>
      </c>
    </row>
    <row r="42" ht="15.75" customHeight="1">
      <c r="A42" s="21" t="str">
        <f>Articles!A41</f>
        <v/>
      </c>
      <c r="B42" s="21" t="str">
        <f>Articles!B41</f>
        <v/>
      </c>
      <c r="C42" s="21" t="str">
        <f>IF(A42="","",SUMIFS(Mouvements!$G:$G,Mouvements!$E:$E,$B$3,Mouvements!$B:$B,A42,Mouvements!$F:$F,"Départ"))</f>
        <v/>
      </c>
      <c r="D42" s="21" t="str">
        <f>IF(A42="","",SUMIFS(Mouvements!$G:$G,Mouvements!$E:$E,$B$3,Mouvements!$B:$B,A42,Mouvements!$F:$F,"Retour"))</f>
        <v/>
      </c>
      <c r="E42" s="21" t="str">
        <f t="shared" si="1"/>
        <v/>
      </c>
      <c r="F42" s="21"/>
      <c r="G42" s="21" t="str">
        <f t="shared" si="2"/>
        <v/>
      </c>
      <c r="H42" s="21"/>
      <c r="I42" s="21" t="str">
        <f t="shared" si="3"/>
        <v/>
      </c>
    </row>
    <row r="43" ht="15.75" customHeight="1">
      <c r="A43" s="21" t="str">
        <f>Articles!A42</f>
        <v/>
      </c>
      <c r="B43" s="21" t="str">
        <f>Articles!B42</f>
        <v/>
      </c>
      <c r="C43" s="21" t="str">
        <f>IF(A43="","",SUMIFS(Mouvements!$G:$G,Mouvements!$E:$E,$B$3,Mouvements!$B:$B,A43,Mouvements!$F:$F,"Départ"))</f>
        <v/>
      </c>
      <c r="D43" s="21" t="str">
        <f>IF(A43="","",SUMIFS(Mouvements!$G:$G,Mouvements!$E:$E,$B$3,Mouvements!$B:$B,A43,Mouvements!$F:$F,"Retour"))</f>
        <v/>
      </c>
      <c r="E43" s="21" t="str">
        <f t="shared" si="1"/>
        <v/>
      </c>
      <c r="F43" s="21"/>
      <c r="G43" s="21" t="str">
        <f t="shared" si="2"/>
        <v/>
      </c>
      <c r="H43" s="21"/>
      <c r="I43" s="21" t="str">
        <f t="shared" si="3"/>
        <v/>
      </c>
    </row>
    <row r="44" ht="15.75" customHeight="1">
      <c r="A44" s="21" t="str">
        <f>Articles!A43</f>
        <v/>
      </c>
      <c r="B44" s="21" t="str">
        <f>Articles!B43</f>
        <v/>
      </c>
      <c r="C44" s="21" t="str">
        <f>IF(A44="","",SUMIFS(Mouvements!$G:$G,Mouvements!$E:$E,$B$3,Mouvements!$B:$B,A44,Mouvements!$F:$F,"Départ"))</f>
        <v/>
      </c>
      <c r="D44" s="21" t="str">
        <f>IF(A44="","",SUMIFS(Mouvements!$G:$G,Mouvements!$E:$E,$B$3,Mouvements!$B:$B,A44,Mouvements!$F:$F,"Retour"))</f>
        <v/>
      </c>
      <c r="E44" s="21" t="str">
        <f t="shared" si="1"/>
        <v/>
      </c>
      <c r="F44" s="21"/>
      <c r="G44" s="21" t="str">
        <f t="shared" si="2"/>
        <v/>
      </c>
      <c r="H44" s="21"/>
      <c r="I44" s="21" t="str">
        <f t="shared" si="3"/>
        <v/>
      </c>
    </row>
    <row r="45" ht="15.75" customHeight="1">
      <c r="A45" s="21" t="str">
        <f>Articles!A44</f>
        <v/>
      </c>
      <c r="B45" s="21" t="str">
        <f>Articles!B44</f>
        <v/>
      </c>
      <c r="C45" s="21" t="str">
        <f>IF(A45="","",SUMIFS(Mouvements!$G:$G,Mouvements!$E:$E,$B$3,Mouvements!$B:$B,A45,Mouvements!$F:$F,"Départ"))</f>
        <v/>
      </c>
      <c r="D45" s="21" t="str">
        <f>IF(A45="","",SUMIFS(Mouvements!$G:$G,Mouvements!$E:$E,$B$3,Mouvements!$B:$B,A45,Mouvements!$F:$F,"Retour"))</f>
        <v/>
      </c>
      <c r="E45" s="21" t="str">
        <f t="shared" si="1"/>
        <v/>
      </c>
      <c r="F45" s="21"/>
      <c r="G45" s="21" t="str">
        <f t="shared" si="2"/>
        <v/>
      </c>
      <c r="H45" s="21"/>
      <c r="I45" s="21" t="str">
        <f t="shared" si="3"/>
        <v/>
      </c>
    </row>
    <row r="46" ht="15.75" customHeight="1">
      <c r="A46" s="21" t="str">
        <f>Articles!A45</f>
        <v/>
      </c>
      <c r="B46" s="21" t="str">
        <f>Articles!B45</f>
        <v/>
      </c>
      <c r="C46" s="21" t="str">
        <f>IF(A46="","",SUMIFS(Mouvements!$G:$G,Mouvements!$E:$E,$B$3,Mouvements!$B:$B,A46,Mouvements!$F:$F,"Départ"))</f>
        <v/>
      </c>
      <c r="D46" s="21" t="str">
        <f>IF(A46="","",SUMIFS(Mouvements!$G:$G,Mouvements!$E:$E,$B$3,Mouvements!$B:$B,A46,Mouvements!$F:$F,"Retour"))</f>
        <v/>
      </c>
      <c r="E46" s="21" t="str">
        <f t="shared" si="1"/>
        <v/>
      </c>
      <c r="F46" s="21"/>
      <c r="G46" s="21" t="str">
        <f t="shared" si="2"/>
        <v/>
      </c>
      <c r="H46" s="21"/>
      <c r="I46" s="21" t="str">
        <f t="shared" si="3"/>
        <v/>
      </c>
    </row>
    <row r="47" ht="15.75" customHeight="1">
      <c r="A47" s="21" t="str">
        <f>Articles!A46</f>
        <v/>
      </c>
      <c r="B47" s="21" t="str">
        <f>Articles!B46</f>
        <v/>
      </c>
      <c r="C47" s="21" t="str">
        <f>IF(A47="","",SUMIFS(Mouvements!$G:$G,Mouvements!$E:$E,$B$3,Mouvements!$B:$B,A47,Mouvements!$F:$F,"Départ"))</f>
        <v/>
      </c>
      <c r="D47" s="21" t="str">
        <f>IF(A47="","",SUMIFS(Mouvements!$G:$G,Mouvements!$E:$E,$B$3,Mouvements!$B:$B,A47,Mouvements!$F:$F,"Retour"))</f>
        <v/>
      </c>
      <c r="E47" s="21" t="str">
        <f t="shared" si="1"/>
        <v/>
      </c>
      <c r="F47" s="21"/>
      <c r="G47" s="21" t="str">
        <f t="shared" si="2"/>
        <v/>
      </c>
      <c r="H47" s="21"/>
      <c r="I47" s="21" t="str">
        <f t="shared" si="3"/>
        <v/>
      </c>
    </row>
    <row r="48" ht="15.75" customHeight="1">
      <c r="A48" s="21" t="str">
        <f>Articles!A47</f>
        <v/>
      </c>
      <c r="B48" s="21" t="str">
        <f>Articles!B47</f>
        <v/>
      </c>
      <c r="C48" s="21" t="str">
        <f>IF(A48="","",SUMIFS(Mouvements!$G:$G,Mouvements!$E:$E,$B$3,Mouvements!$B:$B,A48,Mouvements!$F:$F,"Départ"))</f>
        <v/>
      </c>
      <c r="D48" s="21" t="str">
        <f>IF(A48="","",SUMIFS(Mouvements!$G:$G,Mouvements!$E:$E,$B$3,Mouvements!$B:$B,A48,Mouvements!$F:$F,"Retour"))</f>
        <v/>
      </c>
      <c r="E48" s="21" t="str">
        <f t="shared" si="1"/>
        <v/>
      </c>
      <c r="F48" s="21"/>
      <c r="G48" s="21" t="str">
        <f t="shared" si="2"/>
        <v/>
      </c>
      <c r="H48" s="21"/>
      <c r="I48" s="21" t="str">
        <f t="shared" si="3"/>
        <v/>
      </c>
    </row>
    <row r="49" ht="15.75" customHeight="1">
      <c r="A49" s="21" t="str">
        <f>Articles!A48</f>
        <v/>
      </c>
      <c r="B49" s="21" t="str">
        <f>Articles!B48</f>
        <v/>
      </c>
      <c r="C49" s="21" t="str">
        <f>IF(A49="","",SUMIFS(Mouvements!$G:$G,Mouvements!$E:$E,$B$3,Mouvements!$B:$B,A49,Mouvements!$F:$F,"Départ"))</f>
        <v/>
      </c>
      <c r="D49" s="21" t="str">
        <f>IF(A49="","",SUMIFS(Mouvements!$G:$G,Mouvements!$E:$E,$B$3,Mouvements!$B:$B,A49,Mouvements!$F:$F,"Retour"))</f>
        <v/>
      </c>
      <c r="E49" s="21" t="str">
        <f t="shared" si="1"/>
        <v/>
      </c>
      <c r="F49" s="21"/>
      <c r="G49" s="21" t="str">
        <f t="shared" si="2"/>
        <v/>
      </c>
      <c r="H49" s="21"/>
      <c r="I49" s="21" t="str">
        <f t="shared" si="3"/>
        <v/>
      </c>
    </row>
    <row r="50" ht="15.75" customHeight="1">
      <c r="A50" s="21" t="str">
        <f>Articles!A49</f>
        <v/>
      </c>
      <c r="B50" s="21" t="str">
        <f>Articles!B49</f>
        <v/>
      </c>
      <c r="C50" s="21" t="str">
        <f>IF(A50="","",SUMIFS(Mouvements!$G:$G,Mouvements!$E:$E,$B$3,Mouvements!$B:$B,A50,Mouvements!$F:$F,"Départ"))</f>
        <v/>
      </c>
      <c r="D50" s="21" t="str">
        <f>IF(A50="","",SUMIFS(Mouvements!$G:$G,Mouvements!$E:$E,$B$3,Mouvements!$B:$B,A50,Mouvements!$F:$F,"Retour"))</f>
        <v/>
      </c>
      <c r="E50" s="21" t="str">
        <f t="shared" si="1"/>
        <v/>
      </c>
      <c r="F50" s="21"/>
      <c r="G50" s="21" t="str">
        <f t="shared" si="2"/>
        <v/>
      </c>
      <c r="H50" s="21"/>
      <c r="I50" s="21" t="str">
        <f t="shared" si="3"/>
        <v/>
      </c>
    </row>
    <row r="51" ht="15.75" customHeight="1">
      <c r="A51" s="21" t="str">
        <f>Articles!A50</f>
        <v/>
      </c>
      <c r="B51" s="21" t="str">
        <f>Articles!B50</f>
        <v/>
      </c>
      <c r="C51" s="21" t="str">
        <f>IF(A51="","",SUMIFS(Mouvements!$G:$G,Mouvements!$E:$E,$B$3,Mouvements!$B:$B,A51,Mouvements!$F:$F,"Départ"))</f>
        <v/>
      </c>
      <c r="D51" s="21" t="str">
        <f>IF(A51="","",SUMIFS(Mouvements!$G:$G,Mouvements!$E:$E,$B$3,Mouvements!$B:$B,A51,Mouvements!$F:$F,"Retour"))</f>
        <v/>
      </c>
      <c r="E51" s="21" t="str">
        <f t="shared" si="1"/>
        <v/>
      </c>
      <c r="F51" s="21"/>
      <c r="G51" s="21" t="str">
        <f t="shared" si="2"/>
        <v/>
      </c>
      <c r="H51" s="21"/>
      <c r="I51" s="21" t="str">
        <f t="shared" si="3"/>
        <v/>
      </c>
    </row>
    <row r="52" ht="15.75" customHeight="1">
      <c r="A52" s="21" t="str">
        <f>Articles!A51</f>
        <v/>
      </c>
      <c r="B52" s="21" t="str">
        <f>Articles!B51</f>
        <v/>
      </c>
      <c r="C52" s="21" t="str">
        <f>IF(A52="","",SUMIFS(Mouvements!$G:$G,Mouvements!$E:$E,$B$3,Mouvements!$B:$B,A52,Mouvements!$F:$F,"Départ"))</f>
        <v/>
      </c>
      <c r="D52" s="21" t="str">
        <f>IF(A52="","",SUMIFS(Mouvements!$G:$G,Mouvements!$E:$E,$B$3,Mouvements!$B:$B,A52,Mouvements!$F:$F,"Retour"))</f>
        <v/>
      </c>
      <c r="E52" s="21" t="str">
        <f t="shared" si="1"/>
        <v/>
      </c>
      <c r="F52" s="21"/>
      <c r="G52" s="21" t="str">
        <f t="shared" si="2"/>
        <v/>
      </c>
      <c r="H52" s="21"/>
      <c r="I52" s="21" t="str">
        <f t="shared" si="3"/>
        <v/>
      </c>
    </row>
    <row r="53" ht="15.75" customHeight="1">
      <c r="A53" s="21" t="str">
        <f>Articles!A52</f>
        <v/>
      </c>
      <c r="B53" s="21" t="str">
        <f>Articles!B52</f>
        <v/>
      </c>
      <c r="C53" s="21" t="str">
        <f>IF(A53="","",SUMIFS(Mouvements!$G:$G,Mouvements!$E:$E,$B$3,Mouvements!$B:$B,A53,Mouvements!$F:$F,"Départ"))</f>
        <v/>
      </c>
      <c r="D53" s="21" t="str">
        <f>IF(A53="","",SUMIFS(Mouvements!$G:$G,Mouvements!$E:$E,$B$3,Mouvements!$B:$B,A53,Mouvements!$F:$F,"Retour"))</f>
        <v/>
      </c>
      <c r="E53" s="21" t="str">
        <f t="shared" si="1"/>
        <v/>
      </c>
      <c r="F53" s="21"/>
      <c r="G53" s="21" t="str">
        <f t="shared" si="2"/>
        <v/>
      </c>
      <c r="H53" s="21"/>
      <c r="I53" s="21" t="str">
        <f t="shared" si="3"/>
        <v/>
      </c>
    </row>
    <row r="54" ht="15.75" customHeight="1">
      <c r="A54" s="21" t="str">
        <f>Articles!A53</f>
        <v/>
      </c>
      <c r="B54" s="21" t="str">
        <f>Articles!B53</f>
        <v/>
      </c>
      <c r="C54" s="21" t="str">
        <f>IF(A54="","",SUMIFS(Mouvements!$G:$G,Mouvements!$E:$E,$B$3,Mouvements!$B:$B,A54,Mouvements!$F:$F,"Départ"))</f>
        <v/>
      </c>
      <c r="D54" s="21" t="str">
        <f>IF(A54="","",SUMIFS(Mouvements!$G:$G,Mouvements!$E:$E,$B$3,Mouvements!$B:$B,A54,Mouvements!$F:$F,"Retour"))</f>
        <v/>
      </c>
      <c r="E54" s="21" t="str">
        <f t="shared" si="1"/>
        <v/>
      </c>
      <c r="F54" s="21"/>
      <c r="G54" s="21" t="str">
        <f t="shared" si="2"/>
        <v/>
      </c>
      <c r="H54" s="21"/>
      <c r="I54" s="21" t="str">
        <f t="shared" si="3"/>
        <v/>
      </c>
    </row>
    <row r="55" ht="15.75" customHeight="1">
      <c r="A55" s="21" t="str">
        <f>Articles!A54</f>
        <v/>
      </c>
      <c r="B55" s="21" t="str">
        <f>Articles!B54</f>
        <v/>
      </c>
      <c r="C55" s="21" t="str">
        <f>IF(A55="","",SUMIFS(Mouvements!$G:$G,Mouvements!$E:$E,$B$3,Mouvements!$B:$B,A55,Mouvements!$F:$F,"Départ"))</f>
        <v/>
      </c>
      <c r="D55" s="21" t="str">
        <f>IF(A55="","",SUMIFS(Mouvements!$G:$G,Mouvements!$E:$E,$B$3,Mouvements!$B:$B,A55,Mouvements!$F:$F,"Retour"))</f>
        <v/>
      </c>
      <c r="E55" s="21" t="str">
        <f t="shared" si="1"/>
        <v/>
      </c>
      <c r="F55" s="21"/>
      <c r="G55" s="21" t="str">
        <f t="shared" si="2"/>
        <v/>
      </c>
      <c r="H55" s="21"/>
      <c r="I55" s="21" t="str">
        <f t="shared" si="3"/>
        <v/>
      </c>
    </row>
    <row r="56" ht="15.75" customHeight="1">
      <c r="A56" s="21" t="str">
        <f>Articles!A55</f>
        <v/>
      </c>
      <c r="B56" s="21" t="str">
        <f>Articles!B55</f>
        <v/>
      </c>
      <c r="C56" s="21" t="str">
        <f>IF(A56="","",SUMIFS(Mouvements!$G:$G,Mouvements!$E:$E,$B$3,Mouvements!$B:$B,A56,Mouvements!$F:$F,"Départ"))</f>
        <v/>
      </c>
      <c r="D56" s="21" t="str">
        <f>IF(A56="","",SUMIFS(Mouvements!$G:$G,Mouvements!$E:$E,$B$3,Mouvements!$B:$B,A56,Mouvements!$F:$F,"Retour"))</f>
        <v/>
      </c>
      <c r="E56" s="21" t="str">
        <f t="shared" si="1"/>
        <v/>
      </c>
      <c r="F56" s="21"/>
      <c r="G56" s="21" t="str">
        <f t="shared" si="2"/>
        <v/>
      </c>
      <c r="H56" s="21"/>
      <c r="I56" s="21" t="str">
        <f t="shared" si="3"/>
        <v/>
      </c>
    </row>
    <row r="57" ht="15.75" customHeight="1">
      <c r="A57" s="21" t="str">
        <f>Articles!A56</f>
        <v/>
      </c>
      <c r="B57" s="21" t="str">
        <f>Articles!B56</f>
        <v/>
      </c>
      <c r="C57" s="21" t="str">
        <f>IF(A57="","",SUMIFS(Mouvements!$G:$G,Mouvements!$E:$E,$B$3,Mouvements!$B:$B,A57,Mouvements!$F:$F,"Départ"))</f>
        <v/>
      </c>
      <c r="D57" s="21" t="str">
        <f>IF(A57="","",SUMIFS(Mouvements!$G:$G,Mouvements!$E:$E,$B$3,Mouvements!$B:$B,A57,Mouvements!$F:$F,"Retour"))</f>
        <v/>
      </c>
      <c r="E57" s="21" t="str">
        <f t="shared" si="1"/>
        <v/>
      </c>
      <c r="F57" s="21"/>
      <c r="G57" s="21" t="str">
        <f t="shared" si="2"/>
        <v/>
      </c>
      <c r="H57" s="21"/>
      <c r="I57" s="21" t="str">
        <f t="shared" si="3"/>
        <v/>
      </c>
    </row>
    <row r="58" ht="15.75" customHeight="1">
      <c r="A58" s="21" t="str">
        <f>Articles!A57</f>
        <v/>
      </c>
      <c r="B58" s="21" t="str">
        <f>Articles!B57</f>
        <v/>
      </c>
      <c r="C58" s="21" t="str">
        <f>IF(A58="","",SUMIFS(Mouvements!$G:$G,Mouvements!$E:$E,$B$3,Mouvements!$B:$B,A58,Mouvements!$F:$F,"Départ"))</f>
        <v/>
      </c>
      <c r="D58" s="21" t="str">
        <f>IF(A58="","",SUMIFS(Mouvements!$G:$G,Mouvements!$E:$E,$B$3,Mouvements!$B:$B,A58,Mouvements!$F:$F,"Retour"))</f>
        <v/>
      </c>
      <c r="E58" s="21" t="str">
        <f t="shared" si="1"/>
        <v/>
      </c>
      <c r="F58" s="21"/>
      <c r="G58" s="21" t="str">
        <f t="shared" si="2"/>
        <v/>
      </c>
      <c r="H58" s="21"/>
      <c r="I58" s="21" t="str">
        <f t="shared" si="3"/>
        <v/>
      </c>
    </row>
    <row r="59" ht="15.75" customHeight="1">
      <c r="A59" s="21" t="str">
        <f>Articles!A58</f>
        <v/>
      </c>
      <c r="B59" s="21" t="str">
        <f>Articles!B58</f>
        <v/>
      </c>
      <c r="C59" s="21" t="str">
        <f>IF(A59="","",SUMIFS(Mouvements!$G:$G,Mouvements!$E:$E,$B$3,Mouvements!$B:$B,A59,Mouvements!$F:$F,"Départ"))</f>
        <v/>
      </c>
      <c r="D59" s="21" t="str">
        <f>IF(A59="","",SUMIFS(Mouvements!$G:$G,Mouvements!$E:$E,$B$3,Mouvements!$B:$B,A59,Mouvements!$F:$F,"Retour"))</f>
        <v/>
      </c>
      <c r="E59" s="21" t="str">
        <f t="shared" si="1"/>
        <v/>
      </c>
      <c r="F59" s="21"/>
      <c r="G59" s="21" t="str">
        <f t="shared" si="2"/>
        <v/>
      </c>
      <c r="H59" s="21"/>
      <c r="I59" s="21" t="str">
        <f t="shared" si="3"/>
        <v/>
      </c>
    </row>
    <row r="60" ht="15.75" customHeight="1">
      <c r="A60" s="21" t="str">
        <f>Articles!A59</f>
        <v/>
      </c>
      <c r="B60" s="21" t="str">
        <f>Articles!B59</f>
        <v/>
      </c>
      <c r="C60" s="21" t="str">
        <f>IF(A60="","",SUMIFS(Mouvements!$G:$G,Mouvements!$E:$E,$B$3,Mouvements!$B:$B,A60,Mouvements!$F:$F,"Départ"))</f>
        <v/>
      </c>
      <c r="D60" s="21" t="str">
        <f>IF(A60="","",SUMIFS(Mouvements!$G:$G,Mouvements!$E:$E,$B$3,Mouvements!$B:$B,A60,Mouvements!$F:$F,"Retour"))</f>
        <v/>
      </c>
      <c r="E60" s="21" t="str">
        <f t="shared" si="1"/>
        <v/>
      </c>
      <c r="F60" s="21"/>
      <c r="G60" s="21" t="str">
        <f t="shared" si="2"/>
        <v/>
      </c>
      <c r="H60" s="21"/>
      <c r="I60" s="21" t="str">
        <f t="shared" si="3"/>
        <v/>
      </c>
    </row>
    <row r="61" ht="15.75" customHeight="1">
      <c r="A61" s="21" t="str">
        <f>Articles!A60</f>
        <v/>
      </c>
      <c r="B61" s="21" t="str">
        <f>Articles!B60</f>
        <v/>
      </c>
      <c r="C61" s="21" t="str">
        <f>IF(A61="","",SUMIFS(Mouvements!$G:$G,Mouvements!$E:$E,$B$3,Mouvements!$B:$B,A61,Mouvements!$F:$F,"Départ"))</f>
        <v/>
      </c>
      <c r="D61" s="21" t="str">
        <f>IF(A61="","",SUMIFS(Mouvements!$G:$G,Mouvements!$E:$E,$B$3,Mouvements!$B:$B,A61,Mouvements!$F:$F,"Retour"))</f>
        <v/>
      </c>
      <c r="E61" s="21" t="str">
        <f t="shared" si="1"/>
        <v/>
      </c>
      <c r="F61" s="21"/>
      <c r="G61" s="21" t="str">
        <f t="shared" si="2"/>
        <v/>
      </c>
      <c r="H61" s="21"/>
      <c r="I61" s="21" t="str">
        <f t="shared" si="3"/>
        <v/>
      </c>
    </row>
    <row r="62" ht="15.75" customHeight="1">
      <c r="A62" s="21" t="str">
        <f>Articles!A61</f>
        <v/>
      </c>
      <c r="B62" s="21" t="str">
        <f>Articles!B61</f>
        <v/>
      </c>
      <c r="C62" s="21" t="str">
        <f>IF(A62="","",SUMIFS(Mouvements!$G:$G,Mouvements!$E:$E,$B$3,Mouvements!$B:$B,A62,Mouvements!$F:$F,"Départ"))</f>
        <v/>
      </c>
      <c r="D62" s="21" t="str">
        <f>IF(A62="","",SUMIFS(Mouvements!$G:$G,Mouvements!$E:$E,$B$3,Mouvements!$B:$B,A62,Mouvements!$F:$F,"Retour"))</f>
        <v/>
      </c>
      <c r="E62" s="21" t="str">
        <f t="shared" si="1"/>
        <v/>
      </c>
      <c r="F62" s="21"/>
      <c r="G62" s="21" t="str">
        <f t="shared" si="2"/>
        <v/>
      </c>
      <c r="H62" s="21"/>
      <c r="I62" s="21" t="str">
        <f t="shared" si="3"/>
        <v/>
      </c>
    </row>
    <row r="63" ht="15.75" customHeight="1">
      <c r="A63" s="21" t="str">
        <f>Articles!A62</f>
        <v/>
      </c>
      <c r="B63" s="21" t="str">
        <f>Articles!B62</f>
        <v/>
      </c>
      <c r="C63" s="21" t="str">
        <f>IF(A63="","",SUMIFS(Mouvements!$G:$G,Mouvements!$E:$E,$B$3,Mouvements!$B:$B,A63,Mouvements!$F:$F,"Départ"))</f>
        <v/>
      </c>
      <c r="D63" s="21" t="str">
        <f>IF(A63="","",SUMIFS(Mouvements!$G:$G,Mouvements!$E:$E,$B$3,Mouvements!$B:$B,A63,Mouvements!$F:$F,"Retour"))</f>
        <v/>
      </c>
      <c r="E63" s="21" t="str">
        <f t="shared" si="1"/>
        <v/>
      </c>
      <c r="F63" s="21"/>
      <c r="G63" s="21" t="str">
        <f t="shared" si="2"/>
        <v/>
      </c>
      <c r="H63" s="21"/>
      <c r="I63" s="21" t="str">
        <f t="shared" si="3"/>
        <v/>
      </c>
    </row>
    <row r="64" ht="15.75" customHeight="1">
      <c r="A64" s="21" t="str">
        <f>Articles!A63</f>
        <v/>
      </c>
      <c r="B64" s="21" t="str">
        <f>Articles!B63</f>
        <v/>
      </c>
      <c r="C64" s="21" t="str">
        <f>IF(A64="","",SUMIFS(Mouvements!$G:$G,Mouvements!$E:$E,$B$3,Mouvements!$B:$B,A64,Mouvements!$F:$F,"Départ"))</f>
        <v/>
      </c>
      <c r="D64" s="21" t="str">
        <f>IF(A64="","",SUMIFS(Mouvements!$G:$G,Mouvements!$E:$E,$B$3,Mouvements!$B:$B,A64,Mouvements!$F:$F,"Retour"))</f>
        <v/>
      </c>
      <c r="E64" s="21" t="str">
        <f t="shared" si="1"/>
        <v/>
      </c>
      <c r="F64" s="21"/>
      <c r="G64" s="21" t="str">
        <f t="shared" si="2"/>
        <v/>
      </c>
      <c r="H64" s="21"/>
      <c r="I64" s="21" t="str">
        <f t="shared" si="3"/>
        <v/>
      </c>
    </row>
    <row r="65" ht="15.75" customHeight="1">
      <c r="A65" s="21" t="str">
        <f>Articles!A64</f>
        <v/>
      </c>
      <c r="B65" s="21" t="str">
        <f>Articles!B64</f>
        <v/>
      </c>
      <c r="C65" s="21" t="str">
        <f>IF(A65="","",SUMIFS(Mouvements!$G:$G,Mouvements!$E:$E,$B$3,Mouvements!$B:$B,A65,Mouvements!$F:$F,"Départ"))</f>
        <v/>
      </c>
      <c r="D65" s="21" t="str">
        <f>IF(A65="","",SUMIFS(Mouvements!$G:$G,Mouvements!$E:$E,$B$3,Mouvements!$B:$B,A65,Mouvements!$F:$F,"Retour"))</f>
        <v/>
      </c>
      <c r="E65" s="21" t="str">
        <f t="shared" si="1"/>
        <v/>
      </c>
      <c r="F65" s="21"/>
      <c r="G65" s="21" t="str">
        <f t="shared" si="2"/>
        <v/>
      </c>
      <c r="H65" s="21"/>
      <c r="I65" s="21" t="str">
        <f t="shared" si="3"/>
        <v/>
      </c>
    </row>
    <row r="66" ht="15.75" customHeight="1">
      <c r="A66" s="21" t="str">
        <f>Articles!A65</f>
        <v/>
      </c>
      <c r="B66" s="21" t="str">
        <f>Articles!B65</f>
        <v/>
      </c>
      <c r="C66" s="21" t="str">
        <f>IF(A66="","",SUMIFS(Mouvements!$G:$G,Mouvements!$E:$E,$B$3,Mouvements!$B:$B,A66,Mouvements!$F:$F,"Départ"))</f>
        <v/>
      </c>
      <c r="D66" s="21" t="str">
        <f>IF(A66="","",SUMIFS(Mouvements!$G:$G,Mouvements!$E:$E,$B$3,Mouvements!$B:$B,A66,Mouvements!$F:$F,"Retour"))</f>
        <v/>
      </c>
      <c r="E66" s="21" t="str">
        <f t="shared" si="1"/>
        <v/>
      </c>
      <c r="F66" s="21"/>
      <c r="G66" s="21" t="str">
        <f t="shared" si="2"/>
        <v/>
      </c>
      <c r="H66" s="21"/>
      <c r="I66" s="21" t="str">
        <f t="shared" si="3"/>
        <v/>
      </c>
    </row>
    <row r="67" ht="15.75" customHeight="1">
      <c r="A67" s="21" t="str">
        <f>Articles!A66</f>
        <v/>
      </c>
      <c r="B67" s="21" t="str">
        <f>Articles!B66</f>
        <v/>
      </c>
      <c r="C67" s="21" t="str">
        <f>IF(A67="","",SUMIFS(Mouvements!$G:$G,Mouvements!$E:$E,$B$3,Mouvements!$B:$B,A67,Mouvements!$F:$F,"Départ"))</f>
        <v/>
      </c>
      <c r="D67" s="21" t="str">
        <f>IF(A67="","",SUMIFS(Mouvements!$G:$G,Mouvements!$E:$E,$B$3,Mouvements!$B:$B,A67,Mouvements!$F:$F,"Retour"))</f>
        <v/>
      </c>
      <c r="E67" s="21" t="str">
        <f t="shared" si="1"/>
        <v/>
      </c>
      <c r="F67" s="21"/>
      <c r="G67" s="21" t="str">
        <f t="shared" si="2"/>
        <v/>
      </c>
      <c r="H67" s="21"/>
      <c r="I67" s="21" t="str">
        <f t="shared" si="3"/>
        <v/>
      </c>
    </row>
    <row r="68" ht="15.75" customHeight="1">
      <c r="A68" s="21" t="str">
        <f>Articles!A67</f>
        <v/>
      </c>
      <c r="B68" s="21" t="str">
        <f>Articles!B67</f>
        <v/>
      </c>
      <c r="C68" s="21" t="str">
        <f>IF(A68="","",SUMIFS(Mouvements!$G:$G,Mouvements!$E:$E,$B$3,Mouvements!$B:$B,A68,Mouvements!$F:$F,"Départ"))</f>
        <v/>
      </c>
      <c r="D68" s="21" t="str">
        <f>IF(A68="","",SUMIFS(Mouvements!$G:$G,Mouvements!$E:$E,$B$3,Mouvements!$B:$B,A68,Mouvements!$F:$F,"Retour"))</f>
        <v/>
      </c>
      <c r="E68" s="21" t="str">
        <f t="shared" si="1"/>
        <v/>
      </c>
      <c r="F68" s="21"/>
      <c r="G68" s="21" t="str">
        <f t="shared" si="2"/>
        <v/>
      </c>
      <c r="H68" s="21"/>
      <c r="I68" s="21" t="str">
        <f t="shared" si="3"/>
        <v/>
      </c>
    </row>
    <row r="69" ht="15.75" customHeight="1">
      <c r="A69" s="21" t="str">
        <f>Articles!A68</f>
        <v/>
      </c>
      <c r="B69" s="21" t="str">
        <f>Articles!B68</f>
        <v/>
      </c>
      <c r="C69" s="21" t="str">
        <f>IF(A69="","",SUMIFS(Mouvements!$G:$G,Mouvements!$E:$E,$B$3,Mouvements!$B:$B,A69,Mouvements!$F:$F,"Départ"))</f>
        <v/>
      </c>
      <c r="D69" s="21" t="str">
        <f>IF(A69="","",SUMIFS(Mouvements!$G:$G,Mouvements!$E:$E,$B$3,Mouvements!$B:$B,A69,Mouvements!$F:$F,"Retour"))</f>
        <v/>
      </c>
      <c r="E69" s="21" t="str">
        <f t="shared" si="1"/>
        <v/>
      </c>
      <c r="F69" s="21"/>
      <c r="G69" s="21" t="str">
        <f t="shared" si="2"/>
        <v/>
      </c>
      <c r="H69" s="21"/>
      <c r="I69" s="21" t="str">
        <f t="shared" si="3"/>
        <v/>
      </c>
    </row>
    <row r="70" ht="15.75" customHeight="1">
      <c r="A70" s="21" t="str">
        <f>Articles!A69</f>
        <v/>
      </c>
      <c r="B70" s="21" t="str">
        <f>Articles!B69</f>
        <v/>
      </c>
      <c r="C70" s="21" t="str">
        <f>IF(A70="","",SUMIFS(Mouvements!$G:$G,Mouvements!$E:$E,$B$3,Mouvements!$B:$B,A70,Mouvements!$F:$F,"Départ"))</f>
        <v/>
      </c>
      <c r="D70" s="21" t="str">
        <f>IF(A70="","",SUMIFS(Mouvements!$G:$G,Mouvements!$E:$E,$B$3,Mouvements!$B:$B,A70,Mouvements!$F:$F,"Retour"))</f>
        <v/>
      </c>
      <c r="E70" s="21" t="str">
        <f t="shared" si="1"/>
        <v/>
      </c>
      <c r="F70" s="21"/>
      <c r="G70" s="21" t="str">
        <f t="shared" si="2"/>
        <v/>
      </c>
      <c r="H70" s="21"/>
      <c r="I70" s="21" t="str">
        <f t="shared" si="3"/>
        <v/>
      </c>
    </row>
    <row r="71" ht="15.75" customHeight="1">
      <c r="A71" s="21" t="str">
        <f>Articles!A70</f>
        <v/>
      </c>
      <c r="B71" s="21" t="str">
        <f>Articles!B70</f>
        <v/>
      </c>
      <c r="C71" s="21" t="str">
        <f>IF(A71="","",SUMIFS(Mouvements!$G:$G,Mouvements!$E:$E,$B$3,Mouvements!$B:$B,A71,Mouvements!$F:$F,"Départ"))</f>
        <v/>
      </c>
      <c r="D71" s="21" t="str">
        <f>IF(A71="","",SUMIFS(Mouvements!$G:$G,Mouvements!$E:$E,$B$3,Mouvements!$B:$B,A71,Mouvements!$F:$F,"Retour"))</f>
        <v/>
      </c>
      <c r="E71" s="21" t="str">
        <f t="shared" si="1"/>
        <v/>
      </c>
      <c r="F71" s="21"/>
      <c r="G71" s="21" t="str">
        <f t="shared" si="2"/>
        <v/>
      </c>
      <c r="H71" s="21"/>
      <c r="I71" s="21" t="str">
        <f t="shared" si="3"/>
        <v/>
      </c>
    </row>
    <row r="72" ht="15.75" customHeight="1">
      <c r="A72" s="21" t="str">
        <f>Articles!A71</f>
        <v/>
      </c>
      <c r="B72" s="21" t="str">
        <f>Articles!B71</f>
        <v/>
      </c>
      <c r="C72" s="21" t="str">
        <f>IF(A72="","",SUMIFS(Mouvements!$G:$G,Mouvements!$E:$E,$B$3,Mouvements!$B:$B,A72,Mouvements!$F:$F,"Départ"))</f>
        <v/>
      </c>
      <c r="D72" s="21" t="str">
        <f>IF(A72="","",SUMIFS(Mouvements!$G:$G,Mouvements!$E:$E,$B$3,Mouvements!$B:$B,A72,Mouvements!$F:$F,"Retour"))</f>
        <v/>
      </c>
      <c r="E72" s="21" t="str">
        <f t="shared" si="1"/>
        <v/>
      </c>
      <c r="F72" s="21"/>
      <c r="G72" s="21" t="str">
        <f t="shared" si="2"/>
        <v/>
      </c>
      <c r="H72" s="21"/>
      <c r="I72" s="21" t="str">
        <f t="shared" si="3"/>
        <v/>
      </c>
    </row>
    <row r="73" ht="15.75" customHeight="1">
      <c r="A73" s="21" t="str">
        <f>Articles!A72</f>
        <v/>
      </c>
      <c r="B73" s="21" t="str">
        <f>Articles!B72</f>
        <v/>
      </c>
      <c r="C73" s="21" t="str">
        <f>IF(A73="","",SUMIFS(Mouvements!$G:$G,Mouvements!$E:$E,$B$3,Mouvements!$B:$B,A73,Mouvements!$F:$F,"Départ"))</f>
        <v/>
      </c>
      <c r="D73" s="21" t="str">
        <f>IF(A73="","",SUMIFS(Mouvements!$G:$G,Mouvements!$E:$E,$B$3,Mouvements!$B:$B,A73,Mouvements!$F:$F,"Retour"))</f>
        <v/>
      </c>
      <c r="E73" s="21" t="str">
        <f t="shared" si="1"/>
        <v/>
      </c>
      <c r="F73" s="21"/>
      <c r="G73" s="21" t="str">
        <f t="shared" si="2"/>
        <v/>
      </c>
      <c r="H73" s="21"/>
      <c r="I73" s="21" t="str">
        <f t="shared" si="3"/>
        <v/>
      </c>
    </row>
    <row r="74" ht="15.75" customHeight="1">
      <c r="A74" s="21" t="str">
        <f>Articles!A73</f>
        <v/>
      </c>
      <c r="B74" s="21" t="str">
        <f>Articles!B73</f>
        <v/>
      </c>
      <c r="C74" s="21" t="str">
        <f>IF(A74="","",SUMIFS(Mouvements!$G:$G,Mouvements!$E:$E,$B$3,Mouvements!$B:$B,A74,Mouvements!$F:$F,"Départ"))</f>
        <v/>
      </c>
      <c r="D74" s="21" t="str">
        <f>IF(A74="","",SUMIFS(Mouvements!$G:$G,Mouvements!$E:$E,$B$3,Mouvements!$B:$B,A74,Mouvements!$F:$F,"Retour"))</f>
        <v/>
      </c>
      <c r="E74" s="21" t="str">
        <f t="shared" si="1"/>
        <v/>
      </c>
      <c r="F74" s="21"/>
      <c r="G74" s="21" t="str">
        <f t="shared" si="2"/>
        <v/>
      </c>
      <c r="H74" s="21"/>
      <c r="I74" s="21" t="str">
        <f t="shared" si="3"/>
        <v/>
      </c>
    </row>
    <row r="75" ht="15.75" customHeight="1">
      <c r="A75" s="21" t="str">
        <f>Articles!A74</f>
        <v/>
      </c>
      <c r="B75" s="21" t="str">
        <f>Articles!B74</f>
        <v/>
      </c>
      <c r="C75" s="21" t="str">
        <f>IF(A75="","",SUMIFS(Mouvements!$G:$G,Mouvements!$E:$E,$B$3,Mouvements!$B:$B,A75,Mouvements!$F:$F,"Départ"))</f>
        <v/>
      </c>
      <c r="D75" s="21" t="str">
        <f>IF(A75="","",SUMIFS(Mouvements!$G:$G,Mouvements!$E:$E,$B$3,Mouvements!$B:$B,A75,Mouvements!$F:$F,"Retour"))</f>
        <v/>
      </c>
      <c r="E75" s="21" t="str">
        <f t="shared" si="1"/>
        <v/>
      </c>
      <c r="F75" s="21"/>
      <c r="G75" s="21" t="str">
        <f t="shared" si="2"/>
        <v/>
      </c>
      <c r="H75" s="21"/>
      <c r="I75" s="21" t="str">
        <f t="shared" si="3"/>
        <v/>
      </c>
    </row>
    <row r="76" ht="15.75" customHeight="1">
      <c r="A76" s="21" t="str">
        <f>Articles!A75</f>
        <v/>
      </c>
      <c r="B76" s="21" t="str">
        <f>Articles!B75</f>
        <v/>
      </c>
      <c r="C76" s="21" t="str">
        <f>IF(A76="","",SUMIFS(Mouvements!$G:$G,Mouvements!$E:$E,$B$3,Mouvements!$B:$B,A76,Mouvements!$F:$F,"Départ"))</f>
        <v/>
      </c>
      <c r="D76" s="21" t="str">
        <f>IF(A76="","",SUMIFS(Mouvements!$G:$G,Mouvements!$E:$E,$B$3,Mouvements!$B:$B,A76,Mouvements!$F:$F,"Retour"))</f>
        <v/>
      </c>
      <c r="E76" s="21" t="str">
        <f t="shared" si="1"/>
        <v/>
      </c>
      <c r="F76" s="21"/>
      <c r="G76" s="21" t="str">
        <f t="shared" si="2"/>
        <v/>
      </c>
      <c r="H76" s="21"/>
      <c r="I76" s="21" t="str">
        <f t="shared" si="3"/>
        <v/>
      </c>
    </row>
    <row r="77" ht="15.75" customHeight="1">
      <c r="A77" s="21" t="str">
        <f>Articles!A76</f>
        <v/>
      </c>
      <c r="B77" s="21" t="str">
        <f>Articles!B76</f>
        <v/>
      </c>
      <c r="C77" s="21" t="str">
        <f>IF(A77="","",SUMIFS(Mouvements!$G:$G,Mouvements!$E:$E,$B$3,Mouvements!$B:$B,A77,Mouvements!$F:$F,"Départ"))</f>
        <v/>
      </c>
      <c r="D77" s="21" t="str">
        <f>IF(A77="","",SUMIFS(Mouvements!$G:$G,Mouvements!$E:$E,$B$3,Mouvements!$B:$B,A77,Mouvements!$F:$F,"Retour"))</f>
        <v/>
      </c>
      <c r="E77" s="21" t="str">
        <f t="shared" si="1"/>
        <v/>
      </c>
      <c r="F77" s="21"/>
      <c r="G77" s="21" t="str">
        <f t="shared" si="2"/>
        <v/>
      </c>
      <c r="H77" s="21"/>
      <c r="I77" s="21" t="str">
        <f t="shared" si="3"/>
        <v/>
      </c>
    </row>
    <row r="78" ht="15.75" customHeight="1">
      <c r="A78" s="21" t="str">
        <f>Articles!A77</f>
        <v/>
      </c>
      <c r="B78" s="21" t="str">
        <f>Articles!B77</f>
        <v/>
      </c>
      <c r="C78" s="21" t="str">
        <f>IF(A78="","",SUMIFS(Mouvements!$G:$G,Mouvements!$E:$E,$B$3,Mouvements!$B:$B,A78,Mouvements!$F:$F,"Départ"))</f>
        <v/>
      </c>
      <c r="D78" s="21" t="str">
        <f>IF(A78="","",SUMIFS(Mouvements!$G:$G,Mouvements!$E:$E,$B$3,Mouvements!$B:$B,A78,Mouvements!$F:$F,"Retour"))</f>
        <v/>
      </c>
      <c r="E78" s="21" t="str">
        <f t="shared" si="1"/>
        <v/>
      </c>
      <c r="F78" s="21"/>
      <c r="G78" s="21" t="str">
        <f t="shared" si="2"/>
        <v/>
      </c>
      <c r="H78" s="21"/>
      <c r="I78" s="21" t="str">
        <f t="shared" si="3"/>
        <v/>
      </c>
    </row>
    <row r="79" ht="15.75" customHeight="1">
      <c r="A79" s="21" t="str">
        <f>Articles!A78</f>
        <v/>
      </c>
      <c r="B79" s="21" t="str">
        <f>Articles!B78</f>
        <v/>
      </c>
      <c r="C79" s="21" t="str">
        <f>IF(A79="","",SUMIFS(Mouvements!$G:$G,Mouvements!$E:$E,$B$3,Mouvements!$B:$B,A79,Mouvements!$F:$F,"Départ"))</f>
        <v/>
      </c>
      <c r="D79" s="21" t="str">
        <f>IF(A79="","",SUMIFS(Mouvements!$G:$G,Mouvements!$E:$E,$B$3,Mouvements!$B:$B,A79,Mouvements!$F:$F,"Retour"))</f>
        <v/>
      </c>
      <c r="E79" s="21" t="str">
        <f t="shared" si="1"/>
        <v/>
      </c>
      <c r="F79" s="21"/>
      <c r="G79" s="21" t="str">
        <f t="shared" si="2"/>
        <v/>
      </c>
      <c r="H79" s="21"/>
      <c r="I79" s="21" t="str">
        <f t="shared" si="3"/>
        <v/>
      </c>
    </row>
    <row r="80" ht="15.75" customHeight="1">
      <c r="A80" s="21" t="str">
        <f>Articles!A79</f>
        <v/>
      </c>
      <c r="B80" s="21" t="str">
        <f>Articles!B79</f>
        <v/>
      </c>
      <c r="C80" s="21" t="str">
        <f>IF(A80="","",SUMIFS(Mouvements!$G:$G,Mouvements!$E:$E,$B$3,Mouvements!$B:$B,A80,Mouvements!$F:$F,"Départ"))</f>
        <v/>
      </c>
      <c r="D80" s="21" t="str">
        <f>IF(A80="","",SUMIFS(Mouvements!$G:$G,Mouvements!$E:$E,$B$3,Mouvements!$B:$B,A80,Mouvements!$F:$F,"Retour"))</f>
        <v/>
      </c>
      <c r="E80" s="21" t="str">
        <f t="shared" si="1"/>
        <v/>
      </c>
      <c r="F80" s="21"/>
      <c r="G80" s="21" t="str">
        <f t="shared" si="2"/>
        <v/>
      </c>
      <c r="H80" s="21"/>
      <c r="I80" s="21" t="str">
        <f t="shared" si="3"/>
        <v/>
      </c>
    </row>
    <row r="81" ht="15.75" customHeight="1">
      <c r="A81" s="21" t="str">
        <f>Articles!A80</f>
        <v/>
      </c>
      <c r="B81" s="21" t="str">
        <f>Articles!B80</f>
        <v/>
      </c>
      <c r="C81" s="21" t="str">
        <f>IF(A81="","",SUMIFS(Mouvements!$G:$G,Mouvements!$E:$E,$B$3,Mouvements!$B:$B,A81,Mouvements!$F:$F,"Départ"))</f>
        <v/>
      </c>
      <c r="D81" s="21" t="str">
        <f>IF(A81="","",SUMIFS(Mouvements!$G:$G,Mouvements!$E:$E,$B$3,Mouvements!$B:$B,A81,Mouvements!$F:$F,"Retour"))</f>
        <v/>
      </c>
      <c r="E81" s="21" t="str">
        <f t="shared" si="1"/>
        <v/>
      </c>
      <c r="F81" s="21"/>
      <c r="G81" s="21" t="str">
        <f t="shared" si="2"/>
        <v/>
      </c>
      <c r="H81" s="21"/>
      <c r="I81" s="21" t="str">
        <f t="shared" si="3"/>
        <v/>
      </c>
    </row>
    <row r="82" ht="15.75" customHeight="1">
      <c r="A82" s="21" t="str">
        <f>Articles!A81</f>
        <v/>
      </c>
      <c r="B82" s="21" t="str">
        <f>Articles!B81</f>
        <v/>
      </c>
      <c r="C82" s="21" t="str">
        <f>IF(A82="","",SUMIFS(Mouvements!$G:$G,Mouvements!$E:$E,$B$3,Mouvements!$B:$B,A82,Mouvements!$F:$F,"Départ"))</f>
        <v/>
      </c>
      <c r="D82" s="21" t="str">
        <f>IF(A82="","",SUMIFS(Mouvements!$G:$G,Mouvements!$E:$E,$B$3,Mouvements!$B:$B,A82,Mouvements!$F:$F,"Retour"))</f>
        <v/>
      </c>
      <c r="E82" s="21" t="str">
        <f t="shared" si="1"/>
        <v/>
      </c>
      <c r="F82" s="21"/>
      <c r="G82" s="21" t="str">
        <f t="shared" si="2"/>
        <v/>
      </c>
      <c r="H82" s="21"/>
      <c r="I82" s="21" t="str">
        <f t="shared" si="3"/>
        <v/>
      </c>
    </row>
    <row r="83" ht="15.75" customHeight="1">
      <c r="A83" s="21" t="str">
        <f>Articles!A82</f>
        <v/>
      </c>
      <c r="B83" s="21" t="str">
        <f>Articles!B82</f>
        <v/>
      </c>
      <c r="C83" s="21" t="str">
        <f>IF(A83="","",SUMIFS(Mouvements!$G:$G,Mouvements!$E:$E,$B$3,Mouvements!$B:$B,A83,Mouvements!$F:$F,"Départ"))</f>
        <v/>
      </c>
      <c r="D83" s="21" t="str">
        <f>IF(A83="","",SUMIFS(Mouvements!$G:$G,Mouvements!$E:$E,$B$3,Mouvements!$B:$B,A83,Mouvements!$F:$F,"Retour"))</f>
        <v/>
      </c>
      <c r="E83" s="21" t="str">
        <f t="shared" si="1"/>
        <v/>
      </c>
      <c r="F83" s="21"/>
      <c r="G83" s="21" t="str">
        <f t="shared" si="2"/>
        <v/>
      </c>
      <c r="H83" s="21"/>
      <c r="I83" s="21" t="str">
        <f t="shared" si="3"/>
        <v/>
      </c>
    </row>
    <row r="84" ht="15.75" customHeight="1">
      <c r="A84" s="21" t="str">
        <f>Articles!A83</f>
        <v/>
      </c>
      <c r="B84" s="21" t="str">
        <f>Articles!B83</f>
        <v/>
      </c>
      <c r="C84" s="21" t="str">
        <f>IF(A84="","",SUMIFS(Mouvements!$G:$G,Mouvements!$E:$E,$B$3,Mouvements!$B:$B,A84,Mouvements!$F:$F,"Départ"))</f>
        <v/>
      </c>
      <c r="D84" s="21" t="str">
        <f>IF(A84="","",SUMIFS(Mouvements!$G:$G,Mouvements!$E:$E,$B$3,Mouvements!$B:$B,A84,Mouvements!$F:$F,"Retour"))</f>
        <v/>
      </c>
      <c r="E84" s="21" t="str">
        <f t="shared" si="1"/>
        <v/>
      </c>
      <c r="F84" s="21"/>
      <c r="G84" s="21" t="str">
        <f t="shared" si="2"/>
        <v/>
      </c>
      <c r="H84" s="21"/>
      <c r="I84" s="21" t="str">
        <f t="shared" si="3"/>
        <v/>
      </c>
    </row>
    <row r="85" ht="15.75" customHeight="1">
      <c r="A85" s="21" t="str">
        <f>Articles!A84</f>
        <v/>
      </c>
      <c r="B85" s="21" t="str">
        <f>Articles!B84</f>
        <v/>
      </c>
      <c r="C85" s="21" t="str">
        <f>IF(A85="","",SUMIFS(Mouvements!$G:$G,Mouvements!$E:$E,$B$3,Mouvements!$B:$B,A85,Mouvements!$F:$F,"Départ"))</f>
        <v/>
      </c>
      <c r="D85" s="21" t="str">
        <f>IF(A85="","",SUMIFS(Mouvements!$G:$G,Mouvements!$E:$E,$B$3,Mouvements!$B:$B,A85,Mouvements!$F:$F,"Retour"))</f>
        <v/>
      </c>
      <c r="E85" s="21" t="str">
        <f t="shared" si="1"/>
        <v/>
      </c>
      <c r="F85" s="21"/>
      <c r="G85" s="21" t="str">
        <f t="shared" si="2"/>
        <v/>
      </c>
      <c r="H85" s="21"/>
      <c r="I85" s="21" t="str">
        <f t="shared" si="3"/>
        <v/>
      </c>
    </row>
    <row r="86" ht="15.75" customHeight="1">
      <c r="A86" s="21" t="str">
        <f>Articles!A85</f>
        <v/>
      </c>
      <c r="B86" s="21" t="str">
        <f>Articles!B85</f>
        <v/>
      </c>
      <c r="C86" s="21" t="str">
        <f>IF(A86="","",SUMIFS(Mouvements!$G:$G,Mouvements!$E:$E,$B$3,Mouvements!$B:$B,A86,Mouvements!$F:$F,"Départ"))</f>
        <v/>
      </c>
      <c r="D86" s="21" t="str">
        <f>IF(A86="","",SUMIFS(Mouvements!$G:$G,Mouvements!$E:$E,$B$3,Mouvements!$B:$B,A86,Mouvements!$F:$F,"Retour"))</f>
        <v/>
      </c>
      <c r="E86" s="21" t="str">
        <f t="shared" si="1"/>
        <v/>
      </c>
      <c r="F86" s="21"/>
      <c r="G86" s="21" t="str">
        <f t="shared" si="2"/>
        <v/>
      </c>
      <c r="H86" s="21"/>
      <c r="I86" s="21" t="str">
        <f t="shared" si="3"/>
        <v/>
      </c>
    </row>
    <row r="87" ht="15.75" customHeight="1">
      <c r="A87" s="21" t="str">
        <f>Articles!A86</f>
        <v/>
      </c>
      <c r="B87" s="21" t="str">
        <f>Articles!B86</f>
        <v/>
      </c>
      <c r="C87" s="21" t="str">
        <f>IF(A87="","",SUMIFS(Mouvements!$G:$G,Mouvements!$E:$E,$B$3,Mouvements!$B:$B,A87,Mouvements!$F:$F,"Départ"))</f>
        <v/>
      </c>
      <c r="D87" s="21" t="str">
        <f>IF(A87="","",SUMIFS(Mouvements!$G:$G,Mouvements!$E:$E,$B$3,Mouvements!$B:$B,A87,Mouvements!$F:$F,"Retour"))</f>
        <v/>
      </c>
      <c r="E87" s="21" t="str">
        <f t="shared" si="1"/>
        <v/>
      </c>
      <c r="F87" s="21"/>
      <c r="G87" s="21" t="str">
        <f t="shared" si="2"/>
        <v/>
      </c>
      <c r="H87" s="21"/>
      <c r="I87" s="21" t="str">
        <f t="shared" si="3"/>
        <v/>
      </c>
    </row>
    <row r="88" ht="15.75" customHeight="1">
      <c r="A88" s="21" t="str">
        <f>Articles!A87</f>
        <v/>
      </c>
      <c r="B88" s="21" t="str">
        <f>Articles!B87</f>
        <v/>
      </c>
      <c r="C88" s="21" t="str">
        <f>IF(A88="","",SUMIFS(Mouvements!$G:$G,Mouvements!$E:$E,$B$3,Mouvements!$B:$B,A88,Mouvements!$F:$F,"Départ"))</f>
        <v/>
      </c>
      <c r="D88" s="21" t="str">
        <f>IF(A88="","",SUMIFS(Mouvements!$G:$G,Mouvements!$E:$E,$B$3,Mouvements!$B:$B,A88,Mouvements!$F:$F,"Retour"))</f>
        <v/>
      </c>
      <c r="E88" s="21" t="str">
        <f t="shared" si="1"/>
        <v/>
      </c>
      <c r="F88" s="21"/>
      <c r="G88" s="21" t="str">
        <f t="shared" si="2"/>
        <v/>
      </c>
      <c r="H88" s="21"/>
      <c r="I88" s="21" t="str">
        <f t="shared" si="3"/>
        <v/>
      </c>
    </row>
    <row r="89" ht="15.75" customHeight="1">
      <c r="A89" s="21" t="str">
        <f>Articles!A88</f>
        <v/>
      </c>
      <c r="B89" s="21" t="str">
        <f>Articles!B88</f>
        <v/>
      </c>
      <c r="C89" s="21" t="str">
        <f>IF(A89="","",SUMIFS(Mouvements!$G:$G,Mouvements!$E:$E,$B$3,Mouvements!$B:$B,A89,Mouvements!$F:$F,"Départ"))</f>
        <v/>
      </c>
      <c r="D89" s="21" t="str">
        <f>IF(A89="","",SUMIFS(Mouvements!$G:$G,Mouvements!$E:$E,$B$3,Mouvements!$B:$B,A89,Mouvements!$F:$F,"Retour"))</f>
        <v/>
      </c>
      <c r="E89" s="21" t="str">
        <f t="shared" si="1"/>
        <v/>
      </c>
      <c r="F89" s="21"/>
      <c r="G89" s="21" t="str">
        <f t="shared" si="2"/>
        <v/>
      </c>
      <c r="H89" s="21"/>
      <c r="I89" s="21" t="str">
        <f t="shared" si="3"/>
        <v/>
      </c>
    </row>
    <row r="90" ht="15.75" customHeight="1">
      <c r="A90" s="21" t="str">
        <f>Articles!A89</f>
        <v/>
      </c>
      <c r="B90" s="21" t="str">
        <f>Articles!B89</f>
        <v/>
      </c>
      <c r="C90" s="21" t="str">
        <f>IF(A90="","",SUMIFS(Mouvements!$G:$G,Mouvements!$E:$E,$B$3,Mouvements!$B:$B,A90,Mouvements!$F:$F,"Départ"))</f>
        <v/>
      </c>
      <c r="D90" s="21" t="str">
        <f>IF(A90="","",SUMIFS(Mouvements!$G:$G,Mouvements!$E:$E,$B$3,Mouvements!$B:$B,A90,Mouvements!$F:$F,"Retour"))</f>
        <v/>
      </c>
      <c r="E90" s="21" t="str">
        <f t="shared" si="1"/>
        <v/>
      </c>
      <c r="F90" s="21"/>
      <c r="G90" s="21" t="str">
        <f t="shared" si="2"/>
        <v/>
      </c>
      <c r="H90" s="21"/>
      <c r="I90" s="21" t="str">
        <f t="shared" si="3"/>
        <v/>
      </c>
    </row>
    <row r="91" ht="15.75" customHeight="1">
      <c r="A91" s="21" t="str">
        <f>Articles!A90</f>
        <v/>
      </c>
      <c r="B91" s="21" t="str">
        <f>Articles!B90</f>
        <v/>
      </c>
      <c r="C91" s="21" t="str">
        <f>IF(A91="","",SUMIFS(Mouvements!$G:$G,Mouvements!$E:$E,$B$3,Mouvements!$B:$B,A91,Mouvements!$F:$F,"Départ"))</f>
        <v/>
      </c>
      <c r="D91" s="21" t="str">
        <f>IF(A91="","",SUMIFS(Mouvements!$G:$G,Mouvements!$E:$E,$B$3,Mouvements!$B:$B,A91,Mouvements!$F:$F,"Retour"))</f>
        <v/>
      </c>
      <c r="E91" s="21" t="str">
        <f t="shared" si="1"/>
        <v/>
      </c>
      <c r="F91" s="21"/>
      <c r="G91" s="21" t="str">
        <f t="shared" si="2"/>
        <v/>
      </c>
      <c r="H91" s="21"/>
      <c r="I91" s="21" t="str">
        <f t="shared" si="3"/>
        <v/>
      </c>
    </row>
    <row r="92" ht="15.75" customHeight="1">
      <c r="A92" s="21" t="str">
        <f>Articles!A91</f>
        <v/>
      </c>
      <c r="B92" s="21" t="str">
        <f>Articles!B91</f>
        <v/>
      </c>
      <c r="C92" s="21" t="str">
        <f>IF(A92="","",SUMIFS(Mouvements!$G:$G,Mouvements!$E:$E,$B$3,Mouvements!$B:$B,A92,Mouvements!$F:$F,"Départ"))</f>
        <v/>
      </c>
      <c r="D92" s="21" t="str">
        <f>IF(A92="","",SUMIFS(Mouvements!$G:$G,Mouvements!$E:$E,$B$3,Mouvements!$B:$B,A92,Mouvements!$F:$F,"Retour"))</f>
        <v/>
      </c>
      <c r="E92" s="21" t="str">
        <f t="shared" si="1"/>
        <v/>
      </c>
      <c r="F92" s="21"/>
      <c r="G92" s="21" t="str">
        <f t="shared" si="2"/>
        <v/>
      </c>
      <c r="H92" s="21"/>
      <c r="I92" s="21" t="str">
        <f t="shared" si="3"/>
        <v/>
      </c>
    </row>
    <row r="93" ht="15.75" customHeight="1">
      <c r="A93" s="21" t="str">
        <f>Articles!A92</f>
        <v/>
      </c>
      <c r="B93" s="21" t="str">
        <f>Articles!B92</f>
        <v/>
      </c>
      <c r="C93" s="21" t="str">
        <f>IF(A93="","",SUMIFS(Mouvements!$G:$G,Mouvements!$E:$E,$B$3,Mouvements!$B:$B,A93,Mouvements!$F:$F,"Départ"))</f>
        <v/>
      </c>
      <c r="D93" s="21" t="str">
        <f>IF(A93="","",SUMIFS(Mouvements!$G:$G,Mouvements!$E:$E,$B$3,Mouvements!$B:$B,A93,Mouvements!$F:$F,"Retour"))</f>
        <v/>
      </c>
      <c r="E93" s="21" t="str">
        <f t="shared" si="1"/>
        <v/>
      </c>
      <c r="F93" s="21"/>
      <c r="G93" s="21" t="str">
        <f t="shared" si="2"/>
        <v/>
      </c>
      <c r="H93" s="21"/>
      <c r="I93" s="21" t="str">
        <f t="shared" si="3"/>
        <v/>
      </c>
    </row>
    <row r="94" ht="15.75" customHeight="1">
      <c r="A94" s="21" t="str">
        <f>Articles!A93</f>
        <v/>
      </c>
      <c r="B94" s="21" t="str">
        <f>Articles!B93</f>
        <v/>
      </c>
      <c r="C94" s="21" t="str">
        <f>IF(A94="","",SUMIFS(Mouvements!$G:$G,Mouvements!$E:$E,$B$3,Mouvements!$B:$B,A94,Mouvements!$F:$F,"Départ"))</f>
        <v/>
      </c>
      <c r="D94" s="21" t="str">
        <f>IF(A94="","",SUMIFS(Mouvements!$G:$G,Mouvements!$E:$E,$B$3,Mouvements!$B:$B,A94,Mouvements!$F:$F,"Retour"))</f>
        <v/>
      </c>
      <c r="E94" s="21" t="str">
        <f t="shared" si="1"/>
        <v/>
      </c>
      <c r="F94" s="21"/>
      <c r="G94" s="21" t="str">
        <f t="shared" si="2"/>
        <v/>
      </c>
      <c r="H94" s="21"/>
      <c r="I94" s="21" t="str">
        <f t="shared" si="3"/>
        <v/>
      </c>
    </row>
    <row r="95" ht="15.75" customHeight="1">
      <c r="A95" s="21" t="str">
        <f>Articles!A94</f>
        <v/>
      </c>
      <c r="B95" s="21" t="str">
        <f>Articles!B94</f>
        <v/>
      </c>
      <c r="C95" s="21" t="str">
        <f>IF(A95="","",SUMIFS(Mouvements!$G:$G,Mouvements!$E:$E,$B$3,Mouvements!$B:$B,A95,Mouvements!$F:$F,"Départ"))</f>
        <v/>
      </c>
      <c r="D95" s="21" t="str">
        <f>IF(A95="","",SUMIFS(Mouvements!$G:$G,Mouvements!$E:$E,$B$3,Mouvements!$B:$B,A95,Mouvements!$F:$F,"Retour"))</f>
        <v/>
      </c>
      <c r="E95" s="21" t="str">
        <f t="shared" si="1"/>
        <v/>
      </c>
      <c r="F95" s="21"/>
      <c r="G95" s="21" t="str">
        <f t="shared" si="2"/>
        <v/>
      </c>
      <c r="H95" s="21"/>
      <c r="I95" s="21" t="str">
        <f t="shared" si="3"/>
        <v/>
      </c>
    </row>
    <row r="96" ht="15.75" customHeight="1">
      <c r="A96" s="21" t="str">
        <f>Articles!A95</f>
        <v/>
      </c>
      <c r="B96" s="21" t="str">
        <f>Articles!B95</f>
        <v/>
      </c>
      <c r="C96" s="21" t="str">
        <f>IF(A96="","",SUMIFS(Mouvements!$G:$G,Mouvements!$E:$E,$B$3,Mouvements!$B:$B,A96,Mouvements!$F:$F,"Départ"))</f>
        <v/>
      </c>
      <c r="D96" s="21" t="str">
        <f>IF(A96="","",SUMIFS(Mouvements!$G:$G,Mouvements!$E:$E,$B$3,Mouvements!$B:$B,A96,Mouvements!$F:$F,"Retour"))</f>
        <v/>
      </c>
      <c r="E96" s="21" t="str">
        <f t="shared" si="1"/>
        <v/>
      </c>
      <c r="F96" s="21"/>
      <c r="G96" s="21" t="str">
        <f t="shared" si="2"/>
        <v/>
      </c>
      <c r="H96" s="21"/>
      <c r="I96" s="21" t="str">
        <f t="shared" si="3"/>
        <v/>
      </c>
    </row>
    <row r="97" ht="15.75" customHeight="1">
      <c r="A97" s="21" t="str">
        <f>Articles!A96</f>
        <v/>
      </c>
      <c r="B97" s="21" t="str">
        <f>Articles!B96</f>
        <v/>
      </c>
      <c r="C97" s="21" t="str">
        <f>IF(A97="","",SUMIFS(Mouvements!$G:$G,Mouvements!$E:$E,$B$3,Mouvements!$B:$B,A97,Mouvements!$F:$F,"Départ"))</f>
        <v/>
      </c>
      <c r="D97" s="21" t="str">
        <f>IF(A97="","",SUMIFS(Mouvements!$G:$G,Mouvements!$E:$E,$B$3,Mouvements!$B:$B,A97,Mouvements!$F:$F,"Retour"))</f>
        <v/>
      </c>
      <c r="E97" s="21" t="str">
        <f t="shared" si="1"/>
        <v/>
      </c>
      <c r="F97" s="21"/>
      <c r="G97" s="21" t="str">
        <f t="shared" si="2"/>
        <v/>
      </c>
      <c r="H97" s="21"/>
      <c r="I97" s="21" t="str">
        <f t="shared" si="3"/>
        <v/>
      </c>
    </row>
    <row r="98" ht="15.75" customHeight="1">
      <c r="A98" s="21" t="str">
        <f>Articles!A97</f>
        <v/>
      </c>
      <c r="B98" s="21" t="str">
        <f>Articles!B97</f>
        <v/>
      </c>
      <c r="C98" s="21" t="str">
        <f>IF(A98="","",SUMIFS(Mouvements!$G:$G,Mouvements!$E:$E,$B$3,Mouvements!$B:$B,A98,Mouvements!$F:$F,"Départ"))</f>
        <v/>
      </c>
      <c r="D98" s="21" t="str">
        <f>IF(A98="","",SUMIFS(Mouvements!$G:$G,Mouvements!$E:$E,$B$3,Mouvements!$B:$B,A98,Mouvements!$F:$F,"Retour"))</f>
        <v/>
      </c>
      <c r="E98" s="21" t="str">
        <f t="shared" si="1"/>
        <v/>
      </c>
      <c r="F98" s="21"/>
      <c r="G98" s="21" t="str">
        <f t="shared" si="2"/>
        <v/>
      </c>
      <c r="H98" s="21"/>
      <c r="I98" s="21" t="str">
        <f t="shared" si="3"/>
        <v/>
      </c>
    </row>
    <row r="99" ht="15.75" customHeight="1">
      <c r="A99" s="21" t="str">
        <f>Articles!A98</f>
        <v/>
      </c>
      <c r="B99" s="21" t="str">
        <f>Articles!B98</f>
        <v/>
      </c>
      <c r="C99" s="21" t="str">
        <f>IF(A99="","",SUMIFS(Mouvements!$G:$G,Mouvements!$E:$E,$B$3,Mouvements!$B:$B,A99,Mouvements!$F:$F,"Départ"))</f>
        <v/>
      </c>
      <c r="D99" s="21" t="str">
        <f>IF(A99="","",SUMIFS(Mouvements!$G:$G,Mouvements!$E:$E,$B$3,Mouvements!$B:$B,A99,Mouvements!$F:$F,"Retour"))</f>
        <v/>
      </c>
      <c r="E99" s="21" t="str">
        <f t="shared" si="1"/>
        <v/>
      </c>
      <c r="F99" s="21"/>
      <c r="G99" s="21" t="str">
        <f t="shared" si="2"/>
        <v/>
      </c>
      <c r="H99" s="21"/>
      <c r="I99" s="21" t="str">
        <f t="shared" si="3"/>
        <v/>
      </c>
    </row>
    <row r="100" ht="15.75" customHeight="1">
      <c r="A100" s="21" t="str">
        <f>Articles!A99</f>
        <v/>
      </c>
      <c r="B100" s="21" t="str">
        <f>Articles!B99</f>
        <v/>
      </c>
      <c r="C100" s="21" t="str">
        <f>IF(A100="","",SUMIFS(Mouvements!$G:$G,Mouvements!$E:$E,$B$3,Mouvements!$B:$B,A100,Mouvements!$F:$F,"Départ"))</f>
        <v/>
      </c>
      <c r="D100" s="21" t="str">
        <f>IF(A100="","",SUMIFS(Mouvements!$G:$G,Mouvements!$E:$E,$B$3,Mouvements!$B:$B,A100,Mouvements!$F:$F,"Retour"))</f>
        <v/>
      </c>
      <c r="E100" s="21" t="str">
        <f t="shared" si="1"/>
        <v/>
      </c>
      <c r="F100" s="21"/>
      <c r="G100" s="21" t="str">
        <f t="shared" si="2"/>
        <v/>
      </c>
      <c r="H100" s="21"/>
      <c r="I100" s="21" t="str">
        <f t="shared" si="3"/>
        <v/>
      </c>
    </row>
    <row r="101" ht="15.75" customHeight="1">
      <c r="A101" s="21" t="str">
        <f>Articles!A100</f>
        <v/>
      </c>
      <c r="B101" s="21" t="str">
        <f>Articles!B100</f>
        <v/>
      </c>
      <c r="C101" s="21" t="str">
        <f>IF(A101="","",SUMIFS(Mouvements!$G:$G,Mouvements!$E:$E,$B$3,Mouvements!$B:$B,A101,Mouvements!$F:$F,"Départ"))</f>
        <v/>
      </c>
      <c r="D101" s="21" t="str">
        <f>IF(A101="","",SUMIFS(Mouvements!$G:$G,Mouvements!$E:$E,$B$3,Mouvements!$B:$B,A101,Mouvements!$F:$F,"Retour"))</f>
        <v/>
      </c>
      <c r="E101" s="21" t="str">
        <f t="shared" si="1"/>
        <v/>
      </c>
      <c r="F101" s="21"/>
      <c r="G101" s="21" t="str">
        <f t="shared" si="2"/>
        <v/>
      </c>
      <c r="H101" s="21"/>
      <c r="I101" s="21" t="str">
        <f t="shared" si="3"/>
        <v/>
      </c>
    </row>
    <row r="102" ht="15.75" customHeight="1">
      <c r="A102" s="21" t="str">
        <f>Articles!A101</f>
        <v/>
      </c>
      <c r="B102" s="21" t="str">
        <f>Articles!B101</f>
        <v/>
      </c>
      <c r="C102" s="21" t="str">
        <f>IF(A102="","",SUMIFS(Mouvements!$G:$G,Mouvements!$E:$E,$B$3,Mouvements!$B:$B,A102,Mouvements!$F:$F,"Départ"))</f>
        <v/>
      </c>
      <c r="D102" s="21" t="str">
        <f>IF(A102="","",SUMIFS(Mouvements!$G:$G,Mouvements!$E:$E,$B$3,Mouvements!$B:$B,A102,Mouvements!$F:$F,"Retour"))</f>
        <v/>
      </c>
      <c r="E102" s="21" t="str">
        <f t="shared" si="1"/>
        <v/>
      </c>
      <c r="F102" s="21"/>
      <c r="G102" s="21" t="str">
        <f t="shared" si="2"/>
        <v/>
      </c>
      <c r="H102" s="21"/>
      <c r="I102" s="21" t="str">
        <f t="shared" si="3"/>
        <v/>
      </c>
    </row>
    <row r="103" ht="15.75" customHeight="1">
      <c r="A103" s="21" t="str">
        <f>Articles!A102</f>
        <v/>
      </c>
      <c r="B103" s="21" t="str">
        <f>Articles!B102</f>
        <v/>
      </c>
      <c r="C103" s="21" t="str">
        <f>IF(A103="","",SUMIFS(Mouvements!$G:$G,Mouvements!$E:$E,$B$3,Mouvements!$B:$B,A103,Mouvements!$F:$F,"Départ"))</f>
        <v/>
      </c>
      <c r="D103" s="21" t="str">
        <f>IF(A103="","",SUMIFS(Mouvements!$G:$G,Mouvements!$E:$E,$B$3,Mouvements!$B:$B,A103,Mouvements!$F:$F,"Retour"))</f>
        <v/>
      </c>
      <c r="E103" s="21" t="str">
        <f t="shared" si="1"/>
        <v/>
      </c>
      <c r="F103" s="21"/>
      <c r="G103" s="21" t="str">
        <f t="shared" si="2"/>
        <v/>
      </c>
      <c r="H103" s="21"/>
      <c r="I103" s="21" t="str">
        <f t="shared" si="3"/>
        <v/>
      </c>
    </row>
    <row r="104" ht="15.75" customHeight="1">
      <c r="A104" s="21" t="str">
        <f>Articles!A103</f>
        <v/>
      </c>
      <c r="B104" s="21" t="str">
        <f>Articles!B103</f>
        <v/>
      </c>
      <c r="C104" s="21" t="str">
        <f>IF(A104="","",SUMIFS(Mouvements!$G:$G,Mouvements!$E:$E,$B$3,Mouvements!$B:$B,A104,Mouvements!$F:$F,"Départ"))</f>
        <v/>
      </c>
      <c r="D104" s="21" t="str">
        <f>IF(A104="","",SUMIFS(Mouvements!$G:$G,Mouvements!$E:$E,$B$3,Mouvements!$B:$B,A104,Mouvements!$F:$F,"Retour"))</f>
        <v/>
      </c>
      <c r="E104" s="21" t="str">
        <f t="shared" si="1"/>
        <v/>
      </c>
      <c r="F104" s="21"/>
      <c r="G104" s="21" t="str">
        <f t="shared" si="2"/>
        <v/>
      </c>
      <c r="H104" s="21"/>
      <c r="I104" s="21" t="str">
        <f t="shared" si="3"/>
        <v/>
      </c>
    </row>
    <row r="105" ht="15.75" customHeight="1">
      <c r="A105" s="21" t="str">
        <f>Articles!A104</f>
        <v/>
      </c>
      <c r="B105" s="21" t="str">
        <f>Articles!B104</f>
        <v/>
      </c>
      <c r="C105" s="21" t="str">
        <f>IF(A105="","",SUMIFS(Mouvements!$G:$G,Mouvements!$E:$E,$B$3,Mouvements!$B:$B,A105,Mouvements!$F:$F,"Départ"))</f>
        <v/>
      </c>
      <c r="D105" s="21" t="str">
        <f>IF(A105="","",SUMIFS(Mouvements!$G:$G,Mouvements!$E:$E,$B$3,Mouvements!$B:$B,A105,Mouvements!$F:$F,"Retour"))</f>
        <v/>
      </c>
      <c r="E105" s="21" t="str">
        <f t="shared" si="1"/>
        <v/>
      </c>
      <c r="F105" s="21"/>
      <c r="G105" s="21" t="str">
        <f t="shared" si="2"/>
        <v/>
      </c>
      <c r="H105" s="21"/>
      <c r="I105" s="21" t="str">
        <f t="shared" si="3"/>
        <v/>
      </c>
    </row>
  </sheetData>
  <mergeCells count="2">
    <mergeCell ref="A1:I1"/>
    <mergeCell ref="A2:I2"/>
  </mergeCells>
  <conditionalFormatting sqref="A6:I105">
    <cfRule type="expression" dxfId="6" priority="1">
      <formula>$G6="À récupérer"</formula>
    </cfRule>
  </conditionalFormatting>
  <conditionalFormatting sqref="A6:I105">
    <cfRule type="expression" dxfId="5" priority="2">
      <formula>$I6&lt;&gt;""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6.0"/>
    <col customWidth="1" min="2" max="2" width="32.0"/>
    <col customWidth="1" min="3" max="4" width="12.0"/>
    <col customWidth="1" min="5" max="5" width="14.0"/>
    <col customWidth="1" min="6" max="6" width="16.0"/>
    <col customWidth="1" min="7" max="7" width="14.0"/>
    <col customWidth="1" min="8" max="8" width="22.0"/>
    <col customWidth="1" min="9" max="9" width="18.0"/>
    <col customWidth="1" min="10" max="11" width="9.14"/>
  </cols>
  <sheetData>
    <row r="1">
      <c r="A1" s="1" t="s">
        <v>102</v>
      </c>
      <c r="B1" s="2"/>
      <c r="C1" s="2"/>
      <c r="D1" s="2"/>
      <c r="E1" s="2"/>
      <c r="F1" s="2"/>
      <c r="G1" s="2"/>
      <c r="H1" s="2"/>
      <c r="I1" s="3"/>
    </row>
    <row r="2">
      <c r="A2" s="11" t="s">
        <v>98</v>
      </c>
    </row>
    <row r="3">
      <c r="A3" s="22" t="s">
        <v>80</v>
      </c>
      <c r="B3" s="23" t="s">
        <v>30</v>
      </c>
    </row>
    <row r="5">
      <c r="A5" s="20" t="s">
        <v>6</v>
      </c>
      <c r="B5" s="20" t="s">
        <v>7</v>
      </c>
      <c r="C5" s="20" t="s">
        <v>12</v>
      </c>
      <c r="D5" s="20" t="s">
        <v>13</v>
      </c>
      <c r="E5" s="20" t="s">
        <v>99</v>
      </c>
      <c r="F5" s="20" t="s">
        <v>100</v>
      </c>
      <c r="G5" s="20" t="s">
        <v>10</v>
      </c>
      <c r="H5" s="20" t="s">
        <v>87</v>
      </c>
      <c r="I5" s="20" t="s">
        <v>101</v>
      </c>
    </row>
    <row r="6">
      <c r="A6" s="21" t="str">
        <f>Articles!A5</f>
        <v>VIS-6X60</v>
      </c>
      <c r="B6" s="21" t="str">
        <f>Articles!B5</f>
        <v>Vis béton 6x60</v>
      </c>
      <c r="C6" s="21" t="str">
        <f>IF(A6="","",SUMIFS(Mouvements!$G:$G,Mouvements!$E:$E,$B$3,Mouvements!$B:$B,A6,Mouvements!$F:$F,"Départ"))</f>
        <v>0</v>
      </c>
      <c r="D6" s="21" t="str">
        <f>IF(A6="","",SUMIFS(Mouvements!$G:$G,Mouvements!$E:$E,$B$3,Mouvements!$B:$B,A6,Mouvements!$F:$F,"Retour"))</f>
        <v>0</v>
      </c>
      <c r="E6" s="21" t="str">
        <f t="shared" ref="E6:E105" si="1">IF(A6="","",C6-D6)</f>
        <v>0</v>
      </c>
      <c r="F6" s="21"/>
      <c r="G6" s="21" t="str">
        <f t="shared" ref="G6:G105" si="2">IF(E6="","",IF(E6&gt;0,"À récupérer","Soldé"))</f>
        <v>Soldé</v>
      </c>
      <c r="H6" s="21"/>
      <c r="I6" s="21" t="str">
        <f t="shared" ref="I6:I105" si="3">IF(E6&lt;0,"Retour &gt; départ","")</f>
        <v/>
      </c>
    </row>
    <row r="7">
      <c r="A7" s="21" t="str">
        <f>Articles!A6</f>
        <v>PERF-001</v>
      </c>
      <c r="B7" s="21" t="str">
        <f>Articles!B6</f>
        <v>Perforateur SDS</v>
      </c>
      <c r="C7" s="21" t="str">
        <f>IF(A7="","",SUMIFS(Mouvements!$G:$G,Mouvements!$E:$E,$B$3,Mouvements!$B:$B,A7,Mouvements!$F:$F,"Départ"))</f>
        <v>0</v>
      </c>
      <c r="D7" s="21" t="str">
        <f>IF(A7="","",SUMIFS(Mouvements!$G:$G,Mouvements!$E:$E,$B$3,Mouvements!$B:$B,A7,Mouvements!$F:$F,"Retour"))</f>
        <v>0</v>
      </c>
      <c r="E7" s="21" t="str">
        <f t="shared" si="1"/>
        <v>0</v>
      </c>
      <c r="F7" s="21"/>
      <c r="G7" s="21" t="str">
        <f t="shared" si="2"/>
        <v>Soldé</v>
      </c>
      <c r="H7" s="21"/>
      <c r="I7" s="21" t="str">
        <f t="shared" si="3"/>
        <v/>
      </c>
    </row>
    <row r="8">
      <c r="A8" s="21" t="str">
        <f>Articles!A7</f>
        <v>GANT-L</v>
      </c>
      <c r="B8" s="21" t="str">
        <f>Articles!B7</f>
        <v>Gants taille L</v>
      </c>
      <c r="C8" s="21" t="str">
        <f>IF(A8="","",SUMIFS(Mouvements!$G:$G,Mouvements!$E:$E,$B$3,Mouvements!$B:$B,A8,Mouvements!$F:$F,"Départ"))</f>
        <v>0</v>
      </c>
      <c r="D8" s="21" t="str">
        <f>IF(A8="","",SUMIFS(Mouvements!$G:$G,Mouvements!$E:$E,$B$3,Mouvements!$B:$B,A8,Mouvements!$F:$F,"Retour"))</f>
        <v>0</v>
      </c>
      <c r="E8" s="21" t="str">
        <f t="shared" si="1"/>
        <v>0</v>
      </c>
      <c r="F8" s="21"/>
      <c r="G8" s="21" t="str">
        <f t="shared" si="2"/>
        <v>Soldé</v>
      </c>
      <c r="H8" s="21"/>
      <c r="I8" s="21" t="str">
        <f t="shared" si="3"/>
        <v/>
      </c>
    </row>
    <row r="9">
      <c r="A9" s="21" t="str">
        <f>Articles!A8</f>
        <v>12345</v>
      </c>
      <c r="B9" s="21" t="str">
        <f>Articles!B8</f>
        <v>Quentin</v>
      </c>
      <c r="C9" s="21" t="str">
        <f>IF(A9="","",SUMIFS(Mouvements!$G:$G,Mouvements!$E:$E,$B$3,Mouvements!$B:$B,A9,Mouvements!$F:$F,"Départ"))</f>
        <v>0</v>
      </c>
      <c r="D9" s="21" t="str">
        <f>IF(A9="","",SUMIFS(Mouvements!$G:$G,Mouvements!$E:$E,$B$3,Mouvements!$B:$B,A9,Mouvements!$F:$F,"Retour"))</f>
        <v>0</v>
      </c>
      <c r="E9" s="21" t="str">
        <f t="shared" si="1"/>
        <v>0</v>
      </c>
      <c r="F9" s="21"/>
      <c r="G9" s="21" t="str">
        <f t="shared" si="2"/>
        <v>Soldé</v>
      </c>
      <c r="H9" s="21"/>
      <c r="I9" s="21" t="str">
        <f t="shared" si="3"/>
        <v/>
      </c>
    </row>
    <row r="10">
      <c r="A10" s="21" t="str">
        <f>Articles!A9</f>
        <v>4969272</v>
      </c>
      <c r="B10" s="21" t="str">
        <f>Articles!B9</f>
        <v>teben </v>
      </c>
      <c r="C10" s="21" t="str">
        <f>IF(A10="","",SUMIFS(Mouvements!$G:$G,Mouvements!$E:$E,$B$3,Mouvements!$B:$B,A10,Mouvements!$F:$F,"Départ"))</f>
        <v>0</v>
      </c>
      <c r="D10" s="21" t="str">
        <f>IF(A10="","",SUMIFS(Mouvements!$G:$G,Mouvements!$E:$E,$B$3,Mouvements!$B:$B,A10,Mouvements!$F:$F,"Retour"))</f>
        <v>0</v>
      </c>
      <c r="E10" s="21" t="str">
        <f t="shared" si="1"/>
        <v>0</v>
      </c>
      <c r="F10" s="21"/>
      <c r="G10" s="21" t="str">
        <f t="shared" si="2"/>
        <v>Soldé</v>
      </c>
      <c r="H10" s="21"/>
      <c r="I10" s="21" t="str">
        <f t="shared" si="3"/>
        <v/>
      </c>
    </row>
    <row r="11">
      <c r="A11" s="21" t="str">
        <f>Articles!A10</f>
        <v/>
      </c>
      <c r="B11" s="21" t="str">
        <f>Articles!B10</f>
        <v/>
      </c>
      <c r="C11" s="21" t="str">
        <f>IF(A11="","",SUMIFS(Mouvements!$G:$G,Mouvements!$E:$E,$B$3,Mouvements!$B:$B,A11,Mouvements!$F:$F,"Départ"))</f>
        <v/>
      </c>
      <c r="D11" s="21" t="str">
        <f>IF(A11="","",SUMIFS(Mouvements!$G:$G,Mouvements!$E:$E,$B$3,Mouvements!$B:$B,A11,Mouvements!$F:$F,"Retour"))</f>
        <v/>
      </c>
      <c r="E11" s="21" t="str">
        <f t="shared" si="1"/>
        <v/>
      </c>
      <c r="F11" s="21"/>
      <c r="G11" s="21" t="str">
        <f t="shared" si="2"/>
        <v/>
      </c>
      <c r="H11" s="21"/>
      <c r="I11" s="21" t="str">
        <f t="shared" si="3"/>
        <v/>
      </c>
    </row>
    <row r="12">
      <c r="A12" s="21" t="str">
        <f>Articles!A11</f>
        <v/>
      </c>
      <c r="B12" s="21" t="str">
        <f>Articles!B11</f>
        <v/>
      </c>
      <c r="C12" s="21" t="str">
        <f>IF(A12="","",SUMIFS(Mouvements!$G:$G,Mouvements!$E:$E,$B$3,Mouvements!$B:$B,A12,Mouvements!$F:$F,"Départ"))</f>
        <v/>
      </c>
      <c r="D12" s="21" t="str">
        <f>IF(A12="","",SUMIFS(Mouvements!$G:$G,Mouvements!$E:$E,$B$3,Mouvements!$B:$B,A12,Mouvements!$F:$F,"Retour"))</f>
        <v/>
      </c>
      <c r="E12" s="21" t="str">
        <f t="shared" si="1"/>
        <v/>
      </c>
      <c r="F12" s="21"/>
      <c r="G12" s="21" t="str">
        <f t="shared" si="2"/>
        <v/>
      </c>
      <c r="H12" s="21"/>
      <c r="I12" s="21" t="str">
        <f t="shared" si="3"/>
        <v/>
      </c>
    </row>
    <row r="13">
      <c r="A13" s="21" t="str">
        <f>Articles!A12</f>
        <v/>
      </c>
      <c r="B13" s="21" t="str">
        <f>Articles!B12</f>
        <v/>
      </c>
      <c r="C13" s="21" t="str">
        <f>IF(A13="","",SUMIFS(Mouvements!$G:$G,Mouvements!$E:$E,$B$3,Mouvements!$B:$B,A13,Mouvements!$F:$F,"Départ"))</f>
        <v/>
      </c>
      <c r="D13" s="21" t="str">
        <f>IF(A13="","",SUMIFS(Mouvements!$G:$G,Mouvements!$E:$E,$B$3,Mouvements!$B:$B,A13,Mouvements!$F:$F,"Retour"))</f>
        <v/>
      </c>
      <c r="E13" s="21" t="str">
        <f t="shared" si="1"/>
        <v/>
      </c>
      <c r="F13" s="21"/>
      <c r="G13" s="21" t="str">
        <f t="shared" si="2"/>
        <v/>
      </c>
      <c r="H13" s="21"/>
      <c r="I13" s="21" t="str">
        <f t="shared" si="3"/>
        <v/>
      </c>
    </row>
    <row r="14">
      <c r="A14" s="21" t="str">
        <f>Articles!A13</f>
        <v/>
      </c>
      <c r="B14" s="21" t="str">
        <f>Articles!B13</f>
        <v/>
      </c>
      <c r="C14" s="21" t="str">
        <f>IF(A14="","",SUMIFS(Mouvements!$G:$G,Mouvements!$E:$E,$B$3,Mouvements!$B:$B,A14,Mouvements!$F:$F,"Départ"))</f>
        <v/>
      </c>
      <c r="D14" s="21" t="str">
        <f>IF(A14="","",SUMIFS(Mouvements!$G:$G,Mouvements!$E:$E,$B$3,Mouvements!$B:$B,A14,Mouvements!$F:$F,"Retour"))</f>
        <v/>
      </c>
      <c r="E14" s="21" t="str">
        <f t="shared" si="1"/>
        <v/>
      </c>
      <c r="F14" s="21"/>
      <c r="G14" s="21" t="str">
        <f t="shared" si="2"/>
        <v/>
      </c>
      <c r="H14" s="21"/>
      <c r="I14" s="21" t="str">
        <f t="shared" si="3"/>
        <v/>
      </c>
    </row>
    <row r="15">
      <c r="A15" s="21" t="str">
        <f>Articles!A14</f>
        <v/>
      </c>
      <c r="B15" s="21" t="str">
        <f>Articles!B14</f>
        <v/>
      </c>
      <c r="C15" s="21" t="str">
        <f>IF(A15="","",SUMIFS(Mouvements!$G:$G,Mouvements!$E:$E,$B$3,Mouvements!$B:$B,A15,Mouvements!$F:$F,"Départ"))</f>
        <v/>
      </c>
      <c r="D15" s="21" t="str">
        <f>IF(A15="","",SUMIFS(Mouvements!$G:$G,Mouvements!$E:$E,$B$3,Mouvements!$B:$B,A15,Mouvements!$F:$F,"Retour"))</f>
        <v/>
      </c>
      <c r="E15" s="21" t="str">
        <f t="shared" si="1"/>
        <v/>
      </c>
      <c r="F15" s="21"/>
      <c r="G15" s="21" t="str">
        <f t="shared" si="2"/>
        <v/>
      </c>
      <c r="H15" s="21"/>
      <c r="I15" s="21" t="str">
        <f t="shared" si="3"/>
        <v/>
      </c>
    </row>
    <row r="16">
      <c r="A16" s="21" t="str">
        <f>Articles!A15</f>
        <v/>
      </c>
      <c r="B16" s="21" t="str">
        <f>Articles!B15</f>
        <v/>
      </c>
      <c r="C16" s="21" t="str">
        <f>IF(A16="","",SUMIFS(Mouvements!$G:$G,Mouvements!$E:$E,$B$3,Mouvements!$B:$B,A16,Mouvements!$F:$F,"Départ"))</f>
        <v/>
      </c>
      <c r="D16" s="21" t="str">
        <f>IF(A16="","",SUMIFS(Mouvements!$G:$G,Mouvements!$E:$E,$B$3,Mouvements!$B:$B,A16,Mouvements!$F:$F,"Retour"))</f>
        <v/>
      </c>
      <c r="E16" s="21" t="str">
        <f t="shared" si="1"/>
        <v/>
      </c>
      <c r="F16" s="21"/>
      <c r="G16" s="21" t="str">
        <f t="shared" si="2"/>
        <v/>
      </c>
      <c r="H16" s="21"/>
      <c r="I16" s="21" t="str">
        <f t="shared" si="3"/>
        <v/>
      </c>
    </row>
    <row r="17">
      <c r="A17" s="21" t="str">
        <f>Articles!A16</f>
        <v/>
      </c>
      <c r="B17" s="21" t="str">
        <f>Articles!B16</f>
        <v/>
      </c>
      <c r="C17" s="21" t="str">
        <f>IF(A17="","",SUMIFS(Mouvements!$G:$G,Mouvements!$E:$E,$B$3,Mouvements!$B:$B,A17,Mouvements!$F:$F,"Départ"))</f>
        <v/>
      </c>
      <c r="D17" s="21" t="str">
        <f>IF(A17="","",SUMIFS(Mouvements!$G:$G,Mouvements!$E:$E,$B$3,Mouvements!$B:$B,A17,Mouvements!$F:$F,"Retour"))</f>
        <v/>
      </c>
      <c r="E17" s="21" t="str">
        <f t="shared" si="1"/>
        <v/>
      </c>
      <c r="F17" s="21"/>
      <c r="G17" s="21" t="str">
        <f t="shared" si="2"/>
        <v/>
      </c>
      <c r="H17" s="21"/>
      <c r="I17" s="21" t="str">
        <f t="shared" si="3"/>
        <v/>
      </c>
    </row>
    <row r="18">
      <c r="A18" s="21" t="str">
        <f>Articles!A17</f>
        <v/>
      </c>
      <c r="B18" s="21" t="str">
        <f>Articles!B17</f>
        <v/>
      </c>
      <c r="C18" s="21" t="str">
        <f>IF(A18="","",SUMIFS(Mouvements!$G:$G,Mouvements!$E:$E,$B$3,Mouvements!$B:$B,A18,Mouvements!$F:$F,"Départ"))</f>
        <v/>
      </c>
      <c r="D18" s="21" t="str">
        <f>IF(A18="","",SUMIFS(Mouvements!$G:$G,Mouvements!$E:$E,$B$3,Mouvements!$B:$B,A18,Mouvements!$F:$F,"Retour"))</f>
        <v/>
      </c>
      <c r="E18" s="21" t="str">
        <f t="shared" si="1"/>
        <v/>
      </c>
      <c r="F18" s="21"/>
      <c r="G18" s="21" t="str">
        <f t="shared" si="2"/>
        <v/>
      </c>
      <c r="H18" s="21"/>
      <c r="I18" s="21" t="str">
        <f t="shared" si="3"/>
        <v/>
      </c>
    </row>
    <row r="19">
      <c r="A19" s="21" t="str">
        <f>Articles!A18</f>
        <v/>
      </c>
      <c r="B19" s="21" t="str">
        <f>Articles!B18</f>
        <v/>
      </c>
      <c r="C19" s="21" t="str">
        <f>IF(A19="","",SUMIFS(Mouvements!$G:$G,Mouvements!$E:$E,$B$3,Mouvements!$B:$B,A19,Mouvements!$F:$F,"Départ"))</f>
        <v/>
      </c>
      <c r="D19" s="21" t="str">
        <f>IF(A19="","",SUMIFS(Mouvements!$G:$G,Mouvements!$E:$E,$B$3,Mouvements!$B:$B,A19,Mouvements!$F:$F,"Retour"))</f>
        <v/>
      </c>
      <c r="E19" s="21" t="str">
        <f t="shared" si="1"/>
        <v/>
      </c>
      <c r="F19" s="21"/>
      <c r="G19" s="21" t="str">
        <f t="shared" si="2"/>
        <v/>
      </c>
      <c r="H19" s="21"/>
      <c r="I19" s="21" t="str">
        <f t="shared" si="3"/>
        <v/>
      </c>
    </row>
    <row r="20">
      <c r="A20" s="21" t="str">
        <f>Articles!A19</f>
        <v/>
      </c>
      <c r="B20" s="21" t="str">
        <f>Articles!B19</f>
        <v/>
      </c>
      <c r="C20" s="21" t="str">
        <f>IF(A20="","",SUMIFS(Mouvements!$G:$G,Mouvements!$E:$E,$B$3,Mouvements!$B:$B,A20,Mouvements!$F:$F,"Départ"))</f>
        <v/>
      </c>
      <c r="D20" s="21" t="str">
        <f>IF(A20="","",SUMIFS(Mouvements!$G:$G,Mouvements!$E:$E,$B$3,Mouvements!$B:$B,A20,Mouvements!$F:$F,"Retour"))</f>
        <v/>
      </c>
      <c r="E20" s="21" t="str">
        <f t="shared" si="1"/>
        <v/>
      </c>
      <c r="F20" s="21"/>
      <c r="G20" s="21" t="str">
        <f t="shared" si="2"/>
        <v/>
      </c>
      <c r="H20" s="21"/>
      <c r="I20" s="21" t="str">
        <f t="shared" si="3"/>
        <v/>
      </c>
    </row>
    <row r="21" ht="15.75" customHeight="1">
      <c r="A21" s="21" t="str">
        <f>Articles!A20</f>
        <v/>
      </c>
      <c r="B21" s="21" t="str">
        <f>Articles!B20</f>
        <v/>
      </c>
      <c r="C21" s="21" t="str">
        <f>IF(A21="","",SUMIFS(Mouvements!$G:$G,Mouvements!$E:$E,$B$3,Mouvements!$B:$B,A21,Mouvements!$F:$F,"Départ"))</f>
        <v/>
      </c>
      <c r="D21" s="21" t="str">
        <f>IF(A21="","",SUMIFS(Mouvements!$G:$G,Mouvements!$E:$E,$B$3,Mouvements!$B:$B,A21,Mouvements!$F:$F,"Retour"))</f>
        <v/>
      </c>
      <c r="E21" s="21" t="str">
        <f t="shared" si="1"/>
        <v/>
      </c>
      <c r="F21" s="21"/>
      <c r="G21" s="21" t="str">
        <f t="shared" si="2"/>
        <v/>
      </c>
      <c r="H21" s="21"/>
      <c r="I21" s="21" t="str">
        <f t="shared" si="3"/>
        <v/>
      </c>
    </row>
    <row r="22" ht="15.75" customHeight="1">
      <c r="A22" s="21" t="str">
        <f>Articles!A21</f>
        <v/>
      </c>
      <c r="B22" s="21" t="str">
        <f>Articles!B21</f>
        <v/>
      </c>
      <c r="C22" s="21" t="str">
        <f>IF(A22="","",SUMIFS(Mouvements!$G:$G,Mouvements!$E:$E,$B$3,Mouvements!$B:$B,A22,Mouvements!$F:$F,"Départ"))</f>
        <v/>
      </c>
      <c r="D22" s="21" t="str">
        <f>IF(A22="","",SUMIFS(Mouvements!$G:$G,Mouvements!$E:$E,$B$3,Mouvements!$B:$B,A22,Mouvements!$F:$F,"Retour"))</f>
        <v/>
      </c>
      <c r="E22" s="21" t="str">
        <f t="shared" si="1"/>
        <v/>
      </c>
      <c r="F22" s="21"/>
      <c r="G22" s="21" t="str">
        <f t="shared" si="2"/>
        <v/>
      </c>
      <c r="H22" s="21"/>
      <c r="I22" s="21" t="str">
        <f t="shared" si="3"/>
        <v/>
      </c>
    </row>
    <row r="23" ht="15.75" customHeight="1">
      <c r="A23" s="21" t="str">
        <f>Articles!A22</f>
        <v/>
      </c>
      <c r="B23" s="21" t="str">
        <f>Articles!B22</f>
        <v/>
      </c>
      <c r="C23" s="21" t="str">
        <f>IF(A23="","",SUMIFS(Mouvements!$G:$G,Mouvements!$E:$E,$B$3,Mouvements!$B:$B,A23,Mouvements!$F:$F,"Départ"))</f>
        <v/>
      </c>
      <c r="D23" s="21" t="str">
        <f>IF(A23="","",SUMIFS(Mouvements!$G:$G,Mouvements!$E:$E,$B$3,Mouvements!$B:$B,A23,Mouvements!$F:$F,"Retour"))</f>
        <v/>
      </c>
      <c r="E23" s="21" t="str">
        <f t="shared" si="1"/>
        <v/>
      </c>
      <c r="F23" s="21"/>
      <c r="G23" s="21" t="str">
        <f t="shared" si="2"/>
        <v/>
      </c>
      <c r="H23" s="21"/>
      <c r="I23" s="21" t="str">
        <f t="shared" si="3"/>
        <v/>
      </c>
    </row>
    <row r="24" ht="15.75" customHeight="1">
      <c r="A24" s="21" t="str">
        <f>Articles!A23</f>
        <v/>
      </c>
      <c r="B24" s="21" t="str">
        <f>Articles!B23</f>
        <v/>
      </c>
      <c r="C24" s="21" t="str">
        <f>IF(A24="","",SUMIFS(Mouvements!$G:$G,Mouvements!$E:$E,$B$3,Mouvements!$B:$B,A24,Mouvements!$F:$F,"Départ"))</f>
        <v/>
      </c>
      <c r="D24" s="21" t="str">
        <f>IF(A24="","",SUMIFS(Mouvements!$G:$G,Mouvements!$E:$E,$B$3,Mouvements!$B:$B,A24,Mouvements!$F:$F,"Retour"))</f>
        <v/>
      </c>
      <c r="E24" s="21" t="str">
        <f t="shared" si="1"/>
        <v/>
      </c>
      <c r="F24" s="21"/>
      <c r="G24" s="21" t="str">
        <f t="shared" si="2"/>
        <v/>
      </c>
      <c r="H24" s="21"/>
      <c r="I24" s="21" t="str">
        <f t="shared" si="3"/>
        <v/>
      </c>
    </row>
    <row r="25" ht="15.75" customHeight="1">
      <c r="A25" s="21" t="str">
        <f>Articles!A24</f>
        <v/>
      </c>
      <c r="B25" s="21" t="str">
        <f>Articles!B24</f>
        <v/>
      </c>
      <c r="C25" s="21" t="str">
        <f>IF(A25="","",SUMIFS(Mouvements!$G:$G,Mouvements!$E:$E,$B$3,Mouvements!$B:$B,A25,Mouvements!$F:$F,"Départ"))</f>
        <v/>
      </c>
      <c r="D25" s="21" t="str">
        <f>IF(A25="","",SUMIFS(Mouvements!$G:$G,Mouvements!$E:$E,$B$3,Mouvements!$B:$B,A25,Mouvements!$F:$F,"Retour"))</f>
        <v/>
      </c>
      <c r="E25" s="21" t="str">
        <f t="shared" si="1"/>
        <v/>
      </c>
      <c r="F25" s="21"/>
      <c r="G25" s="21" t="str">
        <f t="shared" si="2"/>
        <v/>
      </c>
      <c r="H25" s="21"/>
      <c r="I25" s="21" t="str">
        <f t="shared" si="3"/>
        <v/>
      </c>
    </row>
    <row r="26" ht="15.75" customHeight="1">
      <c r="A26" s="21" t="str">
        <f>Articles!A25</f>
        <v/>
      </c>
      <c r="B26" s="21" t="str">
        <f>Articles!B25</f>
        <v/>
      </c>
      <c r="C26" s="21" t="str">
        <f>IF(A26="","",SUMIFS(Mouvements!$G:$G,Mouvements!$E:$E,$B$3,Mouvements!$B:$B,A26,Mouvements!$F:$F,"Départ"))</f>
        <v/>
      </c>
      <c r="D26" s="21" t="str">
        <f>IF(A26="","",SUMIFS(Mouvements!$G:$G,Mouvements!$E:$E,$B$3,Mouvements!$B:$B,A26,Mouvements!$F:$F,"Retour"))</f>
        <v/>
      </c>
      <c r="E26" s="21" t="str">
        <f t="shared" si="1"/>
        <v/>
      </c>
      <c r="F26" s="21"/>
      <c r="G26" s="21" t="str">
        <f t="shared" si="2"/>
        <v/>
      </c>
      <c r="H26" s="21"/>
      <c r="I26" s="21" t="str">
        <f t="shared" si="3"/>
        <v/>
      </c>
    </row>
    <row r="27" ht="15.75" customHeight="1">
      <c r="A27" s="21" t="str">
        <f>Articles!A26</f>
        <v/>
      </c>
      <c r="B27" s="21" t="str">
        <f>Articles!B26</f>
        <v/>
      </c>
      <c r="C27" s="21" t="str">
        <f>IF(A27="","",SUMIFS(Mouvements!$G:$G,Mouvements!$E:$E,$B$3,Mouvements!$B:$B,A27,Mouvements!$F:$F,"Départ"))</f>
        <v/>
      </c>
      <c r="D27" s="21" t="str">
        <f>IF(A27="","",SUMIFS(Mouvements!$G:$G,Mouvements!$E:$E,$B$3,Mouvements!$B:$B,A27,Mouvements!$F:$F,"Retour"))</f>
        <v/>
      </c>
      <c r="E27" s="21" t="str">
        <f t="shared" si="1"/>
        <v/>
      </c>
      <c r="F27" s="21"/>
      <c r="G27" s="21" t="str">
        <f t="shared" si="2"/>
        <v/>
      </c>
      <c r="H27" s="21"/>
      <c r="I27" s="21" t="str">
        <f t="shared" si="3"/>
        <v/>
      </c>
    </row>
    <row r="28" ht="15.75" customHeight="1">
      <c r="A28" s="21" t="str">
        <f>Articles!A27</f>
        <v/>
      </c>
      <c r="B28" s="21" t="str">
        <f>Articles!B27</f>
        <v/>
      </c>
      <c r="C28" s="21" t="str">
        <f>IF(A28="","",SUMIFS(Mouvements!$G:$G,Mouvements!$E:$E,$B$3,Mouvements!$B:$B,A28,Mouvements!$F:$F,"Départ"))</f>
        <v/>
      </c>
      <c r="D28" s="21" t="str">
        <f>IF(A28="","",SUMIFS(Mouvements!$G:$G,Mouvements!$E:$E,$B$3,Mouvements!$B:$B,A28,Mouvements!$F:$F,"Retour"))</f>
        <v/>
      </c>
      <c r="E28" s="21" t="str">
        <f t="shared" si="1"/>
        <v/>
      </c>
      <c r="F28" s="21"/>
      <c r="G28" s="21" t="str">
        <f t="shared" si="2"/>
        <v/>
      </c>
      <c r="H28" s="21"/>
      <c r="I28" s="21" t="str">
        <f t="shared" si="3"/>
        <v/>
      </c>
    </row>
    <row r="29" ht="15.75" customHeight="1">
      <c r="A29" s="21" t="str">
        <f>Articles!A28</f>
        <v/>
      </c>
      <c r="B29" s="21" t="str">
        <f>Articles!B28</f>
        <v/>
      </c>
      <c r="C29" s="21" t="str">
        <f>IF(A29="","",SUMIFS(Mouvements!$G:$G,Mouvements!$E:$E,$B$3,Mouvements!$B:$B,A29,Mouvements!$F:$F,"Départ"))</f>
        <v/>
      </c>
      <c r="D29" s="21" t="str">
        <f>IF(A29="","",SUMIFS(Mouvements!$G:$G,Mouvements!$E:$E,$B$3,Mouvements!$B:$B,A29,Mouvements!$F:$F,"Retour"))</f>
        <v/>
      </c>
      <c r="E29" s="21" t="str">
        <f t="shared" si="1"/>
        <v/>
      </c>
      <c r="F29" s="21"/>
      <c r="G29" s="21" t="str">
        <f t="shared" si="2"/>
        <v/>
      </c>
      <c r="H29" s="21"/>
      <c r="I29" s="21" t="str">
        <f t="shared" si="3"/>
        <v/>
      </c>
    </row>
    <row r="30" ht="15.75" customHeight="1">
      <c r="A30" s="21" t="str">
        <f>Articles!A29</f>
        <v/>
      </c>
      <c r="B30" s="21" t="str">
        <f>Articles!B29</f>
        <v/>
      </c>
      <c r="C30" s="21" t="str">
        <f>IF(A30="","",SUMIFS(Mouvements!$G:$G,Mouvements!$E:$E,$B$3,Mouvements!$B:$B,A30,Mouvements!$F:$F,"Départ"))</f>
        <v/>
      </c>
      <c r="D30" s="21" t="str">
        <f>IF(A30="","",SUMIFS(Mouvements!$G:$G,Mouvements!$E:$E,$B$3,Mouvements!$B:$B,A30,Mouvements!$F:$F,"Retour"))</f>
        <v/>
      </c>
      <c r="E30" s="21" t="str">
        <f t="shared" si="1"/>
        <v/>
      </c>
      <c r="F30" s="21"/>
      <c r="G30" s="21" t="str">
        <f t="shared" si="2"/>
        <v/>
      </c>
      <c r="H30" s="21"/>
      <c r="I30" s="21" t="str">
        <f t="shared" si="3"/>
        <v/>
      </c>
    </row>
    <row r="31" ht="15.75" customHeight="1">
      <c r="A31" s="21" t="str">
        <f>Articles!A30</f>
        <v/>
      </c>
      <c r="B31" s="21" t="str">
        <f>Articles!B30</f>
        <v/>
      </c>
      <c r="C31" s="21" t="str">
        <f>IF(A31="","",SUMIFS(Mouvements!$G:$G,Mouvements!$E:$E,$B$3,Mouvements!$B:$B,A31,Mouvements!$F:$F,"Départ"))</f>
        <v/>
      </c>
      <c r="D31" s="21" t="str">
        <f>IF(A31="","",SUMIFS(Mouvements!$G:$G,Mouvements!$E:$E,$B$3,Mouvements!$B:$B,A31,Mouvements!$F:$F,"Retour"))</f>
        <v/>
      </c>
      <c r="E31" s="21" t="str">
        <f t="shared" si="1"/>
        <v/>
      </c>
      <c r="F31" s="21"/>
      <c r="G31" s="21" t="str">
        <f t="shared" si="2"/>
        <v/>
      </c>
      <c r="H31" s="21"/>
      <c r="I31" s="21" t="str">
        <f t="shared" si="3"/>
        <v/>
      </c>
    </row>
    <row r="32" ht="15.75" customHeight="1">
      <c r="A32" s="21" t="str">
        <f>Articles!A31</f>
        <v/>
      </c>
      <c r="B32" s="21" t="str">
        <f>Articles!B31</f>
        <v/>
      </c>
      <c r="C32" s="21" t="str">
        <f>IF(A32="","",SUMIFS(Mouvements!$G:$G,Mouvements!$E:$E,$B$3,Mouvements!$B:$B,A32,Mouvements!$F:$F,"Départ"))</f>
        <v/>
      </c>
      <c r="D32" s="21" t="str">
        <f>IF(A32="","",SUMIFS(Mouvements!$G:$G,Mouvements!$E:$E,$B$3,Mouvements!$B:$B,A32,Mouvements!$F:$F,"Retour"))</f>
        <v/>
      </c>
      <c r="E32" s="21" t="str">
        <f t="shared" si="1"/>
        <v/>
      </c>
      <c r="F32" s="21"/>
      <c r="G32" s="21" t="str">
        <f t="shared" si="2"/>
        <v/>
      </c>
      <c r="H32" s="21"/>
      <c r="I32" s="21" t="str">
        <f t="shared" si="3"/>
        <v/>
      </c>
    </row>
    <row r="33" ht="15.75" customHeight="1">
      <c r="A33" s="21" t="str">
        <f>Articles!A32</f>
        <v/>
      </c>
      <c r="B33" s="21" t="str">
        <f>Articles!B32</f>
        <v/>
      </c>
      <c r="C33" s="21" t="str">
        <f>IF(A33="","",SUMIFS(Mouvements!$G:$G,Mouvements!$E:$E,$B$3,Mouvements!$B:$B,A33,Mouvements!$F:$F,"Départ"))</f>
        <v/>
      </c>
      <c r="D33" s="21" t="str">
        <f>IF(A33="","",SUMIFS(Mouvements!$G:$G,Mouvements!$E:$E,$B$3,Mouvements!$B:$B,A33,Mouvements!$F:$F,"Retour"))</f>
        <v/>
      </c>
      <c r="E33" s="21" t="str">
        <f t="shared" si="1"/>
        <v/>
      </c>
      <c r="F33" s="21"/>
      <c r="G33" s="21" t="str">
        <f t="shared" si="2"/>
        <v/>
      </c>
      <c r="H33" s="21"/>
      <c r="I33" s="21" t="str">
        <f t="shared" si="3"/>
        <v/>
      </c>
    </row>
    <row r="34" ht="15.75" customHeight="1">
      <c r="A34" s="21" t="str">
        <f>Articles!A33</f>
        <v/>
      </c>
      <c r="B34" s="21" t="str">
        <f>Articles!B33</f>
        <v/>
      </c>
      <c r="C34" s="21" t="str">
        <f>IF(A34="","",SUMIFS(Mouvements!$G:$G,Mouvements!$E:$E,$B$3,Mouvements!$B:$B,A34,Mouvements!$F:$F,"Départ"))</f>
        <v/>
      </c>
      <c r="D34" s="21" t="str">
        <f>IF(A34="","",SUMIFS(Mouvements!$G:$G,Mouvements!$E:$E,$B$3,Mouvements!$B:$B,A34,Mouvements!$F:$F,"Retour"))</f>
        <v/>
      </c>
      <c r="E34" s="21" t="str">
        <f t="shared" si="1"/>
        <v/>
      </c>
      <c r="F34" s="21"/>
      <c r="G34" s="21" t="str">
        <f t="shared" si="2"/>
        <v/>
      </c>
      <c r="H34" s="21"/>
      <c r="I34" s="21" t="str">
        <f t="shared" si="3"/>
        <v/>
      </c>
    </row>
    <row r="35" ht="15.75" customHeight="1">
      <c r="A35" s="21" t="str">
        <f>Articles!A34</f>
        <v/>
      </c>
      <c r="B35" s="21" t="str">
        <f>Articles!B34</f>
        <v/>
      </c>
      <c r="C35" s="21" t="str">
        <f>IF(A35="","",SUMIFS(Mouvements!$G:$G,Mouvements!$E:$E,$B$3,Mouvements!$B:$B,A35,Mouvements!$F:$F,"Départ"))</f>
        <v/>
      </c>
      <c r="D35" s="21" t="str">
        <f>IF(A35="","",SUMIFS(Mouvements!$G:$G,Mouvements!$E:$E,$B$3,Mouvements!$B:$B,A35,Mouvements!$F:$F,"Retour"))</f>
        <v/>
      </c>
      <c r="E35" s="21" t="str">
        <f t="shared" si="1"/>
        <v/>
      </c>
      <c r="F35" s="21"/>
      <c r="G35" s="21" t="str">
        <f t="shared" si="2"/>
        <v/>
      </c>
      <c r="H35" s="21"/>
      <c r="I35" s="21" t="str">
        <f t="shared" si="3"/>
        <v/>
      </c>
    </row>
    <row r="36" ht="15.75" customHeight="1">
      <c r="A36" s="21" t="str">
        <f>Articles!A35</f>
        <v/>
      </c>
      <c r="B36" s="21" t="str">
        <f>Articles!B35</f>
        <v/>
      </c>
      <c r="C36" s="21" t="str">
        <f>IF(A36="","",SUMIFS(Mouvements!$G:$G,Mouvements!$E:$E,$B$3,Mouvements!$B:$B,A36,Mouvements!$F:$F,"Départ"))</f>
        <v/>
      </c>
      <c r="D36" s="21" t="str">
        <f>IF(A36="","",SUMIFS(Mouvements!$G:$G,Mouvements!$E:$E,$B$3,Mouvements!$B:$B,A36,Mouvements!$F:$F,"Retour"))</f>
        <v/>
      </c>
      <c r="E36" s="21" t="str">
        <f t="shared" si="1"/>
        <v/>
      </c>
      <c r="F36" s="21"/>
      <c r="G36" s="21" t="str">
        <f t="shared" si="2"/>
        <v/>
      </c>
      <c r="H36" s="21"/>
      <c r="I36" s="21" t="str">
        <f t="shared" si="3"/>
        <v/>
      </c>
    </row>
    <row r="37" ht="15.75" customHeight="1">
      <c r="A37" s="21" t="str">
        <f>Articles!A36</f>
        <v/>
      </c>
      <c r="B37" s="21" t="str">
        <f>Articles!B36</f>
        <v/>
      </c>
      <c r="C37" s="21" t="str">
        <f>IF(A37="","",SUMIFS(Mouvements!$G:$G,Mouvements!$E:$E,$B$3,Mouvements!$B:$B,A37,Mouvements!$F:$F,"Départ"))</f>
        <v/>
      </c>
      <c r="D37" s="21" t="str">
        <f>IF(A37="","",SUMIFS(Mouvements!$G:$G,Mouvements!$E:$E,$B$3,Mouvements!$B:$B,A37,Mouvements!$F:$F,"Retour"))</f>
        <v/>
      </c>
      <c r="E37" s="21" t="str">
        <f t="shared" si="1"/>
        <v/>
      </c>
      <c r="F37" s="21"/>
      <c r="G37" s="21" t="str">
        <f t="shared" si="2"/>
        <v/>
      </c>
      <c r="H37" s="21"/>
      <c r="I37" s="21" t="str">
        <f t="shared" si="3"/>
        <v/>
      </c>
    </row>
    <row r="38" ht="15.75" customHeight="1">
      <c r="A38" s="21" t="str">
        <f>Articles!A37</f>
        <v/>
      </c>
      <c r="B38" s="21" t="str">
        <f>Articles!B37</f>
        <v/>
      </c>
      <c r="C38" s="21" t="str">
        <f>IF(A38="","",SUMIFS(Mouvements!$G:$G,Mouvements!$E:$E,$B$3,Mouvements!$B:$B,A38,Mouvements!$F:$F,"Départ"))</f>
        <v/>
      </c>
      <c r="D38" s="21" t="str">
        <f>IF(A38="","",SUMIFS(Mouvements!$G:$G,Mouvements!$E:$E,$B$3,Mouvements!$B:$B,A38,Mouvements!$F:$F,"Retour"))</f>
        <v/>
      </c>
      <c r="E38" s="21" t="str">
        <f t="shared" si="1"/>
        <v/>
      </c>
      <c r="F38" s="21"/>
      <c r="G38" s="21" t="str">
        <f t="shared" si="2"/>
        <v/>
      </c>
      <c r="H38" s="21"/>
      <c r="I38" s="21" t="str">
        <f t="shared" si="3"/>
        <v/>
      </c>
    </row>
    <row r="39" ht="15.75" customHeight="1">
      <c r="A39" s="21" t="str">
        <f>Articles!A38</f>
        <v/>
      </c>
      <c r="B39" s="21" t="str">
        <f>Articles!B38</f>
        <v/>
      </c>
      <c r="C39" s="21" t="str">
        <f>IF(A39="","",SUMIFS(Mouvements!$G:$G,Mouvements!$E:$E,$B$3,Mouvements!$B:$B,A39,Mouvements!$F:$F,"Départ"))</f>
        <v/>
      </c>
      <c r="D39" s="21" t="str">
        <f>IF(A39="","",SUMIFS(Mouvements!$G:$G,Mouvements!$E:$E,$B$3,Mouvements!$B:$B,A39,Mouvements!$F:$F,"Retour"))</f>
        <v/>
      </c>
      <c r="E39" s="21" t="str">
        <f t="shared" si="1"/>
        <v/>
      </c>
      <c r="F39" s="21"/>
      <c r="G39" s="21" t="str">
        <f t="shared" si="2"/>
        <v/>
      </c>
      <c r="H39" s="21"/>
      <c r="I39" s="21" t="str">
        <f t="shared" si="3"/>
        <v/>
      </c>
    </row>
    <row r="40" ht="15.75" customHeight="1">
      <c r="A40" s="21" t="str">
        <f>Articles!A39</f>
        <v/>
      </c>
      <c r="B40" s="21" t="str">
        <f>Articles!B39</f>
        <v/>
      </c>
      <c r="C40" s="21" t="str">
        <f>IF(A40="","",SUMIFS(Mouvements!$G:$G,Mouvements!$E:$E,$B$3,Mouvements!$B:$B,A40,Mouvements!$F:$F,"Départ"))</f>
        <v/>
      </c>
      <c r="D40" s="21" t="str">
        <f>IF(A40="","",SUMIFS(Mouvements!$G:$G,Mouvements!$E:$E,$B$3,Mouvements!$B:$B,A40,Mouvements!$F:$F,"Retour"))</f>
        <v/>
      </c>
      <c r="E40" s="21" t="str">
        <f t="shared" si="1"/>
        <v/>
      </c>
      <c r="F40" s="21"/>
      <c r="G40" s="21" t="str">
        <f t="shared" si="2"/>
        <v/>
      </c>
      <c r="H40" s="21"/>
      <c r="I40" s="21" t="str">
        <f t="shared" si="3"/>
        <v/>
      </c>
    </row>
    <row r="41" ht="15.75" customHeight="1">
      <c r="A41" s="21" t="str">
        <f>Articles!A40</f>
        <v/>
      </c>
      <c r="B41" s="21" t="str">
        <f>Articles!B40</f>
        <v/>
      </c>
      <c r="C41" s="21" t="str">
        <f>IF(A41="","",SUMIFS(Mouvements!$G:$G,Mouvements!$E:$E,$B$3,Mouvements!$B:$B,A41,Mouvements!$F:$F,"Départ"))</f>
        <v/>
      </c>
      <c r="D41" s="21" t="str">
        <f>IF(A41="","",SUMIFS(Mouvements!$G:$G,Mouvements!$E:$E,$B$3,Mouvements!$B:$B,A41,Mouvements!$F:$F,"Retour"))</f>
        <v/>
      </c>
      <c r="E41" s="21" t="str">
        <f t="shared" si="1"/>
        <v/>
      </c>
      <c r="F41" s="21"/>
      <c r="G41" s="21" t="str">
        <f t="shared" si="2"/>
        <v/>
      </c>
      <c r="H41" s="21"/>
      <c r="I41" s="21" t="str">
        <f t="shared" si="3"/>
        <v/>
      </c>
    </row>
    <row r="42" ht="15.75" customHeight="1">
      <c r="A42" s="21" t="str">
        <f>Articles!A41</f>
        <v/>
      </c>
      <c r="B42" s="21" t="str">
        <f>Articles!B41</f>
        <v/>
      </c>
      <c r="C42" s="21" t="str">
        <f>IF(A42="","",SUMIFS(Mouvements!$G:$G,Mouvements!$E:$E,$B$3,Mouvements!$B:$B,A42,Mouvements!$F:$F,"Départ"))</f>
        <v/>
      </c>
      <c r="D42" s="21" t="str">
        <f>IF(A42="","",SUMIFS(Mouvements!$G:$G,Mouvements!$E:$E,$B$3,Mouvements!$B:$B,A42,Mouvements!$F:$F,"Retour"))</f>
        <v/>
      </c>
      <c r="E42" s="21" t="str">
        <f t="shared" si="1"/>
        <v/>
      </c>
      <c r="F42" s="21"/>
      <c r="G42" s="21" t="str">
        <f t="shared" si="2"/>
        <v/>
      </c>
      <c r="H42" s="21"/>
      <c r="I42" s="21" t="str">
        <f t="shared" si="3"/>
        <v/>
      </c>
    </row>
    <row r="43" ht="15.75" customHeight="1">
      <c r="A43" s="21" t="str">
        <f>Articles!A42</f>
        <v/>
      </c>
      <c r="B43" s="21" t="str">
        <f>Articles!B42</f>
        <v/>
      </c>
      <c r="C43" s="21" t="str">
        <f>IF(A43="","",SUMIFS(Mouvements!$G:$G,Mouvements!$E:$E,$B$3,Mouvements!$B:$B,A43,Mouvements!$F:$F,"Départ"))</f>
        <v/>
      </c>
      <c r="D43" s="21" t="str">
        <f>IF(A43="","",SUMIFS(Mouvements!$G:$G,Mouvements!$E:$E,$B$3,Mouvements!$B:$B,A43,Mouvements!$F:$F,"Retour"))</f>
        <v/>
      </c>
      <c r="E43" s="21" t="str">
        <f t="shared" si="1"/>
        <v/>
      </c>
      <c r="F43" s="21"/>
      <c r="G43" s="21" t="str">
        <f t="shared" si="2"/>
        <v/>
      </c>
      <c r="H43" s="21"/>
      <c r="I43" s="21" t="str">
        <f t="shared" si="3"/>
        <v/>
      </c>
    </row>
    <row r="44" ht="15.75" customHeight="1">
      <c r="A44" s="21" t="str">
        <f>Articles!A43</f>
        <v/>
      </c>
      <c r="B44" s="21" t="str">
        <f>Articles!B43</f>
        <v/>
      </c>
      <c r="C44" s="21" t="str">
        <f>IF(A44="","",SUMIFS(Mouvements!$G:$G,Mouvements!$E:$E,$B$3,Mouvements!$B:$B,A44,Mouvements!$F:$F,"Départ"))</f>
        <v/>
      </c>
      <c r="D44" s="21" t="str">
        <f>IF(A44="","",SUMIFS(Mouvements!$G:$G,Mouvements!$E:$E,$B$3,Mouvements!$B:$B,A44,Mouvements!$F:$F,"Retour"))</f>
        <v/>
      </c>
      <c r="E44" s="21" t="str">
        <f t="shared" si="1"/>
        <v/>
      </c>
      <c r="F44" s="21"/>
      <c r="G44" s="21" t="str">
        <f t="shared" si="2"/>
        <v/>
      </c>
      <c r="H44" s="21"/>
      <c r="I44" s="21" t="str">
        <f t="shared" si="3"/>
        <v/>
      </c>
    </row>
    <row r="45" ht="15.75" customHeight="1">
      <c r="A45" s="21" t="str">
        <f>Articles!A44</f>
        <v/>
      </c>
      <c r="B45" s="21" t="str">
        <f>Articles!B44</f>
        <v/>
      </c>
      <c r="C45" s="21" t="str">
        <f>IF(A45="","",SUMIFS(Mouvements!$G:$G,Mouvements!$E:$E,$B$3,Mouvements!$B:$B,A45,Mouvements!$F:$F,"Départ"))</f>
        <v/>
      </c>
      <c r="D45" s="21" t="str">
        <f>IF(A45="","",SUMIFS(Mouvements!$G:$G,Mouvements!$E:$E,$B$3,Mouvements!$B:$B,A45,Mouvements!$F:$F,"Retour"))</f>
        <v/>
      </c>
      <c r="E45" s="21" t="str">
        <f t="shared" si="1"/>
        <v/>
      </c>
      <c r="F45" s="21"/>
      <c r="G45" s="21" t="str">
        <f t="shared" si="2"/>
        <v/>
      </c>
      <c r="H45" s="21"/>
      <c r="I45" s="21" t="str">
        <f t="shared" si="3"/>
        <v/>
      </c>
    </row>
    <row r="46" ht="15.75" customHeight="1">
      <c r="A46" s="21" t="str">
        <f>Articles!A45</f>
        <v/>
      </c>
      <c r="B46" s="21" t="str">
        <f>Articles!B45</f>
        <v/>
      </c>
      <c r="C46" s="21" t="str">
        <f>IF(A46="","",SUMIFS(Mouvements!$G:$G,Mouvements!$E:$E,$B$3,Mouvements!$B:$B,A46,Mouvements!$F:$F,"Départ"))</f>
        <v/>
      </c>
      <c r="D46" s="21" t="str">
        <f>IF(A46="","",SUMIFS(Mouvements!$G:$G,Mouvements!$E:$E,$B$3,Mouvements!$B:$B,A46,Mouvements!$F:$F,"Retour"))</f>
        <v/>
      </c>
      <c r="E46" s="21" t="str">
        <f t="shared" si="1"/>
        <v/>
      </c>
      <c r="F46" s="21"/>
      <c r="G46" s="21" t="str">
        <f t="shared" si="2"/>
        <v/>
      </c>
      <c r="H46" s="21"/>
      <c r="I46" s="21" t="str">
        <f t="shared" si="3"/>
        <v/>
      </c>
    </row>
    <row r="47" ht="15.75" customHeight="1">
      <c r="A47" s="21" t="str">
        <f>Articles!A46</f>
        <v/>
      </c>
      <c r="B47" s="21" t="str">
        <f>Articles!B46</f>
        <v/>
      </c>
      <c r="C47" s="21" t="str">
        <f>IF(A47="","",SUMIFS(Mouvements!$G:$G,Mouvements!$E:$E,$B$3,Mouvements!$B:$B,A47,Mouvements!$F:$F,"Départ"))</f>
        <v/>
      </c>
      <c r="D47" s="21" t="str">
        <f>IF(A47="","",SUMIFS(Mouvements!$G:$G,Mouvements!$E:$E,$B$3,Mouvements!$B:$B,A47,Mouvements!$F:$F,"Retour"))</f>
        <v/>
      </c>
      <c r="E47" s="21" t="str">
        <f t="shared" si="1"/>
        <v/>
      </c>
      <c r="F47" s="21"/>
      <c r="G47" s="21" t="str">
        <f t="shared" si="2"/>
        <v/>
      </c>
      <c r="H47" s="21"/>
      <c r="I47" s="21" t="str">
        <f t="shared" si="3"/>
        <v/>
      </c>
    </row>
    <row r="48" ht="15.75" customHeight="1">
      <c r="A48" s="21" t="str">
        <f>Articles!A47</f>
        <v/>
      </c>
      <c r="B48" s="21" t="str">
        <f>Articles!B47</f>
        <v/>
      </c>
      <c r="C48" s="21" t="str">
        <f>IF(A48="","",SUMIFS(Mouvements!$G:$G,Mouvements!$E:$E,$B$3,Mouvements!$B:$B,A48,Mouvements!$F:$F,"Départ"))</f>
        <v/>
      </c>
      <c r="D48" s="21" t="str">
        <f>IF(A48="","",SUMIFS(Mouvements!$G:$G,Mouvements!$E:$E,$B$3,Mouvements!$B:$B,A48,Mouvements!$F:$F,"Retour"))</f>
        <v/>
      </c>
      <c r="E48" s="21" t="str">
        <f t="shared" si="1"/>
        <v/>
      </c>
      <c r="F48" s="21"/>
      <c r="G48" s="21" t="str">
        <f t="shared" si="2"/>
        <v/>
      </c>
      <c r="H48" s="21"/>
      <c r="I48" s="21" t="str">
        <f t="shared" si="3"/>
        <v/>
      </c>
    </row>
    <row r="49" ht="15.75" customHeight="1">
      <c r="A49" s="21" t="str">
        <f>Articles!A48</f>
        <v/>
      </c>
      <c r="B49" s="21" t="str">
        <f>Articles!B48</f>
        <v/>
      </c>
      <c r="C49" s="21" t="str">
        <f>IF(A49="","",SUMIFS(Mouvements!$G:$G,Mouvements!$E:$E,$B$3,Mouvements!$B:$B,A49,Mouvements!$F:$F,"Départ"))</f>
        <v/>
      </c>
      <c r="D49" s="21" t="str">
        <f>IF(A49="","",SUMIFS(Mouvements!$G:$G,Mouvements!$E:$E,$B$3,Mouvements!$B:$B,A49,Mouvements!$F:$F,"Retour"))</f>
        <v/>
      </c>
      <c r="E49" s="21" t="str">
        <f t="shared" si="1"/>
        <v/>
      </c>
      <c r="F49" s="21"/>
      <c r="G49" s="21" t="str">
        <f t="shared" si="2"/>
        <v/>
      </c>
      <c r="H49" s="21"/>
      <c r="I49" s="21" t="str">
        <f t="shared" si="3"/>
        <v/>
      </c>
    </row>
    <row r="50" ht="15.75" customHeight="1">
      <c r="A50" s="21" t="str">
        <f>Articles!A49</f>
        <v/>
      </c>
      <c r="B50" s="21" t="str">
        <f>Articles!B49</f>
        <v/>
      </c>
      <c r="C50" s="21" t="str">
        <f>IF(A50="","",SUMIFS(Mouvements!$G:$G,Mouvements!$E:$E,$B$3,Mouvements!$B:$B,A50,Mouvements!$F:$F,"Départ"))</f>
        <v/>
      </c>
      <c r="D50" s="21" t="str">
        <f>IF(A50="","",SUMIFS(Mouvements!$G:$G,Mouvements!$E:$E,$B$3,Mouvements!$B:$B,A50,Mouvements!$F:$F,"Retour"))</f>
        <v/>
      </c>
      <c r="E50" s="21" t="str">
        <f t="shared" si="1"/>
        <v/>
      </c>
      <c r="F50" s="21"/>
      <c r="G50" s="21" t="str">
        <f t="shared" si="2"/>
        <v/>
      </c>
      <c r="H50" s="21"/>
      <c r="I50" s="21" t="str">
        <f t="shared" si="3"/>
        <v/>
      </c>
    </row>
    <row r="51" ht="15.75" customHeight="1">
      <c r="A51" s="21" t="str">
        <f>Articles!A50</f>
        <v/>
      </c>
      <c r="B51" s="21" t="str">
        <f>Articles!B50</f>
        <v/>
      </c>
      <c r="C51" s="21" t="str">
        <f>IF(A51="","",SUMIFS(Mouvements!$G:$G,Mouvements!$E:$E,$B$3,Mouvements!$B:$B,A51,Mouvements!$F:$F,"Départ"))</f>
        <v/>
      </c>
      <c r="D51" s="21" t="str">
        <f>IF(A51="","",SUMIFS(Mouvements!$G:$G,Mouvements!$E:$E,$B$3,Mouvements!$B:$B,A51,Mouvements!$F:$F,"Retour"))</f>
        <v/>
      </c>
      <c r="E51" s="21" t="str">
        <f t="shared" si="1"/>
        <v/>
      </c>
      <c r="F51" s="21"/>
      <c r="G51" s="21" t="str">
        <f t="shared" si="2"/>
        <v/>
      </c>
      <c r="H51" s="21"/>
      <c r="I51" s="21" t="str">
        <f t="shared" si="3"/>
        <v/>
      </c>
    </row>
    <row r="52" ht="15.75" customHeight="1">
      <c r="A52" s="21" t="str">
        <f>Articles!A51</f>
        <v/>
      </c>
      <c r="B52" s="21" t="str">
        <f>Articles!B51</f>
        <v/>
      </c>
      <c r="C52" s="21" t="str">
        <f>IF(A52="","",SUMIFS(Mouvements!$G:$G,Mouvements!$E:$E,$B$3,Mouvements!$B:$B,A52,Mouvements!$F:$F,"Départ"))</f>
        <v/>
      </c>
      <c r="D52" s="21" t="str">
        <f>IF(A52="","",SUMIFS(Mouvements!$G:$G,Mouvements!$E:$E,$B$3,Mouvements!$B:$B,A52,Mouvements!$F:$F,"Retour"))</f>
        <v/>
      </c>
      <c r="E52" s="21" t="str">
        <f t="shared" si="1"/>
        <v/>
      </c>
      <c r="F52" s="21"/>
      <c r="G52" s="21" t="str">
        <f t="shared" si="2"/>
        <v/>
      </c>
      <c r="H52" s="21"/>
      <c r="I52" s="21" t="str">
        <f t="shared" si="3"/>
        <v/>
      </c>
    </row>
    <row r="53" ht="15.75" customHeight="1">
      <c r="A53" s="21" t="str">
        <f>Articles!A52</f>
        <v/>
      </c>
      <c r="B53" s="21" t="str">
        <f>Articles!B52</f>
        <v/>
      </c>
      <c r="C53" s="21" t="str">
        <f>IF(A53="","",SUMIFS(Mouvements!$G:$G,Mouvements!$E:$E,$B$3,Mouvements!$B:$B,A53,Mouvements!$F:$F,"Départ"))</f>
        <v/>
      </c>
      <c r="D53" s="21" t="str">
        <f>IF(A53="","",SUMIFS(Mouvements!$G:$G,Mouvements!$E:$E,$B$3,Mouvements!$B:$B,A53,Mouvements!$F:$F,"Retour"))</f>
        <v/>
      </c>
      <c r="E53" s="21" t="str">
        <f t="shared" si="1"/>
        <v/>
      </c>
      <c r="F53" s="21"/>
      <c r="G53" s="21" t="str">
        <f t="shared" si="2"/>
        <v/>
      </c>
      <c r="H53" s="21"/>
      <c r="I53" s="21" t="str">
        <f t="shared" si="3"/>
        <v/>
      </c>
    </row>
    <row r="54" ht="15.75" customHeight="1">
      <c r="A54" s="21" t="str">
        <f>Articles!A53</f>
        <v/>
      </c>
      <c r="B54" s="21" t="str">
        <f>Articles!B53</f>
        <v/>
      </c>
      <c r="C54" s="21" t="str">
        <f>IF(A54="","",SUMIFS(Mouvements!$G:$G,Mouvements!$E:$E,$B$3,Mouvements!$B:$B,A54,Mouvements!$F:$F,"Départ"))</f>
        <v/>
      </c>
      <c r="D54" s="21" t="str">
        <f>IF(A54="","",SUMIFS(Mouvements!$G:$G,Mouvements!$E:$E,$B$3,Mouvements!$B:$B,A54,Mouvements!$F:$F,"Retour"))</f>
        <v/>
      </c>
      <c r="E54" s="21" t="str">
        <f t="shared" si="1"/>
        <v/>
      </c>
      <c r="F54" s="21"/>
      <c r="G54" s="21" t="str">
        <f t="shared" si="2"/>
        <v/>
      </c>
      <c r="H54" s="21"/>
      <c r="I54" s="21" t="str">
        <f t="shared" si="3"/>
        <v/>
      </c>
    </row>
    <row r="55" ht="15.75" customHeight="1">
      <c r="A55" s="21" t="str">
        <f>Articles!A54</f>
        <v/>
      </c>
      <c r="B55" s="21" t="str">
        <f>Articles!B54</f>
        <v/>
      </c>
      <c r="C55" s="21" t="str">
        <f>IF(A55="","",SUMIFS(Mouvements!$G:$G,Mouvements!$E:$E,$B$3,Mouvements!$B:$B,A55,Mouvements!$F:$F,"Départ"))</f>
        <v/>
      </c>
      <c r="D55" s="21" t="str">
        <f>IF(A55="","",SUMIFS(Mouvements!$G:$G,Mouvements!$E:$E,$B$3,Mouvements!$B:$B,A55,Mouvements!$F:$F,"Retour"))</f>
        <v/>
      </c>
      <c r="E55" s="21" t="str">
        <f t="shared" si="1"/>
        <v/>
      </c>
      <c r="F55" s="21"/>
      <c r="G55" s="21" t="str">
        <f t="shared" si="2"/>
        <v/>
      </c>
      <c r="H55" s="21"/>
      <c r="I55" s="21" t="str">
        <f t="shared" si="3"/>
        <v/>
      </c>
    </row>
    <row r="56" ht="15.75" customHeight="1">
      <c r="A56" s="21" t="str">
        <f>Articles!A55</f>
        <v/>
      </c>
      <c r="B56" s="21" t="str">
        <f>Articles!B55</f>
        <v/>
      </c>
      <c r="C56" s="21" t="str">
        <f>IF(A56="","",SUMIFS(Mouvements!$G:$G,Mouvements!$E:$E,$B$3,Mouvements!$B:$B,A56,Mouvements!$F:$F,"Départ"))</f>
        <v/>
      </c>
      <c r="D56" s="21" t="str">
        <f>IF(A56="","",SUMIFS(Mouvements!$G:$G,Mouvements!$E:$E,$B$3,Mouvements!$B:$B,A56,Mouvements!$F:$F,"Retour"))</f>
        <v/>
      </c>
      <c r="E56" s="21" t="str">
        <f t="shared" si="1"/>
        <v/>
      </c>
      <c r="F56" s="21"/>
      <c r="G56" s="21" t="str">
        <f t="shared" si="2"/>
        <v/>
      </c>
      <c r="H56" s="21"/>
      <c r="I56" s="21" t="str">
        <f t="shared" si="3"/>
        <v/>
      </c>
    </row>
    <row r="57" ht="15.75" customHeight="1">
      <c r="A57" s="21" t="str">
        <f>Articles!A56</f>
        <v/>
      </c>
      <c r="B57" s="21" t="str">
        <f>Articles!B56</f>
        <v/>
      </c>
      <c r="C57" s="21" t="str">
        <f>IF(A57="","",SUMIFS(Mouvements!$G:$G,Mouvements!$E:$E,$B$3,Mouvements!$B:$B,A57,Mouvements!$F:$F,"Départ"))</f>
        <v/>
      </c>
      <c r="D57" s="21" t="str">
        <f>IF(A57="","",SUMIFS(Mouvements!$G:$G,Mouvements!$E:$E,$B$3,Mouvements!$B:$B,A57,Mouvements!$F:$F,"Retour"))</f>
        <v/>
      </c>
      <c r="E57" s="21" t="str">
        <f t="shared" si="1"/>
        <v/>
      </c>
      <c r="F57" s="21"/>
      <c r="G57" s="21" t="str">
        <f t="shared" si="2"/>
        <v/>
      </c>
      <c r="H57" s="21"/>
      <c r="I57" s="21" t="str">
        <f t="shared" si="3"/>
        <v/>
      </c>
    </row>
    <row r="58" ht="15.75" customHeight="1">
      <c r="A58" s="21" t="str">
        <f>Articles!A57</f>
        <v/>
      </c>
      <c r="B58" s="21" t="str">
        <f>Articles!B57</f>
        <v/>
      </c>
      <c r="C58" s="21" t="str">
        <f>IF(A58="","",SUMIFS(Mouvements!$G:$G,Mouvements!$E:$E,$B$3,Mouvements!$B:$B,A58,Mouvements!$F:$F,"Départ"))</f>
        <v/>
      </c>
      <c r="D58" s="21" t="str">
        <f>IF(A58="","",SUMIFS(Mouvements!$G:$G,Mouvements!$E:$E,$B$3,Mouvements!$B:$B,A58,Mouvements!$F:$F,"Retour"))</f>
        <v/>
      </c>
      <c r="E58" s="21" t="str">
        <f t="shared" si="1"/>
        <v/>
      </c>
      <c r="F58" s="21"/>
      <c r="G58" s="21" t="str">
        <f t="shared" si="2"/>
        <v/>
      </c>
      <c r="H58" s="21"/>
      <c r="I58" s="21" t="str">
        <f t="shared" si="3"/>
        <v/>
      </c>
    </row>
    <row r="59" ht="15.75" customHeight="1">
      <c r="A59" s="21" t="str">
        <f>Articles!A58</f>
        <v/>
      </c>
      <c r="B59" s="21" t="str">
        <f>Articles!B58</f>
        <v/>
      </c>
      <c r="C59" s="21" t="str">
        <f>IF(A59="","",SUMIFS(Mouvements!$G:$G,Mouvements!$E:$E,$B$3,Mouvements!$B:$B,A59,Mouvements!$F:$F,"Départ"))</f>
        <v/>
      </c>
      <c r="D59" s="21" t="str">
        <f>IF(A59="","",SUMIFS(Mouvements!$G:$G,Mouvements!$E:$E,$B$3,Mouvements!$B:$B,A59,Mouvements!$F:$F,"Retour"))</f>
        <v/>
      </c>
      <c r="E59" s="21" t="str">
        <f t="shared" si="1"/>
        <v/>
      </c>
      <c r="F59" s="21"/>
      <c r="G59" s="21" t="str">
        <f t="shared" si="2"/>
        <v/>
      </c>
      <c r="H59" s="21"/>
      <c r="I59" s="21" t="str">
        <f t="shared" si="3"/>
        <v/>
      </c>
    </row>
    <row r="60" ht="15.75" customHeight="1">
      <c r="A60" s="21" t="str">
        <f>Articles!A59</f>
        <v/>
      </c>
      <c r="B60" s="21" t="str">
        <f>Articles!B59</f>
        <v/>
      </c>
      <c r="C60" s="21" t="str">
        <f>IF(A60="","",SUMIFS(Mouvements!$G:$G,Mouvements!$E:$E,$B$3,Mouvements!$B:$B,A60,Mouvements!$F:$F,"Départ"))</f>
        <v/>
      </c>
      <c r="D60" s="21" t="str">
        <f>IF(A60="","",SUMIFS(Mouvements!$G:$G,Mouvements!$E:$E,$B$3,Mouvements!$B:$B,A60,Mouvements!$F:$F,"Retour"))</f>
        <v/>
      </c>
      <c r="E60" s="21" t="str">
        <f t="shared" si="1"/>
        <v/>
      </c>
      <c r="F60" s="21"/>
      <c r="G60" s="21" t="str">
        <f t="shared" si="2"/>
        <v/>
      </c>
      <c r="H60" s="21"/>
      <c r="I60" s="21" t="str">
        <f t="shared" si="3"/>
        <v/>
      </c>
    </row>
    <row r="61" ht="15.75" customHeight="1">
      <c r="A61" s="21" t="str">
        <f>Articles!A60</f>
        <v/>
      </c>
      <c r="B61" s="21" t="str">
        <f>Articles!B60</f>
        <v/>
      </c>
      <c r="C61" s="21" t="str">
        <f>IF(A61="","",SUMIFS(Mouvements!$G:$G,Mouvements!$E:$E,$B$3,Mouvements!$B:$B,A61,Mouvements!$F:$F,"Départ"))</f>
        <v/>
      </c>
      <c r="D61" s="21" t="str">
        <f>IF(A61="","",SUMIFS(Mouvements!$G:$G,Mouvements!$E:$E,$B$3,Mouvements!$B:$B,A61,Mouvements!$F:$F,"Retour"))</f>
        <v/>
      </c>
      <c r="E61" s="21" t="str">
        <f t="shared" si="1"/>
        <v/>
      </c>
      <c r="F61" s="21"/>
      <c r="G61" s="21" t="str">
        <f t="shared" si="2"/>
        <v/>
      </c>
      <c r="H61" s="21"/>
      <c r="I61" s="21" t="str">
        <f t="shared" si="3"/>
        <v/>
      </c>
    </row>
    <row r="62" ht="15.75" customHeight="1">
      <c r="A62" s="21" t="str">
        <f>Articles!A61</f>
        <v/>
      </c>
      <c r="B62" s="21" t="str">
        <f>Articles!B61</f>
        <v/>
      </c>
      <c r="C62" s="21" t="str">
        <f>IF(A62="","",SUMIFS(Mouvements!$G:$G,Mouvements!$E:$E,$B$3,Mouvements!$B:$B,A62,Mouvements!$F:$F,"Départ"))</f>
        <v/>
      </c>
      <c r="D62" s="21" t="str">
        <f>IF(A62="","",SUMIFS(Mouvements!$G:$G,Mouvements!$E:$E,$B$3,Mouvements!$B:$B,A62,Mouvements!$F:$F,"Retour"))</f>
        <v/>
      </c>
      <c r="E62" s="21" t="str">
        <f t="shared" si="1"/>
        <v/>
      </c>
      <c r="F62" s="21"/>
      <c r="G62" s="21" t="str">
        <f t="shared" si="2"/>
        <v/>
      </c>
      <c r="H62" s="21"/>
      <c r="I62" s="21" t="str">
        <f t="shared" si="3"/>
        <v/>
      </c>
    </row>
    <row r="63" ht="15.75" customHeight="1">
      <c r="A63" s="21" t="str">
        <f>Articles!A62</f>
        <v/>
      </c>
      <c r="B63" s="21" t="str">
        <f>Articles!B62</f>
        <v/>
      </c>
      <c r="C63" s="21" t="str">
        <f>IF(A63="","",SUMIFS(Mouvements!$G:$G,Mouvements!$E:$E,$B$3,Mouvements!$B:$B,A63,Mouvements!$F:$F,"Départ"))</f>
        <v/>
      </c>
      <c r="D63" s="21" t="str">
        <f>IF(A63="","",SUMIFS(Mouvements!$G:$G,Mouvements!$E:$E,$B$3,Mouvements!$B:$B,A63,Mouvements!$F:$F,"Retour"))</f>
        <v/>
      </c>
      <c r="E63" s="21" t="str">
        <f t="shared" si="1"/>
        <v/>
      </c>
      <c r="F63" s="21"/>
      <c r="G63" s="21" t="str">
        <f t="shared" si="2"/>
        <v/>
      </c>
      <c r="H63" s="21"/>
      <c r="I63" s="21" t="str">
        <f t="shared" si="3"/>
        <v/>
      </c>
    </row>
    <row r="64" ht="15.75" customHeight="1">
      <c r="A64" s="21" t="str">
        <f>Articles!A63</f>
        <v/>
      </c>
      <c r="B64" s="21" t="str">
        <f>Articles!B63</f>
        <v/>
      </c>
      <c r="C64" s="21" t="str">
        <f>IF(A64="","",SUMIFS(Mouvements!$G:$G,Mouvements!$E:$E,$B$3,Mouvements!$B:$B,A64,Mouvements!$F:$F,"Départ"))</f>
        <v/>
      </c>
      <c r="D64" s="21" t="str">
        <f>IF(A64="","",SUMIFS(Mouvements!$G:$G,Mouvements!$E:$E,$B$3,Mouvements!$B:$B,A64,Mouvements!$F:$F,"Retour"))</f>
        <v/>
      </c>
      <c r="E64" s="21" t="str">
        <f t="shared" si="1"/>
        <v/>
      </c>
      <c r="F64" s="21"/>
      <c r="G64" s="21" t="str">
        <f t="shared" si="2"/>
        <v/>
      </c>
      <c r="H64" s="21"/>
      <c r="I64" s="21" t="str">
        <f t="shared" si="3"/>
        <v/>
      </c>
    </row>
    <row r="65" ht="15.75" customHeight="1">
      <c r="A65" s="21" t="str">
        <f>Articles!A64</f>
        <v/>
      </c>
      <c r="B65" s="21" t="str">
        <f>Articles!B64</f>
        <v/>
      </c>
      <c r="C65" s="21" t="str">
        <f>IF(A65="","",SUMIFS(Mouvements!$G:$G,Mouvements!$E:$E,$B$3,Mouvements!$B:$B,A65,Mouvements!$F:$F,"Départ"))</f>
        <v/>
      </c>
      <c r="D65" s="21" t="str">
        <f>IF(A65="","",SUMIFS(Mouvements!$G:$G,Mouvements!$E:$E,$B$3,Mouvements!$B:$B,A65,Mouvements!$F:$F,"Retour"))</f>
        <v/>
      </c>
      <c r="E65" s="21" t="str">
        <f t="shared" si="1"/>
        <v/>
      </c>
      <c r="F65" s="21"/>
      <c r="G65" s="21" t="str">
        <f t="shared" si="2"/>
        <v/>
      </c>
      <c r="H65" s="21"/>
      <c r="I65" s="21" t="str">
        <f t="shared" si="3"/>
        <v/>
      </c>
    </row>
    <row r="66" ht="15.75" customHeight="1">
      <c r="A66" s="21" t="str">
        <f>Articles!A65</f>
        <v/>
      </c>
      <c r="B66" s="21" t="str">
        <f>Articles!B65</f>
        <v/>
      </c>
      <c r="C66" s="21" t="str">
        <f>IF(A66="","",SUMIFS(Mouvements!$G:$G,Mouvements!$E:$E,$B$3,Mouvements!$B:$B,A66,Mouvements!$F:$F,"Départ"))</f>
        <v/>
      </c>
      <c r="D66" s="21" t="str">
        <f>IF(A66="","",SUMIFS(Mouvements!$G:$G,Mouvements!$E:$E,$B$3,Mouvements!$B:$B,A66,Mouvements!$F:$F,"Retour"))</f>
        <v/>
      </c>
      <c r="E66" s="21" t="str">
        <f t="shared" si="1"/>
        <v/>
      </c>
      <c r="F66" s="21"/>
      <c r="G66" s="21" t="str">
        <f t="shared" si="2"/>
        <v/>
      </c>
      <c r="H66" s="21"/>
      <c r="I66" s="21" t="str">
        <f t="shared" si="3"/>
        <v/>
      </c>
    </row>
    <row r="67" ht="15.75" customHeight="1">
      <c r="A67" s="21" t="str">
        <f>Articles!A66</f>
        <v/>
      </c>
      <c r="B67" s="21" t="str">
        <f>Articles!B66</f>
        <v/>
      </c>
      <c r="C67" s="21" t="str">
        <f>IF(A67="","",SUMIFS(Mouvements!$G:$G,Mouvements!$E:$E,$B$3,Mouvements!$B:$B,A67,Mouvements!$F:$F,"Départ"))</f>
        <v/>
      </c>
      <c r="D67" s="21" t="str">
        <f>IF(A67="","",SUMIFS(Mouvements!$G:$G,Mouvements!$E:$E,$B$3,Mouvements!$B:$B,A67,Mouvements!$F:$F,"Retour"))</f>
        <v/>
      </c>
      <c r="E67" s="21" t="str">
        <f t="shared" si="1"/>
        <v/>
      </c>
      <c r="F67" s="21"/>
      <c r="G67" s="21" t="str">
        <f t="shared" si="2"/>
        <v/>
      </c>
      <c r="H67" s="21"/>
      <c r="I67" s="21" t="str">
        <f t="shared" si="3"/>
        <v/>
      </c>
    </row>
    <row r="68" ht="15.75" customHeight="1">
      <c r="A68" s="21" t="str">
        <f>Articles!A67</f>
        <v/>
      </c>
      <c r="B68" s="21" t="str">
        <f>Articles!B67</f>
        <v/>
      </c>
      <c r="C68" s="21" t="str">
        <f>IF(A68="","",SUMIFS(Mouvements!$G:$G,Mouvements!$E:$E,$B$3,Mouvements!$B:$B,A68,Mouvements!$F:$F,"Départ"))</f>
        <v/>
      </c>
      <c r="D68" s="21" t="str">
        <f>IF(A68="","",SUMIFS(Mouvements!$G:$G,Mouvements!$E:$E,$B$3,Mouvements!$B:$B,A68,Mouvements!$F:$F,"Retour"))</f>
        <v/>
      </c>
      <c r="E68" s="21" t="str">
        <f t="shared" si="1"/>
        <v/>
      </c>
      <c r="F68" s="21"/>
      <c r="G68" s="21" t="str">
        <f t="shared" si="2"/>
        <v/>
      </c>
      <c r="H68" s="21"/>
      <c r="I68" s="21" t="str">
        <f t="shared" si="3"/>
        <v/>
      </c>
    </row>
    <row r="69" ht="15.75" customHeight="1">
      <c r="A69" s="21" t="str">
        <f>Articles!A68</f>
        <v/>
      </c>
      <c r="B69" s="21" t="str">
        <f>Articles!B68</f>
        <v/>
      </c>
      <c r="C69" s="21" t="str">
        <f>IF(A69="","",SUMIFS(Mouvements!$G:$G,Mouvements!$E:$E,$B$3,Mouvements!$B:$B,A69,Mouvements!$F:$F,"Départ"))</f>
        <v/>
      </c>
      <c r="D69" s="21" t="str">
        <f>IF(A69="","",SUMIFS(Mouvements!$G:$G,Mouvements!$E:$E,$B$3,Mouvements!$B:$B,A69,Mouvements!$F:$F,"Retour"))</f>
        <v/>
      </c>
      <c r="E69" s="21" t="str">
        <f t="shared" si="1"/>
        <v/>
      </c>
      <c r="F69" s="21"/>
      <c r="G69" s="21" t="str">
        <f t="shared" si="2"/>
        <v/>
      </c>
      <c r="H69" s="21"/>
      <c r="I69" s="21" t="str">
        <f t="shared" si="3"/>
        <v/>
      </c>
    </row>
    <row r="70" ht="15.75" customHeight="1">
      <c r="A70" s="21" t="str">
        <f>Articles!A69</f>
        <v/>
      </c>
      <c r="B70" s="21" t="str">
        <f>Articles!B69</f>
        <v/>
      </c>
      <c r="C70" s="21" t="str">
        <f>IF(A70="","",SUMIFS(Mouvements!$G:$G,Mouvements!$E:$E,$B$3,Mouvements!$B:$B,A70,Mouvements!$F:$F,"Départ"))</f>
        <v/>
      </c>
      <c r="D70" s="21" t="str">
        <f>IF(A70="","",SUMIFS(Mouvements!$G:$G,Mouvements!$E:$E,$B$3,Mouvements!$B:$B,A70,Mouvements!$F:$F,"Retour"))</f>
        <v/>
      </c>
      <c r="E70" s="21" t="str">
        <f t="shared" si="1"/>
        <v/>
      </c>
      <c r="F70" s="21"/>
      <c r="G70" s="21" t="str">
        <f t="shared" si="2"/>
        <v/>
      </c>
      <c r="H70" s="21"/>
      <c r="I70" s="21" t="str">
        <f t="shared" si="3"/>
        <v/>
      </c>
    </row>
    <row r="71" ht="15.75" customHeight="1">
      <c r="A71" s="21" t="str">
        <f>Articles!A70</f>
        <v/>
      </c>
      <c r="B71" s="21" t="str">
        <f>Articles!B70</f>
        <v/>
      </c>
      <c r="C71" s="21" t="str">
        <f>IF(A71="","",SUMIFS(Mouvements!$G:$G,Mouvements!$E:$E,$B$3,Mouvements!$B:$B,A71,Mouvements!$F:$F,"Départ"))</f>
        <v/>
      </c>
      <c r="D71" s="21" t="str">
        <f>IF(A71="","",SUMIFS(Mouvements!$G:$G,Mouvements!$E:$E,$B$3,Mouvements!$B:$B,A71,Mouvements!$F:$F,"Retour"))</f>
        <v/>
      </c>
      <c r="E71" s="21" t="str">
        <f t="shared" si="1"/>
        <v/>
      </c>
      <c r="F71" s="21"/>
      <c r="G71" s="21" t="str">
        <f t="shared" si="2"/>
        <v/>
      </c>
      <c r="H71" s="21"/>
      <c r="I71" s="21" t="str">
        <f t="shared" si="3"/>
        <v/>
      </c>
    </row>
    <row r="72" ht="15.75" customHeight="1">
      <c r="A72" s="21" t="str">
        <f>Articles!A71</f>
        <v/>
      </c>
      <c r="B72" s="21" t="str">
        <f>Articles!B71</f>
        <v/>
      </c>
      <c r="C72" s="21" t="str">
        <f>IF(A72="","",SUMIFS(Mouvements!$G:$G,Mouvements!$E:$E,$B$3,Mouvements!$B:$B,A72,Mouvements!$F:$F,"Départ"))</f>
        <v/>
      </c>
      <c r="D72" s="21" t="str">
        <f>IF(A72="","",SUMIFS(Mouvements!$G:$G,Mouvements!$E:$E,$B$3,Mouvements!$B:$B,A72,Mouvements!$F:$F,"Retour"))</f>
        <v/>
      </c>
      <c r="E72" s="21" t="str">
        <f t="shared" si="1"/>
        <v/>
      </c>
      <c r="F72" s="21"/>
      <c r="G72" s="21" t="str">
        <f t="shared" si="2"/>
        <v/>
      </c>
      <c r="H72" s="21"/>
      <c r="I72" s="21" t="str">
        <f t="shared" si="3"/>
        <v/>
      </c>
    </row>
    <row r="73" ht="15.75" customHeight="1">
      <c r="A73" s="21" t="str">
        <f>Articles!A72</f>
        <v/>
      </c>
      <c r="B73" s="21" t="str">
        <f>Articles!B72</f>
        <v/>
      </c>
      <c r="C73" s="21" t="str">
        <f>IF(A73="","",SUMIFS(Mouvements!$G:$G,Mouvements!$E:$E,$B$3,Mouvements!$B:$B,A73,Mouvements!$F:$F,"Départ"))</f>
        <v/>
      </c>
      <c r="D73" s="21" t="str">
        <f>IF(A73="","",SUMIFS(Mouvements!$G:$G,Mouvements!$E:$E,$B$3,Mouvements!$B:$B,A73,Mouvements!$F:$F,"Retour"))</f>
        <v/>
      </c>
      <c r="E73" s="21" t="str">
        <f t="shared" si="1"/>
        <v/>
      </c>
      <c r="F73" s="21"/>
      <c r="G73" s="21" t="str">
        <f t="shared" si="2"/>
        <v/>
      </c>
      <c r="H73" s="21"/>
      <c r="I73" s="21" t="str">
        <f t="shared" si="3"/>
        <v/>
      </c>
    </row>
    <row r="74" ht="15.75" customHeight="1">
      <c r="A74" s="21" t="str">
        <f>Articles!A73</f>
        <v/>
      </c>
      <c r="B74" s="21" t="str">
        <f>Articles!B73</f>
        <v/>
      </c>
      <c r="C74" s="21" t="str">
        <f>IF(A74="","",SUMIFS(Mouvements!$G:$G,Mouvements!$E:$E,$B$3,Mouvements!$B:$B,A74,Mouvements!$F:$F,"Départ"))</f>
        <v/>
      </c>
      <c r="D74" s="21" t="str">
        <f>IF(A74="","",SUMIFS(Mouvements!$G:$G,Mouvements!$E:$E,$B$3,Mouvements!$B:$B,A74,Mouvements!$F:$F,"Retour"))</f>
        <v/>
      </c>
      <c r="E74" s="21" t="str">
        <f t="shared" si="1"/>
        <v/>
      </c>
      <c r="F74" s="21"/>
      <c r="G74" s="21" t="str">
        <f t="shared" si="2"/>
        <v/>
      </c>
      <c r="H74" s="21"/>
      <c r="I74" s="21" t="str">
        <f t="shared" si="3"/>
        <v/>
      </c>
    </row>
    <row r="75" ht="15.75" customHeight="1">
      <c r="A75" s="21" t="str">
        <f>Articles!A74</f>
        <v/>
      </c>
      <c r="B75" s="21" t="str">
        <f>Articles!B74</f>
        <v/>
      </c>
      <c r="C75" s="21" t="str">
        <f>IF(A75="","",SUMIFS(Mouvements!$G:$G,Mouvements!$E:$E,$B$3,Mouvements!$B:$B,A75,Mouvements!$F:$F,"Départ"))</f>
        <v/>
      </c>
      <c r="D75" s="21" t="str">
        <f>IF(A75="","",SUMIFS(Mouvements!$G:$G,Mouvements!$E:$E,$B$3,Mouvements!$B:$B,A75,Mouvements!$F:$F,"Retour"))</f>
        <v/>
      </c>
      <c r="E75" s="21" t="str">
        <f t="shared" si="1"/>
        <v/>
      </c>
      <c r="F75" s="21"/>
      <c r="G75" s="21" t="str">
        <f t="shared" si="2"/>
        <v/>
      </c>
      <c r="H75" s="21"/>
      <c r="I75" s="21" t="str">
        <f t="shared" si="3"/>
        <v/>
      </c>
    </row>
    <row r="76" ht="15.75" customHeight="1">
      <c r="A76" s="21" t="str">
        <f>Articles!A75</f>
        <v/>
      </c>
      <c r="B76" s="21" t="str">
        <f>Articles!B75</f>
        <v/>
      </c>
      <c r="C76" s="21" t="str">
        <f>IF(A76="","",SUMIFS(Mouvements!$G:$G,Mouvements!$E:$E,$B$3,Mouvements!$B:$B,A76,Mouvements!$F:$F,"Départ"))</f>
        <v/>
      </c>
      <c r="D76" s="21" t="str">
        <f>IF(A76="","",SUMIFS(Mouvements!$G:$G,Mouvements!$E:$E,$B$3,Mouvements!$B:$B,A76,Mouvements!$F:$F,"Retour"))</f>
        <v/>
      </c>
      <c r="E76" s="21" t="str">
        <f t="shared" si="1"/>
        <v/>
      </c>
      <c r="F76" s="21"/>
      <c r="G76" s="21" t="str">
        <f t="shared" si="2"/>
        <v/>
      </c>
      <c r="H76" s="21"/>
      <c r="I76" s="21" t="str">
        <f t="shared" si="3"/>
        <v/>
      </c>
    </row>
    <row r="77" ht="15.75" customHeight="1">
      <c r="A77" s="21" t="str">
        <f>Articles!A76</f>
        <v/>
      </c>
      <c r="B77" s="21" t="str">
        <f>Articles!B76</f>
        <v/>
      </c>
      <c r="C77" s="21" t="str">
        <f>IF(A77="","",SUMIFS(Mouvements!$G:$G,Mouvements!$E:$E,$B$3,Mouvements!$B:$B,A77,Mouvements!$F:$F,"Départ"))</f>
        <v/>
      </c>
      <c r="D77" s="21" t="str">
        <f>IF(A77="","",SUMIFS(Mouvements!$G:$G,Mouvements!$E:$E,$B$3,Mouvements!$B:$B,A77,Mouvements!$F:$F,"Retour"))</f>
        <v/>
      </c>
      <c r="E77" s="21" t="str">
        <f t="shared" si="1"/>
        <v/>
      </c>
      <c r="F77" s="21"/>
      <c r="G77" s="21" t="str">
        <f t="shared" si="2"/>
        <v/>
      </c>
      <c r="H77" s="21"/>
      <c r="I77" s="21" t="str">
        <f t="shared" si="3"/>
        <v/>
      </c>
    </row>
    <row r="78" ht="15.75" customHeight="1">
      <c r="A78" s="21" t="str">
        <f>Articles!A77</f>
        <v/>
      </c>
      <c r="B78" s="21" t="str">
        <f>Articles!B77</f>
        <v/>
      </c>
      <c r="C78" s="21" t="str">
        <f>IF(A78="","",SUMIFS(Mouvements!$G:$G,Mouvements!$E:$E,$B$3,Mouvements!$B:$B,A78,Mouvements!$F:$F,"Départ"))</f>
        <v/>
      </c>
      <c r="D78" s="21" t="str">
        <f>IF(A78="","",SUMIFS(Mouvements!$G:$G,Mouvements!$E:$E,$B$3,Mouvements!$B:$B,A78,Mouvements!$F:$F,"Retour"))</f>
        <v/>
      </c>
      <c r="E78" s="21" t="str">
        <f t="shared" si="1"/>
        <v/>
      </c>
      <c r="F78" s="21"/>
      <c r="G78" s="21" t="str">
        <f t="shared" si="2"/>
        <v/>
      </c>
      <c r="H78" s="21"/>
      <c r="I78" s="21" t="str">
        <f t="shared" si="3"/>
        <v/>
      </c>
    </row>
    <row r="79" ht="15.75" customHeight="1">
      <c r="A79" s="21" t="str">
        <f>Articles!A78</f>
        <v/>
      </c>
      <c r="B79" s="21" t="str">
        <f>Articles!B78</f>
        <v/>
      </c>
      <c r="C79" s="21" t="str">
        <f>IF(A79="","",SUMIFS(Mouvements!$G:$G,Mouvements!$E:$E,$B$3,Mouvements!$B:$B,A79,Mouvements!$F:$F,"Départ"))</f>
        <v/>
      </c>
      <c r="D79" s="21" t="str">
        <f>IF(A79="","",SUMIFS(Mouvements!$G:$G,Mouvements!$E:$E,$B$3,Mouvements!$B:$B,A79,Mouvements!$F:$F,"Retour"))</f>
        <v/>
      </c>
      <c r="E79" s="21" t="str">
        <f t="shared" si="1"/>
        <v/>
      </c>
      <c r="F79" s="21"/>
      <c r="G79" s="21" t="str">
        <f t="shared" si="2"/>
        <v/>
      </c>
      <c r="H79" s="21"/>
      <c r="I79" s="21" t="str">
        <f t="shared" si="3"/>
        <v/>
      </c>
    </row>
    <row r="80" ht="15.75" customHeight="1">
      <c r="A80" s="21" t="str">
        <f>Articles!A79</f>
        <v/>
      </c>
      <c r="B80" s="21" t="str">
        <f>Articles!B79</f>
        <v/>
      </c>
      <c r="C80" s="21" t="str">
        <f>IF(A80="","",SUMIFS(Mouvements!$G:$G,Mouvements!$E:$E,$B$3,Mouvements!$B:$B,A80,Mouvements!$F:$F,"Départ"))</f>
        <v/>
      </c>
      <c r="D80" s="21" t="str">
        <f>IF(A80="","",SUMIFS(Mouvements!$G:$G,Mouvements!$E:$E,$B$3,Mouvements!$B:$B,A80,Mouvements!$F:$F,"Retour"))</f>
        <v/>
      </c>
      <c r="E80" s="21" t="str">
        <f t="shared" si="1"/>
        <v/>
      </c>
      <c r="F80" s="21"/>
      <c r="G80" s="21" t="str">
        <f t="shared" si="2"/>
        <v/>
      </c>
      <c r="H80" s="21"/>
      <c r="I80" s="21" t="str">
        <f t="shared" si="3"/>
        <v/>
      </c>
    </row>
    <row r="81" ht="15.75" customHeight="1">
      <c r="A81" s="21" t="str">
        <f>Articles!A80</f>
        <v/>
      </c>
      <c r="B81" s="21" t="str">
        <f>Articles!B80</f>
        <v/>
      </c>
      <c r="C81" s="21" t="str">
        <f>IF(A81="","",SUMIFS(Mouvements!$G:$G,Mouvements!$E:$E,$B$3,Mouvements!$B:$B,A81,Mouvements!$F:$F,"Départ"))</f>
        <v/>
      </c>
      <c r="D81" s="21" t="str">
        <f>IF(A81="","",SUMIFS(Mouvements!$G:$G,Mouvements!$E:$E,$B$3,Mouvements!$B:$B,A81,Mouvements!$F:$F,"Retour"))</f>
        <v/>
      </c>
      <c r="E81" s="21" t="str">
        <f t="shared" si="1"/>
        <v/>
      </c>
      <c r="F81" s="21"/>
      <c r="G81" s="21" t="str">
        <f t="shared" si="2"/>
        <v/>
      </c>
      <c r="H81" s="21"/>
      <c r="I81" s="21" t="str">
        <f t="shared" si="3"/>
        <v/>
      </c>
    </row>
    <row r="82" ht="15.75" customHeight="1">
      <c r="A82" s="21" t="str">
        <f>Articles!A81</f>
        <v/>
      </c>
      <c r="B82" s="21" t="str">
        <f>Articles!B81</f>
        <v/>
      </c>
      <c r="C82" s="21" t="str">
        <f>IF(A82="","",SUMIFS(Mouvements!$G:$G,Mouvements!$E:$E,$B$3,Mouvements!$B:$B,A82,Mouvements!$F:$F,"Départ"))</f>
        <v/>
      </c>
      <c r="D82" s="21" t="str">
        <f>IF(A82="","",SUMIFS(Mouvements!$G:$G,Mouvements!$E:$E,$B$3,Mouvements!$B:$B,A82,Mouvements!$F:$F,"Retour"))</f>
        <v/>
      </c>
      <c r="E82" s="21" t="str">
        <f t="shared" si="1"/>
        <v/>
      </c>
      <c r="F82" s="21"/>
      <c r="G82" s="21" t="str">
        <f t="shared" si="2"/>
        <v/>
      </c>
      <c r="H82" s="21"/>
      <c r="I82" s="21" t="str">
        <f t="shared" si="3"/>
        <v/>
      </c>
    </row>
    <row r="83" ht="15.75" customHeight="1">
      <c r="A83" s="21" t="str">
        <f>Articles!A82</f>
        <v/>
      </c>
      <c r="B83" s="21" t="str">
        <f>Articles!B82</f>
        <v/>
      </c>
      <c r="C83" s="21" t="str">
        <f>IF(A83="","",SUMIFS(Mouvements!$G:$G,Mouvements!$E:$E,$B$3,Mouvements!$B:$B,A83,Mouvements!$F:$F,"Départ"))</f>
        <v/>
      </c>
      <c r="D83" s="21" t="str">
        <f>IF(A83="","",SUMIFS(Mouvements!$G:$G,Mouvements!$E:$E,$B$3,Mouvements!$B:$B,A83,Mouvements!$F:$F,"Retour"))</f>
        <v/>
      </c>
      <c r="E83" s="21" t="str">
        <f t="shared" si="1"/>
        <v/>
      </c>
      <c r="F83" s="21"/>
      <c r="G83" s="21" t="str">
        <f t="shared" si="2"/>
        <v/>
      </c>
      <c r="H83" s="21"/>
      <c r="I83" s="21" t="str">
        <f t="shared" si="3"/>
        <v/>
      </c>
    </row>
    <row r="84" ht="15.75" customHeight="1">
      <c r="A84" s="21" t="str">
        <f>Articles!A83</f>
        <v/>
      </c>
      <c r="B84" s="21" t="str">
        <f>Articles!B83</f>
        <v/>
      </c>
      <c r="C84" s="21" t="str">
        <f>IF(A84="","",SUMIFS(Mouvements!$G:$G,Mouvements!$E:$E,$B$3,Mouvements!$B:$B,A84,Mouvements!$F:$F,"Départ"))</f>
        <v/>
      </c>
      <c r="D84" s="21" t="str">
        <f>IF(A84="","",SUMIFS(Mouvements!$G:$G,Mouvements!$E:$E,$B$3,Mouvements!$B:$B,A84,Mouvements!$F:$F,"Retour"))</f>
        <v/>
      </c>
      <c r="E84" s="21" t="str">
        <f t="shared" si="1"/>
        <v/>
      </c>
      <c r="F84" s="21"/>
      <c r="G84" s="21" t="str">
        <f t="shared" si="2"/>
        <v/>
      </c>
      <c r="H84" s="21"/>
      <c r="I84" s="21" t="str">
        <f t="shared" si="3"/>
        <v/>
      </c>
    </row>
    <row r="85" ht="15.75" customHeight="1">
      <c r="A85" s="21" t="str">
        <f>Articles!A84</f>
        <v/>
      </c>
      <c r="B85" s="21" t="str">
        <f>Articles!B84</f>
        <v/>
      </c>
      <c r="C85" s="21" t="str">
        <f>IF(A85="","",SUMIFS(Mouvements!$G:$G,Mouvements!$E:$E,$B$3,Mouvements!$B:$B,A85,Mouvements!$F:$F,"Départ"))</f>
        <v/>
      </c>
      <c r="D85" s="21" t="str">
        <f>IF(A85="","",SUMIFS(Mouvements!$G:$G,Mouvements!$E:$E,$B$3,Mouvements!$B:$B,A85,Mouvements!$F:$F,"Retour"))</f>
        <v/>
      </c>
      <c r="E85" s="21" t="str">
        <f t="shared" si="1"/>
        <v/>
      </c>
      <c r="F85" s="21"/>
      <c r="G85" s="21" t="str">
        <f t="shared" si="2"/>
        <v/>
      </c>
      <c r="H85" s="21"/>
      <c r="I85" s="21" t="str">
        <f t="shared" si="3"/>
        <v/>
      </c>
    </row>
    <row r="86" ht="15.75" customHeight="1">
      <c r="A86" s="21" t="str">
        <f>Articles!A85</f>
        <v/>
      </c>
      <c r="B86" s="21" t="str">
        <f>Articles!B85</f>
        <v/>
      </c>
      <c r="C86" s="21" t="str">
        <f>IF(A86="","",SUMIFS(Mouvements!$G:$G,Mouvements!$E:$E,$B$3,Mouvements!$B:$B,A86,Mouvements!$F:$F,"Départ"))</f>
        <v/>
      </c>
      <c r="D86" s="21" t="str">
        <f>IF(A86="","",SUMIFS(Mouvements!$G:$G,Mouvements!$E:$E,$B$3,Mouvements!$B:$B,A86,Mouvements!$F:$F,"Retour"))</f>
        <v/>
      </c>
      <c r="E86" s="21" t="str">
        <f t="shared" si="1"/>
        <v/>
      </c>
      <c r="F86" s="21"/>
      <c r="G86" s="21" t="str">
        <f t="shared" si="2"/>
        <v/>
      </c>
      <c r="H86" s="21"/>
      <c r="I86" s="21" t="str">
        <f t="shared" si="3"/>
        <v/>
      </c>
    </row>
    <row r="87" ht="15.75" customHeight="1">
      <c r="A87" s="21" t="str">
        <f>Articles!A86</f>
        <v/>
      </c>
      <c r="B87" s="21" t="str">
        <f>Articles!B86</f>
        <v/>
      </c>
      <c r="C87" s="21" t="str">
        <f>IF(A87="","",SUMIFS(Mouvements!$G:$G,Mouvements!$E:$E,$B$3,Mouvements!$B:$B,A87,Mouvements!$F:$F,"Départ"))</f>
        <v/>
      </c>
      <c r="D87" s="21" t="str">
        <f>IF(A87="","",SUMIFS(Mouvements!$G:$G,Mouvements!$E:$E,$B$3,Mouvements!$B:$B,A87,Mouvements!$F:$F,"Retour"))</f>
        <v/>
      </c>
      <c r="E87" s="21" t="str">
        <f t="shared" si="1"/>
        <v/>
      </c>
      <c r="F87" s="21"/>
      <c r="G87" s="21" t="str">
        <f t="shared" si="2"/>
        <v/>
      </c>
      <c r="H87" s="21"/>
      <c r="I87" s="21" t="str">
        <f t="shared" si="3"/>
        <v/>
      </c>
    </row>
    <row r="88" ht="15.75" customHeight="1">
      <c r="A88" s="21" t="str">
        <f>Articles!A87</f>
        <v/>
      </c>
      <c r="B88" s="21" t="str">
        <f>Articles!B87</f>
        <v/>
      </c>
      <c r="C88" s="21" t="str">
        <f>IF(A88="","",SUMIFS(Mouvements!$G:$G,Mouvements!$E:$E,$B$3,Mouvements!$B:$B,A88,Mouvements!$F:$F,"Départ"))</f>
        <v/>
      </c>
      <c r="D88" s="21" t="str">
        <f>IF(A88="","",SUMIFS(Mouvements!$G:$G,Mouvements!$E:$E,$B$3,Mouvements!$B:$B,A88,Mouvements!$F:$F,"Retour"))</f>
        <v/>
      </c>
      <c r="E88" s="21" t="str">
        <f t="shared" si="1"/>
        <v/>
      </c>
      <c r="F88" s="21"/>
      <c r="G88" s="21" t="str">
        <f t="shared" si="2"/>
        <v/>
      </c>
      <c r="H88" s="21"/>
      <c r="I88" s="21" t="str">
        <f t="shared" si="3"/>
        <v/>
      </c>
    </row>
    <row r="89" ht="15.75" customHeight="1">
      <c r="A89" s="21" t="str">
        <f>Articles!A88</f>
        <v/>
      </c>
      <c r="B89" s="21" t="str">
        <f>Articles!B88</f>
        <v/>
      </c>
      <c r="C89" s="21" t="str">
        <f>IF(A89="","",SUMIFS(Mouvements!$G:$G,Mouvements!$E:$E,$B$3,Mouvements!$B:$B,A89,Mouvements!$F:$F,"Départ"))</f>
        <v/>
      </c>
      <c r="D89" s="21" t="str">
        <f>IF(A89="","",SUMIFS(Mouvements!$G:$G,Mouvements!$E:$E,$B$3,Mouvements!$B:$B,A89,Mouvements!$F:$F,"Retour"))</f>
        <v/>
      </c>
      <c r="E89" s="21" t="str">
        <f t="shared" si="1"/>
        <v/>
      </c>
      <c r="F89" s="21"/>
      <c r="G89" s="21" t="str">
        <f t="shared" si="2"/>
        <v/>
      </c>
      <c r="H89" s="21"/>
      <c r="I89" s="21" t="str">
        <f t="shared" si="3"/>
        <v/>
      </c>
    </row>
    <row r="90" ht="15.75" customHeight="1">
      <c r="A90" s="21" t="str">
        <f>Articles!A89</f>
        <v/>
      </c>
      <c r="B90" s="21" t="str">
        <f>Articles!B89</f>
        <v/>
      </c>
      <c r="C90" s="21" t="str">
        <f>IF(A90="","",SUMIFS(Mouvements!$G:$G,Mouvements!$E:$E,$B$3,Mouvements!$B:$B,A90,Mouvements!$F:$F,"Départ"))</f>
        <v/>
      </c>
      <c r="D90" s="21" t="str">
        <f>IF(A90="","",SUMIFS(Mouvements!$G:$G,Mouvements!$E:$E,$B$3,Mouvements!$B:$B,A90,Mouvements!$F:$F,"Retour"))</f>
        <v/>
      </c>
      <c r="E90" s="21" t="str">
        <f t="shared" si="1"/>
        <v/>
      </c>
      <c r="F90" s="21"/>
      <c r="G90" s="21" t="str">
        <f t="shared" si="2"/>
        <v/>
      </c>
      <c r="H90" s="21"/>
      <c r="I90" s="21" t="str">
        <f t="shared" si="3"/>
        <v/>
      </c>
    </row>
    <row r="91" ht="15.75" customHeight="1">
      <c r="A91" s="21" t="str">
        <f>Articles!A90</f>
        <v/>
      </c>
      <c r="B91" s="21" t="str">
        <f>Articles!B90</f>
        <v/>
      </c>
      <c r="C91" s="21" t="str">
        <f>IF(A91="","",SUMIFS(Mouvements!$G:$G,Mouvements!$E:$E,$B$3,Mouvements!$B:$B,A91,Mouvements!$F:$F,"Départ"))</f>
        <v/>
      </c>
      <c r="D91" s="21" t="str">
        <f>IF(A91="","",SUMIFS(Mouvements!$G:$G,Mouvements!$E:$E,$B$3,Mouvements!$B:$B,A91,Mouvements!$F:$F,"Retour"))</f>
        <v/>
      </c>
      <c r="E91" s="21" t="str">
        <f t="shared" si="1"/>
        <v/>
      </c>
      <c r="F91" s="21"/>
      <c r="G91" s="21" t="str">
        <f t="shared" si="2"/>
        <v/>
      </c>
      <c r="H91" s="21"/>
      <c r="I91" s="21" t="str">
        <f t="shared" si="3"/>
        <v/>
      </c>
    </row>
    <row r="92" ht="15.75" customHeight="1">
      <c r="A92" s="21" t="str">
        <f>Articles!A91</f>
        <v/>
      </c>
      <c r="B92" s="21" t="str">
        <f>Articles!B91</f>
        <v/>
      </c>
      <c r="C92" s="21" t="str">
        <f>IF(A92="","",SUMIFS(Mouvements!$G:$G,Mouvements!$E:$E,$B$3,Mouvements!$B:$B,A92,Mouvements!$F:$F,"Départ"))</f>
        <v/>
      </c>
      <c r="D92" s="21" t="str">
        <f>IF(A92="","",SUMIFS(Mouvements!$G:$G,Mouvements!$E:$E,$B$3,Mouvements!$B:$B,A92,Mouvements!$F:$F,"Retour"))</f>
        <v/>
      </c>
      <c r="E92" s="21" t="str">
        <f t="shared" si="1"/>
        <v/>
      </c>
      <c r="F92" s="21"/>
      <c r="G92" s="21" t="str">
        <f t="shared" si="2"/>
        <v/>
      </c>
      <c r="H92" s="21"/>
      <c r="I92" s="21" t="str">
        <f t="shared" si="3"/>
        <v/>
      </c>
    </row>
    <row r="93" ht="15.75" customHeight="1">
      <c r="A93" s="21" t="str">
        <f>Articles!A92</f>
        <v/>
      </c>
      <c r="B93" s="21" t="str">
        <f>Articles!B92</f>
        <v/>
      </c>
      <c r="C93" s="21" t="str">
        <f>IF(A93="","",SUMIFS(Mouvements!$G:$G,Mouvements!$E:$E,$B$3,Mouvements!$B:$B,A93,Mouvements!$F:$F,"Départ"))</f>
        <v/>
      </c>
      <c r="D93" s="21" t="str">
        <f>IF(A93="","",SUMIFS(Mouvements!$G:$G,Mouvements!$E:$E,$B$3,Mouvements!$B:$B,A93,Mouvements!$F:$F,"Retour"))</f>
        <v/>
      </c>
      <c r="E93" s="21" t="str">
        <f t="shared" si="1"/>
        <v/>
      </c>
      <c r="F93" s="21"/>
      <c r="G93" s="21" t="str">
        <f t="shared" si="2"/>
        <v/>
      </c>
      <c r="H93" s="21"/>
      <c r="I93" s="21" t="str">
        <f t="shared" si="3"/>
        <v/>
      </c>
    </row>
    <row r="94" ht="15.75" customHeight="1">
      <c r="A94" s="21" t="str">
        <f>Articles!A93</f>
        <v/>
      </c>
      <c r="B94" s="21" t="str">
        <f>Articles!B93</f>
        <v/>
      </c>
      <c r="C94" s="21" t="str">
        <f>IF(A94="","",SUMIFS(Mouvements!$G:$G,Mouvements!$E:$E,$B$3,Mouvements!$B:$B,A94,Mouvements!$F:$F,"Départ"))</f>
        <v/>
      </c>
      <c r="D94" s="21" t="str">
        <f>IF(A94="","",SUMIFS(Mouvements!$G:$G,Mouvements!$E:$E,$B$3,Mouvements!$B:$B,A94,Mouvements!$F:$F,"Retour"))</f>
        <v/>
      </c>
      <c r="E94" s="21" t="str">
        <f t="shared" si="1"/>
        <v/>
      </c>
      <c r="F94" s="21"/>
      <c r="G94" s="21" t="str">
        <f t="shared" si="2"/>
        <v/>
      </c>
      <c r="H94" s="21"/>
      <c r="I94" s="21" t="str">
        <f t="shared" si="3"/>
        <v/>
      </c>
    </row>
    <row r="95" ht="15.75" customHeight="1">
      <c r="A95" s="21" t="str">
        <f>Articles!A94</f>
        <v/>
      </c>
      <c r="B95" s="21" t="str">
        <f>Articles!B94</f>
        <v/>
      </c>
      <c r="C95" s="21" t="str">
        <f>IF(A95="","",SUMIFS(Mouvements!$G:$G,Mouvements!$E:$E,$B$3,Mouvements!$B:$B,A95,Mouvements!$F:$F,"Départ"))</f>
        <v/>
      </c>
      <c r="D95" s="21" t="str">
        <f>IF(A95="","",SUMIFS(Mouvements!$G:$G,Mouvements!$E:$E,$B$3,Mouvements!$B:$B,A95,Mouvements!$F:$F,"Retour"))</f>
        <v/>
      </c>
      <c r="E95" s="21" t="str">
        <f t="shared" si="1"/>
        <v/>
      </c>
      <c r="F95" s="21"/>
      <c r="G95" s="21" t="str">
        <f t="shared" si="2"/>
        <v/>
      </c>
      <c r="H95" s="21"/>
      <c r="I95" s="21" t="str">
        <f t="shared" si="3"/>
        <v/>
      </c>
    </row>
    <row r="96" ht="15.75" customHeight="1">
      <c r="A96" s="21" t="str">
        <f>Articles!A95</f>
        <v/>
      </c>
      <c r="B96" s="21" t="str">
        <f>Articles!B95</f>
        <v/>
      </c>
      <c r="C96" s="21" t="str">
        <f>IF(A96="","",SUMIFS(Mouvements!$G:$G,Mouvements!$E:$E,$B$3,Mouvements!$B:$B,A96,Mouvements!$F:$F,"Départ"))</f>
        <v/>
      </c>
      <c r="D96" s="21" t="str">
        <f>IF(A96="","",SUMIFS(Mouvements!$G:$G,Mouvements!$E:$E,$B$3,Mouvements!$B:$B,A96,Mouvements!$F:$F,"Retour"))</f>
        <v/>
      </c>
      <c r="E96" s="21" t="str">
        <f t="shared" si="1"/>
        <v/>
      </c>
      <c r="F96" s="21"/>
      <c r="G96" s="21" t="str">
        <f t="shared" si="2"/>
        <v/>
      </c>
      <c r="H96" s="21"/>
      <c r="I96" s="21" t="str">
        <f t="shared" si="3"/>
        <v/>
      </c>
    </row>
    <row r="97" ht="15.75" customHeight="1">
      <c r="A97" s="21" t="str">
        <f>Articles!A96</f>
        <v/>
      </c>
      <c r="B97" s="21" t="str">
        <f>Articles!B96</f>
        <v/>
      </c>
      <c r="C97" s="21" t="str">
        <f>IF(A97="","",SUMIFS(Mouvements!$G:$G,Mouvements!$E:$E,$B$3,Mouvements!$B:$B,A97,Mouvements!$F:$F,"Départ"))</f>
        <v/>
      </c>
      <c r="D97" s="21" t="str">
        <f>IF(A97="","",SUMIFS(Mouvements!$G:$G,Mouvements!$E:$E,$B$3,Mouvements!$B:$B,A97,Mouvements!$F:$F,"Retour"))</f>
        <v/>
      </c>
      <c r="E97" s="21" t="str">
        <f t="shared" si="1"/>
        <v/>
      </c>
      <c r="F97" s="21"/>
      <c r="G97" s="21" t="str">
        <f t="shared" si="2"/>
        <v/>
      </c>
      <c r="H97" s="21"/>
      <c r="I97" s="21" t="str">
        <f t="shared" si="3"/>
        <v/>
      </c>
    </row>
    <row r="98" ht="15.75" customHeight="1">
      <c r="A98" s="21" t="str">
        <f>Articles!A97</f>
        <v/>
      </c>
      <c r="B98" s="21" t="str">
        <f>Articles!B97</f>
        <v/>
      </c>
      <c r="C98" s="21" t="str">
        <f>IF(A98="","",SUMIFS(Mouvements!$G:$G,Mouvements!$E:$E,$B$3,Mouvements!$B:$B,A98,Mouvements!$F:$F,"Départ"))</f>
        <v/>
      </c>
      <c r="D98" s="21" t="str">
        <f>IF(A98="","",SUMIFS(Mouvements!$G:$G,Mouvements!$E:$E,$B$3,Mouvements!$B:$B,A98,Mouvements!$F:$F,"Retour"))</f>
        <v/>
      </c>
      <c r="E98" s="21" t="str">
        <f t="shared" si="1"/>
        <v/>
      </c>
      <c r="F98" s="21"/>
      <c r="G98" s="21" t="str">
        <f t="shared" si="2"/>
        <v/>
      </c>
      <c r="H98" s="21"/>
      <c r="I98" s="21" t="str">
        <f t="shared" si="3"/>
        <v/>
      </c>
    </row>
    <row r="99" ht="15.75" customHeight="1">
      <c r="A99" s="21" t="str">
        <f>Articles!A98</f>
        <v/>
      </c>
      <c r="B99" s="21" t="str">
        <f>Articles!B98</f>
        <v/>
      </c>
      <c r="C99" s="21" t="str">
        <f>IF(A99="","",SUMIFS(Mouvements!$G:$G,Mouvements!$E:$E,$B$3,Mouvements!$B:$B,A99,Mouvements!$F:$F,"Départ"))</f>
        <v/>
      </c>
      <c r="D99" s="21" t="str">
        <f>IF(A99="","",SUMIFS(Mouvements!$G:$G,Mouvements!$E:$E,$B$3,Mouvements!$B:$B,A99,Mouvements!$F:$F,"Retour"))</f>
        <v/>
      </c>
      <c r="E99" s="21" t="str">
        <f t="shared" si="1"/>
        <v/>
      </c>
      <c r="F99" s="21"/>
      <c r="G99" s="21" t="str">
        <f t="shared" si="2"/>
        <v/>
      </c>
      <c r="H99" s="21"/>
      <c r="I99" s="21" t="str">
        <f t="shared" si="3"/>
        <v/>
      </c>
    </row>
    <row r="100" ht="15.75" customHeight="1">
      <c r="A100" s="21" t="str">
        <f>Articles!A99</f>
        <v/>
      </c>
      <c r="B100" s="21" t="str">
        <f>Articles!B99</f>
        <v/>
      </c>
      <c r="C100" s="21" t="str">
        <f>IF(A100="","",SUMIFS(Mouvements!$G:$G,Mouvements!$E:$E,$B$3,Mouvements!$B:$B,A100,Mouvements!$F:$F,"Départ"))</f>
        <v/>
      </c>
      <c r="D100" s="21" t="str">
        <f>IF(A100="","",SUMIFS(Mouvements!$G:$G,Mouvements!$E:$E,$B$3,Mouvements!$B:$B,A100,Mouvements!$F:$F,"Retour"))</f>
        <v/>
      </c>
      <c r="E100" s="21" t="str">
        <f t="shared" si="1"/>
        <v/>
      </c>
      <c r="F100" s="21"/>
      <c r="G100" s="21" t="str">
        <f t="shared" si="2"/>
        <v/>
      </c>
      <c r="H100" s="21"/>
      <c r="I100" s="21" t="str">
        <f t="shared" si="3"/>
        <v/>
      </c>
    </row>
    <row r="101" ht="15.75" customHeight="1">
      <c r="A101" s="21" t="str">
        <f>Articles!A100</f>
        <v/>
      </c>
      <c r="B101" s="21" t="str">
        <f>Articles!B100</f>
        <v/>
      </c>
      <c r="C101" s="21" t="str">
        <f>IF(A101="","",SUMIFS(Mouvements!$G:$G,Mouvements!$E:$E,$B$3,Mouvements!$B:$B,A101,Mouvements!$F:$F,"Départ"))</f>
        <v/>
      </c>
      <c r="D101" s="21" t="str">
        <f>IF(A101="","",SUMIFS(Mouvements!$G:$G,Mouvements!$E:$E,$B$3,Mouvements!$B:$B,A101,Mouvements!$F:$F,"Retour"))</f>
        <v/>
      </c>
      <c r="E101" s="21" t="str">
        <f t="shared" si="1"/>
        <v/>
      </c>
      <c r="F101" s="21"/>
      <c r="G101" s="21" t="str">
        <f t="shared" si="2"/>
        <v/>
      </c>
      <c r="H101" s="21"/>
      <c r="I101" s="21" t="str">
        <f t="shared" si="3"/>
        <v/>
      </c>
    </row>
    <row r="102" ht="15.75" customHeight="1">
      <c r="A102" s="21" t="str">
        <f>Articles!A101</f>
        <v/>
      </c>
      <c r="B102" s="21" t="str">
        <f>Articles!B101</f>
        <v/>
      </c>
      <c r="C102" s="21" t="str">
        <f>IF(A102="","",SUMIFS(Mouvements!$G:$G,Mouvements!$E:$E,$B$3,Mouvements!$B:$B,A102,Mouvements!$F:$F,"Départ"))</f>
        <v/>
      </c>
      <c r="D102" s="21" t="str">
        <f>IF(A102="","",SUMIFS(Mouvements!$G:$G,Mouvements!$E:$E,$B$3,Mouvements!$B:$B,A102,Mouvements!$F:$F,"Retour"))</f>
        <v/>
      </c>
      <c r="E102" s="21" t="str">
        <f t="shared" si="1"/>
        <v/>
      </c>
      <c r="F102" s="21"/>
      <c r="G102" s="21" t="str">
        <f t="shared" si="2"/>
        <v/>
      </c>
      <c r="H102" s="21"/>
      <c r="I102" s="21" t="str">
        <f t="shared" si="3"/>
        <v/>
      </c>
    </row>
    <row r="103" ht="15.75" customHeight="1">
      <c r="A103" s="21" t="str">
        <f>Articles!A102</f>
        <v/>
      </c>
      <c r="B103" s="21" t="str">
        <f>Articles!B102</f>
        <v/>
      </c>
      <c r="C103" s="21" t="str">
        <f>IF(A103="","",SUMIFS(Mouvements!$G:$G,Mouvements!$E:$E,$B$3,Mouvements!$B:$B,A103,Mouvements!$F:$F,"Départ"))</f>
        <v/>
      </c>
      <c r="D103" s="21" t="str">
        <f>IF(A103="","",SUMIFS(Mouvements!$G:$G,Mouvements!$E:$E,$B$3,Mouvements!$B:$B,A103,Mouvements!$F:$F,"Retour"))</f>
        <v/>
      </c>
      <c r="E103" s="21" t="str">
        <f t="shared" si="1"/>
        <v/>
      </c>
      <c r="F103" s="21"/>
      <c r="G103" s="21" t="str">
        <f t="shared" si="2"/>
        <v/>
      </c>
      <c r="H103" s="21"/>
      <c r="I103" s="21" t="str">
        <f t="shared" si="3"/>
        <v/>
      </c>
    </row>
    <row r="104" ht="15.75" customHeight="1">
      <c r="A104" s="21" t="str">
        <f>Articles!A103</f>
        <v/>
      </c>
      <c r="B104" s="21" t="str">
        <f>Articles!B103</f>
        <v/>
      </c>
      <c r="C104" s="21" t="str">
        <f>IF(A104="","",SUMIFS(Mouvements!$G:$G,Mouvements!$E:$E,$B$3,Mouvements!$B:$B,A104,Mouvements!$F:$F,"Départ"))</f>
        <v/>
      </c>
      <c r="D104" s="21" t="str">
        <f>IF(A104="","",SUMIFS(Mouvements!$G:$G,Mouvements!$E:$E,$B$3,Mouvements!$B:$B,A104,Mouvements!$F:$F,"Retour"))</f>
        <v/>
      </c>
      <c r="E104" s="21" t="str">
        <f t="shared" si="1"/>
        <v/>
      </c>
      <c r="F104" s="21"/>
      <c r="G104" s="21" t="str">
        <f t="shared" si="2"/>
        <v/>
      </c>
      <c r="H104" s="21"/>
      <c r="I104" s="21" t="str">
        <f t="shared" si="3"/>
        <v/>
      </c>
    </row>
    <row r="105" ht="15.75" customHeight="1">
      <c r="A105" s="21" t="str">
        <f>Articles!A104</f>
        <v/>
      </c>
      <c r="B105" s="21" t="str">
        <f>Articles!B104</f>
        <v/>
      </c>
      <c r="C105" s="21" t="str">
        <f>IF(A105="","",SUMIFS(Mouvements!$G:$G,Mouvements!$E:$E,$B$3,Mouvements!$B:$B,A105,Mouvements!$F:$F,"Départ"))</f>
        <v/>
      </c>
      <c r="D105" s="21" t="str">
        <f>IF(A105="","",SUMIFS(Mouvements!$G:$G,Mouvements!$E:$E,$B$3,Mouvements!$B:$B,A105,Mouvements!$F:$F,"Retour"))</f>
        <v/>
      </c>
      <c r="E105" s="21" t="str">
        <f t="shared" si="1"/>
        <v/>
      </c>
      <c r="F105" s="21"/>
      <c r="G105" s="21" t="str">
        <f t="shared" si="2"/>
        <v/>
      </c>
      <c r="H105" s="21"/>
      <c r="I105" s="21" t="str">
        <f t="shared" si="3"/>
        <v/>
      </c>
    </row>
  </sheetData>
  <mergeCells count="2">
    <mergeCell ref="A1:I1"/>
    <mergeCell ref="A2:I2"/>
  </mergeCells>
  <conditionalFormatting sqref="A6:I105">
    <cfRule type="expression" dxfId="6" priority="1">
      <formula>$G6="À récupérer"</formula>
    </cfRule>
  </conditionalFormatting>
  <conditionalFormatting sqref="A6:I105">
    <cfRule type="expression" dxfId="5" priority="2">
      <formula>$I6&lt;&gt;""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6.0"/>
    <col customWidth="1" min="2" max="2" width="32.0"/>
    <col customWidth="1" min="3" max="4" width="12.0"/>
    <col customWidth="1" min="5" max="5" width="14.0"/>
    <col customWidth="1" min="6" max="6" width="16.0"/>
    <col customWidth="1" min="7" max="7" width="14.0"/>
    <col customWidth="1" min="8" max="8" width="22.0"/>
    <col customWidth="1" min="9" max="9" width="18.0"/>
    <col customWidth="1" min="10" max="11" width="9.14"/>
  </cols>
  <sheetData>
    <row r="1">
      <c r="A1" s="1" t="s">
        <v>103</v>
      </c>
      <c r="B1" s="2"/>
      <c r="C1" s="2"/>
      <c r="D1" s="2"/>
      <c r="E1" s="2"/>
      <c r="F1" s="2"/>
      <c r="G1" s="2"/>
      <c r="H1" s="2"/>
      <c r="I1" s="3"/>
    </row>
    <row r="2">
      <c r="A2" s="11" t="s">
        <v>98</v>
      </c>
    </row>
    <row r="3">
      <c r="A3" s="22" t="s">
        <v>80</v>
      </c>
      <c r="B3" s="23" t="s">
        <v>35</v>
      </c>
    </row>
    <row r="5">
      <c r="A5" s="20" t="s">
        <v>6</v>
      </c>
      <c r="B5" s="20" t="s">
        <v>7</v>
      </c>
      <c r="C5" s="20" t="s">
        <v>12</v>
      </c>
      <c r="D5" s="20" t="s">
        <v>13</v>
      </c>
      <c r="E5" s="20" t="s">
        <v>99</v>
      </c>
      <c r="F5" s="20" t="s">
        <v>100</v>
      </c>
      <c r="G5" s="20" t="s">
        <v>10</v>
      </c>
      <c r="H5" s="20" t="s">
        <v>87</v>
      </c>
      <c r="I5" s="20" t="s">
        <v>101</v>
      </c>
    </row>
    <row r="6">
      <c r="A6" s="21" t="str">
        <f>Articles!A5</f>
        <v>VIS-6X60</v>
      </c>
      <c r="B6" s="21" t="str">
        <f>Articles!B5</f>
        <v>Vis béton 6x60</v>
      </c>
      <c r="C6" s="21" t="str">
        <f>IF(A6="","",SUMIFS(Mouvements!$G:$G,Mouvements!$E:$E,$B$3,Mouvements!$B:$B,A6,Mouvements!$F:$F,"Départ"))</f>
        <v>0</v>
      </c>
      <c r="D6" s="21" t="str">
        <f>IF(A6="","",SUMIFS(Mouvements!$G:$G,Mouvements!$E:$E,$B$3,Mouvements!$B:$B,A6,Mouvements!$F:$F,"Retour"))</f>
        <v>0</v>
      </c>
      <c r="E6" s="21" t="str">
        <f t="shared" ref="E6:E105" si="1">IF(A6="","",C6-D6)</f>
        <v>0</v>
      </c>
      <c r="F6" s="21"/>
      <c r="G6" s="21" t="str">
        <f t="shared" ref="G6:G105" si="2">IF(E6="","",IF(E6&gt;0,"À récupérer","Soldé"))</f>
        <v>Soldé</v>
      </c>
      <c r="H6" s="21"/>
      <c r="I6" s="21" t="str">
        <f t="shared" ref="I6:I105" si="3">IF(E6&lt;0,"Retour &gt; départ","")</f>
        <v/>
      </c>
    </row>
    <row r="7">
      <c r="A7" s="21" t="str">
        <f>Articles!A6</f>
        <v>PERF-001</v>
      </c>
      <c r="B7" s="21" t="str">
        <f>Articles!B6</f>
        <v>Perforateur SDS</v>
      </c>
      <c r="C7" s="21" t="str">
        <f>IF(A7="","",SUMIFS(Mouvements!$G:$G,Mouvements!$E:$E,$B$3,Mouvements!$B:$B,A7,Mouvements!$F:$F,"Départ"))</f>
        <v>0</v>
      </c>
      <c r="D7" s="21" t="str">
        <f>IF(A7="","",SUMIFS(Mouvements!$G:$G,Mouvements!$E:$E,$B$3,Mouvements!$B:$B,A7,Mouvements!$F:$F,"Retour"))</f>
        <v>0</v>
      </c>
      <c r="E7" s="21" t="str">
        <f t="shared" si="1"/>
        <v>0</v>
      </c>
      <c r="F7" s="21"/>
      <c r="G7" s="21" t="str">
        <f t="shared" si="2"/>
        <v>Soldé</v>
      </c>
      <c r="H7" s="21"/>
      <c r="I7" s="21" t="str">
        <f t="shared" si="3"/>
        <v/>
      </c>
    </row>
    <row r="8">
      <c r="A8" s="21" t="str">
        <f>Articles!A7</f>
        <v>GANT-L</v>
      </c>
      <c r="B8" s="21" t="str">
        <f>Articles!B7</f>
        <v>Gants taille L</v>
      </c>
      <c r="C8" s="21" t="str">
        <f>IF(A8="","",SUMIFS(Mouvements!$G:$G,Mouvements!$E:$E,$B$3,Mouvements!$B:$B,A8,Mouvements!$F:$F,"Départ"))</f>
        <v>0</v>
      </c>
      <c r="D8" s="21" t="str">
        <f>IF(A8="","",SUMIFS(Mouvements!$G:$G,Mouvements!$E:$E,$B$3,Mouvements!$B:$B,A8,Mouvements!$F:$F,"Retour"))</f>
        <v>0</v>
      </c>
      <c r="E8" s="21" t="str">
        <f t="shared" si="1"/>
        <v>0</v>
      </c>
      <c r="F8" s="21"/>
      <c r="G8" s="21" t="str">
        <f t="shared" si="2"/>
        <v>Soldé</v>
      </c>
      <c r="H8" s="21"/>
      <c r="I8" s="21" t="str">
        <f t="shared" si="3"/>
        <v/>
      </c>
    </row>
    <row r="9">
      <c r="A9" s="21" t="str">
        <f>Articles!A8</f>
        <v>12345</v>
      </c>
      <c r="B9" s="21" t="str">
        <f>Articles!B8</f>
        <v>Quentin</v>
      </c>
      <c r="C9" s="21" t="str">
        <f>IF(A9="","",SUMIFS(Mouvements!$G:$G,Mouvements!$E:$E,$B$3,Mouvements!$B:$B,A9,Mouvements!$F:$F,"Départ"))</f>
        <v>0</v>
      </c>
      <c r="D9" s="21" t="str">
        <f>IF(A9="","",SUMIFS(Mouvements!$G:$G,Mouvements!$E:$E,$B$3,Mouvements!$B:$B,A9,Mouvements!$F:$F,"Retour"))</f>
        <v>0</v>
      </c>
      <c r="E9" s="21" t="str">
        <f t="shared" si="1"/>
        <v>0</v>
      </c>
      <c r="F9" s="21"/>
      <c r="G9" s="21" t="str">
        <f t="shared" si="2"/>
        <v>Soldé</v>
      </c>
      <c r="H9" s="21"/>
      <c r="I9" s="21" t="str">
        <f t="shared" si="3"/>
        <v/>
      </c>
    </row>
    <row r="10">
      <c r="A10" s="21" t="str">
        <f>Articles!A9</f>
        <v>4969272</v>
      </c>
      <c r="B10" s="21" t="str">
        <f>Articles!B9</f>
        <v>teben </v>
      </c>
      <c r="C10" s="21" t="str">
        <f>IF(A10="","",SUMIFS(Mouvements!$G:$G,Mouvements!$E:$E,$B$3,Mouvements!$B:$B,A10,Mouvements!$F:$F,"Départ"))</f>
        <v>0</v>
      </c>
      <c r="D10" s="21" t="str">
        <f>IF(A10="","",SUMIFS(Mouvements!$G:$G,Mouvements!$E:$E,$B$3,Mouvements!$B:$B,A10,Mouvements!$F:$F,"Retour"))</f>
        <v>0</v>
      </c>
      <c r="E10" s="21" t="str">
        <f t="shared" si="1"/>
        <v>0</v>
      </c>
      <c r="F10" s="21"/>
      <c r="G10" s="21" t="str">
        <f t="shared" si="2"/>
        <v>Soldé</v>
      </c>
      <c r="H10" s="21"/>
      <c r="I10" s="21" t="str">
        <f t="shared" si="3"/>
        <v/>
      </c>
    </row>
    <row r="11">
      <c r="A11" s="21" t="str">
        <f>Articles!A10</f>
        <v/>
      </c>
      <c r="B11" s="21" t="str">
        <f>Articles!B10</f>
        <v/>
      </c>
      <c r="C11" s="21" t="str">
        <f>IF(A11="","",SUMIFS(Mouvements!$G:$G,Mouvements!$E:$E,$B$3,Mouvements!$B:$B,A11,Mouvements!$F:$F,"Départ"))</f>
        <v/>
      </c>
      <c r="D11" s="21" t="str">
        <f>IF(A11="","",SUMIFS(Mouvements!$G:$G,Mouvements!$E:$E,$B$3,Mouvements!$B:$B,A11,Mouvements!$F:$F,"Retour"))</f>
        <v/>
      </c>
      <c r="E11" s="21" t="str">
        <f t="shared" si="1"/>
        <v/>
      </c>
      <c r="F11" s="21"/>
      <c r="G11" s="21" t="str">
        <f t="shared" si="2"/>
        <v/>
      </c>
      <c r="H11" s="21"/>
      <c r="I11" s="21" t="str">
        <f t="shared" si="3"/>
        <v/>
      </c>
    </row>
    <row r="12">
      <c r="A12" s="21" t="str">
        <f>Articles!A11</f>
        <v/>
      </c>
      <c r="B12" s="21" t="str">
        <f>Articles!B11</f>
        <v/>
      </c>
      <c r="C12" s="21" t="str">
        <f>IF(A12="","",SUMIFS(Mouvements!$G:$G,Mouvements!$E:$E,$B$3,Mouvements!$B:$B,A12,Mouvements!$F:$F,"Départ"))</f>
        <v/>
      </c>
      <c r="D12" s="21" t="str">
        <f>IF(A12="","",SUMIFS(Mouvements!$G:$G,Mouvements!$E:$E,$B$3,Mouvements!$B:$B,A12,Mouvements!$F:$F,"Retour"))</f>
        <v/>
      </c>
      <c r="E12" s="21" t="str">
        <f t="shared" si="1"/>
        <v/>
      </c>
      <c r="F12" s="21"/>
      <c r="G12" s="21" t="str">
        <f t="shared" si="2"/>
        <v/>
      </c>
      <c r="H12" s="21"/>
      <c r="I12" s="21" t="str">
        <f t="shared" si="3"/>
        <v/>
      </c>
    </row>
    <row r="13">
      <c r="A13" s="21" t="str">
        <f>Articles!A12</f>
        <v/>
      </c>
      <c r="B13" s="21" t="str">
        <f>Articles!B12</f>
        <v/>
      </c>
      <c r="C13" s="21" t="str">
        <f>IF(A13="","",SUMIFS(Mouvements!$G:$G,Mouvements!$E:$E,$B$3,Mouvements!$B:$B,A13,Mouvements!$F:$F,"Départ"))</f>
        <v/>
      </c>
      <c r="D13" s="21" t="str">
        <f>IF(A13="","",SUMIFS(Mouvements!$G:$G,Mouvements!$E:$E,$B$3,Mouvements!$B:$B,A13,Mouvements!$F:$F,"Retour"))</f>
        <v/>
      </c>
      <c r="E13" s="21" t="str">
        <f t="shared" si="1"/>
        <v/>
      </c>
      <c r="F13" s="21"/>
      <c r="G13" s="21" t="str">
        <f t="shared" si="2"/>
        <v/>
      </c>
      <c r="H13" s="21"/>
      <c r="I13" s="21" t="str">
        <f t="shared" si="3"/>
        <v/>
      </c>
    </row>
    <row r="14">
      <c r="A14" s="21" t="str">
        <f>Articles!A13</f>
        <v/>
      </c>
      <c r="B14" s="21" t="str">
        <f>Articles!B13</f>
        <v/>
      </c>
      <c r="C14" s="21" t="str">
        <f>IF(A14="","",SUMIFS(Mouvements!$G:$G,Mouvements!$E:$E,$B$3,Mouvements!$B:$B,A14,Mouvements!$F:$F,"Départ"))</f>
        <v/>
      </c>
      <c r="D14" s="21" t="str">
        <f>IF(A14="","",SUMIFS(Mouvements!$G:$G,Mouvements!$E:$E,$B$3,Mouvements!$B:$B,A14,Mouvements!$F:$F,"Retour"))</f>
        <v/>
      </c>
      <c r="E14" s="21" t="str">
        <f t="shared" si="1"/>
        <v/>
      </c>
      <c r="F14" s="21"/>
      <c r="G14" s="21" t="str">
        <f t="shared" si="2"/>
        <v/>
      </c>
      <c r="H14" s="21"/>
      <c r="I14" s="21" t="str">
        <f t="shared" si="3"/>
        <v/>
      </c>
    </row>
    <row r="15">
      <c r="A15" s="21" t="str">
        <f>Articles!A14</f>
        <v/>
      </c>
      <c r="B15" s="21" t="str">
        <f>Articles!B14</f>
        <v/>
      </c>
      <c r="C15" s="21" t="str">
        <f>IF(A15="","",SUMIFS(Mouvements!$G:$G,Mouvements!$E:$E,$B$3,Mouvements!$B:$B,A15,Mouvements!$F:$F,"Départ"))</f>
        <v/>
      </c>
      <c r="D15" s="21" t="str">
        <f>IF(A15="","",SUMIFS(Mouvements!$G:$G,Mouvements!$E:$E,$B$3,Mouvements!$B:$B,A15,Mouvements!$F:$F,"Retour"))</f>
        <v/>
      </c>
      <c r="E15" s="21" t="str">
        <f t="shared" si="1"/>
        <v/>
      </c>
      <c r="F15" s="21"/>
      <c r="G15" s="21" t="str">
        <f t="shared" si="2"/>
        <v/>
      </c>
      <c r="H15" s="21"/>
      <c r="I15" s="21" t="str">
        <f t="shared" si="3"/>
        <v/>
      </c>
    </row>
    <row r="16">
      <c r="A16" s="21" t="str">
        <f>Articles!A15</f>
        <v/>
      </c>
      <c r="B16" s="21" t="str">
        <f>Articles!B15</f>
        <v/>
      </c>
      <c r="C16" s="21" t="str">
        <f>IF(A16="","",SUMIFS(Mouvements!$G:$G,Mouvements!$E:$E,$B$3,Mouvements!$B:$B,A16,Mouvements!$F:$F,"Départ"))</f>
        <v/>
      </c>
      <c r="D16" s="21" t="str">
        <f>IF(A16="","",SUMIFS(Mouvements!$G:$G,Mouvements!$E:$E,$B$3,Mouvements!$B:$B,A16,Mouvements!$F:$F,"Retour"))</f>
        <v/>
      </c>
      <c r="E16" s="21" t="str">
        <f t="shared" si="1"/>
        <v/>
      </c>
      <c r="F16" s="21"/>
      <c r="G16" s="21" t="str">
        <f t="shared" si="2"/>
        <v/>
      </c>
      <c r="H16" s="21"/>
      <c r="I16" s="21" t="str">
        <f t="shared" si="3"/>
        <v/>
      </c>
    </row>
    <row r="17">
      <c r="A17" s="21" t="str">
        <f>Articles!A16</f>
        <v/>
      </c>
      <c r="B17" s="21" t="str">
        <f>Articles!B16</f>
        <v/>
      </c>
      <c r="C17" s="21" t="str">
        <f>IF(A17="","",SUMIFS(Mouvements!$G:$G,Mouvements!$E:$E,$B$3,Mouvements!$B:$B,A17,Mouvements!$F:$F,"Départ"))</f>
        <v/>
      </c>
      <c r="D17" s="21" t="str">
        <f>IF(A17="","",SUMIFS(Mouvements!$G:$G,Mouvements!$E:$E,$B$3,Mouvements!$B:$B,A17,Mouvements!$F:$F,"Retour"))</f>
        <v/>
      </c>
      <c r="E17" s="21" t="str">
        <f t="shared" si="1"/>
        <v/>
      </c>
      <c r="F17" s="21"/>
      <c r="G17" s="21" t="str">
        <f t="shared" si="2"/>
        <v/>
      </c>
      <c r="H17" s="21"/>
      <c r="I17" s="21" t="str">
        <f t="shared" si="3"/>
        <v/>
      </c>
    </row>
    <row r="18">
      <c r="A18" s="21" t="str">
        <f>Articles!A17</f>
        <v/>
      </c>
      <c r="B18" s="21" t="str">
        <f>Articles!B17</f>
        <v/>
      </c>
      <c r="C18" s="21" t="str">
        <f>IF(A18="","",SUMIFS(Mouvements!$G:$G,Mouvements!$E:$E,$B$3,Mouvements!$B:$B,A18,Mouvements!$F:$F,"Départ"))</f>
        <v/>
      </c>
      <c r="D18" s="21" t="str">
        <f>IF(A18="","",SUMIFS(Mouvements!$G:$G,Mouvements!$E:$E,$B$3,Mouvements!$B:$B,A18,Mouvements!$F:$F,"Retour"))</f>
        <v/>
      </c>
      <c r="E18" s="21" t="str">
        <f t="shared" si="1"/>
        <v/>
      </c>
      <c r="F18" s="21"/>
      <c r="G18" s="21" t="str">
        <f t="shared" si="2"/>
        <v/>
      </c>
      <c r="H18" s="21"/>
      <c r="I18" s="21" t="str">
        <f t="shared" si="3"/>
        <v/>
      </c>
    </row>
    <row r="19">
      <c r="A19" s="21" t="str">
        <f>Articles!A18</f>
        <v/>
      </c>
      <c r="B19" s="21" t="str">
        <f>Articles!B18</f>
        <v/>
      </c>
      <c r="C19" s="21" t="str">
        <f>IF(A19="","",SUMIFS(Mouvements!$G:$G,Mouvements!$E:$E,$B$3,Mouvements!$B:$B,A19,Mouvements!$F:$F,"Départ"))</f>
        <v/>
      </c>
      <c r="D19" s="21" t="str">
        <f>IF(A19="","",SUMIFS(Mouvements!$G:$G,Mouvements!$E:$E,$B$3,Mouvements!$B:$B,A19,Mouvements!$F:$F,"Retour"))</f>
        <v/>
      </c>
      <c r="E19" s="21" t="str">
        <f t="shared" si="1"/>
        <v/>
      </c>
      <c r="F19" s="21"/>
      <c r="G19" s="21" t="str">
        <f t="shared" si="2"/>
        <v/>
      </c>
      <c r="H19" s="21"/>
      <c r="I19" s="21" t="str">
        <f t="shared" si="3"/>
        <v/>
      </c>
    </row>
    <row r="20">
      <c r="A20" s="21" t="str">
        <f>Articles!A19</f>
        <v/>
      </c>
      <c r="B20" s="21" t="str">
        <f>Articles!B19</f>
        <v/>
      </c>
      <c r="C20" s="21" t="str">
        <f>IF(A20="","",SUMIFS(Mouvements!$G:$G,Mouvements!$E:$E,$B$3,Mouvements!$B:$B,A20,Mouvements!$F:$F,"Départ"))</f>
        <v/>
      </c>
      <c r="D20" s="21" t="str">
        <f>IF(A20="","",SUMIFS(Mouvements!$G:$G,Mouvements!$E:$E,$B$3,Mouvements!$B:$B,A20,Mouvements!$F:$F,"Retour"))</f>
        <v/>
      </c>
      <c r="E20" s="21" t="str">
        <f t="shared" si="1"/>
        <v/>
      </c>
      <c r="F20" s="21"/>
      <c r="G20" s="21" t="str">
        <f t="shared" si="2"/>
        <v/>
      </c>
      <c r="H20" s="21"/>
      <c r="I20" s="21" t="str">
        <f t="shared" si="3"/>
        <v/>
      </c>
    </row>
    <row r="21" ht="15.75" customHeight="1">
      <c r="A21" s="21" t="str">
        <f>Articles!A20</f>
        <v/>
      </c>
      <c r="B21" s="21" t="str">
        <f>Articles!B20</f>
        <v/>
      </c>
      <c r="C21" s="21" t="str">
        <f>IF(A21="","",SUMIFS(Mouvements!$G:$G,Mouvements!$E:$E,$B$3,Mouvements!$B:$B,A21,Mouvements!$F:$F,"Départ"))</f>
        <v/>
      </c>
      <c r="D21" s="21" t="str">
        <f>IF(A21="","",SUMIFS(Mouvements!$G:$G,Mouvements!$E:$E,$B$3,Mouvements!$B:$B,A21,Mouvements!$F:$F,"Retour"))</f>
        <v/>
      </c>
      <c r="E21" s="21" t="str">
        <f t="shared" si="1"/>
        <v/>
      </c>
      <c r="F21" s="21"/>
      <c r="G21" s="21" t="str">
        <f t="shared" si="2"/>
        <v/>
      </c>
      <c r="H21" s="21"/>
      <c r="I21" s="21" t="str">
        <f t="shared" si="3"/>
        <v/>
      </c>
    </row>
    <row r="22" ht="15.75" customHeight="1">
      <c r="A22" s="21" t="str">
        <f>Articles!A21</f>
        <v/>
      </c>
      <c r="B22" s="21" t="str">
        <f>Articles!B21</f>
        <v/>
      </c>
      <c r="C22" s="21" t="str">
        <f>IF(A22="","",SUMIFS(Mouvements!$G:$G,Mouvements!$E:$E,$B$3,Mouvements!$B:$B,A22,Mouvements!$F:$F,"Départ"))</f>
        <v/>
      </c>
      <c r="D22" s="21" t="str">
        <f>IF(A22="","",SUMIFS(Mouvements!$G:$G,Mouvements!$E:$E,$B$3,Mouvements!$B:$B,A22,Mouvements!$F:$F,"Retour"))</f>
        <v/>
      </c>
      <c r="E22" s="21" t="str">
        <f t="shared" si="1"/>
        <v/>
      </c>
      <c r="F22" s="21"/>
      <c r="G22" s="21" t="str">
        <f t="shared" si="2"/>
        <v/>
      </c>
      <c r="H22" s="21"/>
      <c r="I22" s="21" t="str">
        <f t="shared" si="3"/>
        <v/>
      </c>
    </row>
    <row r="23" ht="15.75" customHeight="1">
      <c r="A23" s="21" t="str">
        <f>Articles!A22</f>
        <v/>
      </c>
      <c r="B23" s="21" t="str">
        <f>Articles!B22</f>
        <v/>
      </c>
      <c r="C23" s="21" t="str">
        <f>IF(A23="","",SUMIFS(Mouvements!$G:$G,Mouvements!$E:$E,$B$3,Mouvements!$B:$B,A23,Mouvements!$F:$F,"Départ"))</f>
        <v/>
      </c>
      <c r="D23" s="21" t="str">
        <f>IF(A23="","",SUMIFS(Mouvements!$G:$G,Mouvements!$E:$E,$B$3,Mouvements!$B:$B,A23,Mouvements!$F:$F,"Retour"))</f>
        <v/>
      </c>
      <c r="E23" s="21" t="str">
        <f t="shared" si="1"/>
        <v/>
      </c>
      <c r="F23" s="21"/>
      <c r="G23" s="21" t="str">
        <f t="shared" si="2"/>
        <v/>
      </c>
      <c r="H23" s="21"/>
      <c r="I23" s="21" t="str">
        <f t="shared" si="3"/>
        <v/>
      </c>
    </row>
    <row r="24" ht="15.75" customHeight="1">
      <c r="A24" s="21" t="str">
        <f>Articles!A23</f>
        <v/>
      </c>
      <c r="B24" s="21" t="str">
        <f>Articles!B23</f>
        <v/>
      </c>
      <c r="C24" s="21" t="str">
        <f>IF(A24="","",SUMIFS(Mouvements!$G:$G,Mouvements!$E:$E,$B$3,Mouvements!$B:$B,A24,Mouvements!$F:$F,"Départ"))</f>
        <v/>
      </c>
      <c r="D24" s="21" t="str">
        <f>IF(A24="","",SUMIFS(Mouvements!$G:$G,Mouvements!$E:$E,$B$3,Mouvements!$B:$B,A24,Mouvements!$F:$F,"Retour"))</f>
        <v/>
      </c>
      <c r="E24" s="21" t="str">
        <f t="shared" si="1"/>
        <v/>
      </c>
      <c r="F24" s="21"/>
      <c r="G24" s="21" t="str">
        <f t="shared" si="2"/>
        <v/>
      </c>
      <c r="H24" s="21"/>
      <c r="I24" s="21" t="str">
        <f t="shared" si="3"/>
        <v/>
      </c>
    </row>
    <row r="25" ht="15.75" customHeight="1">
      <c r="A25" s="21" t="str">
        <f>Articles!A24</f>
        <v/>
      </c>
      <c r="B25" s="21" t="str">
        <f>Articles!B24</f>
        <v/>
      </c>
      <c r="C25" s="21" t="str">
        <f>IF(A25="","",SUMIFS(Mouvements!$G:$G,Mouvements!$E:$E,$B$3,Mouvements!$B:$B,A25,Mouvements!$F:$F,"Départ"))</f>
        <v/>
      </c>
      <c r="D25" s="21" t="str">
        <f>IF(A25="","",SUMIFS(Mouvements!$G:$G,Mouvements!$E:$E,$B$3,Mouvements!$B:$B,A25,Mouvements!$F:$F,"Retour"))</f>
        <v/>
      </c>
      <c r="E25" s="21" t="str">
        <f t="shared" si="1"/>
        <v/>
      </c>
      <c r="F25" s="21"/>
      <c r="G25" s="21" t="str">
        <f t="shared" si="2"/>
        <v/>
      </c>
      <c r="H25" s="21"/>
      <c r="I25" s="21" t="str">
        <f t="shared" si="3"/>
        <v/>
      </c>
    </row>
    <row r="26" ht="15.75" customHeight="1">
      <c r="A26" s="21" t="str">
        <f>Articles!A25</f>
        <v/>
      </c>
      <c r="B26" s="21" t="str">
        <f>Articles!B25</f>
        <v/>
      </c>
      <c r="C26" s="21" t="str">
        <f>IF(A26="","",SUMIFS(Mouvements!$G:$G,Mouvements!$E:$E,$B$3,Mouvements!$B:$B,A26,Mouvements!$F:$F,"Départ"))</f>
        <v/>
      </c>
      <c r="D26" s="21" t="str">
        <f>IF(A26="","",SUMIFS(Mouvements!$G:$G,Mouvements!$E:$E,$B$3,Mouvements!$B:$B,A26,Mouvements!$F:$F,"Retour"))</f>
        <v/>
      </c>
      <c r="E26" s="21" t="str">
        <f t="shared" si="1"/>
        <v/>
      </c>
      <c r="F26" s="21"/>
      <c r="G26" s="21" t="str">
        <f t="shared" si="2"/>
        <v/>
      </c>
      <c r="H26" s="21"/>
      <c r="I26" s="21" t="str">
        <f t="shared" si="3"/>
        <v/>
      </c>
    </row>
    <row r="27" ht="15.75" customHeight="1">
      <c r="A27" s="21" t="str">
        <f>Articles!A26</f>
        <v/>
      </c>
      <c r="B27" s="21" t="str">
        <f>Articles!B26</f>
        <v/>
      </c>
      <c r="C27" s="21" t="str">
        <f>IF(A27="","",SUMIFS(Mouvements!$G:$G,Mouvements!$E:$E,$B$3,Mouvements!$B:$B,A27,Mouvements!$F:$F,"Départ"))</f>
        <v/>
      </c>
      <c r="D27" s="21" t="str">
        <f>IF(A27="","",SUMIFS(Mouvements!$G:$G,Mouvements!$E:$E,$B$3,Mouvements!$B:$B,A27,Mouvements!$F:$F,"Retour"))</f>
        <v/>
      </c>
      <c r="E27" s="21" t="str">
        <f t="shared" si="1"/>
        <v/>
      </c>
      <c r="F27" s="21"/>
      <c r="G27" s="21" t="str">
        <f t="shared" si="2"/>
        <v/>
      </c>
      <c r="H27" s="21"/>
      <c r="I27" s="21" t="str">
        <f t="shared" si="3"/>
        <v/>
      </c>
    </row>
    <row r="28" ht="15.75" customHeight="1">
      <c r="A28" s="21" t="str">
        <f>Articles!A27</f>
        <v/>
      </c>
      <c r="B28" s="21" t="str">
        <f>Articles!B27</f>
        <v/>
      </c>
      <c r="C28" s="21" t="str">
        <f>IF(A28="","",SUMIFS(Mouvements!$G:$G,Mouvements!$E:$E,$B$3,Mouvements!$B:$B,A28,Mouvements!$F:$F,"Départ"))</f>
        <v/>
      </c>
      <c r="D28" s="21" t="str">
        <f>IF(A28="","",SUMIFS(Mouvements!$G:$G,Mouvements!$E:$E,$B$3,Mouvements!$B:$B,A28,Mouvements!$F:$F,"Retour"))</f>
        <v/>
      </c>
      <c r="E28" s="21" t="str">
        <f t="shared" si="1"/>
        <v/>
      </c>
      <c r="F28" s="21"/>
      <c r="G28" s="21" t="str">
        <f t="shared" si="2"/>
        <v/>
      </c>
      <c r="H28" s="21"/>
      <c r="I28" s="21" t="str">
        <f t="shared" si="3"/>
        <v/>
      </c>
    </row>
    <row r="29" ht="15.75" customHeight="1">
      <c r="A29" s="21" t="str">
        <f>Articles!A28</f>
        <v/>
      </c>
      <c r="B29" s="21" t="str">
        <f>Articles!B28</f>
        <v/>
      </c>
      <c r="C29" s="21" t="str">
        <f>IF(A29="","",SUMIFS(Mouvements!$G:$G,Mouvements!$E:$E,$B$3,Mouvements!$B:$B,A29,Mouvements!$F:$F,"Départ"))</f>
        <v/>
      </c>
      <c r="D29" s="21" t="str">
        <f>IF(A29="","",SUMIFS(Mouvements!$G:$G,Mouvements!$E:$E,$B$3,Mouvements!$B:$B,A29,Mouvements!$F:$F,"Retour"))</f>
        <v/>
      </c>
      <c r="E29" s="21" t="str">
        <f t="shared" si="1"/>
        <v/>
      </c>
      <c r="F29" s="21"/>
      <c r="G29" s="21" t="str">
        <f t="shared" si="2"/>
        <v/>
      </c>
      <c r="H29" s="21"/>
      <c r="I29" s="21" t="str">
        <f t="shared" si="3"/>
        <v/>
      </c>
    </row>
    <row r="30" ht="15.75" customHeight="1">
      <c r="A30" s="21" t="str">
        <f>Articles!A29</f>
        <v/>
      </c>
      <c r="B30" s="21" t="str">
        <f>Articles!B29</f>
        <v/>
      </c>
      <c r="C30" s="21" t="str">
        <f>IF(A30="","",SUMIFS(Mouvements!$G:$G,Mouvements!$E:$E,$B$3,Mouvements!$B:$B,A30,Mouvements!$F:$F,"Départ"))</f>
        <v/>
      </c>
      <c r="D30" s="21" t="str">
        <f>IF(A30="","",SUMIFS(Mouvements!$G:$G,Mouvements!$E:$E,$B$3,Mouvements!$B:$B,A30,Mouvements!$F:$F,"Retour"))</f>
        <v/>
      </c>
      <c r="E30" s="21" t="str">
        <f t="shared" si="1"/>
        <v/>
      </c>
      <c r="F30" s="21"/>
      <c r="G30" s="21" t="str">
        <f t="shared" si="2"/>
        <v/>
      </c>
      <c r="H30" s="21"/>
      <c r="I30" s="21" t="str">
        <f t="shared" si="3"/>
        <v/>
      </c>
    </row>
    <row r="31" ht="15.75" customHeight="1">
      <c r="A31" s="21" t="str">
        <f>Articles!A30</f>
        <v/>
      </c>
      <c r="B31" s="21" t="str">
        <f>Articles!B30</f>
        <v/>
      </c>
      <c r="C31" s="21" t="str">
        <f>IF(A31="","",SUMIFS(Mouvements!$G:$G,Mouvements!$E:$E,$B$3,Mouvements!$B:$B,A31,Mouvements!$F:$F,"Départ"))</f>
        <v/>
      </c>
      <c r="D31" s="21" t="str">
        <f>IF(A31="","",SUMIFS(Mouvements!$G:$G,Mouvements!$E:$E,$B$3,Mouvements!$B:$B,A31,Mouvements!$F:$F,"Retour"))</f>
        <v/>
      </c>
      <c r="E31" s="21" t="str">
        <f t="shared" si="1"/>
        <v/>
      </c>
      <c r="F31" s="21"/>
      <c r="G31" s="21" t="str">
        <f t="shared" si="2"/>
        <v/>
      </c>
      <c r="H31" s="21"/>
      <c r="I31" s="21" t="str">
        <f t="shared" si="3"/>
        <v/>
      </c>
    </row>
    <row r="32" ht="15.75" customHeight="1">
      <c r="A32" s="21" t="str">
        <f>Articles!A31</f>
        <v/>
      </c>
      <c r="B32" s="21" t="str">
        <f>Articles!B31</f>
        <v/>
      </c>
      <c r="C32" s="21" t="str">
        <f>IF(A32="","",SUMIFS(Mouvements!$G:$G,Mouvements!$E:$E,$B$3,Mouvements!$B:$B,A32,Mouvements!$F:$F,"Départ"))</f>
        <v/>
      </c>
      <c r="D32" s="21" t="str">
        <f>IF(A32="","",SUMIFS(Mouvements!$G:$G,Mouvements!$E:$E,$B$3,Mouvements!$B:$B,A32,Mouvements!$F:$F,"Retour"))</f>
        <v/>
      </c>
      <c r="E32" s="21" t="str">
        <f t="shared" si="1"/>
        <v/>
      </c>
      <c r="F32" s="21"/>
      <c r="G32" s="21" t="str">
        <f t="shared" si="2"/>
        <v/>
      </c>
      <c r="H32" s="21"/>
      <c r="I32" s="21" t="str">
        <f t="shared" si="3"/>
        <v/>
      </c>
    </row>
    <row r="33" ht="15.75" customHeight="1">
      <c r="A33" s="21" t="str">
        <f>Articles!A32</f>
        <v/>
      </c>
      <c r="B33" s="21" t="str">
        <f>Articles!B32</f>
        <v/>
      </c>
      <c r="C33" s="21" t="str">
        <f>IF(A33="","",SUMIFS(Mouvements!$G:$G,Mouvements!$E:$E,$B$3,Mouvements!$B:$B,A33,Mouvements!$F:$F,"Départ"))</f>
        <v/>
      </c>
      <c r="D33" s="21" t="str">
        <f>IF(A33="","",SUMIFS(Mouvements!$G:$G,Mouvements!$E:$E,$B$3,Mouvements!$B:$B,A33,Mouvements!$F:$F,"Retour"))</f>
        <v/>
      </c>
      <c r="E33" s="21" t="str">
        <f t="shared" si="1"/>
        <v/>
      </c>
      <c r="F33" s="21"/>
      <c r="G33" s="21" t="str">
        <f t="shared" si="2"/>
        <v/>
      </c>
      <c r="H33" s="21"/>
      <c r="I33" s="21" t="str">
        <f t="shared" si="3"/>
        <v/>
      </c>
    </row>
    <row r="34" ht="15.75" customHeight="1">
      <c r="A34" s="21" t="str">
        <f>Articles!A33</f>
        <v/>
      </c>
      <c r="B34" s="21" t="str">
        <f>Articles!B33</f>
        <v/>
      </c>
      <c r="C34" s="21" t="str">
        <f>IF(A34="","",SUMIFS(Mouvements!$G:$G,Mouvements!$E:$E,$B$3,Mouvements!$B:$B,A34,Mouvements!$F:$F,"Départ"))</f>
        <v/>
      </c>
      <c r="D34" s="21" t="str">
        <f>IF(A34="","",SUMIFS(Mouvements!$G:$G,Mouvements!$E:$E,$B$3,Mouvements!$B:$B,A34,Mouvements!$F:$F,"Retour"))</f>
        <v/>
      </c>
      <c r="E34" s="21" t="str">
        <f t="shared" si="1"/>
        <v/>
      </c>
      <c r="F34" s="21"/>
      <c r="G34" s="21" t="str">
        <f t="shared" si="2"/>
        <v/>
      </c>
      <c r="H34" s="21"/>
      <c r="I34" s="21" t="str">
        <f t="shared" si="3"/>
        <v/>
      </c>
    </row>
    <row r="35" ht="15.75" customHeight="1">
      <c r="A35" s="21" t="str">
        <f>Articles!A34</f>
        <v/>
      </c>
      <c r="B35" s="21" t="str">
        <f>Articles!B34</f>
        <v/>
      </c>
      <c r="C35" s="21" t="str">
        <f>IF(A35="","",SUMIFS(Mouvements!$G:$G,Mouvements!$E:$E,$B$3,Mouvements!$B:$B,A35,Mouvements!$F:$F,"Départ"))</f>
        <v/>
      </c>
      <c r="D35" s="21" t="str">
        <f>IF(A35="","",SUMIFS(Mouvements!$G:$G,Mouvements!$E:$E,$B$3,Mouvements!$B:$B,A35,Mouvements!$F:$F,"Retour"))</f>
        <v/>
      </c>
      <c r="E35" s="21" t="str">
        <f t="shared" si="1"/>
        <v/>
      </c>
      <c r="F35" s="21"/>
      <c r="G35" s="21" t="str">
        <f t="shared" si="2"/>
        <v/>
      </c>
      <c r="H35" s="21"/>
      <c r="I35" s="21" t="str">
        <f t="shared" si="3"/>
        <v/>
      </c>
    </row>
    <row r="36" ht="15.75" customHeight="1">
      <c r="A36" s="21" t="str">
        <f>Articles!A35</f>
        <v/>
      </c>
      <c r="B36" s="21" t="str">
        <f>Articles!B35</f>
        <v/>
      </c>
      <c r="C36" s="21" t="str">
        <f>IF(A36="","",SUMIFS(Mouvements!$G:$G,Mouvements!$E:$E,$B$3,Mouvements!$B:$B,A36,Mouvements!$F:$F,"Départ"))</f>
        <v/>
      </c>
      <c r="D36" s="21" t="str">
        <f>IF(A36="","",SUMIFS(Mouvements!$G:$G,Mouvements!$E:$E,$B$3,Mouvements!$B:$B,A36,Mouvements!$F:$F,"Retour"))</f>
        <v/>
      </c>
      <c r="E36" s="21" t="str">
        <f t="shared" si="1"/>
        <v/>
      </c>
      <c r="F36" s="21"/>
      <c r="G36" s="21" t="str">
        <f t="shared" si="2"/>
        <v/>
      </c>
      <c r="H36" s="21"/>
      <c r="I36" s="21" t="str">
        <f t="shared" si="3"/>
        <v/>
      </c>
    </row>
    <row r="37" ht="15.75" customHeight="1">
      <c r="A37" s="21" t="str">
        <f>Articles!A36</f>
        <v/>
      </c>
      <c r="B37" s="21" t="str">
        <f>Articles!B36</f>
        <v/>
      </c>
      <c r="C37" s="21" t="str">
        <f>IF(A37="","",SUMIFS(Mouvements!$G:$G,Mouvements!$E:$E,$B$3,Mouvements!$B:$B,A37,Mouvements!$F:$F,"Départ"))</f>
        <v/>
      </c>
      <c r="D37" s="21" t="str">
        <f>IF(A37="","",SUMIFS(Mouvements!$G:$G,Mouvements!$E:$E,$B$3,Mouvements!$B:$B,A37,Mouvements!$F:$F,"Retour"))</f>
        <v/>
      </c>
      <c r="E37" s="21" t="str">
        <f t="shared" si="1"/>
        <v/>
      </c>
      <c r="F37" s="21"/>
      <c r="G37" s="21" t="str">
        <f t="shared" si="2"/>
        <v/>
      </c>
      <c r="H37" s="21"/>
      <c r="I37" s="21" t="str">
        <f t="shared" si="3"/>
        <v/>
      </c>
    </row>
    <row r="38" ht="15.75" customHeight="1">
      <c r="A38" s="21" t="str">
        <f>Articles!A37</f>
        <v/>
      </c>
      <c r="B38" s="21" t="str">
        <f>Articles!B37</f>
        <v/>
      </c>
      <c r="C38" s="21" t="str">
        <f>IF(A38="","",SUMIFS(Mouvements!$G:$G,Mouvements!$E:$E,$B$3,Mouvements!$B:$B,A38,Mouvements!$F:$F,"Départ"))</f>
        <v/>
      </c>
      <c r="D38" s="21" t="str">
        <f>IF(A38="","",SUMIFS(Mouvements!$G:$G,Mouvements!$E:$E,$B$3,Mouvements!$B:$B,A38,Mouvements!$F:$F,"Retour"))</f>
        <v/>
      </c>
      <c r="E38" s="21" t="str">
        <f t="shared" si="1"/>
        <v/>
      </c>
      <c r="F38" s="21"/>
      <c r="G38" s="21" t="str">
        <f t="shared" si="2"/>
        <v/>
      </c>
      <c r="H38" s="21"/>
      <c r="I38" s="21" t="str">
        <f t="shared" si="3"/>
        <v/>
      </c>
    </row>
    <row r="39" ht="15.75" customHeight="1">
      <c r="A39" s="21" t="str">
        <f>Articles!A38</f>
        <v/>
      </c>
      <c r="B39" s="21" t="str">
        <f>Articles!B38</f>
        <v/>
      </c>
      <c r="C39" s="21" t="str">
        <f>IF(A39="","",SUMIFS(Mouvements!$G:$G,Mouvements!$E:$E,$B$3,Mouvements!$B:$B,A39,Mouvements!$F:$F,"Départ"))</f>
        <v/>
      </c>
      <c r="D39" s="21" t="str">
        <f>IF(A39="","",SUMIFS(Mouvements!$G:$G,Mouvements!$E:$E,$B$3,Mouvements!$B:$B,A39,Mouvements!$F:$F,"Retour"))</f>
        <v/>
      </c>
      <c r="E39" s="21" t="str">
        <f t="shared" si="1"/>
        <v/>
      </c>
      <c r="F39" s="21"/>
      <c r="G39" s="21" t="str">
        <f t="shared" si="2"/>
        <v/>
      </c>
      <c r="H39" s="21"/>
      <c r="I39" s="21" t="str">
        <f t="shared" si="3"/>
        <v/>
      </c>
    </row>
    <row r="40" ht="15.75" customHeight="1">
      <c r="A40" s="21" t="str">
        <f>Articles!A39</f>
        <v/>
      </c>
      <c r="B40" s="21" t="str">
        <f>Articles!B39</f>
        <v/>
      </c>
      <c r="C40" s="21" t="str">
        <f>IF(A40="","",SUMIFS(Mouvements!$G:$G,Mouvements!$E:$E,$B$3,Mouvements!$B:$B,A40,Mouvements!$F:$F,"Départ"))</f>
        <v/>
      </c>
      <c r="D40" s="21" t="str">
        <f>IF(A40="","",SUMIFS(Mouvements!$G:$G,Mouvements!$E:$E,$B$3,Mouvements!$B:$B,A40,Mouvements!$F:$F,"Retour"))</f>
        <v/>
      </c>
      <c r="E40" s="21" t="str">
        <f t="shared" si="1"/>
        <v/>
      </c>
      <c r="F40" s="21"/>
      <c r="G40" s="21" t="str">
        <f t="shared" si="2"/>
        <v/>
      </c>
      <c r="H40" s="21"/>
      <c r="I40" s="21" t="str">
        <f t="shared" si="3"/>
        <v/>
      </c>
    </row>
    <row r="41" ht="15.75" customHeight="1">
      <c r="A41" s="21" t="str">
        <f>Articles!A40</f>
        <v/>
      </c>
      <c r="B41" s="21" t="str">
        <f>Articles!B40</f>
        <v/>
      </c>
      <c r="C41" s="21" t="str">
        <f>IF(A41="","",SUMIFS(Mouvements!$G:$G,Mouvements!$E:$E,$B$3,Mouvements!$B:$B,A41,Mouvements!$F:$F,"Départ"))</f>
        <v/>
      </c>
      <c r="D41" s="21" t="str">
        <f>IF(A41="","",SUMIFS(Mouvements!$G:$G,Mouvements!$E:$E,$B$3,Mouvements!$B:$B,A41,Mouvements!$F:$F,"Retour"))</f>
        <v/>
      </c>
      <c r="E41" s="21" t="str">
        <f t="shared" si="1"/>
        <v/>
      </c>
      <c r="F41" s="21"/>
      <c r="G41" s="21" t="str">
        <f t="shared" si="2"/>
        <v/>
      </c>
      <c r="H41" s="21"/>
      <c r="I41" s="21" t="str">
        <f t="shared" si="3"/>
        <v/>
      </c>
    </row>
    <row r="42" ht="15.75" customHeight="1">
      <c r="A42" s="21" t="str">
        <f>Articles!A41</f>
        <v/>
      </c>
      <c r="B42" s="21" t="str">
        <f>Articles!B41</f>
        <v/>
      </c>
      <c r="C42" s="21" t="str">
        <f>IF(A42="","",SUMIFS(Mouvements!$G:$G,Mouvements!$E:$E,$B$3,Mouvements!$B:$B,A42,Mouvements!$F:$F,"Départ"))</f>
        <v/>
      </c>
      <c r="D42" s="21" t="str">
        <f>IF(A42="","",SUMIFS(Mouvements!$G:$G,Mouvements!$E:$E,$B$3,Mouvements!$B:$B,A42,Mouvements!$F:$F,"Retour"))</f>
        <v/>
      </c>
      <c r="E42" s="21" t="str">
        <f t="shared" si="1"/>
        <v/>
      </c>
      <c r="F42" s="21"/>
      <c r="G42" s="21" t="str">
        <f t="shared" si="2"/>
        <v/>
      </c>
      <c r="H42" s="21"/>
      <c r="I42" s="21" t="str">
        <f t="shared" si="3"/>
        <v/>
      </c>
    </row>
    <row r="43" ht="15.75" customHeight="1">
      <c r="A43" s="21" t="str">
        <f>Articles!A42</f>
        <v/>
      </c>
      <c r="B43" s="21" t="str">
        <f>Articles!B42</f>
        <v/>
      </c>
      <c r="C43" s="21" t="str">
        <f>IF(A43="","",SUMIFS(Mouvements!$G:$G,Mouvements!$E:$E,$B$3,Mouvements!$B:$B,A43,Mouvements!$F:$F,"Départ"))</f>
        <v/>
      </c>
      <c r="D43" s="21" t="str">
        <f>IF(A43="","",SUMIFS(Mouvements!$G:$G,Mouvements!$E:$E,$B$3,Mouvements!$B:$B,A43,Mouvements!$F:$F,"Retour"))</f>
        <v/>
      </c>
      <c r="E43" s="21" t="str">
        <f t="shared" si="1"/>
        <v/>
      </c>
      <c r="F43" s="21"/>
      <c r="G43" s="21" t="str">
        <f t="shared" si="2"/>
        <v/>
      </c>
      <c r="H43" s="21"/>
      <c r="I43" s="21" t="str">
        <f t="shared" si="3"/>
        <v/>
      </c>
    </row>
    <row r="44" ht="15.75" customHeight="1">
      <c r="A44" s="21" t="str">
        <f>Articles!A43</f>
        <v/>
      </c>
      <c r="B44" s="21" t="str">
        <f>Articles!B43</f>
        <v/>
      </c>
      <c r="C44" s="21" t="str">
        <f>IF(A44="","",SUMIFS(Mouvements!$G:$G,Mouvements!$E:$E,$B$3,Mouvements!$B:$B,A44,Mouvements!$F:$F,"Départ"))</f>
        <v/>
      </c>
      <c r="D44" s="21" t="str">
        <f>IF(A44="","",SUMIFS(Mouvements!$G:$G,Mouvements!$E:$E,$B$3,Mouvements!$B:$B,A44,Mouvements!$F:$F,"Retour"))</f>
        <v/>
      </c>
      <c r="E44" s="21" t="str">
        <f t="shared" si="1"/>
        <v/>
      </c>
      <c r="F44" s="21"/>
      <c r="G44" s="21" t="str">
        <f t="shared" si="2"/>
        <v/>
      </c>
      <c r="H44" s="21"/>
      <c r="I44" s="21" t="str">
        <f t="shared" si="3"/>
        <v/>
      </c>
    </row>
    <row r="45" ht="15.75" customHeight="1">
      <c r="A45" s="21" t="str">
        <f>Articles!A44</f>
        <v/>
      </c>
      <c r="B45" s="21" t="str">
        <f>Articles!B44</f>
        <v/>
      </c>
      <c r="C45" s="21" t="str">
        <f>IF(A45="","",SUMIFS(Mouvements!$G:$G,Mouvements!$E:$E,$B$3,Mouvements!$B:$B,A45,Mouvements!$F:$F,"Départ"))</f>
        <v/>
      </c>
      <c r="D45" s="21" t="str">
        <f>IF(A45="","",SUMIFS(Mouvements!$G:$G,Mouvements!$E:$E,$B$3,Mouvements!$B:$B,A45,Mouvements!$F:$F,"Retour"))</f>
        <v/>
      </c>
      <c r="E45" s="21" t="str">
        <f t="shared" si="1"/>
        <v/>
      </c>
      <c r="F45" s="21"/>
      <c r="G45" s="21" t="str">
        <f t="shared" si="2"/>
        <v/>
      </c>
      <c r="H45" s="21"/>
      <c r="I45" s="21" t="str">
        <f t="shared" si="3"/>
        <v/>
      </c>
    </row>
    <row r="46" ht="15.75" customHeight="1">
      <c r="A46" s="21" t="str">
        <f>Articles!A45</f>
        <v/>
      </c>
      <c r="B46" s="21" t="str">
        <f>Articles!B45</f>
        <v/>
      </c>
      <c r="C46" s="21" t="str">
        <f>IF(A46="","",SUMIFS(Mouvements!$G:$G,Mouvements!$E:$E,$B$3,Mouvements!$B:$B,A46,Mouvements!$F:$F,"Départ"))</f>
        <v/>
      </c>
      <c r="D46" s="21" t="str">
        <f>IF(A46="","",SUMIFS(Mouvements!$G:$G,Mouvements!$E:$E,$B$3,Mouvements!$B:$B,A46,Mouvements!$F:$F,"Retour"))</f>
        <v/>
      </c>
      <c r="E46" s="21" t="str">
        <f t="shared" si="1"/>
        <v/>
      </c>
      <c r="F46" s="21"/>
      <c r="G46" s="21" t="str">
        <f t="shared" si="2"/>
        <v/>
      </c>
      <c r="H46" s="21"/>
      <c r="I46" s="21" t="str">
        <f t="shared" si="3"/>
        <v/>
      </c>
    </row>
    <row r="47" ht="15.75" customHeight="1">
      <c r="A47" s="21" t="str">
        <f>Articles!A46</f>
        <v/>
      </c>
      <c r="B47" s="21" t="str">
        <f>Articles!B46</f>
        <v/>
      </c>
      <c r="C47" s="21" t="str">
        <f>IF(A47="","",SUMIFS(Mouvements!$G:$G,Mouvements!$E:$E,$B$3,Mouvements!$B:$B,A47,Mouvements!$F:$F,"Départ"))</f>
        <v/>
      </c>
      <c r="D47" s="21" t="str">
        <f>IF(A47="","",SUMIFS(Mouvements!$G:$G,Mouvements!$E:$E,$B$3,Mouvements!$B:$B,A47,Mouvements!$F:$F,"Retour"))</f>
        <v/>
      </c>
      <c r="E47" s="21" t="str">
        <f t="shared" si="1"/>
        <v/>
      </c>
      <c r="F47" s="21"/>
      <c r="G47" s="21" t="str">
        <f t="shared" si="2"/>
        <v/>
      </c>
      <c r="H47" s="21"/>
      <c r="I47" s="21" t="str">
        <f t="shared" si="3"/>
        <v/>
      </c>
    </row>
    <row r="48" ht="15.75" customHeight="1">
      <c r="A48" s="21" t="str">
        <f>Articles!A47</f>
        <v/>
      </c>
      <c r="B48" s="21" t="str">
        <f>Articles!B47</f>
        <v/>
      </c>
      <c r="C48" s="21" t="str">
        <f>IF(A48="","",SUMIFS(Mouvements!$G:$G,Mouvements!$E:$E,$B$3,Mouvements!$B:$B,A48,Mouvements!$F:$F,"Départ"))</f>
        <v/>
      </c>
      <c r="D48" s="21" t="str">
        <f>IF(A48="","",SUMIFS(Mouvements!$G:$G,Mouvements!$E:$E,$B$3,Mouvements!$B:$B,A48,Mouvements!$F:$F,"Retour"))</f>
        <v/>
      </c>
      <c r="E48" s="21" t="str">
        <f t="shared" si="1"/>
        <v/>
      </c>
      <c r="F48" s="21"/>
      <c r="G48" s="21" t="str">
        <f t="shared" si="2"/>
        <v/>
      </c>
      <c r="H48" s="21"/>
      <c r="I48" s="21" t="str">
        <f t="shared" si="3"/>
        <v/>
      </c>
    </row>
    <row r="49" ht="15.75" customHeight="1">
      <c r="A49" s="21" t="str">
        <f>Articles!A48</f>
        <v/>
      </c>
      <c r="B49" s="21" t="str">
        <f>Articles!B48</f>
        <v/>
      </c>
      <c r="C49" s="21" t="str">
        <f>IF(A49="","",SUMIFS(Mouvements!$G:$G,Mouvements!$E:$E,$B$3,Mouvements!$B:$B,A49,Mouvements!$F:$F,"Départ"))</f>
        <v/>
      </c>
      <c r="D49" s="21" t="str">
        <f>IF(A49="","",SUMIFS(Mouvements!$G:$G,Mouvements!$E:$E,$B$3,Mouvements!$B:$B,A49,Mouvements!$F:$F,"Retour"))</f>
        <v/>
      </c>
      <c r="E49" s="21" t="str">
        <f t="shared" si="1"/>
        <v/>
      </c>
      <c r="F49" s="21"/>
      <c r="G49" s="21" t="str">
        <f t="shared" si="2"/>
        <v/>
      </c>
      <c r="H49" s="21"/>
      <c r="I49" s="21" t="str">
        <f t="shared" si="3"/>
        <v/>
      </c>
    </row>
    <row r="50" ht="15.75" customHeight="1">
      <c r="A50" s="21" t="str">
        <f>Articles!A49</f>
        <v/>
      </c>
      <c r="B50" s="21" t="str">
        <f>Articles!B49</f>
        <v/>
      </c>
      <c r="C50" s="21" t="str">
        <f>IF(A50="","",SUMIFS(Mouvements!$G:$G,Mouvements!$E:$E,$B$3,Mouvements!$B:$B,A50,Mouvements!$F:$F,"Départ"))</f>
        <v/>
      </c>
      <c r="D50" s="21" t="str">
        <f>IF(A50="","",SUMIFS(Mouvements!$G:$G,Mouvements!$E:$E,$B$3,Mouvements!$B:$B,A50,Mouvements!$F:$F,"Retour"))</f>
        <v/>
      </c>
      <c r="E50" s="21" t="str">
        <f t="shared" si="1"/>
        <v/>
      </c>
      <c r="F50" s="21"/>
      <c r="G50" s="21" t="str">
        <f t="shared" si="2"/>
        <v/>
      </c>
      <c r="H50" s="21"/>
      <c r="I50" s="21" t="str">
        <f t="shared" si="3"/>
        <v/>
      </c>
    </row>
    <row r="51" ht="15.75" customHeight="1">
      <c r="A51" s="21" t="str">
        <f>Articles!A50</f>
        <v/>
      </c>
      <c r="B51" s="21" t="str">
        <f>Articles!B50</f>
        <v/>
      </c>
      <c r="C51" s="21" t="str">
        <f>IF(A51="","",SUMIFS(Mouvements!$G:$G,Mouvements!$E:$E,$B$3,Mouvements!$B:$B,A51,Mouvements!$F:$F,"Départ"))</f>
        <v/>
      </c>
      <c r="D51" s="21" t="str">
        <f>IF(A51="","",SUMIFS(Mouvements!$G:$G,Mouvements!$E:$E,$B$3,Mouvements!$B:$B,A51,Mouvements!$F:$F,"Retour"))</f>
        <v/>
      </c>
      <c r="E51" s="21" t="str">
        <f t="shared" si="1"/>
        <v/>
      </c>
      <c r="F51" s="21"/>
      <c r="G51" s="21" t="str">
        <f t="shared" si="2"/>
        <v/>
      </c>
      <c r="H51" s="21"/>
      <c r="I51" s="21" t="str">
        <f t="shared" si="3"/>
        <v/>
      </c>
    </row>
    <row r="52" ht="15.75" customHeight="1">
      <c r="A52" s="21" t="str">
        <f>Articles!A51</f>
        <v/>
      </c>
      <c r="B52" s="21" t="str">
        <f>Articles!B51</f>
        <v/>
      </c>
      <c r="C52" s="21" t="str">
        <f>IF(A52="","",SUMIFS(Mouvements!$G:$G,Mouvements!$E:$E,$B$3,Mouvements!$B:$B,A52,Mouvements!$F:$F,"Départ"))</f>
        <v/>
      </c>
      <c r="D52" s="21" t="str">
        <f>IF(A52="","",SUMIFS(Mouvements!$G:$G,Mouvements!$E:$E,$B$3,Mouvements!$B:$B,A52,Mouvements!$F:$F,"Retour"))</f>
        <v/>
      </c>
      <c r="E52" s="21" t="str">
        <f t="shared" si="1"/>
        <v/>
      </c>
      <c r="F52" s="21"/>
      <c r="G52" s="21" t="str">
        <f t="shared" si="2"/>
        <v/>
      </c>
      <c r="H52" s="21"/>
      <c r="I52" s="21" t="str">
        <f t="shared" si="3"/>
        <v/>
      </c>
    </row>
    <row r="53" ht="15.75" customHeight="1">
      <c r="A53" s="21" t="str">
        <f>Articles!A52</f>
        <v/>
      </c>
      <c r="B53" s="21" t="str">
        <f>Articles!B52</f>
        <v/>
      </c>
      <c r="C53" s="21" t="str">
        <f>IF(A53="","",SUMIFS(Mouvements!$G:$G,Mouvements!$E:$E,$B$3,Mouvements!$B:$B,A53,Mouvements!$F:$F,"Départ"))</f>
        <v/>
      </c>
      <c r="D53" s="21" t="str">
        <f>IF(A53="","",SUMIFS(Mouvements!$G:$G,Mouvements!$E:$E,$B$3,Mouvements!$B:$B,A53,Mouvements!$F:$F,"Retour"))</f>
        <v/>
      </c>
      <c r="E53" s="21" t="str">
        <f t="shared" si="1"/>
        <v/>
      </c>
      <c r="F53" s="21"/>
      <c r="G53" s="21" t="str">
        <f t="shared" si="2"/>
        <v/>
      </c>
      <c r="H53" s="21"/>
      <c r="I53" s="21" t="str">
        <f t="shared" si="3"/>
        <v/>
      </c>
    </row>
    <row r="54" ht="15.75" customHeight="1">
      <c r="A54" s="21" t="str">
        <f>Articles!A53</f>
        <v/>
      </c>
      <c r="B54" s="21" t="str">
        <f>Articles!B53</f>
        <v/>
      </c>
      <c r="C54" s="21" t="str">
        <f>IF(A54="","",SUMIFS(Mouvements!$G:$G,Mouvements!$E:$E,$B$3,Mouvements!$B:$B,A54,Mouvements!$F:$F,"Départ"))</f>
        <v/>
      </c>
      <c r="D54" s="21" t="str">
        <f>IF(A54="","",SUMIFS(Mouvements!$G:$G,Mouvements!$E:$E,$B$3,Mouvements!$B:$B,A54,Mouvements!$F:$F,"Retour"))</f>
        <v/>
      </c>
      <c r="E54" s="21" t="str">
        <f t="shared" si="1"/>
        <v/>
      </c>
      <c r="F54" s="21"/>
      <c r="G54" s="21" t="str">
        <f t="shared" si="2"/>
        <v/>
      </c>
      <c r="H54" s="21"/>
      <c r="I54" s="21" t="str">
        <f t="shared" si="3"/>
        <v/>
      </c>
    </row>
    <row r="55" ht="15.75" customHeight="1">
      <c r="A55" s="21" t="str">
        <f>Articles!A54</f>
        <v/>
      </c>
      <c r="B55" s="21" t="str">
        <f>Articles!B54</f>
        <v/>
      </c>
      <c r="C55" s="21" t="str">
        <f>IF(A55="","",SUMIFS(Mouvements!$G:$G,Mouvements!$E:$E,$B$3,Mouvements!$B:$B,A55,Mouvements!$F:$F,"Départ"))</f>
        <v/>
      </c>
      <c r="D55" s="21" t="str">
        <f>IF(A55="","",SUMIFS(Mouvements!$G:$G,Mouvements!$E:$E,$B$3,Mouvements!$B:$B,A55,Mouvements!$F:$F,"Retour"))</f>
        <v/>
      </c>
      <c r="E55" s="21" t="str">
        <f t="shared" si="1"/>
        <v/>
      </c>
      <c r="F55" s="21"/>
      <c r="G55" s="21" t="str">
        <f t="shared" si="2"/>
        <v/>
      </c>
      <c r="H55" s="21"/>
      <c r="I55" s="21" t="str">
        <f t="shared" si="3"/>
        <v/>
      </c>
    </row>
    <row r="56" ht="15.75" customHeight="1">
      <c r="A56" s="21" t="str">
        <f>Articles!A55</f>
        <v/>
      </c>
      <c r="B56" s="21" t="str">
        <f>Articles!B55</f>
        <v/>
      </c>
      <c r="C56" s="21" t="str">
        <f>IF(A56="","",SUMIFS(Mouvements!$G:$G,Mouvements!$E:$E,$B$3,Mouvements!$B:$B,A56,Mouvements!$F:$F,"Départ"))</f>
        <v/>
      </c>
      <c r="D56" s="21" t="str">
        <f>IF(A56="","",SUMIFS(Mouvements!$G:$G,Mouvements!$E:$E,$B$3,Mouvements!$B:$B,A56,Mouvements!$F:$F,"Retour"))</f>
        <v/>
      </c>
      <c r="E56" s="21" t="str">
        <f t="shared" si="1"/>
        <v/>
      </c>
      <c r="F56" s="21"/>
      <c r="G56" s="21" t="str">
        <f t="shared" si="2"/>
        <v/>
      </c>
      <c r="H56" s="21"/>
      <c r="I56" s="21" t="str">
        <f t="shared" si="3"/>
        <v/>
      </c>
    </row>
    <row r="57" ht="15.75" customHeight="1">
      <c r="A57" s="21" t="str">
        <f>Articles!A56</f>
        <v/>
      </c>
      <c r="B57" s="21" t="str">
        <f>Articles!B56</f>
        <v/>
      </c>
      <c r="C57" s="21" t="str">
        <f>IF(A57="","",SUMIFS(Mouvements!$G:$G,Mouvements!$E:$E,$B$3,Mouvements!$B:$B,A57,Mouvements!$F:$F,"Départ"))</f>
        <v/>
      </c>
      <c r="D57" s="21" t="str">
        <f>IF(A57="","",SUMIFS(Mouvements!$G:$G,Mouvements!$E:$E,$B$3,Mouvements!$B:$B,A57,Mouvements!$F:$F,"Retour"))</f>
        <v/>
      </c>
      <c r="E57" s="21" t="str">
        <f t="shared" si="1"/>
        <v/>
      </c>
      <c r="F57" s="21"/>
      <c r="G57" s="21" t="str">
        <f t="shared" si="2"/>
        <v/>
      </c>
      <c r="H57" s="21"/>
      <c r="I57" s="21" t="str">
        <f t="shared" si="3"/>
        <v/>
      </c>
    </row>
    <row r="58" ht="15.75" customHeight="1">
      <c r="A58" s="21" t="str">
        <f>Articles!A57</f>
        <v/>
      </c>
      <c r="B58" s="21" t="str">
        <f>Articles!B57</f>
        <v/>
      </c>
      <c r="C58" s="21" t="str">
        <f>IF(A58="","",SUMIFS(Mouvements!$G:$G,Mouvements!$E:$E,$B$3,Mouvements!$B:$B,A58,Mouvements!$F:$F,"Départ"))</f>
        <v/>
      </c>
      <c r="D58" s="21" t="str">
        <f>IF(A58="","",SUMIFS(Mouvements!$G:$G,Mouvements!$E:$E,$B$3,Mouvements!$B:$B,A58,Mouvements!$F:$F,"Retour"))</f>
        <v/>
      </c>
      <c r="E58" s="21" t="str">
        <f t="shared" si="1"/>
        <v/>
      </c>
      <c r="F58" s="21"/>
      <c r="G58" s="21" t="str">
        <f t="shared" si="2"/>
        <v/>
      </c>
      <c r="H58" s="21"/>
      <c r="I58" s="21" t="str">
        <f t="shared" si="3"/>
        <v/>
      </c>
    </row>
    <row r="59" ht="15.75" customHeight="1">
      <c r="A59" s="21" t="str">
        <f>Articles!A58</f>
        <v/>
      </c>
      <c r="B59" s="21" t="str">
        <f>Articles!B58</f>
        <v/>
      </c>
      <c r="C59" s="21" t="str">
        <f>IF(A59="","",SUMIFS(Mouvements!$G:$G,Mouvements!$E:$E,$B$3,Mouvements!$B:$B,A59,Mouvements!$F:$F,"Départ"))</f>
        <v/>
      </c>
      <c r="D59" s="21" t="str">
        <f>IF(A59="","",SUMIFS(Mouvements!$G:$G,Mouvements!$E:$E,$B$3,Mouvements!$B:$B,A59,Mouvements!$F:$F,"Retour"))</f>
        <v/>
      </c>
      <c r="E59" s="21" t="str">
        <f t="shared" si="1"/>
        <v/>
      </c>
      <c r="F59" s="21"/>
      <c r="G59" s="21" t="str">
        <f t="shared" si="2"/>
        <v/>
      </c>
      <c r="H59" s="21"/>
      <c r="I59" s="21" t="str">
        <f t="shared" si="3"/>
        <v/>
      </c>
    </row>
    <row r="60" ht="15.75" customHeight="1">
      <c r="A60" s="21" t="str">
        <f>Articles!A59</f>
        <v/>
      </c>
      <c r="B60" s="21" t="str">
        <f>Articles!B59</f>
        <v/>
      </c>
      <c r="C60" s="21" t="str">
        <f>IF(A60="","",SUMIFS(Mouvements!$G:$G,Mouvements!$E:$E,$B$3,Mouvements!$B:$B,A60,Mouvements!$F:$F,"Départ"))</f>
        <v/>
      </c>
      <c r="D60" s="21" t="str">
        <f>IF(A60="","",SUMIFS(Mouvements!$G:$G,Mouvements!$E:$E,$B$3,Mouvements!$B:$B,A60,Mouvements!$F:$F,"Retour"))</f>
        <v/>
      </c>
      <c r="E60" s="21" t="str">
        <f t="shared" si="1"/>
        <v/>
      </c>
      <c r="F60" s="21"/>
      <c r="G60" s="21" t="str">
        <f t="shared" si="2"/>
        <v/>
      </c>
      <c r="H60" s="21"/>
      <c r="I60" s="21" t="str">
        <f t="shared" si="3"/>
        <v/>
      </c>
    </row>
    <row r="61" ht="15.75" customHeight="1">
      <c r="A61" s="21" t="str">
        <f>Articles!A60</f>
        <v/>
      </c>
      <c r="B61" s="21" t="str">
        <f>Articles!B60</f>
        <v/>
      </c>
      <c r="C61" s="21" t="str">
        <f>IF(A61="","",SUMIFS(Mouvements!$G:$G,Mouvements!$E:$E,$B$3,Mouvements!$B:$B,A61,Mouvements!$F:$F,"Départ"))</f>
        <v/>
      </c>
      <c r="D61" s="21" t="str">
        <f>IF(A61="","",SUMIFS(Mouvements!$G:$G,Mouvements!$E:$E,$B$3,Mouvements!$B:$B,A61,Mouvements!$F:$F,"Retour"))</f>
        <v/>
      </c>
      <c r="E61" s="21" t="str">
        <f t="shared" si="1"/>
        <v/>
      </c>
      <c r="F61" s="21"/>
      <c r="G61" s="21" t="str">
        <f t="shared" si="2"/>
        <v/>
      </c>
      <c r="H61" s="21"/>
      <c r="I61" s="21" t="str">
        <f t="shared" si="3"/>
        <v/>
      </c>
    </row>
    <row r="62" ht="15.75" customHeight="1">
      <c r="A62" s="21" t="str">
        <f>Articles!A61</f>
        <v/>
      </c>
      <c r="B62" s="21" t="str">
        <f>Articles!B61</f>
        <v/>
      </c>
      <c r="C62" s="21" t="str">
        <f>IF(A62="","",SUMIFS(Mouvements!$G:$G,Mouvements!$E:$E,$B$3,Mouvements!$B:$B,A62,Mouvements!$F:$F,"Départ"))</f>
        <v/>
      </c>
      <c r="D62" s="21" t="str">
        <f>IF(A62="","",SUMIFS(Mouvements!$G:$G,Mouvements!$E:$E,$B$3,Mouvements!$B:$B,A62,Mouvements!$F:$F,"Retour"))</f>
        <v/>
      </c>
      <c r="E62" s="21" t="str">
        <f t="shared" si="1"/>
        <v/>
      </c>
      <c r="F62" s="21"/>
      <c r="G62" s="21" t="str">
        <f t="shared" si="2"/>
        <v/>
      </c>
      <c r="H62" s="21"/>
      <c r="I62" s="21" t="str">
        <f t="shared" si="3"/>
        <v/>
      </c>
    </row>
    <row r="63" ht="15.75" customHeight="1">
      <c r="A63" s="21" t="str">
        <f>Articles!A62</f>
        <v/>
      </c>
      <c r="B63" s="21" t="str">
        <f>Articles!B62</f>
        <v/>
      </c>
      <c r="C63" s="21" t="str">
        <f>IF(A63="","",SUMIFS(Mouvements!$G:$G,Mouvements!$E:$E,$B$3,Mouvements!$B:$B,A63,Mouvements!$F:$F,"Départ"))</f>
        <v/>
      </c>
      <c r="D63" s="21" t="str">
        <f>IF(A63="","",SUMIFS(Mouvements!$G:$G,Mouvements!$E:$E,$B$3,Mouvements!$B:$B,A63,Mouvements!$F:$F,"Retour"))</f>
        <v/>
      </c>
      <c r="E63" s="21" t="str">
        <f t="shared" si="1"/>
        <v/>
      </c>
      <c r="F63" s="21"/>
      <c r="G63" s="21" t="str">
        <f t="shared" si="2"/>
        <v/>
      </c>
      <c r="H63" s="21"/>
      <c r="I63" s="21" t="str">
        <f t="shared" si="3"/>
        <v/>
      </c>
    </row>
    <row r="64" ht="15.75" customHeight="1">
      <c r="A64" s="21" t="str">
        <f>Articles!A63</f>
        <v/>
      </c>
      <c r="B64" s="21" t="str">
        <f>Articles!B63</f>
        <v/>
      </c>
      <c r="C64" s="21" t="str">
        <f>IF(A64="","",SUMIFS(Mouvements!$G:$G,Mouvements!$E:$E,$B$3,Mouvements!$B:$B,A64,Mouvements!$F:$F,"Départ"))</f>
        <v/>
      </c>
      <c r="D64" s="21" t="str">
        <f>IF(A64="","",SUMIFS(Mouvements!$G:$G,Mouvements!$E:$E,$B$3,Mouvements!$B:$B,A64,Mouvements!$F:$F,"Retour"))</f>
        <v/>
      </c>
      <c r="E64" s="21" t="str">
        <f t="shared" si="1"/>
        <v/>
      </c>
      <c r="F64" s="21"/>
      <c r="G64" s="21" t="str">
        <f t="shared" si="2"/>
        <v/>
      </c>
      <c r="H64" s="21"/>
      <c r="I64" s="21" t="str">
        <f t="shared" si="3"/>
        <v/>
      </c>
    </row>
    <row r="65" ht="15.75" customHeight="1">
      <c r="A65" s="21" t="str">
        <f>Articles!A64</f>
        <v/>
      </c>
      <c r="B65" s="21" t="str">
        <f>Articles!B64</f>
        <v/>
      </c>
      <c r="C65" s="21" t="str">
        <f>IF(A65="","",SUMIFS(Mouvements!$G:$G,Mouvements!$E:$E,$B$3,Mouvements!$B:$B,A65,Mouvements!$F:$F,"Départ"))</f>
        <v/>
      </c>
      <c r="D65" s="21" t="str">
        <f>IF(A65="","",SUMIFS(Mouvements!$G:$G,Mouvements!$E:$E,$B$3,Mouvements!$B:$B,A65,Mouvements!$F:$F,"Retour"))</f>
        <v/>
      </c>
      <c r="E65" s="21" t="str">
        <f t="shared" si="1"/>
        <v/>
      </c>
      <c r="F65" s="21"/>
      <c r="G65" s="21" t="str">
        <f t="shared" si="2"/>
        <v/>
      </c>
      <c r="H65" s="21"/>
      <c r="I65" s="21" t="str">
        <f t="shared" si="3"/>
        <v/>
      </c>
    </row>
    <row r="66" ht="15.75" customHeight="1">
      <c r="A66" s="21" t="str">
        <f>Articles!A65</f>
        <v/>
      </c>
      <c r="B66" s="21" t="str">
        <f>Articles!B65</f>
        <v/>
      </c>
      <c r="C66" s="21" t="str">
        <f>IF(A66="","",SUMIFS(Mouvements!$G:$G,Mouvements!$E:$E,$B$3,Mouvements!$B:$B,A66,Mouvements!$F:$F,"Départ"))</f>
        <v/>
      </c>
      <c r="D66" s="21" t="str">
        <f>IF(A66="","",SUMIFS(Mouvements!$G:$G,Mouvements!$E:$E,$B$3,Mouvements!$B:$B,A66,Mouvements!$F:$F,"Retour"))</f>
        <v/>
      </c>
      <c r="E66" s="21" t="str">
        <f t="shared" si="1"/>
        <v/>
      </c>
      <c r="F66" s="21"/>
      <c r="G66" s="21" t="str">
        <f t="shared" si="2"/>
        <v/>
      </c>
      <c r="H66" s="21"/>
      <c r="I66" s="21" t="str">
        <f t="shared" si="3"/>
        <v/>
      </c>
    </row>
    <row r="67" ht="15.75" customHeight="1">
      <c r="A67" s="21" t="str">
        <f>Articles!A66</f>
        <v/>
      </c>
      <c r="B67" s="21" t="str">
        <f>Articles!B66</f>
        <v/>
      </c>
      <c r="C67" s="21" t="str">
        <f>IF(A67="","",SUMIFS(Mouvements!$G:$G,Mouvements!$E:$E,$B$3,Mouvements!$B:$B,A67,Mouvements!$F:$F,"Départ"))</f>
        <v/>
      </c>
      <c r="D67" s="21" t="str">
        <f>IF(A67="","",SUMIFS(Mouvements!$G:$G,Mouvements!$E:$E,$B$3,Mouvements!$B:$B,A67,Mouvements!$F:$F,"Retour"))</f>
        <v/>
      </c>
      <c r="E67" s="21" t="str">
        <f t="shared" si="1"/>
        <v/>
      </c>
      <c r="F67" s="21"/>
      <c r="G67" s="21" t="str">
        <f t="shared" si="2"/>
        <v/>
      </c>
      <c r="H67" s="21"/>
      <c r="I67" s="21" t="str">
        <f t="shared" si="3"/>
        <v/>
      </c>
    </row>
    <row r="68" ht="15.75" customHeight="1">
      <c r="A68" s="21" t="str">
        <f>Articles!A67</f>
        <v/>
      </c>
      <c r="B68" s="21" t="str">
        <f>Articles!B67</f>
        <v/>
      </c>
      <c r="C68" s="21" t="str">
        <f>IF(A68="","",SUMIFS(Mouvements!$G:$G,Mouvements!$E:$E,$B$3,Mouvements!$B:$B,A68,Mouvements!$F:$F,"Départ"))</f>
        <v/>
      </c>
      <c r="D68" s="21" t="str">
        <f>IF(A68="","",SUMIFS(Mouvements!$G:$G,Mouvements!$E:$E,$B$3,Mouvements!$B:$B,A68,Mouvements!$F:$F,"Retour"))</f>
        <v/>
      </c>
      <c r="E68" s="21" t="str">
        <f t="shared" si="1"/>
        <v/>
      </c>
      <c r="F68" s="21"/>
      <c r="G68" s="21" t="str">
        <f t="shared" si="2"/>
        <v/>
      </c>
      <c r="H68" s="21"/>
      <c r="I68" s="21" t="str">
        <f t="shared" si="3"/>
        <v/>
      </c>
    </row>
    <row r="69" ht="15.75" customHeight="1">
      <c r="A69" s="21" t="str">
        <f>Articles!A68</f>
        <v/>
      </c>
      <c r="B69" s="21" t="str">
        <f>Articles!B68</f>
        <v/>
      </c>
      <c r="C69" s="21" t="str">
        <f>IF(A69="","",SUMIFS(Mouvements!$G:$G,Mouvements!$E:$E,$B$3,Mouvements!$B:$B,A69,Mouvements!$F:$F,"Départ"))</f>
        <v/>
      </c>
      <c r="D69" s="21" t="str">
        <f>IF(A69="","",SUMIFS(Mouvements!$G:$G,Mouvements!$E:$E,$B$3,Mouvements!$B:$B,A69,Mouvements!$F:$F,"Retour"))</f>
        <v/>
      </c>
      <c r="E69" s="21" t="str">
        <f t="shared" si="1"/>
        <v/>
      </c>
      <c r="F69" s="21"/>
      <c r="G69" s="21" t="str">
        <f t="shared" si="2"/>
        <v/>
      </c>
      <c r="H69" s="21"/>
      <c r="I69" s="21" t="str">
        <f t="shared" si="3"/>
        <v/>
      </c>
    </row>
    <row r="70" ht="15.75" customHeight="1">
      <c r="A70" s="21" t="str">
        <f>Articles!A69</f>
        <v/>
      </c>
      <c r="B70" s="21" t="str">
        <f>Articles!B69</f>
        <v/>
      </c>
      <c r="C70" s="21" t="str">
        <f>IF(A70="","",SUMIFS(Mouvements!$G:$G,Mouvements!$E:$E,$B$3,Mouvements!$B:$B,A70,Mouvements!$F:$F,"Départ"))</f>
        <v/>
      </c>
      <c r="D70" s="21" t="str">
        <f>IF(A70="","",SUMIFS(Mouvements!$G:$G,Mouvements!$E:$E,$B$3,Mouvements!$B:$B,A70,Mouvements!$F:$F,"Retour"))</f>
        <v/>
      </c>
      <c r="E70" s="21" t="str">
        <f t="shared" si="1"/>
        <v/>
      </c>
      <c r="F70" s="21"/>
      <c r="G70" s="21" t="str">
        <f t="shared" si="2"/>
        <v/>
      </c>
      <c r="H70" s="21"/>
      <c r="I70" s="21" t="str">
        <f t="shared" si="3"/>
        <v/>
      </c>
    </row>
    <row r="71" ht="15.75" customHeight="1">
      <c r="A71" s="21" t="str">
        <f>Articles!A70</f>
        <v/>
      </c>
      <c r="B71" s="21" t="str">
        <f>Articles!B70</f>
        <v/>
      </c>
      <c r="C71" s="21" t="str">
        <f>IF(A71="","",SUMIFS(Mouvements!$G:$G,Mouvements!$E:$E,$B$3,Mouvements!$B:$B,A71,Mouvements!$F:$F,"Départ"))</f>
        <v/>
      </c>
      <c r="D71" s="21" t="str">
        <f>IF(A71="","",SUMIFS(Mouvements!$G:$G,Mouvements!$E:$E,$B$3,Mouvements!$B:$B,A71,Mouvements!$F:$F,"Retour"))</f>
        <v/>
      </c>
      <c r="E71" s="21" t="str">
        <f t="shared" si="1"/>
        <v/>
      </c>
      <c r="F71" s="21"/>
      <c r="G71" s="21" t="str">
        <f t="shared" si="2"/>
        <v/>
      </c>
      <c r="H71" s="21"/>
      <c r="I71" s="21" t="str">
        <f t="shared" si="3"/>
        <v/>
      </c>
    </row>
    <row r="72" ht="15.75" customHeight="1">
      <c r="A72" s="21" t="str">
        <f>Articles!A71</f>
        <v/>
      </c>
      <c r="B72" s="21" t="str">
        <f>Articles!B71</f>
        <v/>
      </c>
      <c r="C72" s="21" t="str">
        <f>IF(A72="","",SUMIFS(Mouvements!$G:$G,Mouvements!$E:$E,$B$3,Mouvements!$B:$B,A72,Mouvements!$F:$F,"Départ"))</f>
        <v/>
      </c>
      <c r="D72" s="21" t="str">
        <f>IF(A72="","",SUMIFS(Mouvements!$G:$G,Mouvements!$E:$E,$B$3,Mouvements!$B:$B,A72,Mouvements!$F:$F,"Retour"))</f>
        <v/>
      </c>
      <c r="E72" s="21" t="str">
        <f t="shared" si="1"/>
        <v/>
      </c>
      <c r="F72" s="21"/>
      <c r="G72" s="21" t="str">
        <f t="shared" si="2"/>
        <v/>
      </c>
      <c r="H72" s="21"/>
      <c r="I72" s="21" t="str">
        <f t="shared" si="3"/>
        <v/>
      </c>
    </row>
    <row r="73" ht="15.75" customHeight="1">
      <c r="A73" s="21" t="str">
        <f>Articles!A72</f>
        <v/>
      </c>
      <c r="B73" s="21" t="str">
        <f>Articles!B72</f>
        <v/>
      </c>
      <c r="C73" s="21" t="str">
        <f>IF(A73="","",SUMIFS(Mouvements!$G:$G,Mouvements!$E:$E,$B$3,Mouvements!$B:$B,A73,Mouvements!$F:$F,"Départ"))</f>
        <v/>
      </c>
      <c r="D73" s="21" t="str">
        <f>IF(A73="","",SUMIFS(Mouvements!$G:$G,Mouvements!$E:$E,$B$3,Mouvements!$B:$B,A73,Mouvements!$F:$F,"Retour"))</f>
        <v/>
      </c>
      <c r="E73" s="21" t="str">
        <f t="shared" si="1"/>
        <v/>
      </c>
      <c r="F73" s="21"/>
      <c r="G73" s="21" t="str">
        <f t="shared" si="2"/>
        <v/>
      </c>
      <c r="H73" s="21"/>
      <c r="I73" s="21" t="str">
        <f t="shared" si="3"/>
        <v/>
      </c>
    </row>
    <row r="74" ht="15.75" customHeight="1">
      <c r="A74" s="21" t="str">
        <f>Articles!A73</f>
        <v/>
      </c>
      <c r="B74" s="21" t="str">
        <f>Articles!B73</f>
        <v/>
      </c>
      <c r="C74" s="21" t="str">
        <f>IF(A74="","",SUMIFS(Mouvements!$G:$G,Mouvements!$E:$E,$B$3,Mouvements!$B:$B,A74,Mouvements!$F:$F,"Départ"))</f>
        <v/>
      </c>
      <c r="D74" s="21" t="str">
        <f>IF(A74="","",SUMIFS(Mouvements!$G:$G,Mouvements!$E:$E,$B$3,Mouvements!$B:$B,A74,Mouvements!$F:$F,"Retour"))</f>
        <v/>
      </c>
      <c r="E74" s="21" t="str">
        <f t="shared" si="1"/>
        <v/>
      </c>
      <c r="F74" s="21"/>
      <c r="G74" s="21" t="str">
        <f t="shared" si="2"/>
        <v/>
      </c>
      <c r="H74" s="21"/>
      <c r="I74" s="21" t="str">
        <f t="shared" si="3"/>
        <v/>
      </c>
    </row>
    <row r="75" ht="15.75" customHeight="1">
      <c r="A75" s="21" t="str">
        <f>Articles!A74</f>
        <v/>
      </c>
      <c r="B75" s="21" t="str">
        <f>Articles!B74</f>
        <v/>
      </c>
      <c r="C75" s="21" t="str">
        <f>IF(A75="","",SUMIFS(Mouvements!$G:$G,Mouvements!$E:$E,$B$3,Mouvements!$B:$B,A75,Mouvements!$F:$F,"Départ"))</f>
        <v/>
      </c>
      <c r="D75" s="21" t="str">
        <f>IF(A75="","",SUMIFS(Mouvements!$G:$G,Mouvements!$E:$E,$B$3,Mouvements!$B:$B,A75,Mouvements!$F:$F,"Retour"))</f>
        <v/>
      </c>
      <c r="E75" s="21" t="str">
        <f t="shared" si="1"/>
        <v/>
      </c>
      <c r="F75" s="21"/>
      <c r="G75" s="21" t="str">
        <f t="shared" si="2"/>
        <v/>
      </c>
      <c r="H75" s="21"/>
      <c r="I75" s="21" t="str">
        <f t="shared" si="3"/>
        <v/>
      </c>
    </row>
    <row r="76" ht="15.75" customHeight="1">
      <c r="A76" s="21" t="str">
        <f>Articles!A75</f>
        <v/>
      </c>
      <c r="B76" s="21" t="str">
        <f>Articles!B75</f>
        <v/>
      </c>
      <c r="C76" s="21" t="str">
        <f>IF(A76="","",SUMIFS(Mouvements!$G:$G,Mouvements!$E:$E,$B$3,Mouvements!$B:$B,A76,Mouvements!$F:$F,"Départ"))</f>
        <v/>
      </c>
      <c r="D76" s="21" t="str">
        <f>IF(A76="","",SUMIFS(Mouvements!$G:$G,Mouvements!$E:$E,$B$3,Mouvements!$B:$B,A76,Mouvements!$F:$F,"Retour"))</f>
        <v/>
      </c>
      <c r="E76" s="21" t="str">
        <f t="shared" si="1"/>
        <v/>
      </c>
      <c r="F76" s="21"/>
      <c r="G76" s="21" t="str">
        <f t="shared" si="2"/>
        <v/>
      </c>
      <c r="H76" s="21"/>
      <c r="I76" s="21" t="str">
        <f t="shared" si="3"/>
        <v/>
      </c>
    </row>
    <row r="77" ht="15.75" customHeight="1">
      <c r="A77" s="21" t="str">
        <f>Articles!A76</f>
        <v/>
      </c>
      <c r="B77" s="21" t="str">
        <f>Articles!B76</f>
        <v/>
      </c>
      <c r="C77" s="21" t="str">
        <f>IF(A77="","",SUMIFS(Mouvements!$G:$G,Mouvements!$E:$E,$B$3,Mouvements!$B:$B,A77,Mouvements!$F:$F,"Départ"))</f>
        <v/>
      </c>
      <c r="D77" s="21" t="str">
        <f>IF(A77="","",SUMIFS(Mouvements!$G:$G,Mouvements!$E:$E,$B$3,Mouvements!$B:$B,A77,Mouvements!$F:$F,"Retour"))</f>
        <v/>
      </c>
      <c r="E77" s="21" t="str">
        <f t="shared" si="1"/>
        <v/>
      </c>
      <c r="F77" s="21"/>
      <c r="G77" s="21" t="str">
        <f t="shared" si="2"/>
        <v/>
      </c>
      <c r="H77" s="21"/>
      <c r="I77" s="21" t="str">
        <f t="shared" si="3"/>
        <v/>
      </c>
    </row>
    <row r="78" ht="15.75" customHeight="1">
      <c r="A78" s="21" t="str">
        <f>Articles!A77</f>
        <v/>
      </c>
      <c r="B78" s="21" t="str">
        <f>Articles!B77</f>
        <v/>
      </c>
      <c r="C78" s="21" t="str">
        <f>IF(A78="","",SUMIFS(Mouvements!$G:$G,Mouvements!$E:$E,$B$3,Mouvements!$B:$B,A78,Mouvements!$F:$F,"Départ"))</f>
        <v/>
      </c>
      <c r="D78" s="21" t="str">
        <f>IF(A78="","",SUMIFS(Mouvements!$G:$G,Mouvements!$E:$E,$B$3,Mouvements!$B:$B,A78,Mouvements!$F:$F,"Retour"))</f>
        <v/>
      </c>
      <c r="E78" s="21" t="str">
        <f t="shared" si="1"/>
        <v/>
      </c>
      <c r="F78" s="21"/>
      <c r="G78" s="21" t="str">
        <f t="shared" si="2"/>
        <v/>
      </c>
      <c r="H78" s="21"/>
      <c r="I78" s="21" t="str">
        <f t="shared" si="3"/>
        <v/>
      </c>
    </row>
    <row r="79" ht="15.75" customHeight="1">
      <c r="A79" s="21" t="str">
        <f>Articles!A78</f>
        <v/>
      </c>
      <c r="B79" s="21" t="str">
        <f>Articles!B78</f>
        <v/>
      </c>
      <c r="C79" s="21" t="str">
        <f>IF(A79="","",SUMIFS(Mouvements!$G:$G,Mouvements!$E:$E,$B$3,Mouvements!$B:$B,A79,Mouvements!$F:$F,"Départ"))</f>
        <v/>
      </c>
      <c r="D79" s="21" t="str">
        <f>IF(A79="","",SUMIFS(Mouvements!$G:$G,Mouvements!$E:$E,$B$3,Mouvements!$B:$B,A79,Mouvements!$F:$F,"Retour"))</f>
        <v/>
      </c>
      <c r="E79" s="21" t="str">
        <f t="shared" si="1"/>
        <v/>
      </c>
      <c r="F79" s="21"/>
      <c r="G79" s="21" t="str">
        <f t="shared" si="2"/>
        <v/>
      </c>
      <c r="H79" s="21"/>
      <c r="I79" s="21" t="str">
        <f t="shared" si="3"/>
        <v/>
      </c>
    </row>
    <row r="80" ht="15.75" customHeight="1">
      <c r="A80" s="21" t="str">
        <f>Articles!A79</f>
        <v/>
      </c>
      <c r="B80" s="21" t="str">
        <f>Articles!B79</f>
        <v/>
      </c>
      <c r="C80" s="21" t="str">
        <f>IF(A80="","",SUMIFS(Mouvements!$G:$G,Mouvements!$E:$E,$B$3,Mouvements!$B:$B,A80,Mouvements!$F:$F,"Départ"))</f>
        <v/>
      </c>
      <c r="D80" s="21" t="str">
        <f>IF(A80="","",SUMIFS(Mouvements!$G:$G,Mouvements!$E:$E,$B$3,Mouvements!$B:$B,A80,Mouvements!$F:$F,"Retour"))</f>
        <v/>
      </c>
      <c r="E80" s="21" t="str">
        <f t="shared" si="1"/>
        <v/>
      </c>
      <c r="F80" s="21"/>
      <c r="G80" s="21" t="str">
        <f t="shared" si="2"/>
        <v/>
      </c>
      <c r="H80" s="21"/>
      <c r="I80" s="21" t="str">
        <f t="shared" si="3"/>
        <v/>
      </c>
    </row>
    <row r="81" ht="15.75" customHeight="1">
      <c r="A81" s="21" t="str">
        <f>Articles!A80</f>
        <v/>
      </c>
      <c r="B81" s="21" t="str">
        <f>Articles!B80</f>
        <v/>
      </c>
      <c r="C81" s="21" t="str">
        <f>IF(A81="","",SUMIFS(Mouvements!$G:$G,Mouvements!$E:$E,$B$3,Mouvements!$B:$B,A81,Mouvements!$F:$F,"Départ"))</f>
        <v/>
      </c>
      <c r="D81" s="21" t="str">
        <f>IF(A81="","",SUMIFS(Mouvements!$G:$G,Mouvements!$E:$E,$B$3,Mouvements!$B:$B,A81,Mouvements!$F:$F,"Retour"))</f>
        <v/>
      </c>
      <c r="E81" s="21" t="str">
        <f t="shared" si="1"/>
        <v/>
      </c>
      <c r="F81" s="21"/>
      <c r="G81" s="21" t="str">
        <f t="shared" si="2"/>
        <v/>
      </c>
      <c r="H81" s="21"/>
      <c r="I81" s="21" t="str">
        <f t="shared" si="3"/>
        <v/>
      </c>
    </row>
    <row r="82" ht="15.75" customHeight="1">
      <c r="A82" s="21" t="str">
        <f>Articles!A81</f>
        <v/>
      </c>
      <c r="B82" s="21" t="str">
        <f>Articles!B81</f>
        <v/>
      </c>
      <c r="C82" s="21" t="str">
        <f>IF(A82="","",SUMIFS(Mouvements!$G:$G,Mouvements!$E:$E,$B$3,Mouvements!$B:$B,A82,Mouvements!$F:$F,"Départ"))</f>
        <v/>
      </c>
      <c r="D82" s="21" t="str">
        <f>IF(A82="","",SUMIFS(Mouvements!$G:$G,Mouvements!$E:$E,$B$3,Mouvements!$B:$B,A82,Mouvements!$F:$F,"Retour"))</f>
        <v/>
      </c>
      <c r="E82" s="21" t="str">
        <f t="shared" si="1"/>
        <v/>
      </c>
      <c r="F82" s="21"/>
      <c r="G82" s="21" t="str">
        <f t="shared" si="2"/>
        <v/>
      </c>
      <c r="H82" s="21"/>
      <c r="I82" s="21" t="str">
        <f t="shared" si="3"/>
        <v/>
      </c>
    </row>
    <row r="83" ht="15.75" customHeight="1">
      <c r="A83" s="21" t="str">
        <f>Articles!A82</f>
        <v/>
      </c>
      <c r="B83" s="21" t="str">
        <f>Articles!B82</f>
        <v/>
      </c>
      <c r="C83" s="21" t="str">
        <f>IF(A83="","",SUMIFS(Mouvements!$G:$G,Mouvements!$E:$E,$B$3,Mouvements!$B:$B,A83,Mouvements!$F:$F,"Départ"))</f>
        <v/>
      </c>
      <c r="D83" s="21" t="str">
        <f>IF(A83="","",SUMIFS(Mouvements!$G:$G,Mouvements!$E:$E,$B$3,Mouvements!$B:$B,A83,Mouvements!$F:$F,"Retour"))</f>
        <v/>
      </c>
      <c r="E83" s="21" t="str">
        <f t="shared" si="1"/>
        <v/>
      </c>
      <c r="F83" s="21"/>
      <c r="G83" s="21" t="str">
        <f t="shared" si="2"/>
        <v/>
      </c>
      <c r="H83" s="21"/>
      <c r="I83" s="21" t="str">
        <f t="shared" si="3"/>
        <v/>
      </c>
    </row>
    <row r="84" ht="15.75" customHeight="1">
      <c r="A84" s="21" t="str">
        <f>Articles!A83</f>
        <v/>
      </c>
      <c r="B84" s="21" t="str">
        <f>Articles!B83</f>
        <v/>
      </c>
      <c r="C84" s="21" t="str">
        <f>IF(A84="","",SUMIFS(Mouvements!$G:$G,Mouvements!$E:$E,$B$3,Mouvements!$B:$B,A84,Mouvements!$F:$F,"Départ"))</f>
        <v/>
      </c>
      <c r="D84" s="21" t="str">
        <f>IF(A84="","",SUMIFS(Mouvements!$G:$G,Mouvements!$E:$E,$B$3,Mouvements!$B:$B,A84,Mouvements!$F:$F,"Retour"))</f>
        <v/>
      </c>
      <c r="E84" s="21" t="str">
        <f t="shared" si="1"/>
        <v/>
      </c>
      <c r="F84" s="21"/>
      <c r="G84" s="21" t="str">
        <f t="shared" si="2"/>
        <v/>
      </c>
      <c r="H84" s="21"/>
      <c r="I84" s="21" t="str">
        <f t="shared" si="3"/>
        <v/>
      </c>
    </row>
    <row r="85" ht="15.75" customHeight="1">
      <c r="A85" s="21" t="str">
        <f>Articles!A84</f>
        <v/>
      </c>
      <c r="B85" s="21" t="str">
        <f>Articles!B84</f>
        <v/>
      </c>
      <c r="C85" s="21" t="str">
        <f>IF(A85="","",SUMIFS(Mouvements!$G:$G,Mouvements!$E:$E,$B$3,Mouvements!$B:$B,A85,Mouvements!$F:$F,"Départ"))</f>
        <v/>
      </c>
      <c r="D85" s="21" t="str">
        <f>IF(A85="","",SUMIFS(Mouvements!$G:$G,Mouvements!$E:$E,$B$3,Mouvements!$B:$B,A85,Mouvements!$F:$F,"Retour"))</f>
        <v/>
      </c>
      <c r="E85" s="21" t="str">
        <f t="shared" si="1"/>
        <v/>
      </c>
      <c r="F85" s="21"/>
      <c r="G85" s="21" t="str">
        <f t="shared" si="2"/>
        <v/>
      </c>
      <c r="H85" s="21"/>
      <c r="I85" s="21" t="str">
        <f t="shared" si="3"/>
        <v/>
      </c>
    </row>
    <row r="86" ht="15.75" customHeight="1">
      <c r="A86" s="21" t="str">
        <f>Articles!A85</f>
        <v/>
      </c>
      <c r="B86" s="21" t="str">
        <f>Articles!B85</f>
        <v/>
      </c>
      <c r="C86" s="21" t="str">
        <f>IF(A86="","",SUMIFS(Mouvements!$G:$G,Mouvements!$E:$E,$B$3,Mouvements!$B:$B,A86,Mouvements!$F:$F,"Départ"))</f>
        <v/>
      </c>
      <c r="D86" s="21" t="str">
        <f>IF(A86="","",SUMIFS(Mouvements!$G:$G,Mouvements!$E:$E,$B$3,Mouvements!$B:$B,A86,Mouvements!$F:$F,"Retour"))</f>
        <v/>
      </c>
      <c r="E86" s="21" t="str">
        <f t="shared" si="1"/>
        <v/>
      </c>
      <c r="F86" s="21"/>
      <c r="G86" s="21" t="str">
        <f t="shared" si="2"/>
        <v/>
      </c>
      <c r="H86" s="21"/>
      <c r="I86" s="21" t="str">
        <f t="shared" si="3"/>
        <v/>
      </c>
    </row>
    <row r="87" ht="15.75" customHeight="1">
      <c r="A87" s="21" t="str">
        <f>Articles!A86</f>
        <v/>
      </c>
      <c r="B87" s="21" t="str">
        <f>Articles!B86</f>
        <v/>
      </c>
      <c r="C87" s="21" t="str">
        <f>IF(A87="","",SUMIFS(Mouvements!$G:$G,Mouvements!$E:$E,$B$3,Mouvements!$B:$B,A87,Mouvements!$F:$F,"Départ"))</f>
        <v/>
      </c>
      <c r="D87" s="21" t="str">
        <f>IF(A87="","",SUMIFS(Mouvements!$G:$G,Mouvements!$E:$E,$B$3,Mouvements!$B:$B,A87,Mouvements!$F:$F,"Retour"))</f>
        <v/>
      </c>
      <c r="E87" s="21" t="str">
        <f t="shared" si="1"/>
        <v/>
      </c>
      <c r="F87" s="21"/>
      <c r="G87" s="21" t="str">
        <f t="shared" si="2"/>
        <v/>
      </c>
      <c r="H87" s="21"/>
      <c r="I87" s="21" t="str">
        <f t="shared" si="3"/>
        <v/>
      </c>
    </row>
    <row r="88" ht="15.75" customHeight="1">
      <c r="A88" s="21" t="str">
        <f>Articles!A87</f>
        <v/>
      </c>
      <c r="B88" s="21" t="str">
        <f>Articles!B87</f>
        <v/>
      </c>
      <c r="C88" s="21" t="str">
        <f>IF(A88="","",SUMIFS(Mouvements!$G:$G,Mouvements!$E:$E,$B$3,Mouvements!$B:$B,A88,Mouvements!$F:$F,"Départ"))</f>
        <v/>
      </c>
      <c r="D88" s="21" t="str">
        <f>IF(A88="","",SUMIFS(Mouvements!$G:$G,Mouvements!$E:$E,$B$3,Mouvements!$B:$B,A88,Mouvements!$F:$F,"Retour"))</f>
        <v/>
      </c>
      <c r="E88" s="21" t="str">
        <f t="shared" si="1"/>
        <v/>
      </c>
      <c r="F88" s="21"/>
      <c r="G88" s="21" t="str">
        <f t="shared" si="2"/>
        <v/>
      </c>
      <c r="H88" s="21"/>
      <c r="I88" s="21" t="str">
        <f t="shared" si="3"/>
        <v/>
      </c>
    </row>
    <row r="89" ht="15.75" customHeight="1">
      <c r="A89" s="21" t="str">
        <f>Articles!A88</f>
        <v/>
      </c>
      <c r="B89" s="21" t="str">
        <f>Articles!B88</f>
        <v/>
      </c>
      <c r="C89" s="21" t="str">
        <f>IF(A89="","",SUMIFS(Mouvements!$G:$G,Mouvements!$E:$E,$B$3,Mouvements!$B:$B,A89,Mouvements!$F:$F,"Départ"))</f>
        <v/>
      </c>
      <c r="D89" s="21" t="str">
        <f>IF(A89="","",SUMIFS(Mouvements!$G:$G,Mouvements!$E:$E,$B$3,Mouvements!$B:$B,A89,Mouvements!$F:$F,"Retour"))</f>
        <v/>
      </c>
      <c r="E89" s="21" t="str">
        <f t="shared" si="1"/>
        <v/>
      </c>
      <c r="F89" s="21"/>
      <c r="G89" s="21" t="str">
        <f t="shared" si="2"/>
        <v/>
      </c>
      <c r="H89" s="21"/>
      <c r="I89" s="21" t="str">
        <f t="shared" si="3"/>
        <v/>
      </c>
    </row>
    <row r="90" ht="15.75" customHeight="1">
      <c r="A90" s="21" t="str">
        <f>Articles!A89</f>
        <v/>
      </c>
      <c r="B90" s="21" t="str">
        <f>Articles!B89</f>
        <v/>
      </c>
      <c r="C90" s="21" t="str">
        <f>IF(A90="","",SUMIFS(Mouvements!$G:$G,Mouvements!$E:$E,$B$3,Mouvements!$B:$B,A90,Mouvements!$F:$F,"Départ"))</f>
        <v/>
      </c>
      <c r="D90" s="21" t="str">
        <f>IF(A90="","",SUMIFS(Mouvements!$G:$G,Mouvements!$E:$E,$B$3,Mouvements!$B:$B,A90,Mouvements!$F:$F,"Retour"))</f>
        <v/>
      </c>
      <c r="E90" s="21" t="str">
        <f t="shared" si="1"/>
        <v/>
      </c>
      <c r="F90" s="21"/>
      <c r="G90" s="21" t="str">
        <f t="shared" si="2"/>
        <v/>
      </c>
      <c r="H90" s="21"/>
      <c r="I90" s="21" t="str">
        <f t="shared" si="3"/>
        <v/>
      </c>
    </row>
    <row r="91" ht="15.75" customHeight="1">
      <c r="A91" s="21" t="str">
        <f>Articles!A90</f>
        <v/>
      </c>
      <c r="B91" s="21" t="str">
        <f>Articles!B90</f>
        <v/>
      </c>
      <c r="C91" s="21" t="str">
        <f>IF(A91="","",SUMIFS(Mouvements!$G:$G,Mouvements!$E:$E,$B$3,Mouvements!$B:$B,A91,Mouvements!$F:$F,"Départ"))</f>
        <v/>
      </c>
      <c r="D91" s="21" t="str">
        <f>IF(A91="","",SUMIFS(Mouvements!$G:$G,Mouvements!$E:$E,$B$3,Mouvements!$B:$B,A91,Mouvements!$F:$F,"Retour"))</f>
        <v/>
      </c>
      <c r="E91" s="21" t="str">
        <f t="shared" si="1"/>
        <v/>
      </c>
      <c r="F91" s="21"/>
      <c r="G91" s="21" t="str">
        <f t="shared" si="2"/>
        <v/>
      </c>
      <c r="H91" s="21"/>
      <c r="I91" s="21" t="str">
        <f t="shared" si="3"/>
        <v/>
      </c>
    </row>
    <row r="92" ht="15.75" customHeight="1">
      <c r="A92" s="21" t="str">
        <f>Articles!A91</f>
        <v/>
      </c>
      <c r="B92" s="21" t="str">
        <f>Articles!B91</f>
        <v/>
      </c>
      <c r="C92" s="21" t="str">
        <f>IF(A92="","",SUMIFS(Mouvements!$G:$G,Mouvements!$E:$E,$B$3,Mouvements!$B:$B,A92,Mouvements!$F:$F,"Départ"))</f>
        <v/>
      </c>
      <c r="D92" s="21" t="str">
        <f>IF(A92="","",SUMIFS(Mouvements!$G:$G,Mouvements!$E:$E,$B$3,Mouvements!$B:$B,A92,Mouvements!$F:$F,"Retour"))</f>
        <v/>
      </c>
      <c r="E92" s="21" t="str">
        <f t="shared" si="1"/>
        <v/>
      </c>
      <c r="F92" s="21"/>
      <c r="G92" s="21" t="str">
        <f t="shared" si="2"/>
        <v/>
      </c>
      <c r="H92" s="21"/>
      <c r="I92" s="21" t="str">
        <f t="shared" si="3"/>
        <v/>
      </c>
    </row>
    <row r="93" ht="15.75" customHeight="1">
      <c r="A93" s="21" t="str">
        <f>Articles!A92</f>
        <v/>
      </c>
      <c r="B93" s="21" t="str">
        <f>Articles!B92</f>
        <v/>
      </c>
      <c r="C93" s="21" t="str">
        <f>IF(A93="","",SUMIFS(Mouvements!$G:$G,Mouvements!$E:$E,$B$3,Mouvements!$B:$B,A93,Mouvements!$F:$F,"Départ"))</f>
        <v/>
      </c>
      <c r="D93" s="21" t="str">
        <f>IF(A93="","",SUMIFS(Mouvements!$G:$G,Mouvements!$E:$E,$B$3,Mouvements!$B:$B,A93,Mouvements!$F:$F,"Retour"))</f>
        <v/>
      </c>
      <c r="E93" s="21" t="str">
        <f t="shared" si="1"/>
        <v/>
      </c>
      <c r="F93" s="21"/>
      <c r="G93" s="21" t="str">
        <f t="shared" si="2"/>
        <v/>
      </c>
      <c r="H93" s="21"/>
      <c r="I93" s="21" t="str">
        <f t="shared" si="3"/>
        <v/>
      </c>
    </row>
    <row r="94" ht="15.75" customHeight="1">
      <c r="A94" s="21" t="str">
        <f>Articles!A93</f>
        <v/>
      </c>
      <c r="B94" s="21" t="str">
        <f>Articles!B93</f>
        <v/>
      </c>
      <c r="C94" s="21" t="str">
        <f>IF(A94="","",SUMIFS(Mouvements!$G:$G,Mouvements!$E:$E,$B$3,Mouvements!$B:$B,A94,Mouvements!$F:$F,"Départ"))</f>
        <v/>
      </c>
      <c r="D94" s="21" t="str">
        <f>IF(A94="","",SUMIFS(Mouvements!$G:$G,Mouvements!$E:$E,$B$3,Mouvements!$B:$B,A94,Mouvements!$F:$F,"Retour"))</f>
        <v/>
      </c>
      <c r="E94" s="21" t="str">
        <f t="shared" si="1"/>
        <v/>
      </c>
      <c r="F94" s="21"/>
      <c r="G94" s="21" t="str">
        <f t="shared" si="2"/>
        <v/>
      </c>
      <c r="H94" s="21"/>
      <c r="I94" s="21" t="str">
        <f t="shared" si="3"/>
        <v/>
      </c>
    </row>
    <row r="95" ht="15.75" customHeight="1">
      <c r="A95" s="21" t="str">
        <f>Articles!A94</f>
        <v/>
      </c>
      <c r="B95" s="21" t="str">
        <f>Articles!B94</f>
        <v/>
      </c>
      <c r="C95" s="21" t="str">
        <f>IF(A95="","",SUMIFS(Mouvements!$G:$G,Mouvements!$E:$E,$B$3,Mouvements!$B:$B,A95,Mouvements!$F:$F,"Départ"))</f>
        <v/>
      </c>
      <c r="D95" s="21" t="str">
        <f>IF(A95="","",SUMIFS(Mouvements!$G:$G,Mouvements!$E:$E,$B$3,Mouvements!$B:$B,A95,Mouvements!$F:$F,"Retour"))</f>
        <v/>
      </c>
      <c r="E95" s="21" t="str">
        <f t="shared" si="1"/>
        <v/>
      </c>
      <c r="F95" s="21"/>
      <c r="G95" s="21" t="str">
        <f t="shared" si="2"/>
        <v/>
      </c>
      <c r="H95" s="21"/>
      <c r="I95" s="21" t="str">
        <f t="shared" si="3"/>
        <v/>
      </c>
    </row>
    <row r="96" ht="15.75" customHeight="1">
      <c r="A96" s="21" t="str">
        <f>Articles!A95</f>
        <v/>
      </c>
      <c r="B96" s="21" t="str">
        <f>Articles!B95</f>
        <v/>
      </c>
      <c r="C96" s="21" t="str">
        <f>IF(A96="","",SUMIFS(Mouvements!$G:$G,Mouvements!$E:$E,$B$3,Mouvements!$B:$B,A96,Mouvements!$F:$F,"Départ"))</f>
        <v/>
      </c>
      <c r="D96" s="21" t="str">
        <f>IF(A96="","",SUMIFS(Mouvements!$G:$G,Mouvements!$E:$E,$B$3,Mouvements!$B:$B,A96,Mouvements!$F:$F,"Retour"))</f>
        <v/>
      </c>
      <c r="E96" s="21" t="str">
        <f t="shared" si="1"/>
        <v/>
      </c>
      <c r="F96" s="21"/>
      <c r="G96" s="21" t="str">
        <f t="shared" si="2"/>
        <v/>
      </c>
      <c r="H96" s="21"/>
      <c r="I96" s="21" t="str">
        <f t="shared" si="3"/>
        <v/>
      </c>
    </row>
    <row r="97" ht="15.75" customHeight="1">
      <c r="A97" s="21" t="str">
        <f>Articles!A96</f>
        <v/>
      </c>
      <c r="B97" s="21" t="str">
        <f>Articles!B96</f>
        <v/>
      </c>
      <c r="C97" s="21" t="str">
        <f>IF(A97="","",SUMIFS(Mouvements!$G:$G,Mouvements!$E:$E,$B$3,Mouvements!$B:$B,A97,Mouvements!$F:$F,"Départ"))</f>
        <v/>
      </c>
      <c r="D97" s="21" t="str">
        <f>IF(A97="","",SUMIFS(Mouvements!$G:$G,Mouvements!$E:$E,$B$3,Mouvements!$B:$B,A97,Mouvements!$F:$F,"Retour"))</f>
        <v/>
      </c>
      <c r="E97" s="21" t="str">
        <f t="shared" si="1"/>
        <v/>
      </c>
      <c r="F97" s="21"/>
      <c r="G97" s="21" t="str">
        <f t="shared" si="2"/>
        <v/>
      </c>
      <c r="H97" s="21"/>
      <c r="I97" s="21" t="str">
        <f t="shared" si="3"/>
        <v/>
      </c>
    </row>
    <row r="98" ht="15.75" customHeight="1">
      <c r="A98" s="21" t="str">
        <f>Articles!A97</f>
        <v/>
      </c>
      <c r="B98" s="21" t="str">
        <f>Articles!B97</f>
        <v/>
      </c>
      <c r="C98" s="21" t="str">
        <f>IF(A98="","",SUMIFS(Mouvements!$G:$G,Mouvements!$E:$E,$B$3,Mouvements!$B:$B,A98,Mouvements!$F:$F,"Départ"))</f>
        <v/>
      </c>
      <c r="D98" s="21" t="str">
        <f>IF(A98="","",SUMIFS(Mouvements!$G:$G,Mouvements!$E:$E,$B$3,Mouvements!$B:$B,A98,Mouvements!$F:$F,"Retour"))</f>
        <v/>
      </c>
      <c r="E98" s="21" t="str">
        <f t="shared" si="1"/>
        <v/>
      </c>
      <c r="F98" s="21"/>
      <c r="G98" s="21" t="str">
        <f t="shared" si="2"/>
        <v/>
      </c>
      <c r="H98" s="21"/>
      <c r="I98" s="21" t="str">
        <f t="shared" si="3"/>
        <v/>
      </c>
    </row>
    <row r="99" ht="15.75" customHeight="1">
      <c r="A99" s="21" t="str">
        <f>Articles!A98</f>
        <v/>
      </c>
      <c r="B99" s="21" t="str">
        <f>Articles!B98</f>
        <v/>
      </c>
      <c r="C99" s="21" t="str">
        <f>IF(A99="","",SUMIFS(Mouvements!$G:$G,Mouvements!$E:$E,$B$3,Mouvements!$B:$B,A99,Mouvements!$F:$F,"Départ"))</f>
        <v/>
      </c>
      <c r="D99" s="21" t="str">
        <f>IF(A99="","",SUMIFS(Mouvements!$G:$G,Mouvements!$E:$E,$B$3,Mouvements!$B:$B,A99,Mouvements!$F:$F,"Retour"))</f>
        <v/>
      </c>
      <c r="E99" s="21" t="str">
        <f t="shared" si="1"/>
        <v/>
      </c>
      <c r="F99" s="21"/>
      <c r="G99" s="21" t="str">
        <f t="shared" si="2"/>
        <v/>
      </c>
      <c r="H99" s="21"/>
      <c r="I99" s="21" t="str">
        <f t="shared" si="3"/>
        <v/>
      </c>
    </row>
    <row r="100" ht="15.75" customHeight="1">
      <c r="A100" s="21" t="str">
        <f>Articles!A99</f>
        <v/>
      </c>
      <c r="B100" s="21" t="str">
        <f>Articles!B99</f>
        <v/>
      </c>
      <c r="C100" s="21" t="str">
        <f>IF(A100="","",SUMIFS(Mouvements!$G:$G,Mouvements!$E:$E,$B$3,Mouvements!$B:$B,A100,Mouvements!$F:$F,"Départ"))</f>
        <v/>
      </c>
      <c r="D100" s="21" t="str">
        <f>IF(A100="","",SUMIFS(Mouvements!$G:$G,Mouvements!$E:$E,$B$3,Mouvements!$B:$B,A100,Mouvements!$F:$F,"Retour"))</f>
        <v/>
      </c>
      <c r="E100" s="21" t="str">
        <f t="shared" si="1"/>
        <v/>
      </c>
      <c r="F100" s="21"/>
      <c r="G100" s="21" t="str">
        <f t="shared" si="2"/>
        <v/>
      </c>
      <c r="H100" s="21"/>
      <c r="I100" s="21" t="str">
        <f t="shared" si="3"/>
        <v/>
      </c>
    </row>
    <row r="101" ht="15.75" customHeight="1">
      <c r="A101" s="21" t="str">
        <f>Articles!A100</f>
        <v/>
      </c>
      <c r="B101" s="21" t="str">
        <f>Articles!B100</f>
        <v/>
      </c>
      <c r="C101" s="21" t="str">
        <f>IF(A101="","",SUMIFS(Mouvements!$G:$G,Mouvements!$E:$E,$B$3,Mouvements!$B:$B,A101,Mouvements!$F:$F,"Départ"))</f>
        <v/>
      </c>
      <c r="D101" s="21" t="str">
        <f>IF(A101="","",SUMIFS(Mouvements!$G:$G,Mouvements!$E:$E,$B$3,Mouvements!$B:$B,A101,Mouvements!$F:$F,"Retour"))</f>
        <v/>
      </c>
      <c r="E101" s="21" t="str">
        <f t="shared" si="1"/>
        <v/>
      </c>
      <c r="F101" s="21"/>
      <c r="G101" s="21" t="str">
        <f t="shared" si="2"/>
        <v/>
      </c>
      <c r="H101" s="21"/>
      <c r="I101" s="21" t="str">
        <f t="shared" si="3"/>
        <v/>
      </c>
    </row>
    <row r="102" ht="15.75" customHeight="1">
      <c r="A102" s="21" t="str">
        <f>Articles!A101</f>
        <v/>
      </c>
      <c r="B102" s="21" t="str">
        <f>Articles!B101</f>
        <v/>
      </c>
      <c r="C102" s="21" t="str">
        <f>IF(A102="","",SUMIFS(Mouvements!$G:$G,Mouvements!$E:$E,$B$3,Mouvements!$B:$B,A102,Mouvements!$F:$F,"Départ"))</f>
        <v/>
      </c>
      <c r="D102" s="21" t="str">
        <f>IF(A102="","",SUMIFS(Mouvements!$G:$G,Mouvements!$E:$E,$B$3,Mouvements!$B:$B,A102,Mouvements!$F:$F,"Retour"))</f>
        <v/>
      </c>
      <c r="E102" s="21" t="str">
        <f t="shared" si="1"/>
        <v/>
      </c>
      <c r="F102" s="21"/>
      <c r="G102" s="21" t="str">
        <f t="shared" si="2"/>
        <v/>
      </c>
      <c r="H102" s="21"/>
      <c r="I102" s="21" t="str">
        <f t="shared" si="3"/>
        <v/>
      </c>
    </row>
    <row r="103" ht="15.75" customHeight="1">
      <c r="A103" s="21" t="str">
        <f>Articles!A102</f>
        <v/>
      </c>
      <c r="B103" s="21" t="str">
        <f>Articles!B102</f>
        <v/>
      </c>
      <c r="C103" s="21" t="str">
        <f>IF(A103="","",SUMIFS(Mouvements!$G:$G,Mouvements!$E:$E,$B$3,Mouvements!$B:$B,A103,Mouvements!$F:$F,"Départ"))</f>
        <v/>
      </c>
      <c r="D103" s="21" t="str">
        <f>IF(A103="","",SUMIFS(Mouvements!$G:$G,Mouvements!$E:$E,$B$3,Mouvements!$B:$B,A103,Mouvements!$F:$F,"Retour"))</f>
        <v/>
      </c>
      <c r="E103" s="21" t="str">
        <f t="shared" si="1"/>
        <v/>
      </c>
      <c r="F103" s="21"/>
      <c r="G103" s="21" t="str">
        <f t="shared" si="2"/>
        <v/>
      </c>
      <c r="H103" s="21"/>
      <c r="I103" s="21" t="str">
        <f t="shared" si="3"/>
        <v/>
      </c>
    </row>
    <row r="104" ht="15.75" customHeight="1">
      <c r="A104" s="21" t="str">
        <f>Articles!A103</f>
        <v/>
      </c>
      <c r="B104" s="21" t="str">
        <f>Articles!B103</f>
        <v/>
      </c>
      <c r="C104" s="21" t="str">
        <f>IF(A104="","",SUMIFS(Mouvements!$G:$G,Mouvements!$E:$E,$B$3,Mouvements!$B:$B,A104,Mouvements!$F:$F,"Départ"))</f>
        <v/>
      </c>
      <c r="D104" s="21" t="str">
        <f>IF(A104="","",SUMIFS(Mouvements!$G:$G,Mouvements!$E:$E,$B$3,Mouvements!$B:$B,A104,Mouvements!$F:$F,"Retour"))</f>
        <v/>
      </c>
      <c r="E104" s="21" t="str">
        <f t="shared" si="1"/>
        <v/>
      </c>
      <c r="F104" s="21"/>
      <c r="G104" s="21" t="str">
        <f t="shared" si="2"/>
        <v/>
      </c>
      <c r="H104" s="21"/>
      <c r="I104" s="21" t="str">
        <f t="shared" si="3"/>
        <v/>
      </c>
    </row>
    <row r="105" ht="15.75" customHeight="1">
      <c r="A105" s="21" t="str">
        <f>Articles!A104</f>
        <v/>
      </c>
      <c r="B105" s="21" t="str">
        <f>Articles!B104</f>
        <v/>
      </c>
      <c r="C105" s="21" t="str">
        <f>IF(A105="","",SUMIFS(Mouvements!$G:$G,Mouvements!$E:$E,$B$3,Mouvements!$B:$B,A105,Mouvements!$F:$F,"Départ"))</f>
        <v/>
      </c>
      <c r="D105" s="21" t="str">
        <f>IF(A105="","",SUMIFS(Mouvements!$G:$G,Mouvements!$E:$E,$B$3,Mouvements!$B:$B,A105,Mouvements!$F:$F,"Retour"))</f>
        <v/>
      </c>
      <c r="E105" s="21" t="str">
        <f t="shared" si="1"/>
        <v/>
      </c>
      <c r="F105" s="21"/>
      <c r="G105" s="21" t="str">
        <f t="shared" si="2"/>
        <v/>
      </c>
      <c r="H105" s="21"/>
      <c r="I105" s="21" t="str">
        <f t="shared" si="3"/>
        <v/>
      </c>
    </row>
  </sheetData>
  <mergeCells count="2">
    <mergeCell ref="A1:I1"/>
    <mergeCell ref="A2:I2"/>
  </mergeCells>
  <conditionalFormatting sqref="A6:I105">
    <cfRule type="expression" dxfId="6" priority="1">
      <formula>$G6="À récupérer"</formula>
    </cfRule>
  </conditionalFormatting>
  <conditionalFormatting sqref="A6:I105">
    <cfRule type="expression" dxfId="5" priority="2">
      <formula>$I6&lt;&gt;""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00.0"/>
    <col customWidth="1" min="3" max="11" width="9.14"/>
  </cols>
  <sheetData>
    <row r="1">
      <c r="A1" s="1" t="s">
        <v>104</v>
      </c>
      <c r="B1" s="2"/>
      <c r="C1" s="2"/>
      <c r="D1" s="3"/>
    </row>
    <row r="3" ht="33.75" customHeight="1">
      <c r="A3" s="24" t="s">
        <v>105</v>
      </c>
      <c r="B3" s="25" t="s">
        <v>106</v>
      </c>
    </row>
    <row r="4" ht="33.75" customHeight="1">
      <c r="A4" s="24" t="s">
        <v>107</v>
      </c>
      <c r="B4" s="25" t="s">
        <v>108</v>
      </c>
    </row>
    <row r="5" ht="33.75" customHeight="1">
      <c r="A5" s="24" t="s">
        <v>109</v>
      </c>
      <c r="B5" s="25" t="s">
        <v>110</v>
      </c>
    </row>
    <row r="6" ht="33.75" customHeight="1">
      <c r="A6" s="24" t="s">
        <v>111</v>
      </c>
      <c r="B6" s="25" t="s">
        <v>112</v>
      </c>
    </row>
    <row r="7" ht="33.75" customHeight="1">
      <c r="A7" s="24" t="s">
        <v>113</v>
      </c>
      <c r="B7" s="25" t="s">
        <v>114</v>
      </c>
    </row>
    <row r="8" ht="33.75" customHeight="1">
      <c r="A8" s="24" t="s">
        <v>115</v>
      </c>
      <c r="B8" s="25" t="s">
        <v>116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Feuilles de calcul</vt:lpstr>
      </vt:variant>
      <vt:variant>
        <vt:i4>10</vt:i4>
      </vt:variant>
    </vt:vector>
  </HeadingPairs>
  <TitlesOfParts>
    <vt:vector baseType="lpstr" size="10">
      <vt:lpstr>Tableau de bord</vt:lpstr>
      <vt:lpstr>Paramètres</vt:lpstr>
      <vt:lpstr>Articles</vt:lpstr>
      <vt:lpstr>Mouvements</vt:lpstr>
      <vt:lpstr>Stock Global</vt:lpstr>
      <vt:lpstr>Synthèse Chantiers</vt:lpstr>
      <vt:lpstr>Chantier A</vt:lpstr>
      <vt:lpstr>Chantier B</vt:lpstr>
      <vt:lpstr>Chantier C</vt:lpstr>
      <vt:lpstr>Mode emploi</vt:lpstr>
    </vt:vector>
  </TitlesOfParts>
  <LinksUpToDate>false</LinksUpToDate>
  <SharedDoc>false</SharedDoc>
  <HyperlinksChanged>false</HyperlinksChanged>
  <Application>Excel iOS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2026-04-29T12:10:52Z</dcterms:created>
  <dc:creator>openpyxl</dc:creator>
  <cp:lastModifiedBy>quentin martinez</cp:lastModifiedBy>
  <dcterms:modified xsi:type="dcterms:W3CDTF">2026-05-04T04:30:42Z</dcterms:modified>
</cp:coreProperties>
</file>