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40D8CE60-B4A2-4010-A6E2-D1C1348F7404}" xr6:coauthVersionLast="47" xr6:coauthVersionMax="47" xr10:uidLastSave="{00000000-0000-0000-0000-000000000000}"/>
  <bookViews>
    <workbookView xWindow="-40140" yWindow="3570" windowWidth="30960" windowHeight="9690" xr2:uid="{75B8B3A8-1F98-47CA-A7ED-323E9DB4531B}"/>
  </bookViews>
  <sheets>
    <sheet name="Export_Tarifs_YESSS_15-37-25" sheetId="1" r:id="rId1"/>
  </sheet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</calcChain>
</file>

<file path=xl/sharedStrings.xml><?xml version="1.0" encoding="utf-8"?>
<sst xmlns="http://schemas.openxmlformats.org/spreadsheetml/2006/main" count="1682" uniqueCount="624">
  <si>
    <t>fournisseur</t>
  </si>
  <si>
    <t>reference</t>
  </si>
  <si>
    <t>libelle</t>
  </si>
  <si>
    <t>unite_de_vente</t>
  </si>
  <si>
    <t>fam_code</t>
  </si>
  <si>
    <t>fam_libelle</t>
  </si>
  <si>
    <t>pdt_code_ean</t>
  </si>
  <si>
    <t>prix_client</t>
  </si>
  <si>
    <t>AJAX</t>
  </si>
  <si>
    <t>BRACKETMP-S-W</t>
  </si>
  <si>
    <t>Support  Superior Motion Protect / Motio</t>
  </si>
  <si>
    <t xml:space="preserve">AJINTM03 </t>
  </si>
  <si>
    <t>INTRUSION</t>
  </si>
  <si>
    <t>7.22€</t>
  </si>
  <si>
    <t>BRANDPLATE-B 10</t>
  </si>
  <si>
    <t>Brandplate lot de 10 noir</t>
  </si>
  <si>
    <t>182.47€</t>
  </si>
  <si>
    <t>BRANDPLATE-W 10</t>
  </si>
  <si>
    <t>Brandplate lot de 10 blanc</t>
  </si>
  <si>
    <t>BUTTON-B</t>
  </si>
  <si>
    <t>Button Noir</t>
  </si>
  <si>
    <t>48.45€</t>
  </si>
  <si>
    <t>BUTTON-S-B</t>
  </si>
  <si>
    <t>Bouton de panique  Superior</t>
  </si>
  <si>
    <t>53.61€</t>
  </si>
  <si>
    <t>BUTTON-S-W</t>
  </si>
  <si>
    <t>BUTTON-W</t>
  </si>
  <si>
    <t>Button Blanc</t>
  </si>
  <si>
    <t>COMBIPROTECT-B</t>
  </si>
  <si>
    <t>CombiProtect Noir</t>
  </si>
  <si>
    <t>132.99€</t>
  </si>
  <si>
    <t>COMBIPROTECT-S-B</t>
  </si>
  <si>
    <t>Superior combiné détecteur de mouvement</t>
  </si>
  <si>
    <t>146.39€</t>
  </si>
  <si>
    <t>COMBIPROTECT-S-W</t>
  </si>
  <si>
    <t>COMBIPROTECT-W</t>
  </si>
  <si>
    <t>CombiProtect Blanc</t>
  </si>
  <si>
    <t>CURTAINOUTDOOR-W</t>
  </si>
  <si>
    <t>Detecteur exterieur rideau blanc</t>
  </si>
  <si>
    <t>242.26€</t>
  </si>
  <si>
    <t>CURTAINPROTECT-B</t>
  </si>
  <si>
    <t>Detecteur rideau Int - Noir</t>
  </si>
  <si>
    <t>115.46€</t>
  </si>
  <si>
    <t>CURTAINPROTECT-W</t>
  </si>
  <si>
    <t>Detecteur rideau Int Blanc</t>
  </si>
  <si>
    <t>DINHOLDER-B</t>
  </si>
  <si>
    <t>DIN Holder Noir</t>
  </si>
  <si>
    <t>13.4€</t>
  </si>
  <si>
    <t>DOORPROTECT-B</t>
  </si>
  <si>
    <t>DoorProtect Noir</t>
  </si>
  <si>
    <t>56.7€</t>
  </si>
  <si>
    <t>DOORPROTECT-S-B</t>
  </si>
  <si>
    <t>Détecteur d’ouverture supérieur</t>
  </si>
  <si>
    <t>68.04€</t>
  </si>
  <si>
    <t>DOORPROTECT-S-W</t>
  </si>
  <si>
    <t>DOORPROTECT-W</t>
  </si>
  <si>
    <t>DoorProtect Blanc</t>
  </si>
  <si>
    <t>DOORPROTECTPLUS-B</t>
  </si>
  <si>
    <t>DoorProtect Plus Noir</t>
  </si>
  <si>
    <t>84.53€</t>
  </si>
  <si>
    <t>DOORPROTECTPLUS-S-B</t>
  </si>
  <si>
    <t>Détecteur magnétique supérieur d’ouvertu</t>
  </si>
  <si>
    <t>102.06€</t>
  </si>
  <si>
    <t>DOORPROTECTPLUS-S-W</t>
  </si>
  <si>
    <t>DOORPROTECTPLUS-W</t>
  </si>
  <si>
    <t>DoorProtect Plus Blanc</t>
  </si>
  <si>
    <t>DOUBLEBUTTON-B</t>
  </si>
  <si>
    <t>DoubleButton Noir</t>
  </si>
  <si>
    <t>47.42€</t>
  </si>
  <si>
    <t>DOUBLEBUTTON-W</t>
  </si>
  <si>
    <t>DoubleButton Blanc</t>
  </si>
  <si>
    <t>DUALCURTAIN-W</t>
  </si>
  <si>
    <t>DualCurtain Outdoor Blanc</t>
  </si>
  <si>
    <t>339.17€</t>
  </si>
  <si>
    <t>FIBRA-BRACKETKP-B</t>
  </si>
  <si>
    <t>Support de clavier Ajax Fibra</t>
  </si>
  <si>
    <t>29.9€</t>
  </si>
  <si>
    <t>FIBRA-BRACKETKP-W</t>
  </si>
  <si>
    <t>FIBRA-BRACKETMP-B</t>
  </si>
  <si>
    <t>Support Ajax Fibra Motion Protect / Moti</t>
  </si>
  <si>
    <t>6.19€</t>
  </si>
  <si>
    <t>FIBRA-BRACKETMP-W</t>
  </si>
  <si>
    <t>FIBRA-CASE-A106-B</t>
  </si>
  <si>
    <t>petit boîtier pour une connexion de câbl</t>
  </si>
  <si>
    <t>30.93€</t>
  </si>
  <si>
    <t>FIBRA-CASE-A106-W</t>
  </si>
  <si>
    <t>FIBRA-CASE-B175-B</t>
  </si>
  <si>
    <t>medium case pour une connexion de câblag</t>
  </si>
  <si>
    <t>43.3€</t>
  </si>
  <si>
    <t>FIBRA-CASE-B175-W</t>
  </si>
  <si>
    <t>FIBRA-CASE-C260-B</t>
  </si>
  <si>
    <t>61.85€</t>
  </si>
  <si>
    <t>FIBRA-CASE-C260-W</t>
  </si>
  <si>
    <t>FIBRA-CASE-D430-B</t>
  </si>
  <si>
    <t>Grand boîtier  pour une connexion de câb</t>
  </si>
  <si>
    <t>221.64€</t>
  </si>
  <si>
    <t>FIBRA-CASE-D430-W</t>
  </si>
  <si>
    <t>FIBRA-COMBIPROTECT-B</t>
  </si>
  <si>
    <t>Détecteur combiné de mouvement et de bri</t>
  </si>
  <si>
    <t>FIBRA-COMBIPROTECT-B-NF</t>
  </si>
  <si>
    <t>FIBRA-COMBIPROTECT-W</t>
  </si>
  <si>
    <t>FIBRA-COMBIPROTECT-W-NF</t>
  </si>
  <si>
    <t>FIBRA-DOORPROTECT-B</t>
  </si>
  <si>
    <t>Détecteur magnétique d’ouverture de port</t>
  </si>
  <si>
    <t>49.48€</t>
  </si>
  <si>
    <t>FIBRA-DOORPROTECT-G3-B</t>
  </si>
  <si>
    <t>Détecteur magnétique Grade 3 Fibra</t>
  </si>
  <si>
    <t>81.44€</t>
  </si>
  <si>
    <t>FIBRA-DOORPROTECT-G3-W</t>
  </si>
  <si>
    <t>FIBRA-DOORPROTECT-W</t>
  </si>
  <si>
    <t>Détecteur magnétique d’ouverture filaire</t>
  </si>
  <si>
    <t>FIBRA-DOORPROTECT-W-NF</t>
  </si>
  <si>
    <t>FIBRA-DOORPROTECTPLUS-B</t>
  </si>
  <si>
    <t>Détecteur magnétique d’ouverture et capt</t>
  </si>
  <si>
    <t>74.23€</t>
  </si>
  <si>
    <t>FIBRA-DOORPROTECTPLUS-W</t>
  </si>
  <si>
    <t>FIBRA-GLASSPROTECT-B</t>
  </si>
  <si>
    <t>Détecteur acoustique de bris de glace Fi</t>
  </si>
  <si>
    <t>83.5€</t>
  </si>
  <si>
    <t>FIBRA-GLASSPROTECT-W</t>
  </si>
  <si>
    <t>FIBRA-HOMESIREN-B</t>
  </si>
  <si>
    <t>Sirène d’intérieur  Fibre</t>
  </si>
  <si>
    <t>FIBRA-HOMESIREN-W</t>
  </si>
  <si>
    <t>FIBRA-HOMESIREN-W-NF</t>
  </si>
  <si>
    <t>Sirène d’intérieur  Fibre NFA2P</t>
  </si>
  <si>
    <t>FIBRA-HUBHYBRID-4G-B</t>
  </si>
  <si>
    <t>Noir Intrusion HUB HYBRID 4G</t>
  </si>
  <si>
    <t>729.88€</t>
  </si>
  <si>
    <t>FIBRA-HUBHYBRID-4G-NOCASE</t>
  </si>
  <si>
    <t>Blanc Intrusion HUB HYBRID 4G sans étui</t>
  </si>
  <si>
    <t>680.39€</t>
  </si>
  <si>
    <t>FIBRA-HUBHYBRID-4G-W</t>
  </si>
  <si>
    <t>Blanc Intrusion HUB HYBRID 4G</t>
  </si>
  <si>
    <t>FIBRA-HUBHYBRID-4G-W-NF</t>
  </si>
  <si>
    <t>Blanc Intrusion HUB HYBRID 4G NFA2P</t>
  </si>
  <si>
    <t>FIBRA-HUBHYBRID-B</t>
  </si>
  <si>
    <t>Noir Intrusion HUB HYBRID 2G</t>
  </si>
  <si>
    <t>520.61€</t>
  </si>
  <si>
    <t>FIBRA-HUBHYBRID-B-DUMMY</t>
  </si>
  <si>
    <t>Coque  Fibra HubHybrid / HubHybrid 4G no</t>
  </si>
  <si>
    <t>60.82€</t>
  </si>
  <si>
    <t>FIBRA-HUBHYBRID-W-DUMMY</t>
  </si>
  <si>
    <t>Coque  Fibra HubHybrid / HubHybrid 4G bl</t>
  </si>
  <si>
    <t>FIBRA-HUBHYBRID-W-NF</t>
  </si>
  <si>
    <t>Blanc Intrusion HUB HYBRID 2G</t>
  </si>
  <si>
    <t>FIBRA-KEYPAD-B</t>
  </si>
  <si>
    <t>Clavier FIBRA</t>
  </si>
  <si>
    <t>131.96€</t>
  </si>
  <si>
    <t>FIBRA-KEYPAD-W-NF</t>
  </si>
  <si>
    <t>Clavier tactile  Fibra NFA2P</t>
  </si>
  <si>
    <t>FIBRA-KEYPADOUTDOOR-B</t>
  </si>
  <si>
    <t>Fibra Keypad Outdoor avec lecteur RFID I</t>
  </si>
  <si>
    <t>190.72€</t>
  </si>
  <si>
    <t>FIBRA-KEYPADOUTDOOR-GRA</t>
  </si>
  <si>
    <t>FIBRA-KEYPADOUTDOOR-W</t>
  </si>
  <si>
    <t>FIBRA-KEYPADTOUCHSCREEN-B</t>
  </si>
  <si>
    <t>Clavier tactile  Fibra avec lecteur RFID</t>
  </si>
  <si>
    <t>474.21€</t>
  </si>
  <si>
    <t>FIBRA-KEYPADTOUCHSCREEN-W</t>
  </si>
  <si>
    <t>FIBRA-LINEPROTECT</t>
  </si>
  <si>
    <t>Module  pour protéger la ligne contre le</t>
  </si>
  <si>
    <t>FIBRA-LINESPLIT</t>
  </si>
  <si>
    <t>Module  pour diviser une ligne Fibra en</t>
  </si>
  <si>
    <t>64.95€</t>
  </si>
  <si>
    <t>FIBRA-LINESUPPLY-45W-B</t>
  </si>
  <si>
    <t>Module  pour ajouter une alimentation po</t>
  </si>
  <si>
    <t>FIBRA-LINESUPPLY-45W-W</t>
  </si>
  <si>
    <t>FIBRA-LINESUPPLY-75W-B</t>
  </si>
  <si>
    <t>Module  de 75W pour ajouter une alimenta</t>
  </si>
  <si>
    <t>255.66€</t>
  </si>
  <si>
    <t>FIBRA-LINESUPPLY-75W-W</t>
  </si>
  <si>
    <t>FIBRA-MODULEHOLDER-A-B</t>
  </si>
  <si>
    <t>Support de module  type A Fibra</t>
  </si>
  <si>
    <t>14.43€</t>
  </si>
  <si>
    <t>FIBRA-MODULEHOLDER-A-W</t>
  </si>
  <si>
    <t>FIBRA-MODULEHOLDER-B-B</t>
  </si>
  <si>
    <t>Support de module  type B Fibra</t>
  </si>
  <si>
    <t>8.25€</t>
  </si>
  <si>
    <t>FIBRA-MODULEHOLDER-B-W</t>
  </si>
  <si>
    <t>FIBRA-MOTIONCAM-B</t>
  </si>
  <si>
    <t>Détecteur de mouvement avec caméra Fibra</t>
  </si>
  <si>
    <t>FIBRA-MOTIONCAM-W</t>
  </si>
  <si>
    <t>FIBRA-MOTIONPROTECT-B-NF</t>
  </si>
  <si>
    <t>Détecteur de mouvement  avec immunité au</t>
  </si>
  <si>
    <t>FIBRA-MOTIONPROTECT-G3-B</t>
  </si>
  <si>
    <t>Détecteur de mouvement  Grade 3 avec Ant</t>
  </si>
  <si>
    <t>FIBRA-MOTIONPROTECT-G3-W</t>
  </si>
  <si>
    <t>Détecteur de mouvement  Grade 3 avec ant</t>
  </si>
  <si>
    <t>FIBRA-MOTIONPROTECT-W-NF</t>
  </si>
  <si>
    <t>FIBRA-MOTIONPROTECTPLUS-B</t>
  </si>
  <si>
    <t>Détecteur de mouvement avec capteur micr</t>
  </si>
  <si>
    <t>114.43€</t>
  </si>
  <si>
    <t>FIBRA-MULTIRELAY</t>
  </si>
  <si>
    <t>Module  avec 4 relais</t>
  </si>
  <si>
    <t>89.69€</t>
  </si>
  <si>
    <t>FIBRA-MULTITRANSMITTER-B</t>
  </si>
  <si>
    <t>Multiémetteur  18 zones/entrées avec 3EO</t>
  </si>
  <si>
    <t>228.86€</t>
  </si>
  <si>
    <t>FIBRA-MULTITRANSMITTER-W</t>
  </si>
  <si>
    <t>FIBRA-SEISMOPROTECT-G3-B</t>
  </si>
  <si>
    <t>Détecteur sismique filaire  Grade 3 avec</t>
  </si>
  <si>
    <t>470.09€</t>
  </si>
  <si>
    <t>FIBRA-SEISMOPROTECT-G3-W</t>
  </si>
  <si>
    <t>FIBRA-STREETSIREN-B</t>
  </si>
  <si>
    <t>Sirène de rue  Fibre</t>
  </si>
  <si>
    <t>163.91€</t>
  </si>
  <si>
    <t>FIBRA-STREETSIREN-W</t>
  </si>
  <si>
    <t>FIBRA-STREETSIRENCUSTOM-B</t>
  </si>
  <si>
    <t>Sirène de rue  pour pont personnalisable</t>
  </si>
  <si>
    <t>FIBRA-STREETSIRENCUSTOM-W</t>
  </si>
  <si>
    <t>FIBRA-STREETSIRENPLUS-B</t>
  </si>
  <si>
    <t>Fibra filaire Street Siren Plus blanc</t>
  </si>
  <si>
    <t>299.99€</t>
  </si>
  <si>
    <t>FIBRA-STREETSIRENPLUS-W</t>
  </si>
  <si>
    <t>FIBRA-TRANSMITTER</t>
  </si>
  <si>
    <t>Émetteur  2 zones/entrées avec 3EOL Fibr</t>
  </si>
  <si>
    <t>35.05€</t>
  </si>
  <si>
    <t>GLASSPROTECT-B</t>
  </si>
  <si>
    <t>GlassProtect Noir</t>
  </si>
  <si>
    <t>97.94€</t>
  </si>
  <si>
    <t>GLASSPROTECT-S-B</t>
  </si>
  <si>
    <t>Détecteur acoustique de bris de verre  S</t>
  </si>
  <si>
    <t>105.15€</t>
  </si>
  <si>
    <t>GLASSPROTECT-S-W</t>
  </si>
  <si>
    <t>GLASSPROTECT-W</t>
  </si>
  <si>
    <t>GlassProtect Blanc</t>
  </si>
  <si>
    <t>HOLDERBUTTON-B</t>
  </si>
  <si>
    <t>Holder Button Noir</t>
  </si>
  <si>
    <t>HOLDERBUTTON-W</t>
  </si>
  <si>
    <t>Holder Button Blanc</t>
  </si>
  <si>
    <t>HOMESIREN-B</t>
  </si>
  <si>
    <t>HomeSiren Noir</t>
  </si>
  <si>
    <t>HOMESIREN-S-B</t>
  </si>
  <si>
    <t>Sirène intérieure sans fil  Superior</t>
  </si>
  <si>
    <t>HOMESIREN-S-W</t>
  </si>
  <si>
    <t>HOMESIREN-W</t>
  </si>
  <si>
    <t>HomeSiren Blanc</t>
  </si>
  <si>
    <t>HOOD</t>
  </si>
  <si>
    <t>Hood (MPO)</t>
  </si>
  <si>
    <t>17.53€</t>
  </si>
  <si>
    <t>HUB-B</t>
  </si>
  <si>
    <t>Centrale Hub Noir</t>
  </si>
  <si>
    <t>259.79€</t>
  </si>
  <si>
    <t>HUB-BP-B</t>
  </si>
  <si>
    <t>Centrale Hub BP Noir</t>
  </si>
  <si>
    <t>422.67€</t>
  </si>
  <si>
    <t>HUB-BP-W</t>
  </si>
  <si>
    <t>Centrale Hub BP Blanc</t>
  </si>
  <si>
    <t>HUB-W</t>
  </si>
  <si>
    <t>Centrale Hub Blanc</t>
  </si>
  <si>
    <t>HUB2-4G-B</t>
  </si>
  <si>
    <t>Centrale Hub2 (4G) Noir</t>
  </si>
  <si>
    <t>541.22€</t>
  </si>
  <si>
    <t>HUB2-4G-W</t>
  </si>
  <si>
    <t>Centrale Hub2 (4G) Blanc</t>
  </si>
  <si>
    <t>HUB2-B</t>
  </si>
  <si>
    <t>Centrale Hub2 (2G) Noir</t>
  </si>
  <si>
    <t>359.78€</t>
  </si>
  <si>
    <t>HUB2-W</t>
  </si>
  <si>
    <t>Centrale Hub2 (2G) Blanc</t>
  </si>
  <si>
    <t>HUB2PLUS-B</t>
  </si>
  <si>
    <t>Hub 2 Plus Noir</t>
  </si>
  <si>
    <t>611.32€</t>
  </si>
  <si>
    <t>HUB2PLUS-W</t>
  </si>
  <si>
    <t>Hub 2 Plus Blanc</t>
  </si>
  <si>
    <t>KEYPADPLUS-B</t>
  </si>
  <si>
    <t>Keypad Plus Noir</t>
  </si>
  <si>
    <t>191.75€</t>
  </si>
  <si>
    <t>KEYPADPLUS-S-B</t>
  </si>
  <si>
    <t>Clavier tactile sans fil  Superior avec</t>
  </si>
  <si>
    <t>210.3€</t>
  </si>
  <si>
    <t>KEYPADPLUS-S-W</t>
  </si>
  <si>
    <t>KEYPADPLUS-W</t>
  </si>
  <si>
    <t>Keypad Plus Blanc</t>
  </si>
  <si>
    <t>KEYPADTOUCHSCREEN-B</t>
  </si>
  <si>
    <t>KeyPad TouchScreen Noir</t>
  </si>
  <si>
    <t>488.65€</t>
  </si>
  <si>
    <t>KEYPADTOUCHSCREEN-W</t>
  </si>
  <si>
    <t>KeyPad TouchScreen Blanc</t>
  </si>
  <si>
    <t>MOTIONCAM-AM-PHOD-S-W</t>
  </si>
  <si>
    <t>Détecteur de mouvement  Superior avec ca</t>
  </si>
  <si>
    <t>282.47€</t>
  </si>
  <si>
    <t>MOTIONCAM-B</t>
  </si>
  <si>
    <t>Detecteur Photo Noir</t>
  </si>
  <si>
    <t>218.55€</t>
  </si>
  <si>
    <t>MOTIONCAM-HD-PHOD-S-B</t>
  </si>
  <si>
    <t>270.1€</t>
  </si>
  <si>
    <t>MOTIONCAM-HD-PHOD-S-W</t>
  </si>
  <si>
    <t>MOTIONCAM-OUT-HM-W</t>
  </si>
  <si>
    <t>MotionCam Outdoor HM Blanc</t>
  </si>
  <si>
    <t>511.33€</t>
  </si>
  <si>
    <t>MOTIONCAM-OUTDOOR-PHOD-W</t>
  </si>
  <si>
    <t>MotionCam Outdoor (PhOD) Blanc</t>
  </si>
  <si>
    <t>452.57€</t>
  </si>
  <si>
    <t>MOTIONCAM-OUTDOOR-W</t>
  </si>
  <si>
    <t>MotionCam Outdoor Blanc</t>
  </si>
  <si>
    <t>408.24€</t>
  </si>
  <si>
    <t>MOTIONCAM-PHOD-B</t>
  </si>
  <si>
    <t>MotionCam (PhOD) Noir</t>
  </si>
  <si>
    <t>246.39€</t>
  </si>
  <si>
    <t>MOTIONCAM-PHOD-S-B</t>
  </si>
  <si>
    <t>263.91€</t>
  </si>
  <si>
    <t>MOTIONCAM-PHOD-S-W</t>
  </si>
  <si>
    <t>MOTIONCAM-PHOD-W</t>
  </si>
  <si>
    <t>MotionCam (PhOD) Blanc</t>
  </si>
  <si>
    <t>MOTIONCAM-W</t>
  </si>
  <si>
    <t>Detecteur Photo Blanc</t>
  </si>
  <si>
    <t>MOTIONPROTECT-B</t>
  </si>
  <si>
    <t>MotionProtect Noir</t>
  </si>
  <si>
    <t>112.37€</t>
  </si>
  <si>
    <t>MOTIONPROTECT-S-B</t>
  </si>
  <si>
    <t>Détecteur de mouvement  Superior</t>
  </si>
  <si>
    <t>MOTIONPROTECT-S-W</t>
  </si>
  <si>
    <t>MOTIONPROTECT-S-W-DUMMY</t>
  </si>
  <si>
    <t>Étui  MotionProtect-S</t>
  </si>
  <si>
    <t>MOTIONPROTECT-W</t>
  </si>
  <si>
    <t>MotionProtect Blanc</t>
  </si>
  <si>
    <t>MOTIONPROTECTPLUS-B</t>
  </si>
  <si>
    <t>MotionProtect Plus Noir</t>
  </si>
  <si>
    <t>MOTIONPROTECTPLUS-S-B</t>
  </si>
  <si>
    <t>Détecteur de mouvement supérieur avec ca</t>
  </si>
  <si>
    <t>144.33€</t>
  </si>
  <si>
    <t>MOTIONPROTECTPLUS-S-W</t>
  </si>
  <si>
    <t>MOTIONPROTECTPLUS-W</t>
  </si>
  <si>
    <t>MotionProtect Plus Blanc</t>
  </si>
  <si>
    <t>MULTITRANSMITTER-B</t>
  </si>
  <si>
    <t>MultiTransmitter Noir</t>
  </si>
  <si>
    <t>236.08€</t>
  </si>
  <si>
    <t>MULTITRANSMITTER-W</t>
  </si>
  <si>
    <t>MultiTransmitter Blanc</t>
  </si>
  <si>
    <t>OUTDOORPROTECT-W</t>
  </si>
  <si>
    <t>MotionProtect Outdoor Blanc</t>
  </si>
  <si>
    <t>330.92€</t>
  </si>
  <si>
    <t>PASS-B LOT DE 10</t>
  </si>
  <si>
    <t>Pass (10pcs) Noir</t>
  </si>
  <si>
    <t>86.6€</t>
  </si>
  <si>
    <t>PASS-W LOT DE 10</t>
  </si>
  <si>
    <t>Pass (10pcs) Blanc</t>
  </si>
  <si>
    <t>PSU-12V-HUB</t>
  </si>
  <si>
    <t>Carte alim 12V Hub/Hubplus</t>
  </si>
  <si>
    <t>37.11€</t>
  </si>
  <si>
    <t>PSU-12V-HUB2</t>
  </si>
  <si>
    <t>Carte alim 12-24V Hub2/Hub2plus/Rex2</t>
  </si>
  <si>
    <t>38.14€</t>
  </si>
  <si>
    <t>PSU-6V-HUB2</t>
  </si>
  <si>
    <t>Carte Alim 6V HUB2</t>
  </si>
  <si>
    <t>RELAY</t>
  </si>
  <si>
    <t>Relay EU</t>
  </si>
  <si>
    <t>71.13€</t>
  </si>
  <si>
    <t>REX-B</t>
  </si>
  <si>
    <t>Repeteur REX Noir</t>
  </si>
  <si>
    <t>194.84€</t>
  </si>
  <si>
    <t>REX-W</t>
  </si>
  <si>
    <t>Repeteur REX Blanc</t>
  </si>
  <si>
    <t>297.93€</t>
  </si>
  <si>
    <t>REX2-B</t>
  </si>
  <si>
    <t>ReX 2 Noir</t>
  </si>
  <si>
    <t>283.5€</t>
  </si>
  <si>
    <t>REX2-W</t>
  </si>
  <si>
    <t>ReX 2 Blanc</t>
  </si>
  <si>
    <t>SPACECONTROL-B</t>
  </si>
  <si>
    <t>SpaceControl Noir</t>
  </si>
  <si>
    <t>SPACECONTROL-S-B</t>
  </si>
  <si>
    <t>Télécommande supérieure pour la gestion</t>
  </si>
  <si>
    <t>55.67€</t>
  </si>
  <si>
    <t>SPACECONTROL-S-W</t>
  </si>
  <si>
    <t>SPACECONTROL-W</t>
  </si>
  <si>
    <t>SpaceControl Blanc</t>
  </si>
  <si>
    <t>SPEAKERPHONE-B</t>
  </si>
  <si>
    <t>Module Vocal noir</t>
  </si>
  <si>
    <t>SPEAKERPHONE-W</t>
  </si>
  <si>
    <t>Module Vocal Blanc</t>
  </si>
  <si>
    <t>STARTERKITCAMPLUS-B</t>
  </si>
  <si>
    <t>StarterKit Cam Plus Noir</t>
  </si>
  <si>
    <t>STARTERKITCAMPLUS-W</t>
  </si>
  <si>
    <t>StarterKit Cam Plus Blanc</t>
  </si>
  <si>
    <t>STREETSIREN-B</t>
  </si>
  <si>
    <t>StreetSiren Noir</t>
  </si>
  <si>
    <t>187.62€</t>
  </si>
  <si>
    <t>STREETSIREN-DDECK-B</t>
  </si>
  <si>
    <t>Sirene exterieur double deck Noir</t>
  </si>
  <si>
    <t>STREETSIREN-DDECK-W</t>
  </si>
  <si>
    <t>Sirene exterieur double deck Blanc</t>
  </si>
  <si>
    <t>STREETSIREN-W</t>
  </si>
  <si>
    <t>StreetSiren Blanc</t>
  </si>
  <si>
    <t>STREETSIRENCUSTOM-S-B</t>
  </si>
  <si>
    <t>Sirène de rue sans fil  Superior pour un</t>
  </si>
  <si>
    <t>207.21€</t>
  </si>
  <si>
    <t>STREETSIRENCUSTOM-S-W</t>
  </si>
  <si>
    <t>STREETSIRENPLUS-S-B</t>
  </si>
  <si>
    <t>Superior Wireless Street Siren Plus noir</t>
  </si>
  <si>
    <t>323.7€</t>
  </si>
  <si>
    <t>STREETSIRENPLUS-S-W</t>
  </si>
  <si>
    <t>Superior Wireless Street Siren Plus blan</t>
  </si>
  <si>
    <t>TAG-B LOT DE 10</t>
  </si>
  <si>
    <t>Tag Noir (10pcs)</t>
  </si>
  <si>
    <t>92.78€</t>
  </si>
  <si>
    <t>TAG-W LOT DE 10</t>
  </si>
  <si>
    <t>Tag Blanc (10pcs)</t>
  </si>
  <si>
    <t>TRANSMITTER</t>
  </si>
  <si>
    <t>Transmitter</t>
  </si>
  <si>
    <t>WALLSWITCH-B</t>
  </si>
  <si>
    <t>WallSwitch Noir</t>
  </si>
  <si>
    <t>BULLETCAM-5-0400-HL-B</t>
  </si>
  <si>
    <t>Bullet IP 5Mpx 4mm HL H.265+ MIC PoE IA</t>
  </si>
  <si>
    <t xml:space="preserve">AJVIDEOM03 </t>
  </si>
  <si>
    <t>VIDEOSURVEILLANCE</t>
  </si>
  <si>
    <t>276.28€</t>
  </si>
  <si>
    <t>BULLETCAM-5-0400-HL-W</t>
  </si>
  <si>
    <t>BULLETCAM-5-4-B</t>
  </si>
  <si>
    <t>BulletCam (5 Mp/4 mm) Noir</t>
  </si>
  <si>
    <t>226.8€</t>
  </si>
  <si>
    <t>BULLETCAM-5-4-W</t>
  </si>
  <si>
    <t>BulletCam (5 Mp/4 mm) Blanc</t>
  </si>
  <si>
    <t>BULLETCAM-5-B</t>
  </si>
  <si>
    <t>BulletCam (5 Mp/2.8 mm) Noir</t>
  </si>
  <si>
    <t>BULLETCAM-5-HL-B</t>
  </si>
  <si>
    <t>Bullet IP 5Mpx 2.8mm HL H.265+ MIC PoE I</t>
  </si>
  <si>
    <t>BULLETCAM-5-HL-W</t>
  </si>
  <si>
    <t>Bullet IP 5Mpx 2.8mm HL 50m H.265+ MIC P</t>
  </si>
  <si>
    <t>BULLETCAM-5-W</t>
  </si>
  <si>
    <t>BulletCam (5 Mp/2.8 mm) Blanc</t>
  </si>
  <si>
    <t>BULLETCAM-8-0400-HL-B</t>
  </si>
  <si>
    <t>Bullet IP 8Mpx 4mm HL H.265 MIC PoE IA I</t>
  </si>
  <si>
    <t>369.06€</t>
  </si>
  <si>
    <t>BULLETCAM-8-0400-HL-W</t>
  </si>
  <si>
    <t>BULLETCAM-8-4-B</t>
  </si>
  <si>
    <t>BulletCam (8 Mp/4 mm) Noir</t>
  </si>
  <si>
    <t>294.84€</t>
  </si>
  <si>
    <t>BULLETCAM-8-4-W</t>
  </si>
  <si>
    <t>BulletCam (8 Mp/4 mm) Blanc</t>
  </si>
  <si>
    <t>BULLETCAM-8-B</t>
  </si>
  <si>
    <t>BulletCam (8 Mp/2.8 mm) Noir</t>
  </si>
  <si>
    <t>BULLETCAM-8-HL-B</t>
  </si>
  <si>
    <t>Bullet IP 8Mpx 2.8mm HL H.265 MIC PoE IA</t>
  </si>
  <si>
    <t>BULLETCAM-8-HL-W</t>
  </si>
  <si>
    <t>BULLETCAM-8-W</t>
  </si>
  <si>
    <t>BulletCam (8 Mp/2.8 mm) Blanc</t>
  </si>
  <si>
    <t>DOMECAM-5-4-B</t>
  </si>
  <si>
    <t>DomeCam Mini (5 Mp/4 mm) Noir</t>
  </si>
  <si>
    <t>DOMECAM-5-4-W</t>
  </si>
  <si>
    <t>DomeCam Mini (5 Mp/4 mm) Blanc</t>
  </si>
  <si>
    <t>DOMECAM-5-B</t>
  </si>
  <si>
    <t>DomeCam Mini (5 Mp/2.8 mm) Noir</t>
  </si>
  <si>
    <t>DOMECAM-5-W</t>
  </si>
  <si>
    <t>DomeCam Mini (5 Mp/2.8 mm) Blanc</t>
  </si>
  <si>
    <t>DOMECAM-8-4-B</t>
  </si>
  <si>
    <t>DomeCam Mini (8 Mp/4 mm) Noir</t>
  </si>
  <si>
    <t>DOMECAM-8-4-W</t>
  </si>
  <si>
    <t>DomeCam Mini (8 Mp/4 mm) Blanc</t>
  </si>
  <si>
    <t>DOMECAM-8-B</t>
  </si>
  <si>
    <t>DomeCam Mini (8 Mp/2.8 mm) Noir</t>
  </si>
  <si>
    <t>DOMECAM-8-W</t>
  </si>
  <si>
    <t>DomeCam Mini (8 Mp/2.8 mm) Blanc</t>
  </si>
  <si>
    <t>DOMECAM-MINI-5-0400-HL-B</t>
  </si>
  <si>
    <t>Dôme IP 5Mpx 4mm HL H.265+ MIC PoE IA IP</t>
  </si>
  <si>
    <t>DOMECAM-MINI-5-0400-HL-W</t>
  </si>
  <si>
    <t>DOMECAM-MINI-5-HL-B</t>
  </si>
  <si>
    <t>Dôme IP 5Mpx 2.8mm HL H.265+ MIC PoE IA</t>
  </si>
  <si>
    <t>DOMECAM-MINI-5-HL-W</t>
  </si>
  <si>
    <t>DOMECAM-MINI-8-0400-HL-B</t>
  </si>
  <si>
    <t>Dôme IP 8Mpx 4mm HL H.265+ MIC PoE IA IP</t>
  </si>
  <si>
    <t>DOMECAM-MINI-8-0400-HL-W</t>
  </si>
  <si>
    <t>DOMECAM-MINI-8-HL-B</t>
  </si>
  <si>
    <t>Dôme IP 8Mpx 2.8mm HL H.265+ MIC PoE IA</t>
  </si>
  <si>
    <t>DOMECAM-MINI-8-HL-W</t>
  </si>
  <si>
    <t>DOORBELL-B</t>
  </si>
  <si>
    <t>Doorbell Noir</t>
  </si>
  <si>
    <t>403.08€</t>
  </si>
  <si>
    <t>DOORBELL-GP</t>
  </si>
  <si>
    <t>Doorbell - GP</t>
  </si>
  <si>
    <t>DOORBELL-GR</t>
  </si>
  <si>
    <t>Doorbell - GR</t>
  </si>
  <si>
    <t>DOORBELL-W</t>
  </si>
  <si>
    <t>Doorbell Blanc</t>
  </si>
  <si>
    <t>INDOORCAM-B</t>
  </si>
  <si>
    <t>IndoorCam Noir</t>
  </si>
  <si>
    <t>370.09€</t>
  </si>
  <si>
    <t>INDOORCAM-W</t>
  </si>
  <si>
    <t>IndoorCam Blanc</t>
  </si>
  <si>
    <t>JUNCTIONBOX-B</t>
  </si>
  <si>
    <t>JunctionBox (118) Noir</t>
  </si>
  <si>
    <t>JUNCTIONBOX-W</t>
  </si>
  <si>
    <t>JunctionBox (118) Blanc</t>
  </si>
  <si>
    <t>NVR108-B</t>
  </si>
  <si>
    <t>NVR (8ch) Noir</t>
  </si>
  <si>
    <t>NVR108-HAC-B</t>
  </si>
  <si>
    <t>NVR (8ch) Noir Hdmi</t>
  </si>
  <si>
    <t>425.76€</t>
  </si>
  <si>
    <t>NVR108-HAC-W</t>
  </si>
  <si>
    <t>NVR (8ch) Blanc Hdmi</t>
  </si>
  <si>
    <t>NVR108-W</t>
  </si>
  <si>
    <t>NVR (8ch) Blanc</t>
  </si>
  <si>
    <t>NVR116-B</t>
  </si>
  <si>
    <t>NVR (16ch) Noir</t>
  </si>
  <si>
    <t>570.09€</t>
  </si>
  <si>
    <t>NVR116-HAC-B</t>
  </si>
  <si>
    <t>NVR (16ch) Noir Hdmi</t>
  </si>
  <si>
    <t>NVR116-HAC-W</t>
  </si>
  <si>
    <t>NVR (16ch) Blanc Hdmi</t>
  </si>
  <si>
    <t>NVR116-W</t>
  </si>
  <si>
    <t>NVR (16ch) Blanc</t>
  </si>
  <si>
    <t>TURRETCAM-5-0400-HL-B</t>
  </si>
  <si>
    <t>Turret IP 5Mpx 4mm HL H.265+ MIC PoE IA</t>
  </si>
  <si>
    <t>TURRETCAM-5-0400-HL-W</t>
  </si>
  <si>
    <t>Turret AJAX IP 5Mpx 4mm HL H.265+ MIC Po</t>
  </si>
  <si>
    <t>TURRETCAM-5-4-B</t>
  </si>
  <si>
    <t>TurretCam (5 Mp/4 mm) Noir</t>
  </si>
  <si>
    <t>TURRETCAM-5-4-W</t>
  </si>
  <si>
    <t>TurretCam (5 Mp/4 mm) Blanc</t>
  </si>
  <si>
    <t>TURRETCAM-5-B</t>
  </si>
  <si>
    <t>TurretCam (5 Mp/2.8 mm) Noir</t>
  </si>
  <si>
    <t>TURRETCAM-5-HL-B</t>
  </si>
  <si>
    <t>Turret IP 5Mpx 2.8mm HL H.265+ MIC PoE I</t>
  </si>
  <si>
    <t>TURRETCAM-5-HL-W</t>
  </si>
  <si>
    <t>TURRETCAM-5-W</t>
  </si>
  <si>
    <t>TurretCam (5 Mp/2.8 mm) Blanc</t>
  </si>
  <si>
    <t>TURRETCAM-8-0400-HL-B</t>
  </si>
  <si>
    <t>Turret IP 8Mpx 4mm HL H.265+ MIC PoE IA</t>
  </si>
  <si>
    <t>TURRETCAM-8-0400-HL-W</t>
  </si>
  <si>
    <t>TURRETCAM-8-4-B</t>
  </si>
  <si>
    <t>TurretCam (8 Mp/4 mm) Noir</t>
  </si>
  <si>
    <t>TURRETCAM-8-4-W</t>
  </si>
  <si>
    <t>TurretCam (8 Mp/4 mm) Blanc</t>
  </si>
  <si>
    <t>TURRETCAM-8-B</t>
  </si>
  <si>
    <t>TurretCam (8 Mp/2.8 mm) Noir</t>
  </si>
  <si>
    <t>TURRETCAM-8-HL-B</t>
  </si>
  <si>
    <t>Turret IP 8Mpx 2,8mm HL H.265+ MIC PoE I</t>
  </si>
  <si>
    <t>TURRETCAM-8-HL-W</t>
  </si>
  <si>
    <t>TURRETCAM-8-W</t>
  </si>
  <si>
    <t>TurretCam (8 Mp/2.8 mm) Blanc</t>
  </si>
  <si>
    <t>FIREPROTECT-B</t>
  </si>
  <si>
    <t>Detecteur de Fumee Noir</t>
  </si>
  <si>
    <t xml:space="preserve">AJINCENDIEM03 </t>
  </si>
  <si>
    <t>INCENDIE</t>
  </si>
  <si>
    <t>113.4€</t>
  </si>
  <si>
    <t>FIREPROTECT-W</t>
  </si>
  <si>
    <t>Detecteur de Fumee Blanc</t>
  </si>
  <si>
    <t>FIREPROTECT2-HS-RB-B</t>
  </si>
  <si>
    <t>Detecteur Chaleur/Fumee Noir</t>
  </si>
  <si>
    <t>122.68€</t>
  </si>
  <si>
    <t>FIREPROTECT2-HS-RB-W</t>
  </si>
  <si>
    <t>FireProtect Heat/Smoke Blanc</t>
  </si>
  <si>
    <t>FIREPROTECT2-HSC-RB-B</t>
  </si>
  <si>
    <t>FireProtect Heat/Smoke/CO Noir</t>
  </si>
  <si>
    <t>FIREPROTECT2-HSC-RB-W</t>
  </si>
  <si>
    <t>FireProtect Heat/Smoke/CO Blanc</t>
  </si>
  <si>
    <t>MANUALCALLPOINT-R</t>
  </si>
  <si>
    <t>Declencheur manuel Rouge</t>
  </si>
  <si>
    <t>127.83€</t>
  </si>
  <si>
    <t>MANUALCALLPOINT-Y</t>
  </si>
  <si>
    <t>Declencheur manuel Jaune</t>
  </si>
  <si>
    <t>LEAKSPROTECT-B</t>
  </si>
  <si>
    <t>LeaksProtect Noir</t>
  </si>
  <si>
    <t xml:space="preserve">AJINONDATIONM03 </t>
  </si>
  <si>
    <t>INONDATION</t>
  </si>
  <si>
    <t>77.32€</t>
  </si>
  <si>
    <t>LEAKSPROTECT-W</t>
  </si>
  <si>
    <t>LeaksProtect Blanc</t>
  </si>
  <si>
    <t>WATERSTOP-1-B</t>
  </si>
  <si>
    <t>WaterStop [1] Noir</t>
  </si>
  <si>
    <t>447.41€</t>
  </si>
  <si>
    <t>WATERSTOP-1-W</t>
  </si>
  <si>
    <t>WaterStop [1] Blanc</t>
  </si>
  <si>
    <t>WATERSTOP-1/2-B</t>
  </si>
  <si>
    <t>WaterStop [1/2] Noir</t>
  </si>
  <si>
    <t>WATERSTOP-1/2-W</t>
  </si>
  <si>
    <t>WaterStop [1/2] Blanc</t>
  </si>
  <si>
    <t>WATERSTOP-3/4-B</t>
  </si>
  <si>
    <t>WaterStop [3/4] Noir</t>
  </si>
  <si>
    <t>381.43€</t>
  </si>
  <si>
    <t>WATERSTOP-3/4-W</t>
  </si>
  <si>
    <t>WaterStop [3/4] Blanc</t>
  </si>
  <si>
    <t>LIFEQUALITY-B</t>
  </si>
  <si>
    <t>LifeQuality Noir</t>
  </si>
  <si>
    <t xml:space="preserve">AJCONFORTM03 </t>
  </si>
  <si>
    <t>CONFORT</t>
  </si>
  <si>
    <t>491.74€</t>
  </si>
  <si>
    <t>LIFEQUALITY-W</t>
  </si>
  <si>
    <t>LifeQuality Blanc</t>
  </si>
  <si>
    <t>LIGHTCORE-1G</t>
  </si>
  <si>
    <t>LightCore (1G) [55]</t>
  </si>
  <si>
    <t>130.92€</t>
  </si>
  <si>
    <t>LIGHTCORE-1G-2W</t>
  </si>
  <si>
    <t>LightCore (2W) [55]</t>
  </si>
  <si>
    <t>LIGHTCORE-2G</t>
  </si>
  <si>
    <t>LightCore (2G) [55]</t>
  </si>
  <si>
    <t>149.48€</t>
  </si>
  <si>
    <t>LIGHTCORE-2G-2W</t>
  </si>
  <si>
    <t>LightCore (2G/2W) [55]</t>
  </si>
  <si>
    <t>153.6€</t>
  </si>
  <si>
    <t>LIGHTCORE-CROSSOVER</t>
  </si>
  <si>
    <t>LightCore (Crossover) [55]</t>
  </si>
  <si>
    <t>LIGHTCORE-DIMMER</t>
  </si>
  <si>
    <t>LightCore (Dimmer) [55]</t>
  </si>
  <si>
    <t>OUTLETCORESMART-E</t>
  </si>
  <si>
    <t>OutletCore Smart (E) [55]</t>
  </si>
  <si>
    <t>69.07€</t>
  </si>
  <si>
    <t>SOCKET-B</t>
  </si>
  <si>
    <t>Socket Noir</t>
  </si>
  <si>
    <t>118.55€</t>
  </si>
  <si>
    <t>SOCKET-W</t>
  </si>
  <si>
    <t>Socket Blanc</t>
  </si>
  <si>
    <t>SOLOBUTTON-1G-2W-B</t>
  </si>
  <si>
    <t>SoloButton (1G/2W) [55] Noir</t>
  </si>
  <si>
    <t>18.56€</t>
  </si>
  <si>
    <t>SOLOBUTTON-1G-2W-W</t>
  </si>
  <si>
    <t>SoloButton (1G/2W) [55] Blanc</t>
  </si>
  <si>
    <t>SOLOBUTTON-2G-B</t>
  </si>
  <si>
    <t>SoloButton (2G) [55] Noir</t>
  </si>
  <si>
    <t>20.62€</t>
  </si>
  <si>
    <t>SOLOBUTTON-2G-W</t>
  </si>
  <si>
    <t>SoloButton (2G) [55] Blanc</t>
  </si>
  <si>
    <t>SOLOBUTTON-DIMMER-B</t>
  </si>
  <si>
    <t>SoloButton (Dimmer) [55] Noir</t>
  </si>
  <si>
    <t>SOLOBUTTON-DIMMER-W</t>
  </si>
  <si>
    <t>SoloButton (Dimmer) [55] Blanc</t>
  </si>
  <si>
    <t>SOLOCOVERSMART-E-B</t>
  </si>
  <si>
    <t>SoloCover Smart (E) [55] Noir</t>
  </si>
  <si>
    <t>25.77€</t>
  </si>
  <si>
    <t>SOLOCOVERSMART-E-W</t>
  </si>
  <si>
    <t>SoloCover Smart (E) [55] Blanc</t>
  </si>
  <si>
    <t>SURFACEMOUNTINGBOX-W</t>
  </si>
  <si>
    <t>Surface Mounting box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</si>
</sst>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9DF2-1495-4C62-BB10-C97DDB066373}">
  <dimension ref="A1:J280"/>
  <sheetViews>
    <sheetView tabSelected="1" topLeftCell="B1" workbookViewId="0">
      <selection activeCell="I1" sqref="I1:I104857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</row>
    <row r="2" spans="1:10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s="1"/>
      <c r="H2" t="str">
        <f>""</f>
        <v/>
      </c>
      <c r="J2" t="s">
        <v>13</v>
      </c>
    </row>
    <row r="3" spans="1:10" x14ac:dyDescent="0.25">
      <c r="A3" t="s">
        <v>8</v>
      </c>
      <c r="B3" t="s">
        <v>14</v>
      </c>
      <c r="C3" t="s">
        <v>15</v>
      </c>
      <c r="D3">
        <v>1</v>
      </c>
      <c r="E3" t="s">
        <v>11</v>
      </c>
      <c r="F3" t="s">
        <v>12</v>
      </c>
      <c r="G3" s="1"/>
      <c r="H3" t="str">
        <f>"4823114017469"</f>
        <v>4823114017469</v>
      </c>
      <c r="J3" t="s">
        <v>16</v>
      </c>
    </row>
    <row r="4" spans="1:10" x14ac:dyDescent="0.25">
      <c r="A4" t="s">
        <v>8</v>
      </c>
      <c r="B4" t="s">
        <v>17</v>
      </c>
      <c r="C4" t="s">
        <v>18</v>
      </c>
      <c r="D4">
        <v>1</v>
      </c>
      <c r="E4" t="s">
        <v>11</v>
      </c>
      <c r="F4" t="s">
        <v>12</v>
      </c>
      <c r="G4" s="1"/>
      <c r="H4" t="str">
        <f>"4823114017476"</f>
        <v>4823114017476</v>
      </c>
      <c r="J4" t="s">
        <v>16</v>
      </c>
    </row>
    <row r="5" spans="1:10" x14ac:dyDescent="0.25">
      <c r="A5" t="s">
        <v>8</v>
      </c>
      <c r="B5" t="s">
        <v>19</v>
      </c>
      <c r="C5" t="s">
        <v>20</v>
      </c>
      <c r="D5">
        <v>1</v>
      </c>
      <c r="E5" t="s">
        <v>11</v>
      </c>
      <c r="F5" t="s">
        <v>12</v>
      </c>
      <c r="G5" s="1"/>
      <c r="H5" t="str">
        <f>"4823114014987"</f>
        <v>4823114014987</v>
      </c>
      <c r="J5" t="s">
        <v>21</v>
      </c>
    </row>
    <row r="6" spans="1:10" x14ac:dyDescent="0.25">
      <c r="A6" t="s">
        <v>8</v>
      </c>
      <c r="B6" t="s">
        <v>22</v>
      </c>
      <c r="C6" t="s">
        <v>23</v>
      </c>
      <c r="D6">
        <v>1</v>
      </c>
      <c r="E6" t="s">
        <v>11</v>
      </c>
      <c r="F6" t="s">
        <v>12</v>
      </c>
      <c r="G6" s="1"/>
      <c r="H6" t="str">
        <f>""</f>
        <v/>
      </c>
      <c r="J6" t="s">
        <v>24</v>
      </c>
    </row>
    <row r="7" spans="1:10" x14ac:dyDescent="0.25">
      <c r="A7" t="s">
        <v>8</v>
      </c>
      <c r="B7" t="s">
        <v>25</v>
      </c>
      <c r="C7" t="s">
        <v>23</v>
      </c>
      <c r="D7">
        <v>1</v>
      </c>
      <c r="E7" t="s">
        <v>11</v>
      </c>
      <c r="F7" t="s">
        <v>12</v>
      </c>
      <c r="G7" s="1"/>
      <c r="H7" t="str">
        <f>""</f>
        <v/>
      </c>
      <c r="J7" t="s">
        <v>24</v>
      </c>
    </row>
    <row r="8" spans="1:10" x14ac:dyDescent="0.25">
      <c r="A8" t="s">
        <v>8</v>
      </c>
      <c r="B8" t="s">
        <v>26</v>
      </c>
      <c r="C8" t="s">
        <v>27</v>
      </c>
      <c r="D8">
        <v>1</v>
      </c>
      <c r="E8" t="s">
        <v>11</v>
      </c>
      <c r="F8" t="s">
        <v>12</v>
      </c>
      <c r="G8" s="1"/>
      <c r="H8" t="str">
        <f>"4823114014970"</f>
        <v>4823114014970</v>
      </c>
      <c r="J8" t="s">
        <v>21</v>
      </c>
    </row>
    <row r="9" spans="1:10" x14ac:dyDescent="0.25">
      <c r="A9" t="s">
        <v>8</v>
      </c>
      <c r="B9" t="s">
        <v>28</v>
      </c>
      <c r="C9" t="s">
        <v>29</v>
      </c>
      <c r="D9">
        <v>1</v>
      </c>
      <c r="E9" t="s">
        <v>11</v>
      </c>
      <c r="F9" t="s">
        <v>12</v>
      </c>
      <c r="G9" s="1"/>
      <c r="H9" t="str">
        <f>"4823114014963"</f>
        <v>4823114014963</v>
      </c>
      <c r="J9" t="s">
        <v>30</v>
      </c>
    </row>
    <row r="10" spans="1:10" x14ac:dyDescent="0.25">
      <c r="A10" t="s">
        <v>8</v>
      </c>
      <c r="B10" t="s">
        <v>31</v>
      </c>
      <c r="C10" t="s">
        <v>32</v>
      </c>
      <c r="D10">
        <v>1</v>
      </c>
      <c r="E10" t="s">
        <v>11</v>
      </c>
      <c r="F10" t="s">
        <v>12</v>
      </c>
      <c r="G10" s="1"/>
      <c r="H10" t="str">
        <f>""</f>
        <v/>
      </c>
      <c r="J10" t="s">
        <v>33</v>
      </c>
    </row>
    <row r="11" spans="1:10" x14ac:dyDescent="0.25">
      <c r="A11" t="s">
        <v>8</v>
      </c>
      <c r="B11" t="s">
        <v>34</v>
      </c>
      <c r="C11" t="s">
        <v>32</v>
      </c>
      <c r="D11">
        <v>1</v>
      </c>
      <c r="E11" t="s">
        <v>11</v>
      </c>
      <c r="F11" t="s">
        <v>12</v>
      </c>
      <c r="G11" s="1"/>
      <c r="H11" t="str">
        <f>""</f>
        <v/>
      </c>
      <c r="J11" t="s">
        <v>33</v>
      </c>
    </row>
    <row r="12" spans="1:10" x14ac:dyDescent="0.25">
      <c r="A12" t="s">
        <v>8</v>
      </c>
      <c r="B12" t="s">
        <v>35</v>
      </c>
      <c r="C12" t="s">
        <v>36</v>
      </c>
      <c r="D12">
        <v>1</v>
      </c>
      <c r="E12" t="s">
        <v>11</v>
      </c>
      <c r="F12" t="s">
        <v>12</v>
      </c>
      <c r="G12" s="1"/>
      <c r="H12" t="str">
        <f>"4823114014956"</f>
        <v>4823114014956</v>
      </c>
      <c r="J12" t="s">
        <v>30</v>
      </c>
    </row>
    <row r="13" spans="1:10" x14ac:dyDescent="0.25">
      <c r="A13" t="s">
        <v>8</v>
      </c>
      <c r="B13" t="s">
        <v>37</v>
      </c>
      <c r="C13" t="s">
        <v>38</v>
      </c>
      <c r="D13">
        <v>1</v>
      </c>
      <c r="E13" t="s">
        <v>11</v>
      </c>
      <c r="F13" t="s">
        <v>12</v>
      </c>
      <c r="G13" s="1"/>
      <c r="H13" t="str">
        <f>"4823114061639"</f>
        <v>4823114061639</v>
      </c>
      <c r="J13" t="s">
        <v>39</v>
      </c>
    </row>
    <row r="14" spans="1:10" x14ac:dyDescent="0.25">
      <c r="A14" t="s">
        <v>8</v>
      </c>
      <c r="B14" t="s">
        <v>40</v>
      </c>
      <c r="C14" t="s">
        <v>41</v>
      </c>
      <c r="D14">
        <v>1</v>
      </c>
      <c r="E14" t="s">
        <v>11</v>
      </c>
      <c r="F14" t="s">
        <v>12</v>
      </c>
      <c r="G14" s="1"/>
      <c r="H14" t="str">
        <f>"4823114015311"</f>
        <v>4823114015311</v>
      </c>
      <c r="J14" t="s">
        <v>42</v>
      </c>
    </row>
    <row r="15" spans="1:10" x14ac:dyDescent="0.25">
      <c r="A15" t="s">
        <v>8</v>
      </c>
      <c r="B15" t="s">
        <v>43</v>
      </c>
      <c r="C15" t="s">
        <v>44</v>
      </c>
      <c r="D15">
        <v>1</v>
      </c>
      <c r="E15" t="s">
        <v>11</v>
      </c>
      <c r="F15" t="s">
        <v>12</v>
      </c>
      <c r="G15" s="1"/>
      <c r="H15" t="str">
        <f>"4823114015304"</f>
        <v>4823114015304</v>
      </c>
      <c r="J15" t="s">
        <v>42</v>
      </c>
    </row>
    <row r="16" spans="1:10" x14ac:dyDescent="0.25">
      <c r="A16" t="s">
        <v>8</v>
      </c>
      <c r="B16" t="s">
        <v>45</v>
      </c>
      <c r="C16" t="s">
        <v>46</v>
      </c>
      <c r="D16">
        <v>1</v>
      </c>
      <c r="E16" t="s">
        <v>11</v>
      </c>
      <c r="F16" t="s">
        <v>12</v>
      </c>
      <c r="G16" s="1"/>
      <c r="H16" t="str">
        <f>"4823114027789"</f>
        <v>4823114027789</v>
      </c>
      <c r="J16" t="s">
        <v>47</v>
      </c>
    </row>
    <row r="17" spans="1:10" x14ac:dyDescent="0.25">
      <c r="A17" t="s">
        <v>8</v>
      </c>
      <c r="B17" t="s">
        <v>48</v>
      </c>
      <c r="C17" t="s">
        <v>49</v>
      </c>
      <c r="D17">
        <v>1</v>
      </c>
      <c r="E17" t="s">
        <v>11</v>
      </c>
      <c r="F17" t="s">
        <v>12</v>
      </c>
      <c r="G17" s="1"/>
      <c r="H17" t="str">
        <f>"4823114014949"</f>
        <v>4823114014949</v>
      </c>
      <c r="J17" t="s">
        <v>50</v>
      </c>
    </row>
    <row r="18" spans="1:10" x14ac:dyDescent="0.25">
      <c r="A18" t="s">
        <v>8</v>
      </c>
      <c r="B18" t="s">
        <v>51</v>
      </c>
      <c r="C18" t="s">
        <v>52</v>
      </c>
      <c r="D18">
        <v>1</v>
      </c>
      <c r="E18" t="s">
        <v>11</v>
      </c>
      <c r="F18" t="s">
        <v>12</v>
      </c>
      <c r="G18" s="1"/>
      <c r="H18" t="str">
        <f>""</f>
        <v/>
      </c>
      <c r="J18" t="s">
        <v>53</v>
      </c>
    </row>
    <row r="19" spans="1:10" x14ac:dyDescent="0.25">
      <c r="A19" t="s">
        <v>8</v>
      </c>
      <c r="B19" t="s">
        <v>54</v>
      </c>
      <c r="C19" t="s">
        <v>52</v>
      </c>
      <c r="D19">
        <v>1</v>
      </c>
      <c r="E19" t="s">
        <v>11</v>
      </c>
      <c r="F19" t="s">
        <v>12</v>
      </c>
      <c r="G19" s="1"/>
      <c r="H19" t="str">
        <f>""</f>
        <v/>
      </c>
      <c r="J19" t="s">
        <v>53</v>
      </c>
    </row>
    <row r="20" spans="1:10" x14ac:dyDescent="0.25">
      <c r="A20" t="s">
        <v>8</v>
      </c>
      <c r="B20" t="s">
        <v>55</v>
      </c>
      <c r="C20" t="s">
        <v>56</v>
      </c>
      <c r="D20">
        <v>1</v>
      </c>
      <c r="E20" t="s">
        <v>11</v>
      </c>
      <c r="F20" t="s">
        <v>12</v>
      </c>
      <c r="G20" s="1"/>
      <c r="H20" t="str">
        <f>"4823114014932"</f>
        <v>4823114014932</v>
      </c>
      <c r="J20" t="s">
        <v>50</v>
      </c>
    </row>
    <row r="21" spans="1:10" x14ac:dyDescent="0.25">
      <c r="A21" t="s">
        <v>8</v>
      </c>
      <c r="B21" t="s">
        <v>57</v>
      </c>
      <c r="C21" t="s">
        <v>58</v>
      </c>
      <c r="D21">
        <v>1</v>
      </c>
      <c r="E21" t="s">
        <v>11</v>
      </c>
      <c r="F21" t="s">
        <v>12</v>
      </c>
      <c r="G21" s="1"/>
      <c r="H21" t="str">
        <f>"4823114014925"</f>
        <v>4823114014925</v>
      </c>
      <c r="J21" t="s">
        <v>59</v>
      </c>
    </row>
    <row r="22" spans="1:10" x14ac:dyDescent="0.25">
      <c r="A22" t="s">
        <v>8</v>
      </c>
      <c r="B22" t="s">
        <v>60</v>
      </c>
      <c r="C22" t="s">
        <v>61</v>
      </c>
      <c r="D22">
        <v>1</v>
      </c>
      <c r="E22" t="s">
        <v>11</v>
      </c>
      <c r="F22" t="s">
        <v>12</v>
      </c>
      <c r="G22" s="1"/>
      <c r="H22" t="str">
        <f>""</f>
        <v/>
      </c>
      <c r="J22" t="s">
        <v>62</v>
      </c>
    </row>
    <row r="23" spans="1:10" x14ac:dyDescent="0.25">
      <c r="A23" t="s">
        <v>8</v>
      </c>
      <c r="B23" t="s">
        <v>63</v>
      </c>
      <c r="C23" t="s">
        <v>61</v>
      </c>
      <c r="D23">
        <v>1</v>
      </c>
      <c r="E23" t="s">
        <v>11</v>
      </c>
      <c r="F23" t="s">
        <v>12</v>
      </c>
      <c r="G23" s="1"/>
      <c r="H23" t="str">
        <f>""</f>
        <v/>
      </c>
      <c r="J23" t="s">
        <v>62</v>
      </c>
    </row>
    <row r="24" spans="1:10" x14ac:dyDescent="0.25">
      <c r="A24" t="s">
        <v>8</v>
      </c>
      <c r="B24" t="s">
        <v>64</v>
      </c>
      <c r="C24" t="s">
        <v>65</v>
      </c>
      <c r="D24">
        <v>1</v>
      </c>
      <c r="E24" t="s">
        <v>11</v>
      </c>
      <c r="F24" t="s">
        <v>12</v>
      </c>
      <c r="G24" s="1"/>
      <c r="H24" t="str">
        <f>"4823114014918"</f>
        <v>4823114014918</v>
      </c>
      <c r="J24" t="s">
        <v>59</v>
      </c>
    </row>
    <row r="25" spans="1:10" x14ac:dyDescent="0.25">
      <c r="A25" t="s">
        <v>8</v>
      </c>
      <c r="B25" t="s">
        <v>66</v>
      </c>
      <c r="C25" t="s">
        <v>67</v>
      </c>
      <c r="D25">
        <v>1</v>
      </c>
      <c r="E25" t="s">
        <v>11</v>
      </c>
      <c r="F25" t="s">
        <v>12</v>
      </c>
      <c r="G25" s="1"/>
      <c r="H25" t="str">
        <f>"810031993871"</f>
        <v>810031993871</v>
      </c>
      <c r="J25" t="s">
        <v>68</v>
      </c>
    </row>
    <row r="26" spans="1:10" x14ac:dyDescent="0.25">
      <c r="A26" t="s">
        <v>8</v>
      </c>
      <c r="B26" t="s">
        <v>69</v>
      </c>
      <c r="C26" t="s">
        <v>70</v>
      </c>
      <c r="D26">
        <v>1</v>
      </c>
      <c r="E26" t="s">
        <v>11</v>
      </c>
      <c r="F26" t="s">
        <v>12</v>
      </c>
      <c r="G26" s="1"/>
      <c r="H26" t="str">
        <f>"4823114014895"</f>
        <v>4823114014895</v>
      </c>
      <c r="J26" t="s">
        <v>68</v>
      </c>
    </row>
    <row r="27" spans="1:10" x14ac:dyDescent="0.25">
      <c r="A27" t="s">
        <v>8</v>
      </c>
      <c r="B27" t="s">
        <v>71</v>
      </c>
      <c r="C27" t="s">
        <v>72</v>
      </c>
      <c r="D27">
        <v>1</v>
      </c>
      <c r="E27" t="s">
        <v>11</v>
      </c>
      <c r="F27" t="s">
        <v>12</v>
      </c>
      <c r="G27" s="1"/>
      <c r="H27" t="str">
        <f>"4823114017353"</f>
        <v>4823114017353</v>
      </c>
      <c r="J27" t="s">
        <v>73</v>
      </c>
    </row>
    <row r="28" spans="1:10" x14ac:dyDescent="0.25">
      <c r="A28" t="s">
        <v>8</v>
      </c>
      <c r="B28" t="s">
        <v>74</v>
      </c>
      <c r="C28" t="s">
        <v>75</v>
      </c>
      <c r="D28">
        <v>1</v>
      </c>
      <c r="E28" t="s">
        <v>11</v>
      </c>
      <c r="F28" t="s">
        <v>12</v>
      </c>
      <c r="G28" s="1"/>
      <c r="H28" t="str">
        <f>""</f>
        <v/>
      </c>
      <c r="J28" t="s">
        <v>76</v>
      </c>
    </row>
    <row r="29" spans="1:10" x14ac:dyDescent="0.25">
      <c r="A29" t="s">
        <v>8</v>
      </c>
      <c r="B29" t="s">
        <v>77</v>
      </c>
      <c r="C29" t="s">
        <v>75</v>
      </c>
      <c r="D29">
        <v>1</v>
      </c>
      <c r="E29" t="s">
        <v>11</v>
      </c>
      <c r="F29" t="s">
        <v>12</v>
      </c>
      <c r="G29" s="1"/>
      <c r="H29" t="str">
        <f>""</f>
        <v/>
      </c>
      <c r="J29" t="s">
        <v>76</v>
      </c>
    </row>
    <row r="30" spans="1:10" x14ac:dyDescent="0.25">
      <c r="A30" t="s">
        <v>8</v>
      </c>
      <c r="B30" t="s">
        <v>78</v>
      </c>
      <c r="C30" t="s">
        <v>79</v>
      </c>
      <c r="D30">
        <v>1</v>
      </c>
      <c r="E30" t="s">
        <v>11</v>
      </c>
      <c r="F30" t="s">
        <v>12</v>
      </c>
      <c r="G30" s="1"/>
      <c r="H30" t="str">
        <f>""</f>
        <v/>
      </c>
      <c r="J30" t="s">
        <v>80</v>
      </c>
    </row>
    <row r="31" spans="1:10" x14ac:dyDescent="0.25">
      <c r="A31" t="s">
        <v>8</v>
      </c>
      <c r="B31" t="s">
        <v>81</v>
      </c>
      <c r="C31" t="s">
        <v>79</v>
      </c>
      <c r="D31">
        <v>1</v>
      </c>
      <c r="E31" t="s">
        <v>11</v>
      </c>
      <c r="F31" t="s">
        <v>12</v>
      </c>
      <c r="G31" s="1"/>
      <c r="H31" t="str">
        <f>""</f>
        <v/>
      </c>
      <c r="J31" t="s">
        <v>80</v>
      </c>
    </row>
    <row r="32" spans="1:10" x14ac:dyDescent="0.25">
      <c r="A32" t="s">
        <v>8</v>
      </c>
      <c r="B32" t="s">
        <v>82</v>
      </c>
      <c r="C32" t="s">
        <v>83</v>
      </c>
      <c r="D32">
        <v>1</v>
      </c>
      <c r="E32" t="s">
        <v>11</v>
      </c>
      <c r="F32" t="s">
        <v>12</v>
      </c>
      <c r="G32" s="1"/>
      <c r="H32" t="str">
        <f>""</f>
        <v/>
      </c>
      <c r="J32" t="s">
        <v>84</v>
      </c>
    </row>
    <row r="33" spans="1:10" x14ac:dyDescent="0.25">
      <c r="A33" t="s">
        <v>8</v>
      </c>
      <c r="B33" t="s">
        <v>85</v>
      </c>
      <c r="C33" t="s">
        <v>83</v>
      </c>
      <c r="D33">
        <v>1</v>
      </c>
      <c r="E33" t="s">
        <v>11</v>
      </c>
      <c r="F33" t="s">
        <v>12</v>
      </c>
      <c r="G33" s="1"/>
      <c r="H33" t="str">
        <f>""</f>
        <v/>
      </c>
      <c r="J33" t="s">
        <v>84</v>
      </c>
    </row>
    <row r="34" spans="1:10" x14ac:dyDescent="0.25">
      <c r="A34" t="s">
        <v>8</v>
      </c>
      <c r="B34" t="s">
        <v>86</v>
      </c>
      <c r="C34" t="s">
        <v>87</v>
      </c>
      <c r="D34">
        <v>1</v>
      </c>
      <c r="E34" t="s">
        <v>11</v>
      </c>
      <c r="F34" t="s">
        <v>12</v>
      </c>
      <c r="G34" s="1"/>
      <c r="H34" t="str">
        <f>""</f>
        <v/>
      </c>
      <c r="J34" t="s">
        <v>88</v>
      </c>
    </row>
    <row r="35" spans="1:10" x14ac:dyDescent="0.25">
      <c r="A35" t="s">
        <v>8</v>
      </c>
      <c r="B35" t="s">
        <v>89</v>
      </c>
      <c r="C35" t="s">
        <v>87</v>
      </c>
      <c r="D35">
        <v>1</v>
      </c>
      <c r="E35" t="s">
        <v>11</v>
      </c>
      <c r="F35" t="s">
        <v>12</v>
      </c>
      <c r="G35" s="1"/>
      <c r="H35" t="str">
        <f>""</f>
        <v/>
      </c>
      <c r="J35" t="s">
        <v>88</v>
      </c>
    </row>
    <row r="36" spans="1:10" x14ac:dyDescent="0.25">
      <c r="A36" t="s">
        <v>8</v>
      </c>
      <c r="B36" t="s">
        <v>90</v>
      </c>
      <c r="C36" t="s">
        <v>87</v>
      </c>
      <c r="D36">
        <v>1</v>
      </c>
      <c r="E36" t="s">
        <v>11</v>
      </c>
      <c r="F36" t="s">
        <v>12</v>
      </c>
      <c r="G36" s="1"/>
      <c r="H36" t="str">
        <f>""</f>
        <v/>
      </c>
      <c r="J36" t="s">
        <v>91</v>
      </c>
    </row>
    <row r="37" spans="1:10" x14ac:dyDescent="0.25">
      <c r="A37" t="s">
        <v>8</v>
      </c>
      <c r="B37" t="s">
        <v>92</v>
      </c>
      <c r="C37" t="s">
        <v>87</v>
      </c>
      <c r="D37">
        <v>1</v>
      </c>
      <c r="E37" t="s">
        <v>11</v>
      </c>
      <c r="F37" t="s">
        <v>12</v>
      </c>
      <c r="G37" s="1"/>
      <c r="H37" t="str">
        <f>""</f>
        <v/>
      </c>
      <c r="J37" t="s">
        <v>91</v>
      </c>
    </row>
    <row r="38" spans="1:10" x14ac:dyDescent="0.25">
      <c r="A38" t="s">
        <v>8</v>
      </c>
      <c r="B38" t="s">
        <v>93</v>
      </c>
      <c r="C38" t="s">
        <v>94</v>
      </c>
      <c r="D38">
        <v>1</v>
      </c>
      <c r="E38" t="s">
        <v>11</v>
      </c>
      <c r="F38" t="s">
        <v>12</v>
      </c>
      <c r="G38" s="1"/>
      <c r="H38" t="str">
        <f>""</f>
        <v/>
      </c>
      <c r="J38" t="s">
        <v>95</v>
      </c>
    </row>
    <row r="39" spans="1:10" x14ac:dyDescent="0.25">
      <c r="A39" t="s">
        <v>8</v>
      </c>
      <c r="B39" t="s">
        <v>96</v>
      </c>
      <c r="C39" t="s">
        <v>94</v>
      </c>
      <c r="D39">
        <v>1</v>
      </c>
      <c r="E39" t="s">
        <v>11</v>
      </c>
      <c r="F39" t="s">
        <v>12</v>
      </c>
      <c r="G39" s="1"/>
      <c r="H39" t="str">
        <f>""</f>
        <v/>
      </c>
      <c r="J39" t="s">
        <v>95</v>
      </c>
    </row>
    <row r="40" spans="1:10" x14ac:dyDescent="0.25">
      <c r="A40" t="s">
        <v>8</v>
      </c>
      <c r="B40" t="s">
        <v>97</v>
      </c>
      <c r="C40" t="s">
        <v>98</v>
      </c>
      <c r="D40">
        <v>1</v>
      </c>
      <c r="E40" t="s">
        <v>11</v>
      </c>
      <c r="F40" t="s">
        <v>12</v>
      </c>
      <c r="G40" s="1"/>
      <c r="H40" t="str">
        <f>""</f>
        <v/>
      </c>
      <c r="J40" t="s">
        <v>42</v>
      </c>
    </row>
    <row r="41" spans="1:10" x14ac:dyDescent="0.25">
      <c r="A41" t="s">
        <v>8</v>
      </c>
      <c r="B41" t="s">
        <v>99</v>
      </c>
      <c r="C41" t="s">
        <v>98</v>
      </c>
      <c r="D41">
        <v>1</v>
      </c>
      <c r="E41" t="s">
        <v>11</v>
      </c>
      <c r="F41" t="s">
        <v>12</v>
      </c>
      <c r="G41" s="1"/>
      <c r="H41" t="str">
        <f>""</f>
        <v/>
      </c>
      <c r="J41" t="s">
        <v>42</v>
      </c>
    </row>
    <row r="42" spans="1:10" x14ac:dyDescent="0.25">
      <c r="A42" t="s">
        <v>8</v>
      </c>
      <c r="B42" t="s">
        <v>100</v>
      </c>
      <c r="C42" t="s">
        <v>98</v>
      </c>
      <c r="D42">
        <v>1</v>
      </c>
      <c r="E42" t="s">
        <v>11</v>
      </c>
      <c r="F42" t="s">
        <v>12</v>
      </c>
      <c r="G42" s="1"/>
      <c r="H42" t="str">
        <f>""</f>
        <v/>
      </c>
      <c r="J42" t="s">
        <v>42</v>
      </c>
    </row>
    <row r="43" spans="1:10" x14ac:dyDescent="0.25">
      <c r="A43" t="s">
        <v>8</v>
      </c>
      <c r="B43" t="s">
        <v>101</v>
      </c>
      <c r="C43" t="s">
        <v>98</v>
      </c>
      <c r="D43">
        <v>1</v>
      </c>
      <c r="E43" t="s">
        <v>11</v>
      </c>
      <c r="F43" t="s">
        <v>12</v>
      </c>
      <c r="G43" s="1"/>
      <c r="H43" t="str">
        <f>""</f>
        <v/>
      </c>
      <c r="J43" t="s">
        <v>42</v>
      </c>
    </row>
    <row r="44" spans="1:10" x14ac:dyDescent="0.25">
      <c r="A44" t="s">
        <v>8</v>
      </c>
      <c r="B44" t="s">
        <v>102</v>
      </c>
      <c r="C44" t="s">
        <v>103</v>
      </c>
      <c r="D44">
        <v>1</v>
      </c>
      <c r="E44" t="s">
        <v>11</v>
      </c>
      <c r="F44" t="s">
        <v>12</v>
      </c>
      <c r="G44" s="1"/>
      <c r="H44" t="str">
        <f>""</f>
        <v/>
      </c>
      <c r="J44" t="s">
        <v>104</v>
      </c>
    </row>
    <row r="45" spans="1:10" x14ac:dyDescent="0.25">
      <c r="A45" t="s">
        <v>8</v>
      </c>
      <c r="B45" t="s">
        <v>105</v>
      </c>
      <c r="C45" t="s">
        <v>106</v>
      </c>
      <c r="D45">
        <v>1</v>
      </c>
      <c r="E45" t="s">
        <v>11</v>
      </c>
      <c r="F45" t="s">
        <v>12</v>
      </c>
      <c r="G45" s="1"/>
      <c r="H45" t="str">
        <f>""</f>
        <v/>
      </c>
      <c r="J45" t="s">
        <v>107</v>
      </c>
    </row>
    <row r="46" spans="1:10" x14ac:dyDescent="0.25">
      <c r="A46" t="s">
        <v>8</v>
      </c>
      <c r="B46" t="s">
        <v>108</v>
      </c>
      <c r="C46" t="s">
        <v>106</v>
      </c>
      <c r="D46">
        <v>1</v>
      </c>
      <c r="E46" t="s">
        <v>11</v>
      </c>
      <c r="F46" t="s">
        <v>12</v>
      </c>
      <c r="G46" s="1"/>
      <c r="H46" t="str">
        <f>""</f>
        <v/>
      </c>
      <c r="J46" t="s">
        <v>107</v>
      </c>
    </row>
    <row r="47" spans="1:10" x14ac:dyDescent="0.25">
      <c r="A47" t="s">
        <v>8</v>
      </c>
      <c r="B47" t="s">
        <v>109</v>
      </c>
      <c r="C47" t="s">
        <v>110</v>
      </c>
      <c r="D47">
        <v>1</v>
      </c>
      <c r="E47" t="s">
        <v>11</v>
      </c>
      <c r="F47" t="s">
        <v>12</v>
      </c>
      <c r="G47" s="1"/>
      <c r="H47" t="str">
        <f>""</f>
        <v/>
      </c>
      <c r="J47" t="s">
        <v>104</v>
      </c>
    </row>
    <row r="48" spans="1:10" x14ac:dyDescent="0.25">
      <c r="A48" t="s">
        <v>8</v>
      </c>
      <c r="B48" t="s">
        <v>111</v>
      </c>
      <c r="C48" t="s">
        <v>110</v>
      </c>
      <c r="D48">
        <v>1</v>
      </c>
      <c r="E48" t="s">
        <v>11</v>
      </c>
      <c r="F48" t="s">
        <v>12</v>
      </c>
      <c r="G48" s="1"/>
      <c r="H48" t="str">
        <f>""</f>
        <v/>
      </c>
      <c r="J48" t="s">
        <v>104</v>
      </c>
    </row>
    <row r="49" spans="1:10" x14ac:dyDescent="0.25">
      <c r="A49" t="s">
        <v>8</v>
      </c>
      <c r="B49" t="s">
        <v>112</v>
      </c>
      <c r="C49" t="s">
        <v>113</v>
      </c>
      <c r="D49">
        <v>1</v>
      </c>
      <c r="E49" t="s">
        <v>11</v>
      </c>
      <c r="F49" t="s">
        <v>12</v>
      </c>
      <c r="G49" s="1"/>
      <c r="H49" t="str">
        <f>""</f>
        <v/>
      </c>
      <c r="J49" t="s">
        <v>114</v>
      </c>
    </row>
    <row r="50" spans="1:10" x14ac:dyDescent="0.25">
      <c r="A50" t="s">
        <v>8</v>
      </c>
      <c r="B50" t="s">
        <v>115</v>
      </c>
      <c r="C50" t="s">
        <v>113</v>
      </c>
      <c r="D50">
        <v>1</v>
      </c>
      <c r="E50" t="s">
        <v>11</v>
      </c>
      <c r="F50" t="s">
        <v>12</v>
      </c>
      <c r="G50" s="1"/>
      <c r="H50" t="str">
        <f>""</f>
        <v/>
      </c>
      <c r="J50" t="s">
        <v>114</v>
      </c>
    </row>
    <row r="51" spans="1:10" x14ac:dyDescent="0.25">
      <c r="A51" t="s">
        <v>8</v>
      </c>
      <c r="B51" t="s">
        <v>116</v>
      </c>
      <c r="C51" t="s">
        <v>117</v>
      </c>
      <c r="D51">
        <v>1</v>
      </c>
      <c r="E51" t="s">
        <v>11</v>
      </c>
      <c r="F51" t="s">
        <v>12</v>
      </c>
      <c r="G51" s="1"/>
      <c r="H51" t="str">
        <f>""</f>
        <v/>
      </c>
      <c r="J51" t="s">
        <v>118</v>
      </c>
    </row>
    <row r="52" spans="1:10" x14ac:dyDescent="0.25">
      <c r="A52" t="s">
        <v>8</v>
      </c>
      <c r="B52" t="s">
        <v>119</v>
      </c>
      <c r="C52" t="s">
        <v>117</v>
      </c>
      <c r="D52">
        <v>1</v>
      </c>
      <c r="E52" t="s">
        <v>11</v>
      </c>
      <c r="F52" t="s">
        <v>12</v>
      </c>
      <c r="G52" s="1"/>
      <c r="H52" t="str">
        <f>""</f>
        <v/>
      </c>
      <c r="J52" t="s">
        <v>118</v>
      </c>
    </row>
    <row r="53" spans="1:10" x14ac:dyDescent="0.25">
      <c r="A53" t="s">
        <v>8</v>
      </c>
      <c r="B53" t="s">
        <v>120</v>
      </c>
      <c r="C53" t="s">
        <v>121</v>
      </c>
      <c r="D53">
        <v>1</v>
      </c>
      <c r="E53" t="s">
        <v>11</v>
      </c>
      <c r="F53" t="s">
        <v>12</v>
      </c>
      <c r="G53" s="1"/>
      <c r="H53" t="str">
        <f>""</f>
        <v/>
      </c>
      <c r="J53" t="s">
        <v>118</v>
      </c>
    </row>
    <row r="54" spans="1:10" x14ac:dyDescent="0.25">
      <c r="A54" t="s">
        <v>8</v>
      </c>
      <c r="B54" t="s">
        <v>122</v>
      </c>
      <c r="C54" t="s">
        <v>121</v>
      </c>
      <c r="D54">
        <v>1</v>
      </c>
      <c r="E54" t="s">
        <v>11</v>
      </c>
      <c r="F54" t="s">
        <v>12</v>
      </c>
      <c r="G54" s="1"/>
      <c r="H54" t="str">
        <f>""</f>
        <v/>
      </c>
      <c r="J54" t="s">
        <v>118</v>
      </c>
    </row>
    <row r="55" spans="1:10" x14ac:dyDescent="0.25">
      <c r="A55" t="s">
        <v>8</v>
      </c>
      <c r="B55" t="s">
        <v>123</v>
      </c>
      <c r="C55" t="s">
        <v>124</v>
      </c>
      <c r="D55">
        <v>1</v>
      </c>
      <c r="E55" t="s">
        <v>11</v>
      </c>
      <c r="F55" t="s">
        <v>12</v>
      </c>
      <c r="G55" s="1"/>
      <c r="H55" t="str">
        <f>""</f>
        <v/>
      </c>
      <c r="J55" t="s">
        <v>118</v>
      </c>
    </row>
    <row r="56" spans="1:10" x14ac:dyDescent="0.25">
      <c r="A56" t="s">
        <v>8</v>
      </c>
      <c r="B56" t="s">
        <v>125</v>
      </c>
      <c r="C56" t="s">
        <v>126</v>
      </c>
      <c r="D56">
        <v>1</v>
      </c>
      <c r="E56" t="s">
        <v>11</v>
      </c>
      <c r="F56" t="s">
        <v>12</v>
      </c>
      <c r="G56" s="1"/>
      <c r="H56" t="str">
        <f>""</f>
        <v/>
      </c>
      <c r="J56" t="s">
        <v>127</v>
      </c>
    </row>
    <row r="57" spans="1:10" x14ac:dyDescent="0.25">
      <c r="A57" t="s">
        <v>8</v>
      </c>
      <c r="B57" t="s">
        <v>128</v>
      </c>
      <c r="C57" t="s">
        <v>129</v>
      </c>
      <c r="D57">
        <v>1</v>
      </c>
      <c r="E57" t="s">
        <v>11</v>
      </c>
      <c r="F57" t="s">
        <v>12</v>
      </c>
      <c r="G57" s="1"/>
      <c r="H57" t="str">
        <f>""</f>
        <v/>
      </c>
      <c r="J57" t="s">
        <v>130</v>
      </c>
    </row>
    <row r="58" spans="1:10" x14ac:dyDescent="0.25">
      <c r="A58" t="s">
        <v>8</v>
      </c>
      <c r="B58" t="s">
        <v>131</v>
      </c>
      <c r="C58" t="s">
        <v>132</v>
      </c>
      <c r="D58">
        <v>1</v>
      </c>
      <c r="E58" t="s">
        <v>11</v>
      </c>
      <c r="F58" t="s">
        <v>12</v>
      </c>
      <c r="G58" s="1"/>
      <c r="H58" t="str">
        <f>""</f>
        <v/>
      </c>
      <c r="J58" t="s">
        <v>127</v>
      </c>
    </row>
    <row r="59" spans="1:10" x14ac:dyDescent="0.25">
      <c r="A59" t="s">
        <v>8</v>
      </c>
      <c r="B59" t="s">
        <v>133</v>
      </c>
      <c r="C59" t="s">
        <v>134</v>
      </c>
      <c r="D59">
        <v>1</v>
      </c>
      <c r="E59" t="s">
        <v>11</v>
      </c>
      <c r="F59" t="s">
        <v>12</v>
      </c>
      <c r="G59" s="1"/>
      <c r="H59" t="str">
        <f>""</f>
        <v/>
      </c>
      <c r="J59" t="s">
        <v>127</v>
      </c>
    </row>
    <row r="60" spans="1:10" x14ac:dyDescent="0.25">
      <c r="A60" t="s">
        <v>8</v>
      </c>
      <c r="B60" t="s">
        <v>135</v>
      </c>
      <c r="C60" t="s">
        <v>136</v>
      </c>
      <c r="D60">
        <v>1</v>
      </c>
      <c r="E60" t="s">
        <v>11</v>
      </c>
      <c r="F60" t="s">
        <v>12</v>
      </c>
      <c r="G60" s="1"/>
      <c r="H60" t="str">
        <f>""</f>
        <v/>
      </c>
      <c r="J60" t="s">
        <v>137</v>
      </c>
    </row>
    <row r="61" spans="1:10" x14ac:dyDescent="0.25">
      <c r="A61" t="s">
        <v>8</v>
      </c>
      <c r="B61" t="s">
        <v>138</v>
      </c>
      <c r="C61" t="s">
        <v>139</v>
      </c>
      <c r="D61">
        <v>1</v>
      </c>
      <c r="E61" t="s">
        <v>11</v>
      </c>
      <c r="F61" t="s">
        <v>12</v>
      </c>
      <c r="G61" s="1"/>
      <c r="H61" t="str">
        <f>""</f>
        <v/>
      </c>
      <c r="J61" t="s">
        <v>140</v>
      </c>
    </row>
    <row r="62" spans="1:10" x14ac:dyDescent="0.25">
      <c r="A62" t="s">
        <v>8</v>
      </c>
      <c r="B62" t="s">
        <v>141</v>
      </c>
      <c r="C62" t="s">
        <v>142</v>
      </c>
      <c r="D62">
        <v>1</v>
      </c>
      <c r="E62" t="s">
        <v>11</v>
      </c>
      <c r="F62" t="s">
        <v>12</v>
      </c>
      <c r="G62" s="1"/>
      <c r="H62" t="str">
        <f>""</f>
        <v/>
      </c>
      <c r="J62" t="s">
        <v>140</v>
      </c>
    </row>
    <row r="63" spans="1:10" x14ac:dyDescent="0.25">
      <c r="A63" t="s">
        <v>8</v>
      </c>
      <c r="B63" t="s">
        <v>143</v>
      </c>
      <c r="C63" t="s">
        <v>144</v>
      </c>
      <c r="D63">
        <v>1</v>
      </c>
      <c r="E63" t="s">
        <v>11</v>
      </c>
      <c r="F63" t="s">
        <v>12</v>
      </c>
      <c r="G63" s="1"/>
      <c r="H63" t="str">
        <f>""</f>
        <v/>
      </c>
      <c r="J63" t="s">
        <v>137</v>
      </c>
    </row>
    <row r="64" spans="1:10" x14ac:dyDescent="0.25">
      <c r="A64" t="s">
        <v>8</v>
      </c>
      <c r="B64" t="s">
        <v>145</v>
      </c>
      <c r="C64" t="s">
        <v>146</v>
      </c>
      <c r="D64">
        <v>1</v>
      </c>
      <c r="E64" t="s">
        <v>11</v>
      </c>
      <c r="F64" t="s">
        <v>12</v>
      </c>
      <c r="G64" s="1"/>
      <c r="H64" t="str">
        <f>""</f>
        <v/>
      </c>
      <c r="J64" t="s">
        <v>147</v>
      </c>
    </row>
    <row r="65" spans="1:10" x14ac:dyDescent="0.25">
      <c r="A65" t="s">
        <v>8</v>
      </c>
      <c r="B65" t="s">
        <v>148</v>
      </c>
      <c r="C65" t="s">
        <v>149</v>
      </c>
      <c r="D65">
        <v>1</v>
      </c>
      <c r="E65" t="s">
        <v>11</v>
      </c>
      <c r="F65" t="s">
        <v>12</v>
      </c>
      <c r="G65" s="1"/>
      <c r="H65" t="str">
        <f>""</f>
        <v/>
      </c>
      <c r="J65" t="s">
        <v>147</v>
      </c>
    </row>
    <row r="66" spans="1:10" x14ac:dyDescent="0.25">
      <c r="A66" t="s">
        <v>8</v>
      </c>
      <c r="B66" t="s">
        <v>150</v>
      </c>
      <c r="C66" t="s">
        <v>151</v>
      </c>
      <c r="D66">
        <v>1</v>
      </c>
      <c r="E66" t="s">
        <v>11</v>
      </c>
      <c r="F66" t="s">
        <v>12</v>
      </c>
      <c r="G66" s="1"/>
      <c r="H66" t="str">
        <f>""</f>
        <v/>
      </c>
      <c r="J66" t="s">
        <v>152</v>
      </c>
    </row>
    <row r="67" spans="1:10" x14ac:dyDescent="0.25">
      <c r="A67" t="s">
        <v>8</v>
      </c>
      <c r="B67" t="s">
        <v>153</v>
      </c>
      <c r="C67" t="s">
        <v>151</v>
      </c>
      <c r="D67">
        <v>1</v>
      </c>
      <c r="E67" t="s">
        <v>11</v>
      </c>
      <c r="F67" t="s">
        <v>12</v>
      </c>
      <c r="G67" s="1"/>
      <c r="H67" t="str">
        <f>""</f>
        <v/>
      </c>
      <c r="J67" t="s">
        <v>152</v>
      </c>
    </row>
    <row r="68" spans="1:10" x14ac:dyDescent="0.25">
      <c r="A68" t="s">
        <v>8</v>
      </c>
      <c r="B68" t="s">
        <v>154</v>
      </c>
      <c r="C68" t="s">
        <v>151</v>
      </c>
      <c r="D68">
        <v>1</v>
      </c>
      <c r="E68" t="s">
        <v>11</v>
      </c>
      <c r="F68" t="s">
        <v>12</v>
      </c>
      <c r="G68" s="1"/>
      <c r="H68" t="str">
        <f>""</f>
        <v/>
      </c>
      <c r="J68" t="s">
        <v>152</v>
      </c>
    </row>
    <row r="69" spans="1:10" x14ac:dyDescent="0.25">
      <c r="A69" t="s">
        <v>8</v>
      </c>
      <c r="B69" t="s">
        <v>155</v>
      </c>
      <c r="C69" t="s">
        <v>156</v>
      </c>
      <c r="D69">
        <v>1</v>
      </c>
      <c r="E69" t="s">
        <v>11</v>
      </c>
      <c r="F69" t="s">
        <v>12</v>
      </c>
      <c r="G69" s="1"/>
      <c r="H69" t="str">
        <f>""</f>
        <v/>
      </c>
      <c r="J69" t="s">
        <v>157</v>
      </c>
    </row>
    <row r="70" spans="1:10" x14ac:dyDescent="0.25">
      <c r="A70" t="s">
        <v>8</v>
      </c>
      <c r="B70" t="s">
        <v>158</v>
      </c>
      <c r="C70" t="s">
        <v>156</v>
      </c>
      <c r="D70">
        <v>1</v>
      </c>
      <c r="E70" t="s">
        <v>11</v>
      </c>
      <c r="F70" t="s">
        <v>12</v>
      </c>
      <c r="G70" s="1"/>
      <c r="H70" t="str">
        <f>""</f>
        <v/>
      </c>
      <c r="J70" t="s">
        <v>157</v>
      </c>
    </row>
    <row r="71" spans="1:10" x14ac:dyDescent="0.25">
      <c r="A71" t="s">
        <v>8</v>
      </c>
      <c r="B71" t="s">
        <v>159</v>
      </c>
      <c r="C71" t="s">
        <v>160</v>
      </c>
      <c r="D71">
        <v>1</v>
      </c>
      <c r="E71" t="s">
        <v>11</v>
      </c>
      <c r="F71" t="s">
        <v>12</v>
      </c>
      <c r="G71" s="1"/>
      <c r="H71" t="str">
        <f>""</f>
        <v/>
      </c>
      <c r="J71" t="s">
        <v>50</v>
      </c>
    </row>
    <row r="72" spans="1:10" x14ac:dyDescent="0.25">
      <c r="A72" t="s">
        <v>8</v>
      </c>
      <c r="B72" t="s">
        <v>161</v>
      </c>
      <c r="C72" t="s">
        <v>162</v>
      </c>
      <c r="D72">
        <v>1</v>
      </c>
      <c r="E72" t="s">
        <v>11</v>
      </c>
      <c r="F72" t="s">
        <v>12</v>
      </c>
      <c r="G72" s="1"/>
      <c r="H72" t="str">
        <f>""</f>
        <v/>
      </c>
      <c r="J72" t="s">
        <v>163</v>
      </c>
    </row>
    <row r="73" spans="1:10" x14ac:dyDescent="0.25">
      <c r="A73" t="s">
        <v>8</v>
      </c>
      <c r="B73" t="s">
        <v>164</v>
      </c>
      <c r="C73" t="s">
        <v>165</v>
      </c>
      <c r="D73">
        <v>1</v>
      </c>
      <c r="E73" t="s">
        <v>11</v>
      </c>
      <c r="F73" t="s">
        <v>12</v>
      </c>
      <c r="G73" s="1"/>
      <c r="H73" t="str">
        <f>""</f>
        <v/>
      </c>
      <c r="J73" t="s">
        <v>95</v>
      </c>
    </row>
    <row r="74" spans="1:10" x14ac:dyDescent="0.25">
      <c r="A74" t="s">
        <v>8</v>
      </c>
      <c r="B74" t="s">
        <v>166</v>
      </c>
      <c r="C74" t="s">
        <v>165</v>
      </c>
      <c r="D74">
        <v>1</v>
      </c>
      <c r="E74" t="s">
        <v>11</v>
      </c>
      <c r="F74" t="s">
        <v>12</v>
      </c>
      <c r="G74" s="1"/>
      <c r="H74" t="str">
        <f>""</f>
        <v/>
      </c>
      <c r="J74" t="s">
        <v>95</v>
      </c>
    </row>
    <row r="75" spans="1:10" x14ac:dyDescent="0.25">
      <c r="A75" t="s">
        <v>8</v>
      </c>
      <c r="B75" t="s">
        <v>167</v>
      </c>
      <c r="C75" t="s">
        <v>168</v>
      </c>
      <c r="D75">
        <v>1</v>
      </c>
      <c r="E75" t="s">
        <v>11</v>
      </c>
      <c r="F75" t="s">
        <v>12</v>
      </c>
      <c r="G75" s="1"/>
      <c r="H75" t="str">
        <f>""</f>
        <v/>
      </c>
      <c r="J75" t="s">
        <v>169</v>
      </c>
    </row>
    <row r="76" spans="1:10" x14ac:dyDescent="0.25">
      <c r="A76" t="s">
        <v>8</v>
      </c>
      <c r="B76" t="s">
        <v>170</v>
      </c>
      <c r="C76" t="s">
        <v>168</v>
      </c>
      <c r="D76">
        <v>1</v>
      </c>
      <c r="E76" t="s">
        <v>11</v>
      </c>
      <c r="F76" t="s">
        <v>12</v>
      </c>
      <c r="G76" s="1"/>
      <c r="H76" t="str">
        <f>""</f>
        <v/>
      </c>
      <c r="J76" t="s">
        <v>169</v>
      </c>
    </row>
    <row r="77" spans="1:10" x14ac:dyDescent="0.25">
      <c r="A77" t="s">
        <v>8</v>
      </c>
      <c r="B77" t="s">
        <v>171</v>
      </c>
      <c r="C77" t="s">
        <v>172</v>
      </c>
      <c r="D77">
        <v>1</v>
      </c>
      <c r="E77" t="s">
        <v>11</v>
      </c>
      <c r="F77" t="s">
        <v>12</v>
      </c>
      <c r="G77" s="1"/>
      <c r="H77" t="str">
        <f>""</f>
        <v/>
      </c>
      <c r="J77" t="s">
        <v>173</v>
      </c>
    </row>
    <row r="78" spans="1:10" x14ac:dyDescent="0.25">
      <c r="A78" t="s">
        <v>8</v>
      </c>
      <c r="B78" t="s">
        <v>174</v>
      </c>
      <c r="C78" t="s">
        <v>172</v>
      </c>
      <c r="D78">
        <v>1</v>
      </c>
      <c r="E78" t="s">
        <v>11</v>
      </c>
      <c r="F78" t="s">
        <v>12</v>
      </c>
      <c r="G78" s="1"/>
      <c r="H78" t="str">
        <f>""</f>
        <v/>
      </c>
      <c r="J78" t="s">
        <v>173</v>
      </c>
    </row>
    <row r="79" spans="1:10" x14ac:dyDescent="0.25">
      <c r="A79" t="s">
        <v>8</v>
      </c>
      <c r="B79" t="s">
        <v>175</v>
      </c>
      <c r="C79" t="s">
        <v>176</v>
      </c>
      <c r="D79">
        <v>1</v>
      </c>
      <c r="E79" t="s">
        <v>11</v>
      </c>
      <c r="F79" t="s">
        <v>12</v>
      </c>
      <c r="G79" s="1"/>
      <c r="H79" t="str">
        <f>""</f>
        <v/>
      </c>
      <c r="J79" t="s">
        <v>177</v>
      </c>
    </row>
    <row r="80" spans="1:10" x14ac:dyDescent="0.25">
      <c r="A80" t="s">
        <v>8</v>
      </c>
      <c r="B80" t="s">
        <v>178</v>
      </c>
      <c r="C80" t="s">
        <v>176</v>
      </c>
      <c r="D80">
        <v>1</v>
      </c>
      <c r="E80" t="s">
        <v>11</v>
      </c>
      <c r="F80" t="s">
        <v>12</v>
      </c>
      <c r="G80" s="1"/>
      <c r="H80" t="str">
        <f>""</f>
        <v/>
      </c>
      <c r="J80" t="s">
        <v>177</v>
      </c>
    </row>
    <row r="81" spans="1:10" x14ac:dyDescent="0.25">
      <c r="A81" t="s">
        <v>8</v>
      </c>
      <c r="B81" t="s">
        <v>179</v>
      </c>
      <c r="C81" t="s">
        <v>180</v>
      </c>
      <c r="D81">
        <v>1</v>
      </c>
      <c r="E81" t="s">
        <v>11</v>
      </c>
      <c r="F81" t="s">
        <v>12</v>
      </c>
      <c r="G81" s="1"/>
      <c r="H81" t="str">
        <f>""</f>
        <v/>
      </c>
      <c r="J81" t="s">
        <v>152</v>
      </c>
    </row>
    <row r="82" spans="1:10" x14ac:dyDescent="0.25">
      <c r="A82" t="s">
        <v>8</v>
      </c>
      <c r="B82" t="s">
        <v>181</v>
      </c>
      <c r="C82" t="s">
        <v>180</v>
      </c>
      <c r="D82">
        <v>1</v>
      </c>
      <c r="E82" t="s">
        <v>11</v>
      </c>
      <c r="F82" t="s">
        <v>12</v>
      </c>
      <c r="G82" s="1"/>
      <c r="H82" t="str">
        <f>""</f>
        <v/>
      </c>
      <c r="J82" t="s">
        <v>152</v>
      </c>
    </row>
    <row r="83" spans="1:10" x14ac:dyDescent="0.25">
      <c r="A83" t="s">
        <v>8</v>
      </c>
      <c r="B83" t="s">
        <v>182</v>
      </c>
      <c r="C83" t="s">
        <v>183</v>
      </c>
      <c r="D83">
        <v>1</v>
      </c>
      <c r="E83" t="s">
        <v>11</v>
      </c>
      <c r="F83" t="s">
        <v>12</v>
      </c>
      <c r="G83" s="1"/>
      <c r="H83" t="str">
        <f>""</f>
        <v/>
      </c>
      <c r="J83" t="s">
        <v>118</v>
      </c>
    </row>
    <row r="84" spans="1:10" x14ac:dyDescent="0.25">
      <c r="A84" t="s">
        <v>8</v>
      </c>
      <c r="B84" t="s">
        <v>184</v>
      </c>
      <c r="C84" t="s">
        <v>185</v>
      </c>
      <c r="D84">
        <v>1</v>
      </c>
      <c r="E84" t="s">
        <v>11</v>
      </c>
      <c r="F84" t="s">
        <v>12</v>
      </c>
      <c r="G84" s="1"/>
      <c r="H84" t="str">
        <f>""</f>
        <v/>
      </c>
      <c r="J84" t="s">
        <v>147</v>
      </c>
    </row>
    <row r="85" spans="1:10" x14ac:dyDescent="0.25">
      <c r="A85" t="s">
        <v>8</v>
      </c>
      <c r="B85" t="s">
        <v>186</v>
      </c>
      <c r="C85" t="s">
        <v>187</v>
      </c>
      <c r="D85">
        <v>1</v>
      </c>
      <c r="E85" t="s">
        <v>11</v>
      </c>
      <c r="F85" t="s">
        <v>12</v>
      </c>
      <c r="G85" s="1"/>
      <c r="H85" t="str">
        <f>""</f>
        <v/>
      </c>
      <c r="J85" t="s">
        <v>147</v>
      </c>
    </row>
    <row r="86" spans="1:10" x14ac:dyDescent="0.25">
      <c r="A86" t="s">
        <v>8</v>
      </c>
      <c r="B86" t="s">
        <v>188</v>
      </c>
      <c r="C86" t="s">
        <v>183</v>
      </c>
      <c r="D86">
        <v>1</v>
      </c>
      <c r="E86" t="s">
        <v>11</v>
      </c>
      <c r="F86" t="s">
        <v>12</v>
      </c>
      <c r="G86" s="1"/>
      <c r="H86" t="str">
        <f>""</f>
        <v/>
      </c>
      <c r="J86" t="s">
        <v>118</v>
      </c>
    </row>
    <row r="87" spans="1:10" x14ac:dyDescent="0.25">
      <c r="A87" t="s">
        <v>8</v>
      </c>
      <c r="B87" t="s">
        <v>189</v>
      </c>
      <c r="C87" t="s">
        <v>190</v>
      </c>
      <c r="D87">
        <v>1</v>
      </c>
      <c r="E87" t="s">
        <v>11</v>
      </c>
      <c r="F87" t="s">
        <v>12</v>
      </c>
      <c r="G87" s="1"/>
      <c r="H87" t="str">
        <f>""</f>
        <v/>
      </c>
      <c r="J87" t="s">
        <v>191</v>
      </c>
    </row>
    <row r="88" spans="1:10" x14ac:dyDescent="0.25">
      <c r="A88" t="s">
        <v>8</v>
      </c>
      <c r="B88" t="s">
        <v>192</v>
      </c>
      <c r="C88" t="s">
        <v>193</v>
      </c>
      <c r="D88">
        <v>1</v>
      </c>
      <c r="E88" t="s">
        <v>11</v>
      </c>
      <c r="F88" t="s">
        <v>12</v>
      </c>
      <c r="G88" s="1"/>
      <c r="H88" t="str">
        <f>""</f>
        <v/>
      </c>
      <c r="J88" t="s">
        <v>194</v>
      </c>
    </row>
    <row r="89" spans="1:10" x14ac:dyDescent="0.25">
      <c r="A89" t="s">
        <v>8</v>
      </c>
      <c r="B89" t="s">
        <v>195</v>
      </c>
      <c r="C89" t="s">
        <v>196</v>
      </c>
      <c r="D89">
        <v>1</v>
      </c>
      <c r="E89" t="s">
        <v>11</v>
      </c>
      <c r="F89" t="s">
        <v>12</v>
      </c>
      <c r="G89" s="1"/>
      <c r="H89" t="str">
        <f>""</f>
        <v/>
      </c>
      <c r="J89" t="s">
        <v>197</v>
      </c>
    </row>
    <row r="90" spans="1:10" x14ac:dyDescent="0.25">
      <c r="A90" t="s">
        <v>8</v>
      </c>
      <c r="B90" t="s">
        <v>198</v>
      </c>
      <c r="C90" t="s">
        <v>196</v>
      </c>
      <c r="D90">
        <v>1</v>
      </c>
      <c r="E90" t="s">
        <v>11</v>
      </c>
      <c r="F90" t="s">
        <v>12</v>
      </c>
      <c r="G90" s="1"/>
      <c r="H90" t="str">
        <f>""</f>
        <v/>
      </c>
      <c r="J90" t="s">
        <v>197</v>
      </c>
    </row>
    <row r="91" spans="1:10" x14ac:dyDescent="0.25">
      <c r="A91" t="s">
        <v>8</v>
      </c>
      <c r="B91" t="s">
        <v>199</v>
      </c>
      <c r="C91" t="s">
        <v>200</v>
      </c>
      <c r="D91">
        <v>1</v>
      </c>
      <c r="E91" t="s">
        <v>11</v>
      </c>
      <c r="F91" t="s">
        <v>12</v>
      </c>
      <c r="G91" s="1"/>
      <c r="H91" t="str">
        <f>""</f>
        <v/>
      </c>
      <c r="J91" t="s">
        <v>201</v>
      </c>
    </row>
    <row r="92" spans="1:10" x14ac:dyDescent="0.25">
      <c r="A92" t="s">
        <v>8</v>
      </c>
      <c r="B92" t="s">
        <v>202</v>
      </c>
      <c r="C92" t="s">
        <v>200</v>
      </c>
      <c r="D92">
        <v>1</v>
      </c>
      <c r="E92" t="s">
        <v>11</v>
      </c>
      <c r="F92" t="s">
        <v>12</v>
      </c>
      <c r="G92" s="1"/>
      <c r="H92" t="str">
        <f>""</f>
        <v/>
      </c>
      <c r="J92" t="s">
        <v>201</v>
      </c>
    </row>
    <row r="93" spans="1:10" x14ac:dyDescent="0.25">
      <c r="A93" t="s">
        <v>8</v>
      </c>
      <c r="B93" t="s">
        <v>203</v>
      </c>
      <c r="C93" t="s">
        <v>204</v>
      </c>
      <c r="D93">
        <v>1</v>
      </c>
      <c r="E93" t="s">
        <v>11</v>
      </c>
      <c r="F93" t="s">
        <v>12</v>
      </c>
      <c r="G93" s="1"/>
      <c r="H93" t="str">
        <f>""</f>
        <v/>
      </c>
      <c r="J93" t="s">
        <v>205</v>
      </c>
    </row>
    <row r="94" spans="1:10" x14ac:dyDescent="0.25">
      <c r="A94" t="s">
        <v>8</v>
      </c>
      <c r="B94" t="s">
        <v>206</v>
      </c>
      <c r="C94" t="s">
        <v>204</v>
      </c>
      <c r="D94">
        <v>1</v>
      </c>
      <c r="E94" t="s">
        <v>11</v>
      </c>
      <c r="F94" t="s">
        <v>12</v>
      </c>
      <c r="G94" s="1"/>
      <c r="H94" t="str">
        <f>""</f>
        <v/>
      </c>
      <c r="J94" t="s">
        <v>205</v>
      </c>
    </row>
    <row r="95" spans="1:10" x14ac:dyDescent="0.25">
      <c r="A95" t="s">
        <v>8</v>
      </c>
      <c r="B95" t="s">
        <v>207</v>
      </c>
      <c r="C95" t="s">
        <v>208</v>
      </c>
      <c r="D95">
        <v>1</v>
      </c>
      <c r="E95" t="s">
        <v>11</v>
      </c>
      <c r="F95" t="s">
        <v>12</v>
      </c>
      <c r="G95" s="1"/>
      <c r="H95" t="str">
        <f>""</f>
        <v/>
      </c>
      <c r="J95" t="s">
        <v>205</v>
      </c>
    </row>
    <row r="96" spans="1:10" x14ac:dyDescent="0.25">
      <c r="A96" t="s">
        <v>8</v>
      </c>
      <c r="B96" t="s">
        <v>209</v>
      </c>
      <c r="C96" t="s">
        <v>208</v>
      </c>
      <c r="D96">
        <v>1</v>
      </c>
      <c r="E96" t="s">
        <v>11</v>
      </c>
      <c r="F96" t="s">
        <v>12</v>
      </c>
      <c r="G96" s="1"/>
      <c r="H96" t="str">
        <f>""</f>
        <v/>
      </c>
      <c r="J96" t="s">
        <v>205</v>
      </c>
    </row>
    <row r="97" spans="1:10" x14ac:dyDescent="0.25">
      <c r="A97" t="s">
        <v>8</v>
      </c>
      <c r="B97" t="s">
        <v>210</v>
      </c>
      <c r="C97" t="s">
        <v>211</v>
      </c>
      <c r="D97">
        <v>1</v>
      </c>
      <c r="E97" t="s">
        <v>11</v>
      </c>
      <c r="F97" t="s">
        <v>12</v>
      </c>
      <c r="G97" s="1"/>
      <c r="H97" t="str">
        <f>""</f>
        <v/>
      </c>
      <c r="J97" t="s">
        <v>212</v>
      </c>
    </row>
    <row r="98" spans="1:10" x14ac:dyDescent="0.25">
      <c r="A98" t="s">
        <v>8</v>
      </c>
      <c r="B98" t="s">
        <v>213</v>
      </c>
      <c r="C98" t="s">
        <v>211</v>
      </c>
      <c r="D98">
        <v>1</v>
      </c>
      <c r="E98" t="s">
        <v>11</v>
      </c>
      <c r="F98" t="s">
        <v>12</v>
      </c>
      <c r="G98" s="1"/>
      <c r="H98" t="str">
        <f>""</f>
        <v/>
      </c>
      <c r="J98" t="s">
        <v>212</v>
      </c>
    </row>
    <row r="99" spans="1:10" x14ac:dyDescent="0.25">
      <c r="A99" t="s">
        <v>8</v>
      </c>
      <c r="B99" t="s">
        <v>214</v>
      </c>
      <c r="C99" t="s">
        <v>215</v>
      </c>
      <c r="D99">
        <v>1</v>
      </c>
      <c r="E99" t="s">
        <v>11</v>
      </c>
      <c r="F99" t="s">
        <v>12</v>
      </c>
      <c r="G99" s="1"/>
      <c r="H99" t="str">
        <f>""</f>
        <v/>
      </c>
      <c r="J99" t="s">
        <v>216</v>
      </c>
    </row>
    <row r="100" spans="1:10" x14ac:dyDescent="0.25">
      <c r="A100" t="s">
        <v>8</v>
      </c>
      <c r="B100" t="s">
        <v>217</v>
      </c>
      <c r="C100" t="s">
        <v>218</v>
      </c>
      <c r="D100">
        <v>1</v>
      </c>
      <c r="E100" t="s">
        <v>11</v>
      </c>
      <c r="F100" t="s">
        <v>12</v>
      </c>
      <c r="G100" s="1"/>
      <c r="H100" t="str">
        <f>"4823114014840"</f>
        <v>4823114014840</v>
      </c>
      <c r="J100" t="s">
        <v>219</v>
      </c>
    </row>
    <row r="101" spans="1:10" x14ac:dyDescent="0.25">
      <c r="A101" t="s">
        <v>8</v>
      </c>
      <c r="B101" t="s">
        <v>220</v>
      </c>
      <c r="C101" t="s">
        <v>221</v>
      </c>
      <c r="D101">
        <v>1</v>
      </c>
      <c r="E101" t="s">
        <v>11</v>
      </c>
      <c r="F101" t="s">
        <v>12</v>
      </c>
      <c r="G101" s="1"/>
      <c r="H101" t="str">
        <f>""</f>
        <v/>
      </c>
      <c r="J101" t="s">
        <v>222</v>
      </c>
    </row>
    <row r="102" spans="1:10" x14ac:dyDescent="0.25">
      <c r="A102" t="s">
        <v>8</v>
      </c>
      <c r="B102" t="s">
        <v>223</v>
      </c>
      <c r="C102" t="s">
        <v>221</v>
      </c>
      <c r="D102">
        <v>1</v>
      </c>
      <c r="E102" t="s">
        <v>11</v>
      </c>
      <c r="F102" t="s">
        <v>12</v>
      </c>
      <c r="G102" s="1"/>
      <c r="H102" t="str">
        <f>""</f>
        <v/>
      </c>
      <c r="J102" t="s">
        <v>222</v>
      </c>
    </row>
    <row r="103" spans="1:10" x14ac:dyDescent="0.25">
      <c r="A103" t="s">
        <v>8</v>
      </c>
      <c r="B103" t="s">
        <v>224</v>
      </c>
      <c r="C103" t="s">
        <v>225</v>
      </c>
      <c r="D103">
        <v>1</v>
      </c>
      <c r="E103" t="s">
        <v>11</v>
      </c>
      <c r="F103" t="s">
        <v>12</v>
      </c>
      <c r="G103" s="1"/>
      <c r="H103" t="str">
        <f>"856963007118"</f>
        <v>856963007118</v>
      </c>
      <c r="J103" t="s">
        <v>219</v>
      </c>
    </row>
    <row r="104" spans="1:10" x14ac:dyDescent="0.25">
      <c r="A104" t="s">
        <v>8</v>
      </c>
      <c r="B104" t="s">
        <v>226</v>
      </c>
      <c r="C104" t="s">
        <v>227</v>
      </c>
      <c r="D104">
        <v>1</v>
      </c>
      <c r="E104" t="s">
        <v>11</v>
      </c>
      <c r="F104" t="s">
        <v>12</v>
      </c>
      <c r="G104" s="1"/>
      <c r="H104" t="str">
        <f>"4823114015014"</f>
        <v>4823114015014</v>
      </c>
      <c r="J104" t="s">
        <v>177</v>
      </c>
    </row>
    <row r="105" spans="1:10" x14ac:dyDescent="0.25">
      <c r="A105" t="s">
        <v>8</v>
      </c>
      <c r="B105" t="s">
        <v>228</v>
      </c>
      <c r="C105" t="s">
        <v>229</v>
      </c>
      <c r="D105">
        <v>1</v>
      </c>
      <c r="E105" t="s">
        <v>11</v>
      </c>
      <c r="F105" t="s">
        <v>12</v>
      </c>
      <c r="G105" s="1"/>
      <c r="H105" t="str">
        <f>"4823114015007"</f>
        <v>4823114015007</v>
      </c>
      <c r="J105" t="s">
        <v>177</v>
      </c>
    </row>
    <row r="106" spans="1:10" x14ac:dyDescent="0.25">
      <c r="A106" t="s">
        <v>8</v>
      </c>
      <c r="B106" t="s">
        <v>230</v>
      </c>
      <c r="C106" t="s">
        <v>231</v>
      </c>
      <c r="D106">
        <v>1</v>
      </c>
      <c r="E106" t="s">
        <v>11</v>
      </c>
      <c r="F106" t="s">
        <v>12</v>
      </c>
      <c r="G106" s="1"/>
      <c r="H106" t="str">
        <f>"4823114014826"</f>
        <v>4823114014826</v>
      </c>
      <c r="J106" t="s">
        <v>219</v>
      </c>
    </row>
    <row r="107" spans="1:10" x14ac:dyDescent="0.25">
      <c r="A107" t="s">
        <v>8</v>
      </c>
      <c r="B107" t="s">
        <v>232</v>
      </c>
      <c r="C107" t="s">
        <v>233</v>
      </c>
      <c r="D107">
        <v>1</v>
      </c>
      <c r="E107" t="s">
        <v>11</v>
      </c>
      <c r="F107" t="s">
        <v>12</v>
      </c>
      <c r="G107" s="1"/>
      <c r="H107" t="str">
        <f>""</f>
        <v/>
      </c>
      <c r="J107" t="s">
        <v>222</v>
      </c>
    </row>
    <row r="108" spans="1:10" x14ac:dyDescent="0.25">
      <c r="A108" t="s">
        <v>8</v>
      </c>
      <c r="B108" t="s">
        <v>234</v>
      </c>
      <c r="C108" t="s">
        <v>233</v>
      </c>
      <c r="D108">
        <v>1</v>
      </c>
      <c r="E108" t="s">
        <v>11</v>
      </c>
      <c r="F108" t="s">
        <v>12</v>
      </c>
      <c r="G108" s="1"/>
      <c r="H108" t="str">
        <f>""</f>
        <v/>
      </c>
      <c r="J108" t="s">
        <v>222</v>
      </c>
    </row>
    <row r="109" spans="1:10" x14ac:dyDescent="0.25">
      <c r="A109" t="s">
        <v>8</v>
      </c>
      <c r="B109" t="s">
        <v>235</v>
      </c>
      <c r="C109" t="s">
        <v>236</v>
      </c>
      <c r="D109">
        <v>1</v>
      </c>
      <c r="E109" t="s">
        <v>11</v>
      </c>
      <c r="F109" t="s">
        <v>12</v>
      </c>
      <c r="G109" s="1"/>
      <c r="H109" t="str">
        <f>"4823114014819"</f>
        <v>4823114014819</v>
      </c>
      <c r="J109" t="s">
        <v>219</v>
      </c>
    </row>
    <row r="110" spans="1:10" x14ac:dyDescent="0.25">
      <c r="A110" t="s">
        <v>8</v>
      </c>
      <c r="B110" t="s">
        <v>237</v>
      </c>
      <c r="C110" t="s">
        <v>238</v>
      </c>
      <c r="D110">
        <v>1</v>
      </c>
      <c r="E110" t="s">
        <v>11</v>
      </c>
      <c r="F110" t="s">
        <v>12</v>
      </c>
      <c r="G110" s="1"/>
      <c r="H110" t="str">
        <f>"4823114014994"</f>
        <v>4823114014994</v>
      </c>
      <c r="J110" t="s">
        <v>239</v>
      </c>
    </row>
    <row r="111" spans="1:10" x14ac:dyDescent="0.25">
      <c r="A111" t="s">
        <v>8</v>
      </c>
      <c r="B111" t="s">
        <v>240</v>
      </c>
      <c r="C111" t="s">
        <v>241</v>
      </c>
      <c r="D111">
        <v>1</v>
      </c>
      <c r="E111" t="s">
        <v>11</v>
      </c>
      <c r="F111" t="s">
        <v>12</v>
      </c>
      <c r="G111" s="1"/>
      <c r="H111" t="str">
        <f>"4823114015212"</f>
        <v>4823114015212</v>
      </c>
      <c r="J111" t="s">
        <v>242</v>
      </c>
    </row>
    <row r="112" spans="1:10" x14ac:dyDescent="0.25">
      <c r="A112" t="s">
        <v>8</v>
      </c>
      <c r="B112" t="s">
        <v>243</v>
      </c>
      <c r="C112" t="s">
        <v>244</v>
      </c>
      <c r="D112">
        <v>1</v>
      </c>
      <c r="E112" t="s">
        <v>11</v>
      </c>
      <c r="F112" t="s">
        <v>12</v>
      </c>
      <c r="G112" s="1"/>
      <c r="H112" t="str">
        <f>"4823114055690"</f>
        <v>4823114055690</v>
      </c>
      <c r="J112" t="s">
        <v>245</v>
      </c>
    </row>
    <row r="113" spans="1:10" x14ac:dyDescent="0.25">
      <c r="A113" t="s">
        <v>8</v>
      </c>
      <c r="B113" t="s">
        <v>246</v>
      </c>
      <c r="C113" t="s">
        <v>247</v>
      </c>
      <c r="D113">
        <v>1</v>
      </c>
      <c r="E113" t="s">
        <v>11</v>
      </c>
      <c r="F113" t="s">
        <v>12</v>
      </c>
      <c r="G113" s="1"/>
      <c r="H113" t="str">
        <f>"4823114055706"</f>
        <v>4823114055706</v>
      </c>
      <c r="J113" t="s">
        <v>245</v>
      </c>
    </row>
    <row r="114" spans="1:10" x14ac:dyDescent="0.25">
      <c r="A114" t="s">
        <v>8</v>
      </c>
      <c r="B114" t="s">
        <v>248</v>
      </c>
      <c r="C114" t="s">
        <v>249</v>
      </c>
      <c r="D114">
        <v>1</v>
      </c>
      <c r="E114" t="s">
        <v>11</v>
      </c>
      <c r="F114" t="s">
        <v>12</v>
      </c>
      <c r="G114" s="1"/>
      <c r="H114" t="str">
        <f>"4823114015205"</f>
        <v>4823114015205</v>
      </c>
      <c r="J114" t="s">
        <v>242</v>
      </c>
    </row>
    <row r="115" spans="1:10" x14ac:dyDescent="0.25">
      <c r="A115" t="s">
        <v>8</v>
      </c>
      <c r="B115" t="s">
        <v>250</v>
      </c>
      <c r="C115" t="s">
        <v>251</v>
      </c>
      <c r="D115">
        <v>1</v>
      </c>
      <c r="E115" t="s">
        <v>11</v>
      </c>
      <c r="F115" t="s">
        <v>12</v>
      </c>
      <c r="G115" s="1"/>
      <c r="H115" t="str">
        <f>"4823114015090"</f>
        <v>4823114015090</v>
      </c>
      <c r="J115" t="s">
        <v>252</v>
      </c>
    </row>
    <row r="116" spans="1:10" x14ac:dyDescent="0.25">
      <c r="A116" t="s">
        <v>8</v>
      </c>
      <c r="B116" t="s">
        <v>253</v>
      </c>
      <c r="C116" t="s">
        <v>254</v>
      </c>
      <c r="D116">
        <v>1</v>
      </c>
      <c r="E116" t="s">
        <v>11</v>
      </c>
      <c r="F116" t="s">
        <v>12</v>
      </c>
      <c r="G116" s="1"/>
      <c r="H116" t="str">
        <f>"4823114015083"</f>
        <v>4823114015083</v>
      </c>
      <c r="J116" t="s">
        <v>252</v>
      </c>
    </row>
    <row r="117" spans="1:10" x14ac:dyDescent="0.25">
      <c r="A117" t="s">
        <v>8</v>
      </c>
      <c r="B117" t="s">
        <v>255</v>
      </c>
      <c r="C117" t="s">
        <v>256</v>
      </c>
      <c r="D117">
        <v>1</v>
      </c>
      <c r="E117" t="s">
        <v>11</v>
      </c>
      <c r="F117" t="s">
        <v>12</v>
      </c>
      <c r="G117" s="1"/>
      <c r="H117" t="str">
        <f>"4823114015199"</f>
        <v>4823114015199</v>
      </c>
      <c r="J117" t="s">
        <v>257</v>
      </c>
    </row>
    <row r="118" spans="1:10" x14ac:dyDescent="0.25">
      <c r="A118" t="s">
        <v>8</v>
      </c>
      <c r="B118" t="s">
        <v>258</v>
      </c>
      <c r="C118" t="s">
        <v>259</v>
      </c>
      <c r="D118">
        <v>1</v>
      </c>
      <c r="E118" t="s">
        <v>11</v>
      </c>
      <c r="F118" t="s">
        <v>12</v>
      </c>
      <c r="G118" s="1"/>
      <c r="H118" t="str">
        <f>"4823114015182"</f>
        <v>4823114015182</v>
      </c>
      <c r="J118" t="s">
        <v>257</v>
      </c>
    </row>
    <row r="119" spans="1:10" x14ac:dyDescent="0.25">
      <c r="A119" t="s">
        <v>8</v>
      </c>
      <c r="B119" t="s">
        <v>260</v>
      </c>
      <c r="C119" t="s">
        <v>261</v>
      </c>
      <c r="D119">
        <v>1</v>
      </c>
      <c r="E119" t="s">
        <v>11</v>
      </c>
      <c r="F119" t="s">
        <v>12</v>
      </c>
      <c r="G119" s="1"/>
      <c r="H119" t="str">
        <f>"4823114015151"</f>
        <v>4823114015151</v>
      </c>
      <c r="J119" t="s">
        <v>262</v>
      </c>
    </row>
    <row r="120" spans="1:10" x14ac:dyDescent="0.25">
      <c r="A120" t="s">
        <v>8</v>
      </c>
      <c r="B120" t="s">
        <v>263</v>
      </c>
      <c r="C120" t="s">
        <v>264</v>
      </c>
      <c r="D120">
        <v>1</v>
      </c>
      <c r="E120" t="s">
        <v>11</v>
      </c>
      <c r="F120" t="s">
        <v>12</v>
      </c>
      <c r="G120" s="1"/>
      <c r="H120" t="str">
        <f>"4823114015144"</f>
        <v>4823114015144</v>
      </c>
      <c r="J120" t="s">
        <v>262</v>
      </c>
    </row>
    <row r="121" spans="1:10" x14ac:dyDescent="0.25">
      <c r="A121" t="s">
        <v>8</v>
      </c>
      <c r="B121" t="s">
        <v>265</v>
      </c>
      <c r="C121" t="s">
        <v>266</v>
      </c>
      <c r="D121">
        <v>1</v>
      </c>
      <c r="E121" t="s">
        <v>11</v>
      </c>
      <c r="F121" t="s">
        <v>12</v>
      </c>
      <c r="G121" s="1"/>
      <c r="H121" t="str">
        <f>"4823114015403"</f>
        <v>4823114015403</v>
      </c>
      <c r="J121" t="s">
        <v>267</v>
      </c>
    </row>
    <row r="122" spans="1:10" x14ac:dyDescent="0.25">
      <c r="A122" t="s">
        <v>8</v>
      </c>
      <c r="B122" t="s">
        <v>268</v>
      </c>
      <c r="C122" t="s">
        <v>269</v>
      </c>
      <c r="D122">
        <v>1</v>
      </c>
      <c r="E122" t="s">
        <v>11</v>
      </c>
      <c r="F122" t="s">
        <v>12</v>
      </c>
      <c r="G122" s="1"/>
      <c r="H122" t="str">
        <f>""</f>
        <v/>
      </c>
      <c r="J122" t="s">
        <v>270</v>
      </c>
    </row>
    <row r="123" spans="1:10" x14ac:dyDescent="0.25">
      <c r="A123" t="s">
        <v>8</v>
      </c>
      <c r="B123" t="s">
        <v>271</v>
      </c>
      <c r="C123" t="s">
        <v>269</v>
      </c>
      <c r="D123">
        <v>1</v>
      </c>
      <c r="E123" t="s">
        <v>11</v>
      </c>
      <c r="F123" t="s">
        <v>12</v>
      </c>
      <c r="G123" s="1"/>
      <c r="H123" t="str">
        <f>""</f>
        <v/>
      </c>
      <c r="J123" t="s">
        <v>270</v>
      </c>
    </row>
    <row r="124" spans="1:10" x14ac:dyDescent="0.25">
      <c r="A124" t="s">
        <v>8</v>
      </c>
      <c r="B124" t="s">
        <v>272</v>
      </c>
      <c r="C124" t="s">
        <v>273</v>
      </c>
      <c r="D124">
        <v>1</v>
      </c>
      <c r="E124" t="s">
        <v>11</v>
      </c>
      <c r="F124" t="s">
        <v>12</v>
      </c>
      <c r="G124" s="1"/>
      <c r="H124" t="str">
        <f>"4823114015397"</f>
        <v>4823114015397</v>
      </c>
      <c r="J124" t="s">
        <v>267</v>
      </c>
    </row>
    <row r="125" spans="1:10" x14ac:dyDescent="0.25">
      <c r="A125" t="s">
        <v>8</v>
      </c>
      <c r="B125" t="s">
        <v>274</v>
      </c>
      <c r="C125" t="s">
        <v>275</v>
      </c>
      <c r="D125">
        <v>1</v>
      </c>
      <c r="E125" t="s">
        <v>11</v>
      </c>
      <c r="F125" t="s">
        <v>12</v>
      </c>
      <c r="G125" s="1"/>
      <c r="H125" t="str">
        <f>"4823114039720"</f>
        <v>4823114039720</v>
      </c>
      <c r="J125" t="s">
        <v>276</v>
      </c>
    </row>
    <row r="126" spans="1:10" x14ac:dyDescent="0.25">
      <c r="A126" t="s">
        <v>8</v>
      </c>
      <c r="B126" t="s">
        <v>277</v>
      </c>
      <c r="C126" t="s">
        <v>278</v>
      </c>
      <c r="D126">
        <v>1</v>
      </c>
      <c r="E126" t="s">
        <v>11</v>
      </c>
      <c r="F126" t="s">
        <v>12</v>
      </c>
      <c r="G126" s="1"/>
      <c r="H126" t="str">
        <f>"4823114039737"</f>
        <v>4823114039737</v>
      </c>
      <c r="J126" t="s">
        <v>276</v>
      </c>
    </row>
    <row r="127" spans="1:10" x14ac:dyDescent="0.25">
      <c r="A127" t="s">
        <v>8</v>
      </c>
      <c r="B127" t="s">
        <v>279</v>
      </c>
      <c r="C127" t="s">
        <v>280</v>
      </c>
      <c r="D127">
        <v>1</v>
      </c>
      <c r="E127" t="s">
        <v>11</v>
      </c>
      <c r="F127" t="s">
        <v>12</v>
      </c>
      <c r="G127" s="1"/>
      <c r="H127" t="str">
        <f>""</f>
        <v/>
      </c>
      <c r="J127" t="s">
        <v>281</v>
      </c>
    </row>
    <row r="128" spans="1:10" x14ac:dyDescent="0.25">
      <c r="A128" t="s">
        <v>8</v>
      </c>
      <c r="B128" t="s">
        <v>282</v>
      </c>
      <c r="C128" t="s">
        <v>283</v>
      </c>
      <c r="D128">
        <v>1</v>
      </c>
      <c r="E128" t="s">
        <v>11</v>
      </c>
      <c r="F128" t="s">
        <v>12</v>
      </c>
      <c r="G128" s="1"/>
      <c r="H128" t="str">
        <f>"4823114015366"</f>
        <v>4823114015366</v>
      </c>
      <c r="J128" t="s">
        <v>284</v>
      </c>
    </row>
    <row r="129" spans="1:10" x14ac:dyDescent="0.25">
      <c r="A129" t="s">
        <v>8</v>
      </c>
      <c r="B129" t="s">
        <v>285</v>
      </c>
      <c r="C129" t="s">
        <v>280</v>
      </c>
      <c r="D129">
        <v>1</v>
      </c>
      <c r="E129" t="s">
        <v>11</v>
      </c>
      <c r="F129" t="s">
        <v>12</v>
      </c>
      <c r="G129" s="1"/>
      <c r="H129" t="str">
        <f>""</f>
        <v/>
      </c>
      <c r="J129" t="s">
        <v>286</v>
      </c>
    </row>
    <row r="130" spans="1:10" x14ac:dyDescent="0.25">
      <c r="A130" t="s">
        <v>8</v>
      </c>
      <c r="B130" t="s">
        <v>287</v>
      </c>
      <c r="C130" t="s">
        <v>280</v>
      </c>
      <c r="D130">
        <v>1</v>
      </c>
      <c r="E130" t="s">
        <v>11</v>
      </c>
      <c r="F130" t="s">
        <v>12</v>
      </c>
      <c r="G130" s="1"/>
      <c r="H130" t="str">
        <f>""</f>
        <v/>
      </c>
      <c r="J130" t="s">
        <v>286</v>
      </c>
    </row>
    <row r="131" spans="1:10" x14ac:dyDescent="0.25">
      <c r="A131" t="s">
        <v>8</v>
      </c>
      <c r="B131" t="s">
        <v>288</v>
      </c>
      <c r="C131" t="s">
        <v>289</v>
      </c>
      <c r="D131">
        <v>1</v>
      </c>
      <c r="E131" t="s">
        <v>11</v>
      </c>
      <c r="F131" t="s">
        <v>12</v>
      </c>
      <c r="G131" s="1"/>
      <c r="H131" t="str">
        <f>""</f>
        <v/>
      </c>
      <c r="J131" t="s">
        <v>290</v>
      </c>
    </row>
    <row r="132" spans="1:10" x14ac:dyDescent="0.25">
      <c r="A132" t="s">
        <v>8</v>
      </c>
      <c r="B132" t="s">
        <v>291</v>
      </c>
      <c r="C132" t="s">
        <v>292</v>
      </c>
      <c r="D132">
        <v>1</v>
      </c>
      <c r="E132" t="s">
        <v>11</v>
      </c>
      <c r="F132" t="s">
        <v>12</v>
      </c>
      <c r="G132" s="1"/>
      <c r="H132" t="str">
        <f>"4823114017513"</f>
        <v>4823114017513</v>
      </c>
      <c r="J132" t="s">
        <v>293</v>
      </c>
    </row>
    <row r="133" spans="1:10" x14ac:dyDescent="0.25">
      <c r="A133" t="s">
        <v>8</v>
      </c>
      <c r="B133" t="s">
        <v>294</v>
      </c>
      <c r="C133" t="s">
        <v>295</v>
      </c>
      <c r="D133">
        <v>1</v>
      </c>
      <c r="E133" t="s">
        <v>11</v>
      </c>
      <c r="F133" t="s">
        <v>12</v>
      </c>
      <c r="G133" s="1"/>
      <c r="H133" t="str">
        <f>"4823114015342"</f>
        <v>4823114015342</v>
      </c>
      <c r="J133" t="s">
        <v>296</v>
      </c>
    </row>
    <row r="134" spans="1:10" x14ac:dyDescent="0.25">
      <c r="A134" t="s">
        <v>8</v>
      </c>
      <c r="B134" t="s">
        <v>297</v>
      </c>
      <c r="C134" t="s">
        <v>298</v>
      </c>
      <c r="D134">
        <v>1</v>
      </c>
      <c r="E134" t="s">
        <v>11</v>
      </c>
      <c r="F134" t="s">
        <v>12</v>
      </c>
      <c r="G134" s="1"/>
      <c r="H134" t="str">
        <f>"4823114017537"</f>
        <v>4823114017537</v>
      </c>
      <c r="J134" t="s">
        <v>299</v>
      </c>
    </row>
    <row r="135" spans="1:10" x14ac:dyDescent="0.25">
      <c r="A135" t="s">
        <v>8</v>
      </c>
      <c r="B135" t="s">
        <v>300</v>
      </c>
      <c r="C135" t="s">
        <v>280</v>
      </c>
      <c r="D135">
        <v>1</v>
      </c>
      <c r="E135" t="s">
        <v>11</v>
      </c>
      <c r="F135" t="s">
        <v>12</v>
      </c>
      <c r="G135" s="1"/>
      <c r="H135" t="str">
        <f>""</f>
        <v/>
      </c>
      <c r="J135" t="s">
        <v>301</v>
      </c>
    </row>
    <row r="136" spans="1:10" x14ac:dyDescent="0.25">
      <c r="A136" t="s">
        <v>8</v>
      </c>
      <c r="B136" t="s">
        <v>302</v>
      </c>
      <c r="C136" t="s">
        <v>280</v>
      </c>
      <c r="D136">
        <v>1</v>
      </c>
      <c r="E136" t="s">
        <v>11</v>
      </c>
      <c r="F136" t="s">
        <v>12</v>
      </c>
      <c r="G136" s="1"/>
      <c r="H136" t="str">
        <f>""</f>
        <v/>
      </c>
      <c r="J136" t="s">
        <v>301</v>
      </c>
    </row>
    <row r="137" spans="1:10" x14ac:dyDescent="0.25">
      <c r="A137" t="s">
        <v>8</v>
      </c>
      <c r="B137" t="s">
        <v>303</v>
      </c>
      <c r="C137" t="s">
        <v>304</v>
      </c>
      <c r="D137">
        <v>1</v>
      </c>
      <c r="E137" t="s">
        <v>11</v>
      </c>
      <c r="F137" t="s">
        <v>12</v>
      </c>
      <c r="G137" s="1"/>
      <c r="H137" t="str">
        <f>"4823114017520"</f>
        <v>4823114017520</v>
      </c>
      <c r="J137" t="s">
        <v>299</v>
      </c>
    </row>
    <row r="138" spans="1:10" x14ac:dyDescent="0.25">
      <c r="A138" t="s">
        <v>8</v>
      </c>
      <c r="B138" t="s">
        <v>305</v>
      </c>
      <c r="C138" t="s">
        <v>306</v>
      </c>
      <c r="D138">
        <v>1</v>
      </c>
      <c r="E138" t="s">
        <v>11</v>
      </c>
      <c r="F138" t="s">
        <v>12</v>
      </c>
      <c r="G138" s="1"/>
      <c r="H138" t="str">
        <f>"4823114015359"</f>
        <v>4823114015359</v>
      </c>
      <c r="J138" t="s">
        <v>284</v>
      </c>
    </row>
    <row r="139" spans="1:10" x14ac:dyDescent="0.25">
      <c r="A139" t="s">
        <v>8</v>
      </c>
      <c r="B139" t="s">
        <v>307</v>
      </c>
      <c r="C139" t="s">
        <v>308</v>
      </c>
      <c r="D139">
        <v>1</v>
      </c>
      <c r="E139" t="s">
        <v>11</v>
      </c>
      <c r="F139" t="s">
        <v>12</v>
      </c>
      <c r="G139" s="1"/>
      <c r="H139" t="str">
        <f>"4823114015335"</f>
        <v>4823114015335</v>
      </c>
      <c r="J139" t="s">
        <v>309</v>
      </c>
    </row>
    <row r="140" spans="1:10" x14ac:dyDescent="0.25">
      <c r="A140" t="s">
        <v>8</v>
      </c>
      <c r="B140" t="s">
        <v>310</v>
      </c>
      <c r="C140" t="s">
        <v>311</v>
      </c>
      <c r="D140">
        <v>1</v>
      </c>
      <c r="E140" t="s">
        <v>11</v>
      </c>
      <c r="F140" t="s">
        <v>12</v>
      </c>
      <c r="G140" s="1"/>
      <c r="H140" t="str">
        <f>""</f>
        <v/>
      </c>
      <c r="J140" t="s">
        <v>222</v>
      </c>
    </row>
    <row r="141" spans="1:10" x14ac:dyDescent="0.25">
      <c r="A141" t="s">
        <v>8</v>
      </c>
      <c r="B141" t="s">
        <v>312</v>
      </c>
      <c r="C141" t="s">
        <v>311</v>
      </c>
      <c r="D141">
        <v>1</v>
      </c>
      <c r="E141" t="s">
        <v>11</v>
      </c>
      <c r="F141" t="s">
        <v>12</v>
      </c>
      <c r="G141" s="1"/>
      <c r="H141" t="str">
        <f>""</f>
        <v/>
      </c>
      <c r="J141" t="s">
        <v>222</v>
      </c>
    </row>
    <row r="142" spans="1:10" x14ac:dyDescent="0.25">
      <c r="A142" t="s">
        <v>8</v>
      </c>
      <c r="B142" t="s">
        <v>313</v>
      </c>
      <c r="C142" t="s">
        <v>314</v>
      </c>
      <c r="D142">
        <v>1</v>
      </c>
      <c r="E142" t="s">
        <v>11</v>
      </c>
      <c r="F142" t="s">
        <v>12</v>
      </c>
      <c r="G142" s="1"/>
      <c r="H142" t="str">
        <f>""</f>
        <v/>
      </c>
      <c r="J142" t="s">
        <v>173</v>
      </c>
    </row>
    <row r="143" spans="1:10" x14ac:dyDescent="0.25">
      <c r="A143" t="s">
        <v>8</v>
      </c>
      <c r="B143" t="s">
        <v>315</v>
      </c>
      <c r="C143" t="s">
        <v>316</v>
      </c>
      <c r="D143">
        <v>1</v>
      </c>
      <c r="E143" t="s">
        <v>11</v>
      </c>
      <c r="F143" t="s">
        <v>12</v>
      </c>
      <c r="G143" s="1"/>
      <c r="H143" t="str">
        <f>"4823114015328"</f>
        <v>4823114015328</v>
      </c>
      <c r="J143" t="s">
        <v>309</v>
      </c>
    </row>
    <row r="144" spans="1:10" x14ac:dyDescent="0.25">
      <c r="A144" t="s">
        <v>8</v>
      </c>
      <c r="B144" t="s">
        <v>317</v>
      </c>
      <c r="C144" t="s">
        <v>318</v>
      </c>
      <c r="D144">
        <v>1</v>
      </c>
      <c r="E144" t="s">
        <v>11</v>
      </c>
      <c r="F144" t="s">
        <v>12</v>
      </c>
      <c r="G144" s="1"/>
      <c r="H144" t="str">
        <f>"4823114015281"</f>
        <v>4823114015281</v>
      </c>
      <c r="J144" t="s">
        <v>147</v>
      </c>
    </row>
    <row r="145" spans="1:10" x14ac:dyDescent="0.25">
      <c r="A145" t="s">
        <v>8</v>
      </c>
      <c r="B145" t="s">
        <v>319</v>
      </c>
      <c r="C145" t="s">
        <v>320</v>
      </c>
      <c r="D145">
        <v>1</v>
      </c>
      <c r="E145" t="s">
        <v>11</v>
      </c>
      <c r="F145" t="s">
        <v>12</v>
      </c>
      <c r="G145" s="1"/>
      <c r="H145" t="str">
        <f>""</f>
        <v/>
      </c>
      <c r="J145" t="s">
        <v>321</v>
      </c>
    </row>
    <row r="146" spans="1:10" x14ac:dyDescent="0.25">
      <c r="A146" t="s">
        <v>8</v>
      </c>
      <c r="B146" t="s">
        <v>322</v>
      </c>
      <c r="C146" t="s">
        <v>320</v>
      </c>
      <c r="D146">
        <v>1</v>
      </c>
      <c r="E146" t="s">
        <v>11</v>
      </c>
      <c r="F146" t="s">
        <v>12</v>
      </c>
      <c r="G146" s="1"/>
      <c r="H146" t="str">
        <f>""</f>
        <v/>
      </c>
      <c r="J146" t="s">
        <v>321</v>
      </c>
    </row>
    <row r="147" spans="1:10" x14ac:dyDescent="0.25">
      <c r="A147" t="s">
        <v>8</v>
      </c>
      <c r="B147" t="s">
        <v>323</v>
      </c>
      <c r="C147" t="s">
        <v>324</v>
      </c>
      <c r="D147">
        <v>1</v>
      </c>
      <c r="E147" t="s">
        <v>11</v>
      </c>
      <c r="F147" t="s">
        <v>12</v>
      </c>
      <c r="G147" s="1"/>
      <c r="H147" t="str">
        <f>"4823114015274"</f>
        <v>4823114015274</v>
      </c>
      <c r="J147" t="s">
        <v>147</v>
      </c>
    </row>
    <row r="148" spans="1:10" x14ac:dyDescent="0.25">
      <c r="A148" t="s">
        <v>8</v>
      </c>
      <c r="B148" t="s">
        <v>325</v>
      </c>
      <c r="C148" t="s">
        <v>326</v>
      </c>
      <c r="D148">
        <v>1</v>
      </c>
      <c r="E148" t="s">
        <v>11</v>
      </c>
      <c r="F148" t="s">
        <v>12</v>
      </c>
      <c r="G148" s="1"/>
      <c r="H148" t="str">
        <f>"4823114015267"</f>
        <v>4823114015267</v>
      </c>
      <c r="J148" t="s">
        <v>327</v>
      </c>
    </row>
    <row r="149" spans="1:10" x14ac:dyDescent="0.25">
      <c r="A149" t="s">
        <v>8</v>
      </c>
      <c r="B149" t="s">
        <v>328</v>
      </c>
      <c r="C149" t="s">
        <v>329</v>
      </c>
      <c r="D149">
        <v>1</v>
      </c>
      <c r="E149" t="s">
        <v>11</v>
      </c>
      <c r="F149" t="s">
        <v>12</v>
      </c>
      <c r="G149" s="1"/>
      <c r="H149" t="str">
        <f>"4823114015250"</f>
        <v>4823114015250</v>
      </c>
      <c r="J149" t="s">
        <v>327</v>
      </c>
    </row>
    <row r="150" spans="1:10" x14ac:dyDescent="0.25">
      <c r="A150" t="s">
        <v>8</v>
      </c>
      <c r="B150" t="s">
        <v>330</v>
      </c>
      <c r="C150" t="s">
        <v>331</v>
      </c>
      <c r="D150">
        <v>1</v>
      </c>
      <c r="E150" t="s">
        <v>11</v>
      </c>
      <c r="F150" t="s">
        <v>12</v>
      </c>
      <c r="G150" s="1"/>
      <c r="H150" t="str">
        <f>"4823114015298"</f>
        <v>4823114015298</v>
      </c>
      <c r="J150" t="s">
        <v>332</v>
      </c>
    </row>
    <row r="151" spans="1:10" x14ac:dyDescent="0.25">
      <c r="A151" t="s">
        <v>8</v>
      </c>
      <c r="B151" t="s">
        <v>333</v>
      </c>
      <c r="C151" t="s">
        <v>334</v>
      </c>
      <c r="D151">
        <v>1</v>
      </c>
      <c r="E151" t="s">
        <v>11</v>
      </c>
      <c r="F151" t="s">
        <v>12</v>
      </c>
      <c r="G151" s="1"/>
      <c r="H151" t="str">
        <f>"4823114015588"</f>
        <v>4823114015588</v>
      </c>
      <c r="J151" t="s">
        <v>335</v>
      </c>
    </row>
    <row r="152" spans="1:10" x14ac:dyDescent="0.25">
      <c r="A152" t="s">
        <v>8</v>
      </c>
      <c r="B152" t="s">
        <v>336</v>
      </c>
      <c r="C152" t="s">
        <v>337</v>
      </c>
      <c r="D152">
        <v>1</v>
      </c>
      <c r="E152" t="s">
        <v>11</v>
      </c>
      <c r="F152" t="s">
        <v>12</v>
      </c>
      <c r="G152" s="1"/>
      <c r="H152" t="str">
        <f>"4823114015571"</f>
        <v>4823114015571</v>
      </c>
      <c r="J152" t="s">
        <v>335</v>
      </c>
    </row>
    <row r="153" spans="1:10" x14ac:dyDescent="0.25">
      <c r="A153" t="s">
        <v>8</v>
      </c>
      <c r="B153" t="s">
        <v>338</v>
      </c>
      <c r="C153" t="s">
        <v>339</v>
      </c>
      <c r="D153">
        <v>1</v>
      </c>
      <c r="E153" t="s">
        <v>11</v>
      </c>
      <c r="F153" t="s">
        <v>12</v>
      </c>
      <c r="G153" s="1"/>
      <c r="H153" t="str">
        <f>"810031990498"</f>
        <v>810031990498</v>
      </c>
      <c r="J153" t="s">
        <v>340</v>
      </c>
    </row>
    <row r="154" spans="1:10" x14ac:dyDescent="0.25">
      <c r="A154" t="s">
        <v>8</v>
      </c>
      <c r="B154" t="s">
        <v>341</v>
      </c>
      <c r="C154" t="s">
        <v>342</v>
      </c>
      <c r="D154">
        <v>1</v>
      </c>
      <c r="E154" t="s">
        <v>11</v>
      </c>
      <c r="F154" t="s">
        <v>12</v>
      </c>
      <c r="G154" s="1"/>
      <c r="H154" t="str">
        <f>"4823114036989"</f>
        <v>4823114036989</v>
      </c>
      <c r="J154" t="s">
        <v>343</v>
      </c>
    </row>
    <row r="155" spans="1:10" x14ac:dyDescent="0.25">
      <c r="A155" t="s">
        <v>8</v>
      </c>
      <c r="B155" t="s">
        <v>344</v>
      </c>
      <c r="C155" t="s">
        <v>345</v>
      </c>
      <c r="D155">
        <v>1</v>
      </c>
      <c r="E155" t="s">
        <v>11</v>
      </c>
      <c r="F155" t="s">
        <v>12</v>
      </c>
      <c r="G155" s="1"/>
      <c r="H155" t="str">
        <f>"4823114015021"</f>
        <v>4823114015021</v>
      </c>
      <c r="J155" t="s">
        <v>343</v>
      </c>
    </row>
    <row r="156" spans="1:10" x14ac:dyDescent="0.25">
      <c r="A156" t="s">
        <v>8</v>
      </c>
      <c r="B156" t="s">
        <v>346</v>
      </c>
      <c r="C156" t="s">
        <v>347</v>
      </c>
      <c r="D156">
        <v>1</v>
      </c>
      <c r="E156" t="s">
        <v>11</v>
      </c>
      <c r="F156" t="s">
        <v>12</v>
      </c>
      <c r="G156" s="1"/>
      <c r="H156" t="str">
        <f>"4823114015854"</f>
        <v>4823114015854</v>
      </c>
      <c r="J156" t="s">
        <v>348</v>
      </c>
    </row>
    <row r="157" spans="1:10" x14ac:dyDescent="0.25">
      <c r="A157" t="s">
        <v>8</v>
      </c>
      <c r="B157" t="s">
        <v>349</v>
      </c>
      <c r="C157" t="s">
        <v>350</v>
      </c>
      <c r="D157">
        <v>1</v>
      </c>
      <c r="E157" t="s">
        <v>11</v>
      </c>
      <c r="F157" t="s">
        <v>12</v>
      </c>
      <c r="G157" s="1"/>
      <c r="H157" t="str">
        <f>"4823114015847"</f>
        <v>4823114015847</v>
      </c>
      <c r="J157" t="s">
        <v>351</v>
      </c>
    </row>
    <row r="158" spans="1:10" x14ac:dyDescent="0.25">
      <c r="A158" t="s">
        <v>8</v>
      </c>
      <c r="B158" t="s">
        <v>352</v>
      </c>
      <c r="C158" t="s">
        <v>353</v>
      </c>
      <c r="D158">
        <v>1</v>
      </c>
      <c r="E158" t="s">
        <v>11</v>
      </c>
      <c r="F158" t="s">
        <v>12</v>
      </c>
      <c r="G158" s="1"/>
      <c r="H158" t="str">
        <f>"4823114015830"</f>
        <v>4823114015830</v>
      </c>
      <c r="J158" t="s">
        <v>354</v>
      </c>
    </row>
    <row r="159" spans="1:10" x14ac:dyDescent="0.25">
      <c r="A159" t="s">
        <v>8</v>
      </c>
      <c r="B159" t="s">
        <v>355</v>
      </c>
      <c r="C159" t="s">
        <v>356</v>
      </c>
      <c r="D159">
        <v>1</v>
      </c>
      <c r="E159" t="s">
        <v>11</v>
      </c>
      <c r="F159" t="s">
        <v>12</v>
      </c>
      <c r="G159" s="1"/>
      <c r="H159" t="str">
        <f>"4823114015823"</f>
        <v>4823114015823</v>
      </c>
      <c r="J159" t="s">
        <v>357</v>
      </c>
    </row>
    <row r="160" spans="1:10" x14ac:dyDescent="0.25">
      <c r="A160" t="s">
        <v>8</v>
      </c>
      <c r="B160" t="s">
        <v>358</v>
      </c>
      <c r="C160" t="s">
        <v>359</v>
      </c>
      <c r="D160">
        <v>1</v>
      </c>
      <c r="E160" t="s">
        <v>11</v>
      </c>
      <c r="F160" t="s">
        <v>12</v>
      </c>
      <c r="G160" s="1"/>
      <c r="H160" t="str">
        <f>"4823114015816"</f>
        <v>4823114015816</v>
      </c>
      <c r="J160" t="s">
        <v>357</v>
      </c>
    </row>
    <row r="161" spans="1:10" x14ac:dyDescent="0.25">
      <c r="A161" t="s">
        <v>8</v>
      </c>
      <c r="B161" t="s">
        <v>360</v>
      </c>
      <c r="C161" t="s">
        <v>361</v>
      </c>
      <c r="D161">
        <v>1</v>
      </c>
      <c r="E161" t="s">
        <v>11</v>
      </c>
      <c r="F161" t="s">
        <v>12</v>
      </c>
      <c r="G161" s="1"/>
      <c r="H161" t="str">
        <f>"4823114015786"</f>
        <v>4823114015786</v>
      </c>
      <c r="J161" t="s">
        <v>68</v>
      </c>
    </row>
    <row r="162" spans="1:10" x14ac:dyDescent="0.25">
      <c r="A162" t="s">
        <v>8</v>
      </c>
      <c r="B162" t="s">
        <v>362</v>
      </c>
      <c r="C162" t="s">
        <v>363</v>
      </c>
      <c r="D162">
        <v>1</v>
      </c>
      <c r="E162" t="s">
        <v>11</v>
      </c>
      <c r="F162" t="s">
        <v>12</v>
      </c>
      <c r="G162" s="1"/>
      <c r="H162" t="str">
        <f>""</f>
        <v/>
      </c>
      <c r="J162" t="s">
        <v>364</v>
      </c>
    </row>
    <row r="163" spans="1:10" x14ac:dyDescent="0.25">
      <c r="A163" t="s">
        <v>8</v>
      </c>
      <c r="B163" t="s">
        <v>365</v>
      </c>
      <c r="C163" t="s">
        <v>363</v>
      </c>
      <c r="D163">
        <v>1</v>
      </c>
      <c r="E163" t="s">
        <v>11</v>
      </c>
      <c r="F163" t="s">
        <v>12</v>
      </c>
      <c r="G163" s="1"/>
      <c r="H163" t="str">
        <f>""</f>
        <v/>
      </c>
      <c r="J163" t="s">
        <v>364</v>
      </c>
    </row>
    <row r="164" spans="1:10" x14ac:dyDescent="0.25">
      <c r="A164" t="s">
        <v>8</v>
      </c>
      <c r="B164" t="s">
        <v>366</v>
      </c>
      <c r="C164" t="s">
        <v>367</v>
      </c>
      <c r="D164">
        <v>1</v>
      </c>
      <c r="E164" t="s">
        <v>11</v>
      </c>
      <c r="F164" t="s">
        <v>12</v>
      </c>
      <c r="G164" s="1"/>
      <c r="H164" t="str">
        <f>"4823114015779"</f>
        <v>4823114015779</v>
      </c>
      <c r="J164" t="s">
        <v>68</v>
      </c>
    </row>
    <row r="165" spans="1:10" x14ac:dyDescent="0.25">
      <c r="A165" t="s">
        <v>8</v>
      </c>
      <c r="B165" t="s">
        <v>368</v>
      </c>
      <c r="C165" t="s">
        <v>369</v>
      </c>
      <c r="D165">
        <v>1</v>
      </c>
      <c r="E165" t="s">
        <v>11</v>
      </c>
      <c r="F165" t="s">
        <v>12</v>
      </c>
      <c r="G165" s="1"/>
      <c r="H165" t="str">
        <f>"4823114060861"</f>
        <v>4823114060861</v>
      </c>
      <c r="J165" t="s">
        <v>270</v>
      </c>
    </row>
    <row r="166" spans="1:10" x14ac:dyDescent="0.25">
      <c r="A166" t="s">
        <v>8</v>
      </c>
      <c r="B166" t="s">
        <v>370</v>
      </c>
      <c r="C166" t="s">
        <v>371</v>
      </c>
      <c r="D166">
        <v>1</v>
      </c>
      <c r="E166" t="s">
        <v>11</v>
      </c>
      <c r="F166" t="s">
        <v>12</v>
      </c>
      <c r="G166" s="1"/>
      <c r="H166" t="str">
        <f>"4823114060878"</f>
        <v>4823114060878</v>
      </c>
      <c r="J166" t="s">
        <v>270</v>
      </c>
    </row>
    <row r="167" spans="1:10" x14ac:dyDescent="0.25">
      <c r="A167" t="s">
        <v>8</v>
      </c>
      <c r="B167" t="s">
        <v>372</v>
      </c>
      <c r="C167" t="s">
        <v>373</v>
      </c>
      <c r="D167">
        <v>1</v>
      </c>
      <c r="E167" t="s">
        <v>11</v>
      </c>
      <c r="F167" t="s">
        <v>12</v>
      </c>
      <c r="G167" s="1"/>
      <c r="H167" t="str">
        <f>"4823114015700"</f>
        <v>4823114015700</v>
      </c>
      <c r="J167" t="s">
        <v>270</v>
      </c>
    </row>
    <row r="168" spans="1:10" x14ac:dyDescent="0.25">
      <c r="A168" t="s">
        <v>8</v>
      </c>
      <c r="B168" t="s">
        <v>374</v>
      </c>
      <c r="C168" t="s">
        <v>375</v>
      </c>
      <c r="D168">
        <v>1</v>
      </c>
      <c r="E168" t="s">
        <v>11</v>
      </c>
      <c r="F168" t="s">
        <v>12</v>
      </c>
      <c r="G168" s="1"/>
      <c r="H168" t="str">
        <f>"4823114015694"</f>
        <v>4823114015694</v>
      </c>
      <c r="J168" t="s">
        <v>270</v>
      </c>
    </row>
    <row r="169" spans="1:10" x14ac:dyDescent="0.25">
      <c r="A169" t="s">
        <v>8</v>
      </c>
      <c r="B169" t="s">
        <v>376</v>
      </c>
      <c r="C169" t="s">
        <v>377</v>
      </c>
      <c r="D169">
        <v>1</v>
      </c>
      <c r="E169" t="s">
        <v>11</v>
      </c>
      <c r="F169" t="s">
        <v>12</v>
      </c>
      <c r="G169" s="1"/>
      <c r="H169" t="str">
        <f>"4823114015663"</f>
        <v>4823114015663</v>
      </c>
      <c r="J169" t="s">
        <v>378</v>
      </c>
    </row>
    <row r="170" spans="1:10" x14ac:dyDescent="0.25">
      <c r="A170" t="s">
        <v>8</v>
      </c>
      <c r="B170" t="s">
        <v>379</v>
      </c>
      <c r="C170" t="s">
        <v>380</v>
      </c>
      <c r="D170">
        <v>1</v>
      </c>
      <c r="E170" t="s">
        <v>11</v>
      </c>
      <c r="F170" t="s">
        <v>12</v>
      </c>
      <c r="G170" s="1"/>
      <c r="H170" t="str">
        <f>"4823114015649"</f>
        <v>4823114015649</v>
      </c>
      <c r="J170" t="s">
        <v>378</v>
      </c>
    </row>
    <row r="171" spans="1:10" x14ac:dyDescent="0.25">
      <c r="A171" t="s">
        <v>8</v>
      </c>
      <c r="B171" t="s">
        <v>381</v>
      </c>
      <c r="C171" t="s">
        <v>382</v>
      </c>
      <c r="D171">
        <v>1</v>
      </c>
      <c r="E171" t="s">
        <v>11</v>
      </c>
      <c r="F171" t="s">
        <v>12</v>
      </c>
      <c r="G171" s="1"/>
      <c r="H171" t="str">
        <f>"4823114015632"</f>
        <v>4823114015632</v>
      </c>
      <c r="J171" t="s">
        <v>378</v>
      </c>
    </row>
    <row r="172" spans="1:10" x14ac:dyDescent="0.25">
      <c r="A172" t="s">
        <v>8</v>
      </c>
      <c r="B172" t="s">
        <v>383</v>
      </c>
      <c r="C172" t="s">
        <v>384</v>
      </c>
      <c r="D172">
        <v>1</v>
      </c>
      <c r="E172" t="s">
        <v>11</v>
      </c>
      <c r="F172" t="s">
        <v>12</v>
      </c>
      <c r="G172" s="1"/>
      <c r="H172" t="str">
        <f>"4823114015656"</f>
        <v>4823114015656</v>
      </c>
      <c r="J172" t="s">
        <v>378</v>
      </c>
    </row>
    <row r="173" spans="1:10" x14ac:dyDescent="0.25">
      <c r="A173" t="s">
        <v>8</v>
      </c>
      <c r="B173" t="s">
        <v>385</v>
      </c>
      <c r="C173" t="s">
        <v>386</v>
      </c>
      <c r="D173">
        <v>1</v>
      </c>
      <c r="E173" t="s">
        <v>11</v>
      </c>
      <c r="F173" t="s">
        <v>12</v>
      </c>
      <c r="G173" s="1"/>
      <c r="H173" t="str">
        <f>""</f>
        <v/>
      </c>
      <c r="J173" t="s">
        <v>387</v>
      </c>
    </row>
    <row r="174" spans="1:10" x14ac:dyDescent="0.25">
      <c r="A174" t="s">
        <v>8</v>
      </c>
      <c r="B174" t="s">
        <v>388</v>
      </c>
      <c r="C174" t="s">
        <v>386</v>
      </c>
      <c r="D174">
        <v>1</v>
      </c>
      <c r="E174" t="s">
        <v>11</v>
      </c>
      <c r="F174" t="s">
        <v>12</v>
      </c>
      <c r="G174" s="1"/>
      <c r="H174" t="str">
        <f>""</f>
        <v/>
      </c>
      <c r="J174" t="s">
        <v>387</v>
      </c>
    </row>
    <row r="175" spans="1:10" x14ac:dyDescent="0.25">
      <c r="A175" t="s">
        <v>8</v>
      </c>
      <c r="B175" t="s">
        <v>389</v>
      </c>
      <c r="C175" t="s">
        <v>390</v>
      </c>
      <c r="D175">
        <v>1</v>
      </c>
      <c r="E175" t="s">
        <v>11</v>
      </c>
      <c r="F175" t="s">
        <v>12</v>
      </c>
      <c r="G175" s="1"/>
      <c r="H175" t="str">
        <f>""</f>
        <v/>
      </c>
      <c r="J175" t="s">
        <v>391</v>
      </c>
    </row>
    <row r="176" spans="1:10" x14ac:dyDescent="0.25">
      <c r="A176" t="s">
        <v>8</v>
      </c>
      <c r="B176" t="s">
        <v>392</v>
      </c>
      <c r="C176" t="s">
        <v>393</v>
      </c>
      <c r="D176">
        <v>1</v>
      </c>
      <c r="E176" t="s">
        <v>11</v>
      </c>
      <c r="F176" t="s">
        <v>12</v>
      </c>
      <c r="G176" s="1"/>
      <c r="H176" t="str">
        <f>""</f>
        <v/>
      </c>
      <c r="J176" t="s">
        <v>391</v>
      </c>
    </row>
    <row r="177" spans="1:10" x14ac:dyDescent="0.25">
      <c r="A177" t="s">
        <v>8</v>
      </c>
      <c r="B177" t="s">
        <v>394</v>
      </c>
      <c r="C177" t="s">
        <v>395</v>
      </c>
      <c r="D177">
        <v>1</v>
      </c>
      <c r="E177" t="s">
        <v>11</v>
      </c>
      <c r="F177" t="s">
        <v>12</v>
      </c>
      <c r="G177" s="1"/>
      <c r="H177" t="str">
        <f>"4823114015526"</f>
        <v>4823114015526</v>
      </c>
      <c r="J177" t="s">
        <v>396</v>
      </c>
    </row>
    <row r="178" spans="1:10" x14ac:dyDescent="0.25">
      <c r="A178" t="s">
        <v>8</v>
      </c>
      <c r="B178" t="s">
        <v>397</v>
      </c>
      <c r="C178" t="s">
        <v>398</v>
      </c>
      <c r="D178">
        <v>1</v>
      </c>
      <c r="E178" t="s">
        <v>11</v>
      </c>
      <c r="F178" t="s">
        <v>12</v>
      </c>
      <c r="G178" s="1"/>
      <c r="H178" t="str">
        <f>"4823114015519"</f>
        <v>4823114015519</v>
      </c>
      <c r="J178" t="s">
        <v>396</v>
      </c>
    </row>
    <row r="179" spans="1:10" x14ac:dyDescent="0.25">
      <c r="A179" t="s">
        <v>8</v>
      </c>
      <c r="B179" t="s">
        <v>399</v>
      </c>
      <c r="C179" t="s">
        <v>400</v>
      </c>
      <c r="D179">
        <v>1</v>
      </c>
      <c r="E179" t="s">
        <v>11</v>
      </c>
      <c r="F179" t="s">
        <v>12</v>
      </c>
      <c r="G179" s="1"/>
      <c r="H179" t="str">
        <f>"4823114015489"</f>
        <v>4823114015489</v>
      </c>
      <c r="J179" t="s">
        <v>114</v>
      </c>
    </row>
    <row r="180" spans="1:10" x14ac:dyDescent="0.25">
      <c r="A180" t="s">
        <v>8</v>
      </c>
      <c r="B180" t="s">
        <v>401</v>
      </c>
      <c r="C180" t="s">
        <v>402</v>
      </c>
      <c r="D180">
        <v>1</v>
      </c>
      <c r="E180" t="s">
        <v>11</v>
      </c>
      <c r="F180" t="s">
        <v>12</v>
      </c>
      <c r="G180" s="1"/>
      <c r="H180" t="str">
        <f>"4823114015434"</f>
        <v>4823114015434</v>
      </c>
      <c r="J180" t="s">
        <v>348</v>
      </c>
    </row>
    <row r="181" spans="1:10" x14ac:dyDescent="0.25">
      <c r="A181" t="s">
        <v>8</v>
      </c>
      <c r="B181" t="s">
        <v>403</v>
      </c>
      <c r="C181" t="s">
        <v>404</v>
      </c>
      <c r="D181">
        <v>1</v>
      </c>
      <c r="E181" t="s">
        <v>405</v>
      </c>
      <c r="F181" t="s">
        <v>406</v>
      </c>
      <c r="G181" s="1"/>
      <c r="H181" t="str">
        <f>""</f>
        <v/>
      </c>
      <c r="J181" t="s">
        <v>407</v>
      </c>
    </row>
    <row r="182" spans="1:10" x14ac:dyDescent="0.25">
      <c r="A182" t="s">
        <v>8</v>
      </c>
      <c r="B182" t="s">
        <v>408</v>
      </c>
      <c r="C182" t="s">
        <v>404</v>
      </c>
      <c r="D182">
        <v>1</v>
      </c>
      <c r="E182" t="s">
        <v>405</v>
      </c>
      <c r="F182" t="s">
        <v>406</v>
      </c>
      <c r="G182" s="1"/>
      <c r="H182" t="str">
        <f>""</f>
        <v/>
      </c>
      <c r="J182" t="s">
        <v>407</v>
      </c>
    </row>
    <row r="183" spans="1:10" x14ac:dyDescent="0.25">
      <c r="A183" t="s">
        <v>8</v>
      </c>
      <c r="B183" t="s">
        <v>409</v>
      </c>
      <c r="C183" t="s">
        <v>410</v>
      </c>
      <c r="D183">
        <v>1</v>
      </c>
      <c r="E183" t="s">
        <v>405</v>
      </c>
      <c r="F183" t="s">
        <v>406</v>
      </c>
      <c r="G183" s="1"/>
      <c r="H183" t="str">
        <f>"4823114050657"</f>
        <v>4823114050657</v>
      </c>
      <c r="J183" t="s">
        <v>411</v>
      </c>
    </row>
    <row r="184" spans="1:10" x14ac:dyDescent="0.25">
      <c r="A184" t="s">
        <v>8</v>
      </c>
      <c r="B184" t="s">
        <v>412</v>
      </c>
      <c r="C184" t="s">
        <v>413</v>
      </c>
      <c r="D184">
        <v>1</v>
      </c>
      <c r="E184" t="s">
        <v>405</v>
      </c>
      <c r="F184" t="s">
        <v>406</v>
      </c>
      <c r="G184" s="1"/>
      <c r="H184" t="str">
        <f>"4823114050695"</f>
        <v>4823114050695</v>
      </c>
      <c r="J184" t="s">
        <v>411</v>
      </c>
    </row>
    <row r="185" spans="1:10" x14ac:dyDescent="0.25">
      <c r="A185" t="s">
        <v>8</v>
      </c>
      <c r="B185" t="s">
        <v>414</v>
      </c>
      <c r="C185" t="s">
        <v>415</v>
      </c>
      <c r="D185">
        <v>1</v>
      </c>
      <c r="E185" t="s">
        <v>405</v>
      </c>
      <c r="F185" t="s">
        <v>406</v>
      </c>
      <c r="G185" s="1"/>
      <c r="H185" t="str">
        <f>"4823114050640"</f>
        <v>4823114050640</v>
      </c>
      <c r="J185" t="s">
        <v>411</v>
      </c>
    </row>
    <row r="186" spans="1:10" x14ac:dyDescent="0.25">
      <c r="A186" t="s">
        <v>8</v>
      </c>
      <c r="B186" t="s">
        <v>416</v>
      </c>
      <c r="C186" t="s">
        <v>417</v>
      </c>
      <c r="D186">
        <v>1</v>
      </c>
      <c r="E186" t="s">
        <v>405</v>
      </c>
      <c r="F186" t="s">
        <v>406</v>
      </c>
      <c r="G186" s="1"/>
      <c r="H186" t="str">
        <f>""</f>
        <v/>
      </c>
      <c r="J186" t="s">
        <v>407</v>
      </c>
    </row>
    <row r="187" spans="1:10" x14ac:dyDescent="0.25">
      <c r="A187" t="s">
        <v>8</v>
      </c>
      <c r="B187" t="s">
        <v>418</v>
      </c>
      <c r="C187" t="s">
        <v>419</v>
      </c>
      <c r="D187">
        <v>1</v>
      </c>
      <c r="E187" t="s">
        <v>405</v>
      </c>
      <c r="F187" t="s">
        <v>406</v>
      </c>
      <c r="G187" s="1"/>
      <c r="H187" t="str">
        <f>""</f>
        <v/>
      </c>
      <c r="J187" t="s">
        <v>407</v>
      </c>
    </row>
    <row r="188" spans="1:10" x14ac:dyDescent="0.25">
      <c r="A188" t="s">
        <v>8</v>
      </c>
      <c r="B188" t="s">
        <v>420</v>
      </c>
      <c r="C188" t="s">
        <v>421</v>
      </c>
      <c r="D188">
        <v>1</v>
      </c>
      <c r="E188" t="s">
        <v>405</v>
      </c>
      <c r="F188" t="s">
        <v>406</v>
      </c>
      <c r="G188" s="1"/>
      <c r="H188" t="str">
        <f>"4823114050688"</f>
        <v>4823114050688</v>
      </c>
      <c r="J188" t="s">
        <v>411</v>
      </c>
    </row>
    <row r="189" spans="1:10" x14ac:dyDescent="0.25">
      <c r="A189" t="s">
        <v>8</v>
      </c>
      <c r="B189" t="s">
        <v>422</v>
      </c>
      <c r="C189" t="s">
        <v>423</v>
      </c>
      <c r="D189">
        <v>1</v>
      </c>
      <c r="E189" t="s">
        <v>405</v>
      </c>
      <c r="F189" t="s">
        <v>406</v>
      </c>
      <c r="G189" s="1"/>
      <c r="H189" t="str">
        <f>""</f>
        <v/>
      </c>
      <c r="J189" t="s">
        <v>424</v>
      </c>
    </row>
    <row r="190" spans="1:10" x14ac:dyDescent="0.25">
      <c r="A190" t="s">
        <v>8</v>
      </c>
      <c r="B190" t="s">
        <v>425</v>
      </c>
      <c r="C190" t="s">
        <v>423</v>
      </c>
      <c r="D190">
        <v>1</v>
      </c>
      <c r="E190" t="s">
        <v>405</v>
      </c>
      <c r="F190" t="s">
        <v>406</v>
      </c>
      <c r="G190" s="1"/>
      <c r="H190" t="str">
        <f>""</f>
        <v/>
      </c>
      <c r="J190" t="s">
        <v>424</v>
      </c>
    </row>
    <row r="191" spans="1:10" x14ac:dyDescent="0.25">
      <c r="A191" t="s">
        <v>8</v>
      </c>
      <c r="B191" t="s">
        <v>426</v>
      </c>
      <c r="C191" t="s">
        <v>427</v>
      </c>
      <c r="D191">
        <v>1</v>
      </c>
      <c r="E191" t="s">
        <v>405</v>
      </c>
      <c r="F191" t="s">
        <v>406</v>
      </c>
      <c r="G191" s="1"/>
      <c r="H191" t="str">
        <f>"4823114050671"</f>
        <v>4823114050671</v>
      </c>
      <c r="J191" t="s">
        <v>428</v>
      </c>
    </row>
    <row r="192" spans="1:10" x14ac:dyDescent="0.25">
      <c r="A192" t="s">
        <v>8</v>
      </c>
      <c r="B192" t="s">
        <v>429</v>
      </c>
      <c r="C192" t="s">
        <v>430</v>
      </c>
      <c r="D192">
        <v>1</v>
      </c>
      <c r="E192" t="s">
        <v>405</v>
      </c>
      <c r="F192" t="s">
        <v>406</v>
      </c>
      <c r="G192" s="1"/>
      <c r="H192" t="str">
        <f>"4823114050718"</f>
        <v>4823114050718</v>
      </c>
      <c r="J192" t="s">
        <v>428</v>
      </c>
    </row>
    <row r="193" spans="1:10" x14ac:dyDescent="0.25">
      <c r="A193" t="s">
        <v>8</v>
      </c>
      <c r="B193" t="s">
        <v>431</v>
      </c>
      <c r="C193" t="s">
        <v>432</v>
      </c>
      <c r="D193">
        <v>1</v>
      </c>
      <c r="E193" t="s">
        <v>405</v>
      </c>
      <c r="F193" t="s">
        <v>406</v>
      </c>
      <c r="G193" s="1"/>
      <c r="H193" t="str">
        <f>"4823114050664"</f>
        <v>4823114050664</v>
      </c>
      <c r="J193" t="s">
        <v>428</v>
      </c>
    </row>
    <row r="194" spans="1:10" x14ac:dyDescent="0.25">
      <c r="A194" t="s">
        <v>8</v>
      </c>
      <c r="B194" t="s">
        <v>433</v>
      </c>
      <c r="C194" t="s">
        <v>434</v>
      </c>
      <c r="D194">
        <v>1</v>
      </c>
      <c r="E194" t="s">
        <v>405</v>
      </c>
      <c r="F194" t="s">
        <v>406</v>
      </c>
      <c r="G194" s="1"/>
      <c r="H194" t="str">
        <f>""</f>
        <v/>
      </c>
      <c r="J194" t="s">
        <v>424</v>
      </c>
    </row>
    <row r="195" spans="1:10" x14ac:dyDescent="0.25">
      <c r="A195" t="s">
        <v>8</v>
      </c>
      <c r="B195" t="s">
        <v>435</v>
      </c>
      <c r="C195" t="s">
        <v>434</v>
      </c>
      <c r="D195">
        <v>1</v>
      </c>
      <c r="E195" t="s">
        <v>405</v>
      </c>
      <c r="F195" t="s">
        <v>406</v>
      </c>
      <c r="G195" s="1"/>
      <c r="H195" t="str">
        <f>""</f>
        <v/>
      </c>
      <c r="J195" t="s">
        <v>424</v>
      </c>
    </row>
    <row r="196" spans="1:10" x14ac:dyDescent="0.25">
      <c r="A196" t="s">
        <v>8</v>
      </c>
      <c r="B196" t="s">
        <v>436</v>
      </c>
      <c r="C196" t="s">
        <v>437</v>
      </c>
      <c r="D196">
        <v>1</v>
      </c>
      <c r="E196" t="s">
        <v>405</v>
      </c>
      <c r="F196" t="s">
        <v>406</v>
      </c>
      <c r="G196" s="1"/>
      <c r="H196" t="str">
        <f>"4823114050701"</f>
        <v>4823114050701</v>
      </c>
      <c r="J196" t="s">
        <v>428</v>
      </c>
    </row>
    <row r="197" spans="1:10" x14ac:dyDescent="0.25">
      <c r="A197" t="s">
        <v>8</v>
      </c>
      <c r="B197" t="s">
        <v>438</v>
      </c>
      <c r="C197" t="s">
        <v>439</v>
      </c>
      <c r="D197">
        <v>1</v>
      </c>
      <c r="E197" t="s">
        <v>405</v>
      </c>
      <c r="F197" t="s">
        <v>406</v>
      </c>
      <c r="G197" s="1"/>
      <c r="H197" t="str">
        <f>"4823114047848"</f>
        <v>4823114047848</v>
      </c>
      <c r="J197" t="s">
        <v>411</v>
      </c>
    </row>
    <row r="198" spans="1:10" x14ac:dyDescent="0.25">
      <c r="A198" t="s">
        <v>8</v>
      </c>
      <c r="B198" t="s">
        <v>440</v>
      </c>
      <c r="C198" t="s">
        <v>441</v>
      </c>
      <c r="D198">
        <v>1</v>
      </c>
      <c r="E198" t="s">
        <v>405</v>
      </c>
      <c r="F198" t="s">
        <v>406</v>
      </c>
      <c r="G198" s="1"/>
      <c r="H198" t="str">
        <f>"4823114047831"</f>
        <v>4823114047831</v>
      </c>
      <c r="J198" t="s">
        <v>411</v>
      </c>
    </row>
    <row r="199" spans="1:10" x14ac:dyDescent="0.25">
      <c r="A199" t="s">
        <v>8</v>
      </c>
      <c r="B199" t="s">
        <v>442</v>
      </c>
      <c r="C199" t="s">
        <v>443</v>
      </c>
      <c r="D199">
        <v>1</v>
      </c>
      <c r="E199" t="s">
        <v>405</v>
      </c>
      <c r="F199" t="s">
        <v>406</v>
      </c>
      <c r="G199" s="1"/>
      <c r="H199" t="str">
        <f>"4823114047824"</f>
        <v>4823114047824</v>
      </c>
      <c r="J199" t="s">
        <v>411</v>
      </c>
    </row>
    <row r="200" spans="1:10" x14ac:dyDescent="0.25">
      <c r="A200" t="s">
        <v>8</v>
      </c>
      <c r="B200" t="s">
        <v>444</v>
      </c>
      <c r="C200" t="s">
        <v>445</v>
      </c>
      <c r="D200">
        <v>1</v>
      </c>
      <c r="E200" t="s">
        <v>405</v>
      </c>
      <c r="F200" t="s">
        <v>406</v>
      </c>
      <c r="G200" s="1"/>
      <c r="H200" t="str">
        <f>"4823114047817"</f>
        <v>4823114047817</v>
      </c>
      <c r="J200" t="s">
        <v>411</v>
      </c>
    </row>
    <row r="201" spans="1:10" x14ac:dyDescent="0.25">
      <c r="A201" t="s">
        <v>8</v>
      </c>
      <c r="B201" t="s">
        <v>446</v>
      </c>
      <c r="C201" t="s">
        <v>447</v>
      </c>
      <c r="D201">
        <v>1</v>
      </c>
      <c r="E201" t="s">
        <v>405</v>
      </c>
      <c r="F201" t="s">
        <v>406</v>
      </c>
      <c r="G201" s="1"/>
      <c r="H201" t="str">
        <f>"4823114047886"</f>
        <v>4823114047886</v>
      </c>
      <c r="J201" t="s">
        <v>428</v>
      </c>
    </row>
    <row r="202" spans="1:10" x14ac:dyDescent="0.25">
      <c r="A202" t="s">
        <v>8</v>
      </c>
      <c r="B202" t="s">
        <v>448</v>
      </c>
      <c r="C202" t="s">
        <v>449</v>
      </c>
      <c r="D202">
        <v>1</v>
      </c>
      <c r="E202" t="s">
        <v>405</v>
      </c>
      <c r="F202" t="s">
        <v>406</v>
      </c>
      <c r="G202" s="1"/>
      <c r="H202" t="str">
        <f>"4823114047879"</f>
        <v>4823114047879</v>
      </c>
      <c r="J202" t="s">
        <v>428</v>
      </c>
    </row>
    <row r="203" spans="1:10" x14ac:dyDescent="0.25">
      <c r="A203" t="s">
        <v>8</v>
      </c>
      <c r="B203" t="s">
        <v>450</v>
      </c>
      <c r="C203" t="s">
        <v>451</v>
      </c>
      <c r="D203">
        <v>1</v>
      </c>
      <c r="E203" t="s">
        <v>405</v>
      </c>
      <c r="F203" t="s">
        <v>406</v>
      </c>
      <c r="G203" s="1"/>
      <c r="H203" t="str">
        <f>"4823114047862"</f>
        <v>4823114047862</v>
      </c>
      <c r="J203" t="s">
        <v>428</v>
      </c>
    </row>
    <row r="204" spans="1:10" x14ac:dyDescent="0.25">
      <c r="A204" t="s">
        <v>8</v>
      </c>
      <c r="B204" t="s">
        <v>452</v>
      </c>
      <c r="C204" t="s">
        <v>453</v>
      </c>
      <c r="D204">
        <v>1</v>
      </c>
      <c r="E204" t="s">
        <v>405</v>
      </c>
      <c r="F204" t="s">
        <v>406</v>
      </c>
      <c r="G204" s="1"/>
      <c r="H204" t="str">
        <f>"4823114047855"</f>
        <v>4823114047855</v>
      </c>
      <c r="J204" t="s">
        <v>428</v>
      </c>
    </row>
    <row r="205" spans="1:10" x14ac:dyDescent="0.25">
      <c r="A205" t="s">
        <v>8</v>
      </c>
      <c r="B205" t="s">
        <v>454</v>
      </c>
      <c r="C205" t="s">
        <v>455</v>
      </c>
      <c r="D205">
        <v>1</v>
      </c>
      <c r="E205" t="s">
        <v>405</v>
      </c>
      <c r="F205" t="s">
        <v>406</v>
      </c>
      <c r="G205" s="1"/>
      <c r="H205" t="str">
        <f>""</f>
        <v/>
      </c>
      <c r="J205" t="s">
        <v>407</v>
      </c>
    </row>
    <row r="206" spans="1:10" x14ac:dyDescent="0.25">
      <c r="A206" t="s">
        <v>8</v>
      </c>
      <c r="B206" t="s">
        <v>456</v>
      </c>
      <c r="C206" t="s">
        <v>455</v>
      </c>
      <c r="D206">
        <v>1</v>
      </c>
      <c r="E206" t="s">
        <v>405</v>
      </c>
      <c r="F206" t="s">
        <v>406</v>
      </c>
      <c r="G206" s="1"/>
      <c r="H206" t="str">
        <f>""</f>
        <v/>
      </c>
      <c r="J206" t="s">
        <v>407</v>
      </c>
    </row>
    <row r="207" spans="1:10" x14ac:dyDescent="0.25">
      <c r="A207" t="s">
        <v>8</v>
      </c>
      <c r="B207" t="s">
        <v>457</v>
      </c>
      <c r="C207" t="s">
        <v>458</v>
      </c>
      <c r="D207">
        <v>1</v>
      </c>
      <c r="E207" t="s">
        <v>405</v>
      </c>
      <c r="F207" t="s">
        <v>406</v>
      </c>
      <c r="G207" s="1"/>
      <c r="H207" t="str">
        <f>""</f>
        <v/>
      </c>
      <c r="J207" t="s">
        <v>407</v>
      </c>
    </row>
    <row r="208" spans="1:10" x14ac:dyDescent="0.25">
      <c r="A208" t="s">
        <v>8</v>
      </c>
      <c r="B208" t="s">
        <v>459</v>
      </c>
      <c r="C208" t="s">
        <v>458</v>
      </c>
      <c r="D208">
        <v>1</v>
      </c>
      <c r="E208" t="s">
        <v>405</v>
      </c>
      <c r="F208" t="s">
        <v>406</v>
      </c>
      <c r="G208" s="1"/>
      <c r="H208" t="str">
        <f>""</f>
        <v/>
      </c>
      <c r="J208" t="s">
        <v>407</v>
      </c>
    </row>
    <row r="209" spans="1:10" x14ac:dyDescent="0.25">
      <c r="A209" t="s">
        <v>8</v>
      </c>
      <c r="B209" t="s">
        <v>460</v>
      </c>
      <c r="C209" t="s">
        <v>461</v>
      </c>
      <c r="D209">
        <v>1</v>
      </c>
      <c r="E209" t="s">
        <v>405</v>
      </c>
      <c r="F209" t="s">
        <v>406</v>
      </c>
      <c r="G209" s="1"/>
      <c r="H209" t="str">
        <f>""</f>
        <v/>
      </c>
      <c r="J209" t="s">
        <v>424</v>
      </c>
    </row>
    <row r="210" spans="1:10" x14ac:dyDescent="0.25">
      <c r="A210" t="s">
        <v>8</v>
      </c>
      <c r="B210" t="s">
        <v>462</v>
      </c>
      <c r="C210" t="s">
        <v>461</v>
      </c>
      <c r="D210">
        <v>1</v>
      </c>
      <c r="E210" t="s">
        <v>405</v>
      </c>
      <c r="F210" t="s">
        <v>406</v>
      </c>
      <c r="G210" s="1"/>
      <c r="H210" t="str">
        <f>""</f>
        <v/>
      </c>
      <c r="J210" t="s">
        <v>424</v>
      </c>
    </row>
    <row r="211" spans="1:10" x14ac:dyDescent="0.25">
      <c r="A211" t="s">
        <v>8</v>
      </c>
      <c r="B211" t="s">
        <v>463</v>
      </c>
      <c r="C211" t="s">
        <v>464</v>
      </c>
      <c r="D211">
        <v>1</v>
      </c>
      <c r="E211" t="s">
        <v>405</v>
      </c>
      <c r="F211" t="s">
        <v>406</v>
      </c>
      <c r="G211" s="1"/>
      <c r="H211" t="str">
        <f>""</f>
        <v/>
      </c>
      <c r="J211" t="s">
        <v>424</v>
      </c>
    </row>
    <row r="212" spans="1:10" x14ac:dyDescent="0.25">
      <c r="A212" t="s">
        <v>8</v>
      </c>
      <c r="B212" t="s">
        <v>465</v>
      </c>
      <c r="C212" t="s">
        <v>464</v>
      </c>
      <c r="D212">
        <v>1</v>
      </c>
      <c r="E212" t="s">
        <v>405</v>
      </c>
      <c r="F212" t="s">
        <v>406</v>
      </c>
      <c r="G212" s="1"/>
      <c r="H212" t="str">
        <f>""</f>
        <v/>
      </c>
      <c r="J212" t="s">
        <v>424</v>
      </c>
    </row>
    <row r="213" spans="1:10" x14ac:dyDescent="0.25">
      <c r="A213" t="s">
        <v>8</v>
      </c>
      <c r="B213" t="s">
        <v>466</v>
      </c>
      <c r="C213" t="s">
        <v>467</v>
      </c>
      <c r="D213">
        <v>1</v>
      </c>
      <c r="E213" t="s">
        <v>405</v>
      </c>
      <c r="F213" t="s">
        <v>406</v>
      </c>
      <c r="G213" s="1"/>
      <c r="H213" t="str">
        <f>"4823114066146"</f>
        <v>4823114066146</v>
      </c>
      <c r="J213" t="s">
        <v>468</v>
      </c>
    </row>
    <row r="214" spans="1:10" x14ac:dyDescent="0.25">
      <c r="A214" t="s">
        <v>8</v>
      </c>
      <c r="B214" t="s">
        <v>469</v>
      </c>
      <c r="C214" t="s">
        <v>470</v>
      </c>
      <c r="D214">
        <v>1</v>
      </c>
      <c r="E214" t="s">
        <v>405</v>
      </c>
      <c r="F214" t="s">
        <v>406</v>
      </c>
      <c r="G214" s="1"/>
      <c r="H214" t="str">
        <f>"4823114066153"</f>
        <v>4823114066153</v>
      </c>
      <c r="J214" t="s">
        <v>468</v>
      </c>
    </row>
    <row r="215" spans="1:10" x14ac:dyDescent="0.25">
      <c r="A215" t="s">
        <v>8</v>
      </c>
      <c r="B215" t="s">
        <v>471</v>
      </c>
      <c r="C215" t="s">
        <v>472</v>
      </c>
      <c r="D215">
        <v>1</v>
      </c>
      <c r="E215" t="s">
        <v>405</v>
      </c>
      <c r="F215" t="s">
        <v>406</v>
      </c>
      <c r="G215" s="1"/>
      <c r="H215" t="str">
        <f>"4823114066160"</f>
        <v>4823114066160</v>
      </c>
      <c r="J215" t="s">
        <v>468</v>
      </c>
    </row>
    <row r="216" spans="1:10" x14ac:dyDescent="0.25">
      <c r="A216" t="s">
        <v>8</v>
      </c>
      <c r="B216" t="s">
        <v>473</v>
      </c>
      <c r="C216" t="s">
        <v>474</v>
      </c>
      <c r="D216">
        <v>1</v>
      </c>
      <c r="E216" t="s">
        <v>405</v>
      </c>
      <c r="F216" t="s">
        <v>406</v>
      </c>
      <c r="G216" s="1"/>
      <c r="H216" t="str">
        <f>"4823114066139"</f>
        <v>4823114066139</v>
      </c>
      <c r="J216" t="s">
        <v>468</v>
      </c>
    </row>
    <row r="217" spans="1:10" x14ac:dyDescent="0.25">
      <c r="A217" t="s">
        <v>8</v>
      </c>
      <c r="B217" t="s">
        <v>475</v>
      </c>
      <c r="C217" t="s">
        <v>476</v>
      </c>
      <c r="D217">
        <v>1</v>
      </c>
      <c r="E217" t="s">
        <v>405</v>
      </c>
      <c r="F217" t="s">
        <v>406</v>
      </c>
      <c r="G217" s="1"/>
      <c r="H217" t="str">
        <f>"4823114066955"</f>
        <v>4823114066955</v>
      </c>
      <c r="J217" t="s">
        <v>477</v>
      </c>
    </row>
    <row r="218" spans="1:10" x14ac:dyDescent="0.25">
      <c r="A218" t="s">
        <v>8</v>
      </c>
      <c r="B218" t="s">
        <v>478</v>
      </c>
      <c r="C218" t="s">
        <v>479</v>
      </c>
      <c r="D218">
        <v>1</v>
      </c>
      <c r="E218" t="s">
        <v>405</v>
      </c>
      <c r="F218" t="s">
        <v>406</v>
      </c>
      <c r="G218" s="1"/>
      <c r="H218" t="str">
        <f>"4823114066962"</f>
        <v>4823114066962</v>
      </c>
      <c r="J218" t="s">
        <v>477</v>
      </c>
    </row>
    <row r="219" spans="1:10" x14ac:dyDescent="0.25">
      <c r="A219" t="s">
        <v>8</v>
      </c>
      <c r="B219" t="s">
        <v>480</v>
      </c>
      <c r="C219" t="s">
        <v>481</v>
      </c>
      <c r="D219">
        <v>1</v>
      </c>
      <c r="E219" t="s">
        <v>405</v>
      </c>
      <c r="F219" t="s">
        <v>406</v>
      </c>
      <c r="G219" s="1"/>
      <c r="H219" t="str">
        <f>"4823114053474"</f>
        <v>4823114053474</v>
      </c>
      <c r="J219" t="s">
        <v>104</v>
      </c>
    </row>
    <row r="220" spans="1:10" x14ac:dyDescent="0.25">
      <c r="A220" t="s">
        <v>8</v>
      </c>
      <c r="B220" t="s">
        <v>482</v>
      </c>
      <c r="C220" t="s">
        <v>483</v>
      </c>
      <c r="D220">
        <v>1</v>
      </c>
      <c r="E220" t="s">
        <v>405</v>
      </c>
      <c r="F220" t="s">
        <v>406</v>
      </c>
      <c r="G220" s="1"/>
      <c r="H220" t="str">
        <f>"4823114053481"</f>
        <v>4823114053481</v>
      </c>
      <c r="J220" t="s">
        <v>104</v>
      </c>
    </row>
    <row r="221" spans="1:10" x14ac:dyDescent="0.25">
      <c r="A221" t="s">
        <v>8</v>
      </c>
      <c r="B221" t="s">
        <v>484</v>
      </c>
      <c r="C221" t="s">
        <v>485</v>
      </c>
      <c r="D221">
        <v>1</v>
      </c>
      <c r="E221" t="s">
        <v>405</v>
      </c>
      <c r="F221" t="s">
        <v>406</v>
      </c>
      <c r="G221" s="1"/>
      <c r="H221" t="str">
        <f>"4823114044168"</f>
        <v>4823114044168</v>
      </c>
      <c r="J221" t="s">
        <v>477</v>
      </c>
    </row>
    <row r="222" spans="1:10" x14ac:dyDescent="0.25">
      <c r="A222" t="s">
        <v>8</v>
      </c>
      <c r="B222" t="s">
        <v>486</v>
      </c>
      <c r="C222" t="s">
        <v>487</v>
      </c>
      <c r="D222">
        <v>1</v>
      </c>
      <c r="E222" t="s">
        <v>405</v>
      </c>
      <c r="F222" t="s">
        <v>406</v>
      </c>
      <c r="G222" s="1"/>
      <c r="H222" t="str">
        <f>""</f>
        <v/>
      </c>
      <c r="J222" t="s">
        <v>488</v>
      </c>
    </row>
    <row r="223" spans="1:10" x14ac:dyDescent="0.25">
      <c r="A223" t="s">
        <v>8</v>
      </c>
      <c r="B223" t="s">
        <v>489</v>
      </c>
      <c r="C223" t="s">
        <v>490</v>
      </c>
      <c r="D223">
        <v>1</v>
      </c>
      <c r="E223" t="s">
        <v>405</v>
      </c>
      <c r="F223" t="s">
        <v>406</v>
      </c>
      <c r="G223" s="1"/>
      <c r="H223" t="str">
        <f>""</f>
        <v/>
      </c>
      <c r="J223" t="s">
        <v>488</v>
      </c>
    </row>
    <row r="224" spans="1:10" x14ac:dyDescent="0.25">
      <c r="A224" t="s">
        <v>8</v>
      </c>
      <c r="B224" t="s">
        <v>491</v>
      </c>
      <c r="C224" t="s">
        <v>492</v>
      </c>
      <c r="D224">
        <v>1</v>
      </c>
      <c r="E224" t="s">
        <v>405</v>
      </c>
      <c r="F224" t="s">
        <v>406</v>
      </c>
      <c r="G224" s="1"/>
      <c r="H224" t="str">
        <f>"4823114044151"</f>
        <v>4823114044151</v>
      </c>
      <c r="J224" t="s">
        <v>477</v>
      </c>
    </row>
    <row r="225" spans="1:10" x14ac:dyDescent="0.25">
      <c r="A225" t="s">
        <v>8</v>
      </c>
      <c r="B225" t="s">
        <v>493</v>
      </c>
      <c r="C225" t="s">
        <v>494</v>
      </c>
      <c r="D225">
        <v>1</v>
      </c>
      <c r="E225" t="s">
        <v>405</v>
      </c>
      <c r="F225" t="s">
        <v>406</v>
      </c>
      <c r="G225" s="1"/>
      <c r="H225" t="str">
        <f>"4823114044120"</f>
        <v>4823114044120</v>
      </c>
      <c r="J225" t="s">
        <v>495</v>
      </c>
    </row>
    <row r="226" spans="1:10" x14ac:dyDescent="0.25">
      <c r="A226" t="s">
        <v>8</v>
      </c>
      <c r="B226" t="s">
        <v>496</v>
      </c>
      <c r="C226" t="s">
        <v>497</v>
      </c>
      <c r="D226">
        <v>1</v>
      </c>
      <c r="E226" t="s">
        <v>405</v>
      </c>
      <c r="F226" t="s">
        <v>406</v>
      </c>
      <c r="G226" s="1"/>
      <c r="H226" t="str">
        <f>""</f>
        <v/>
      </c>
      <c r="J226" t="s">
        <v>495</v>
      </c>
    </row>
    <row r="227" spans="1:10" x14ac:dyDescent="0.25">
      <c r="A227" t="s">
        <v>8</v>
      </c>
      <c r="B227" t="s">
        <v>498</v>
      </c>
      <c r="C227" t="s">
        <v>499</v>
      </c>
      <c r="D227">
        <v>1</v>
      </c>
      <c r="E227" t="s">
        <v>405</v>
      </c>
      <c r="F227" t="s">
        <v>406</v>
      </c>
      <c r="G227" s="1"/>
      <c r="H227" t="str">
        <f>""</f>
        <v/>
      </c>
      <c r="J227" t="s">
        <v>495</v>
      </c>
    </row>
    <row r="228" spans="1:10" x14ac:dyDescent="0.25">
      <c r="A228" t="s">
        <v>8</v>
      </c>
      <c r="B228" t="s">
        <v>500</v>
      </c>
      <c r="C228" t="s">
        <v>501</v>
      </c>
      <c r="D228">
        <v>1</v>
      </c>
      <c r="E228" t="s">
        <v>405</v>
      </c>
      <c r="F228" t="s">
        <v>406</v>
      </c>
      <c r="G228" s="1"/>
      <c r="H228" t="str">
        <f>"4823114044113"</f>
        <v>4823114044113</v>
      </c>
      <c r="J228" t="s">
        <v>495</v>
      </c>
    </row>
    <row r="229" spans="1:10" x14ac:dyDescent="0.25">
      <c r="A229" t="s">
        <v>8</v>
      </c>
      <c r="B229" t="s">
        <v>502</v>
      </c>
      <c r="C229" t="s">
        <v>503</v>
      </c>
      <c r="D229">
        <v>1</v>
      </c>
      <c r="E229" t="s">
        <v>405</v>
      </c>
      <c r="F229" t="s">
        <v>406</v>
      </c>
      <c r="G229" s="1"/>
      <c r="H229" t="str">
        <f>""</f>
        <v/>
      </c>
      <c r="J229" t="s">
        <v>407</v>
      </c>
    </row>
    <row r="230" spans="1:10" x14ac:dyDescent="0.25">
      <c r="A230" t="s">
        <v>8</v>
      </c>
      <c r="B230" t="s">
        <v>504</v>
      </c>
      <c r="C230" t="s">
        <v>505</v>
      </c>
      <c r="D230">
        <v>1</v>
      </c>
      <c r="E230" t="s">
        <v>405</v>
      </c>
      <c r="F230" t="s">
        <v>406</v>
      </c>
      <c r="G230" s="1"/>
      <c r="H230" t="str">
        <f>""</f>
        <v/>
      </c>
      <c r="J230" t="s">
        <v>407</v>
      </c>
    </row>
    <row r="231" spans="1:10" x14ac:dyDescent="0.25">
      <c r="A231" t="s">
        <v>8</v>
      </c>
      <c r="B231" t="s">
        <v>506</v>
      </c>
      <c r="C231" t="s">
        <v>507</v>
      </c>
      <c r="D231">
        <v>1</v>
      </c>
      <c r="E231" t="s">
        <v>405</v>
      </c>
      <c r="F231" t="s">
        <v>406</v>
      </c>
      <c r="G231" s="1"/>
      <c r="H231" t="str">
        <f>"4823114046292"</f>
        <v>4823114046292</v>
      </c>
      <c r="J231" t="s">
        <v>411</v>
      </c>
    </row>
    <row r="232" spans="1:10" x14ac:dyDescent="0.25">
      <c r="A232" t="s">
        <v>8</v>
      </c>
      <c r="B232" t="s">
        <v>508</v>
      </c>
      <c r="C232" t="s">
        <v>509</v>
      </c>
      <c r="D232">
        <v>1</v>
      </c>
      <c r="E232" t="s">
        <v>405</v>
      </c>
      <c r="F232" t="s">
        <v>406</v>
      </c>
      <c r="G232" s="1"/>
      <c r="H232" t="str">
        <f>"4823114046308"</f>
        <v>4823114046308</v>
      </c>
      <c r="J232" t="s">
        <v>411</v>
      </c>
    </row>
    <row r="233" spans="1:10" x14ac:dyDescent="0.25">
      <c r="A233" t="s">
        <v>8</v>
      </c>
      <c r="B233" t="s">
        <v>510</v>
      </c>
      <c r="C233" t="s">
        <v>511</v>
      </c>
      <c r="D233">
        <v>1</v>
      </c>
      <c r="E233" t="s">
        <v>405</v>
      </c>
      <c r="F233" t="s">
        <v>406</v>
      </c>
      <c r="G233" s="1"/>
      <c r="H233" t="str">
        <f>"4823114046278"</f>
        <v>4823114046278</v>
      </c>
      <c r="J233" t="s">
        <v>411</v>
      </c>
    </row>
    <row r="234" spans="1:10" x14ac:dyDescent="0.25">
      <c r="A234" t="s">
        <v>8</v>
      </c>
      <c r="B234" t="s">
        <v>512</v>
      </c>
      <c r="C234" t="s">
        <v>513</v>
      </c>
      <c r="D234">
        <v>1</v>
      </c>
      <c r="E234" t="s">
        <v>405</v>
      </c>
      <c r="F234" t="s">
        <v>406</v>
      </c>
      <c r="G234" s="1"/>
      <c r="H234" t="str">
        <f>""</f>
        <v/>
      </c>
      <c r="J234" t="s">
        <v>407</v>
      </c>
    </row>
    <row r="235" spans="1:10" x14ac:dyDescent="0.25">
      <c r="A235" t="s">
        <v>8</v>
      </c>
      <c r="B235" t="s">
        <v>514</v>
      </c>
      <c r="C235" t="s">
        <v>513</v>
      </c>
      <c r="D235">
        <v>1</v>
      </c>
      <c r="E235" t="s">
        <v>405</v>
      </c>
      <c r="F235" t="s">
        <v>406</v>
      </c>
      <c r="G235" s="1"/>
      <c r="H235" t="str">
        <f>""</f>
        <v/>
      </c>
      <c r="J235" t="s">
        <v>407</v>
      </c>
    </row>
    <row r="236" spans="1:10" x14ac:dyDescent="0.25">
      <c r="A236" t="s">
        <v>8</v>
      </c>
      <c r="B236" t="s">
        <v>515</v>
      </c>
      <c r="C236" t="s">
        <v>516</v>
      </c>
      <c r="D236">
        <v>1</v>
      </c>
      <c r="E236" t="s">
        <v>405</v>
      </c>
      <c r="F236" t="s">
        <v>406</v>
      </c>
      <c r="G236" s="1"/>
      <c r="H236" t="str">
        <f>"4823114046285"</f>
        <v>4823114046285</v>
      </c>
      <c r="J236" t="s">
        <v>411</v>
      </c>
    </row>
    <row r="237" spans="1:10" x14ac:dyDescent="0.25">
      <c r="A237" t="s">
        <v>8</v>
      </c>
      <c r="B237" t="s">
        <v>517</v>
      </c>
      <c r="C237" t="s">
        <v>518</v>
      </c>
      <c r="D237">
        <v>1</v>
      </c>
      <c r="E237" t="s">
        <v>405</v>
      </c>
      <c r="F237" t="s">
        <v>406</v>
      </c>
      <c r="G237" s="1"/>
      <c r="H237" t="str">
        <f>""</f>
        <v/>
      </c>
      <c r="J237" t="s">
        <v>424</v>
      </c>
    </row>
    <row r="238" spans="1:10" x14ac:dyDescent="0.25">
      <c r="A238" t="s">
        <v>8</v>
      </c>
      <c r="B238" t="s">
        <v>519</v>
      </c>
      <c r="C238" t="s">
        <v>518</v>
      </c>
      <c r="D238">
        <v>1</v>
      </c>
      <c r="E238" t="s">
        <v>405</v>
      </c>
      <c r="F238" t="s">
        <v>406</v>
      </c>
      <c r="G238" s="1"/>
      <c r="H238" t="str">
        <f>""</f>
        <v/>
      </c>
      <c r="J238" t="s">
        <v>424</v>
      </c>
    </row>
    <row r="239" spans="1:10" x14ac:dyDescent="0.25">
      <c r="A239" t="s">
        <v>8</v>
      </c>
      <c r="B239" t="s">
        <v>520</v>
      </c>
      <c r="C239" t="s">
        <v>521</v>
      </c>
      <c r="D239">
        <v>1</v>
      </c>
      <c r="E239" t="s">
        <v>405</v>
      </c>
      <c r="F239" t="s">
        <v>406</v>
      </c>
      <c r="G239" s="1"/>
      <c r="H239" t="str">
        <f>"4823114046339"</f>
        <v>4823114046339</v>
      </c>
      <c r="J239" t="s">
        <v>428</v>
      </c>
    </row>
    <row r="240" spans="1:10" x14ac:dyDescent="0.25">
      <c r="A240" t="s">
        <v>8</v>
      </c>
      <c r="B240" t="s">
        <v>522</v>
      </c>
      <c r="C240" t="s">
        <v>523</v>
      </c>
      <c r="D240">
        <v>1</v>
      </c>
      <c r="E240" t="s">
        <v>405</v>
      </c>
      <c r="F240" t="s">
        <v>406</v>
      </c>
      <c r="G240" s="1"/>
      <c r="H240" t="str">
        <f>"4823114046346"</f>
        <v>4823114046346</v>
      </c>
      <c r="J240" t="s">
        <v>428</v>
      </c>
    </row>
    <row r="241" spans="1:10" x14ac:dyDescent="0.25">
      <c r="A241" t="s">
        <v>8</v>
      </c>
      <c r="B241" t="s">
        <v>524</v>
      </c>
      <c r="C241" t="s">
        <v>525</v>
      </c>
      <c r="D241">
        <v>1</v>
      </c>
      <c r="E241" t="s">
        <v>405</v>
      </c>
      <c r="F241" t="s">
        <v>406</v>
      </c>
      <c r="G241" s="1"/>
      <c r="H241" t="str">
        <f>"4823114046315"</f>
        <v>4823114046315</v>
      </c>
      <c r="J241" t="s">
        <v>428</v>
      </c>
    </row>
    <row r="242" spans="1:10" x14ac:dyDescent="0.25">
      <c r="A242" t="s">
        <v>8</v>
      </c>
      <c r="B242" t="s">
        <v>526</v>
      </c>
      <c r="C242" t="s">
        <v>527</v>
      </c>
      <c r="D242">
        <v>1</v>
      </c>
      <c r="E242" t="s">
        <v>405</v>
      </c>
      <c r="F242" t="s">
        <v>406</v>
      </c>
      <c r="G242" s="1"/>
      <c r="H242" t="str">
        <f>""</f>
        <v/>
      </c>
      <c r="J242" t="s">
        <v>424</v>
      </c>
    </row>
    <row r="243" spans="1:10" x14ac:dyDescent="0.25">
      <c r="A243" t="s">
        <v>8</v>
      </c>
      <c r="B243" t="s">
        <v>528</v>
      </c>
      <c r="C243" t="s">
        <v>527</v>
      </c>
      <c r="D243">
        <v>1</v>
      </c>
      <c r="E243" t="s">
        <v>405</v>
      </c>
      <c r="F243" t="s">
        <v>406</v>
      </c>
      <c r="G243" s="1"/>
      <c r="H243" t="str">
        <f>""</f>
        <v/>
      </c>
      <c r="J243" t="s">
        <v>424</v>
      </c>
    </row>
    <row r="244" spans="1:10" x14ac:dyDescent="0.25">
      <c r="A244" t="s">
        <v>8</v>
      </c>
      <c r="B244" t="s">
        <v>529</v>
      </c>
      <c r="C244" t="s">
        <v>530</v>
      </c>
      <c r="D244">
        <v>1</v>
      </c>
      <c r="E244" t="s">
        <v>405</v>
      </c>
      <c r="F244" t="s">
        <v>406</v>
      </c>
      <c r="G244" s="1"/>
      <c r="H244" t="str">
        <f>"4823114046322"</f>
        <v>4823114046322</v>
      </c>
      <c r="J244" t="s">
        <v>428</v>
      </c>
    </row>
    <row r="245" spans="1:10" x14ac:dyDescent="0.25">
      <c r="A245" t="s">
        <v>8</v>
      </c>
      <c r="B245" t="s">
        <v>531</v>
      </c>
      <c r="C245" t="s">
        <v>532</v>
      </c>
      <c r="D245">
        <v>1</v>
      </c>
      <c r="E245" t="s">
        <v>533</v>
      </c>
      <c r="F245" t="s">
        <v>534</v>
      </c>
      <c r="G245" s="1"/>
      <c r="H245" t="str">
        <f>"4823114014888"</f>
        <v>4823114014888</v>
      </c>
      <c r="J245" t="s">
        <v>535</v>
      </c>
    </row>
    <row r="246" spans="1:10" x14ac:dyDescent="0.25">
      <c r="A246" t="s">
        <v>8</v>
      </c>
      <c r="B246" t="s">
        <v>536</v>
      </c>
      <c r="C246" t="s">
        <v>537</v>
      </c>
      <c r="D246">
        <v>1</v>
      </c>
      <c r="E246" t="s">
        <v>533</v>
      </c>
      <c r="F246" t="s">
        <v>534</v>
      </c>
      <c r="G246" s="1"/>
      <c r="H246" t="str">
        <f>"4823114014871"</f>
        <v>4823114014871</v>
      </c>
      <c r="J246" t="s">
        <v>535</v>
      </c>
    </row>
    <row r="247" spans="1:10" x14ac:dyDescent="0.25">
      <c r="A247" t="s">
        <v>8</v>
      </c>
      <c r="B247" t="s">
        <v>538</v>
      </c>
      <c r="C247" t="s">
        <v>539</v>
      </c>
      <c r="D247">
        <v>1</v>
      </c>
      <c r="E247" t="s">
        <v>533</v>
      </c>
      <c r="F247" t="s">
        <v>534</v>
      </c>
      <c r="G247" s="1"/>
      <c r="H247" t="str">
        <f>"4823114030727"</f>
        <v>4823114030727</v>
      </c>
      <c r="J247" t="s">
        <v>540</v>
      </c>
    </row>
    <row r="248" spans="1:10" x14ac:dyDescent="0.25">
      <c r="A248" t="s">
        <v>8</v>
      </c>
      <c r="B248" t="s">
        <v>541</v>
      </c>
      <c r="C248" t="s">
        <v>542</v>
      </c>
      <c r="D248">
        <v>1</v>
      </c>
      <c r="E248" t="s">
        <v>533</v>
      </c>
      <c r="F248" t="s">
        <v>534</v>
      </c>
      <c r="G248" s="1"/>
      <c r="H248" t="str">
        <f>"4823114030734"</f>
        <v>4823114030734</v>
      </c>
      <c r="J248" t="s">
        <v>540</v>
      </c>
    </row>
    <row r="249" spans="1:10" x14ac:dyDescent="0.25">
      <c r="A249" t="s">
        <v>8</v>
      </c>
      <c r="B249" t="s">
        <v>543</v>
      </c>
      <c r="C249" t="s">
        <v>544</v>
      </c>
      <c r="D249">
        <v>1</v>
      </c>
      <c r="E249" t="s">
        <v>533</v>
      </c>
      <c r="F249" t="s">
        <v>534</v>
      </c>
      <c r="G249" s="1"/>
      <c r="H249" t="str">
        <f>"4823114031311"</f>
        <v>4823114031311</v>
      </c>
      <c r="J249" t="s">
        <v>152</v>
      </c>
    </row>
    <row r="250" spans="1:10" x14ac:dyDescent="0.25">
      <c r="A250" t="s">
        <v>8</v>
      </c>
      <c r="B250" t="s">
        <v>545</v>
      </c>
      <c r="C250" t="s">
        <v>546</v>
      </c>
      <c r="D250">
        <v>1</v>
      </c>
      <c r="E250" t="s">
        <v>533</v>
      </c>
      <c r="F250" t="s">
        <v>534</v>
      </c>
      <c r="G250" s="1"/>
      <c r="H250" t="str">
        <f>"4823114031304"</f>
        <v>4823114031304</v>
      </c>
      <c r="J250" t="s">
        <v>152</v>
      </c>
    </row>
    <row r="251" spans="1:10" x14ac:dyDescent="0.25">
      <c r="A251" t="s">
        <v>8</v>
      </c>
      <c r="B251" t="s">
        <v>547</v>
      </c>
      <c r="C251" t="s">
        <v>548</v>
      </c>
      <c r="D251">
        <v>1</v>
      </c>
      <c r="E251" t="s">
        <v>533</v>
      </c>
      <c r="F251" t="s">
        <v>534</v>
      </c>
      <c r="G251" s="1"/>
      <c r="H251" t="str">
        <f>"4823114045219"</f>
        <v>4823114045219</v>
      </c>
      <c r="J251" t="s">
        <v>549</v>
      </c>
    </row>
    <row r="252" spans="1:10" x14ac:dyDescent="0.25">
      <c r="A252" t="s">
        <v>8</v>
      </c>
      <c r="B252" t="s">
        <v>550</v>
      </c>
      <c r="C252" t="s">
        <v>551</v>
      </c>
      <c r="D252">
        <v>1</v>
      </c>
      <c r="E252" t="s">
        <v>533</v>
      </c>
      <c r="F252" t="s">
        <v>534</v>
      </c>
      <c r="G252" s="1"/>
      <c r="H252" t="str">
        <f>"4823114053221"</f>
        <v>4823114053221</v>
      </c>
      <c r="J252" t="s">
        <v>549</v>
      </c>
    </row>
    <row r="253" spans="1:10" x14ac:dyDescent="0.25">
      <c r="A253" t="s">
        <v>8</v>
      </c>
      <c r="B253" t="s">
        <v>552</v>
      </c>
      <c r="C253" t="s">
        <v>553</v>
      </c>
      <c r="D253">
        <v>1</v>
      </c>
      <c r="E253" t="s">
        <v>554</v>
      </c>
      <c r="F253" t="s">
        <v>555</v>
      </c>
      <c r="G253" s="1"/>
      <c r="H253" t="str">
        <f>"4823114015380"</f>
        <v>4823114015380</v>
      </c>
      <c r="J253" t="s">
        <v>556</v>
      </c>
    </row>
    <row r="254" spans="1:10" x14ac:dyDescent="0.25">
      <c r="A254" t="s">
        <v>8</v>
      </c>
      <c r="B254" t="s">
        <v>557</v>
      </c>
      <c r="C254" t="s">
        <v>558</v>
      </c>
      <c r="D254">
        <v>1</v>
      </c>
      <c r="E254" t="s">
        <v>554</v>
      </c>
      <c r="F254" t="s">
        <v>555</v>
      </c>
      <c r="G254" s="1"/>
      <c r="H254" t="str">
        <f>"4823114015373"</f>
        <v>4823114015373</v>
      </c>
      <c r="J254" t="s">
        <v>556</v>
      </c>
    </row>
    <row r="255" spans="1:10" x14ac:dyDescent="0.25">
      <c r="A255" t="s">
        <v>8</v>
      </c>
      <c r="B255" t="s">
        <v>559</v>
      </c>
      <c r="C255" t="s">
        <v>560</v>
      </c>
      <c r="D255">
        <v>1</v>
      </c>
      <c r="E255" t="s">
        <v>554</v>
      </c>
      <c r="F255" t="s">
        <v>555</v>
      </c>
      <c r="G255" s="1"/>
      <c r="H255" t="str">
        <f>"4823114030970"</f>
        <v>4823114030970</v>
      </c>
      <c r="J255" t="s">
        <v>561</v>
      </c>
    </row>
    <row r="256" spans="1:10" x14ac:dyDescent="0.25">
      <c r="A256" t="s">
        <v>8</v>
      </c>
      <c r="B256" t="s">
        <v>562</v>
      </c>
      <c r="C256" t="s">
        <v>563</v>
      </c>
      <c r="D256">
        <v>1</v>
      </c>
      <c r="E256" t="s">
        <v>554</v>
      </c>
      <c r="F256" t="s">
        <v>555</v>
      </c>
      <c r="G256" s="1"/>
      <c r="H256" t="str">
        <f>"4823114030963"</f>
        <v>4823114030963</v>
      </c>
      <c r="J256" t="s">
        <v>561</v>
      </c>
    </row>
    <row r="257" spans="1:10" x14ac:dyDescent="0.25">
      <c r="A257" t="s">
        <v>8</v>
      </c>
      <c r="B257" t="s">
        <v>564</v>
      </c>
      <c r="C257" t="s">
        <v>565</v>
      </c>
      <c r="D257">
        <v>1</v>
      </c>
      <c r="E257" t="s">
        <v>554</v>
      </c>
      <c r="F257" t="s">
        <v>555</v>
      </c>
      <c r="G257" s="1"/>
      <c r="H257" t="str">
        <f>"4823114030994"</f>
        <v>4823114030994</v>
      </c>
      <c r="J257" t="s">
        <v>73</v>
      </c>
    </row>
    <row r="258" spans="1:10" x14ac:dyDescent="0.25">
      <c r="A258" t="s">
        <v>8</v>
      </c>
      <c r="B258" t="s">
        <v>566</v>
      </c>
      <c r="C258" t="s">
        <v>567</v>
      </c>
      <c r="D258">
        <v>1</v>
      </c>
      <c r="E258" t="s">
        <v>554</v>
      </c>
      <c r="F258" t="s">
        <v>555</v>
      </c>
      <c r="G258" s="1"/>
      <c r="H258" t="str">
        <f>"4823114030987"</f>
        <v>4823114030987</v>
      </c>
      <c r="J258" t="s">
        <v>73</v>
      </c>
    </row>
    <row r="259" spans="1:10" x14ac:dyDescent="0.25">
      <c r="A259" t="s">
        <v>8</v>
      </c>
      <c r="B259" t="s">
        <v>568</v>
      </c>
      <c r="C259" t="s">
        <v>569</v>
      </c>
      <c r="D259">
        <v>1</v>
      </c>
      <c r="E259" t="s">
        <v>554</v>
      </c>
      <c r="F259" t="s">
        <v>555</v>
      </c>
      <c r="G259" s="1"/>
      <c r="H259" t="str">
        <f>"4823114030956"</f>
        <v>4823114030956</v>
      </c>
      <c r="J259" t="s">
        <v>570</v>
      </c>
    </row>
    <row r="260" spans="1:10" x14ac:dyDescent="0.25">
      <c r="A260" t="s">
        <v>8</v>
      </c>
      <c r="B260" t="s">
        <v>571</v>
      </c>
      <c r="C260" t="s">
        <v>572</v>
      </c>
      <c r="D260">
        <v>1</v>
      </c>
      <c r="E260" t="s">
        <v>554</v>
      </c>
      <c r="F260" t="s">
        <v>555</v>
      </c>
      <c r="G260" s="1"/>
      <c r="H260" t="str">
        <f>"4823114030949"</f>
        <v>4823114030949</v>
      </c>
      <c r="J260" t="s">
        <v>570</v>
      </c>
    </row>
    <row r="261" spans="1:10" x14ac:dyDescent="0.25">
      <c r="A261" t="s">
        <v>8</v>
      </c>
      <c r="B261" t="s">
        <v>573</v>
      </c>
      <c r="C261" t="s">
        <v>574</v>
      </c>
      <c r="D261">
        <v>1</v>
      </c>
      <c r="E261" t="s">
        <v>575</v>
      </c>
      <c r="F261" t="s">
        <v>576</v>
      </c>
      <c r="G261" s="1"/>
      <c r="H261" t="str">
        <f>"4823114027338"</f>
        <v>4823114027338</v>
      </c>
      <c r="J261" t="s">
        <v>577</v>
      </c>
    </row>
    <row r="262" spans="1:10" x14ac:dyDescent="0.25">
      <c r="A262" t="s">
        <v>8</v>
      </c>
      <c r="B262" t="s">
        <v>578</v>
      </c>
      <c r="C262" t="s">
        <v>579</v>
      </c>
      <c r="D262">
        <v>1</v>
      </c>
      <c r="E262" t="s">
        <v>575</v>
      </c>
      <c r="F262" t="s">
        <v>576</v>
      </c>
      <c r="G262" s="1"/>
      <c r="H262" t="str">
        <f>"4823114027321"</f>
        <v>4823114027321</v>
      </c>
      <c r="J262" t="s">
        <v>577</v>
      </c>
    </row>
    <row r="263" spans="1:10" x14ac:dyDescent="0.25">
      <c r="A263" t="s">
        <v>8</v>
      </c>
      <c r="B263" t="s">
        <v>580</v>
      </c>
      <c r="C263" t="s">
        <v>581</v>
      </c>
      <c r="D263">
        <v>1</v>
      </c>
      <c r="E263" t="s">
        <v>575</v>
      </c>
      <c r="F263" t="s">
        <v>576</v>
      </c>
      <c r="G263" s="1"/>
      <c r="H263" t="str">
        <f>"4823114023309"</f>
        <v>4823114023309</v>
      </c>
      <c r="J263" t="s">
        <v>582</v>
      </c>
    </row>
    <row r="264" spans="1:10" x14ac:dyDescent="0.25">
      <c r="A264" t="s">
        <v>8</v>
      </c>
      <c r="B264" t="s">
        <v>583</v>
      </c>
      <c r="C264" t="s">
        <v>584</v>
      </c>
      <c r="D264">
        <v>1</v>
      </c>
      <c r="E264" t="s">
        <v>575</v>
      </c>
      <c r="F264" t="s">
        <v>576</v>
      </c>
      <c r="G264" s="1"/>
      <c r="H264" t="str">
        <f>"4823114023286"</f>
        <v>4823114023286</v>
      </c>
      <c r="J264" t="s">
        <v>191</v>
      </c>
    </row>
    <row r="265" spans="1:10" x14ac:dyDescent="0.25">
      <c r="A265" t="s">
        <v>8</v>
      </c>
      <c r="B265" t="s">
        <v>585</v>
      </c>
      <c r="C265" t="s">
        <v>586</v>
      </c>
      <c r="D265">
        <v>1</v>
      </c>
      <c r="E265" t="s">
        <v>575</v>
      </c>
      <c r="F265" t="s">
        <v>576</v>
      </c>
      <c r="G265" s="1"/>
      <c r="H265" t="str">
        <f>"4823114023293"</f>
        <v>4823114023293</v>
      </c>
      <c r="J265" t="s">
        <v>587</v>
      </c>
    </row>
    <row r="266" spans="1:10" x14ac:dyDescent="0.25">
      <c r="A266" t="s">
        <v>8</v>
      </c>
      <c r="B266" t="s">
        <v>588</v>
      </c>
      <c r="C266" t="s">
        <v>589</v>
      </c>
      <c r="D266">
        <v>1</v>
      </c>
      <c r="E266" t="s">
        <v>575</v>
      </c>
      <c r="F266" t="s">
        <v>576</v>
      </c>
      <c r="G266" s="1"/>
      <c r="H266" t="str">
        <f>"4823114053658"</f>
        <v>4823114053658</v>
      </c>
      <c r="J266" t="s">
        <v>590</v>
      </c>
    </row>
    <row r="267" spans="1:10" x14ac:dyDescent="0.25">
      <c r="A267" t="s">
        <v>8</v>
      </c>
      <c r="B267" t="s">
        <v>591</v>
      </c>
      <c r="C267" t="s">
        <v>592</v>
      </c>
      <c r="D267">
        <v>1</v>
      </c>
      <c r="E267" t="s">
        <v>575</v>
      </c>
      <c r="F267" t="s">
        <v>576</v>
      </c>
      <c r="G267" s="1"/>
      <c r="H267" t="str">
        <f>"4823114053634"</f>
        <v>4823114053634</v>
      </c>
      <c r="J267" t="s">
        <v>590</v>
      </c>
    </row>
    <row r="268" spans="1:10" x14ac:dyDescent="0.25">
      <c r="A268" t="s">
        <v>8</v>
      </c>
      <c r="B268" t="s">
        <v>593</v>
      </c>
      <c r="C268" t="s">
        <v>594</v>
      </c>
      <c r="D268">
        <v>1</v>
      </c>
      <c r="E268" t="s">
        <v>575</v>
      </c>
      <c r="F268" t="s">
        <v>576</v>
      </c>
      <c r="G268" s="1"/>
      <c r="H268" t="str">
        <f>"4823114060953"</f>
        <v>4823114060953</v>
      </c>
      <c r="J268" t="s">
        <v>242</v>
      </c>
    </row>
    <row r="269" spans="1:10" x14ac:dyDescent="0.25">
      <c r="A269" t="s">
        <v>8</v>
      </c>
      <c r="B269" t="s">
        <v>595</v>
      </c>
      <c r="C269" t="s">
        <v>596</v>
      </c>
      <c r="D269">
        <v>1</v>
      </c>
      <c r="E269" t="s">
        <v>575</v>
      </c>
      <c r="F269" t="s">
        <v>576</v>
      </c>
      <c r="G269" s="1"/>
      <c r="H269" t="str">
        <f>"4823114045134"</f>
        <v>4823114045134</v>
      </c>
      <c r="J269" t="s">
        <v>597</v>
      </c>
    </row>
    <row r="270" spans="1:10" x14ac:dyDescent="0.25">
      <c r="A270" t="s">
        <v>8</v>
      </c>
      <c r="B270" t="s">
        <v>598</v>
      </c>
      <c r="C270" t="s">
        <v>599</v>
      </c>
      <c r="D270">
        <v>1</v>
      </c>
      <c r="E270" t="s">
        <v>575</v>
      </c>
      <c r="F270" t="s">
        <v>576</v>
      </c>
      <c r="G270" s="1"/>
      <c r="H270" t="str">
        <f>"4823114015809"</f>
        <v>4823114015809</v>
      </c>
      <c r="J270" t="s">
        <v>600</v>
      </c>
    </row>
    <row r="271" spans="1:10" x14ac:dyDescent="0.25">
      <c r="A271" t="s">
        <v>8</v>
      </c>
      <c r="B271" t="s">
        <v>601</v>
      </c>
      <c r="C271" t="s">
        <v>602</v>
      </c>
      <c r="D271">
        <v>1</v>
      </c>
      <c r="E271" t="s">
        <v>575</v>
      </c>
      <c r="F271" t="s">
        <v>576</v>
      </c>
      <c r="G271" s="1"/>
      <c r="H271" t="str">
        <f>"4823114015793"</f>
        <v>4823114015793</v>
      </c>
      <c r="J271" t="s">
        <v>600</v>
      </c>
    </row>
    <row r="272" spans="1:10" x14ac:dyDescent="0.25">
      <c r="A272" t="s">
        <v>8</v>
      </c>
      <c r="B272" t="s">
        <v>603</v>
      </c>
      <c r="C272" t="s">
        <v>604</v>
      </c>
      <c r="D272">
        <v>1</v>
      </c>
      <c r="E272" t="s">
        <v>575</v>
      </c>
      <c r="F272" t="s">
        <v>576</v>
      </c>
      <c r="G272" s="1"/>
      <c r="H272" t="str">
        <f>"4823114022951"</f>
        <v>4823114022951</v>
      </c>
      <c r="J272" t="s">
        <v>605</v>
      </c>
    </row>
    <row r="273" spans="1:10" x14ac:dyDescent="0.25">
      <c r="A273" t="s">
        <v>8</v>
      </c>
      <c r="B273" t="s">
        <v>606</v>
      </c>
      <c r="C273" t="s">
        <v>607</v>
      </c>
      <c r="D273">
        <v>1</v>
      </c>
      <c r="E273" t="s">
        <v>575</v>
      </c>
      <c r="F273" t="s">
        <v>576</v>
      </c>
      <c r="G273" s="1"/>
      <c r="H273" t="str">
        <f>"4823114022944"</f>
        <v>4823114022944</v>
      </c>
      <c r="J273" t="s">
        <v>605</v>
      </c>
    </row>
    <row r="274" spans="1:10" x14ac:dyDescent="0.25">
      <c r="A274" t="s">
        <v>8</v>
      </c>
      <c r="B274" t="s">
        <v>608</v>
      </c>
      <c r="C274" t="s">
        <v>609</v>
      </c>
      <c r="D274">
        <v>1</v>
      </c>
      <c r="E274" t="s">
        <v>575</v>
      </c>
      <c r="F274" t="s">
        <v>576</v>
      </c>
      <c r="G274" s="1"/>
      <c r="H274" t="str">
        <f>"4823114022876"</f>
        <v>4823114022876</v>
      </c>
      <c r="J274" t="s">
        <v>610</v>
      </c>
    </row>
    <row r="275" spans="1:10" x14ac:dyDescent="0.25">
      <c r="A275" t="s">
        <v>8</v>
      </c>
      <c r="B275" t="s">
        <v>611</v>
      </c>
      <c r="C275" t="s">
        <v>612</v>
      </c>
      <c r="D275">
        <v>1</v>
      </c>
      <c r="E275" t="s">
        <v>575</v>
      </c>
      <c r="F275" t="s">
        <v>576</v>
      </c>
      <c r="G275" s="1"/>
      <c r="H275" t="str">
        <f>"4823114022869"</f>
        <v>4823114022869</v>
      </c>
      <c r="J275" t="s">
        <v>610</v>
      </c>
    </row>
    <row r="276" spans="1:10" x14ac:dyDescent="0.25">
      <c r="A276" t="s">
        <v>8</v>
      </c>
      <c r="B276" t="s">
        <v>613</v>
      </c>
      <c r="C276" t="s">
        <v>614</v>
      </c>
      <c r="D276">
        <v>1</v>
      </c>
      <c r="E276" t="s">
        <v>575</v>
      </c>
      <c r="F276" t="s">
        <v>576</v>
      </c>
      <c r="G276" s="1"/>
      <c r="H276" t="str">
        <f>"4823114061295"</f>
        <v>4823114061295</v>
      </c>
      <c r="J276" t="s">
        <v>216</v>
      </c>
    </row>
    <row r="277" spans="1:10" x14ac:dyDescent="0.25">
      <c r="A277" t="s">
        <v>8</v>
      </c>
      <c r="B277" t="s">
        <v>615</v>
      </c>
      <c r="C277" t="s">
        <v>616</v>
      </c>
      <c r="D277">
        <v>1</v>
      </c>
      <c r="E277" t="s">
        <v>575</v>
      </c>
      <c r="F277" t="s">
        <v>576</v>
      </c>
      <c r="G277" s="1"/>
      <c r="H277" t="str">
        <f>"4823114061370"</f>
        <v>4823114061370</v>
      </c>
      <c r="J277" t="s">
        <v>216</v>
      </c>
    </row>
    <row r="278" spans="1:10" x14ac:dyDescent="0.25">
      <c r="A278" t="s">
        <v>8</v>
      </c>
      <c r="B278" t="s">
        <v>617</v>
      </c>
      <c r="C278" t="s">
        <v>618</v>
      </c>
      <c r="D278">
        <v>1</v>
      </c>
      <c r="E278" t="s">
        <v>575</v>
      </c>
      <c r="F278" t="s">
        <v>576</v>
      </c>
      <c r="G278" s="1"/>
      <c r="H278" t="str">
        <f>"4823114041433"</f>
        <v>4823114041433</v>
      </c>
      <c r="J278" t="s">
        <v>619</v>
      </c>
    </row>
    <row r="279" spans="1:10" x14ac:dyDescent="0.25">
      <c r="A279" t="s">
        <v>8</v>
      </c>
      <c r="B279" t="s">
        <v>620</v>
      </c>
      <c r="C279" t="s">
        <v>621</v>
      </c>
      <c r="D279">
        <v>1</v>
      </c>
      <c r="E279" t="s">
        <v>575</v>
      </c>
      <c r="F279" t="s">
        <v>576</v>
      </c>
      <c r="G279" s="1"/>
      <c r="H279" t="str">
        <f>"4823114045141"</f>
        <v>4823114045141</v>
      </c>
      <c r="J279" t="s">
        <v>619</v>
      </c>
    </row>
    <row r="280" spans="1:10" x14ac:dyDescent="0.25">
      <c r="A280" t="s">
        <v>8</v>
      </c>
      <c r="B280" t="s">
        <v>622</v>
      </c>
      <c r="C280" t="s">
        <v>623</v>
      </c>
      <c r="D280">
        <v>1</v>
      </c>
      <c r="E280" t="s">
        <v>575</v>
      </c>
      <c r="F280" t="s">
        <v>576</v>
      </c>
      <c r="G280" s="1"/>
      <c r="H280" t="str">
        <f>"4823114065125"</f>
        <v>4823114065125</v>
      </c>
      <c r="J280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Export_Tarifs_YESSS_15-37-25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martinez</dc:creator>
  <cp:lastModifiedBy>quentin martinez</cp:lastModifiedBy>
  <dcterms:created xsi:type="dcterms:W3CDTF">2026-10-22T13:37:35Z</dcterms:created>
  <dcterms:modified xsi:type="dcterms:W3CDTF">2026-10-22T13:45:19Z</dcterms:modified>
</cp:coreProperties>
</file>