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rti\Downloads\"/>
    </mc:Choice>
  </mc:AlternateContent>
  <xr:revisionPtr revIDLastSave="0" documentId="8_{3C4C3AD7-AE5C-47E9-97F6-A78E2104DF4A}" xr6:coauthVersionLast="47" xr6:coauthVersionMax="47" xr10:uidLastSave="{00000000-0000-0000-0000-000000000000}"/>
  <bookViews>
    <workbookView xWindow="-35130" yWindow="9150" windowWidth="38700" windowHeight="12105" xr2:uid="{CAA63299-DAED-4D93-A2CA-9F6F1224CC45}"/>
  </bookViews>
  <sheets>
    <sheet name="Export_Tarifs_YESSS_15-30-20" sheetId="1" r:id="rId1"/>
  </sheets>
  <calcPr calcId="0"/>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alcChain>
</file>

<file path=xl/sharedStrings.xml><?xml version="1.0" encoding="utf-8"?>
<sst xmlns="http://schemas.openxmlformats.org/spreadsheetml/2006/main" count="44798" uniqueCount="20513">
  <si>
    <t>fournisseur</t>
  </si>
  <si>
    <t>reference</t>
  </si>
  <si>
    <t>libelle</t>
  </si>
  <si>
    <t>unite_de_vente</t>
  </si>
  <si>
    <t>fam_code</t>
  </si>
  <si>
    <t>fam_libelle</t>
  </si>
  <si>
    <t>pdt_code_ean</t>
  </si>
  <si>
    <t>prix_client</t>
  </si>
  <si>
    <t>HAGER S.A.S</t>
  </si>
  <si>
    <t>Thermostat ambiance bi-métal chauf eau ch avec contact inverseur + voyant 230V</t>
  </si>
  <si>
    <t xml:space="preserve">HACOSM15 </t>
  </si>
  <si>
    <t>TA SAILLIE</t>
  </si>
  <si>
    <t>50.364€</t>
  </si>
  <si>
    <t>Thermostat ambiance bi-métal chauf eau ch contact à ouvert voyant inter I-O 230V</t>
  </si>
  <si>
    <t>63.168€</t>
  </si>
  <si>
    <t>Thermostat ambiance à membrane multi-tension chauf eau ch sortie invers 10A 230V</t>
  </si>
  <si>
    <t>34.374€</t>
  </si>
  <si>
    <t>Thermostat ambiance bi-métal chauf eau ch contact inv voyant entrée abaiss 230V</t>
  </si>
  <si>
    <t>53.4€</t>
  </si>
  <si>
    <t>Thermostat ambiance électronique saillie chauf élec avec entrée fil pilote 230V</t>
  </si>
  <si>
    <t xml:space="preserve">HACETM15 </t>
  </si>
  <si>
    <t>115.122€</t>
  </si>
  <si>
    <t>Thermostat ambiance bi-métal chauf eau chaude avec contact à ouverture 230V</t>
  </si>
  <si>
    <t>41.478€</t>
  </si>
  <si>
    <t>Thermostat ambiance bi-métal chauf eau ch avec contact inv réglage caché 230V</t>
  </si>
  <si>
    <t>55.032€</t>
  </si>
  <si>
    <t>Thermostat ambiance bi-métal chauf eau ch avec contact à ouverture + voyant 230V</t>
  </si>
  <si>
    <t>45.264€</t>
  </si>
  <si>
    <t>Thermostat ambiance électronique semi-encastré chauf eau ch entrée abaiss 230V</t>
  </si>
  <si>
    <t>123.282€</t>
  </si>
  <si>
    <t>Thermostat ambiance électron saillie chauf eau ch contact inv entrée abaiss 230V</t>
  </si>
  <si>
    <t>115.83€</t>
  </si>
  <si>
    <t>Thermostat ambiance électronique semi-encastré avec voyant 230V</t>
  </si>
  <si>
    <t>108.144€</t>
  </si>
  <si>
    <t>Thermostat ambiance électronique saillie chauf eau chaude sortie inverseur 230V</t>
  </si>
  <si>
    <t>98.64€</t>
  </si>
  <si>
    <t>Détecteur de mouvement infrarouge évolué mural 220-360° anthracite</t>
  </si>
  <si>
    <t xml:space="preserve">HACLMM10 </t>
  </si>
  <si>
    <t>DETECTEUR MOUVEMENT MURAL</t>
  </si>
  <si>
    <t>115.06€</t>
  </si>
  <si>
    <t>Détecteur de mouvement infrarouge évolué mural 220° anthracite</t>
  </si>
  <si>
    <t>85.9815€</t>
  </si>
  <si>
    <t>Détecteur de mouvement infrarouge évolué mural 220-360° blanc</t>
  </si>
  <si>
    <t>Détecteur de mouvement infrarouge évolué mural 140° anthracite</t>
  </si>
  <si>
    <t>65.802€</t>
  </si>
  <si>
    <t>Détecteur de mouvement infrarouge évolué mural 220° blanc</t>
  </si>
  <si>
    <t>Détecteur de mouvement infrarouge standard mural 140° anthracite</t>
  </si>
  <si>
    <t>43.5875€</t>
  </si>
  <si>
    <t>Détecteur de mouvement infrarouge standard mural 200° anthracite</t>
  </si>
  <si>
    <t>60.456€</t>
  </si>
  <si>
    <t>Détecteur de mouvement infrarouge standard mural 140° blanc</t>
  </si>
  <si>
    <t>45.71€</t>
  </si>
  <si>
    <t>Détecteur de mouvement infrarouge standard mural 200° blanc</t>
  </si>
  <si>
    <t>Détecteur de mouvement infrarouge standard mural 360° anthracite</t>
  </si>
  <si>
    <t>71.6705€</t>
  </si>
  <si>
    <t>Détecteur de mouvement infrarouge évolué mural 140° blanc</t>
  </si>
  <si>
    <t>Détecteur de mouvement infrarouge standard mural 360° blanc</t>
  </si>
  <si>
    <t>TRE501</t>
  </si>
  <si>
    <t>Détecteur de mouvement infrarouge à piles KNX radio quicklink  anthracite</t>
  </si>
  <si>
    <t>124.5915€</t>
  </si>
  <si>
    <t>TRE500</t>
  </si>
  <si>
    <t>Détecteur de mouvement infrarouge à piles KNX radio quicklink  blanc</t>
  </si>
  <si>
    <t>127.7265€</t>
  </si>
  <si>
    <t>TRE700</t>
  </si>
  <si>
    <t>Kit Détecteur infrarouge blanc + 1Sortie 10A KNX radio quicklink</t>
  </si>
  <si>
    <t>242.033€</t>
  </si>
  <si>
    <t>ADC710F</t>
  </si>
  <si>
    <t>Disjoncteur différentiel 1P+N 3kA C-10A 30mA type AC</t>
  </si>
  <si>
    <t xml:space="preserve">HAHDDM03 </t>
  </si>
  <si>
    <t>DISJ DIFF PH+N 3KA</t>
  </si>
  <si>
    <t>112.58€</t>
  </si>
  <si>
    <t>ADH716F</t>
  </si>
  <si>
    <t>Disjoncteur différentiel 1P+N 3kA C-16A 30mA type Haute Immunité</t>
  </si>
  <si>
    <t>139.436€</t>
  </si>
  <si>
    <t>ADC732F</t>
  </si>
  <si>
    <t>Disjoncteur différentiel 1P+N 3kA C-32A 30mA type AC</t>
  </si>
  <si>
    <t>119.976€</t>
  </si>
  <si>
    <t>ADC725F</t>
  </si>
  <si>
    <t>Disjoncteur différentiel 1P+N 3kA C-25A 30mA type AC</t>
  </si>
  <si>
    <t>117.76€</t>
  </si>
  <si>
    <t>ADC720F</t>
  </si>
  <si>
    <t>Disjoncteur différentiel 1P+N 3kA C-20A 30mA type AC</t>
  </si>
  <si>
    <t>115.812€</t>
  </si>
  <si>
    <t>ADH720F</t>
  </si>
  <si>
    <t>Disjoncteur différentiel 1P+N 3kA C-20A 30mA type Haute Immunité</t>
  </si>
  <si>
    <t>ADC716F</t>
  </si>
  <si>
    <t>Disjoncteur différentiel 1P+N 3kA C-16A 30mA type AC</t>
  </si>
  <si>
    <t>ADF716F</t>
  </si>
  <si>
    <t xml:space="preserve">Disjoncteur différentiel 1P+N 3kA C-16A 30mA type F </t>
  </si>
  <si>
    <t>178.572€</t>
  </si>
  <si>
    <t>ADF720F</t>
  </si>
  <si>
    <t xml:space="preserve">Disjoncteur différentiel 1P+N 3kA C-20A 30mA type F </t>
  </si>
  <si>
    <t>BD241</t>
  </si>
  <si>
    <t>Bloc différentiel 2P 40A 30mA type AC</t>
  </si>
  <si>
    <t xml:space="preserve">HATDBM03 </t>
  </si>
  <si>
    <t>BLOCS DIFFERENTIELS</t>
  </si>
  <si>
    <t>144.347€</t>
  </si>
  <si>
    <t>BDC480E</t>
  </si>
  <si>
    <t>Bloc différentiel 4P 125A 30mA type AC</t>
  </si>
  <si>
    <t>409.535€</t>
  </si>
  <si>
    <t>BDH480E</t>
  </si>
  <si>
    <t>Bloc différentiel 4P 125A 30mA type haute immunité</t>
  </si>
  <si>
    <t>500.15€</t>
  </si>
  <si>
    <t>BF341</t>
  </si>
  <si>
    <t>Bloc différentiel 3P 40A 300mA type AC</t>
  </si>
  <si>
    <t>149.331€</t>
  </si>
  <si>
    <t>BTC380E</t>
  </si>
  <si>
    <t>Bloc différentiel 3P 125A réglable type AC</t>
  </si>
  <si>
    <t>286.5275€</t>
  </si>
  <si>
    <t>BDC380E</t>
  </si>
  <si>
    <t>Bloc différentiel 3P 125A 30mA type AC</t>
  </si>
  <si>
    <t>383.9255€</t>
  </si>
  <si>
    <t>BF241</t>
  </si>
  <si>
    <t>Bloc différentiel 2P 40A 300mA type AC</t>
  </si>
  <si>
    <t>134.54€</t>
  </si>
  <si>
    <t>BP264</t>
  </si>
  <si>
    <t>Bloc différentiel 2P 63A 300mA type AC S</t>
  </si>
  <si>
    <t>192.808€</t>
  </si>
  <si>
    <t>BTC280E</t>
  </si>
  <si>
    <t>Bloc différentiel 2P 125A réglable type AC</t>
  </si>
  <si>
    <t>275.989€</t>
  </si>
  <si>
    <t>BD226</t>
  </si>
  <si>
    <t>Bloc différentiel 2P 25A 30mA type AC</t>
  </si>
  <si>
    <t>136.1185€</t>
  </si>
  <si>
    <t>BD366</t>
  </si>
  <si>
    <t>Bloc différentiel 3P 63A 30mA type AC 60Hz</t>
  </si>
  <si>
    <t>261.1525€</t>
  </si>
  <si>
    <t>BDC280E</t>
  </si>
  <si>
    <t>Bloc différentiel 2P 125A 30mA type AC</t>
  </si>
  <si>
    <t>356.7445€</t>
  </si>
  <si>
    <t>BD364</t>
  </si>
  <si>
    <t>Bloc différentiel 3P 63A 30mA type AC</t>
  </si>
  <si>
    <t>261.1805€</t>
  </si>
  <si>
    <t>BDH380E</t>
  </si>
  <si>
    <t>Bloc différentiel 3P 125A 30mA type haute immunité</t>
  </si>
  <si>
    <t>470.6905€</t>
  </si>
  <si>
    <t>BF226</t>
  </si>
  <si>
    <t>Bloc différentiel 2P 25A 300mA type AC</t>
  </si>
  <si>
    <t>122.43€</t>
  </si>
  <si>
    <t>BFC825</t>
  </si>
  <si>
    <t>Bloc différentiel double sortie 4P 25A 300mA type AC</t>
  </si>
  <si>
    <t>131.7155€</t>
  </si>
  <si>
    <t>BD266</t>
  </si>
  <si>
    <t>Bloc différentiel 2P 63A 30mA type AC 60Hz</t>
  </si>
  <si>
    <t>254.233€</t>
  </si>
  <si>
    <t>BDH280E</t>
  </si>
  <si>
    <t>Bloc différentiel 2P 125A 30mA type haute immunité</t>
  </si>
  <si>
    <t>467.9325€</t>
  </si>
  <si>
    <t>BFC480E</t>
  </si>
  <si>
    <t>Bloc différentiel 4P 125A 300mA type AC</t>
  </si>
  <si>
    <t>233.4535€</t>
  </si>
  <si>
    <t>BSC863</t>
  </si>
  <si>
    <t>Bloc différentiel double sortie 4P 63A 1A type AC S</t>
  </si>
  <si>
    <t>233.24€</t>
  </si>
  <si>
    <t>BTH480E</t>
  </si>
  <si>
    <t>Bloc différentiel 4P 125A Réglable type haute immunité</t>
  </si>
  <si>
    <t>448.8435€</t>
  </si>
  <si>
    <t>BD264</t>
  </si>
  <si>
    <t>Bloc différentiel 2P 63A 30mA type AC</t>
  </si>
  <si>
    <t>254.247€</t>
  </si>
  <si>
    <t>BDC863</t>
  </si>
  <si>
    <t>Bloc différentiel double sortie 4P 63A 30mA type AC</t>
  </si>
  <si>
    <t>266.5845€</t>
  </si>
  <si>
    <t>BF326</t>
  </si>
  <si>
    <t>Bloc différentiel 3P 25A 300mA type AC</t>
  </si>
  <si>
    <t>140.119€</t>
  </si>
  <si>
    <t>BTH380E</t>
  </si>
  <si>
    <t>Bloc différentiel 3P 125A réglable type haute immunité</t>
  </si>
  <si>
    <t>379.4525€</t>
  </si>
  <si>
    <t>BD466</t>
  </si>
  <si>
    <t>Bloc différentiel 4P 63A 30mA type AC 60Hz</t>
  </si>
  <si>
    <t>286.6955€</t>
  </si>
  <si>
    <t>BDC840</t>
  </si>
  <si>
    <t>Bloc différentiel double sortie 4P 40A 30mA type AC</t>
  </si>
  <si>
    <t>157.71€</t>
  </si>
  <si>
    <t>BC226</t>
  </si>
  <si>
    <t>Bloc différentiel 2P 25A 10mA type AC</t>
  </si>
  <si>
    <t>197.6275€</t>
  </si>
  <si>
    <t>BD446</t>
  </si>
  <si>
    <t>Bloc différentiel 4P 40A 30mA type AC 60Hz</t>
  </si>
  <si>
    <t>161.6755€</t>
  </si>
  <si>
    <t>BF264</t>
  </si>
  <si>
    <t>Bloc différentiel 2P 63A 300mA type AC</t>
  </si>
  <si>
    <t>164.059€</t>
  </si>
  <si>
    <t>BPC863</t>
  </si>
  <si>
    <t>Bloc différentiel double sortie 4P 63A 300mA type AC S</t>
  </si>
  <si>
    <t>204.939€</t>
  </si>
  <si>
    <t>BD341</t>
  </si>
  <si>
    <t>Bloc différentiel 3P 40A 30mA type AC</t>
  </si>
  <si>
    <t>167.419€</t>
  </si>
  <si>
    <t>BFH480E</t>
  </si>
  <si>
    <t>Bloc différentiel 4P 125A 300mA type haute immunité</t>
  </si>
  <si>
    <t>290.3355€</t>
  </si>
  <si>
    <t>BF364</t>
  </si>
  <si>
    <t>Bloc différentiel 3P 63A 300mA type AC</t>
  </si>
  <si>
    <t>185.8675€</t>
  </si>
  <si>
    <t>BFC863</t>
  </si>
  <si>
    <t>Bloc différentiel double sortie 4P 63A 300mA type AC</t>
  </si>
  <si>
    <t>168.945€</t>
  </si>
  <si>
    <t>BTH280E</t>
  </si>
  <si>
    <t>Bloc différentiel 2P 125A réglable type haute immunité</t>
  </si>
  <si>
    <t>355.481€</t>
  </si>
  <si>
    <t>BD326</t>
  </si>
  <si>
    <t>Bloc différentiel 3P 25A 30mA type AC</t>
  </si>
  <si>
    <t>156.0125€</t>
  </si>
  <si>
    <t>BDC825</t>
  </si>
  <si>
    <t>Bloc différentiel double sortie 4P 25A 30mA type AC</t>
  </si>
  <si>
    <t>146.664€</t>
  </si>
  <si>
    <t>BFC840</t>
  </si>
  <si>
    <t>Bloc différentiel double sortie 4P 40A 300mA type AC</t>
  </si>
  <si>
    <t>142.3205€</t>
  </si>
  <si>
    <t>BTC480E</t>
  </si>
  <si>
    <t>Bloc différentiel 4P 125A Réglable type AC</t>
  </si>
  <si>
    <t>343.4165€</t>
  </si>
  <si>
    <t>BDC340F</t>
  </si>
  <si>
    <t>157.2795€</t>
  </si>
  <si>
    <t>BFC225F</t>
  </si>
  <si>
    <t>Bloc différentiel 1P+N 25A 300mA type AC</t>
  </si>
  <si>
    <t>107.2715€</t>
  </si>
  <si>
    <t>BFC925F</t>
  </si>
  <si>
    <t>Bloc différentiel double sortie 3P+N 25A 300mA type AC</t>
  </si>
  <si>
    <t>115.458€</t>
  </si>
  <si>
    <t>BDC325F</t>
  </si>
  <si>
    <t>153.706€</t>
  </si>
  <si>
    <t>BFC440F</t>
  </si>
  <si>
    <t>Bloc différentiel 3P+N 40A 300mA type AC</t>
  </si>
  <si>
    <t>130.8755€</t>
  </si>
  <si>
    <t>BDC240F</t>
  </si>
  <si>
    <t>Bloc différentiel 1P+N 40A 30mA type AC</t>
  </si>
  <si>
    <t>100.443€</t>
  </si>
  <si>
    <t>BDC940F</t>
  </si>
  <si>
    <t>Bloc différentiel double sortie 3P+N 40A 30mA type AC</t>
  </si>
  <si>
    <t>155.386€</t>
  </si>
  <si>
    <t>BDC225F</t>
  </si>
  <si>
    <t>Bloc différentiel 25A 30mA type AC 1P+N à bornes décalées</t>
  </si>
  <si>
    <t>90.524€</t>
  </si>
  <si>
    <t>BDC925F</t>
  </si>
  <si>
    <t>Bloc différentiel double sortie 3P+N 25A 30mA type AC</t>
  </si>
  <si>
    <t>144.487€</t>
  </si>
  <si>
    <t>BFC425F</t>
  </si>
  <si>
    <t>Bloc différentiel 3P+N 25A 300mA type AC</t>
  </si>
  <si>
    <t>118.9825€</t>
  </si>
  <si>
    <t>BDC440F</t>
  </si>
  <si>
    <t>Bloc différentiel 3P+N 40A 30mA type AC</t>
  </si>
  <si>
    <t>163.3275€</t>
  </si>
  <si>
    <t>BFC340F</t>
  </si>
  <si>
    <t>130.879€</t>
  </si>
  <si>
    <t>BFC325F</t>
  </si>
  <si>
    <t>126.644€</t>
  </si>
  <si>
    <t>BFC240F</t>
  </si>
  <si>
    <t>Bloc différentiel 1P+N 40A 300mA type AC</t>
  </si>
  <si>
    <t>113.8655€</t>
  </si>
  <si>
    <t>BDC425F</t>
  </si>
  <si>
    <t>Bloc différentiel 3P+N 25A 30mA type AC</t>
  </si>
  <si>
    <t>148.477€</t>
  </si>
  <si>
    <t>BFC940F</t>
  </si>
  <si>
    <t>Bloc différentiel double sortie 3P+N 40A 300mA type AC</t>
  </si>
  <si>
    <t>125.965€</t>
  </si>
  <si>
    <t>BF228</t>
  </si>
  <si>
    <t>Bloc différentiel 2P 25A 300mA type AC 50/60Hz</t>
  </si>
  <si>
    <t>122.423€</t>
  </si>
  <si>
    <t>BF242</t>
  </si>
  <si>
    <t>Bloc différentiel 2P 40A 300mA type haute immunité 50/60Hz</t>
  </si>
  <si>
    <t>194.264€</t>
  </si>
  <si>
    <t>BF266</t>
  </si>
  <si>
    <t>Bloc différentiel 2P 63A 300mA type AC 50/60Hz</t>
  </si>
  <si>
    <t>164.0555€</t>
  </si>
  <si>
    <t>BF328</t>
  </si>
  <si>
    <t>Bloc différentiel 3P 25A 300mA type AC 50/60Hz</t>
  </si>
  <si>
    <t>140.1155€</t>
  </si>
  <si>
    <t>BF366</t>
  </si>
  <si>
    <t>Bloc différentiel 3P 63A 300mA type AC 50/60Hz</t>
  </si>
  <si>
    <t>185.864€</t>
  </si>
  <si>
    <t>BFC828</t>
  </si>
  <si>
    <t>Bloc dif 2xsort.4P 25A 300mA AC 50/60Hz</t>
  </si>
  <si>
    <t>131.7085€</t>
  </si>
  <si>
    <t>BFC866</t>
  </si>
  <si>
    <t>Bloc dif 2xsort.4P 63A 300mA AC 50/60Hz</t>
  </si>
  <si>
    <t>168.9415€</t>
  </si>
  <si>
    <t>BFH828</t>
  </si>
  <si>
    <t>Bloc dif 2sort 4P 25A 300mA A HI 50/60Hz</t>
  </si>
  <si>
    <t>186.242€</t>
  </si>
  <si>
    <t>BFH866</t>
  </si>
  <si>
    <t>Bloc dif 2xsor.4P 63A 300mA A HI 50/60Hz</t>
  </si>
  <si>
    <t>272.6325€</t>
  </si>
  <si>
    <t>BDF225</t>
  </si>
  <si>
    <t>Bloc différentiel 2P 25A 30mA type F</t>
  </si>
  <si>
    <t>190.911€</t>
  </si>
  <si>
    <t>BDF225F</t>
  </si>
  <si>
    <t>Bloc différentiel 1P+N 25A 30mA type F</t>
  </si>
  <si>
    <t>128.1105€</t>
  </si>
  <si>
    <t>BDF240</t>
  </si>
  <si>
    <t>Bloc différenciel 2P 40A 30mA type F</t>
  </si>
  <si>
    <t>205.184€</t>
  </si>
  <si>
    <t>BDF240F</t>
  </si>
  <si>
    <t>Bloc différentiel 1P+N 40A 30mA type F</t>
  </si>
  <si>
    <t>144.4065€</t>
  </si>
  <si>
    <t>BDF263</t>
  </si>
  <si>
    <t>Bloc différentiel 2P 63A 30mA type F</t>
  </si>
  <si>
    <t>364.854€</t>
  </si>
  <si>
    <t>BDF325</t>
  </si>
  <si>
    <t>Bloc différentiel 3P 25A 30mA type F</t>
  </si>
  <si>
    <t>231.679€</t>
  </si>
  <si>
    <t>BDF325F</t>
  </si>
  <si>
    <t>215.684€</t>
  </si>
  <si>
    <t>BDF340</t>
  </si>
  <si>
    <t>Bloc différentiel 3P 40A 30mA type F</t>
  </si>
  <si>
    <t>248.941€</t>
  </si>
  <si>
    <t>BDF340F</t>
  </si>
  <si>
    <t>218.1865€</t>
  </si>
  <si>
    <t>BDF363</t>
  </si>
  <si>
    <t>Bloc différentiel 3P 63A 30mA type F</t>
  </si>
  <si>
    <t>392.4165€</t>
  </si>
  <si>
    <t>BDF425F</t>
  </si>
  <si>
    <t>Bloc différentiel 3P+N 25A 30mA type F</t>
  </si>
  <si>
    <t>209.608€</t>
  </si>
  <si>
    <t>BDF440F</t>
  </si>
  <si>
    <t>Bloc différentiel 3P+N 40A 30mA type F</t>
  </si>
  <si>
    <t>230.3735€</t>
  </si>
  <si>
    <t>BDF825</t>
  </si>
  <si>
    <t>Bloc différentiel double sortie 4P 25A 30mA type F</t>
  </si>
  <si>
    <t>217.896€</t>
  </si>
  <si>
    <t>BDF840</t>
  </si>
  <si>
    <t>Bloc différentiel 4P double sortie 40A 30mA type F</t>
  </si>
  <si>
    <t>235.375€</t>
  </si>
  <si>
    <t>BDF863</t>
  </si>
  <si>
    <t>Bloc différentiel double sortie 4P 63A 30mA type F</t>
  </si>
  <si>
    <t>366.121€</t>
  </si>
  <si>
    <t>BDF925F</t>
  </si>
  <si>
    <t>Bloc différentiel double sortie 3P+N 25A 30mA type F</t>
  </si>
  <si>
    <t>204.5155€</t>
  </si>
  <si>
    <t>BDF940F</t>
  </si>
  <si>
    <t>Bloc différentiel double sortie 3P+N 40A 30mA type F</t>
  </si>
  <si>
    <t>217.3675€</t>
  </si>
  <si>
    <t>BFF225</t>
  </si>
  <si>
    <t>Bloc différentiel 2P 25A 300mA type F</t>
  </si>
  <si>
    <t>187.2955€</t>
  </si>
  <si>
    <t>BFF225F</t>
  </si>
  <si>
    <t>Bloc différentiel 1P+N 25A 300mA type F</t>
  </si>
  <si>
    <t>137.0635€</t>
  </si>
  <si>
    <t>BFF240</t>
  </si>
  <si>
    <t>Bloc différentiel 2P 40A 300mA type F</t>
  </si>
  <si>
    <t>205.401€</t>
  </si>
  <si>
    <t>BFF240F</t>
  </si>
  <si>
    <t>Bloc différentiel1P+N 40A 300mA Type F</t>
  </si>
  <si>
    <t>150.7695€</t>
  </si>
  <si>
    <t>BFF263</t>
  </si>
  <si>
    <t>Bloc différentiel 2P 63A 300mA type F</t>
  </si>
  <si>
    <t>261.2855€</t>
  </si>
  <si>
    <t>BFF325</t>
  </si>
  <si>
    <t>Bloc différentiel 3P 25A 300mA type F</t>
  </si>
  <si>
    <t>209.9755€</t>
  </si>
  <si>
    <t>BFF325F</t>
  </si>
  <si>
    <t>199.0555€</t>
  </si>
  <si>
    <t>BFF340</t>
  </si>
  <si>
    <t>Bloc différentiel 3P 40A 300mA type F</t>
  </si>
  <si>
    <t>213.2165€</t>
  </si>
  <si>
    <t>BFF340F</t>
  </si>
  <si>
    <t>217.805€</t>
  </si>
  <si>
    <t>BFF363</t>
  </si>
  <si>
    <t>Bloc différentiel 3P 63A 300mA type F</t>
  </si>
  <si>
    <t>289.933€</t>
  </si>
  <si>
    <t>BFF425F</t>
  </si>
  <si>
    <t>Bloc différentiel 3P+N 25A 300mA type F</t>
  </si>
  <si>
    <t>198.0755€</t>
  </si>
  <si>
    <t>BFF440F</t>
  </si>
  <si>
    <t>Bloc différentiel 3P+N 40A 300mA type F</t>
  </si>
  <si>
    <t>BFF825</t>
  </si>
  <si>
    <t>Bloc différentiel double sortie  4P 25A 300mA type F</t>
  </si>
  <si>
    <t>195.944€</t>
  </si>
  <si>
    <t>BFF840</t>
  </si>
  <si>
    <t>Bloc différentiel double sortie 4P 40A 300mA type F</t>
  </si>
  <si>
    <t>212.9575€</t>
  </si>
  <si>
    <t>BFF863</t>
  </si>
  <si>
    <t>Bloc différentiel double sortie 4P 63A 300mA type F</t>
  </si>
  <si>
    <t>286.853€</t>
  </si>
  <si>
    <t>BFF925F</t>
  </si>
  <si>
    <t>Bloc différentiel double sortie 3P+N 25A 300mA type F</t>
  </si>
  <si>
    <t>171.745€</t>
  </si>
  <si>
    <t>BFF940F</t>
  </si>
  <si>
    <t>Bloc différentiel double sortie 3P+N 40A 300mA type F</t>
  </si>
  <si>
    <t>189.8295€</t>
  </si>
  <si>
    <t>BDF280E</t>
  </si>
  <si>
    <t>Bloc dif 2P 125A 30mA F</t>
  </si>
  <si>
    <t>BDF380E</t>
  </si>
  <si>
    <t>Bloc dif 3P 125A 30mA F</t>
  </si>
  <si>
    <t>BDF480E</t>
  </si>
  <si>
    <t>Bloc dif 4P 125A 30mA F</t>
  </si>
  <si>
    <t>BFF480E</t>
  </si>
  <si>
    <t>Bloc dif 4P 125A 300mA F</t>
  </si>
  <si>
    <t>BTF280E</t>
  </si>
  <si>
    <t>Bloc dif 2P 125A réglable F</t>
  </si>
  <si>
    <t>BTF380E</t>
  </si>
  <si>
    <t>Bloc dif 3P 125A réglable F</t>
  </si>
  <si>
    <t>BTF480E</t>
  </si>
  <si>
    <t>Bloc dif 4P 125A réglable F</t>
  </si>
  <si>
    <t>CDC764F</t>
  </si>
  <si>
    <t>Interrupteur différentiel 2P 63A 30mA type AC à bornes décalées</t>
  </si>
  <si>
    <t xml:space="preserve">HAHDIM03 </t>
  </si>
  <si>
    <t>INTER.DIFF.HABITAT</t>
  </si>
  <si>
    <t>64.509€</t>
  </si>
  <si>
    <t>CDA765F</t>
  </si>
  <si>
    <t>Interrupteur différentiel 2P 63A 30mA type A à bornes décalées</t>
  </si>
  <si>
    <t>78.855€</t>
  </si>
  <si>
    <t>CFC764F</t>
  </si>
  <si>
    <t>Interrupteur différentiel 2P 63A 300mA type AC à bornes décalées</t>
  </si>
  <si>
    <t>98.616€</t>
  </si>
  <si>
    <t>CDC742F</t>
  </si>
  <si>
    <t>Interrupteur différentiel 2P 40A 30mA type AC à bornes décalées</t>
  </si>
  <si>
    <t>40.473€</t>
  </si>
  <si>
    <t>CFC742F</t>
  </si>
  <si>
    <t>Interrupteur différentiel 2P 40A 300mA type AC à bornes décalées</t>
  </si>
  <si>
    <t>62.94€</t>
  </si>
  <si>
    <t>CDA743F</t>
  </si>
  <si>
    <t>Interrupteur différentiel 2P 40A 30mA type A à bornes décalées</t>
  </si>
  <si>
    <t>49.737€</t>
  </si>
  <si>
    <t>CDC770F</t>
  </si>
  <si>
    <t>Interrupteur différentiel 2P 63A 30mA type AC à bornes décalées 60Hz</t>
  </si>
  <si>
    <t>65.148€</t>
  </si>
  <si>
    <t>CDC749F</t>
  </si>
  <si>
    <t>Interrupteur différentiel 2P 40A 30mA type AC à bornes décalées 60Hz</t>
  </si>
  <si>
    <t>40.878€</t>
  </si>
  <si>
    <t>CDA747F</t>
  </si>
  <si>
    <t>Interrupteur différentiel 2P 40A 30mA type A 60Hz à bornes décalées</t>
  </si>
  <si>
    <t>CFC765F</t>
  </si>
  <si>
    <t>Interrupteur différentiel 1P+N 63A 300mA type AC à bornes décalées  50/60HZ</t>
  </si>
  <si>
    <t>98.133€</t>
  </si>
  <si>
    <t>CDF740F</t>
  </si>
  <si>
    <t>Inter diff 2P 40A 30mA type F Bornes décalées</t>
  </si>
  <si>
    <t>63.387€</t>
  </si>
  <si>
    <t>CDF747F</t>
  </si>
  <si>
    <t>Inter diff 2P 40A 30mA type F 50/60Hz Bornes décalées</t>
  </si>
  <si>
    <t>CDF763F</t>
  </si>
  <si>
    <t>Inter diff 2P 63A 30mA type F Bornes décalées</t>
  </si>
  <si>
    <t>100.5€</t>
  </si>
  <si>
    <t>EPN050</t>
  </si>
  <si>
    <t>Auxiliaire pour la commande centralisée d'un groupe</t>
  </si>
  <si>
    <t xml:space="preserve">HAHAAM03 </t>
  </si>
  <si>
    <t>TELERUPTEURS</t>
  </si>
  <si>
    <t>36.8325€</t>
  </si>
  <si>
    <t>EPN521</t>
  </si>
  <si>
    <t>Télérupteur 2F 12V</t>
  </si>
  <si>
    <t>73.0035€</t>
  </si>
  <si>
    <t>EPN541</t>
  </si>
  <si>
    <t>Télérupteur 4F 24V</t>
  </si>
  <si>
    <t>135.0675€</t>
  </si>
  <si>
    <t>EPN520</t>
  </si>
  <si>
    <t>Télérupteur 2F 230V</t>
  </si>
  <si>
    <t>55.413€</t>
  </si>
  <si>
    <t>EPN540</t>
  </si>
  <si>
    <t>Télérupteur 4F 230V</t>
  </si>
  <si>
    <t>112.482€</t>
  </si>
  <si>
    <t>EPN518</t>
  </si>
  <si>
    <t>Télérupteur 1O+1F 24V</t>
  </si>
  <si>
    <t>50.1165€</t>
  </si>
  <si>
    <t>EPS510B</t>
  </si>
  <si>
    <t>Télérupteur 1F 230V Sans Vis avec passage de barre</t>
  </si>
  <si>
    <t>33.2505€</t>
  </si>
  <si>
    <t>EPN053</t>
  </si>
  <si>
    <t>Auxiliaire pour commande à partir d'un contact maintenu</t>
  </si>
  <si>
    <t>35.9415€</t>
  </si>
  <si>
    <t>EPS450B</t>
  </si>
  <si>
    <t>Télérupteur électronique minuterie 1F 230V SanVis</t>
  </si>
  <si>
    <t>66.654€</t>
  </si>
  <si>
    <t>EPN052</t>
  </si>
  <si>
    <t>Aux cde cent. +ieurs groupes</t>
  </si>
  <si>
    <t>44.046€</t>
  </si>
  <si>
    <t>EPN515</t>
  </si>
  <si>
    <t>Télérupteur 1O+1F 230V</t>
  </si>
  <si>
    <t>41.4225€</t>
  </si>
  <si>
    <t>EPN525</t>
  </si>
  <si>
    <t>Télérupteur 2O+2F 230V</t>
  </si>
  <si>
    <t>103.9725€</t>
  </si>
  <si>
    <t>EPN513</t>
  </si>
  <si>
    <t>Télérupteur 1F 24V</t>
  </si>
  <si>
    <t>43.8615€</t>
  </si>
  <si>
    <t>EPN524</t>
  </si>
  <si>
    <t>Télérupteur 2F 24V</t>
  </si>
  <si>
    <t>67.0545€</t>
  </si>
  <si>
    <t>EPN511</t>
  </si>
  <si>
    <t>Télérupteur 1F 12V</t>
  </si>
  <si>
    <t>46.899€</t>
  </si>
  <si>
    <t>EPS410B</t>
  </si>
  <si>
    <t>Télérupteur électronique silencieux 1F 230V SanVis</t>
  </si>
  <si>
    <t>42.7545€</t>
  </si>
  <si>
    <t>EPN051</t>
  </si>
  <si>
    <t>Contact auxiliaire pour la signalisation à distance</t>
  </si>
  <si>
    <t>37.71€</t>
  </si>
  <si>
    <t>EPN510</t>
  </si>
  <si>
    <t>Télérupteur 1F 230V</t>
  </si>
  <si>
    <t>ESS221B</t>
  </si>
  <si>
    <t>Contacteur à commande manuelle 20A 2F 230V</t>
  </si>
  <si>
    <t xml:space="preserve">HAHAEM03 </t>
  </si>
  <si>
    <t>CONTACTEURS</t>
  </si>
  <si>
    <t>67.4352€</t>
  </si>
  <si>
    <t>ERC225</t>
  </si>
  <si>
    <t>Contacteur à commande manuelle 25A, 2F, 230V</t>
  </si>
  <si>
    <t>65.6112€</t>
  </si>
  <si>
    <t>ERC225S</t>
  </si>
  <si>
    <t>Contacteur Silencieux à commande manuelle 25A, 2F, 230V</t>
  </si>
  <si>
    <t>65.6064€</t>
  </si>
  <si>
    <t>ERC226</t>
  </si>
  <si>
    <t>Contacteur à commande manuelle 25A, 2O, 230V</t>
  </si>
  <si>
    <t>74.1936€</t>
  </si>
  <si>
    <t>ERD225</t>
  </si>
  <si>
    <t>Contacteur à commande manuelle 25A, 2F, 24V</t>
  </si>
  <si>
    <t>82.92€</t>
  </si>
  <si>
    <t>ESC080</t>
  </si>
  <si>
    <t>Contact auxiliaire 6A. 1F+1O</t>
  </si>
  <si>
    <t>41.7456€</t>
  </si>
  <si>
    <t>ESC225</t>
  </si>
  <si>
    <t>Contacteur 25A. 2F. 230V</t>
  </si>
  <si>
    <t>63.7728€</t>
  </si>
  <si>
    <t>ESC225S</t>
  </si>
  <si>
    <t>Contacteur Silencieux 25A. 2F. 230V</t>
  </si>
  <si>
    <t>64.4016€</t>
  </si>
  <si>
    <t>ESC226</t>
  </si>
  <si>
    <t>Contacteur 25A. 2O. 230V</t>
  </si>
  <si>
    <t>71.8032€</t>
  </si>
  <si>
    <t>ESC227</t>
  </si>
  <si>
    <t>Contacteur 25A. 1F+1O. 230V</t>
  </si>
  <si>
    <t>75.0864€</t>
  </si>
  <si>
    <t>ESD226</t>
  </si>
  <si>
    <t>Contacteur 25A. 2O. 24V</t>
  </si>
  <si>
    <t>86.9376€</t>
  </si>
  <si>
    <t>ESD227</t>
  </si>
  <si>
    <t>Contacteur 25A. 1F+1O. 24V</t>
  </si>
  <si>
    <t>90.7392€</t>
  </si>
  <si>
    <t>ERD225SDC</t>
  </si>
  <si>
    <t>Contacteur silencieux à commande manuelle 25A, 2F, 24V</t>
  </si>
  <si>
    <t>88.3632€</t>
  </si>
  <si>
    <t>ESD225S</t>
  </si>
  <si>
    <t>Contacteur Silencieux 25A. 2F. 24V</t>
  </si>
  <si>
    <t>80.448€</t>
  </si>
  <si>
    <t>FC011</t>
  </si>
  <si>
    <t>Jeu de 2 côtés quadro4 p 260mm h 600mm l 245.5mm RAL 9010 blanc paloma</t>
  </si>
  <si>
    <t xml:space="preserve">HATEQM03 </t>
  </si>
  <si>
    <t>QUADRO ARMOIRES</t>
  </si>
  <si>
    <t>58.3639€</t>
  </si>
  <si>
    <t>FC119</t>
  </si>
  <si>
    <t>Fond quadro4 p 260mm h 1800mm l 370mm RAL 9010 blanc paloma</t>
  </si>
  <si>
    <t>349.4051€</t>
  </si>
  <si>
    <t>FC416</t>
  </si>
  <si>
    <t>Kit panneaux de tête et de base quadro4 p 260mm h 73mm l 370mm IP43 IK08</t>
  </si>
  <si>
    <t>87.5394€</t>
  </si>
  <si>
    <t>FC446</t>
  </si>
  <si>
    <t>Kit panneaux tête et socle Quadro4 p260mm h150mm l370mm IP43 RAL7042 Gris</t>
  </si>
  <si>
    <t>172.1376€</t>
  </si>
  <si>
    <t>FM201</t>
  </si>
  <si>
    <t>Coffret quadro5 h 660mm l 700mm p 260mm</t>
  </si>
  <si>
    <t>342.4907€</t>
  </si>
  <si>
    <t>FM207</t>
  </si>
  <si>
    <t>Armoire quadro5 h 1710mm l 400mm p 260mm</t>
  </si>
  <si>
    <t>1099.1187€</t>
  </si>
  <si>
    <t>FC010</t>
  </si>
  <si>
    <t>Jeu de 2 côtés quadro4 p 260mm h 450mm l 245.5mm RAL 9010 blanc paloma</t>
  </si>
  <si>
    <t>51.5226€</t>
  </si>
  <si>
    <t>FC118</t>
  </si>
  <si>
    <t>Fond quadro4 p 260mm h 1650mm l 370mm RAL 9010 blanc paloma</t>
  </si>
  <si>
    <t>281.0738€</t>
  </si>
  <si>
    <t>FC219</t>
  </si>
  <si>
    <t>Fond quadro4 p 260mm h 1800mm l 620mm RAL 9010 blanc paloma</t>
  </si>
  <si>
    <t>602.7267€</t>
  </si>
  <si>
    <t>FC415</t>
  </si>
  <si>
    <t>Kit panneaux de tête et de base quadro4 p 260mm h 73mm l 370mm IP40 IK08</t>
  </si>
  <si>
    <t>68.5076€</t>
  </si>
  <si>
    <t>FC445</t>
  </si>
  <si>
    <t>Kit panneaux tête et socle Quadro4 p260mm h150mm l370mm IP40 RAL7042 Gris</t>
  </si>
  <si>
    <t>162.8109€</t>
  </si>
  <si>
    <t>FM200</t>
  </si>
  <si>
    <t>Coffret quadro5 h 510mm l 700mm p 260mm</t>
  </si>
  <si>
    <t>270.4786€</t>
  </si>
  <si>
    <t>FC116</t>
  </si>
  <si>
    <t>Fond quadro4 p 260mm h 1350mm l 370mm RAL 9010 blanc paloma</t>
  </si>
  <si>
    <t>253.2872€</t>
  </si>
  <si>
    <t>FC212</t>
  </si>
  <si>
    <t>Fond quadro4 p 260mm h 750mm l 620mm RAL 9010 blanc paloma</t>
  </si>
  <si>
    <t>175.3067€</t>
  </si>
  <si>
    <t>FC218</t>
  </si>
  <si>
    <t>Fond quadro4 p 260mm h 1650mm l 620mm RAL 9010 blanc paloma</t>
  </si>
  <si>
    <t>556.9532€</t>
  </si>
  <si>
    <t>FM109</t>
  </si>
  <si>
    <t>Armoire côtés et socle 2 pattes fixation quadro5 h 2010 x l 400 x p 260mm</t>
  </si>
  <si>
    <t>903.8041€</t>
  </si>
  <si>
    <t>FC110</t>
  </si>
  <si>
    <t>Fond quadro4 p 260mm h 450mm l 370mm RAL 9010 blanc paloma</t>
  </si>
  <si>
    <t>56.3171€</t>
  </si>
  <si>
    <t>FC115</t>
  </si>
  <si>
    <t>Fond quadro4 p 260mm h 1200mm l 370mm RAL 9010 blanc paloma</t>
  </si>
  <si>
    <t>217.451€</t>
  </si>
  <si>
    <t>FC211</t>
  </si>
  <si>
    <t>Fond quadro4 p 260mm h 600mm l 620mm RAL 9010 blanc paloma</t>
  </si>
  <si>
    <t>154.2797€</t>
  </si>
  <si>
    <t>FM309</t>
  </si>
  <si>
    <t>Armoire quadro5 h 2010mm l 900mm p 260mm</t>
  </si>
  <si>
    <t>2055.9117€</t>
  </si>
  <si>
    <t>FC016</t>
  </si>
  <si>
    <t>Jeu de 2 côtés quadro4 p 260mm h 1350mm l 245.5mm RAL 9010 blanc paloma</t>
  </si>
  <si>
    <t>98.2034€</t>
  </si>
  <si>
    <t>FC210</t>
  </si>
  <si>
    <t>Fond quadro4 p 260mm h 450mm l 620mm RAL 9010 blanc paloma</t>
  </si>
  <si>
    <t>112.2085€</t>
  </si>
  <si>
    <t>FM206</t>
  </si>
  <si>
    <t>Coffret quadro5 h 1410mm l 700mm p 260mm</t>
  </si>
  <si>
    <t>969.1727€</t>
  </si>
  <si>
    <t>FM308</t>
  </si>
  <si>
    <t>Armoire quadro5 h 1860mm l 700mm p 260mm</t>
  </si>
  <si>
    <t>1742.3256€</t>
  </si>
  <si>
    <t>FC015</t>
  </si>
  <si>
    <t>Jeu de 2 côtés quadro4 p 260mm h 1200mm l 245.5mm RAL 9010 blanc paloma</t>
  </si>
  <si>
    <t>88.5155€</t>
  </si>
  <si>
    <t>FM205</t>
  </si>
  <si>
    <t>Coffret quadro5 h 1260mm l 700mm p 260mm</t>
  </si>
  <si>
    <t>724.1759€</t>
  </si>
  <si>
    <t>FC014</t>
  </si>
  <si>
    <t>Jeu de 2 côtés quadro4 p 260mm h 1050mm l 245.5mm RAL 9010 blanc paloma</t>
  </si>
  <si>
    <t>80.066€</t>
  </si>
  <si>
    <t>FC216</t>
  </si>
  <si>
    <t>Fond quadro4 p 260mm h 1350mm l 620mm RAL 9010 blanc paloma</t>
  </si>
  <si>
    <t>383.5858€</t>
  </si>
  <si>
    <t>FC426</t>
  </si>
  <si>
    <t>Kit panneaux de tête et de base quadro4 p 260mm h73mm l 620mm IP43 IK08</t>
  </si>
  <si>
    <t>110.6046€</t>
  </si>
  <si>
    <t>FM108</t>
  </si>
  <si>
    <t>Armoire côtés et socle 2 pattes fixation quadro5 h 1860 x l 400 x p 260mm</t>
  </si>
  <si>
    <t>765.9676€</t>
  </si>
  <si>
    <t>FM204</t>
  </si>
  <si>
    <t>Coffret quadro5 h 1100mm l 700mm p 260mm</t>
  </si>
  <si>
    <t>625.3533€</t>
  </si>
  <si>
    <t>FC114</t>
  </si>
  <si>
    <t>Fond quadro4 p 260mm h 1050mm l 370mm RAL 9010 blanc paloma</t>
  </si>
  <si>
    <t>100.3878€</t>
  </si>
  <si>
    <t>FC215</t>
  </si>
  <si>
    <t>Fond quadro4 p 260mm h 1200mm l 620mm RAL 9010 blanc paloma</t>
  </si>
  <si>
    <t>290.8821€</t>
  </si>
  <si>
    <t>FC425</t>
  </si>
  <si>
    <t>Kit panneaux de tête et de base quadro4 p 260mm h 73mm l 620mm IP40 IK08</t>
  </si>
  <si>
    <t>94.1872€</t>
  </si>
  <si>
    <t>FM107</t>
  </si>
  <si>
    <t>Armoire côtés et socle 2 pattes fixation quadro5 h 1710 x l 450 x p 260mm</t>
  </si>
  <si>
    <t>628.1225€</t>
  </si>
  <si>
    <t>FM203</t>
  </si>
  <si>
    <t>Coffret quadro5 h 960mm l 700mm p 260mm</t>
  </si>
  <si>
    <t>521.1256€</t>
  </si>
  <si>
    <t>FC113</t>
  </si>
  <si>
    <t>Fond quadro4 p 260mm h 900mm l 370mm RAL 9010 blanc paloma</t>
  </si>
  <si>
    <t>91.8695€</t>
  </si>
  <si>
    <t>FC214</t>
  </si>
  <si>
    <t>Fond quadro4 p 260mm h 1050mm l 620mm RAL 9010 blanc paloma</t>
  </si>
  <si>
    <t>230.7294€</t>
  </si>
  <si>
    <t>FM307</t>
  </si>
  <si>
    <t>Armoire quadro5 h 1710mm l 700mm p 260mm</t>
  </si>
  <si>
    <t>1428.7696€</t>
  </si>
  <si>
    <t>FC013</t>
  </si>
  <si>
    <t>Jeu de 2 côtés quadro4 p 260mm h 950mm RAL 9010 blanc paloma</t>
  </si>
  <si>
    <t>71.8186€</t>
  </si>
  <si>
    <t>FC112</t>
  </si>
  <si>
    <t>Fond quadro4 p 260mm h 750mm l 370mm RAL 9010 blanc paloma</t>
  </si>
  <si>
    <t>79.937€</t>
  </si>
  <si>
    <t>FC213</t>
  </si>
  <si>
    <t>Fond quadro4 p 260mm h 900mm l 620mm RAL 9010 blanc paloma</t>
  </si>
  <si>
    <t>210.3302€</t>
  </si>
  <si>
    <t>FC456</t>
  </si>
  <si>
    <t>Kit panneaux tête et socle Quadro4 p260mm h150mm l620mm IP43 RAL7042 Gris</t>
  </si>
  <si>
    <t>238.4135€</t>
  </si>
  <si>
    <t>FM209</t>
  </si>
  <si>
    <t>Armoire quadro5 h 2010mm l 400mm p 260mm</t>
  </si>
  <si>
    <t>1581.5357€</t>
  </si>
  <si>
    <t>FC012</t>
  </si>
  <si>
    <t>Jeu de 2 côtés quadro4 p 260mm h 750mm l 245.5mm RAL 9010 blanc paloma</t>
  </si>
  <si>
    <t>64.2721€</t>
  </si>
  <si>
    <t>FC111</t>
  </si>
  <si>
    <t>Fond quadro4 p 260mm h 600mm l 370mm RAL 9010 blanc paloma</t>
  </si>
  <si>
    <t>73.1387€</t>
  </si>
  <si>
    <t>FC455</t>
  </si>
  <si>
    <t>Kit panneaux tête et socle Quadro4 p260mm h150mm l620mm IP40 RAL7042 Gris</t>
  </si>
  <si>
    <t>194.9491€</t>
  </si>
  <si>
    <t>FM202</t>
  </si>
  <si>
    <t>Coffret quadro5 h 810mm l 700mm p 260mm</t>
  </si>
  <si>
    <t>446.7227€</t>
  </si>
  <si>
    <t>FM208</t>
  </si>
  <si>
    <t>Armoire quadro5 h 1860mm l 400mm p 260mm</t>
  </si>
  <si>
    <t>1340.3487€</t>
  </si>
  <si>
    <t>FN437E</t>
  </si>
  <si>
    <t>Socle h100 cellule 900x800</t>
  </si>
  <si>
    <t>269.8336€</t>
  </si>
  <si>
    <t>FN444E</t>
  </si>
  <si>
    <t>Socle h100 cellule 1000x400</t>
  </si>
  <si>
    <t>223.2259€</t>
  </si>
  <si>
    <t>FN246E</t>
  </si>
  <si>
    <t>Panneau gainé vissé quadro+ h 1900mm l 1000mm</t>
  </si>
  <si>
    <t>381.324€</t>
  </si>
  <si>
    <t>FN433E</t>
  </si>
  <si>
    <t>Socle h100 cellule 700x800</t>
  </si>
  <si>
    <t>253.5452€</t>
  </si>
  <si>
    <t>FN216E</t>
  </si>
  <si>
    <t>Panneau gainé vissé quadro+ h 1900mm l 400mm</t>
  </si>
  <si>
    <t>227.298€</t>
  </si>
  <si>
    <t>FN516E</t>
  </si>
  <si>
    <t>Porte transparente quadro+ h 1900mm l 700 p 77mm</t>
  </si>
  <si>
    <t>945.5872€</t>
  </si>
  <si>
    <t>FN510E</t>
  </si>
  <si>
    <t>Porte transparente quadro+ h 1900mm l 450 p 77mm</t>
  </si>
  <si>
    <t>635.5142€</t>
  </si>
  <si>
    <t>FN506E</t>
  </si>
  <si>
    <t>Porte pleine quadro+ h 1900mm l 700 p 77mm</t>
  </si>
  <si>
    <t>480.1853€</t>
  </si>
  <si>
    <t>FN443E</t>
  </si>
  <si>
    <t>Socle h100 cellule 900x400</t>
  </si>
  <si>
    <t>210.012€</t>
  </si>
  <si>
    <t>FN459E</t>
  </si>
  <si>
    <t>Socle h100 cellule 1000x800</t>
  </si>
  <si>
    <t>278.3734€</t>
  </si>
  <si>
    <t>FN206E</t>
  </si>
  <si>
    <t>Panneau gainé vissé quadro+ h 1900mm l 300mm</t>
  </si>
  <si>
    <t>222.4906€</t>
  </si>
  <si>
    <t>FN442E</t>
  </si>
  <si>
    <t>Socle h100 cellule 400x800</t>
  </si>
  <si>
    <t>233.0815€</t>
  </si>
  <si>
    <t>FN441E</t>
  </si>
  <si>
    <t>Socle h100 cellule 700x400</t>
  </si>
  <si>
    <t>202.9686€</t>
  </si>
  <si>
    <t>FN376E</t>
  </si>
  <si>
    <t>Panneau arrière vissé quadro+ h 1900 l 800</t>
  </si>
  <si>
    <t>301.731€</t>
  </si>
  <si>
    <t>FN546E</t>
  </si>
  <si>
    <t>Porte pleine quadro+ h 1900mm l 400 p 77mm</t>
  </si>
  <si>
    <t>360.7786€</t>
  </si>
  <si>
    <t>FN440E</t>
  </si>
  <si>
    <t>Socle h100 cellule 400x600</t>
  </si>
  <si>
    <t>209.8486€</t>
  </si>
  <si>
    <t>FN366E</t>
  </si>
  <si>
    <t>Panneau arrière vissé quadro+ h 1900 l 600</t>
  </si>
  <si>
    <t>255.1878€</t>
  </si>
  <si>
    <t>FN536E</t>
  </si>
  <si>
    <t xml:space="preserve">Porte vitrée. quadro evo. Hauteur 1900mm  Largeur 900mm </t>
  </si>
  <si>
    <t>1180.5693€</t>
  </si>
  <si>
    <t>FN887E</t>
  </si>
  <si>
    <t>Traverse perforée quadro+ en tôle galvanisé h 25mm pour cellule 700mm</t>
  </si>
  <si>
    <t>32.3016€</t>
  </si>
  <si>
    <t>FN454E</t>
  </si>
  <si>
    <t>Socle h100 cellule 1000x600</t>
  </si>
  <si>
    <t>250.4578€</t>
  </si>
  <si>
    <t>FN356E</t>
  </si>
  <si>
    <t>Panneau arrière vissé quadro+ h 1900 l 400</t>
  </si>
  <si>
    <t>196.8497€</t>
  </si>
  <si>
    <t>FN526E</t>
  </si>
  <si>
    <t xml:space="preserve">Porte pleine. quadro evo. Hauteur 1900mm  Largeur 900mm </t>
  </si>
  <si>
    <t>646.9307€</t>
  </si>
  <si>
    <t>FN453E</t>
  </si>
  <si>
    <t>Socle h100 cellule 900x600</t>
  </si>
  <si>
    <t>242.7995€</t>
  </si>
  <si>
    <t>FN276E</t>
  </si>
  <si>
    <t>Panneau gainé vissé quadro+ h 1900mm l 700mm</t>
  </si>
  <si>
    <t>252.668€</t>
  </si>
  <si>
    <t>FN296E</t>
  </si>
  <si>
    <t>Panneau arrière vissé quadro+ h 1900 l 900</t>
  </si>
  <si>
    <t>303.9455€</t>
  </si>
  <si>
    <t>FN438E</t>
  </si>
  <si>
    <t>Socle h100 cellule 400x400</t>
  </si>
  <si>
    <t>186.4437€</t>
  </si>
  <si>
    <t>FN451E</t>
  </si>
  <si>
    <t>Socle h100 cellule 700x600</t>
  </si>
  <si>
    <t>228.1236€</t>
  </si>
  <si>
    <t>FN266E</t>
  </si>
  <si>
    <t>Panneau gainé vissé quadro+ h 1900mm l 200mm</t>
  </si>
  <si>
    <t>197.628€</t>
  </si>
  <si>
    <t>FN970E</t>
  </si>
  <si>
    <t>Traverse pour porte barres enveloppe Quadro P400</t>
  </si>
  <si>
    <t>35.0923€</t>
  </si>
  <si>
    <t>UX812</t>
  </si>
  <si>
    <t>Traverse perforée normale en tôle galva passivée pour Venezia 700x50</t>
  </si>
  <si>
    <t>30.2419€</t>
  </si>
  <si>
    <t>UX811</t>
  </si>
  <si>
    <t>Traverse perforée normale en tôle galva passivée pour Venezia 500x50</t>
  </si>
  <si>
    <t>22.962€</t>
  </si>
  <si>
    <t>UX810</t>
  </si>
  <si>
    <t>Traverse perforée normale en tôle galva passivée pour Venezia 300x50</t>
  </si>
  <si>
    <t>19.2296€</t>
  </si>
  <si>
    <t>FN10060R</t>
  </si>
  <si>
    <t>Toit ventilé IP31.quadro.1000x600</t>
  </si>
  <si>
    <t>239.6304€</t>
  </si>
  <si>
    <t>FN10080R</t>
  </si>
  <si>
    <t>Toit ventilé IP31.quadro.1000x800</t>
  </si>
  <si>
    <t>266.1614€</t>
  </si>
  <si>
    <t>FN7060R</t>
  </si>
  <si>
    <t>Toit ventilé IP31. quadro.system. 700x600</t>
  </si>
  <si>
    <t>223.4323€</t>
  </si>
  <si>
    <t>FN7080R</t>
  </si>
  <si>
    <t>Toit ventilé IP31. quadro.system. 700x800</t>
  </si>
  <si>
    <t>256.753€</t>
  </si>
  <si>
    <t>FN9060R</t>
  </si>
  <si>
    <t>Toit ventilé IP31. quadro.system. 900x600</t>
  </si>
  <si>
    <t>229.1943€</t>
  </si>
  <si>
    <t>FN9080R</t>
  </si>
  <si>
    <t>Toit ventilé IP31. quadro.system. 900x800</t>
  </si>
  <si>
    <t>258.4816€</t>
  </si>
  <si>
    <t>FN006E</t>
  </si>
  <si>
    <t>Armoire d'angle, quadro.plus 600x600x1900</t>
  </si>
  <si>
    <t>1729.5589€</t>
  </si>
  <si>
    <t>FN007E</t>
  </si>
  <si>
    <t>Armoire d'angle, quadro.plus 600x600x2100</t>
  </si>
  <si>
    <t>1781.4255€</t>
  </si>
  <si>
    <t>FN008E</t>
  </si>
  <si>
    <t>Armoire d'angle, quadro.plus 800x800x1900</t>
  </si>
  <si>
    <t>2613.4583€</t>
  </si>
  <si>
    <t>FN009E</t>
  </si>
  <si>
    <t>Armoire d'angle, quadro.plus 800x800x2100</t>
  </si>
  <si>
    <t>2691.8516€</t>
  </si>
  <si>
    <t>FN207E</t>
  </si>
  <si>
    <t>Plaque.quadro.avant/arrière..300x2100mm</t>
  </si>
  <si>
    <t>229.1599€</t>
  </si>
  <si>
    <t>FN217E</t>
  </si>
  <si>
    <t>Plaque,quadro,avant et arrière,400x2100mm</t>
  </si>
  <si>
    <t>234.1092€</t>
  </si>
  <si>
    <t>FN247E</t>
  </si>
  <si>
    <t>Plaque.quadro.avant/arrière..1000x2100mm</t>
  </si>
  <si>
    <t>392.7749€</t>
  </si>
  <si>
    <t>FN267E</t>
  </si>
  <si>
    <t>Plaque.quadro.avant/arrière..200x2100mm</t>
  </si>
  <si>
    <t>203.5792€</t>
  </si>
  <si>
    <t>FN277E</t>
  </si>
  <si>
    <t>Plaque,quadro,avant et arrière,700x2100mm</t>
  </si>
  <si>
    <t>260.2403€</t>
  </si>
  <si>
    <t>FN297E</t>
  </si>
  <si>
    <t>Paroi arrière.quadro.pleine. 900x2100mm</t>
  </si>
  <si>
    <t>313.0658€</t>
  </si>
  <si>
    <t>FN357E</t>
  </si>
  <si>
    <t>Paroi latéral. quadro plus. 2100x400mm</t>
  </si>
  <si>
    <t>202.745€</t>
  </si>
  <si>
    <t>FN367E</t>
  </si>
  <si>
    <t>Paroi latéral. quadro plus. 2100x600mm</t>
  </si>
  <si>
    <t>262.8332€</t>
  </si>
  <si>
    <t>FN377E</t>
  </si>
  <si>
    <t>Paroi latéral. quadro plus. 2100x800mm</t>
  </si>
  <si>
    <t>310.7954€</t>
  </si>
  <si>
    <t>FN507E</t>
  </si>
  <si>
    <t xml:space="preserve">Porte pleine. quadro evo. Hauteur 2100mm  Largeur 700mm </t>
  </si>
  <si>
    <t>494.5989€</t>
  </si>
  <si>
    <t>FN511E</t>
  </si>
  <si>
    <t xml:space="preserve">Porte vitrée. quadro evo. Hauteur 2100mm  Largeur 450mm </t>
  </si>
  <si>
    <t>654.5933€</t>
  </si>
  <si>
    <t>FN517E</t>
  </si>
  <si>
    <t xml:space="preserve">Porte vitrée. quadro evo. Hauteur 2100mm  Largeur 700mm </t>
  </si>
  <si>
    <t>973.9586€</t>
  </si>
  <si>
    <t>FN527E</t>
  </si>
  <si>
    <t xml:space="preserve">Porte pleine. quadro evo. Hauteur 2100mm  Largeur 900mm </t>
  </si>
  <si>
    <t>666.3237€</t>
  </si>
  <si>
    <t>FN537E</t>
  </si>
  <si>
    <t xml:space="preserve">Porte vitrée. quadro evo. Hauteur 2100mm  Largeur 900mm </t>
  </si>
  <si>
    <t>1216.0013€</t>
  </si>
  <si>
    <t>FN547E</t>
  </si>
  <si>
    <t xml:space="preserve">Porte pleine. quadro evo. Hauteur 2100mm  Largeur 450mm </t>
  </si>
  <si>
    <t>371.5888€</t>
  </si>
  <si>
    <t>FN004E</t>
  </si>
  <si>
    <t>Armoire d\'angle. quadro.evo 400x400x1900</t>
  </si>
  <si>
    <t>2235.0239€</t>
  </si>
  <si>
    <t>FN005E</t>
  </si>
  <si>
    <t>Armoire d\'angle. quadro.evo 400x400x2100</t>
  </si>
  <si>
    <t>2303.3681€</t>
  </si>
  <si>
    <t>FN013EW</t>
  </si>
  <si>
    <t>Cadres haut et bas armoire. quadro.evo 700x800</t>
  </si>
  <si>
    <t>923.0896€</t>
  </si>
  <si>
    <t>FN017EW</t>
  </si>
  <si>
    <t>Cadres haut et bas armoire. quadro.evo 900x800</t>
  </si>
  <si>
    <t>1087.0056€</t>
  </si>
  <si>
    <t>FN018EW</t>
  </si>
  <si>
    <t>Cadres haut et bas armoire. quadro.evo 450x400</t>
  </si>
  <si>
    <t>396.1891€</t>
  </si>
  <si>
    <t>FN020EW</t>
  </si>
  <si>
    <t>Cadres haut et bas armoire. quadro.evo 450x600</t>
  </si>
  <si>
    <t>478.4782€</t>
  </si>
  <si>
    <t>FN021EW</t>
  </si>
  <si>
    <t>Cadres haut et bas armoire. quadro.evo 700x400</t>
  </si>
  <si>
    <t>581.3385€</t>
  </si>
  <si>
    <t>FN022EW</t>
  </si>
  <si>
    <t>Cadres haut et bas armoire. quadro.evo 450x800</t>
  </si>
  <si>
    <t>635.7421€</t>
  </si>
  <si>
    <t>FN023EW</t>
  </si>
  <si>
    <t>Cadres haut et bas armoire. quadro.evo 900x400</t>
  </si>
  <si>
    <t>683.5323€</t>
  </si>
  <si>
    <t>FN024EW</t>
  </si>
  <si>
    <t>Cadres haut et bas armoire. quadro.evo 1000x400</t>
  </si>
  <si>
    <t>751.8765€</t>
  </si>
  <si>
    <t>FN029EW</t>
  </si>
  <si>
    <t>Cadres haut et bas armoire. quadro.evo 700x600</t>
  </si>
  <si>
    <t>697.4643€</t>
  </si>
  <si>
    <t>FN031EW</t>
  </si>
  <si>
    <t>Cadres haut et bas armoire. quadro.evo 900x600</t>
  </si>
  <si>
    <t>820.2293€</t>
  </si>
  <si>
    <t>FN032EW</t>
  </si>
  <si>
    <t>Cadres haut et bas armoire. quadro.evo 1000x600</t>
  </si>
  <si>
    <t>902.5098€</t>
  </si>
  <si>
    <t>FN037EW</t>
  </si>
  <si>
    <t>Cadres haut et bas armoire. quadro.evo 1000x800</t>
  </si>
  <si>
    <t>1196.4879€</t>
  </si>
  <si>
    <t>FN046EW</t>
  </si>
  <si>
    <t>Montants de structure. quadro.evo H1900</t>
  </si>
  <si>
    <t>307.9316€</t>
  </si>
  <si>
    <t>FN047EW</t>
  </si>
  <si>
    <t>Montants de structure. quadro.evo H2100</t>
  </si>
  <si>
    <t>335.1377€</t>
  </si>
  <si>
    <t>FN1900PD</t>
  </si>
  <si>
    <t>Le FN1900PD est un montant vertical pour portes partielles quadro evo de Hager. de dimensions de 1900mm de hauteur. Il équipe les ensembles de cellules jusqu\'à 4000A.</t>
  </si>
  <si>
    <t>122.7822€</t>
  </si>
  <si>
    <t>FN2100PD</t>
  </si>
  <si>
    <t>Le FN2100PD est un montant vertical pour portes partielles quadro evo de Hager. de dimensions de 2100mm de hauteur. Il équipe les ensembles de cellules jusqu\'à 4000A.</t>
  </si>
  <si>
    <t>136.7271€</t>
  </si>
  <si>
    <t>FN246EDW</t>
  </si>
  <si>
    <t>Pan.AvAr.perfo.q.evo1000x1900</t>
  </si>
  <si>
    <t>321.2057€</t>
  </si>
  <si>
    <t>FN247EDW</t>
  </si>
  <si>
    <t>Pan.AvAr.perfo.q.evo1000x2100</t>
  </si>
  <si>
    <t>FN276EDW</t>
  </si>
  <si>
    <t>Panneau Avant/arrière ajouré quadro.evo 700x1900mm</t>
  </si>
  <si>
    <t>246.218€</t>
  </si>
  <si>
    <t>FN277EDW</t>
  </si>
  <si>
    <t>Panneau Avant/arrière ajouré quadro.evo 700x2100mm</t>
  </si>
  <si>
    <t>252.8486€</t>
  </si>
  <si>
    <t>FN286EW</t>
  </si>
  <si>
    <t>Montant diviseur vertical. quadro.evo 1900mm</t>
  </si>
  <si>
    <t>205.0756€</t>
  </si>
  <si>
    <t>FN287EW</t>
  </si>
  <si>
    <t>Montant diviseur vertical. quadro.evo 2100mm</t>
  </si>
  <si>
    <t>225.6468€</t>
  </si>
  <si>
    <t>FN296EDW</t>
  </si>
  <si>
    <t>Panneau Avant/arrière ajouré quadro.evo 900x1900mm</t>
  </si>
  <si>
    <t>293.9953€</t>
  </si>
  <si>
    <t>FN297EDW</t>
  </si>
  <si>
    <t>Panneau Avant/arrière ajouré quadro.evo 900x2100mm</t>
  </si>
  <si>
    <t>303.9498€</t>
  </si>
  <si>
    <t>FN6020MDW</t>
  </si>
  <si>
    <t>Porte partielle DIN rail. quadro 600x200</t>
  </si>
  <si>
    <t>163.9246€</t>
  </si>
  <si>
    <t>FN6020PDW</t>
  </si>
  <si>
    <t>Porte partielle. quadro.evo 600x200</t>
  </si>
  <si>
    <t>119.4669€</t>
  </si>
  <si>
    <t>FN6030PDW</t>
  </si>
  <si>
    <t>Porte partielle. quadro.evo 600x300</t>
  </si>
  <si>
    <t>178.5317€</t>
  </si>
  <si>
    <t>FN6040PDW</t>
  </si>
  <si>
    <t>Porte partielle. quadro.evo 600x400</t>
  </si>
  <si>
    <t>155.2988€</t>
  </si>
  <si>
    <t>FN6040PGW</t>
  </si>
  <si>
    <t>Porte partielle vitrée. quadro.evo 600x400</t>
  </si>
  <si>
    <t>224.3181€</t>
  </si>
  <si>
    <t>FN6060PDW</t>
  </si>
  <si>
    <t>Porte partielle. quadro.evo 600x600</t>
  </si>
  <si>
    <t>171.226€</t>
  </si>
  <si>
    <t>FN6060PGW</t>
  </si>
  <si>
    <t>Porte partielle vitrée. quadro.evo 600x600</t>
  </si>
  <si>
    <t>336.4621€</t>
  </si>
  <si>
    <t>FN8020MDW</t>
  </si>
  <si>
    <t>Porte partielle DIN rail. quadro 800x200</t>
  </si>
  <si>
    <t>213.0306€</t>
  </si>
  <si>
    <t>FN8020PDW</t>
  </si>
  <si>
    <t>Porte partielle. quadro.evo 800x200</t>
  </si>
  <si>
    <t>139.3802€</t>
  </si>
  <si>
    <t>FN8030PDW</t>
  </si>
  <si>
    <t>Porte partielle. quadro.evo 800x300</t>
  </si>
  <si>
    <t>209.0617€</t>
  </si>
  <si>
    <t>FN8040PDW</t>
  </si>
  <si>
    <t>Porte partielle. quadro.evo 800x400</t>
  </si>
  <si>
    <t>195.1125€</t>
  </si>
  <si>
    <t>FN8040PGW</t>
  </si>
  <si>
    <t>Porte partielle vitrée. quadro.evo 800x400</t>
  </si>
  <si>
    <t>280.0547€</t>
  </si>
  <si>
    <t>FN8060PDW</t>
  </si>
  <si>
    <t>Porte partielle. quadro.evo 800x600</t>
  </si>
  <si>
    <t>230.2951€</t>
  </si>
  <si>
    <t>FN8060PGW</t>
  </si>
  <si>
    <t>Porte partielle vitrée. quadro.evo 800x600</t>
  </si>
  <si>
    <t>420.0799€</t>
  </si>
  <si>
    <t>FX289</t>
  </si>
  <si>
    <t>Rail supp.venez,horiz.300,gris</t>
  </si>
  <si>
    <t>80.3197€</t>
  </si>
  <si>
    <t>FX291</t>
  </si>
  <si>
    <t>Rail supp.venez,horiz.500,gris</t>
  </si>
  <si>
    <t>92.9273€</t>
  </si>
  <si>
    <t>FX292</t>
  </si>
  <si>
    <t>Rail supp.venez,horiz.700,gris</t>
  </si>
  <si>
    <t>105.5349€</t>
  </si>
  <si>
    <t>FX438</t>
  </si>
  <si>
    <t>Plinth. venezia. Evo.100x400x400mm. pour coffret métallique</t>
  </si>
  <si>
    <t>181.1805€</t>
  </si>
  <si>
    <t>FX450</t>
  </si>
  <si>
    <t>Plinth. venezia. Evo.100x600x600mm. pour coffret métallique</t>
  </si>
  <si>
    <t>203.7512€</t>
  </si>
  <si>
    <t>FX458</t>
  </si>
  <si>
    <t>Socle.venezia.Evo. 100x800x800mm. pour coffret métallique</t>
  </si>
  <si>
    <t>226.309€</t>
  </si>
  <si>
    <t>UC000FU</t>
  </si>
  <si>
    <t>Support de fixation. pour barres perforées. quadro.evo</t>
  </si>
  <si>
    <t>13.6912€</t>
  </si>
  <si>
    <t>UC1000BH</t>
  </si>
  <si>
    <t>Cloison arrière horizontale.quadro evo 800/1000A</t>
  </si>
  <si>
    <t>106.1971€</t>
  </si>
  <si>
    <t>UC1000V</t>
  </si>
  <si>
    <t>Cloison verticale.quadro evo 800/1000A</t>
  </si>
  <si>
    <t>UC1040FUL</t>
  </si>
  <si>
    <t>Cloison latérale complète. quadro.evo 100x400</t>
  </si>
  <si>
    <t>92.2651€</t>
  </si>
  <si>
    <t>UC1060FUL</t>
  </si>
  <si>
    <t>Cloison latérale complète. quadro.evo 100x600</t>
  </si>
  <si>
    <t>95.5804€</t>
  </si>
  <si>
    <t>UC1080FUL</t>
  </si>
  <si>
    <t>Cloison latérale complète. quadro.evo 100x800</t>
  </si>
  <si>
    <t>102.8689€</t>
  </si>
  <si>
    <t>UC150FL</t>
  </si>
  <si>
    <t>Cloison latérale avant. quadro.evo H150</t>
  </si>
  <si>
    <t>27.2276€</t>
  </si>
  <si>
    <t>UC1540BL</t>
  </si>
  <si>
    <t>Cloison latérale arrière. quadro.evo 150x400</t>
  </si>
  <si>
    <t>68.3743€</t>
  </si>
  <si>
    <t>UC1540FUL</t>
  </si>
  <si>
    <t>Cloison latérale complète. quadro.evo 150x400</t>
  </si>
  <si>
    <t>UC1560BL</t>
  </si>
  <si>
    <t>Cloison latérale arrière. quadro.evo 150x600</t>
  </si>
  <si>
    <t>71.6939€</t>
  </si>
  <si>
    <t>UC1560FUL</t>
  </si>
  <si>
    <t>Cloison latérale complète. quadro.evo 150x600</t>
  </si>
  <si>
    <t>98.8914€</t>
  </si>
  <si>
    <t>UC1580BL</t>
  </si>
  <si>
    <t>Cloison latérale arrière. quadro.evo 150x800</t>
  </si>
  <si>
    <t>78.3202€</t>
  </si>
  <si>
    <t>UC1580FUL</t>
  </si>
  <si>
    <t>Cloison latérale complète. quadro.evo 150x800</t>
  </si>
  <si>
    <t>UC1600BH</t>
  </si>
  <si>
    <t>Cloison arrière horizontale.quadro evo 1250/1600A</t>
  </si>
  <si>
    <t>112.8363€</t>
  </si>
  <si>
    <t>UC1600FB</t>
  </si>
  <si>
    <t>Montant fonctionnel avant et arrière. quadro.evo H1600 2 pièces</t>
  </si>
  <si>
    <t>UC1600V</t>
  </si>
  <si>
    <t>Cloison verticale.quadro evo 1250/1600A</t>
  </si>
  <si>
    <t>150.6591€</t>
  </si>
  <si>
    <t>UC1800F</t>
  </si>
  <si>
    <t>Montant fonctionnel avant. quadro.evo H1800 2 pièces</t>
  </si>
  <si>
    <t>UC1800FB</t>
  </si>
  <si>
    <t>Montant fonctionnel avant et arrière. quadro.evo H1800 2 pièces</t>
  </si>
  <si>
    <t>UC2000F</t>
  </si>
  <si>
    <t>Montant fonctionnel avant. quadro.evo H2000 2 pièces</t>
  </si>
  <si>
    <t>UC2000FB</t>
  </si>
  <si>
    <t>Montant fonctionnel avant et arrière. quadro.evo H2000 2 pièces</t>
  </si>
  <si>
    <t>341.7855€</t>
  </si>
  <si>
    <t>UC200C</t>
  </si>
  <si>
    <t>Cloison arrière coin.quadro evo H200</t>
  </si>
  <si>
    <t>UC200F</t>
  </si>
  <si>
    <t>Montant fonctionnel avant. quadro.evo H200 2 pièces</t>
  </si>
  <si>
    <t>UC200FL</t>
  </si>
  <si>
    <t>Cloison latérale avant. quadro.evo H200</t>
  </si>
  <si>
    <t>41.1639€</t>
  </si>
  <si>
    <t>UC200FU</t>
  </si>
  <si>
    <t>Traverse perforée en C. quadro.evo L200</t>
  </si>
  <si>
    <t>20.8808€</t>
  </si>
  <si>
    <t>UC2040BL</t>
  </si>
  <si>
    <t>Cloison latérale arrière. quadro.evo 200x400</t>
  </si>
  <si>
    <t>UC2040FUL</t>
  </si>
  <si>
    <t>Cloison latérale complète. quadro.evo 200x400</t>
  </si>
  <si>
    <t>UC2060BL</t>
  </si>
  <si>
    <t>Cloison latérale arrière. quadro.evo 200x600</t>
  </si>
  <si>
    <t>85.6173€</t>
  </si>
  <si>
    <t>UC2060FUL</t>
  </si>
  <si>
    <t>Cloison latérale complète. quadro.evo 200x600</t>
  </si>
  <si>
    <t>UC2080BL</t>
  </si>
  <si>
    <t>Cloison latérale arrière. quadro.evo 200x800</t>
  </si>
  <si>
    <t>UC2080FUL</t>
  </si>
  <si>
    <t>Cloison latérale complète. quadro.evo 200x800</t>
  </si>
  <si>
    <t>UC275FU</t>
  </si>
  <si>
    <t>Traverse perforée en C. quadro.evo L275</t>
  </si>
  <si>
    <t>UC300C</t>
  </si>
  <si>
    <t>Cloison arrière coin.quadro evo H300</t>
  </si>
  <si>
    <t>126.7726€</t>
  </si>
  <si>
    <t>UC300F</t>
  </si>
  <si>
    <t>Montant fonctionnel avant. quadro.evo H300 2 pièces</t>
  </si>
  <si>
    <t>34.529€</t>
  </si>
  <si>
    <t>UC300FL</t>
  </si>
  <si>
    <t>Cloison latérale avant. quadro.evo H300</t>
  </si>
  <si>
    <t>UC300FU</t>
  </si>
  <si>
    <t>Traverse perforée en C. quadro.evo L300</t>
  </si>
  <si>
    <t>UC3040BL</t>
  </si>
  <si>
    <t>Cloison latérale arrière. quadro.evo 300x400</t>
  </si>
  <si>
    <t>UC3040FUH</t>
  </si>
  <si>
    <t>Cloison horizontale complète. quadro.evo 300x400</t>
  </si>
  <si>
    <t>UC3040FUL</t>
  </si>
  <si>
    <t>Cloison latérale complète. quadro.evo 300x400</t>
  </si>
  <si>
    <t>UC3060BL</t>
  </si>
  <si>
    <t>Cloison latérale arrière. quadro.evo 300x600</t>
  </si>
  <si>
    <t>UC3060FUH</t>
  </si>
  <si>
    <t>Cloison horizontale complète. quadro.evo 300x600</t>
  </si>
  <si>
    <t>UC3060FUL</t>
  </si>
  <si>
    <t>Cloison latérale complète. quadro.evo 300x600</t>
  </si>
  <si>
    <t>UC3080BL</t>
  </si>
  <si>
    <t>Cloison latérale arrière. quadro.evo 300x800</t>
  </si>
  <si>
    <t>UC3080FUH</t>
  </si>
  <si>
    <t>Cloison horizontale complète. quadro.evo 300x800</t>
  </si>
  <si>
    <t>88.9455€</t>
  </si>
  <si>
    <t>UC3080FUL</t>
  </si>
  <si>
    <t>Cloison latérale complète. quadro.evo 300x800</t>
  </si>
  <si>
    <t>153.9787€</t>
  </si>
  <si>
    <t>UC350FH</t>
  </si>
  <si>
    <t>Cloison avant horizontale. quadro.evo L350</t>
  </si>
  <si>
    <t>58.4198€</t>
  </si>
  <si>
    <t>UC350FU</t>
  </si>
  <si>
    <t>Traverse perforée en C. quadro.evo L350</t>
  </si>
  <si>
    <t>22.317€</t>
  </si>
  <si>
    <t>UC350VD</t>
  </si>
  <si>
    <t>Cloison verticale.quadro evo L350 perforée</t>
  </si>
  <si>
    <t>54.438€</t>
  </si>
  <si>
    <t>UC3520V</t>
  </si>
  <si>
    <t>Cloison verticale. quadro.evo 350x200</t>
  </si>
  <si>
    <t>UC3540BH</t>
  </si>
  <si>
    <t>Cloison arrière horizontale. quadro.evo 350x400</t>
  </si>
  <si>
    <t>UC3540FUH</t>
  </si>
  <si>
    <t>Cloison horizontale complète. quadro.evo 350x400</t>
  </si>
  <si>
    <t>UC3560BH</t>
  </si>
  <si>
    <t>Cloison arrière horizontale. quadro.evo 600x400</t>
  </si>
  <si>
    <t>UC3560FUH</t>
  </si>
  <si>
    <t>Cloison horizontale complète. quadro.evo 350x600</t>
  </si>
  <si>
    <t>UC3580BH</t>
  </si>
  <si>
    <t>Cloison arrière horizontale. quadro.evo 800x400</t>
  </si>
  <si>
    <t>UC3580FUH</t>
  </si>
  <si>
    <t>Cloison horizontale complète. quadro.evo 350x800</t>
  </si>
  <si>
    <t>UC400F</t>
  </si>
  <si>
    <t>Montant fonctionnel avant. quadro.evo H400 2 pièces</t>
  </si>
  <si>
    <t>UC400FL</t>
  </si>
  <si>
    <t>Cloison latérale avant. quadro.evo H400</t>
  </si>
  <si>
    <t>47.8031€</t>
  </si>
  <si>
    <t>UC4040BL</t>
  </si>
  <si>
    <t>Cloison latérale arrière. quadro.evo 400x400</t>
  </si>
  <si>
    <t>UC4040FUL</t>
  </si>
  <si>
    <t>Cloison latérale complète. quadro.evo 400x400</t>
  </si>
  <si>
    <t>UC4060BL</t>
  </si>
  <si>
    <t>Cloison latérale arrière. quadro.evo 400x600</t>
  </si>
  <si>
    <t>UC4060FUL</t>
  </si>
  <si>
    <t>Cloison latérale complète. quadro.evo 400x600</t>
  </si>
  <si>
    <t>UC4080BL</t>
  </si>
  <si>
    <t>Cloison latérale arrière. quadro.evo 400x800</t>
  </si>
  <si>
    <t>116.143€</t>
  </si>
  <si>
    <t>UC4080FUL</t>
  </si>
  <si>
    <t>Cloison latérale complète. quadro.evo 400x800</t>
  </si>
  <si>
    <t>UC475FU</t>
  </si>
  <si>
    <t>Traverse perforée en C. quadro.evo L475</t>
  </si>
  <si>
    <t>25.9161€</t>
  </si>
  <si>
    <t>UC500FU</t>
  </si>
  <si>
    <t>Traverse perforée en C. quadro.evo L500</t>
  </si>
  <si>
    <t>UC600BU</t>
  </si>
  <si>
    <t>Montant fonctionnel arrier. quadro.evo H600</t>
  </si>
  <si>
    <t>UC600F</t>
  </si>
  <si>
    <t>Montant fonctionnel avant. quadro.evo H600 2 pièces</t>
  </si>
  <si>
    <t>UC600FH</t>
  </si>
  <si>
    <t>Cloison avant horizontale. quadro.evo L600</t>
  </si>
  <si>
    <t>65.059€</t>
  </si>
  <si>
    <t>UC600FL</t>
  </si>
  <si>
    <t>Cloison latérale avant. quadro.evo H600</t>
  </si>
  <si>
    <t>UC600FU</t>
  </si>
  <si>
    <t>Traverse perforée en C. quadro.evo L600</t>
  </si>
  <si>
    <t>33.1014€</t>
  </si>
  <si>
    <t>UC600VD</t>
  </si>
  <si>
    <t>Cloison verticale.quadro evo L700 perforée</t>
  </si>
  <si>
    <t>82.3063€</t>
  </si>
  <si>
    <t>UC6015V</t>
  </si>
  <si>
    <t>cloison verticale. quadro.evo 600x150</t>
  </si>
  <si>
    <t>51.1184€</t>
  </si>
  <si>
    <t>UC6020V</t>
  </si>
  <si>
    <t>Cloison verticale. quadro.evo 600x200</t>
  </si>
  <si>
    <t>UC6030V</t>
  </si>
  <si>
    <t>cloison verticale. quadro.evo 600x300</t>
  </si>
  <si>
    <t>UC6040BH</t>
  </si>
  <si>
    <t>Cloison arrière horizontale. quadro.evo 350x600</t>
  </si>
  <si>
    <t>UC6040BL</t>
  </si>
  <si>
    <t>Cloison latérale arrière. quadro.evo 600x400</t>
  </si>
  <si>
    <t>UC6040FUH</t>
  </si>
  <si>
    <t>Cloison horizontale complète. quadro.evo 600x400</t>
  </si>
  <si>
    <t>75.0178€</t>
  </si>
  <si>
    <t>UC6040FUL</t>
  </si>
  <si>
    <t>Cloison latérale complète. quadro.evo 600x600</t>
  </si>
  <si>
    <t>UC6040V</t>
  </si>
  <si>
    <t>Cloison verticale. quadro.evo 600x400</t>
  </si>
  <si>
    <t>UC6060BH</t>
  </si>
  <si>
    <t>Cloison arrière horizontale. quadro.evo 600x600</t>
  </si>
  <si>
    <t>109.5167€</t>
  </si>
  <si>
    <t>UC6060BL</t>
  </si>
  <si>
    <t>Cloison latérale arrière. quadro.evo 600x600</t>
  </si>
  <si>
    <t>UC6060FUH</t>
  </si>
  <si>
    <t>Cloison horizontale complète. quadro.evo 600x600</t>
  </si>
  <si>
    <t>UC6060FUL</t>
  </si>
  <si>
    <t>174.5456€</t>
  </si>
  <si>
    <t>UC6060HWT</t>
  </si>
  <si>
    <t>Séparation ACB HWT. quadro.evo. 600x600 mm</t>
  </si>
  <si>
    <t>198.4407€</t>
  </si>
  <si>
    <t>UC6060V</t>
  </si>
  <si>
    <t>Cloison verticale. quadro.evo 600x600</t>
  </si>
  <si>
    <t>UC608040HWT</t>
  </si>
  <si>
    <t>Séparation ACB HWT. quadro.evo. 600x800 mm 4000A</t>
  </si>
  <si>
    <t>266.7892€</t>
  </si>
  <si>
    <t>UC6080BH</t>
  </si>
  <si>
    <t>Cloison arrière horizontale. quadro.evo 800x800</t>
  </si>
  <si>
    <t>UC6080BL</t>
  </si>
  <si>
    <t>Cloison latérale arrière. quadro.evo 600x800</t>
  </si>
  <si>
    <t>160.6093€</t>
  </si>
  <si>
    <t>UC6080FUH</t>
  </si>
  <si>
    <t>Cloison horizontale complète. quadro.evo 600x800</t>
  </si>
  <si>
    <t>UC6080FUL</t>
  </si>
  <si>
    <t>Cloison latérale complète. quadro.evo 600x800</t>
  </si>
  <si>
    <t>208.3952€</t>
  </si>
  <si>
    <t>UC6080HWT</t>
  </si>
  <si>
    <t>Séparation ACB HWT. quadro.evo. 600x800 mm</t>
  </si>
  <si>
    <t>UC700FU</t>
  </si>
  <si>
    <t>Traverse perforée en C. quadro.evo L700</t>
  </si>
  <si>
    <t>UC766PDT</t>
  </si>
  <si>
    <t>Porte partielle ACB HWT 2000 A. quadro.evo. 600x600 mm</t>
  </si>
  <si>
    <t>262.0291€</t>
  </si>
  <si>
    <t>UC786PDT</t>
  </si>
  <si>
    <t>Porte partielle ACB HWT 2000 A. quadro.evo. 800x600 mm</t>
  </si>
  <si>
    <t>352.9655€</t>
  </si>
  <si>
    <t>UC800BU</t>
  </si>
  <si>
    <t>Montant fonctionnel arrier. quadro.evo H800</t>
  </si>
  <si>
    <t>61.7394€</t>
  </si>
  <si>
    <t>UC800FH</t>
  </si>
  <si>
    <t>Cloison avant horizontale. quadro.evo L800</t>
  </si>
  <si>
    <t>UC800FU</t>
  </si>
  <si>
    <t>Traverse perforée en C. quadro.evo L800</t>
  </si>
  <si>
    <t>35.2643€</t>
  </si>
  <si>
    <t>UC800VD</t>
  </si>
  <si>
    <t>Cloison verticale.quadro evo L900 perforée</t>
  </si>
  <si>
    <t>UC8015V</t>
  </si>
  <si>
    <t>cloison verticale. quadro.evo 800x150</t>
  </si>
  <si>
    <t>UC8020V</t>
  </si>
  <si>
    <t>Cloison verticale. quadro.evo 800x200</t>
  </si>
  <si>
    <t>UC8030V</t>
  </si>
  <si>
    <t>cloison verticale. quadro.evo 800x300</t>
  </si>
  <si>
    <t>UC8040BH</t>
  </si>
  <si>
    <t>Cloison arrière horizontale. quadro.evo 350x800</t>
  </si>
  <si>
    <t>UC8040FUH</t>
  </si>
  <si>
    <t>Cloison horizontale complète. quadro.evo 800x400</t>
  </si>
  <si>
    <t>UC8040V</t>
  </si>
  <si>
    <t>Cloison verticale. quadro.evo 800x400</t>
  </si>
  <si>
    <t>UC8060BH</t>
  </si>
  <si>
    <t>Cloison arrière horizontale. quadro.evo 600x800</t>
  </si>
  <si>
    <t>UC8060FUH</t>
  </si>
  <si>
    <t>Cloison horizontale complète. quadro.evo 800x600</t>
  </si>
  <si>
    <t>UC8060V</t>
  </si>
  <si>
    <t>Cloison verticale. quadro.evo 800x600</t>
  </si>
  <si>
    <t>UC8080BH</t>
  </si>
  <si>
    <t>146.6773€</t>
  </si>
  <si>
    <t>UC8080FUH</t>
  </si>
  <si>
    <t>Cloison horizontale complète. quadro.evo 800x800</t>
  </si>
  <si>
    <t>UC856E</t>
  </si>
  <si>
    <t>Vis.quadro system.seul-autotaraudeuse.pour coffret métallique.M6x10mm.25pièces</t>
  </si>
  <si>
    <t>13.9535€</t>
  </si>
  <si>
    <t>UC886PDT</t>
  </si>
  <si>
    <t>Porte partielle ACB HWT 4000 A. quadro.evo. 800x600 mm</t>
  </si>
  <si>
    <t>347.7453€</t>
  </si>
  <si>
    <t>UC900FU</t>
  </si>
  <si>
    <t>Traverse perforée en C. quadro.evo L900</t>
  </si>
  <si>
    <t>UC200CB</t>
  </si>
  <si>
    <t>Boîte de connexion avale forme 4b quadro.evo H200</t>
  </si>
  <si>
    <t>UC300CB</t>
  </si>
  <si>
    <t>Boîte de connexion avale forme 4b quadro.evo H300</t>
  </si>
  <si>
    <t>UC1000BU</t>
  </si>
  <si>
    <t>Montant fonctionnel arrier. quadro.evo H1000</t>
  </si>
  <si>
    <t>UC300BU</t>
  </si>
  <si>
    <t>Montant fonctionnel arrier. quadro.evo H300</t>
  </si>
  <si>
    <t>34.443€</t>
  </si>
  <si>
    <t>UC400BU</t>
  </si>
  <si>
    <t>Montant fonctionnel arrier. quadro.evo H400</t>
  </si>
  <si>
    <t>UC500BU</t>
  </si>
  <si>
    <t>Montant fonctionnel arrier. quadro.evo H500</t>
  </si>
  <si>
    <t>UC700BU</t>
  </si>
  <si>
    <t>Montant fonctionnel arrier. quadro.evo H700</t>
  </si>
  <si>
    <t>UC900BU</t>
  </si>
  <si>
    <t>Montant fonctionnel arrier. quadro.evo H900</t>
  </si>
  <si>
    <t>UC6040DHW1</t>
  </si>
  <si>
    <t>Séparation pour ACB hw1. quadro evo. forme 3b. débrochable. largeur 600mm</t>
  </si>
  <si>
    <t>198.4235€</t>
  </si>
  <si>
    <t>UC6040FHW1</t>
  </si>
  <si>
    <t>Séparation pour ACB hw1. quadro evo. forme 3b. fixe. largeur 600mm</t>
  </si>
  <si>
    <t>UC60HDHW1</t>
  </si>
  <si>
    <t>Séparation pour ACB hw1. quadro evo. forme 4b. débrochable. largeur 600mm</t>
  </si>
  <si>
    <t>99.2139€</t>
  </si>
  <si>
    <t>UC60HFHW1</t>
  </si>
  <si>
    <t>Séparation pour ACB hw1. quadro evo. forme 4b. fixe. largeur 600mm</t>
  </si>
  <si>
    <t>UC8040DHW1</t>
  </si>
  <si>
    <t>Séparation pour ACB hw1. quadro evo. forme 3b. débrochable. largeur 800mm</t>
  </si>
  <si>
    <t>266.8193€</t>
  </si>
  <si>
    <t>UC8040FHW1</t>
  </si>
  <si>
    <t>Séparation pour ACB hw1. quadro evo. forme 3b. fixe. largeur 800mm</t>
  </si>
  <si>
    <t>UC80HDHW1</t>
  </si>
  <si>
    <t>Séparation pour ACB hw1. quadro evo. forme 4b. débrochable. largeur 800mm</t>
  </si>
  <si>
    <t>116.4483€</t>
  </si>
  <si>
    <t>UC80HFHW1</t>
  </si>
  <si>
    <t>Séparation pour ACB hw1. quadro evo. forme 4b. fixe. largeur 800mm</t>
  </si>
  <si>
    <t>UC3080BSO</t>
  </si>
  <si>
    <t>Cloison latérale arrière pour jeu de barre optimisé en prof.quadro evo 300x800</t>
  </si>
  <si>
    <t>190.7953€</t>
  </si>
  <si>
    <t>UC3530V</t>
  </si>
  <si>
    <t>Cloison verticale. quadro evo 350x300</t>
  </si>
  <si>
    <t>62.7671€</t>
  </si>
  <si>
    <t>UC6060DHW2</t>
  </si>
  <si>
    <t>Séparation pour ACB hw2. quadro evo. forme 3b. débrochable. largeur 600mm</t>
  </si>
  <si>
    <t>192.6443€</t>
  </si>
  <si>
    <t>UC6060FHW2</t>
  </si>
  <si>
    <t>Séparation pour ACB hw2. quadro evo. forme 3b. fixe. largeur 600mm</t>
  </si>
  <si>
    <t>UC60HDHW2</t>
  </si>
  <si>
    <t>Séparation pour ACB hw2. quadro evo. forme 4b. débrochable. largeur 800mm</t>
  </si>
  <si>
    <t>113.0556€</t>
  </si>
  <si>
    <t>UC60HFHW2</t>
  </si>
  <si>
    <t>Séparation pour ACB hw2. quadro evo. forme 4b. fixe. largeur 800mm</t>
  </si>
  <si>
    <t>UC8060DHW2</t>
  </si>
  <si>
    <t>Séparation pour ACB hw2. quadro evo. forme 3b. débrochable. largeur 800mm</t>
  </si>
  <si>
    <t>259.0492€</t>
  </si>
  <si>
    <t>UC8060FHW2</t>
  </si>
  <si>
    <t>Séparation pour ACB hw2. quadro evo. forme 3b. fixe. largeur 800mm</t>
  </si>
  <si>
    <t>UC80HDHW2</t>
  </si>
  <si>
    <t>Séparation pour ACB hw2. quadro evo. forme 4b. débrochable. largeur 600mm</t>
  </si>
  <si>
    <t>96.3286€</t>
  </si>
  <si>
    <t>UC80HFHW2</t>
  </si>
  <si>
    <t>Séparation pour ACB hw2. quadro evo. forme 4b. fixe. largeur 600mm</t>
  </si>
  <si>
    <t>UC80DHW4</t>
  </si>
  <si>
    <t>Séparation pour ACB hw4. quadro evo. forme 3b. débrochable. largeur 800mm</t>
  </si>
  <si>
    <t>256.7917€</t>
  </si>
  <si>
    <t>UC80FHW4</t>
  </si>
  <si>
    <t>Séparation pour ACB hw4. quadro evo. forme 3b. fixe. largeur 800mm</t>
  </si>
  <si>
    <t>UC80HDHW4</t>
  </si>
  <si>
    <t>Séparation pour ACB hw4. quadro evo. forme 4b. débrochable. largeur 800mm</t>
  </si>
  <si>
    <t>113.4598€</t>
  </si>
  <si>
    <t>UC80HFHW4</t>
  </si>
  <si>
    <t>Séparation pour ACB hw4. quadro evo. forme 4b. fixe. largeur 800mm</t>
  </si>
  <si>
    <t>FN10040AL</t>
  </si>
  <si>
    <t>Plaque entrée pleine en AL plaque passe câbles ouverte basse quadro evo 1000x400</t>
  </si>
  <si>
    <t>35.1353€</t>
  </si>
  <si>
    <t>FN10040CEW</t>
  </si>
  <si>
    <t>Plaque passe câbles ouverte basse pour quadro evo  1000x400</t>
  </si>
  <si>
    <t>80.9045€</t>
  </si>
  <si>
    <t>FN10040DR</t>
  </si>
  <si>
    <t>Plaque d\'entrée avec prédécoupes pour plaque passe câbles ouverte basse quadro evo 1000x400</t>
  </si>
  <si>
    <t>FN10040VTW</t>
  </si>
  <si>
    <t>Plaque supérieure ventilée IP30 quadro evo 1000x400</t>
  </si>
  <si>
    <t>97.5756€</t>
  </si>
  <si>
    <t>FN10060AL</t>
  </si>
  <si>
    <t>Plaque entrée pleine en AL plaque passe câbles ouverte basse quadro evo 1000x600</t>
  </si>
  <si>
    <t>59.6367€</t>
  </si>
  <si>
    <t>FN10060CEW</t>
  </si>
  <si>
    <t>Plaque passe câbles ouverte basse pour quadro evo  1000x600</t>
  </si>
  <si>
    <t>138.6836€</t>
  </si>
  <si>
    <t>FN10060DR</t>
  </si>
  <si>
    <t>Plaque d\'entrée avec prédécoupes pour plaque passe câbles ouverte basse quadro evo 1000x600</t>
  </si>
  <si>
    <t>FN10060RWN</t>
  </si>
  <si>
    <t>Toit ventilé IP31 quadro evo 1000x600</t>
  </si>
  <si>
    <t>125.2805€</t>
  </si>
  <si>
    <t>FN10060VTW</t>
  </si>
  <si>
    <t>Plaque supérieure ventilée IP30 quadro evo 1000x600</t>
  </si>
  <si>
    <t>125.474€</t>
  </si>
  <si>
    <t>FN10080AL</t>
  </si>
  <si>
    <t>Plaque entrée pleine en AL plaque passe câbles ouverte basse quadro evo 1000x800</t>
  </si>
  <si>
    <t>65.6481€</t>
  </si>
  <si>
    <t>FN10080CEW</t>
  </si>
  <si>
    <t>Plaque passe câbles ouverte basse pour quadro evo  1000x800</t>
  </si>
  <si>
    <t>152.0867€</t>
  </si>
  <si>
    <t>FN10080DR</t>
  </si>
  <si>
    <t>Plaque d\'entrée avec prédécoupes pour plaque passe câbles ouverte basse quadro evo 1000x800</t>
  </si>
  <si>
    <t>FN10080RWN</t>
  </si>
  <si>
    <t>Toit ventilé IP31 quadro evo 1000x800</t>
  </si>
  <si>
    <t>140.0725€</t>
  </si>
  <si>
    <t>FN10080VTW</t>
  </si>
  <si>
    <t>Plaque supérieure ventilée IP30 quadro evo 1000x800</t>
  </si>
  <si>
    <t>139.9994€</t>
  </si>
  <si>
    <t>FN4540AL</t>
  </si>
  <si>
    <t>Plaque entrée pleine en AL plaque passe câbles ouverte basse quadro evo 450x400</t>
  </si>
  <si>
    <t>27.2792€</t>
  </si>
  <si>
    <t>FN4540CEW</t>
  </si>
  <si>
    <t>Plaque passe câbles ouverte basse pour quadro evo  450x400</t>
  </si>
  <si>
    <t>63.3347€</t>
  </si>
  <si>
    <t>FN4540DR</t>
  </si>
  <si>
    <t>Plaque entrée prédécoupes plaque passe câbles ouverte basse quadro evo 450x400</t>
  </si>
  <si>
    <t>FN4560AL</t>
  </si>
  <si>
    <t>Plaque entrée pleine en AL plaque passe câbles ouverte basse quadro evo 450x600</t>
  </si>
  <si>
    <t>34.6795€</t>
  </si>
  <si>
    <t>FN4560CEW</t>
  </si>
  <si>
    <t>Plaque passe câbles ouverte basse pour quadro evo  450x600</t>
  </si>
  <si>
    <t>80.4358€</t>
  </si>
  <si>
    <t>FN4560DR</t>
  </si>
  <si>
    <t>Plaque entrée prédécoupes plaque passe câbles ouverte basse quadro evo 450x600</t>
  </si>
  <si>
    <t>FN4580AL</t>
  </si>
  <si>
    <t>Plaque entrée pleine en AL plaque passe câbles ouverte basse quadro evo 450x800</t>
  </si>
  <si>
    <t>37.9088€</t>
  </si>
  <si>
    <t>FN4580CEW</t>
  </si>
  <si>
    <t>Plaque passe câbles ouverte basse pour quadro evo  450x800</t>
  </si>
  <si>
    <t>88.7606€</t>
  </si>
  <si>
    <t>FN4580DR</t>
  </si>
  <si>
    <t>Plaque entrée prédécoupes plaque passe câbles ouverte basse quadro evo 450x800</t>
  </si>
  <si>
    <t>FN7040AL</t>
  </si>
  <si>
    <t>Plaque entrée pleine en AL plaque passe câbles ouverte basse quadro evo 700x400</t>
  </si>
  <si>
    <t>29.5883€</t>
  </si>
  <si>
    <t>FN7040CEW</t>
  </si>
  <si>
    <t>Plaque passe câbles ouverte basse pour quadro evo  700x400</t>
  </si>
  <si>
    <t>68.4216€</t>
  </si>
  <si>
    <t>FN7040DR</t>
  </si>
  <si>
    <t>Plaque entrée prédécoupes plaque passe câbles ouverte basse quadro evo 700x400</t>
  </si>
  <si>
    <t>FN7040VTW</t>
  </si>
  <si>
    <t>Plaque supérieure ventilée IP30 quadro evo 700x400</t>
  </si>
  <si>
    <t>66.564€</t>
  </si>
  <si>
    <t>FN7060AL</t>
  </si>
  <si>
    <t>Plaque entrée pleine en AL plaque passe câbles ouverte basse quadro evo 700x600</t>
  </si>
  <si>
    <t>40.2222€</t>
  </si>
  <si>
    <t>FN7060CEW</t>
  </si>
  <si>
    <t>Plaque passe câbles ouverte basse pour quadro evo  700x600</t>
  </si>
  <si>
    <t>93.8475€</t>
  </si>
  <si>
    <t>FN7060DR</t>
  </si>
  <si>
    <t>Plaque entrée prédécoupes plaque passe câbles ouverte basse quadro evo 700x600</t>
  </si>
  <si>
    <t>FN7060RWN</t>
  </si>
  <si>
    <t>Toit ventilé IP31 quadro evo 700x600</t>
  </si>
  <si>
    <t>99.9578€</t>
  </si>
  <si>
    <t>FN7060VTW</t>
  </si>
  <si>
    <t>Plaque supérieure ventilée IP30 quadro evo 700x600</t>
  </si>
  <si>
    <t>90.8676€</t>
  </si>
  <si>
    <t>FN7080AL</t>
  </si>
  <si>
    <t>Plaque entrée pleine en AL plaque passe câbles ouverte basse quadro evo 700x800</t>
  </si>
  <si>
    <t>44.8447€</t>
  </si>
  <si>
    <t>FN7080CEW</t>
  </si>
  <si>
    <t>Plaque passe câbles ouverte basse pour quadro evo  700x800</t>
  </si>
  <si>
    <t>103.5526€</t>
  </si>
  <si>
    <t>FN7080DR</t>
  </si>
  <si>
    <t>Plaque entrée prédécoupes plaque passe câbles ouverte basse quadro evo 700x800</t>
  </si>
  <si>
    <t>FN7080RWN</t>
  </si>
  <si>
    <t>Toit ventilé IP31 quadro evo 700x800</t>
  </si>
  <si>
    <t>110.467€</t>
  </si>
  <si>
    <t>FN7080VTW</t>
  </si>
  <si>
    <t>Plaque supérieure ventilée IP30 quadro evo 700x800</t>
  </si>
  <si>
    <t>100.4265€</t>
  </si>
  <si>
    <t>FN9040AL</t>
  </si>
  <si>
    <t>Plaque entrée pleine en AL plaque passe câbles ouverte basse quadro evo 900x400</t>
  </si>
  <si>
    <t>34.2108€</t>
  </si>
  <si>
    <t>FN9040CEW</t>
  </si>
  <si>
    <t>Plaque passe câbles ouverte basse pour quadro evo  900x400</t>
  </si>
  <si>
    <t>FN9040DR</t>
  </si>
  <si>
    <t>Plaque entrée prédécoupes plaque passe câbles ouverte basse quadro evo 900x400</t>
  </si>
  <si>
    <t>FN9040VTW</t>
  </si>
  <si>
    <t>Plaque supérieure ventilée IP30 quadro evo 900x400</t>
  </si>
  <si>
    <t>79.2103€</t>
  </si>
  <si>
    <t>FN9060AL</t>
  </si>
  <si>
    <t>Plaque entrée pleine en AL plaque passe câbles ouverte basse quadro evo 900x600</t>
  </si>
  <si>
    <t>47.6182€</t>
  </si>
  <si>
    <t>FN9060CEW</t>
  </si>
  <si>
    <t>Plaque passe câbles ouverte basse pour quadro evo  900x600</t>
  </si>
  <si>
    <t>111.8731€</t>
  </si>
  <si>
    <t>FN9060DR</t>
  </si>
  <si>
    <t>Plaque entrée prédécoupes plaque passe câbles ouverte basse quadro evo 900x600</t>
  </si>
  <si>
    <t>FN9060RWN</t>
  </si>
  <si>
    <t>Toit ventilé IP31 quadro evo 900x600</t>
  </si>
  <si>
    <t>118.8262€</t>
  </si>
  <si>
    <t>FN9060VTW</t>
  </si>
  <si>
    <t>Plaque supérieure ventilée IP30 quadro evo 900x600</t>
  </si>
  <si>
    <t>108.0203€</t>
  </si>
  <si>
    <t>FN9080AL</t>
  </si>
  <si>
    <t>Plaque entrée pleine en AL plaque passe câbles ouverte basse quadro evo 900x800</t>
  </si>
  <si>
    <t>53.1695€</t>
  </si>
  <si>
    <t>FN9080CEW</t>
  </si>
  <si>
    <t>Plaque passe câbles ouverte basse pour quadro evo  900x800</t>
  </si>
  <si>
    <t>123.8916€</t>
  </si>
  <si>
    <t>FN9080DR</t>
  </si>
  <si>
    <t>Plaque entrée prédécoupes plaque passe câbles ouverte basse quadro evo 900x800</t>
  </si>
  <si>
    <t>FN9080RWN</t>
  </si>
  <si>
    <t>Toit ventilé IP31 quadro evo 900x800</t>
  </si>
  <si>
    <t>131.1672€</t>
  </si>
  <si>
    <t>FN9080VTW</t>
  </si>
  <si>
    <t>Plaque supérieure ventilée IP30 quadro evo 900x800</t>
  </si>
  <si>
    <t>119.2433€</t>
  </si>
  <si>
    <t>UC3540FPW1</t>
  </si>
  <si>
    <t>Séparation pour Boitier moulé h3+ PW1600 en version fixe dans l\'armoire quadro evo pour une forme 4b et une largeur d\'armoire de  350mm</t>
  </si>
  <si>
    <t>472.7377€</t>
  </si>
  <si>
    <t>UC6040FPW1</t>
  </si>
  <si>
    <t>Séparation pour Boitier moulé h3+ PW1600 en version fixe dans l\'armoire quadro evo pour une forme 4b et une largeur d\'armoire de  600mm</t>
  </si>
  <si>
    <t>630.3155€</t>
  </si>
  <si>
    <t>UC8040FPW1</t>
  </si>
  <si>
    <t>Séparation pour Boitier moulé h3+ PW1600 en version fixe dans l\'armoire quadro evo pour une forme 3b et une largeur d\'armoire de 800mm</t>
  </si>
  <si>
    <t>787.8976€</t>
  </si>
  <si>
    <t>FM304</t>
  </si>
  <si>
    <t>Coffret quadro5 h 1100mm l 900mm p 260mm</t>
  </si>
  <si>
    <t>781.4046€</t>
  </si>
  <si>
    <t>FM305</t>
  </si>
  <si>
    <t>Coffret quadro5 h 1260mm l 900mm p 260mm</t>
  </si>
  <si>
    <t>904.892€</t>
  </si>
  <si>
    <t>FM306</t>
  </si>
  <si>
    <t>Coffret quadro5 h 1410mm l 900mm p 260mm</t>
  </si>
  <si>
    <t>1211.0133€</t>
  </si>
  <si>
    <t>FN000PL</t>
  </si>
  <si>
    <t>4 Angle de socle quadro evo H100</t>
  </si>
  <si>
    <t>49.3597€</t>
  </si>
  <si>
    <t>FN1000PL</t>
  </si>
  <si>
    <t>2 Panneasux de socle quadro evo W1000</t>
  </si>
  <si>
    <t>112.1784€</t>
  </si>
  <si>
    <t>FN400PL</t>
  </si>
  <si>
    <t>2 Panneasux de socle quadro evo D400</t>
  </si>
  <si>
    <t>62.8187€</t>
  </si>
  <si>
    <t>FN450PL</t>
  </si>
  <si>
    <t>2 Panneasux de socle quadro evo W450</t>
  </si>
  <si>
    <t>71.7928€</t>
  </si>
  <si>
    <t>FN600PL</t>
  </si>
  <si>
    <t>2 Panneasux de socle quadro evo D600</t>
  </si>
  <si>
    <t>85.2561€</t>
  </si>
  <si>
    <t>FN700PL</t>
  </si>
  <si>
    <t>2 Panneasux de socle quadro evo W700</t>
  </si>
  <si>
    <t>94.2302€</t>
  </si>
  <si>
    <t>FN800PL</t>
  </si>
  <si>
    <t>2 Panneasux de socle quadro evo D800</t>
  </si>
  <si>
    <t>FN900PL</t>
  </si>
  <si>
    <t>2 Panneasux de socle quadro evo W900</t>
  </si>
  <si>
    <t>103.2043€</t>
  </si>
  <si>
    <t>UC400CB</t>
  </si>
  <si>
    <t>Boîte conn. Aval. 4b q.evo H400</t>
  </si>
  <si>
    <t>182.32€</t>
  </si>
  <si>
    <t>FC125</t>
  </si>
  <si>
    <t>Kit de liaison entre enveloppes horizontal quadro4 + supp plastrons h 1200mm</t>
  </si>
  <si>
    <t xml:space="preserve">HATEZM03 </t>
  </si>
  <si>
    <t>DIVERS ACCESSOIRES</t>
  </si>
  <si>
    <t>84.3058€</t>
  </si>
  <si>
    <t>FC230</t>
  </si>
  <si>
    <t>Kit de liaison association verticale quadro4 entre enveloppes l370-620mm RAL9010</t>
  </si>
  <si>
    <t>38.1023€</t>
  </si>
  <si>
    <t>FC315</t>
  </si>
  <si>
    <t>Porte pleine quadro4 p 56mm h 1200mm l 370mm RAL 9010 blanc paloma</t>
  </si>
  <si>
    <t>165.7177€</t>
  </si>
  <si>
    <t>FC339</t>
  </si>
  <si>
    <t>Porte pleine quadro4 p 56mm h 1800mm l 620mm RAL 9010 blanc paloma</t>
  </si>
  <si>
    <t>345.3717€</t>
  </si>
  <si>
    <t>FL416A</t>
  </si>
  <si>
    <t>Plaque de montage pleine orion plus p FL125A-126A tôle d'acier l 543 x h 930mm</t>
  </si>
  <si>
    <t>127.5294€</t>
  </si>
  <si>
    <t>FL473A</t>
  </si>
  <si>
    <t>Plaque de montage perforée orion plus p FL104A-105A-204B tôle acier l350xh300mm</t>
  </si>
  <si>
    <t>37.2681€</t>
  </si>
  <si>
    <t>FL500A</t>
  </si>
  <si>
    <t>Kit bornier orion plus rails DIN réglables l 400mm inclinable 30°</t>
  </si>
  <si>
    <t>23.177€</t>
  </si>
  <si>
    <t>FL521E</t>
  </si>
  <si>
    <t>Plaque de montage orion plus inférieure pleine p FL352B tôle acier l693xh780mm</t>
  </si>
  <si>
    <t>137.1055€</t>
  </si>
  <si>
    <t>FL714E</t>
  </si>
  <si>
    <t>Plastron plein orion plus modulaire en matière isolante h 150mm l 600mm</t>
  </si>
  <si>
    <t>19.1092€</t>
  </si>
  <si>
    <t>FL960A</t>
  </si>
  <si>
    <t>Socle orion plus pour coffret FL124A-FL126A h 150mm l 600mm p 300mm</t>
  </si>
  <si>
    <t>190.6061€</t>
  </si>
  <si>
    <t>FL980A</t>
  </si>
  <si>
    <t>Kit d'équipement orion plus h 330mm l 280mm pour coffrets FL204B</t>
  </si>
  <si>
    <t>91.5599€</t>
  </si>
  <si>
    <t>FM428</t>
  </si>
  <si>
    <t>Kit gaine à câbles quadro5 pour armoire FM308 h 1650mm l 197mm p 260mm</t>
  </si>
  <si>
    <t>174.3091€</t>
  </si>
  <si>
    <t>FM538</t>
  </si>
  <si>
    <t>Porte pleine quadro5 h 1860mm l 700mm</t>
  </si>
  <si>
    <t>361.0667€</t>
  </si>
  <si>
    <t>FM543</t>
  </si>
  <si>
    <t>Porte transparente quadro5 h 960mm l 700mm</t>
  </si>
  <si>
    <t>527.0897€</t>
  </si>
  <si>
    <t>FM635</t>
  </si>
  <si>
    <t>Kit d'association horizontale pour coffrets et armoires quadro5</t>
  </si>
  <si>
    <t>37.2337€</t>
  </si>
  <si>
    <t>FZ022B</t>
  </si>
  <si>
    <t>Cadre de finition univers pour FP42QS à encastrer h 550mm x l 650mm</t>
  </si>
  <si>
    <t>203.4072€</t>
  </si>
  <si>
    <t>FZ401</t>
  </si>
  <si>
    <t>Jeu de bouchons pour entrée de câbles FZ402 pour armoires IP54 univers</t>
  </si>
  <si>
    <t>15.7122€</t>
  </si>
  <si>
    <t>FZ443N</t>
  </si>
  <si>
    <t>Goulotte de jonction horizontale quadro4-quadro5-quadro+ 3 travées IP44  l800mm</t>
  </si>
  <si>
    <t>215.1419€</t>
  </si>
  <si>
    <t>FZ502</t>
  </si>
  <si>
    <t>Serrure triangle mâle 7mm chromée + clé IP5-6 pour coffret vega D et univers</t>
  </si>
  <si>
    <t>UC815</t>
  </si>
  <si>
    <t>1 support tétra. étagé quadro4 - quadro5 - quadro+ jeux de barres 160-250-400A</t>
  </si>
  <si>
    <t>43.6149€</t>
  </si>
  <si>
    <t>UC826</t>
  </si>
  <si>
    <t>Support barres 4P 400-600A incl + 4 fixations</t>
  </si>
  <si>
    <t>46.1132€</t>
  </si>
  <si>
    <t>UC976</t>
  </si>
  <si>
    <t>Barrette départ terre + entretoise longueur 500</t>
  </si>
  <si>
    <t>50.482€</t>
  </si>
  <si>
    <t>UN05A</t>
  </si>
  <si>
    <t>Paire de montants fonctionnels armoire univers vega D ex profond 160mm L750mm</t>
  </si>
  <si>
    <t>30.5988€</t>
  </si>
  <si>
    <t>UT91S</t>
  </si>
  <si>
    <t>Traverse support bornier sanvis terre univers 1T l250mm</t>
  </si>
  <si>
    <t>49.95€</t>
  </si>
  <si>
    <t>20.8335€</t>
  </si>
  <si>
    <t>UZ100</t>
  </si>
  <si>
    <t>Jeu de 100 vis autotaraudées p fixation unités d'équipement sur montants univers</t>
  </si>
  <si>
    <t>46.397€</t>
  </si>
  <si>
    <t>UZ52A1</t>
  </si>
  <si>
    <t>Goulotte de câblage horizontale h85mm l31mm 2 travées L500mm univers</t>
  </si>
  <si>
    <t>16.039€</t>
  </si>
  <si>
    <t>A099C</t>
  </si>
  <si>
    <t>Rail Din pour structure électrozingué bichromaté prof 15mm l 25mm long 2m</t>
  </si>
  <si>
    <t>47.2828€</t>
  </si>
  <si>
    <t>FC124</t>
  </si>
  <si>
    <t>Kit de liaison entre enveloppes horizontal quadro4 + supp plastrons h 1050mm</t>
  </si>
  <si>
    <t>76.3293€</t>
  </si>
  <si>
    <t>FC332</t>
  </si>
  <si>
    <t>Porte pleine quadro4 p 56mm h 750mm l 620mm RAL 9010 blanc paloma</t>
  </si>
  <si>
    <t>126.8371€</t>
  </si>
  <si>
    <t>FC338</t>
  </si>
  <si>
    <t>Porte pleine quadro4 p 56mm h 1650mm l 620mm RAL 9010 blanc paloma</t>
  </si>
  <si>
    <t>323.3342€</t>
  </si>
  <si>
    <t>FL415A</t>
  </si>
  <si>
    <t>Plaque de montage pleine orion plus p FL123A-124A-229A tôle d'acier l543xh780mm</t>
  </si>
  <si>
    <t>84.8863€</t>
  </si>
  <si>
    <t>FL496A</t>
  </si>
  <si>
    <t>Traverse orion plus pour barrettes L 800mm 6 rangées 222 modules</t>
  </si>
  <si>
    <t>29.0895€</t>
  </si>
  <si>
    <t>FL672E</t>
  </si>
  <si>
    <t>Glissières de règlage en profondeur des plaques de montage orion plus</t>
  </si>
  <si>
    <t>51.3463€</t>
  </si>
  <si>
    <t>FL713E</t>
  </si>
  <si>
    <t>Plastron plein orion plus modulaire en matière isolante h 150mm l 500mm</t>
  </si>
  <si>
    <t>17.5225€</t>
  </si>
  <si>
    <t>FL95Z</t>
  </si>
  <si>
    <t>Jeu de 2 serrures orion plus double barre 3mm avec cle metallique</t>
  </si>
  <si>
    <t>12.6076€</t>
  </si>
  <si>
    <t>FL97Z</t>
  </si>
  <si>
    <t>Jeu de 2 serrures orion plus double barre 8mm p coffret ? 800 + clé polyester</t>
  </si>
  <si>
    <t>12.3926€</t>
  </si>
  <si>
    <t>FM401</t>
  </si>
  <si>
    <t>Jeu de 2 côtés quadro5 h 660mm l 224mm p 260mm</t>
  </si>
  <si>
    <t>66.1426€</t>
  </si>
  <si>
    <t>FM427</t>
  </si>
  <si>
    <t>Kit gaine à câbles quadro5 pour armoire FM307 h 1500mm l 197mm p 260mm</t>
  </si>
  <si>
    <t>147.5631€</t>
  </si>
  <si>
    <t>FM486</t>
  </si>
  <si>
    <t>Plaque de fond quadro5. pleine.600x500mm</t>
  </si>
  <si>
    <t>84.6068€</t>
  </si>
  <si>
    <t>FM537</t>
  </si>
  <si>
    <t>Porte pleine quadro5 h 1710mm l 700mm</t>
  </si>
  <si>
    <t>321.7862€</t>
  </si>
  <si>
    <t>FM557</t>
  </si>
  <si>
    <t>Porte pleine quadro5 h 1710mm l 900mm</t>
  </si>
  <si>
    <t>418.2137€</t>
  </si>
  <si>
    <t>FM630</t>
  </si>
  <si>
    <t>Kit d'association verticale pour coffrets quadro5</t>
  </si>
  <si>
    <t>FZ021B</t>
  </si>
  <si>
    <t>Cadre de finition.universZ.1-section.650x300mm</t>
  </si>
  <si>
    <t>205.3766€</t>
  </si>
  <si>
    <t>FZ11B</t>
  </si>
  <si>
    <t>Cadre de finition arm.800x300</t>
  </si>
  <si>
    <t>205.6862€</t>
  </si>
  <si>
    <t>FZ33B</t>
  </si>
  <si>
    <t>Cadre de finition armoire univers 1100x800</t>
  </si>
  <si>
    <t>241.4493€</t>
  </si>
  <si>
    <t>FZ451N</t>
  </si>
  <si>
    <t>Serrure carré mâle de 7mm chromée avec 1 clé pour armoire univers métal IP44</t>
  </si>
  <si>
    <t>42.2948€</t>
  </si>
  <si>
    <t>FZ501</t>
  </si>
  <si>
    <t>Serrure double barres 3mm + clé IP5 pour coffret vega D</t>
  </si>
  <si>
    <t>24.3724€</t>
  </si>
  <si>
    <t>FZ613N</t>
  </si>
  <si>
    <t>Socle support armoire univers h 100mm l 800mm p 205mm  IP44 + pattes + vis</t>
  </si>
  <si>
    <t>233.877€</t>
  </si>
  <si>
    <t>JP024</t>
  </si>
  <si>
    <t>Obturateurs en bande quadro4-quadro5-quadro+ 24 modules pour plastron en tôle</t>
  </si>
  <si>
    <t>6.6177€</t>
  </si>
  <si>
    <t>UC812</t>
  </si>
  <si>
    <t>Traverse support barres quadro4 - quadro5 - quadro+ jeux de barres 500 mm</t>
  </si>
  <si>
    <t>42.097€</t>
  </si>
  <si>
    <t>UC844</t>
  </si>
  <si>
    <t>Barre Cu perforée M10 50X5 longueur 1750</t>
  </si>
  <si>
    <t>224.7782€</t>
  </si>
  <si>
    <t>UC870</t>
  </si>
  <si>
    <t>Connecteur liaison HA125-160-bloc repartiteur</t>
  </si>
  <si>
    <t>90.3645€</t>
  </si>
  <si>
    <t>UC975S</t>
  </si>
  <si>
    <t>Traverse support bornier sanvis terre 1T</t>
  </si>
  <si>
    <t>26.3375€</t>
  </si>
  <si>
    <t>UN04A</t>
  </si>
  <si>
    <t>Paire de montants fonctionnels armoire univers vega D ex profond 160mm L600mm</t>
  </si>
  <si>
    <t>29.8291€</t>
  </si>
  <si>
    <t>UT91B</t>
  </si>
  <si>
    <t>Kit connecteur de départ terre univers 1 tr l250mm</t>
  </si>
  <si>
    <t>UZ06A1</t>
  </si>
  <si>
    <t>Vis de rechange pour fixation des plastrons univers</t>
  </si>
  <si>
    <t>2.5757€</t>
  </si>
  <si>
    <t>FC331</t>
  </si>
  <si>
    <t>Porte pleine quadro4 p 56mm h 600mm l 620mm RAL 9010 blanc paloma</t>
  </si>
  <si>
    <t>114.3628€</t>
  </si>
  <si>
    <t>FC337</t>
  </si>
  <si>
    <t>Porte pleine quadro4 p 56mm h 1500mm l 620mm RAL 9010 blanc paloma</t>
  </si>
  <si>
    <t>269.954€</t>
  </si>
  <si>
    <t>FC350</t>
  </si>
  <si>
    <t>Kit d'équipement avec porte et serrure quadro4 p 56mm h 150mm l 620mm</t>
  </si>
  <si>
    <t>115.9065€</t>
  </si>
  <si>
    <t>FL413A</t>
  </si>
  <si>
    <t>Plaque de montage pleine orion plus p FL120A-221B tôle d'acier l 443 x h 630mm</t>
  </si>
  <si>
    <t>55.6893€</t>
  </si>
  <si>
    <t>FL481A</t>
  </si>
  <si>
    <t>Plaque de montage perforée orion plus p FL127A-128A tôle d'acier l 743 x h 930mm</t>
  </si>
  <si>
    <t>230.0113€</t>
  </si>
  <si>
    <t>FL495A</t>
  </si>
  <si>
    <t>Traverse orion plus pour barrettes L 600mm 5 rangées 130mod ou 6 rangées 156mod</t>
  </si>
  <si>
    <t>26.0623€</t>
  </si>
  <si>
    <t>FL670A</t>
  </si>
  <si>
    <t>Kit d\'association verticale orion plus</t>
  </si>
  <si>
    <t>104.5717€</t>
  </si>
  <si>
    <t>FL959A</t>
  </si>
  <si>
    <t>Socle orion plus pour coffret FL123A-FL125A h 150mm l 600mm p 250mm</t>
  </si>
  <si>
    <t>176.2011€</t>
  </si>
  <si>
    <t>FL996A</t>
  </si>
  <si>
    <t>Kit d'équipement orion plus h800mm l600mm p120mm p coffrets FL123A-FL124A-FL229B</t>
  </si>
  <si>
    <t>290.6069€</t>
  </si>
  <si>
    <t>FM400</t>
  </si>
  <si>
    <t>Jeu de 2 côtés quadro5 h 510mm l 224mm p 260mm</t>
  </si>
  <si>
    <t>53.5952€</t>
  </si>
  <si>
    <t>FM530</t>
  </si>
  <si>
    <t>Porte pleine quadro5 h 510mm l 700mm</t>
  </si>
  <si>
    <t>197.2754€</t>
  </si>
  <si>
    <t>FM536</t>
  </si>
  <si>
    <t>Porte pleine quadro5 h 1410mm l 700mm</t>
  </si>
  <si>
    <t>359.7208€</t>
  </si>
  <si>
    <t>FM549</t>
  </si>
  <si>
    <t>Porte transparente quadro5 h 2010mm l 700mm</t>
  </si>
  <si>
    <t>771.0201€</t>
  </si>
  <si>
    <t>FM569</t>
  </si>
  <si>
    <t>Porte transparente quadro5 h 2010mm l 900mm</t>
  </si>
  <si>
    <t>1002.2784€</t>
  </si>
  <si>
    <t>FZ012B</t>
  </si>
  <si>
    <t>Cadre de finition univers pour FP32QS à encastrer h 550mm x l 500mm</t>
  </si>
  <si>
    <t>251.1974€</t>
  </si>
  <si>
    <t>FZ422</t>
  </si>
  <si>
    <t>Plaque entrée de câble haute univers en tôle pas prédécoupée armoire métal IP54</t>
  </si>
  <si>
    <t>29.1927€</t>
  </si>
  <si>
    <t>FZ442S</t>
  </si>
  <si>
    <t>Kit vertical armoire-armoire univers IP44-1 travée 2 armoires superposées l500mm</t>
  </si>
  <si>
    <t>37.9002€</t>
  </si>
  <si>
    <t>FZ451</t>
  </si>
  <si>
    <t>Serrure carré mâle de 7mm chromée avec 1 clé pour coffret et armoire quadro4-5</t>
  </si>
  <si>
    <t>43.4515€</t>
  </si>
  <si>
    <t>FZ597N</t>
  </si>
  <si>
    <t>Bouton-verrou métallique serrure à barillet et 2clés n° 1242E arm. univers IP44</t>
  </si>
  <si>
    <t>69.2386€</t>
  </si>
  <si>
    <t>FZ850</t>
  </si>
  <si>
    <t>Clé triangle + carré + double barre pour armoire quadro+</t>
  </si>
  <si>
    <t>35.4019€</t>
  </si>
  <si>
    <t>JE001</t>
  </si>
  <si>
    <t>Bande de marquage 10modules quadro4-quadro5-quadro+ acces circulation de filerie</t>
  </si>
  <si>
    <t>4.5322€</t>
  </si>
  <si>
    <t>JP015</t>
  </si>
  <si>
    <t>Obturateur en bande 18 modules</t>
  </si>
  <si>
    <t>7.2455€</t>
  </si>
  <si>
    <t>UC811</t>
  </si>
  <si>
    <t>Traverse support barres quadro4 - quadro5 - quadro+ jeux de barres 250 mm</t>
  </si>
  <si>
    <t>19.4317€</t>
  </si>
  <si>
    <t>UC842</t>
  </si>
  <si>
    <t>Barre Cu perforée M6 400A 32X5 longueur 1000</t>
  </si>
  <si>
    <t>93.4519€</t>
  </si>
  <si>
    <t>UC967</t>
  </si>
  <si>
    <t>Barre Cu perforée M10 100X5 longueur 1750</t>
  </si>
  <si>
    <t>433.182€</t>
  </si>
  <si>
    <t>UN03A</t>
  </si>
  <si>
    <t>Paire de montants fonctionnels armoire univers vega D ex profond 160mm L450mm</t>
  </si>
  <si>
    <t>27.5071€</t>
  </si>
  <si>
    <t>UZ01B3</t>
  </si>
  <si>
    <t>Rail DIN règlable univers 1 travée pour largeur 250mm</t>
  </si>
  <si>
    <t>49.4758€</t>
  </si>
  <si>
    <t>UZ04Z2</t>
  </si>
  <si>
    <t>Jeu 4 équerres de profondeur 205mm pour platine perforée univers</t>
  </si>
  <si>
    <t>23.2544€</t>
  </si>
  <si>
    <t>A09800</t>
  </si>
  <si>
    <t>Rail Din symétrique électrozingué bichromaté prof 10mm l 35mm long 2m</t>
  </si>
  <si>
    <t>23.7962€</t>
  </si>
  <si>
    <t>FC330</t>
  </si>
  <si>
    <t>Porte pleine quadro4 p 56mm h 450mm l 620mm RAL 9010 blanc paloma</t>
  </si>
  <si>
    <t>100.4179€</t>
  </si>
  <si>
    <t>FC344</t>
  </si>
  <si>
    <t>Porte transparente quadro4 p 51mm h 1050mm l 620mm 20 verre trempé 3mm</t>
  </si>
  <si>
    <t>304.3411€</t>
  </si>
  <si>
    <t>FC349</t>
  </si>
  <si>
    <t>Porte transparente quadro4 p 51mm h 1800mm l 620mm 20 verre trempé 3mm</t>
  </si>
  <si>
    <t>629.8425€</t>
  </si>
  <si>
    <t>FL412A</t>
  </si>
  <si>
    <t>Plaque de montage pleine orion plus p FL117A-118A-216A tôle d'acier l343xh630mm</t>
  </si>
  <si>
    <t>45.8251€</t>
  </si>
  <si>
    <t>FL480A</t>
  </si>
  <si>
    <t>Plaque de montage perforée orion plus p FL125A-126A tôle d'acier l 543 x h 930mm</t>
  </si>
  <si>
    <t>426.48€</t>
  </si>
  <si>
    <t>177.891€</t>
  </si>
  <si>
    <t>FL520E</t>
  </si>
  <si>
    <t>Plaque de montage orion plus supérieure pleine p FL352B tôle acier l693xh480mm</t>
  </si>
  <si>
    <t>81.9236€</t>
  </si>
  <si>
    <t>FL81Z</t>
  </si>
  <si>
    <t>Jeu de 2 serrures orion plus à carré mâle 8mm p coffret ? 800 + clé polyester</t>
  </si>
  <si>
    <t>11.8852€</t>
  </si>
  <si>
    <t>FL958A</t>
  </si>
  <si>
    <t>Socle orion plus pour coffret FL120A h 150mm l 500mm p 250mm</t>
  </si>
  <si>
    <t>175.4615€</t>
  </si>
  <si>
    <t>FL994A</t>
  </si>
  <si>
    <t>Kit d'équipement orion plus h650mm l500mm p120mm p coffrets FL119A-FL120A-FL221B</t>
  </si>
  <si>
    <t>244.5539€</t>
  </si>
  <si>
    <t>FM519</t>
  </si>
  <si>
    <t>Porte pleine quadro5 h 2010mm l 400mm</t>
  </si>
  <si>
    <t>272.5942€</t>
  </si>
  <si>
    <t>FM535</t>
  </si>
  <si>
    <t>Porte pleine quadro5 h 1260mm l 700mm</t>
  </si>
  <si>
    <t>355.1886€</t>
  </si>
  <si>
    <t>FM548</t>
  </si>
  <si>
    <t>Porte transparente quadro5 h 1860mm l 700mm</t>
  </si>
  <si>
    <t>656.3305€</t>
  </si>
  <si>
    <t>FZ417</t>
  </si>
  <si>
    <t>Ouies d'aération univers matière isolante empêche condensation réduction à IP44</t>
  </si>
  <si>
    <t>48.5642€</t>
  </si>
  <si>
    <t>FZ442N</t>
  </si>
  <si>
    <t>Goulotte de jonction horizontale quadro 2 travées IP44 univers l550mm</t>
  </si>
  <si>
    <t>198.1956€</t>
  </si>
  <si>
    <t>FZ450N</t>
  </si>
  <si>
    <t>Serrure triangle mâle 7mm chromée avec 1 clé pour armoire univers métal IP44</t>
  </si>
  <si>
    <t>FZ516</t>
  </si>
  <si>
    <t>Insert pour serrure carré 6X6 mm quadro+ quadro 5</t>
  </si>
  <si>
    <t>43.7138€</t>
  </si>
  <si>
    <t>FZ597</t>
  </si>
  <si>
    <t>Serrure à clé livrée avec 2 clés pour condamner les trappes d'accès GTL</t>
  </si>
  <si>
    <t>FZ623N</t>
  </si>
  <si>
    <t>Socle support armoire univers h 200mm l 800mm pour IP44 p 205mm + pattes + vis</t>
  </si>
  <si>
    <t>331.1688€</t>
  </si>
  <si>
    <t>FZ791N</t>
  </si>
  <si>
    <t>Peinture en bombe aérosol ral 9010 9ml pour retouche des armoires univers</t>
  </si>
  <si>
    <t>12.255€</t>
  </si>
  <si>
    <t>FZ801</t>
  </si>
  <si>
    <t>Jeu 100 écrous M6 à encastrer IP6 pour armoires en polyester IP 65 univers</t>
  </si>
  <si>
    <t>101.5015€</t>
  </si>
  <si>
    <t>JP014</t>
  </si>
  <si>
    <t>Obturateur en bande gamma 13 mod.</t>
  </si>
  <si>
    <t>6.4027€</t>
  </si>
  <si>
    <t>UC834</t>
  </si>
  <si>
    <t>Ecran protection jdb latéral 250A 1000</t>
  </si>
  <si>
    <t>12.8656€</t>
  </si>
  <si>
    <t>UC911</t>
  </si>
  <si>
    <t>Goulotte de câblage horizontale quadro4-quadro5-quadro+acces 30x80 longueur 250</t>
  </si>
  <si>
    <t>4.5967€</t>
  </si>
  <si>
    <t>UC966</t>
  </si>
  <si>
    <t>Barre Cu perforée M10 80X5 longueur 1750</t>
  </si>
  <si>
    <t>346.5284€</t>
  </si>
  <si>
    <t>UC992</t>
  </si>
  <si>
    <t>Entretoises M6 L80</t>
  </si>
  <si>
    <t>9.5933€</t>
  </si>
  <si>
    <t>UN12A</t>
  </si>
  <si>
    <t>Paire de montants fonctionnels armoire univers vega D ex profond 160mm L1800mm</t>
  </si>
  <si>
    <t>44.5824€</t>
  </si>
  <si>
    <t>UT88B</t>
  </si>
  <si>
    <t>Equerre simple fixation barres Cu 50X5mm quadro+</t>
  </si>
  <si>
    <t>36.3522€</t>
  </si>
  <si>
    <t>UZ013</t>
  </si>
  <si>
    <t>4 angles d'inclinaison pr système d'équipement interne univers N-UD21A5 UD22A5</t>
  </si>
  <si>
    <t>19.6123€</t>
  </si>
  <si>
    <t>UZ02T1</t>
  </si>
  <si>
    <t>Cloison horizontale univers 2 travées l 500mm</t>
  </si>
  <si>
    <t>22.5019€</t>
  </si>
  <si>
    <t>FC123</t>
  </si>
  <si>
    <t>Kit de liaison entre enveloppes horizontal quadro4 + supp plastrons h 900mm</t>
  </si>
  <si>
    <t>67.2907€</t>
  </si>
  <si>
    <t>FC314</t>
  </si>
  <si>
    <t>Porte pleine quadro4 p 56mm h 1050mm l 370mm RAL 9010 blanc paloma</t>
  </si>
  <si>
    <t>145.125€</t>
  </si>
  <si>
    <t>FC319</t>
  </si>
  <si>
    <t>Porte pleine quadro4 p 56mm h 1800mm l 370mm RAL 9010 blanc paloma</t>
  </si>
  <si>
    <t>301.8815€</t>
  </si>
  <si>
    <t>FC343</t>
  </si>
  <si>
    <t>Porte transparente quadro4 p 51mm h 900mm l 620mm 20 verre trempé 3mm</t>
  </si>
  <si>
    <t>267.5288€</t>
  </si>
  <si>
    <t>FL472A</t>
  </si>
  <si>
    <t>Plaque de montage perforée orion plus p FL102A tôle d'acier l 193 x h 280mm</t>
  </si>
  <si>
    <t>59.43€</t>
  </si>
  <si>
    <t>24.7895€</t>
  </si>
  <si>
    <t>FL479A</t>
  </si>
  <si>
    <t>Plaque de montage perforée orion plus p FL123A-124A-229B tôle acier l 543xh780mm</t>
  </si>
  <si>
    <t>130.2126€</t>
  </si>
  <si>
    <t>FL512E</t>
  </si>
  <si>
    <t>Plaque de montage pleine orion plus p FL302B en tôle d'acier l 493 x h 1080mm</t>
  </si>
  <si>
    <t>166.8056€</t>
  </si>
  <si>
    <t>FL532E</t>
  </si>
  <si>
    <t>Plaque de montage orion plus inférieure pleine p FL368B tôle acier l993xh1080mm</t>
  </si>
  <si>
    <t>213.8992€</t>
  </si>
  <si>
    <t>FL80Z</t>
  </si>
  <si>
    <t>Jeu de 2 serrures orion plus à carré mâle 8mm avec 1 clé métallique</t>
  </si>
  <si>
    <t>12.0787€</t>
  </si>
  <si>
    <t>FL979A</t>
  </si>
  <si>
    <t>Kit d'équipement orion plus h 330mm l 280 mm pour coffrets FL104A-FL105A</t>
  </si>
  <si>
    <t>FL993A</t>
  </si>
  <si>
    <t>Kit d'équipement orion plus h650mm l400mm p120mm p coffrets FL117A-FL118A-FL216B</t>
  </si>
  <si>
    <t>175.1003€</t>
  </si>
  <si>
    <t>FM518</t>
  </si>
  <si>
    <t>Porte pleine quadro5 h 1860mm l 400mm</t>
  </si>
  <si>
    <t>235.2487€</t>
  </si>
  <si>
    <t>FM542</t>
  </si>
  <si>
    <t>Porte transparente quadro5 h 810mm l 700mm</t>
  </si>
  <si>
    <t>454.4111€</t>
  </si>
  <si>
    <t>FM547</t>
  </si>
  <si>
    <t>Porte transparente quadro5 h 1710mm l 700mm</t>
  </si>
  <si>
    <t>585.6213€</t>
  </si>
  <si>
    <t>FN952</t>
  </si>
  <si>
    <t>Arrêt de porte.quadro plus</t>
  </si>
  <si>
    <t>79.7435€</t>
  </si>
  <si>
    <t>FZ104N</t>
  </si>
  <si>
    <t>Porte transparente univers pour FP42QS h 650mm x l 550mm</t>
  </si>
  <si>
    <t>299.968€</t>
  </si>
  <si>
    <t>FZ406M</t>
  </si>
  <si>
    <t>Plaque entrée de câbles étanches haute + empreintes défonçables p presse-étoupes</t>
  </si>
  <si>
    <t>27.0556€</t>
  </si>
  <si>
    <t>FZ444S</t>
  </si>
  <si>
    <t>Kit vertical armoire-armoire univers IP44-4 travées 2 armoires superposées l1050</t>
  </si>
  <si>
    <t>39.7148€</t>
  </si>
  <si>
    <t>FZ450</t>
  </si>
  <si>
    <t>Serrure triangle mâle 7mm chromée avec 1 clé pour coffret et armoire quadro4-5</t>
  </si>
  <si>
    <t>FZ515</t>
  </si>
  <si>
    <t>Insert pour serrure triangle 8mm quadro+ quadro 5</t>
  </si>
  <si>
    <t>FZ53B</t>
  </si>
  <si>
    <t>Cadre de finition universZ. 3 rangées. RAL9010. pour armoire 1400x800mm</t>
  </si>
  <si>
    <t>47.644€</t>
  </si>
  <si>
    <t>FZ767</t>
  </si>
  <si>
    <t>Anneau de levage simple quadro+ livré par 4 avec boulons M12 quadro+</t>
  </si>
  <si>
    <t>85.5313€</t>
  </si>
  <si>
    <t>UC289</t>
  </si>
  <si>
    <t>Traverse universelle l 250mm quadro4 - quadro5 - quadro+</t>
  </si>
  <si>
    <t>22.7728€</t>
  </si>
  <si>
    <t>UC832</t>
  </si>
  <si>
    <t>Barre Cu perforée M6 250A 20X5 longueur 1000</t>
  </si>
  <si>
    <t>56.6568€</t>
  </si>
  <si>
    <t>UC853</t>
  </si>
  <si>
    <t>Vis raccordement M8X30 avec rondelle</t>
  </si>
  <si>
    <t>2.7262€</t>
  </si>
  <si>
    <t>UC975</t>
  </si>
  <si>
    <t>Barrette départ terre + entretoise longueur 250</t>
  </si>
  <si>
    <t>40.2824€</t>
  </si>
  <si>
    <t>UC991</t>
  </si>
  <si>
    <t>Vis M6X12</t>
  </si>
  <si>
    <t>0.9073€</t>
  </si>
  <si>
    <t>UN09A</t>
  </si>
  <si>
    <t>Paire de montants fonctionnels armoire univers vega D ex profond 160mm L1350mm</t>
  </si>
  <si>
    <t>40.7081€</t>
  </si>
  <si>
    <t>UT50C</t>
  </si>
  <si>
    <t>Couvercle vertical pour bracelet UT50B fixation à clip long 2m</t>
  </si>
  <si>
    <t>18.4169€</t>
  </si>
  <si>
    <t>UT88A</t>
  </si>
  <si>
    <t>Equerre simple fixation barres Cu 25X5mm quadro+</t>
  </si>
  <si>
    <t>22.274€</t>
  </si>
  <si>
    <t>UZ00A5</t>
  </si>
  <si>
    <t>Support de montage plastron (gauche + droit) univers</t>
  </si>
  <si>
    <t>5.9125€</t>
  </si>
  <si>
    <t>UZ51A1</t>
  </si>
  <si>
    <t>Goulotte de câblage horizontale h85mm l31mm 1 travée L250mm univers</t>
  </si>
  <si>
    <t>21.38€</t>
  </si>
  <si>
    <t>8.9182€</t>
  </si>
  <si>
    <t>A08900</t>
  </si>
  <si>
    <t>Chevalet support fer plat pour barrette laiton avec socle épais 2mm haut 12mm</t>
  </si>
  <si>
    <t>1.6168€</t>
  </si>
  <si>
    <t>FC122</t>
  </si>
  <si>
    <t>Kit de liaison entre enveloppes horizontal quadro4 + supp plastrons h 750mm</t>
  </si>
  <si>
    <t>60.1871€</t>
  </si>
  <si>
    <t>FC193</t>
  </si>
  <si>
    <t>2 barres de liaison horizontalepour 2 armoires 2x370+1x620 ou 2x20+1x370</t>
  </si>
  <si>
    <t>114.8745€</t>
  </si>
  <si>
    <t>FC313</t>
  </si>
  <si>
    <t>Porte pleine quadro4 p 56mm h 900mm l 370mm RAL 9010 blanc paloma</t>
  </si>
  <si>
    <t>127.7315€</t>
  </si>
  <si>
    <t>FC336</t>
  </si>
  <si>
    <t>Porte pleine quadro4 p 56mm h 1350mm l 620mm RAL 9010 blanc paloma</t>
  </si>
  <si>
    <t>244.6958€</t>
  </si>
  <si>
    <t>FC342</t>
  </si>
  <si>
    <t>Porte transparente quadro4 p 51mm h 750mm l 620mm 20 verre trempé 3mm</t>
  </si>
  <si>
    <t>231.1766€</t>
  </si>
  <si>
    <t>FC429</t>
  </si>
  <si>
    <t>Plaque de rechange p 600mm h 4800mm l 2700mm L 620mm IP40 RAL9010 blanc paloma</t>
  </si>
  <si>
    <t>25.7828€</t>
  </si>
  <si>
    <t>FC664</t>
  </si>
  <si>
    <t>Cloison de séparation métallique horizontale quadro4 et quadro5 longueur 620mm</t>
  </si>
  <si>
    <t>17.0237€</t>
  </si>
  <si>
    <t>FL450A</t>
  </si>
  <si>
    <t>Equerres de fixation orion plus +vis p montage plaques sur glissières latérales</t>
  </si>
  <si>
    <t>7.8346€</t>
  </si>
  <si>
    <t>FL477A</t>
  </si>
  <si>
    <t>Plaque de montage perforée orion plus p FL120A-221B tôle d'acier l 443 x h 630mm</t>
  </si>
  <si>
    <t>77.7698€</t>
  </si>
  <si>
    <t>FL503A</t>
  </si>
  <si>
    <t>Kit bornier orion plus rails DIN réglables l 800 mm</t>
  </si>
  <si>
    <t>FL712E</t>
  </si>
  <si>
    <t>Plastron plein orion plus modulaire en matière isolante h 150mm l 400mm</t>
  </si>
  <si>
    <t>14.8995€</t>
  </si>
  <si>
    <t>FL96Z</t>
  </si>
  <si>
    <t>Poignée orion plus avec clé n427 RAL7046</t>
  </si>
  <si>
    <t>11.9411€</t>
  </si>
  <si>
    <t>FL992A</t>
  </si>
  <si>
    <t>Kit d'équipement orion plus h 500mm l 400mm p 120mm pour coffrets FL112A-FL213B</t>
  </si>
  <si>
    <t>163.9633€</t>
  </si>
  <si>
    <t>FM405</t>
  </si>
  <si>
    <t>Jeu de 2 côtés quadro5 h 1260mm l 224mm p 260mm</t>
  </si>
  <si>
    <t>100.4308€</t>
  </si>
  <si>
    <t>FM409</t>
  </si>
  <si>
    <t>Jeu de 2 côtés quadro5 h 2010mm l 224mm p 260mm</t>
  </si>
  <si>
    <t>234.2511€</t>
  </si>
  <si>
    <t>FM484</t>
  </si>
  <si>
    <t>Plaque de fond quadro5. pleine.300x500mm</t>
  </si>
  <si>
    <t>47.6741€</t>
  </si>
  <si>
    <t>FM517</t>
  </si>
  <si>
    <t>Porte pleine quadro5 h 1710mm l 400mm</t>
  </si>
  <si>
    <t>206.9891€</t>
  </si>
  <si>
    <t>FM541</t>
  </si>
  <si>
    <t>Porte transparente quadro5 h 660mm l 700mm</t>
  </si>
  <si>
    <t>421.8558€</t>
  </si>
  <si>
    <t>FN951</t>
  </si>
  <si>
    <t>Joint d'accouplement de cellules quadro+ long 10m h 6mm</t>
  </si>
  <si>
    <t>15.8498€</t>
  </si>
  <si>
    <t>FZ164N</t>
  </si>
  <si>
    <t>Portes transparentes univers droite+gauche pour FP74QS h 1100mm x l 550mm</t>
  </si>
  <si>
    <t>903.5289€</t>
  </si>
  <si>
    <t>FZ32B</t>
  </si>
  <si>
    <t>Cadre de finition armoire univers 1100x550</t>
  </si>
  <si>
    <t>264.7725€</t>
  </si>
  <si>
    <t>FZ404</t>
  </si>
  <si>
    <t>Plaque passe-câbles quadro4 étanches pleine plaque haute sans prédécoupes</t>
  </si>
  <si>
    <t>28.5219€</t>
  </si>
  <si>
    <t>FZ444N</t>
  </si>
  <si>
    <t>Goulotte de jonction horizontale quadro4-quadro5-quadro+ 4 travées IP44 l1050mm</t>
  </si>
  <si>
    <t>227.9473€</t>
  </si>
  <si>
    <t>FZ508</t>
  </si>
  <si>
    <t>Poignée escamotable serrure barillet + 2clés 1242E IP5-6-univers quadro5 quadro+</t>
  </si>
  <si>
    <t>135.3511€</t>
  </si>
  <si>
    <t>FZ622N</t>
  </si>
  <si>
    <t>Socle support armoire univers h 200mm l 550mm pour IP44 p 205mm + pattes + vis</t>
  </si>
  <si>
    <t>309.3764€</t>
  </si>
  <si>
    <t>UC288</t>
  </si>
  <si>
    <t>Traverse universelle l 185mm quadro4 - quadro5 - quadro+</t>
  </si>
  <si>
    <t>12.1604€</t>
  </si>
  <si>
    <t>UC821</t>
  </si>
  <si>
    <t>Equerres de montage quadro se montent sur les supports UC824 et UC823</t>
  </si>
  <si>
    <t>5.4997€</t>
  </si>
  <si>
    <t>UC877</t>
  </si>
  <si>
    <t>Connecteur boîtier moulé 160-250 av-ss BD-JDB vert</t>
  </si>
  <si>
    <t>223.9311€</t>
  </si>
  <si>
    <t>UC972</t>
  </si>
  <si>
    <t>Traverse de mise à la terre 500 mm</t>
  </si>
  <si>
    <t>61.834€</t>
  </si>
  <si>
    <t>UC990</t>
  </si>
  <si>
    <t>Ecrous cage M6 (à commander par sachet de 25)</t>
  </si>
  <si>
    <t>1.1094€</t>
  </si>
  <si>
    <t>UN08A</t>
  </si>
  <si>
    <t>Paire de montants fonctionnels armoire univers vega D ex profond 160mm L1200mm</t>
  </si>
  <si>
    <t>33.196€</t>
  </si>
  <si>
    <t>UT92S</t>
  </si>
  <si>
    <t>Traverse support bornier Sanvis terre univers 2T l 500mm</t>
  </si>
  <si>
    <t>103.51€</t>
  </si>
  <si>
    <t>43.1763€</t>
  </si>
  <si>
    <t>UZ50A1</t>
  </si>
  <si>
    <t>Support plastron (gauche + droit) pour goulotte horizontale</t>
  </si>
  <si>
    <t>6.0501€</t>
  </si>
  <si>
    <t>A08800</t>
  </si>
  <si>
    <t>Rail Din symétrique électrozingué bichromaté prof 7.5mm l 35mm long 2m</t>
  </si>
  <si>
    <t>18.0901€</t>
  </si>
  <si>
    <t>FC121</t>
  </si>
  <si>
    <t>Kit de liaison entre enveloppes horizontal quadro4 + supp plastrons h 600mm</t>
  </si>
  <si>
    <t>55.7323€</t>
  </si>
  <si>
    <t>FC312</t>
  </si>
  <si>
    <t>Porte pleine quadro4 p 56mm h 750mm l 370mm RAL 9010 blanc paloma</t>
  </si>
  <si>
    <t>110.7422€</t>
  </si>
  <si>
    <t>FC335</t>
  </si>
  <si>
    <t>Porte pleine quadro4 p 56mm h 1200mm l 620mm RAL 9010 blanc paloma</t>
  </si>
  <si>
    <t>187.9745€</t>
  </si>
  <si>
    <t>FC341</t>
  </si>
  <si>
    <t>Porte transparente quadro4 p 51mm h 600mm l 620mm 20 verre trempé 3mm</t>
  </si>
  <si>
    <t>208.6446€</t>
  </si>
  <si>
    <t>FL224Z</t>
  </si>
  <si>
    <t>Grille de ventilation quadro+ IP54 h 250mm l 250mm p 31mm</t>
  </si>
  <si>
    <t>59.7485€</t>
  </si>
  <si>
    <t>FL419A</t>
  </si>
  <si>
    <t>Plaque de montage pleine orion plus p FL130A tôle d'acier l 743 x h 1230mm</t>
  </si>
  <si>
    <t>181.6965€</t>
  </si>
  <si>
    <t>FL494A</t>
  </si>
  <si>
    <t>Traverse orion plus pour barrettes L 500mm 4 rangées 88 modules</t>
  </si>
  <si>
    <t>25.499€</t>
  </si>
  <si>
    <t>FL502A</t>
  </si>
  <si>
    <t>Kit bornier orion plus rails DIN réglables l 600 mm</t>
  </si>
  <si>
    <t>FL711E</t>
  </si>
  <si>
    <t>Plastron plein orion plus modulaire en matière isolante h 150mm l 300mm</t>
  </si>
  <si>
    <t>FL962A</t>
  </si>
  <si>
    <t>Socle orion plus pour coffret FL128A-FL130A h 150mm l 800mm p 300mm</t>
  </si>
  <si>
    <t>244.0551€</t>
  </si>
  <si>
    <t>FM404</t>
  </si>
  <si>
    <t>Jeu de 2 côtés quadro5 h 1100mm l 224mm p 260mm</t>
  </si>
  <si>
    <t>91.246€</t>
  </si>
  <si>
    <t>FM408</t>
  </si>
  <si>
    <t>Jeu de 2 côtés quadro5 h 1860mm l 224mm p 260mm</t>
  </si>
  <si>
    <t>181.2536€</t>
  </si>
  <si>
    <t>FM534</t>
  </si>
  <si>
    <t>Porte pleine quadro5 h 1110mm l 700mm</t>
  </si>
  <si>
    <t>320.9004€</t>
  </si>
  <si>
    <t>FM540</t>
  </si>
  <si>
    <t>Porte transparente quadro5 h 510mm l 700mm</t>
  </si>
  <si>
    <t>420.9915€</t>
  </si>
  <si>
    <t>FM568</t>
  </si>
  <si>
    <t>Porte transparente quadro5 h 1860mm l 900mm</t>
  </si>
  <si>
    <t>853.1759€</t>
  </si>
  <si>
    <t>FM653</t>
  </si>
  <si>
    <t>Jeu de 2 anneaux de levage quadro5 pour transport maxi 250kgs</t>
  </si>
  <si>
    <t>65.5707€</t>
  </si>
  <si>
    <t>FN950</t>
  </si>
  <si>
    <t>Kit de juxtaposition latérale quadro+ p toutes les cellules galvanisé 40/10ème</t>
  </si>
  <si>
    <t>41.5767€</t>
  </si>
  <si>
    <t>FZ102N</t>
  </si>
  <si>
    <t>Porte transparente univers pour FP72QS-FP73QS h 1100mm x l550-l800mm</t>
  </si>
  <si>
    <t>447.4236€</t>
  </si>
  <si>
    <t>FZ453N</t>
  </si>
  <si>
    <t>Serrure à clé n° 455 livrée avec 2 clés pour armoire univers métal IP44</t>
  </si>
  <si>
    <t>72.6528€</t>
  </si>
  <si>
    <t>FZ507</t>
  </si>
  <si>
    <t>Bouton verrou métallique serrure à barillet 2clés n° 1242E IP5-6 vega D univers</t>
  </si>
  <si>
    <t>72.7044€</t>
  </si>
  <si>
    <t>FZ612N</t>
  </si>
  <si>
    <t>Socle support armoire univers h 100mm l 550mm pour IP44 p 205mm + pattes + vis</t>
  </si>
  <si>
    <t>225.3114€</t>
  </si>
  <si>
    <t>FZ737S</t>
  </si>
  <si>
    <t>Kit de liaison univers horizontal pour armoire IP44-54  gravité: 160-205 mm</t>
  </si>
  <si>
    <t>62.4231€</t>
  </si>
  <si>
    <t>UC820</t>
  </si>
  <si>
    <t>Support barre quadro4-quadro5-quadro+ 4P 160-250-630A arr à plat</t>
  </si>
  <si>
    <t>31.6867€</t>
  </si>
  <si>
    <t>UC868</t>
  </si>
  <si>
    <t>Connecteur boîtier moulé 400A av-ss BD-JDB vert</t>
  </si>
  <si>
    <t>235.0423€</t>
  </si>
  <si>
    <t>UC971</t>
  </si>
  <si>
    <t>Traverse de mise à la terre 250 mm</t>
  </si>
  <si>
    <t>40.3555€</t>
  </si>
  <si>
    <t>UN02A</t>
  </si>
  <si>
    <t>Paire de montants fonctionnels armoire univers vega D ex profond 160mm L300mm</t>
  </si>
  <si>
    <t>25.0991€</t>
  </si>
  <si>
    <t>UN07A</t>
  </si>
  <si>
    <t>Paire de montants fonctionnels armoire univers vega D ex profond 160mm L1050mm</t>
  </si>
  <si>
    <t>34.7139€</t>
  </si>
  <si>
    <t>UT90G</t>
  </si>
  <si>
    <t>Ecrous-clips de rechange p armoire univers IP54-65 p fixer montants fonctionnels</t>
  </si>
  <si>
    <t>12.9688€</t>
  </si>
  <si>
    <t>UZ25V2</t>
  </si>
  <si>
    <t>Jeu 20 bracelets guide fil petite section</t>
  </si>
  <si>
    <t>32.0092€</t>
  </si>
  <si>
    <t>A099E</t>
  </si>
  <si>
    <t>Rail Din symétrique perforé électrozingué bichromaté prof5mm l 15mm long 2m</t>
  </si>
  <si>
    <t>13.8159€</t>
  </si>
  <si>
    <t>FC120</t>
  </si>
  <si>
    <t>Kit de liaison entre enveloppes horizontal quadro4 + supp plastrons h 450mm</t>
  </si>
  <si>
    <t>45.15€</t>
  </si>
  <si>
    <t>FC311</t>
  </si>
  <si>
    <t>Porte pleine quadro4 p 56mm h 600mm l 370mm RAL 9010 blanc paloma</t>
  </si>
  <si>
    <t>99.6568€</t>
  </si>
  <si>
    <t>FC334</t>
  </si>
  <si>
    <t>Porte pleine quadro4 p 56mm h 1050mm l 620mm RAL 9010 blanc paloma</t>
  </si>
  <si>
    <t>165.9026€</t>
  </si>
  <si>
    <t>FC348</t>
  </si>
  <si>
    <t>Porte transparente quadro4 p 51mm h 1650mm l 620mm 20 verre trempé 3mm</t>
  </si>
  <si>
    <t>588.0164€</t>
  </si>
  <si>
    <t>FL220Z</t>
  </si>
  <si>
    <t>Grille de ventilation IP54 h 150mm l 150mm p 28mm</t>
  </si>
  <si>
    <t>92.51€</t>
  </si>
  <si>
    <t>38.5882€</t>
  </si>
  <si>
    <t>FL408A</t>
  </si>
  <si>
    <t>Plaque de montage pleine orion plus p FL112A-213A tôle d'acier l 343 x h 480mm</t>
  </si>
  <si>
    <t>36.593€</t>
  </si>
  <si>
    <t>FL417A</t>
  </si>
  <si>
    <t>Plaque de montage pleine orion plus p FL127A-128A tôle d'acier l 743 x h 930mm</t>
  </si>
  <si>
    <t>163.7268€</t>
  </si>
  <si>
    <t>FL493A</t>
  </si>
  <si>
    <t>Traverse orion plus pour barrettes L 400mm 3 rangées 48-64 modules</t>
  </si>
  <si>
    <t>FL70Z</t>
  </si>
  <si>
    <t>Goulotte de câblage orion plus p 60mm l 25mm 2x2m horizontale et verticale</t>
  </si>
  <si>
    <t>31.6523€</t>
  </si>
  <si>
    <t>FL874A</t>
  </si>
  <si>
    <t>Kit connecteur orion plus de liaison de terre connexion de masse coffrets tôle</t>
  </si>
  <si>
    <t>FL961A</t>
  </si>
  <si>
    <t>Socle orion plus pour coffret FL127A h 150mm l 800mm p 250mm</t>
  </si>
  <si>
    <t>215.8772€</t>
  </si>
  <si>
    <t>FM403</t>
  </si>
  <si>
    <t>Jeu de 2 côtés quadro5 h 960mm l 224mm p 260mm</t>
  </si>
  <si>
    <t>81.4592€</t>
  </si>
  <si>
    <t>FM407</t>
  </si>
  <si>
    <t>Jeu de 2 côtés quadro5 h 1710mm l 224mm p 260mm</t>
  </si>
  <si>
    <t>147.8555€</t>
  </si>
  <si>
    <t>FM533</t>
  </si>
  <si>
    <t>Porte pleine quadro5 h 960mm l 700mm</t>
  </si>
  <si>
    <t>290.5295€</t>
  </si>
  <si>
    <t>FM539</t>
  </si>
  <si>
    <t>Porte pleine quadro5 h 2010mm l 700mm</t>
  </si>
  <si>
    <t>423.5027€</t>
  </si>
  <si>
    <t>FM567</t>
  </si>
  <si>
    <t>Porte transparente quadro5 h 1710mm l 900mm</t>
  </si>
  <si>
    <t>761.3881€</t>
  </si>
  <si>
    <t>FZ13B</t>
  </si>
  <si>
    <t>Cadre de finition univers pour FP53QS à encastrer h 800mm x l 800mm</t>
  </si>
  <si>
    <t>228.4246€</t>
  </si>
  <si>
    <t>FZ441S</t>
  </si>
  <si>
    <t>Kit vertical armoire-armoire univers IP44-1 travée 2 armoires superposées l300mm</t>
  </si>
  <si>
    <t>FZ443S</t>
  </si>
  <si>
    <t>Kit vertical armoire-armoire univers 3 travées 2 armoires superposées l800 IP44</t>
  </si>
  <si>
    <t>FZ453</t>
  </si>
  <si>
    <t>Serrure à clé n° 455 livrée avec 2 clés pour coffret et armoire quadro4-5</t>
  </si>
  <si>
    <t>FZ52B</t>
  </si>
  <si>
    <t>Cadre de finition universZ. 2 rangées. RAL9010. pour armoire 1400x550mm</t>
  </si>
  <si>
    <t>FZ794</t>
  </si>
  <si>
    <t>Porte schéma souple A4 pour armoires vega D</t>
  </si>
  <si>
    <t>11.0682€</t>
  </si>
  <si>
    <t>JP003</t>
  </si>
  <si>
    <t>Obturateurs en bande 10 modules univers-vega D plastrons pleins et accessoires</t>
  </si>
  <si>
    <t>5.0181€</t>
  </si>
  <si>
    <t>P012</t>
  </si>
  <si>
    <t>Obturateurs en bande 12 modules</t>
  </si>
  <si>
    <t>5.3062€</t>
  </si>
  <si>
    <t>UC855</t>
  </si>
  <si>
    <t>Vis raccordement M10X30 avec rondelle</t>
  </si>
  <si>
    <t>6.86€</t>
  </si>
  <si>
    <t>2.8595€</t>
  </si>
  <si>
    <t>UC922</t>
  </si>
  <si>
    <t>Barre Cu perforée M10 63X5 longueur 1750</t>
  </si>
  <si>
    <t>242.3437€</t>
  </si>
  <si>
    <t>UC969</t>
  </si>
  <si>
    <t>Ecrous-clips et vis M5 pour platine perforée (25 pièces) quadro et beha-set</t>
  </si>
  <si>
    <t>1.8791€</t>
  </si>
  <si>
    <t>UT87E</t>
  </si>
  <si>
    <t>Barre Cu perforée M6 25X5mm longueur 1750mm quadro+</t>
  </si>
  <si>
    <t>130.0019€</t>
  </si>
  <si>
    <t>UZ02B3</t>
  </si>
  <si>
    <t>Rail DIN règlable univers 2 travées pour largeur 500mm</t>
  </si>
  <si>
    <t>54.2574€</t>
  </si>
  <si>
    <t>UZ25V1</t>
  </si>
  <si>
    <t>Jeu 20 bracelets guide fil grande section</t>
  </si>
  <si>
    <t>45.365€</t>
  </si>
  <si>
    <t>A099D</t>
  </si>
  <si>
    <t>Ecrous coulissants électrozingué bichromaté pour rail A099C 1 lot de 6pcs</t>
  </si>
  <si>
    <t>2.193€</t>
  </si>
  <si>
    <t>FC318</t>
  </si>
  <si>
    <t>Porte pleine quadro4 p 56mm h 1650mm l 370mm RAL 9010 blanc paloma</t>
  </si>
  <si>
    <t>282.2477€</t>
  </si>
  <si>
    <t>FC333</t>
  </si>
  <si>
    <t>Porte pleine quadro4 p 56mm h 900mm l 620mm RAL 9010 blanc paloma</t>
  </si>
  <si>
    <t>146.3548€</t>
  </si>
  <si>
    <t>FC347</t>
  </si>
  <si>
    <t>Porte transparente quadro4 p 51mm h 1500mm l 620mm 20 verre trempé 3mm</t>
  </si>
  <si>
    <t>491.2965€</t>
  </si>
  <si>
    <t>FC419</t>
  </si>
  <si>
    <t>Plaque de rechange quadro4 p 900mm h 2550mm l 1250mm L 370mm en IP40 RAL 9010</t>
  </si>
  <si>
    <t>7.1079€</t>
  </si>
  <si>
    <t>FL214Z</t>
  </si>
  <si>
    <t>Ventilateur IP54 230VAC 190m3/h h 250mm l 250mm RAL 7035</t>
  </si>
  <si>
    <t>499.0279€</t>
  </si>
  <si>
    <t>FL407A</t>
  </si>
  <si>
    <t>Plaque de montage pleine orion plus p FL110A-209A tôle d'acier l 243 x h480mm</t>
  </si>
  <si>
    <t>30.3795€</t>
  </si>
  <si>
    <t>FL476A</t>
  </si>
  <si>
    <t>Plaque de montage perforée orion plus p FL117A-118A-216B tôle acier l343xh630mm</t>
  </si>
  <si>
    <t>61.3309€</t>
  </si>
  <si>
    <t>FL492A</t>
  </si>
  <si>
    <t>Traverse orion plus pour barrettes L 300mm 2 rangées 24-36 modules</t>
  </si>
  <si>
    <t>17.4236€</t>
  </si>
  <si>
    <t>FL531E</t>
  </si>
  <si>
    <t>Plaque de montage orion plus supérieure pleine p FL368B tôle d'acier l993xh780mm</t>
  </si>
  <si>
    <t>170.0951€</t>
  </si>
  <si>
    <t>FL871Z</t>
  </si>
  <si>
    <t>Accessoires - bande cache-module lot 6 pièces de 4 modules en technopolymere col</t>
  </si>
  <si>
    <t>1.892€</t>
  </si>
  <si>
    <t>FL998A</t>
  </si>
  <si>
    <t>Kit d'équipement orion plus h 950mm l 800mm p 120mm pour coffrets FL127A-FL128A</t>
  </si>
  <si>
    <t>393.2823€</t>
  </si>
  <si>
    <t>FM402</t>
  </si>
  <si>
    <t>Jeu de 2 côtés quadro5 h 810mm l 224mm p 260mm</t>
  </si>
  <si>
    <t>73.0914€</t>
  </si>
  <si>
    <t>FM406</t>
  </si>
  <si>
    <t>Jeu de 2 côtés quadro5 h 1410mm l 224mm p 260mm</t>
  </si>
  <si>
    <t>111.6151€</t>
  </si>
  <si>
    <t>FM532</t>
  </si>
  <si>
    <t>Porte pleine quadro5 h 810mm l 700mm</t>
  </si>
  <si>
    <t>249.5763€</t>
  </si>
  <si>
    <t>FM546</t>
  </si>
  <si>
    <t>Porte transparente quadro5 h 1410mm l 700mm</t>
  </si>
  <si>
    <t>653.0625€</t>
  </si>
  <si>
    <t>FM559</t>
  </si>
  <si>
    <t>Porte pleine quadro5 h 2010mm l 900mm</t>
  </si>
  <si>
    <t>550.6279€</t>
  </si>
  <si>
    <t>FZ12B</t>
  </si>
  <si>
    <t>Cadre de finition univers pour FP52QS à encastrer h 800mm x l 550mm</t>
  </si>
  <si>
    <t>214.9699€</t>
  </si>
  <si>
    <t>FZ441</t>
  </si>
  <si>
    <t>Goulotte de jonction horizontale quadro 1 travée</t>
  </si>
  <si>
    <t>104.8469€</t>
  </si>
  <si>
    <t>FZ449N</t>
  </si>
  <si>
    <t>Serrure à double barre 3mm chromée avec 1 clé pour armoire univers métal IP44</t>
  </si>
  <si>
    <t>41.8089€</t>
  </si>
  <si>
    <t>FZ452N</t>
  </si>
  <si>
    <t>Serrure à clé n° 405 livrée avec 2 clés pour armoire univers métal IP44</t>
  </si>
  <si>
    <t>68.499€</t>
  </si>
  <si>
    <t>FZ527</t>
  </si>
  <si>
    <t>Bouton verrou métallique serrure à barillet 2clés n° 455 IP5-6 p vega D univers</t>
  </si>
  <si>
    <t>77.9332€</t>
  </si>
  <si>
    <t>FZ598N</t>
  </si>
  <si>
    <t>Loquet plastique de rechange pour armoire univers IP 44</t>
  </si>
  <si>
    <t>11.6143€</t>
  </si>
  <si>
    <t>FZ707</t>
  </si>
  <si>
    <t>Porte schéma rigide pour armoires métalliques IP 44</t>
  </si>
  <si>
    <t>39.8266€</t>
  </si>
  <si>
    <t>FZ714</t>
  </si>
  <si>
    <t>kit liaison armoire univers socle-socle IP4 - IP5</t>
  </si>
  <si>
    <t>12.3754€</t>
  </si>
  <si>
    <t>JP002</t>
  </si>
  <si>
    <t>Obturateurs en bande 24 modules vega D-univers</t>
  </si>
  <si>
    <t>6.9015€</t>
  </si>
  <si>
    <t>UC830</t>
  </si>
  <si>
    <t>Jeux de barres latéraux quadro 250A cuivrés livrés avec 2 supports tétrapolaires</t>
  </si>
  <si>
    <t>30.7149€</t>
  </si>
  <si>
    <t>UC851</t>
  </si>
  <si>
    <t>Vis raccordement M6X12 avec rondelle</t>
  </si>
  <si>
    <t>1.2728€</t>
  </si>
  <si>
    <t>UC916</t>
  </si>
  <si>
    <t>Goulotte de câblage verticale quadro4-quadro5-quadro+acces 60x80 l 2000mm</t>
  </si>
  <si>
    <t>27.9199€</t>
  </si>
  <si>
    <t>UT12M</t>
  </si>
  <si>
    <t>Jeu de 2 rails traverses univers l 750mm</t>
  </si>
  <si>
    <t>32.7617€</t>
  </si>
  <si>
    <t>UZ01V1</t>
  </si>
  <si>
    <t>Jeu 20 bracelets support de fixation univers p bracelet guide fil fixation clip</t>
  </si>
  <si>
    <t>25.1335€</t>
  </si>
  <si>
    <t>A099B</t>
  </si>
  <si>
    <t>Rail Din symétrique électrozingué bichromaté prof 15mm l 25mm long 2m</t>
  </si>
  <si>
    <t>43.1462€</t>
  </si>
  <si>
    <t>FC192</t>
  </si>
  <si>
    <t>2 barres de liaison horizontale quadro4 pour 2 armoires 2x620 ou 1x620+1x370</t>
  </si>
  <si>
    <t>98.7667€</t>
  </si>
  <si>
    <t>FC317</t>
  </si>
  <si>
    <t>Porte pleine quadro4 p 56mm h 1500mm l 370mm RAL 9010 blanc paloma</t>
  </si>
  <si>
    <t>235.1111€</t>
  </si>
  <si>
    <t>FC346</t>
  </si>
  <si>
    <t>Porte transparente quadro4 p 51mm h 1350mm l 620mm 20 verre trempé 3mm</t>
  </si>
  <si>
    <t>444.4222€</t>
  </si>
  <si>
    <t>FL404A</t>
  </si>
  <si>
    <t>Plaque de montage pleine orion plus p FL104A-105A-204A tôle d'acier l243x h330mm</t>
  </si>
  <si>
    <t>25.7269€</t>
  </si>
  <si>
    <t>FL475A</t>
  </si>
  <si>
    <t>Plaque de montage perforée orion plus p FL112A-213B tôle d'acier l 343 x h480mm</t>
  </si>
  <si>
    <t>51.0582€</t>
  </si>
  <si>
    <t>FL483A</t>
  </si>
  <si>
    <t>Plaque de montage perforée orion plus p FL130A tôle d'acier l 743 x h 1230mm</t>
  </si>
  <si>
    <t>255.4974€</t>
  </si>
  <si>
    <t>FL71Z</t>
  </si>
  <si>
    <t>Goulotte de câblage p 60mm l 40 2x2m horizontale et verticale orion plus</t>
  </si>
  <si>
    <t>46.0788€</t>
  </si>
  <si>
    <t>FL863Z</t>
  </si>
  <si>
    <t>Pattes de fixation murale univers livrées avec vis de fixation M6x12 synthétique</t>
  </si>
  <si>
    <t>21.7666€</t>
  </si>
  <si>
    <t>FL98Z</t>
  </si>
  <si>
    <t>Serrure orion plus avec 2 clés EK333 pour coffret H?1150</t>
  </si>
  <si>
    <t>12.1948€</t>
  </si>
  <si>
    <t>FL997A</t>
  </si>
  <si>
    <t>Kit d'équipement orion plus h 950mm l 600mm p 120mm pour coffrets FL125A-FL126A</t>
  </si>
  <si>
    <t>335.5118€</t>
  </si>
  <si>
    <t>FM450</t>
  </si>
  <si>
    <t>Socle quadro5 h 150mm l 700mm p 260mm</t>
  </si>
  <si>
    <t>134.1729€</t>
  </si>
  <si>
    <t>FM531</t>
  </si>
  <si>
    <t>Porte pleine quadro5 h 660mm l 700mm</t>
  </si>
  <si>
    <t>230.9573€</t>
  </si>
  <si>
    <t>FM545</t>
  </si>
  <si>
    <t>Porte transparente quadro5 h 1260mm l 700mm</t>
  </si>
  <si>
    <t>613.825€</t>
  </si>
  <si>
    <t>FM558</t>
  </si>
  <si>
    <t>Porte pleine quadro5 h 1860mm l 900mm</t>
  </si>
  <si>
    <t>469.3579€</t>
  </si>
  <si>
    <t>FZ426</t>
  </si>
  <si>
    <t>Plaque passe-câbles univers de rechange en matière isolante p armoire métal IP44</t>
  </si>
  <si>
    <t>12.2722€</t>
  </si>
  <si>
    <t>FZ449</t>
  </si>
  <si>
    <t>Serrure à double barre 3mm chromée avec 1 clé pour coffret et armoire quadro4-5</t>
  </si>
  <si>
    <t>42.9484€</t>
  </si>
  <si>
    <t>FZ452</t>
  </si>
  <si>
    <t>Serrure à clé n° 405 livrée avec 2 clés pour coffret et armoire quadro4-5</t>
  </si>
  <si>
    <t>FZ526</t>
  </si>
  <si>
    <t>Bouton verrou métallique serrure à barillet 2clés n° 405 IP5-6 p vega D univers</t>
  </si>
  <si>
    <t>71.0231€</t>
  </si>
  <si>
    <t>FZ710</t>
  </si>
  <si>
    <t>Porte schéma rigide pour armoires métalliques IP 54</t>
  </si>
  <si>
    <t>55.0443€</t>
  </si>
  <si>
    <t>FZ792N</t>
  </si>
  <si>
    <t>Peinture en bombe aérosol ral 9010 150ml pour retouches des armoires vega D</t>
  </si>
  <si>
    <t>93.5981€</t>
  </si>
  <si>
    <t>JP001</t>
  </si>
  <si>
    <t>Obturateurs en bande 6 Modules. RAL 9010</t>
  </si>
  <si>
    <t>2.9283€</t>
  </si>
  <si>
    <t>UC828</t>
  </si>
  <si>
    <t>Ecran protection jdb 400-630A 1000x212</t>
  </si>
  <si>
    <t>43.5332€</t>
  </si>
  <si>
    <t>UC875</t>
  </si>
  <si>
    <t>Connecteur boîtier moulé 160-250 horiz-JDB arrière</t>
  </si>
  <si>
    <t>100.2889€</t>
  </si>
  <si>
    <t>UC915</t>
  </si>
  <si>
    <t>Support goulotte vertical quadro4-quadro5-quadro+ acces</t>
  </si>
  <si>
    <t>7.1337€</t>
  </si>
  <si>
    <t>UC988</t>
  </si>
  <si>
    <t>Traverse universelle 250</t>
  </si>
  <si>
    <t>12.5818€</t>
  </si>
  <si>
    <t>UT12L</t>
  </si>
  <si>
    <t>2 connecteurs de liaison pour montants armoire univers</t>
  </si>
  <si>
    <t>9.51€</t>
  </si>
  <si>
    <t>3.9646€</t>
  </si>
  <si>
    <t>UT92B</t>
  </si>
  <si>
    <t>Kit connecteur de départ terre univers 2 tr l500mm</t>
  </si>
  <si>
    <t>UZ01T1</t>
  </si>
  <si>
    <t>Cloison horizontale univers 1 travée l  250mm</t>
  </si>
  <si>
    <t>17.7934€</t>
  </si>
  <si>
    <t>UZ90T2</t>
  </si>
  <si>
    <t>Cloison de séparation verticale h1350mm prof 350mm L1100mm Univers</t>
  </si>
  <si>
    <t>55.6807€</t>
  </si>
  <si>
    <t>A09900</t>
  </si>
  <si>
    <t>Rail Din symétrique électrozingué bichromaté prof 15mm l 35mm long 2m</t>
  </si>
  <si>
    <t>35.6685€</t>
  </si>
  <si>
    <t>FC126</t>
  </si>
  <si>
    <t>Kit de liaison entre enveloppes horizontal quadro4 + supp plastrons h 1350mm</t>
  </si>
  <si>
    <t>93.5938€</t>
  </si>
  <si>
    <t>FC310</t>
  </si>
  <si>
    <t>Porte pleine quadro4 p 56mm h 450mm l 370mm RAL 9010 blanc paloma</t>
  </si>
  <si>
    <t>87.3545€</t>
  </si>
  <si>
    <t>FC316</t>
  </si>
  <si>
    <t>Porte pleine quadro4 p 56mm h 1350mm l 370mm RAL 9010 blanc paloma</t>
  </si>
  <si>
    <t>212.8973€</t>
  </si>
  <si>
    <t>FC340</t>
  </si>
  <si>
    <t>Porte transparente quadro4 p 51mm h 450mm l 620mm 20 verre trempé 3mm</t>
  </si>
  <si>
    <t>182.8016€</t>
  </si>
  <si>
    <t>FC345</t>
  </si>
  <si>
    <t>Porte transparente quadro4 p 51mm h 1200mm l 620mm 20 verre trempé 3mm</t>
  </si>
  <si>
    <t>348.5236€</t>
  </si>
  <si>
    <t>FL402A</t>
  </si>
  <si>
    <t>Plaque de montage pleine orion plus pour FL102A en tôle d'acier l 193 x h 280mm</t>
  </si>
  <si>
    <t>17.4709€</t>
  </si>
  <si>
    <t>FL474A</t>
  </si>
  <si>
    <t>Plaque de montage perforée orion plus p FL110A-209B tôle d'acier l 243 x h480mm</t>
  </si>
  <si>
    <t>42.3507€</t>
  </si>
  <si>
    <t>FL501A</t>
  </si>
  <si>
    <t>Kit bornier orion plus rails DIN réglables l 500 mm</t>
  </si>
  <si>
    <t>FL522E</t>
  </si>
  <si>
    <t>Plaque de montage orion plus pleine p FL327B en tôle d'acier l 693 x h 1080 mm</t>
  </si>
  <si>
    <t>172.3526€</t>
  </si>
  <si>
    <t>FL715E</t>
  </si>
  <si>
    <t>Plastron plein orion plus modulaire en matière isolante h 150mm l 800mm</t>
  </si>
  <si>
    <t>28.6079€</t>
  </si>
  <si>
    <t>FL85Z</t>
  </si>
  <si>
    <t>Pattes de fixation murale orion plus + vis de fixation M6x12 métalliques</t>
  </si>
  <si>
    <t>15.0414€</t>
  </si>
  <si>
    <t>FL981A</t>
  </si>
  <si>
    <t>Kit d'équipement orion plus h 480mm l 280 mm pour coffrets FL110A-FL209B</t>
  </si>
  <si>
    <t>101.0672€</t>
  </si>
  <si>
    <t>FM429</t>
  </si>
  <si>
    <t>226.4552€</t>
  </si>
  <si>
    <t>FM544</t>
  </si>
  <si>
    <t>Porte transparente quadro5 h 1110mm l 700mm</t>
  </si>
  <si>
    <t>582.2329€</t>
  </si>
  <si>
    <t>FM640</t>
  </si>
  <si>
    <t>2 pattes de fixation quadro4 murale horizontales et verticales livrées avec vis</t>
  </si>
  <si>
    <t>12.427€</t>
  </si>
  <si>
    <t>FZ106N</t>
  </si>
  <si>
    <t>Porte transparente univers pour FP52QS-FP53QS h 800mm x l 550-l 800mm</t>
  </si>
  <si>
    <t>346.3521€</t>
  </si>
  <si>
    <t>FZ402</t>
  </si>
  <si>
    <t>Plaque passe-câblées quadro4 équipée étanche</t>
  </si>
  <si>
    <t>75.1597€</t>
  </si>
  <si>
    <t>FZ447</t>
  </si>
  <si>
    <t>Plaque passe-câbles latérale étanche p armoire univers IP54 sans prédécoupes</t>
  </si>
  <si>
    <t>36.077€</t>
  </si>
  <si>
    <t>FZ503</t>
  </si>
  <si>
    <t>Serrure carré mâle 7mm chromée + clé IP5-6 pour coffret vega D et univers</t>
  </si>
  <si>
    <t>FZ517</t>
  </si>
  <si>
    <t>Insert pour serrure carré 8X8 mm quadro+ quadro 5</t>
  </si>
  <si>
    <t>FZ614N</t>
  </si>
  <si>
    <t>Socle support armoire univers h 100mm l 1050mm pour IP44 p 205mm + pattes + vis</t>
  </si>
  <si>
    <t>216.8232€</t>
  </si>
  <si>
    <t>FZ624N</t>
  </si>
  <si>
    <t>Socle support armoire univers h 200mm l 1050mm pour IP44 p 205mm + pattes + vis</t>
  </si>
  <si>
    <t>337.4167€</t>
  </si>
  <si>
    <t>JE003</t>
  </si>
  <si>
    <t>Bande de marquage 24 modules quadro4-quadro5-quadro+ acc circulation de filerie</t>
  </si>
  <si>
    <t>9.202€</t>
  </si>
  <si>
    <t>UC816</t>
  </si>
  <si>
    <t>Kit écran de protection quadro4 - quadro5 - quadro+</t>
  </si>
  <si>
    <t>77.7784€</t>
  </si>
  <si>
    <t>UC827</t>
  </si>
  <si>
    <t>Ecran protection jdb 160-630A 1000x294</t>
  </si>
  <si>
    <t>50.7142€</t>
  </si>
  <si>
    <t>UC912</t>
  </si>
  <si>
    <t>Goulotte de câblage horizontale quadro4-quadro5-quadro+acces 30x80 longueur 500</t>
  </si>
  <si>
    <t>8.7333€</t>
  </si>
  <si>
    <t>UC976S</t>
  </si>
  <si>
    <t>Traverse support bornier sanvis terre 2T</t>
  </si>
  <si>
    <t>UN06A</t>
  </si>
  <si>
    <t>Paire de montants fonctionnels armoire univers vega D ex profond 160mm L900mm</t>
  </si>
  <si>
    <t>28.5434€</t>
  </si>
  <si>
    <t>UT12K</t>
  </si>
  <si>
    <t>Jeu de 2 rails traverses univers l 500mm</t>
  </si>
  <si>
    <t>27.0728€</t>
  </si>
  <si>
    <t>UZ01D1</t>
  </si>
  <si>
    <t>Traverse universelle N percée taraudée M5 au pas de 25mm univers p rails DIN 1tr</t>
  </si>
  <si>
    <t>43.0602€</t>
  </si>
  <si>
    <t>UZ90T1</t>
  </si>
  <si>
    <t>Cloison de séparation verticale h1350mm prof 275mm L1100mm univers</t>
  </si>
  <si>
    <t>43.5891€</t>
  </si>
  <si>
    <t>FN083E</t>
  </si>
  <si>
    <t>Plaque passe-câbles pleine quadro+ l 900mm p 400mm</t>
  </si>
  <si>
    <t>80.0058€</t>
  </si>
  <si>
    <t>FN111E</t>
  </si>
  <si>
    <t>Plaque passe-câbles ouverte quadro+ l 900mm p 600mm</t>
  </si>
  <si>
    <t>161.293€</t>
  </si>
  <si>
    <t>FN944E</t>
  </si>
  <si>
    <t>Plaque de couverture Quadro+ pour fermer l\'espace entre 2 cellules p 800mm</t>
  </si>
  <si>
    <t>35.0665€</t>
  </si>
  <si>
    <t>FL212Z</t>
  </si>
  <si>
    <t>Ventilateur IP54 230VAC 115m3/h h 250mm l 250mm RAL 7035</t>
  </si>
  <si>
    <t>348.6526€</t>
  </si>
  <si>
    <t>FN073E</t>
  </si>
  <si>
    <t>Plaque passe-câbles pleine quadro+ l 700mm p 800mm</t>
  </si>
  <si>
    <t>101.4413€</t>
  </si>
  <si>
    <t>FN082E</t>
  </si>
  <si>
    <t>Plaque passe-câbles pleine quadro+ l 400mm p 800mm</t>
  </si>
  <si>
    <t>92.5059€</t>
  </si>
  <si>
    <t>FN109E</t>
  </si>
  <si>
    <t>Plaque passe-câbles ouverte quadro+ l 700mm p 600mm</t>
  </si>
  <si>
    <t>135.5188€</t>
  </si>
  <si>
    <t>FN943E</t>
  </si>
  <si>
    <t>Plaque de couverture Quadro+ pour fermer l\'espace entre 2 cellules p 600mm</t>
  </si>
  <si>
    <t>21.1775€</t>
  </si>
  <si>
    <t>FN104E</t>
  </si>
  <si>
    <t>Plaque passe-câbles ouverte quadro+ l 1000mm p 400mm</t>
  </si>
  <si>
    <t>117.003€</t>
  </si>
  <si>
    <t>FN430E</t>
  </si>
  <si>
    <t>Kit association quadro+ pour superposer 2 socles long 10m h 100mm + kit visserie</t>
  </si>
  <si>
    <t>39.431€</t>
  </si>
  <si>
    <t>FN097E</t>
  </si>
  <si>
    <t>Plaque passe-câbles ouverte quadro+ l 900mm p 800mm</t>
  </si>
  <si>
    <t>178.6478€</t>
  </si>
  <si>
    <t>FN103E</t>
  </si>
  <si>
    <t>Plaque passe-câbles ouverte quadro+ l 900mm p 400mm</t>
  </si>
  <si>
    <t>116.4698€</t>
  </si>
  <si>
    <t>FN093E</t>
  </si>
  <si>
    <t>149.7045€</t>
  </si>
  <si>
    <t>FN081E</t>
  </si>
  <si>
    <t>Plaque passe-câbles pleine quadro+ l 700mm p 400mm</t>
  </si>
  <si>
    <t>67.2305€</t>
  </si>
  <si>
    <t>FN092E</t>
  </si>
  <si>
    <t>Plaque passe-câbles pleine quadro+ l 1000mm p 600mm</t>
  </si>
  <si>
    <t>126.7296€</t>
  </si>
  <si>
    <t>FN121E</t>
  </si>
  <si>
    <t>Plaque passe-câbles pleine quadro+ l 1000mm p 800mm</t>
  </si>
  <si>
    <t>141.3969€</t>
  </si>
  <si>
    <t>FN942E</t>
  </si>
  <si>
    <t>Plaque de couverture quadro+ pour fermer l'espace entre 2 cellules p 400mm</t>
  </si>
  <si>
    <t>15.179€</t>
  </si>
  <si>
    <t>FN080E</t>
  </si>
  <si>
    <t>Plaque passe-câbles pleine quadro+ l 400mm p 600mm</t>
  </si>
  <si>
    <t>80.9647€</t>
  </si>
  <si>
    <t>FN091E</t>
  </si>
  <si>
    <t>Plaque passe-câbles pleine quadro+ l 900mm p 600mm</t>
  </si>
  <si>
    <t>109.1082€</t>
  </si>
  <si>
    <t>FN117E</t>
  </si>
  <si>
    <t>Plaque passe-câbles ouverte quadro+ l 1000mm p 800mm</t>
  </si>
  <si>
    <t>219.6784€</t>
  </si>
  <si>
    <t>FN078E</t>
  </si>
  <si>
    <t>Plaque passe-câbles pleine quadro+ l 400mm p 400mm</t>
  </si>
  <si>
    <t>62.7972€</t>
  </si>
  <si>
    <t>FN102E</t>
  </si>
  <si>
    <t>Plaque passe-câbles ouverte quadro+ l 400mm p 800mm</t>
  </si>
  <si>
    <t>127.8175€</t>
  </si>
  <si>
    <t>FN112E</t>
  </si>
  <si>
    <t>Plaque passe-câbles ouverte quadro+ l 1000mm p 600mm</t>
  </si>
  <si>
    <t>200.3843€</t>
  </si>
  <si>
    <t>FN077E</t>
  </si>
  <si>
    <t>Plaque passe-câbles pleine quadro+ l 900mm p 800mm</t>
  </si>
  <si>
    <t>120.4387€</t>
  </si>
  <si>
    <t>FN101E</t>
  </si>
  <si>
    <t>Plaque passe-câbles ouverte quadro+ l 700mm p 400mm</t>
  </si>
  <si>
    <t>98.9559€</t>
  </si>
  <si>
    <t>FN089E</t>
  </si>
  <si>
    <t>Plaque passe-câbles pleine quadro+ l 700mm p 600mm</t>
  </si>
  <si>
    <t>91.7792€</t>
  </si>
  <si>
    <t>FN100E</t>
  </si>
  <si>
    <t>Plaque passe-câbles ouverte quadro+ l 400mm p 600mm</t>
  </si>
  <si>
    <t>116.0742€</t>
  </si>
  <si>
    <t>FZ760E</t>
  </si>
  <si>
    <t>Anneau de levage double quadro+ livré par 2 avec boulons M 12</t>
  </si>
  <si>
    <t>87.6254€</t>
  </si>
  <si>
    <t>FN084E</t>
  </si>
  <si>
    <t>Plaque passe-câbles pleine quadro+ l 1000mm p 400mm</t>
  </si>
  <si>
    <t>98.556€</t>
  </si>
  <si>
    <t>FN098E</t>
  </si>
  <si>
    <t>Plaque passe-câbles ouverte quadro+ l 400mm p 400mm</t>
  </si>
  <si>
    <t>91.4911€</t>
  </si>
  <si>
    <t>FZ795D</t>
  </si>
  <si>
    <t>Porte-document.metallique.adhésif.pour armoires FA/FT/FG</t>
  </si>
  <si>
    <t>44.9952€</t>
  </si>
  <si>
    <t>UC922E</t>
  </si>
  <si>
    <t>Barre Cu perforée M10 60X10 longueur 1750</t>
  </si>
  <si>
    <t>538.2267€</t>
  </si>
  <si>
    <t>UC844E</t>
  </si>
  <si>
    <t>Barre Cu perforée M10 50X10 longueur 1750</t>
  </si>
  <si>
    <t>456.9567€</t>
  </si>
  <si>
    <t>FL995A</t>
  </si>
  <si>
    <t>Kit équipement modulaire system c 5 rangées de 22 modules 800x500</t>
  </si>
  <si>
    <t>281.9295€</t>
  </si>
  <si>
    <t>FL478A</t>
  </si>
  <si>
    <t>Plaque de montage perforée orion plus tole d'acier 800x500</t>
  </si>
  <si>
    <t>108.532€</t>
  </si>
  <si>
    <t>UM92ZE</t>
  </si>
  <si>
    <t>Barre Cu gaine souple 24X5 514A longueur 2000</t>
  </si>
  <si>
    <t>217.9627€</t>
  </si>
  <si>
    <t>FL414A</t>
  </si>
  <si>
    <t>Plaque de montage pleine orion plus tole d'acier 800x500</t>
  </si>
  <si>
    <t>63.5712€</t>
  </si>
  <si>
    <t>UM92WE</t>
  </si>
  <si>
    <t>Barre Cu gaine souple 24X8 678A longueur 2000</t>
  </si>
  <si>
    <t>349.2589€</t>
  </si>
  <si>
    <t>UM92VE</t>
  </si>
  <si>
    <t>Barre Cu gaine souple 40X8 1040A longueur 2000</t>
  </si>
  <si>
    <t>600.5724€</t>
  </si>
  <si>
    <t>UC967E</t>
  </si>
  <si>
    <t>Barre Cu perforée M10 100X10 longueur 1750</t>
  </si>
  <si>
    <t>885.5506€</t>
  </si>
  <si>
    <t>UC966E</t>
  </si>
  <si>
    <t>Barre Cu perforée M10 80X10 longueur 1750</t>
  </si>
  <si>
    <t>707.8316€</t>
  </si>
  <si>
    <t>FZ598</t>
  </si>
  <si>
    <t>Fermeture à loquet 90SL. pour coffret IP43. univers</t>
  </si>
  <si>
    <t>10.7629€</t>
  </si>
  <si>
    <t>UC968E</t>
  </si>
  <si>
    <t>Barre Cu perforée M10 120X10 longueur 1750</t>
  </si>
  <si>
    <t>1031.8624€</t>
  </si>
  <si>
    <t>FD00A1</t>
  </si>
  <si>
    <t>Jeu de 10 bandes de marquage NewVegaD 24 modules de largeur</t>
  </si>
  <si>
    <t>8.1098€</t>
  </si>
  <si>
    <t>FD00A3</t>
  </si>
  <si>
    <t>Ecran de séparation horizontale pour coffret NewVegaD en saillie</t>
  </si>
  <si>
    <t>17.3204€</t>
  </si>
  <si>
    <t>FD00B1</t>
  </si>
  <si>
    <t>Jeu de 10 bracelets guide-fils pour coffrets VegaD montage en saillie</t>
  </si>
  <si>
    <t>35.604€</t>
  </si>
  <si>
    <t>FD00B2</t>
  </si>
  <si>
    <t>Jeu de 10 bracelets guide-fils pour coffrets VegaD montage encastré</t>
  </si>
  <si>
    <t>FD00C1</t>
  </si>
  <si>
    <t>Couvercle avec découpes pour 2 rangées modulaires (48 mod.) H300</t>
  </si>
  <si>
    <t>21.887€</t>
  </si>
  <si>
    <t>FD00C2</t>
  </si>
  <si>
    <t>Couvercle plein pour NewVegaD. 300x500mm</t>
  </si>
  <si>
    <t>FD00C3</t>
  </si>
  <si>
    <t>Couvercle avec découpe pour 1 rangée modulaire (24 mod.) H300</t>
  </si>
  <si>
    <t>FD00C4</t>
  </si>
  <si>
    <t>Couvercle avec découpe pour 1 rangée modulaire (24 mod.) H150</t>
  </si>
  <si>
    <t>14.6071€</t>
  </si>
  <si>
    <t>FD00C5</t>
  </si>
  <si>
    <t>Couvercle plein pour NewVegaD. 150x500mm</t>
  </si>
  <si>
    <t>FD00E1</t>
  </si>
  <si>
    <t>Jeu de 2 adaptateurs pour mécanismes systo</t>
  </si>
  <si>
    <t>14.6157€</t>
  </si>
  <si>
    <t>FD00F1</t>
  </si>
  <si>
    <t>Kit de juxtaposition latéral et horizontal</t>
  </si>
  <si>
    <t>27.5114€</t>
  </si>
  <si>
    <t>FD00F2</t>
  </si>
  <si>
    <t>Jeu de 4 pattes de fixation murale pour coffret NewVegaD saillie</t>
  </si>
  <si>
    <t>18.3094€</t>
  </si>
  <si>
    <t>FD00F3</t>
  </si>
  <si>
    <t>Support de fixation de cables 24 modules de largeur pour coffret NewVegaD</t>
  </si>
  <si>
    <t>10.5479€</t>
  </si>
  <si>
    <t>FD00H1</t>
  </si>
  <si>
    <t>2 supports plastiques noirs. NewVegaD. pour rail DIN</t>
  </si>
  <si>
    <t>22.1923€</t>
  </si>
  <si>
    <t>FD00H2</t>
  </si>
  <si>
    <t>2 supports plastiques NewVegaD pour rail DIN</t>
  </si>
  <si>
    <t>FD00P1</t>
  </si>
  <si>
    <t>Plaque passe câbles avec prédécoupes rectangulaires</t>
  </si>
  <si>
    <t>12.298€</t>
  </si>
  <si>
    <t>FD00P2</t>
  </si>
  <si>
    <t>Plaque passe câbles avec prédécoupes avec 2 entrées IP41</t>
  </si>
  <si>
    <t>FD00P3</t>
  </si>
  <si>
    <t>Plaque passe câbles avec prédécoupes rondes</t>
  </si>
  <si>
    <t>FD00P4</t>
  </si>
  <si>
    <t>Jeu de 2 obturateurs pour prédécoupes latérales</t>
  </si>
  <si>
    <t>15.4499€</t>
  </si>
  <si>
    <t>FD00Q1</t>
  </si>
  <si>
    <t>Traverse pour bornier SanVis pour coffret NewVegaD, largeur 24 mod,</t>
  </si>
  <si>
    <t>6.4629€</t>
  </si>
  <si>
    <t>FD00S0</t>
  </si>
  <si>
    <t>Fermeture standard (idem origine) VegaD IP4x</t>
  </si>
  <si>
    <t>24.1875€</t>
  </si>
  <si>
    <t>FD00S1</t>
  </si>
  <si>
    <t>Fermeture à clé 1242E pour porte NewVega D IP4x</t>
  </si>
  <si>
    <t>33.8496€</t>
  </si>
  <si>
    <t>FD00S2</t>
  </si>
  <si>
    <t>Fermeture triangle de 7mm pour porte NewVegaD IP4x</t>
  </si>
  <si>
    <t>FD00S3</t>
  </si>
  <si>
    <t>Fermeture carré de 7mm pour porte NewVegaD IP4x</t>
  </si>
  <si>
    <t>FD00S4</t>
  </si>
  <si>
    <t>Fermeture à clé 405 pour porte NewVegaD IP4x</t>
  </si>
  <si>
    <t>FD00S5</t>
  </si>
  <si>
    <t>Fermeture double barre de 3mm pour porte NewVegaD IP4x</t>
  </si>
  <si>
    <t>FD00T1</t>
  </si>
  <si>
    <t>Jeu de 4 goulottes de câblage horizontale VegaD</t>
  </si>
  <si>
    <t>54.6573€</t>
  </si>
  <si>
    <t>FD01A1</t>
  </si>
  <si>
    <t>kit 1x24 modulaire h150 mm</t>
  </si>
  <si>
    <t>50.7314€</t>
  </si>
  <si>
    <t>FD02A1</t>
  </si>
  <si>
    <t>Kit modulaire NewVegaD 2x24 modules 300x500mm</t>
  </si>
  <si>
    <t>76.0756€</t>
  </si>
  <si>
    <t>FD02A2</t>
  </si>
  <si>
    <t>Kit 2 rails réglables plastron plein  h300mm</t>
  </si>
  <si>
    <t>109.435€</t>
  </si>
  <si>
    <t>FD02A3</t>
  </si>
  <si>
    <t>Kit 1x24  modules + 1 rail pour bornier h300</t>
  </si>
  <si>
    <t>FD02C2</t>
  </si>
  <si>
    <t>Kit  platine perforée  réglable en profondeur h300mm</t>
  </si>
  <si>
    <t>138.8685€</t>
  </si>
  <si>
    <t>FD02F1</t>
  </si>
  <si>
    <t>Kit pour disjoncteur de branchement seul h300mm</t>
  </si>
  <si>
    <t>115.2615€</t>
  </si>
  <si>
    <t>FD02F2</t>
  </si>
  <si>
    <t>Kit pour disjoncteur branchement + compteur électrique h300mm</t>
  </si>
  <si>
    <t>174.5327€</t>
  </si>
  <si>
    <t>FD02K1</t>
  </si>
  <si>
    <t>Kit Disjoncteur h3 160A avec ou sans bloc différentiel h300mm</t>
  </si>
  <si>
    <t>94.4237€</t>
  </si>
  <si>
    <t>FD03Z1</t>
  </si>
  <si>
    <t>Kit pour compteur électrique + disjoncteur triphasé 450x500 VegaD</t>
  </si>
  <si>
    <t>274.9291€</t>
  </si>
  <si>
    <t>FD22PN</t>
  </si>
  <si>
    <t>Porte pleine 400x500mm pour coffret NewVegaD</t>
  </si>
  <si>
    <t>64.5215€</t>
  </si>
  <si>
    <t>FD22TN</t>
  </si>
  <si>
    <t>Porte transparente 400x500mm pour coffret NewVegaD</t>
  </si>
  <si>
    <t>102.3959€</t>
  </si>
  <si>
    <t>FD32PN</t>
  </si>
  <si>
    <t>Porte pleine 550x500mm pour coffret NewVegaD</t>
  </si>
  <si>
    <t>79.7951€</t>
  </si>
  <si>
    <t>FD32TN</t>
  </si>
  <si>
    <t>Porte transparente 550x500mm pour coffret NewVegaD</t>
  </si>
  <si>
    <t>149.4809€</t>
  </si>
  <si>
    <t>FD42PN</t>
  </si>
  <si>
    <t>Porte pleine 700x500mm pour coffret NewVegaD</t>
  </si>
  <si>
    <t>88.3779€</t>
  </si>
  <si>
    <t>FD42TN</t>
  </si>
  <si>
    <t>Porte transparente 700x500mm pour coffret NewVegaD</t>
  </si>
  <si>
    <t>165.4382€</t>
  </si>
  <si>
    <t>FD52PN</t>
  </si>
  <si>
    <t>Porte pleine. NewVegaD. 850x500mm. pour coffret 5-rangées</t>
  </si>
  <si>
    <t>99.5235€</t>
  </si>
  <si>
    <t>FD52TN</t>
  </si>
  <si>
    <t>Porte transparente 850x500mm pour coffret NewVegaD</t>
  </si>
  <si>
    <t>186.7447€</t>
  </si>
  <si>
    <t>FD62PN</t>
  </si>
  <si>
    <t>Porte pleine 1000x500mm pour coffret NewVegaD</t>
  </si>
  <si>
    <t>108.4976€</t>
  </si>
  <si>
    <t>FD62TN</t>
  </si>
  <si>
    <t>Porte transparente 1000x500mm pour coffret NewVegaD</t>
  </si>
  <si>
    <t>203.6093€</t>
  </si>
  <si>
    <t>FD72PN</t>
  </si>
  <si>
    <t>Porte pleine 1150x500mm pour coffret NewVegaD</t>
  </si>
  <si>
    <t>126.3082€</t>
  </si>
  <si>
    <t>FD72TN</t>
  </si>
  <si>
    <t>Porte transparente 1150x500mm pour coffret NewVegaD</t>
  </si>
  <si>
    <t>239.8884€</t>
  </si>
  <si>
    <t>FL210Z</t>
  </si>
  <si>
    <t>Ventilateur IP54 230VAC 53m3/h h 150mm l 150mm RAL 7035</t>
  </si>
  <si>
    <t>177.9297€</t>
  </si>
  <si>
    <t>FL216Z</t>
  </si>
  <si>
    <t>Ventilateur IP54 230VAC 520m3/h h 325mm l 325mm RAL 7035</t>
  </si>
  <si>
    <t>548.6198€</t>
  </si>
  <si>
    <t>FL226Z</t>
  </si>
  <si>
    <t>Grille de ventilation quadro+ IP54 h 325mm l 325mm p 33mm</t>
  </si>
  <si>
    <t>99.6654€</t>
  </si>
  <si>
    <t>FL230Z</t>
  </si>
  <si>
    <t>Filtre pour grille et ventilateur 150x150</t>
  </si>
  <si>
    <t>9.7739€</t>
  </si>
  <si>
    <t>FL234Z</t>
  </si>
  <si>
    <t>Filtre pour grille et ventilateur 250x250</t>
  </si>
  <si>
    <t>15.7294€</t>
  </si>
  <si>
    <t>FL236Z</t>
  </si>
  <si>
    <t>Filtre pour grille et ventilateur 325x325</t>
  </si>
  <si>
    <t>19.6725€</t>
  </si>
  <si>
    <t>FL259Z</t>
  </si>
  <si>
    <t>Thermostat  pour ventilateur IP20 h 68mm l 29mm p 45mm</t>
  </si>
  <si>
    <t>117.1535€</t>
  </si>
  <si>
    <t>UZ02B9</t>
  </si>
  <si>
    <t>Jeu de 2 rails DIN pour coffret VegaD</t>
  </si>
  <si>
    <t>27.2491€</t>
  </si>
  <si>
    <t>VZ405N</t>
  </si>
  <si>
    <t>kit, Volta, de montage dans cloison creuse</t>
  </si>
  <si>
    <t>56.4891€</t>
  </si>
  <si>
    <t>VZ741</t>
  </si>
  <si>
    <t>Plaque passe fils IP41 pour coffrets VegaD</t>
  </si>
  <si>
    <t>71.1306€</t>
  </si>
  <si>
    <t>WS179</t>
  </si>
  <si>
    <t>Volet blanc pour mécanisme systo monté sur VegaD</t>
  </si>
  <si>
    <t>8.7075€</t>
  </si>
  <si>
    <t>FD01K1</t>
  </si>
  <si>
    <t>Kit Disjoncteur h3 160A montage horizontal h150m</t>
  </si>
  <si>
    <t>174.0253€</t>
  </si>
  <si>
    <t>FD00P5</t>
  </si>
  <si>
    <t>Jeu de 2 ventilations pour prédécoupes latérales</t>
  </si>
  <si>
    <t>FN946E</t>
  </si>
  <si>
    <t>Plaque de couverture quadro+ pour fermer l'espace entre 2 cellules largeur 450mm</t>
  </si>
  <si>
    <t>22.188€</t>
  </si>
  <si>
    <t>FN947E</t>
  </si>
  <si>
    <t>Plaque de couverture quadro+ pour fermer l'espace entre 2 cellules largeur 700mm</t>
  </si>
  <si>
    <t>26.0193€</t>
  </si>
  <si>
    <t>FN948E</t>
  </si>
  <si>
    <t>Plaque de couverture quadro+ pour fermer l'espace entre 2 cellules largeur 900mm</t>
  </si>
  <si>
    <t>31.1879€</t>
  </si>
  <si>
    <t>FN949E</t>
  </si>
  <si>
    <t>Plaque de couverture quadro+ pour fermer l'espace entre 2 cellules largeur1000mm</t>
  </si>
  <si>
    <t>34.6494€</t>
  </si>
  <si>
    <t>FN954E</t>
  </si>
  <si>
    <t>Kit de juxtaposition dos à dos quadro+ plus</t>
  </si>
  <si>
    <t>60.802€</t>
  </si>
  <si>
    <t>UC813</t>
  </si>
  <si>
    <t>Traverse support barres quadro4 - quadro5 - quadro+ jeux de barres 750 mm</t>
  </si>
  <si>
    <t>49.278€</t>
  </si>
  <si>
    <t>FZ230A</t>
  </si>
  <si>
    <t>Support plastique  univers 275mm</t>
  </si>
  <si>
    <t>34.8558€</t>
  </si>
  <si>
    <t>FZ230B</t>
  </si>
  <si>
    <t>Support plastique  univers 400mm</t>
  </si>
  <si>
    <t>38.7172€</t>
  </si>
  <si>
    <t>FZ421A</t>
  </si>
  <si>
    <t>Insert ver plaque passe-cables</t>
  </si>
  <si>
    <t>120.7655€</t>
  </si>
  <si>
    <t>FZ435A</t>
  </si>
  <si>
    <t>Plaque fermeture basse univers</t>
  </si>
  <si>
    <t>FZ448</t>
  </si>
  <si>
    <t>FZ506</t>
  </si>
  <si>
    <t>Demi cylindre univers 1242E</t>
  </si>
  <si>
    <t>42.9527€</t>
  </si>
  <si>
    <t>FZ519</t>
  </si>
  <si>
    <t>Demi cylindre univers 405</t>
  </si>
  <si>
    <t>FZ520</t>
  </si>
  <si>
    <t>Demi cylindre univers 455</t>
  </si>
  <si>
    <t>FZ537</t>
  </si>
  <si>
    <t>Levier pivotant.univers.pour FR/FG armoires. avec Hager logo</t>
  </si>
  <si>
    <t>64.414€</t>
  </si>
  <si>
    <t>FZ631A</t>
  </si>
  <si>
    <t>Socle.univers.100x300x205mm.pour armoires FR/FS</t>
  </si>
  <si>
    <t>266.2345€</t>
  </si>
  <si>
    <t>FZ632A</t>
  </si>
  <si>
    <t>Socle.univers.100x550x275mm.pour armoires FR/FS</t>
  </si>
  <si>
    <t>310.3396€</t>
  </si>
  <si>
    <t>FZ633A</t>
  </si>
  <si>
    <t>Socle.univers.100x800x275mm.pour armoires FR/FS</t>
  </si>
  <si>
    <t>361.4064€</t>
  </si>
  <si>
    <t>FZ634A</t>
  </si>
  <si>
    <t>Socle.univers.100x1050x275mm.pour armoires FR/FS</t>
  </si>
  <si>
    <t>384.6178€</t>
  </si>
  <si>
    <t>FZ635A</t>
  </si>
  <si>
    <t>Socle.univers.100x1300x275mm.pour armoires FR/FS</t>
  </si>
  <si>
    <t>408.6032€</t>
  </si>
  <si>
    <t>FZ636A</t>
  </si>
  <si>
    <t>Socle.univers.100x1550x275mm.pour armoires FR/FS</t>
  </si>
  <si>
    <t>433.3669€</t>
  </si>
  <si>
    <t>FZ651A</t>
  </si>
  <si>
    <t>Socle.univers.100x300x400mm.pour armoires FR/FS</t>
  </si>
  <si>
    <t>279.3839€</t>
  </si>
  <si>
    <t>FZ652A</t>
  </si>
  <si>
    <t>Socle.univers.100x550x400mm.pour armoires FR/FS</t>
  </si>
  <si>
    <t>325.8067€</t>
  </si>
  <si>
    <t>FZ653A</t>
  </si>
  <si>
    <t>Socle.univers.100x800x400mm.pour armoires FR/FS</t>
  </si>
  <si>
    <t>379.2041€</t>
  </si>
  <si>
    <t>FZ654A</t>
  </si>
  <si>
    <t>Socle.univers.200x1050x400mm.pour armoires FR/FS</t>
  </si>
  <si>
    <t>403.1981€</t>
  </si>
  <si>
    <t>FZ655A</t>
  </si>
  <si>
    <t>Socle.univers.100x1300x400mm.pour armoires FR/FS</t>
  </si>
  <si>
    <t>428.7358€</t>
  </si>
  <si>
    <t>FZ656A</t>
  </si>
  <si>
    <t>Socle.univers.100x1550x400mm.pour armoires FR/FS</t>
  </si>
  <si>
    <t>455.0389€</t>
  </si>
  <si>
    <t>FZ721A</t>
  </si>
  <si>
    <t>Kit juxtaposition horizontal univers 275</t>
  </si>
  <si>
    <t>90.5752€</t>
  </si>
  <si>
    <t>FZ721B</t>
  </si>
  <si>
    <t>Kit juxtaposition horizontal univers 400</t>
  </si>
  <si>
    <t>95.2106€</t>
  </si>
  <si>
    <t>FZ739A</t>
  </si>
  <si>
    <t>Rail porte univers lg  300mm</t>
  </si>
  <si>
    <t>42.5958€</t>
  </si>
  <si>
    <t>FZ739B</t>
  </si>
  <si>
    <t>Rail porte univers lg  550mm</t>
  </si>
  <si>
    <t>44.1395€</t>
  </si>
  <si>
    <t>FZ739C</t>
  </si>
  <si>
    <t>Rail porte univers lg  800mm</t>
  </si>
  <si>
    <t>45.6918€</t>
  </si>
  <si>
    <t>FZ771A</t>
  </si>
  <si>
    <t>Kit juxtaposition vertical lg 300</t>
  </si>
  <si>
    <t>68.9075€</t>
  </si>
  <si>
    <t>FZ772A</t>
  </si>
  <si>
    <t>Kit juxtaposition vertical lg 550</t>
  </si>
  <si>
    <t>78.9824€</t>
  </si>
  <si>
    <t>FZ773A</t>
  </si>
  <si>
    <t>Kit juxtaposition vertical lg 800</t>
  </si>
  <si>
    <t>89.8055€</t>
  </si>
  <si>
    <t>FZ774A</t>
  </si>
  <si>
    <t>Kit juxtaposition vertical lg 1050</t>
  </si>
  <si>
    <t>107.5903€</t>
  </si>
  <si>
    <t>FZ775A</t>
  </si>
  <si>
    <t>Kit juxtaposition vertical lg 1300</t>
  </si>
  <si>
    <t>128.4797€</t>
  </si>
  <si>
    <t>FZ776A</t>
  </si>
  <si>
    <t>Kit juxtaposition vertical lg 1550</t>
  </si>
  <si>
    <t>154.0174€</t>
  </si>
  <si>
    <t>FZ7801</t>
  </si>
  <si>
    <t>Rail fixation cables univers lg300</t>
  </si>
  <si>
    <t>FZ7811</t>
  </si>
  <si>
    <t>Rail fixation cables univers lg550</t>
  </si>
  <si>
    <t>FZ7821</t>
  </si>
  <si>
    <t>Rail fixation cables univers lg800</t>
  </si>
  <si>
    <t>FZ797A</t>
  </si>
  <si>
    <t>Axe de charnière.univers.FR armoires. 10pièces</t>
  </si>
  <si>
    <t>FZ800B</t>
  </si>
  <si>
    <t>Equerre porte 275 CL II IP55</t>
  </si>
  <si>
    <t>9.3224€</t>
  </si>
  <si>
    <t>FZ800D</t>
  </si>
  <si>
    <t>Equerre porte 400 CL II IP55</t>
  </si>
  <si>
    <t>10.8747€</t>
  </si>
  <si>
    <t>FZ801A</t>
  </si>
  <si>
    <t>Equerre fixation rail socle h100</t>
  </si>
  <si>
    <t>19.3672€</t>
  </si>
  <si>
    <t>FZ801B</t>
  </si>
  <si>
    <t>Equerre fixation rail socle h200</t>
  </si>
  <si>
    <t>27.1115€</t>
  </si>
  <si>
    <t>FZ831</t>
  </si>
  <si>
    <t>anneaux de levage univers M8</t>
  </si>
  <si>
    <t>87.4663€</t>
  </si>
  <si>
    <t>FZ8441</t>
  </si>
  <si>
    <t>Rail fixation cables univers lg1050</t>
  </si>
  <si>
    <t>47.2355€</t>
  </si>
  <si>
    <t>FZ8451</t>
  </si>
  <si>
    <t>Rail fixation cables univers lg1300</t>
  </si>
  <si>
    <t>48.7878€</t>
  </si>
  <si>
    <t>FZ8461</t>
  </si>
  <si>
    <t>Rail fixation cables univers lg1550</t>
  </si>
  <si>
    <t>71.2252€</t>
  </si>
  <si>
    <t>UT21A</t>
  </si>
  <si>
    <t>Support rail horizontal largeur 250mm</t>
  </si>
  <si>
    <t>68.2453€</t>
  </si>
  <si>
    <t>UT21B</t>
  </si>
  <si>
    <t>Support rail horizontal largeur 500mm</t>
  </si>
  <si>
    <t>78.2299€</t>
  </si>
  <si>
    <t>UT21C</t>
  </si>
  <si>
    <t>Support rail horizontal largeur 750mm</t>
  </si>
  <si>
    <t>88.9326€</t>
  </si>
  <si>
    <t>UT21D</t>
  </si>
  <si>
    <t>Support rail horizontal largeur 1000mm</t>
  </si>
  <si>
    <t>106.5626€</t>
  </si>
  <si>
    <t>UT21E</t>
  </si>
  <si>
    <t>Support rail horizontal largeur 1250mm</t>
  </si>
  <si>
    <t>127.237€</t>
  </si>
  <si>
    <t>UT21F</t>
  </si>
  <si>
    <t>Support rail horizontal largeur 1500mm</t>
  </si>
  <si>
    <t>152.5425€</t>
  </si>
  <si>
    <t>FD02K2</t>
  </si>
  <si>
    <t>Kit, NewVegaD,300x500mm, Disj.h3+ 250A(In 160A) avec bloc différentiel</t>
  </si>
  <si>
    <t>FZ829</t>
  </si>
  <si>
    <t>Patte de fixation murale,univers,pour FR/FS armoires</t>
  </si>
  <si>
    <t>21.6591€</t>
  </si>
  <si>
    <t>UC968</t>
  </si>
  <si>
    <t>Le UC968 est une barre en cuivre perforé et taraudé M10 1250A de Hager. De dimensions L125mm x P5mm x L1750mm. elle peut être recoupée pour réaliser des jeux de barres ou un conducteur de protection dans les tableaux électriques.</t>
  </si>
  <si>
    <t>472.6173€</t>
  </si>
  <si>
    <t>FD00G1</t>
  </si>
  <si>
    <t>Adaptateur New VegaD surface. pour mécanisme Gallery</t>
  </si>
  <si>
    <t>FL74Z</t>
  </si>
  <si>
    <t>Fermeture insert.orion plus.coffret polyester.triangulaire.8mm</t>
  </si>
  <si>
    <t>15.7509€</t>
  </si>
  <si>
    <t>FL75Z</t>
  </si>
  <si>
    <t>Le FL75Z est un Fermeture insert.orion plus.double barre. 3mm pour coffret électrique orion plus de Hager. Il fait partie des nombreux accessoires de la gamme.</t>
  </si>
  <si>
    <t>FL76Z</t>
  </si>
  <si>
    <t>Fermeture insert. orion plus.8x8mm.carrée</t>
  </si>
  <si>
    <t>FZ402AL</t>
  </si>
  <si>
    <t>Plaque ALU passe-câbles quadro evo</t>
  </si>
  <si>
    <t>30.7192€</t>
  </si>
  <si>
    <t>FZ403WP</t>
  </si>
  <si>
    <t>Ventilation bonnet.pour plaque entrée de câbles mortaise. en haut</t>
  </si>
  <si>
    <t>38.0593€</t>
  </si>
  <si>
    <t>FZ407M</t>
  </si>
  <si>
    <t>Entrée de câbles. univers.IP55. métrique prédécoupage pour presse-étoupe</t>
  </si>
  <si>
    <t>27.3265€</t>
  </si>
  <si>
    <t>FZ408M</t>
  </si>
  <si>
    <t>FZ415N</t>
  </si>
  <si>
    <t>Entrée de câbles.univers.metal. avec 2 bec pour câble d=30-72mm.CL1</t>
  </si>
  <si>
    <t>106.0509€</t>
  </si>
  <si>
    <t>FZ415S</t>
  </si>
  <si>
    <t>Entrée de câbles.univers.plastique. avec 2 bec pour câble d=23-55mm. CL2</t>
  </si>
  <si>
    <t>UC000BB</t>
  </si>
  <si>
    <t>Kit support isolant pour jeu de barres. quadro.evo 4pcs</t>
  </si>
  <si>
    <t>53.707€</t>
  </si>
  <si>
    <t>UC300BB</t>
  </si>
  <si>
    <t>Traverse porte-barres pour quadro.evo L300</t>
  </si>
  <si>
    <t>47.1581€</t>
  </si>
  <si>
    <t>UC400BB</t>
  </si>
  <si>
    <t>Traverse porte-barres pour quadro.evo L400</t>
  </si>
  <si>
    <t>50.4304€</t>
  </si>
  <si>
    <t>UC500BB</t>
  </si>
  <si>
    <t>Traverse porte-barres pour quadro.evo L500</t>
  </si>
  <si>
    <t>UC600BB</t>
  </si>
  <si>
    <t>Traverse porte-barres pour quadro.evo L600</t>
  </si>
  <si>
    <t>60.9052€</t>
  </si>
  <si>
    <t>UC700BB</t>
  </si>
  <si>
    <t>Traverse porte-barres pour quadro.evo L700</t>
  </si>
  <si>
    <t>67.4541€</t>
  </si>
  <si>
    <t>UC800BB</t>
  </si>
  <si>
    <t>Traverse porte-barres pour quadro.evo L800</t>
  </si>
  <si>
    <t>74.0073€</t>
  </si>
  <si>
    <t>UC8110BB</t>
  </si>
  <si>
    <t>Kit pour jeu de barres. quadro.evo 4x(1 barre de 10mm)</t>
  </si>
  <si>
    <t>87.7544€</t>
  </si>
  <si>
    <t>UC8210BB</t>
  </si>
  <si>
    <t>Kit pour jeu de barres. quadro.evo 4x(2 barres de 10mm)</t>
  </si>
  <si>
    <t>UC825BB</t>
  </si>
  <si>
    <t>Kit pour jeu de barres. quadro.evo 4x(2 barres de 5mm)</t>
  </si>
  <si>
    <t>UC8310BB</t>
  </si>
  <si>
    <t>Kit pour jeu de barres. quadro.evo 4x(3 barres de 10mm)</t>
  </si>
  <si>
    <t>121.1396€</t>
  </si>
  <si>
    <t>UC835XHP</t>
  </si>
  <si>
    <t>Isolateur support M8x35mm</t>
  </si>
  <si>
    <t>UC843</t>
  </si>
  <si>
    <t>Barre Cu perforée M6 32X5 longueur 1750</t>
  </si>
  <si>
    <t>158.9882€</t>
  </si>
  <si>
    <t>UC9125C</t>
  </si>
  <si>
    <t>Eclisse cuivre. quadro evo. 1250A (jeu de 4)</t>
  </si>
  <si>
    <t>176.386€</t>
  </si>
  <si>
    <t>UC9125T</t>
  </si>
  <si>
    <t>Dérivation cuivre. quadro evo 1250A (jeu de 4)</t>
  </si>
  <si>
    <t>160.1793€</t>
  </si>
  <si>
    <t>UC913</t>
  </si>
  <si>
    <t>Goulot câblage horiz 30X80 600</t>
  </si>
  <si>
    <t>10.535€</t>
  </si>
  <si>
    <t>UC9160C</t>
  </si>
  <si>
    <t>Eclisse cuivre. quadro evo. 1600A (jeu de 4)</t>
  </si>
  <si>
    <t>288.5644€</t>
  </si>
  <si>
    <t>UC918125AL</t>
  </si>
  <si>
    <t>Barre profilée en aluminium. quadro.evo L1800 1250A</t>
  </si>
  <si>
    <t>249.4€</t>
  </si>
  <si>
    <t>UC918160AL</t>
  </si>
  <si>
    <t>Barre profilée en aluminium. quadro.evo L1800 1600A</t>
  </si>
  <si>
    <t>UC91880AL</t>
  </si>
  <si>
    <t>Barre profilée en aluminium. quadro.evo L1800 800A</t>
  </si>
  <si>
    <t>167.7€</t>
  </si>
  <si>
    <t>UC920125AL</t>
  </si>
  <si>
    <t>Barre profilée en aluminium. quadro.evo L2000 1250A</t>
  </si>
  <si>
    <t>269.6702€</t>
  </si>
  <si>
    <t>UC920160AL</t>
  </si>
  <si>
    <t>Barre profilée en aluminium. quadro.evo L2000 1600A</t>
  </si>
  <si>
    <t>345.4706€</t>
  </si>
  <si>
    <t>UC92080AL</t>
  </si>
  <si>
    <t>Barre profilée en aluminium. quadro.evo L2000 800A</t>
  </si>
  <si>
    <t>193.2119€</t>
  </si>
  <si>
    <t>UC978</t>
  </si>
  <si>
    <t>Barret départ terre+entret.750</t>
  </si>
  <si>
    <t>90.1538€</t>
  </si>
  <si>
    <t>UC9800C</t>
  </si>
  <si>
    <t>Eclisse cuivre. quadro evo. 800A (jeu de 4)</t>
  </si>
  <si>
    <t>147.2062€</t>
  </si>
  <si>
    <t>UC9800T</t>
  </si>
  <si>
    <t>Dérivation cuivre. quadro evo 800A (jeu de 4)</t>
  </si>
  <si>
    <t>133.601€</t>
  </si>
  <si>
    <t>UC9825S</t>
  </si>
  <si>
    <t>Vis tête marteau. quadro.evo M8x25mm.50Pz</t>
  </si>
  <si>
    <t>93.396€</t>
  </si>
  <si>
    <t>UC9840S</t>
  </si>
  <si>
    <t>Vis tête marteau. quadro.evo M8x40mm.50Pz</t>
  </si>
  <si>
    <t>114.1478€</t>
  </si>
  <si>
    <t>UC989</t>
  </si>
  <si>
    <t>Traverses universelles L700 mm</t>
  </si>
  <si>
    <t>30.4999€</t>
  </si>
  <si>
    <t>UZ10GFR</t>
  </si>
  <si>
    <t>Barre en fibre de verre. 30x10x1000mm. rectangle</t>
  </si>
  <si>
    <t>58.3811€</t>
  </si>
  <si>
    <t>UZ20GFR</t>
  </si>
  <si>
    <t>Barre en fibre de verre. 30x10x2000mm. rectangle</t>
  </si>
  <si>
    <t>102.4733€</t>
  </si>
  <si>
    <t>FC000SPH</t>
  </si>
  <si>
    <t>Le FC000SPH est un jeu de Charnière de rechange pour porte quadro.4 compatible avec la série de coffret électrique quadro4 de Hager</t>
  </si>
  <si>
    <t>23.0007€</t>
  </si>
  <si>
    <t>FN1945AF</t>
  </si>
  <si>
    <t>Cadre de finition IP30/31 quadro evo 1900x450</t>
  </si>
  <si>
    <t>104.49€</t>
  </si>
  <si>
    <t>FN1970AF</t>
  </si>
  <si>
    <t>Cadre de finition IP30/31 quadro evo 1900x700</t>
  </si>
  <si>
    <t>154.1593€</t>
  </si>
  <si>
    <t>FN1990AF</t>
  </si>
  <si>
    <t>Cadre de finition IP30/31 quadro evo 1900x900</t>
  </si>
  <si>
    <t>173.4405€</t>
  </si>
  <si>
    <t>FN2145AF</t>
  </si>
  <si>
    <t>Cadre de finition IP30/31 quadro evo 2100x450</t>
  </si>
  <si>
    <t>107.7666€</t>
  </si>
  <si>
    <t>FN2170AF</t>
  </si>
  <si>
    <t>Cadre de finition IP30/31 quadro evo 2100x700</t>
  </si>
  <si>
    <t>158.7818€</t>
  </si>
  <si>
    <t>FN2190AF</t>
  </si>
  <si>
    <t>Cadre de finition IP30/31 quadro evo 2100x900</t>
  </si>
  <si>
    <t>178.6435€</t>
  </si>
  <si>
    <t>UC000HTS</t>
  </si>
  <si>
    <t>Support de goulotte horizontale quadro evo (pack de 6 pièces)</t>
  </si>
  <si>
    <t>6.5317€</t>
  </si>
  <si>
    <t>FZ12MK</t>
  </si>
  <si>
    <t>Panneau de brassage.universel.Keystone.12x.vide</t>
  </si>
  <si>
    <t>44.7716€</t>
  </si>
  <si>
    <t>UM00M0</t>
  </si>
  <si>
    <t>Plaque de montage plastique. 175x250mm</t>
  </si>
  <si>
    <t>44.3373€</t>
  </si>
  <si>
    <t>TN010S</t>
  </si>
  <si>
    <t>Module Fiche F</t>
  </si>
  <si>
    <t>12.5646€</t>
  </si>
  <si>
    <t>VZ00ASF</t>
  </si>
  <si>
    <t>Bloc multiprises avec 3 prises rotatives</t>
  </si>
  <si>
    <t>42.6302€</t>
  </si>
  <si>
    <t>FM424</t>
  </si>
  <si>
    <t>Kit gaine à câbles Quadro5 pour armoire FM304 h 1110mm l 197mm p 260mm</t>
  </si>
  <si>
    <t>74.8974€</t>
  </si>
  <si>
    <t>FM425</t>
  </si>
  <si>
    <t>Kit gaine à câbles Quadro5 pour armoire FM305 h 1260mm l 197mm p 260mm</t>
  </si>
  <si>
    <t>105.8058€</t>
  </si>
  <si>
    <t>FM426</t>
  </si>
  <si>
    <t>Kit gaine à câbles Quadro5 pour armoire FM306 h 1410mm l 197mm p 260mm</t>
  </si>
  <si>
    <t>122.0942€</t>
  </si>
  <si>
    <t>FM451</t>
  </si>
  <si>
    <t>Socle Quadro5 h 150mm l 900mm p 260mm</t>
  </si>
  <si>
    <t>137.342€</t>
  </si>
  <si>
    <t>FM554</t>
  </si>
  <si>
    <t>Porte pleine Quadro5 h 1110mm l 900mm</t>
  </si>
  <si>
    <t>246.863€</t>
  </si>
  <si>
    <t>FM555</t>
  </si>
  <si>
    <t>Porte pleine Quadro5 h 1260mm l 900mm</t>
  </si>
  <si>
    <t>290.4263€</t>
  </si>
  <si>
    <t>FM556</t>
  </si>
  <si>
    <t>Porte pleine Quadro5 h 1410mm l 900mm</t>
  </si>
  <si>
    <t>341.6823€</t>
  </si>
  <si>
    <t>FM564</t>
  </si>
  <si>
    <t>Porte transparente Quadro5 h 1110mm l 900mm</t>
  </si>
  <si>
    <t>449.4403€</t>
  </si>
  <si>
    <t>FM565</t>
  </si>
  <si>
    <t>Porte transparente Quadro5 h 1260mm l 900mm</t>
  </si>
  <si>
    <t>528.7495€</t>
  </si>
  <si>
    <t>FM566</t>
  </si>
  <si>
    <t>Porte transparente Quadro5 h 1410mm l 900mm</t>
  </si>
  <si>
    <t>622.0595€</t>
  </si>
  <si>
    <t>FZ441B</t>
  </si>
  <si>
    <t>Kit d´association univers. vertical. pour armoires 1 travée P:160/205mm</t>
  </si>
  <si>
    <t>38.9322€</t>
  </si>
  <si>
    <t>FZ442B</t>
  </si>
  <si>
    <t>Kit d´association univers. vertical. pour armoires 2 travées P:160/205mm</t>
  </si>
  <si>
    <t>FZ443B</t>
  </si>
  <si>
    <t>Kit d´association univers. vertical. pour armoires 3 travées P:160/205mm</t>
  </si>
  <si>
    <t>FZ444B</t>
  </si>
  <si>
    <t>Kit d´association univers. vertical. pour armoires 4 travées P:160/205mm</t>
  </si>
  <si>
    <t>FZ966S</t>
  </si>
  <si>
    <t>Entretoise horizontale pour rail de montage d\'armoires Univers</t>
  </si>
  <si>
    <t>8.0797€</t>
  </si>
  <si>
    <t>FZ967S</t>
  </si>
  <si>
    <t>Capot pour patte de fixation inférieure Univers. RAL9010 (2x)</t>
  </si>
  <si>
    <t>UC500</t>
  </si>
  <si>
    <t>Traverse support barres universel Quadro4 - Quadro5  jeux de barres 500 mm</t>
  </si>
  <si>
    <t>22.4374€</t>
  </si>
  <si>
    <t>UC500SB</t>
  </si>
  <si>
    <t>Étagère de support de jeu de barres en aluminium Quadro.System 160-630A L500 mm</t>
  </si>
  <si>
    <t>31.4115€</t>
  </si>
  <si>
    <t>UC700</t>
  </si>
  <si>
    <t>Traverse support barres universel quadro4 - quadro5  jeux de barres 750 mm</t>
  </si>
  <si>
    <t>UC700SB</t>
  </si>
  <si>
    <t>Étagère de support de jeu de barres en aluminium Quadro.System 160-630A L700 mm</t>
  </si>
  <si>
    <t>40.3856€</t>
  </si>
  <si>
    <t>UC820N</t>
  </si>
  <si>
    <t>Support barre Quadro4-Quadro5 4P 160-250-630A arrière à plat</t>
  </si>
  <si>
    <t>UC829</t>
  </si>
  <si>
    <t>Ecran protection jeu de barre 400-630A 1000x565 mm</t>
  </si>
  <si>
    <t>53.8446€</t>
  </si>
  <si>
    <t>UC915N</t>
  </si>
  <si>
    <t>Support goulotte vertical Quadro4-Quadro5</t>
  </si>
  <si>
    <t>7.181€</t>
  </si>
  <si>
    <t>UC920250AL</t>
  </si>
  <si>
    <t>Barre profilée en aluminium pour jeu de barre aluminium pour les armoires quadro evo de longueur 2000m pour une intensité de 2500A</t>
  </si>
  <si>
    <t>538.4417€</t>
  </si>
  <si>
    <t>UC920400AL</t>
  </si>
  <si>
    <t>Barre profilée en aluminium pour jeu de barre aluminium pour les armoires quadro evo de longueur 2000m pour une intensité de 4000A</t>
  </si>
  <si>
    <t>717.9194€</t>
  </si>
  <si>
    <t>UCBS80BB</t>
  </si>
  <si>
    <t>Support de barres mont en gr,quadro,800A</t>
  </si>
  <si>
    <t>26.9223€</t>
  </si>
  <si>
    <t>FL105A</t>
  </si>
  <si>
    <t>Coffret métallique orion plus étanche IP65 porte opaque h 350mm l 300mm p 200mm</t>
  </si>
  <si>
    <t xml:space="preserve">HATEOM03 </t>
  </si>
  <si>
    <t>COFFRETS ORION</t>
  </si>
  <si>
    <t>174.0124€</t>
  </si>
  <si>
    <t>FL229B</t>
  </si>
  <si>
    <t>Coffret polyester orion plus porte opaque étanche IP 65 h 800mm l 600mm p 300mm</t>
  </si>
  <si>
    <t>450.6142€</t>
  </si>
  <si>
    <t>FL104A</t>
  </si>
  <si>
    <t>Coffret métallique orion plus étanche IP65 porte opaque h 350mm l 300mm p 160mm</t>
  </si>
  <si>
    <t>159.4182€</t>
  </si>
  <si>
    <t>FL130A</t>
  </si>
  <si>
    <t>Coffret métallique orion plus étanche IP65 porte opaque h 1250mm l 800mm p 300mm</t>
  </si>
  <si>
    <t>717.6098€</t>
  </si>
  <si>
    <t>FL221B</t>
  </si>
  <si>
    <t>Coffret polyester orion plus porte opaque étanche IP 65 h 650mm l 500mm p 250mm</t>
  </si>
  <si>
    <t>307.235€</t>
  </si>
  <si>
    <t>FL102A</t>
  </si>
  <si>
    <t>Coffret métallique orion plus étanche IP65 porte opaque h 300mm l 250mm p 160mm</t>
  </si>
  <si>
    <t>142.4117€</t>
  </si>
  <si>
    <t>FL128A</t>
  </si>
  <si>
    <t>Coffret métallique orion plus étanche IP65 porte opaque h 950mm l 800mm p 300mm</t>
  </si>
  <si>
    <t>563.4118€</t>
  </si>
  <si>
    <t>FL368B</t>
  </si>
  <si>
    <t>Coffret polyester orion plus porte opaque étanche IP 65 h2050mm l1100mm p300mm</t>
  </si>
  <si>
    <t>3612.3354€</t>
  </si>
  <si>
    <t>FL119A</t>
  </si>
  <si>
    <t>Coffret métallique orion plus étanche IP65 porte opaque h 650mm l 500mm p 200mm</t>
  </si>
  <si>
    <t>288.3408€</t>
  </si>
  <si>
    <t>FL127A</t>
  </si>
  <si>
    <t>Coffret métallique orion plus étanche IP65 porte opaque h 950mm l 800mm p 250mm</t>
  </si>
  <si>
    <t>507.3484€</t>
  </si>
  <si>
    <t>FL354B</t>
  </si>
  <si>
    <t>Coffret polyester orion plus porte opaque étanche IP 65 h 1750mm l 850mm p 300mm</t>
  </si>
  <si>
    <t>2842.7859€</t>
  </si>
  <si>
    <t>FL118A</t>
  </si>
  <si>
    <t>Coffret métallique orion plus étanche IP65 porte opaque h 650mm l 400mm p 250mm</t>
  </si>
  <si>
    <t>271.9062€</t>
  </si>
  <si>
    <t>FL126A</t>
  </si>
  <si>
    <t>Coffret métallique orion plus étanche IP65 porte opaque h 950mm l 600mm p 300mm</t>
  </si>
  <si>
    <t>512.5041€</t>
  </si>
  <si>
    <t>FL352B</t>
  </si>
  <si>
    <t>Coffret polyester orion plus porte opaque étanche IP 65 h 1450mm l 850mm p 300mm</t>
  </si>
  <si>
    <t>2512.2836€</t>
  </si>
  <si>
    <t>FL117A</t>
  </si>
  <si>
    <t>Coffret métallique orion plus étanche IP65 porte opaque h 650mm l 400mm p 200mm</t>
  </si>
  <si>
    <t>249.1893€</t>
  </si>
  <si>
    <t>FL216B</t>
  </si>
  <si>
    <t>Coffret polyester orion plus porte opaque étanche IP 65 h 650mm l 400mm p 200mm</t>
  </si>
  <si>
    <t>263.6889€</t>
  </si>
  <si>
    <t>FL112A</t>
  </si>
  <si>
    <t>Coffret métallique orion plus étanche IP65 porte opaque h 500 mm l 400mm p 200mm</t>
  </si>
  <si>
    <t>203.9189€</t>
  </si>
  <si>
    <t>FL213B</t>
  </si>
  <si>
    <t>Coffret polyester orion plus porte opaque étanche IP 65 h 500mm l 400mm p 200mm</t>
  </si>
  <si>
    <t>230.6821€</t>
  </si>
  <si>
    <t>FL125A</t>
  </si>
  <si>
    <t>Coffret métallique orion plus étanche IP65 porte opaque h 950mm l 600mm p 250mm</t>
  </si>
  <si>
    <t>461.0675€</t>
  </si>
  <si>
    <t>FL209B</t>
  </si>
  <si>
    <t>Coffret polyester orion plus porte opaque étanche IP 65 h 500mm l 300mm p 200mm</t>
  </si>
  <si>
    <t>217.7907€</t>
  </si>
  <si>
    <t>FL124A</t>
  </si>
  <si>
    <t>Coffret métallique orion plus étanche IP65 porte opaque h 800mm l 600mm p 300mm</t>
  </si>
  <si>
    <t>445.2392€</t>
  </si>
  <si>
    <t>FL204B</t>
  </si>
  <si>
    <t>Coffret polyester orion plus porte opaque étanche IP 65 h 350mm l 300mm p 160mm</t>
  </si>
  <si>
    <t>130.0965€</t>
  </si>
  <si>
    <t>FL123A</t>
  </si>
  <si>
    <t>Coffret métallique orion plus étanche IP65 porte opaque h 800mm l 600mm p 250mm</t>
  </si>
  <si>
    <t>399.3711€</t>
  </si>
  <si>
    <t>FL327B</t>
  </si>
  <si>
    <t>Coffret polyester orion plus porte opaque étanche IP 65 h 1200mm l 850mm p 300mm</t>
  </si>
  <si>
    <t>1219.2306€</t>
  </si>
  <si>
    <t>FL110A</t>
  </si>
  <si>
    <t>Coffret métallique orion plus étanche IP65 porte opaque h 500mm l 300mm p 200mm</t>
  </si>
  <si>
    <t>212.1448€</t>
  </si>
  <si>
    <t>FL120A</t>
  </si>
  <si>
    <t>Coffret métallique orion plus étanche IP65 porte opaque h 650mm l 500mm p 250mm</t>
  </si>
  <si>
    <t>325.6605€</t>
  </si>
  <si>
    <t>FL302B</t>
  </si>
  <si>
    <t>Coffret polyester orion plus porte opaque étanche IP 65 h 1150mm l 600mm p 300mm</t>
  </si>
  <si>
    <t>621.2167€</t>
  </si>
  <si>
    <t>FL122A</t>
  </si>
  <si>
    <t>Coffret métallique orion plus étanche IP65 porte opaque h 800mm l 500mm p 250mm</t>
  </si>
  <si>
    <t>379.0192€</t>
  </si>
  <si>
    <t>GA03Z</t>
  </si>
  <si>
    <t>Panneau de contrôle triphasé</t>
  </si>
  <si>
    <t xml:space="preserve">HAHEGM10 </t>
  </si>
  <si>
    <t>ACCESSOIRES COFFRETS</t>
  </si>
  <si>
    <t>127.755€</t>
  </si>
  <si>
    <t>GP108T</t>
  </si>
  <si>
    <t>Porte transparente pour GD108.</t>
  </si>
  <si>
    <t>15.245€</t>
  </si>
  <si>
    <t>GP413T</t>
  </si>
  <si>
    <t>Porte transparente pour coffret Gamma 13, 4 rangées 52 M</t>
  </si>
  <si>
    <t>51.265€</t>
  </si>
  <si>
    <t>GS218D</t>
  </si>
  <si>
    <t>Plaque fond Gamma 18 pour coffret GD218A</t>
  </si>
  <si>
    <t>29.245€</t>
  </si>
  <si>
    <t>GS318D</t>
  </si>
  <si>
    <t>Plaque fond Gamma 18 pour GD318A</t>
  </si>
  <si>
    <t>36.905€</t>
  </si>
  <si>
    <t>GZ07A</t>
  </si>
  <si>
    <t>Pochette à plan pour Gamma</t>
  </si>
  <si>
    <t>VZ428</t>
  </si>
  <si>
    <t>TRAVERSE DIST. 3PH+N 63A VOLTA/GALA</t>
  </si>
  <si>
    <t>18.26€</t>
  </si>
  <si>
    <t>VZ535</t>
  </si>
  <si>
    <t>Clip schéma Volta et Vega - Se clipse dans la porte pour ranger le schéma</t>
  </si>
  <si>
    <t>13.08€</t>
  </si>
  <si>
    <t>5.885€</t>
  </si>
  <si>
    <t>VZ711</t>
  </si>
  <si>
    <t>Support bornier Sanvis Volta.Vector.Gala</t>
  </si>
  <si>
    <t>3.44€</t>
  </si>
  <si>
    <t>VZ788N</t>
  </si>
  <si>
    <t>étiquettes autocollantes 396 mm (contenu 10 pièces)</t>
  </si>
  <si>
    <t>1.135€</t>
  </si>
  <si>
    <t>GP108P</t>
  </si>
  <si>
    <t>Porte opaque pour GD108.</t>
  </si>
  <si>
    <t>13.475€</t>
  </si>
  <si>
    <t>GP218P</t>
  </si>
  <si>
    <t>Porte opaque pour coffret Gamma 18, 2 rangées 36 M</t>
  </si>
  <si>
    <t>39.09€</t>
  </si>
  <si>
    <t>GP413P</t>
  </si>
  <si>
    <t>Porte opaque pour coffret Gamma 13, 4 rangées 52 M</t>
  </si>
  <si>
    <t>45.44€</t>
  </si>
  <si>
    <t>GS218A</t>
  </si>
  <si>
    <t>Plaque fond Gamma 18 pr réhausse GR218A</t>
  </si>
  <si>
    <t>39.075€</t>
  </si>
  <si>
    <t>GS72A</t>
  </si>
  <si>
    <t>Coffret d\'habillage pour tableau 26M</t>
  </si>
  <si>
    <t>150.665€</t>
  </si>
  <si>
    <t>GZ06A</t>
  </si>
  <si>
    <t>Jeu de 10 pochettes à plan A5 transparentes</t>
  </si>
  <si>
    <t>48.88€</t>
  </si>
  <si>
    <t>VZ131N</t>
  </si>
  <si>
    <t>Porte transparente volta 2 - 1 rangée pour coffret VU12ND PVC poignée intégrée</t>
  </si>
  <si>
    <t>37.02€</t>
  </si>
  <si>
    <t>VZ134N</t>
  </si>
  <si>
    <t>Porte transparente volta 2 - 4 rangées pour coffret VU48ND PVC poignée intégrée</t>
  </si>
  <si>
    <t>105.755€</t>
  </si>
  <si>
    <t>VZ699</t>
  </si>
  <si>
    <t>Clip-câbles volta 2 pour le maintien et guidage latéral des fils</t>
  </si>
  <si>
    <t>1.385€</t>
  </si>
  <si>
    <t>VZ787N</t>
  </si>
  <si>
    <t>portes-étiquettes transparents VF/VS 450mm (contenu 5 pièces)</t>
  </si>
  <si>
    <t>8.235€</t>
  </si>
  <si>
    <t>GP102P</t>
  </si>
  <si>
    <t>Porte opaque pour GD102.</t>
  </si>
  <si>
    <t>10.03€</t>
  </si>
  <si>
    <t>4.515€</t>
  </si>
  <si>
    <t>GP106T</t>
  </si>
  <si>
    <t>Porte transparente pour GD106.</t>
  </si>
  <si>
    <t>12.365€</t>
  </si>
  <si>
    <t>GP213T</t>
  </si>
  <si>
    <t>Porte transparente pour coffret Gamma 13, 2 rangées 26 M</t>
  </si>
  <si>
    <t>32.585€</t>
  </si>
  <si>
    <t>GP318T</t>
  </si>
  <si>
    <t>Porte transparente pour coffret Gamma 18, 3 rangées 54 M</t>
  </si>
  <si>
    <t>52.325€</t>
  </si>
  <si>
    <t>GS113D</t>
  </si>
  <si>
    <t>Plaque fond Gamma 13 pour GD113A</t>
  </si>
  <si>
    <t>36.03€</t>
  </si>
  <si>
    <t>16.215€</t>
  </si>
  <si>
    <t>GS213D</t>
  </si>
  <si>
    <t>Plaque fond Gamma 13 pour GD213A</t>
  </si>
  <si>
    <t>21.18€</t>
  </si>
  <si>
    <t>GS71A</t>
  </si>
  <si>
    <t>Coffret d\'habillage pour tableau 13M</t>
  </si>
  <si>
    <t>136.04€</t>
  </si>
  <si>
    <t>GZ40A</t>
  </si>
  <si>
    <t>Support bornier Sanvis Gamma 18</t>
  </si>
  <si>
    <t>4.56€</t>
  </si>
  <si>
    <t>VZ403</t>
  </si>
  <si>
    <t>Traverse de distribution mono 63A volta/gala</t>
  </si>
  <si>
    <t>14.955€</t>
  </si>
  <si>
    <t>VZ416</t>
  </si>
  <si>
    <t>Obturateur en bande pour coffrets vector IP55 18 modules RAL 7035 gris clair</t>
  </si>
  <si>
    <t>8.045€</t>
  </si>
  <si>
    <t>VZ708N</t>
  </si>
  <si>
    <t>traverse pour bornier SanVis VF/VS 18/22M</t>
  </si>
  <si>
    <t>4.325€</t>
  </si>
  <si>
    <t>GF326E</t>
  </si>
  <si>
    <t>Cadre porte. Gamma 13 pour GE326E</t>
  </si>
  <si>
    <t>83.395€</t>
  </si>
  <si>
    <t>GP213P</t>
  </si>
  <si>
    <t>Porte opaque pour coffret Gamma 13, 2 rangées 26 M</t>
  </si>
  <si>
    <t>28.885€</t>
  </si>
  <si>
    <t>GS113A</t>
  </si>
  <si>
    <t>Plaque fond Gamma 13 pr réhausse GR113A</t>
  </si>
  <si>
    <t>15.96€</t>
  </si>
  <si>
    <t>GS213A</t>
  </si>
  <si>
    <t>Plaque fond Gamma 13 pr réhausse GR213A</t>
  </si>
  <si>
    <t>20.635€</t>
  </si>
  <si>
    <t>GS418D</t>
  </si>
  <si>
    <t>Plaque fond Gamma 18 pour GD418A</t>
  </si>
  <si>
    <t>42.77€</t>
  </si>
  <si>
    <t>GZ35A</t>
  </si>
  <si>
    <t>Serrure à clef pour Gamma 13 et Gamma 18</t>
  </si>
  <si>
    <t>18.96€</t>
  </si>
  <si>
    <t>VZ114N</t>
  </si>
  <si>
    <t>Rehausse volta 2 pour réduire l'encastrement de 90 à 72mm pour coffret VU48ND</t>
  </si>
  <si>
    <t>101.185€</t>
  </si>
  <si>
    <t>VZ313</t>
  </si>
  <si>
    <t>Serrure à clé pour coffrets cache-bornes</t>
  </si>
  <si>
    <t>22.33€</t>
  </si>
  <si>
    <t>VZ415</t>
  </si>
  <si>
    <t>Obturateur en bande pour coffrets vector IP55 12 modules RAL 7035 gris clair</t>
  </si>
  <si>
    <t>6.435€</t>
  </si>
  <si>
    <t>VZ604</t>
  </si>
  <si>
    <t>Bande marquage protégée pour Gala/Volta 14 modules</t>
  </si>
  <si>
    <t>5.985€</t>
  </si>
  <si>
    <t>VZ754</t>
  </si>
  <si>
    <t>Manchons d\'accouplement vector IP55</t>
  </si>
  <si>
    <t>12.33€</t>
  </si>
  <si>
    <t>GF013E</t>
  </si>
  <si>
    <t>Cadre porte. Gamma 13 pour GE013E</t>
  </si>
  <si>
    <t>71.085€</t>
  </si>
  <si>
    <t>GF626E</t>
  </si>
  <si>
    <t>Cadre porte. Gamma 13 pour GE626E</t>
  </si>
  <si>
    <t>120.46€</t>
  </si>
  <si>
    <t>GP118T</t>
  </si>
  <si>
    <t>Porte transparente pour coffret Gamma 18, 1 rangée 18 M</t>
  </si>
  <si>
    <t>31.87€</t>
  </si>
  <si>
    <t>GS318A</t>
  </si>
  <si>
    <t>Plaque fond Gamma 18 pr réhausse GR318A</t>
  </si>
  <si>
    <t>40.195€</t>
  </si>
  <si>
    <t>GS418A</t>
  </si>
  <si>
    <t>Plaque fond Gamma 18 pr réhausse GR418A</t>
  </si>
  <si>
    <t>51.575€</t>
  </si>
  <si>
    <t>VZ311</t>
  </si>
  <si>
    <t>Serrure coffret étanche Vector IP55</t>
  </si>
  <si>
    <t>19.865€</t>
  </si>
  <si>
    <t>VZ539</t>
  </si>
  <si>
    <t>Protection de chantier dissuade le vol de matériels pour VU48ND réutilisable</t>
  </si>
  <si>
    <t>12.74€</t>
  </si>
  <si>
    <t>VZ748</t>
  </si>
  <si>
    <t>Accessoire de finition goulotte/coffret vector IP55 18 modules</t>
  </si>
  <si>
    <t>20.845€</t>
  </si>
  <si>
    <t>GF113E</t>
  </si>
  <si>
    <t>Cadre porte. Gamma 13 pour GE113E</t>
  </si>
  <si>
    <t>84.195€</t>
  </si>
  <si>
    <t>GF218E</t>
  </si>
  <si>
    <t>Cadre porte. Gamma 18 pour GE218E</t>
  </si>
  <si>
    <t>146.835€</t>
  </si>
  <si>
    <t>GF426E</t>
  </si>
  <si>
    <t>Cadre porte. Gamma 13 pour GE426E</t>
  </si>
  <si>
    <t>92.685€</t>
  </si>
  <si>
    <t>GP318P</t>
  </si>
  <si>
    <t>Porte opaque pour coffret Gamma 18, 3 rangées 54 M</t>
  </si>
  <si>
    <t>46.21€</t>
  </si>
  <si>
    <t>GS313D</t>
  </si>
  <si>
    <t>Plaque fond Gamma 13 pour GD313A</t>
  </si>
  <si>
    <t>26.79€</t>
  </si>
  <si>
    <t>VZ455P</t>
  </si>
  <si>
    <t>borne de phase EIB. Volta. QC</t>
  </si>
  <si>
    <t>28.985€</t>
  </si>
  <si>
    <t>VZ747</t>
  </si>
  <si>
    <t>Accessoire de finition goulotte/coffret vector IP55 12 modules</t>
  </si>
  <si>
    <t>30.72€</t>
  </si>
  <si>
    <t>13.825€</t>
  </si>
  <si>
    <t>GF213E</t>
  </si>
  <si>
    <t>Cadre porte. Gamma 13 pour GE213E</t>
  </si>
  <si>
    <t>91.71€</t>
  </si>
  <si>
    <t>GF413E</t>
  </si>
  <si>
    <t>Cadre porte. Gamma 13 pour GE413E</t>
  </si>
  <si>
    <t>136.4€</t>
  </si>
  <si>
    <t>GP106P</t>
  </si>
  <si>
    <t>Porte opaque pour GD106.</t>
  </si>
  <si>
    <t>10.945€</t>
  </si>
  <si>
    <t>GP111P</t>
  </si>
  <si>
    <t>Porte opaque pour bloc de commande</t>
  </si>
  <si>
    <t>GP313T</t>
  </si>
  <si>
    <t>Porte transparente pour coffret Gamma 13, 3 rangées 39 M</t>
  </si>
  <si>
    <t>38.67€</t>
  </si>
  <si>
    <t>GP418T</t>
  </si>
  <si>
    <t>Porte transparente pour coffret Gamma 18, 4 rangées 72 M</t>
  </si>
  <si>
    <t>69.42€</t>
  </si>
  <si>
    <t>VZ133N</t>
  </si>
  <si>
    <t>Porte transparente volta 2 - 3 rangées pour coffret VU36ND PVC poignée intégrée</t>
  </si>
  <si>
    <t>81.45€</t>
  </si>
  <si>
    <t>VZ413</t>
  </si>
  <si>
    <t>Obturateur en bande pour coffrets vector IP55 6 modules RAL 7035 gris clair</t>
  </si>
  <si>
    <t>7.28€</t>
  </si>
  <si>
    <t>3.275€</t>
  </si>
  <si>
    <t>VZ455N</t>
  </si>
  <si>
    <t>Bornier de raccordement SanVis phase volta 2</t>
  </si>
  <si>
    <t>28.98€</t>
  </si>
  <si>
    <t>VZ707N</t>
  </si>
  <si>
    <t>traverse pour bornier SanVis VF/VS 12M</t>
  </si>
  <si>
    <t>3.51€</t>
  </si>
  <si>
    <t>VZ744</t>
  </si>
  <si>
    <t>Adaptateur</t>
  </si>
  <si>
    <t>4.79€</t>
  </si>
  <si>
    <t>GF318E</t>
  </si>
  <si>
    <t>Cadre porte. Gamma 18 pour GE318E</t>
  </si>
  <si>
    <t>157.075€</t>
  </si>
  <si>
    <t>GP104T</t>
  </si>
  <si>
    <t>Porte transparente pour GD104.</t>
  </si>
  <si>
    <t>12.89€</t>
  </si>
  <si>
    <t>5.8€</t>
  </si>
  <si>
    <t>GP110T</t>
  </si>
  <si>
    <t>Porte transparente pour GD110.</t>
  </si>
  <si>
    <t>17.26€</t>
  </si>
  <si>
    <t>GP313P</t>
  </si>
  <si>
    <t>Porte opaque pour coffret Gamma 13, 3 rangées 39 M</t>
  </si>
  <si>
    <t>34.15€</t>
  </si>
  <si>
    <t>GS313A</t>
  </si>
  <si>
    <t>Plaque fond Gamma 13 pr réhausse GR313A</t>
  </si>
  <si>
    <t>22.4€</t>
  </si>
  <si>
    <t>VZ113N</t>
  </si>
  <si>
    <t>Rehausse volta 2 pour réduire l'encastrement de 90 à 72mm pour coffret VU36ND</t>
  </si>
  <si>
    <t>74.78€</t>
  </si>
  <si>
    <t>VZ410N</t>
  </si>
  <si>
    <t>Equerre de jonction pour Volta, pour coffrets montés en cloison creuse</t>
  </si>
  <si>
    <t>7.595€</t>
  </si>
  <si>
    <t>GF003E</t>
  </si>
  <si>
    <t>Trappe d\'accès pour GTL encastrée 1T 18</t>
  </si>
  <si>
    <t>74.24€</t>
  </si>
  <si>
    <t>GF313E</t>
  </si>
  <si>
    <t>Cadre porte. Gamma 13 pour GE313E</t>
  </si>
  <si>
    <t>97.31€</t>
  </si>
  <si>
    <t>GP104P</t>
  </si>
  <si>
    <t>Porte opaque pour GD104.</t>
  </si>
  <si>
    <t>5.16€</t>
  </si>
  <si>
    <t>GP118P</t>
  </si>
  <si>
    <t>Porte opaque pour coffret Gamma 18, 1 rangée 18 M</t>
  </si>
  <si>
    <t>28.22€</t>
  </si>
  <si>
    <t>GP218T</t>
  </si>
  <si>
    <t>Porte transparente pour coffret Gamma 18, 2 rangées 36 M</t>
  </si>
  <si>
    <t>44.095€</t>
  </si>
  <si>
    <t>GS118D</t>
  </si>
  <si>
    <t>Plaque fond Gamma 18 pour GD118A</t>
  </si>
  <si>
    <t>22.32€</t>
  </si>
  <si>
    <t>GS413D</t>
  </si>
  <si>
    <t>Plaque fond Gamma 13 pour GD413A</t>
  </si>
  <si>
    <t>31.03€</t>
  </si>
  <si>
    <t>GS74A</t>
  </si>
  <si>
    <t>Coffret d\'habillage pour tableau 52M</t>
  </si>
  <si>
    <t>258.76€</t>
  </si>
  <si>
    <t>GZ31A</t>
  </si>
  <si>
    <t>Jeu de 10 feuilles de repérage A4 pré-découpées pour Gamma 13 et 18</t>
  </si>
  <si>
    <t>20.37€</t>
  </si>
  <si>
    <t>VZ112N</t>
  </si>
  <si>
    <t>Rehausse volta 2 pour réduire l'encastrement de 90 à 72mm pour coffret VU24ND</t>
  </si>
  <si>
    <t>56.005€</t>
  </si>
  <si>
    <t>VZ132N</t>
  </si>
  <si>
    <t>Porte transparente volta 2 - 2 rangées pour coffret VU24ND PVC poignée intégrée</t>
  </si>
  <si>
    <t>64.43€</t>
  </si>
  <si>
    <t>VZ538</t>
  </si>
  <si>
    <t>Protection de chantier dissuade le vol de matériels pour VU36ND réutilisable</t>
  </si>
  <si>
    <t>9.42€</t>
  </si>
  <si>
    <t>GD018A</t>
  </si>
  <si>
    <t>Coffret Gamma+ 18 équipé  d´un panneaux de contrôle</t>
  </si>
  <si>
    <t>147.015€</t>
  </si>
  <si>
    <t>GF002E</t>
  </si>
  <si>
    <t>Trappe d\'accès pour GTL encastrée 2T</t>
  </si>
  <si>
    <t>56.415€</t>
  </si>
  <si>
    <t>GP102T</t>
  </si>
  <si>
    <t>Porte transparente pour GD102.</t>
  </si>
  <si>
    <t>5.075€</t>
  </si>
  <si>
    <t>GP113T</t>
  </si>
  <si>
    <t>Porte transparente pour coffret Gamma 13, 1 rangée 13 M</t>
  </si>
  <si>
    <t>23.55€</t>
  </si>
  <si>
    <t>GS118A</t>
  </si>
  <si>
    <t>Plaque fond Gamma 18 pr réhausse GR118A</t>
  </si>
  <si>
    <t>30.895€</t>
  </si>
  <si>
    <t>GS73A</t>
  </si>
  <si>
    <t>Coffret d\'habillage pour tableau 39M</t>
  </si>
  <si>
    <t>192.25€</t>
  </si>
  <si>
    <t>GZ30A</t>
  </si>
  <si>
    <t>Support bornier Sanvis Gamma</t>
  </si>
  <si>
    <t>3.315€</t>
  </si>
  <si>
    <t>VZ111N</t>
  </si>
  <si>
    <t>rehausse. Volta. 1 rangée</t>
  </si>
  <si>
    <t>40.61€</t>
  </si>
  <si>
    <t>VZ537</t>
  </si>
  <si>
    <t>Protection de chantier dissuade le vol de matériels pour VU24ND réutilisable</t>
  </si>
  <si>
    <t>7.07€</t>
  </si>
  <si>
    <t>GF001E</t>
  </si>
  <si>
    <t>Trappe d\'accès pour GTL encastrée 1T</t>
  </si>
  <si>
    <t>41.295€</t>
  </si>
  <si>
    <t>GP110P</t>
  </si>
  <si>
    <t>Porte opaque pour GD110.</t>
  </si>
  <si>
    <t>15.28€</t>
  </si>
  <si>
    <t>GP113P</t>
  </si>
  <si>
    <t>Porte opaque pour coffret Gamma 13, 1 rangée 13 M</t>
  </si>
  <si>
    <t>20.87€</t>
  </si>
  <si>
    <t>GP418P</t>
  </si>
  <si>
    <t>Porte opaque pour coffret Gamma 18, 4 rangées 72 M</t>
  </si>
  <si>
    <t>61.545€</t>
  </si>
  <si>
    <t>GS413A</t>
  </si>
  <si>
    <t>Plaque fond Gamma 13 pr réhausse GR413A</t>
  </si>
  <si>
    <t>28.34€</t>
  </si>
  <si>
    <t>VZ302N</t>
  </si>
  <si>
    <t>serrure à clé. Volta. standard</t>
  </si>
  <si>
    <t>21.305€</t>
  </si>
  <si>
    <t>VZ536</t>
  </si>
  <si>
    <t>Protection de chantier dissuade le vol de matériels pour VU12ND réutilisable</t>
  </si>
  <si>
    <t>11.46€</t>
  </si>
  <si>
    <t>5.155€</t>
  </si>
  <si>
    <t>VZ743</t>
  </si>
  <si>
    <t>Bornier isole 7 bornes vector IP55</t>
  </si>
  <si>
    <t>15.2€</t>
  </si>
  <si>
    <t>VZ758</t>
  </si>
  <si>
    <t>Passe-câble vector pour réduction du degré de protection à IP54</t>
  </si>
  <si>
    <t>12.16€</t>
  </si>
  <si>
    <t>VZ794N</t>
  </si>
  <si>
    <t>serrure à clé VF/VS</t>
  </si>
  <si>
    <t>21.285€</t>
  </si>
  <si>
    <t>GA01N</t>
  </si>
  <si>
    <t>Panneau de contrôle pour CBE ou Linky Prof.45mm, pour coffret gamma13</t>
  </si>
  <si>
    <t>88.54€</t>
  </si>
  <si>
    <t>GP112PN</t>
  </si>
  <si>
    <t>Porte opaque pour panneau de contrôle GA01N</t>
  </si>
  <si>
    <t>31.7€</t>
  </si>
  <si>
    <t>GP112TN</t>
  </si>
  <si>
    <t>Porte transparente pour panneau de contrôle GA01N</t>
  </si>
  <si>
    <t>33.89€</t>
  </si>
  <si>
    <t>GE013EN</t>
  </si>
  <si>
    <t>Bac encastrement profondeur 160mm, 1T pour GD213A + GA01N/GA01xN</t>
  </si>
  <si>
    <t>71.59€</t>
  </si>
  <si>
    <t>GE113EN</t>
  </si>
  <si>
    <t>Bac encastrement profondeur 160mm, 1T pour GD113A + GA01N/GA01xN + com.</t>
  </si>
  <si>
    <t>GE213EN</t>
  </si>
  <si>
    <t>Bac encastrement profondeur 160mm, 1T pour GD213A + GA01N/GA01xN + com.</t>
  </si>
  <si>
    <t>72.93€</t>
  </si>
  <si>
    <t>GE218EN</t>
  </si>
  <si>
    <t>Bac encastrement profondeur 160mm, 1T pour GD218A + GA01N/GA01xN + com.</t>
  </si>
  <si>
    <t>106.76€</t>
  </si>
  <si>
    <t>GE313EN</t>
  </si>
  <si>
    <t>Bac encastrement profondeur 160mm, 1T  pour GD313A + GA01N/GA01xN + com.</t>
  </si>
  <si>
    <t>84.295€</t>
  </si>
  <si>
    <t>GE318EN</t>
  </si>
  <si>
    <t>Bac encastrement profondeur 160mm, 1T pour GD318A + GA01N/GA01xN + com.</t>
  </si>
  <si>
    <t>126.585€</t>
  </si>
  <si>
    <t>GE326EN</t>
  </si>
  <si>
    <t>Bac encastrement profondeur 180mm, 2T pour GD313A + GA01N/GA01xN + com.</t>
  </si>
  <si>
    <t>124.345€</t>
  </si>
  <si>
    <t>GE413EN</t>
  </si>
  <si>
    <t>Bac encastrement profondeur 160mm, 1T pour GD413A + GA01N/GA01xN + com.</t>
  </si>
  <si>
    <t>107.69€</t>
  </si>
  <si>
    <t>GE426EN</t>
  </si>
  <si>
    <t>Bac encastrement profondeur 180mm, 2T pour GD413A + GA01N/GA01xN + com.</t>
  </si>
  <si>
    <t>135.65€</t>
  </si>
  <si>
    <t>GE626EN</t>
  </si>
  <si>
    <t>Bac encastrement profondeur 180mm, 2T pour 2xGD313A + GA01N/GA01xN + com.</t>
  </si>
  <si>
    <t>180.835€</t>
  </si>
  <si>
    <t>GR013CN</t>
  </si>
  <si>
    <t>Réhausse pour panneau de contrôle GA01N</t>
  </si>
  <si>
    <t>66.96€</t>
  </si>
  <si>
    <t>30.13€</t>
  </si>
  <si>
    <t>GR113AN</t>
  </si>
  <si>
    <t>Réhausse pour coffret Gamma 13, 1 rangée ou blocs de commande GA01xN</t>
  </si>
  <si>
    <t>29.35€</t>
  </si>
  <si>
    <t>GR118AN</t>
  </si>
  <si>
    <t>Réhausse pour coffret Gamma 18, 1 rangée ou coffret panneau de contrôle GD018A</t>
  </si>
  <si>
    <t>38.775€</t>
  </si>
  <si>
    <t>GR213AN</t>
  </si>
  <si>
    <t>Réhausse pour coffret Gamma 13, 2 rangées</t>
  </si>
  <si>
    <t>33.705€</t>
  </si>
  <si>
    <t>GR218AN</t>
  </si>
  <si>
    <t>Réhausse pour coffret Gamma 18 , 2 rangées</t>
  </si>
  <si>
    <t>44.49€</t>
  </si>
  <si>
    <t>GR313AN</t>
  </si>
  <si>
    <t>Réhausse pour coffret Gamma 13, 3 rangées</t>
  </si>
  <si>
    <t>37.825€</t>
  </si>
  <si>
    <t>GR318AN</t>
  </si>
  <si>
    <t>Réhausse pour coffret Gamma 18, 3 rangées</t>
  </si>
  <si>
    <t>49.995€</t>
  </si>
  <si>
    <t>GR413AN</t>
  </si>
  <si>
    <t>Réhausse pour coffret Gamma 13, 4 rangées</t>
  </si>
  <si>
    <t>43.205€</t>
  </si>
  <si>
    <t>GR418AN</t>
  </si>
  <si>
    <t>Réhausse pour coffret Gamma 18, 4 rangées</t>
  </si>
  <si>
    <t>58.46€</t>
  </si>
  <si>
    <t>GR71AN</t>
  </si>
  <si>
    <t>Traverse de réhausse Gamma 13. 250mm</t>
  </si>
  <si>
    <t>9.865€</t>
  </si>
  <si>
    <t>GR72AN</t>
  </si>
  <si>
    <t>Montant de réhausse. 2m</t>
  </si>
  <si>
    <t>52.965€</t>
  </si>
  <si>
    <t>GR73AN</t>
  </si>
  <si>
    <t>Traverse de réhausse Gamma 18. 355mm</t>
  </si>
  <si>
    <t>13.35€</t>
  </si>
  <si>
    <t>GA055N</t>
  </si>
  <si>
    <t>Bloc de commande triphasé classe II prof. 55mm quickfix</t>
  </si>
  <si>
    <t>23.34€</t>
  </si>
  <si>
    <t>GA01E</t>
  </si>
  <si>
    <t>Bloc de commande type E classe II prof. 45mm quickfix</t>
  </si>
  <si>
    <t>22.18€</t>
  </si>
  <si>
    <t>GD018E</t>
  </si>
  <si>
    <t>Coffret Gamma+ 18 équipé d´un bloc de commande type E</t>
  </si>
  <si>
    <t>70.115€</t>
  </si>
  <si>
    <t>GD218A</t>
  </si>
  <si>
    <t>Coffret de distribution Gamma+ 18, 2 rangées, 36 M</t>
  </si>
  <si>
    <t xml:space="preserve">HAHEIM10 </t>
  </si>
  <si>
    <t>GAMMA 18</t>
  </si>
  <si>
    <t>58.2204€</t>
  </si>
  <si>
    <t>GD418A</t>
  </si>
  <si>
    <t>Coffret de distribution Gamma+ 18, 4 rangées, 72 M</t>
  </si>
  <si>
    <t>109.6452€</t>
  </si>
  <si>
    <t>GD118A</t>
  </si>
  <si>
    <t>Coffret de distribution Gamma+ 18, 1 rangée, 18 M</t>
  </si>
  <si>
    <t>36.8004€</t>
  </si>
  <si>
    <t>GD318A</t>
  </si>
  <si>
    <t>Coffret de distribution Gamma+ 18, 3 rangées, 54 M</t>
  </si>
  <si>
    <t>85.029€</t>
  </si>
  <si>
    <t>HA462</t>
  </si>
  <si>
    <t>Interrupteur à coupure apparente 4P 1250A</t>
  </si>
  <si>
    <t xml:space="preserve">HATPTM03 </t>
  </si>
  <si>
    <t>APPAREILLAGE DE TETE</t>
  </si>
  <si>
    <t>3170.4889€</t>
  </si>
  <si>
    <t>HAB403</t>
  </si>
  <si>
    <t>Interrupteur à coupure apparente 4P 32A</t>
  </si>
  <si>
    <t>84.4348€</t>
  </si>
  <si>
    <t>HAE412</t>
  </si>
  <si>
    <t>Interrupteur à coupure visible 4P 125A</t>
  </si>
  <si>
    <t>137.815€</t>
  </si>
  <si>
    <t>HCA160H</t>
  </si>
  <si>
    <t>Interrupteur à déclenchement libre x160 3P 160A fixe</t>
  </si>
  <si>
    <t>421.5505€</t>
  </si>
  <si>
    <t>HCF991H</t>
  </si>
  <si>
    <t>Interrupteur à déclenchement libre h1600 4P 1600A montage fixe</t>
  </si>
  <si>
    <t>3027.4408€</t>
  </si>
  <si>
    <t>HFD312</t>
  </si>
  <si>
    <t>Interrupteur sectionneur fusible 3P - 125 A - T00</t>
  </si>
  <si>
    <t>344.4558€</t>
  </si>
  <si>
    <t>HHA063H</t>
  </si>
  <si>
    <t>Disjoncteur boîtier moulé x160 3P 25kA 63A</t>
  </si>
  <si>
    <t>274.3142€</t>
  </si>
  <si>
    <t>HHA101H</t>
  </si>
  <si>
    <t>Disjoncteur boîtier moulé x160 4P 25kA 100A</t>
  </si>
  <si>
    <t>418.8716€</t>
  </si>
  <si>
    <t>HI456</t>
  </si>
  <si>
    <t>Commutateur 4P 400A</t>
  </si>
  <si>
    <t>1912.8249€</t>
  </si>
  <si>
    <t>HIC408A</t>
  </si>
  <si>
    <t>Commutateur motorisé 4P 80A 230-400V</t>
  </si>
  <si>
    <t>2094.8783€</t>
  </si>
  <si>
    <t>HNA040H</t>
  </si>
  <si>
    <t>Disjoncteur boîtier moulé x160 3P 40kA 40A</t>
  </si>
  <si>
    <t>347.096€</t>
  </si>
  <si>
    <t>HNA100H</t>
  </si>
  <si>
    <t>Disjoncteur boîtier moulé x160 3P 40kA 100A</t>
  </si>
  <si>
    <t>445.2478€</t>
  </si>
  <si>
    <t>HNE800H</t>
  </si>
  <si>
    <t>Disjoncteur boîtier moulé h1000 3P 50kA 800A LSI</t>
  </si>
  <si>
    <t>3774.9313€</t>
  </si>
  <si>
    <t>HR700</t>
  </si>
  <si>
    <t>Tore circulaire diam 30 pour relais HR5xx avec support de fixation sur rail DIN</t>
  </si>
  <si>
    <t>118.1597€</t>
  </si>
  <si>
    <t>HR832</t>
  </si>
  <si>
    <t>Tore à section rectangulaire fermé 150x350mm pour relais HR4xx HR5xx</t>
  </si>
  <si>
    <t>3197.609€</t>
  </si>
  <si>
    <t>HA358</t>
  </si>
  <si>
    <t>Interrupteur à coupure apparente 3P 630A</t>
  </si>
  <si>
    <t>999.8231€</t>
  </si>
  <si>
    <t>HA460</t>
  </si>
  <si>
    <t>Interrupteur-sectionneur avec poignée à coupure apparente 4-pôle 800A</t>
  </si>
  <si>
    <t>1878.6485€</t>
  </si>
  <si>
    <t>HAB402</t>
  </si>
  <si>
    <t>Interrupteur à coupure apparente 4P 20A</t>
  </si>
  <si>
    <t>84.4305€</t>
  </si>
  <si>
    <t>HCA126H</t>
  </si>
  <si>
    <t>Interrupteur à déclenchement libre x160 4P 125A fixe</t>
  </si>
  <si>
    <t>299.3918€</t>
  </si>
  <si>
    <t>HCF990H</t>
  </si>
  <si>
    <t>Interrupteur à déclenchement libre h1600 3P 1600A montage fixe</t>
  </si>
  <si>
    <t>2475.9271€</t>
  </si>
  <si>
    <t>HEE970H</t>
  </si>
  <si>
    <t>Disjoncteur boîtier moulé h1000 3P 70kA 1000A LSI montage fixe</t>
  </si>
  <si>
    <t>5016.7885€</t>
  </si>
  <si>
    <t>HEF991H</t>
  </si>
  <si>
    <t>Disjoncteur boîtier moulé h1600 4P 70kA 1600A LSI montage fixe</t>
  </si>
  <si>
    <t>7953.2628€</t>
  </si>
  <si>
    <t>HHA041H</t>
  </si>
  <si>
    <t>Disjoncteur boîtier moulé x160 4P 25kA 40A</t>
  </si>
  <si>
    <t>338.5562€</t>
  </si>
  <si>
    <t>HI454</t>
  </si>
  <si>
    <t>Commutateur 4P 250A</t>
  </si>
  <si>
    <t>1354.0528€</t>
  </si>
  <si>
    <t>HIM408</t>
  </si>
  <si>
    <t>Commutateur modulaire 4P 80A</t>
  </si>
  <si>
    <t>356.2593€</t>
  </si>
  <si>
    <t>HNA026H</t>
  </si>
  <si>
    <t>Disjoncteur boîtier moulé x160 4P 40kA 25A</t>
  </si>
  <si>
    <t>448.3567€</t>
  </si>
  <si>
    <t>HR831</t>
  </si>
  <si>
    <t>Tore à section rectangulaire fermé 115x305mm pour relais HR4xx HR5xx</t>
  </si>
  <si>
    <t>2200.8174€</t>
  </si>
  <si>
    <t>HA966N</t>
  </si>
  <si>
    <t>Interrupteur à coupure visible 4P 400A</t>
  </si>
  <si>
    <t>581.1966€</t>
  </si>
  <si>
    <t>HBA160H</t>
  </si>
  <si>
    <t>Bloc différentiel électronique x160 3P 160A Idn réglable &amp; déclenchem tempo fixe</t>
  </si>
  <si>
    <t>832.7294€</t>
  </si>
  <si>
    <t>HCA125H</t>
  </si>
  <si>
    <t>Interrupteur à déclenchement libre x160 3P 125A fixe</t>
  </si>
  <si>
    <t>HCF981H</t>
  </si>
  <si>
    <t>Interrupteur à déclenchement libre h1600 4P 1250A montage fixe</t>
  </si>
  <si>
    <t>2650.0986€</t>
  </si>
  <si>
    <t>HEE801H</t>
  </si>
  <si>
    <t>Disjoncteur boîtier moulé h1000 4P 70kA 800A LSI montage fixe</t>
  </si>
  <si>
    <t>5005.3505€</t>
  </si>
  <si>
    <t>HFD416</t>
  </si>
  <si>
    <t>Interrupteur sectionneur fusible 4P - 160 A - T00</t>
  </si>
  <si>
    <t>434.7085€</t>
  </si>
  <si>
    <t>HHA040H</t>
  </si>
  <si>
    <t>Disjoncteur boîtier moulé x160 3P 25kA 40A</t>
  </si>
  <si>
    <t>262.6956€</t>
  </si>
  <si>
    <t>HI452</t>
  </si>
  <si>
    <t>Commutateur 4P 160A</t>
  </si>
  <si>
    <t>877.9869€</t>
  </si>
  <si>
    <t>HI464</t>
  </si>
  <si>
    <t>Commutateur 4P 1600A</t>
  </si>
  <si>
    <t>10263.7517€</t>
  </si>
  <si>
    <t>HIM406</t>
  </si>
  <si>
    <t>Commutateur modulaire 4P 63A</t>
  </si>
  <si>
    <t>312.1671€</t>
  </si>
  <si>
    <t>HNA025H</t>
  </si>
  <si>
    <t>Disjoncteur boîtier moulé x160 3P 40kA 25A</t>
  </si>
  <si>
    <t>346.8681€</t>
  </si>
  <si>
    <t>HNF990H</t>
  </si>
  <si>
    <t>Disjoncteur boîtier moulé h1600 3P 50kA 1600A LSI</t>
  </si>
  <si>
    <t>6037.243€</t>
  </si>
  <si>
    <t>HA354</t>
  </si>
  <si>
    <t>Interrupteur à coupure apparente 3P 250A</t>
  </si>
  <si>
    <t>317.5378€</t>
  </si>
  <si>
    <t>HA964N</t>
  </si>
  <si>
    <t>Interrupteur à coupure visible 4P 250A</t>
  </si>
  <si>
    <t>296.9064€</t>
  </si>
  <si>
    <t>HBA128H</t>
  </si>
  <si>
    <t>Bloc différentiel x160 4P 125A sensibilité fixe</t>
  </si>
  <si>
    <t>584.4775€</t>
  </si>
  <si>
    <t>HEE800H</t>
  </si>
  <si>
    <t>Disjoncteur boîtier moulé h1000 3P 70kA 800A LSI montage fixe</t>
  </si>
  <si>
    <t>4182.1155€</t>
  </si>
  <si>
    <t>HFD412</t>
  </si>
  <si>
    <t>Interrupteur sectionneur fusible 4P - 125 A - T00</t>
  </si>
  <si>
    <t>403.9635€</t>
  </si>
  <si>
    <t>HHA026H</t>
  </si>
  <si>
    <t>Disjoncteur boîtier moulé x160 4P 25kA 25A</t>
  </si>
  <si>
    <t>338.2466€</t>
  </si>
  <si>
    <t>HI462</t>
  </si>
  <si>
    <t>Commutateur 4P 1250A</t>
  </si>
  <si>
    <t>8351.8556€</t>
  </si>
  <si>
    <t>HIM404</t>
  </si>
  <si>
    <t>Commutateur modulaire 4P 40A</t>
  </si>
  <si>
    <t>243.3112€</t>
  </si>
  <si>
    <t>HNA081H</t>
  </si>
  <si>
    <t>Disjoncteur boîtier moulé x160 4P 40kA 80A</t>
  </si>
  <si>
    <t>549.7206€</t>
  </si>
  <si>
    <t>HNA161H</t>
  </si>
  <si>
    <t>Disjoncteur boîtier moulé x160 4P 40kA 160A</t>
  </si>
  <si>
    <t>949.1046€</t>
  </si>
  <si>
    <t>HNF981H</t>
  </si>
  <si>
    <t>Disjoncteur boîtier moulé h1600 4P 50kA 1250A LSI</t>
  </si>
  <si>
    <t>6140.6623€</t>
  </si>
  <si>
    <t>HR705</t>
  </si>
  <si>
    <t>Tore circulaire diam 210 pour relais HR5xx</t>
  </si>
  <si>
    <t>642.7081€</t>
  </si>
  <si>
    <t>HA352</t>
  </si>
  <si>
    <t>Interrupteur à coupure apparente 3P 160A</t>
  </si>
  <si>
    <t>203.7039€</t>
  </si>
  <si>
    <t>HBA127H</t>
  </si>
  <si>
    <t>Bloc différentiel x160 3P 125A sensibilité fixe</t>
  </si>
  <si>
    <t>592.4884€</t>
  </si>
  <si>
    <t>HDA161L</t>
  </si>
  <si>
    <t>Disjoncteur boîtier moulé x160 4P 18kA 160A fixe</t>
  </si>
  <si>
    <t>500.1674€</t>
  </si>
  <si>
    <t>HFD363</t>
  </si>
  <si>
    <t>Interrupteur sectionneur fusible 3P - 630 A - T3</t>
  </si>
  <si>
    <t>1726.8843€</t>
  </si>
  <si>
    <t>HHA100H</t>
  </si>
  <si>
    <t>Disjoncteur boîtier moulé x160 3P 25kA 100A</t>
  </si>
  <si>
    <t>328.7608€</t>
  </si>
  <si>
    <t>HI460</t>
  </si>
  <si>
    <t>Commutateur 4P 800A</t>
  </si>
  <si>
    <t>5050.1264€</t>
  </si>
  <si>
    <t>HIC406A</t>
  </si>
  <si>
    <t>Commutateur motorisé 4P 63A 230-400V</t>
  </si>
  <si>
    <t>1908.7356€</t>
  </si>
  <si>
    <t>HIM402</t>
  </si>
  <si>
    <t>Commutateur modulaire 4P 20A</t>
  </si>
  <si>
    <t>184.0572€</t>
  </si>
  <si>
    <t>HNA080H</t>
  </si>
  <si>
    <t>Disjoncteur boîtier moulé x160 3P 40kA 80A</t>
  </si>
  <si>
    <t>426.2375€</t>
  </si>
  <si>
    <t>HNA160H</t>
  </si>
  <si>
    <t>Disjoncteur boîtier moulé x160 3P 40kA 160A</t>
  </si>
  <si>
    <t>736.3578€</t>
  </si>
  <si>
    <t>HNF980H</t>
  </si>
  <si>
    <t>Disjoncteur boîtier moulé h1600 3P 50kA 1250A LSI</t>
  </si>
  <si>
    <t>5149.809€</t>
  </si>
  <si>
    <t>HR704</t>
  </si>
  <si>
    <t>Tore circulaire diam 140 pour relais HR5xx</t>
  </si>
  <si>
    <t>273.6563€</t>
  </si>
  <si>
    <t>HA406</t>
  </si>
  <si>
    <t>Le HA406 est un interrupteur sectionneur à coupure visible en boitier 4 pôles In125A Ue380 - 415Vac de Hager. Montage sur rail DIN ou platine. Version raccordement sur plage.</t>
  </si>
  <si>
    <t>60.8235€</t>
  </si>
  <si>
    <t>HA451</t>
  </si>
  <si>
    <t>Interrupteur à coupure apparente 4P 125A</t>
  </si>
  <si>
    <t>138.159€</t>
  </si>
  <si>
    <t>HAC408</t>
  </si>
  <si>
    <t>Interrupteur à coupure apparente 4P 80A</t>
  </si>
  <si>
    <t>143.5469€</t>
  </si>
  <si>
    <t>HBA126H</t>
  </si>
  <si>
    <t>Bloc différentiel électronique x160 4P 125A Idn réglable &amp; déclenchem tempo fixe</t>
  </si>
  <si>
    <t>729.409€</t>
  </si>
  <si>
    <t>HDA160L</t>
  </si>
  <si>
    <t>Disjoncteur boîtier moulé x160 3P 18kA 160A fixe</t>
  </si>
  <si>
    <t>388.7415€</t>
  </si>
  <si>
    <t>HEF990H</t>
  </si>
  <si>
    <t>Disjoncteur boîtier moulé h1600 3P 70kA 1600A LSI montage fixe</t>
  </si>
  <si>
    <t>6660.872€</t>
  </si>
  <si>
    <t>HFD340</t>
  </si>
  <si>
    <t>Interrupteur sectionneur fusible 3P - 400 A - T2</t>
  </si>
  <si>
    <t>1224.2057€</t>
  </si>
  <si>
    <t>HHA081H</t>
  </si>
  <si>
    <t>Disjoncteur boîtier moulé x160 4P 25kA 80A</t>
  </si>
  <si>
    <t>401.4695€</t>
  </si>
  <si>
    <t>HHA161H</t>
  </si>
  <si>
    <t>Disjoncteur boîtier moulé x160 4P 25kA 160A</t>
  </si>
  <si>
    <t>720.6542€</t>
  </si>
  <si>
    <t>HNA064H</t>
  </si>
  <si>
    <t>Disjoncteur boîtier moulé x160 4P 40kA 63A</t>
  </si>
  <si>
    <t>467.2337€</t>
  </si>
  <si>
    <t>HNE971H</t>
  </si>
  <si>
    <t>Disjoncteur boîtier moulé h1000 4P 50kA 1000A LSI</t>
  </si>
  <si>
    <t>5419.9436€</t>
  </si>
  <si>
    <t>HR703</t>
  </si>
  <si>
    <t>Tore circulaire diam 105 pour relais HR5xx</t>
  </si>
  <si>
    <t>240.2152€</t>
  </si>
  <si>
    <t>HR830</t>
  </si>
  <si>
    <t>Tore à section rectangulaire fermé 70x175mm pour relais HR4xx HR5xx</t>
  </si>
  <si>
    <t>974.0274€</t>
  </si>
  <si>
    <t>HA364</t>
  </si>
  <si>
    <t>Interrupteur à coupure apparente 3P 1600A</t>
  </si>
  <si>
    <t>3379.0776€</t>
  </si>
  <si>
    <t>HAB406</t>
  </si>
  <si>
    <t>Interrupteur à coupure apparente 4P 63A</t>
  </si>
  <si>
    <t>131.3607€</t>
  </si>
  <si>
    <t>HCF980H</t>
  </si>
  <si>
    <t>Interrupteur à déclenchement libre h1600 3P 1250A montage fixe</t>
  </si>
  <si>
    <t>2155.5083€</t>
  </si>
  <si>
    <t>HDA126L</t>
  </si>
  <si>
    <t>Disjoncteur boîtier moulé x160 4P 18kA 125A fixe</t>
  </si>
  <si>
    <t>354.7156€</t>
  </si>
  <si>
    <t>HEF981H</t>
  </si>
  <si>
    <t>Disjoncteur boîtier moulé h1600 4P 70kA 1250A LSI montage fixe</t>
  </si>
  <si>
    <t>6777.0451€</t>
  </si>
  <si>
    <t>HHA080H</t>
  </si>
  <si>
    <t>Disjoncteur boîtier moulé x160 3P 25kA 80A</t>
  </si>
  <si>
    <t>309.9311€</t>
  </si>
  <si>
    <t>HI406R</t>
  </si>
  <si>
    <t>Commutateur modulaire 125A</t>
  </si>
  <si>
    <t>533.7461€</t>
  </si>
  <si>
    <t>HNA063H</t>
  </si>
  <si>
    <t>Disjoncteur boîtier moulé x160 3P 40kA 63A</t>
  </si>
  <si>
    <t>363.1393€</t>
  </si>
  <si>
    <t>HR702</t>
  </si>
  <si>
    <t>Tore circulaire diam 70 pour relais HR5xx</t>
  </si>
  <si>
    <t>192.6615€</t>
  </si>
  <si>
    <t>HA351</t>
  </si>
  <si>
    <t>Interrupteur à coupure apparente 3P 125A</t>
  </si>
  <si>
    <t>149.2616€</t>
  </si>
  <si>
    <t>HA362</t>
  </si>
  <si>
    <t>Interrupteur à coupure apparente 3P 1250A</t>
  </si>
  <si>
    <t>3037.391€</t>
  </si>
  <si>
    <t>HA458</t>
  </si>
  <si>
    <t>Interrupteur à coupure apparente 4P 630A</t>
  </si>
  <si>
    <t>1050.4728€</t>
  </si>
  <si>
    <t>HAB404</t>
  </si>
  <si>
    <t>Interrupteur à coupure apparente 4P 40A</t>
  </si>
  <si>
    <t>98.341€</t>
  </si>
  <si>
    <t>HCA161H</t>
  </si>
  <si>
    <t>Interrupteur à déclenchement libre x160 4P 160A fixe</t>
  </si>
  <si>
    <t>516.5762€</t>
  </si>
  <si>
    <t>HCE971H</t>
  </si>
  <si>
    <t>Interrupteur à déclenchement libre h1000 4P 1000A montage fixe</t>
  </si>
  <si>
    <t>2453.0511€</t>
  </si>
  <si>
    <t>HEF980H</t>
  </si>
  <si>
    <t>Disjoncteur boîtier moulé h1600 3P 70kA 1250A LSI montage fixe</t>
  </si>
  <si>
    <t>5670.8615€</t>
  </si>
  <si>
    <t>HHA025H</t>
  </si>
  <si>
    <t>Disjoncteur boîtier moulé x160 3P 25kA 25A</t>
  </si>
  <si>
    <t>262.4849€</t>
  </si>
  <si>
    <t>HHA064H</t>
  </si>
  <si>
    <t>Disjoncteur boîtier moulé x160 4P 25kA 63A</t>
  </si>
  <si>
    <t>353.3912€</t>
  </si>
  <si>
    <t>HI405R</t>
  </si>
  <si>
    <t>Commutateur modulaire 100A</t>
  </si>
  <si>
    <t>482.933€</t>
  </si>
  <si>
    <t>HR510</t>
  </si>
  <si>
    <t>Relais différentiel 0.03-10A temporisé sensibilité réglable sans barregraphe</t>
  </si>
  <si>
    <t>445.4069€</t>
  </si>
  <si>
    <t>HA360</t>
  </si>
  <si>
    <t>Interrupteur à coupure apparente 3P 800A</t>
  </si>
  <si>
    <t>1798.7201€</t>
  </si>
  <si>
    <t>HA457</t>
  </si>
  <si>
    <t>Interrupteur à coupure apparente 4P 400A</t>
  </si>
  <si>
    <t>650.2546€</t>
  </si>
  <si>
    <t>HCE800H</t>
  </si>
  <si>
    <t>Interrupteur à déclenchement libre h1000 3P 800A montage fixe</t>
  </si>
  <si>
    <t>1893.5308€</t>
  </si>
  <si>
    <t>HCE970H</t>
  </si>
  <si>
    <t>Interrupteur à déclenchement libre h1000 3P 1000A montage fixe</t>
  </si>
  <si>
    <t>1990.4829€</t>
  </si>
  <si>
    <t>HEE971H</t>
  </si>
  <si>
    <t>Disjoncteur boîtier moulé h1000 4P 70kA 1000A LSI montage fixe</t>
  </si>
  <si>
    <t>5988.7777€</t>
  </si>
  <si>
    <t>HFD463</t>
  </si>
  <si>
    <t>Interrupteur sectionneur fusible 4P - 630 A - T3</t>
  </si>
  <si>
    <t>2030.2794€</t>
  </si>
  <si>
    <t>HHA160H</t>
  </si>
  <si>
    <t>Disjoncteur boîtier moulé x160 3P 25kA 160A</t>
  </si>
  <si>
    <t>561.2102€</t>
  </si>
  <si>
    <t>HIC416A</t>
  </si>
  <si>
    <t>Commutateur motorisé 4P 160A 230-400V</t>
  </si>
  <si>
    <t>3598.1927€</t>
  </si>
  <si>
    <t>HNA126H</t>
  </si>
  <si>
    <t>Disjoncteur boîtier moulé x160 4P 40kA 125A</t>
  </si>
  <si>
    <t>707.2769€</t>
  </si>
  <si>
    <t>HR502</t>
  </si>
  <si>
    <t>Relais différentiel 0.3A déclenchement instantané avec sortie standard 1 OF</t>
  </si>
  <si>
    <t>240.1851€</t>
  </si>
  <si>
    <t>HA454</t>
  </si>
  <si>
    <t>Interrupteur à coupure apparente 4P 250A</t>
  </si>
  <si>
    <t>332.0589€</t>
  </si>
  <si>
    <t>HBA125H</t>
  </si>
  <si>
    <t>Bloc différentiel électronique x160 3P 125A Idn réglable &amp; déclenchem tempo fixe</t>
  </si>
  <si>
    <t>728.7683€</t>
  </si>
  <si>
    <t>HCE801H</t>
  </si>
  <si>
    <t>Interrupteur à déclenchement libre h1000 4P 800A montage fixe</t>
  </si>
  <si>
    <t>2325.3239€</t>
  </si>
  <si>
    <t>HFD325</t>
  </si>
  <si>
    <t>Interrupteur sectionneur fusible 3P - 250 A - T1</t>
  </si>
  <si>
    <t>837.7088€</t>
  </si>
  <si>
    <t>HFD440</t>
  </si>
  <si>
    <t>Interrupteur sectionneur fusible 4P - 400 A - T2</t>
  </si>
  <si>
    <t>1434.5574€</t>
  </si>
  <si>
    <t>HHA126H</t>
  </si>
  <si>
    <t>Disjoncteur boîtier moulé x160 4P 25kA 125A</t>
  </si>
  <si>
    <t>537.5€</t>
  </si>
  <si>
    <t>HIC412A</t>
  </si>
  <si>
    <t>Commutateur motorisé 4P 125A 230-400V</t>
  </si>
  <si>
    <t>3115.9735€</t>
  </si>
  <si>
    <t>HNA125H</t>
  </si>
  <si>
    <t>Disjoncteur boîtier moulé x160 3P 40kA 125A</t>
  </si>
  <si>
    <t>549.7722€</t>
  </si>
  <si>
    <t>HNE970H</t>
  </si>
  <si>
    <t>Disjoncteur boîtier moulé h1000 3P 50kA 1000A LSI</t>
  </si>
  <si>
    <t>4551.1716€</t>
  </si>
  <si>
    <t>HNF991H</t>
  </si>
  <si>
    <t>Disjoncteur boîtier moulé h1600 4P 50kA 1600A LSI</t>
  </si>
  <si>
    <t>7199.7781€</t>
  </si>
  <si>
    <t>HR500</t>
  </si>
  <si>
    <t>Relais différentiel 0.03A déclenchement instantané sensibilité fixe</t>
  </si>
  <si>
    <t>238.2372€</t>
  </si>
  <si>
    <t>HA452</t>
  </si>
  <si>
    <t>Interrupteur à coupure apparente 4P 160A</t>
  </si>
  <si>
    <t>229.1341€</t>
  </si>
  <si>
    <t>HA464</t>
  </si>
  <si>
    <t>Interrupteur à coupure apparente 4P 1600A</t>
  </si>
  <si>
    <t>3535.2493€</t>
  </si>
  <si>
    <t>HAE416</t>
  </si>
  <si>
    <t>Interrupteur à coupure visible 4P 160A</t>
  </si>
  <si>
    <t>199.434€</t>
  </si>
  <si>
    <t>HBA161H</t>
  </si>
  <si>
    <t>Bloc différentiel électronique x160 4P 160A Idn réglable &amp; déclenchem tempo fixe</t>
  </si>
  <si>
    <t>833.4432€</t>
  </si>
  <si>
    <t>HDA125L</t>
  </si>
  <si>
    <t>Disjoncteur boîtier moulé x160 3P 18kA 125A fixe</t>
  </si>
  <si>
    <t>288.4268€</t>
  </si>
  <si>
    <t>HFD316</t>
  </si>
  <si>
    <t>Interrupteur sectionneur fusible 3P - 160 A - T00</t>
  </si>
  <si>
    <t>370.4837€</t>
  </si>
  <si>
    <t>HFD425</t>
  </si>
  <si>
    <t>Interrupteur sectionneur fusible 4P - 250 A - T1</t>
  </si>
  <si>
    <t>981.9953€</t>
  </si>
  <si>
    <t>HHA125H</t>
  </si>
  <si>
    <t>Disjoncteur boîtier moulé x160 3P 25kA 125A</t>
  </si>
  <si>
    <t>419.4306€</t>
  </si>
  <si>
    <t>HI458</t>
  </si>
  <si>
    <t>Commutateur 4P 630A</t>
  </si>
  <si>
    <t>3348.8486€</t>
  </si>
  <si>
    <t>HIC410A</t>
  </si>
  <si>
    <t>Commutateur motorisé 4P 100A 230-400V</t>
  </si>
  <si>
    <t>2632.2407€</t>
  </si>
  <si>
    <t>HNA041H</t>
  </si>
  <si>
    <t>Disjoncteur boîtier moulé x160 4P 40kA 40A</t>
  </si>
  <si>
    <t>HNA101H</t>
  </si>
  <si>
    <t>Disjoncteur boîtier moulé x160 4P 40kA 100A</t>
  </si>
  <si>
    <t>574.1618€</t>
  </si>
  <si>
    <t>HNE801H</t>
  </si>
  <si>
    <t>Disjoncteur boîtier moulé h1000 4P 50kA 800A LSI</t>
  </si>
  <si>
    <t>4506.0345€</t>
  </si>
  <si>
    <t>HR701</t>
  </si>
  <si>
    <t>Tore circulaire diam 35 pour relais HR5xx</t>
  </si>
  <si>
    <t>134.7104€</t>
  </si>
  <si>
    <t>HA357</t>
  </si>
  <si>
    <t>Interrupteur à coupure apparente 3P 400A</t>
  </si>
  <si>
    <t>415.9734€</t>
  </si>
  <si>
    <t>HR833</t>
  </si>
  <si>
    <t>Tore à section rectangulaire fermé 200x500mm pour relais HR</t>
  </si>
  <si>
    <t>6409.1715€</t>
  </si>
  <si>
    <t>HNA026M</t>
  </si>
  <si>
    <t>Disjoncteur boîtier moulé x160 4P 40kA 25A magnétique fixe</t>
  </si>
  <si>
    <t>354.6124€</t>
  </si>
  <si>
    <t>HNA126M</t>
  </si>
  <si>
    <t>Disjoncteur boîtier moulé x160 4P 40kA 125A magnétique fixe</t>
  </si>
  <si>
    <t>532.8431€</t>
  </si>
  <si>
    <t>HNA025M</t>
  </si>
  <si>
    <t>Disjoncteur boîtier moulé x160 3P 40kA 25A magnétique fixe</t>
  </si>
  <si>
    <t>275.0753€</t>
  </si>
  <si>
    <t>HNA125M</t>
  </si>
  <si>
    <t>Disjoncteur boîtier moulé x160 3P 40kA 125A magnétique fixe</t>
  </si>
  <si>
    <t>435.719€</t>
  </si>
  <si>
    <t>HNA051M</t>
  </si>
  <si>
    <t>Disjoncteur boîtier moulé x160 4P 40kA 50A magnétique fixe</t>
  </si>
  <si>
    <t>365.9601€</t>
  </si>
  <si>
    <t>HNA101M</t>
  </si>
  <si>
    <t>Disjoncteur boîtier moulé x160 4P 40kA 100A magnétique fixe</t>
  </si>
  <si>
    <t>459.5797€</t>
  </si>
  <si>
    <t>HNA050M</t>
  </si>
  <si>
    <t>Disjoncteur boîtier moulé x160 3P 40kA 50A magnétique fixe</t>
  </si>
  <si>
    <t>284.3633€</t>
  </si>
  <si>
    <t>HNA100M</t>
  </si>
  <si>
    <t>Disjoncteur boîtier moulé x160 3P 40kA 100A magnétique fixe</t>
  </si>
  <si>
    <t>354.3802€</t>
  </si>
  <si>
    <t>HNA041M</t>
  </si>
  <si>
    <t>Disjoncteur boîtier moulé x160 4P 40kA 40A magnétique fixe</t>
  </si>
  <si>
    <t>354.7328€</t>
  </si>
  <si>
    <t>HNA021M</t>
  </si>
  <si>
    <t>Disjoncteur boîtier moulé x160 4P 40kA 20A magnétique fixe</t>
  </si>
  <si>
    <t>332.3857€</t>
  </si>
  <si>
    <t>HNA040M</t>
  </si>
  <si>
    <t>Disjoncteur boîtier moulé x160 3P 40kA 40A magnétique fixe</t>
  </si>
  <si>
    <t>277.3027€</t>
  </si>
  <si>
    <t>HNA020M</t>
  </si>
  <si>
    <t>Disjoncteur boîtier moulé x160 3P 40kA 20A magnétique fixe</t>
  </si>
  <si>
    <t>257.8108€</t>
  </si>
  <si>
    <t>HNA081M</t>
  </si>
  <si>
    <t>Disjoncteur boîtier moulé x160 4P 40kA 80A magnétique fixe</t>
  </si>
  <si>
    <t>440.0491€</t>
  </si>
  <si>
    <t>HNA161M</t>
  </si>
  <si>
    <t>Disjoncteur boîtier moulé x160 4P 40kA 160A magnétique fixe</t>
  </si>
  <si>
    <t>709.6118€</t>
  </si>
  <si>
    <t>HNA017M</t>
  </si>
  <si>
    <t>Disjoncteur boîtier moulé x160 4P 40kA 16A magnétique fixe</t>
  </si>
  <si>
    <t>333.3016€</t>
  </si>
  <si>
    <t>HNA080M</t>
  </si>
  <si>
    <t>Disjoncteur boîtier moulé x160 3P 40kA 80A magnétique fixe</t>
  </si>
  <si>
    <t>339.2528€</t>
  </si>
  <si>
    <t>HNA160M</t>
  </si>
  <si>
    <t>Disjoncteur boîtier moulé x160 3P 40kA 160A magnétique fixe</t>
  </si>
  <si>
    <t>552.2576€</t>
  </si>
  <si>
    <t>HNA016M</t>
  </si>
  <si>
    <t>Disjoncteur boîtier moulé x160 3P 40kA 16A magnétique fixe</t>
  </si>
  <si>
    <t>258.0301€</t>
  </si>
  <si>
    <t>HNA064M</t>
  </si>
  <si>
    <t>Disjoncteur boîtier moulé x160 4P 40kA 63A magnétique fixe</t>
  </si>
  <si>
    <t>370.8922€</t>
  </si>
  <si>
    <t>HNA033M</t>
  </si>
  <si>
    <t>Disjoncteur boîtier moulé x160 4P 40kA 32A magnétique fixe</t>
  </si>
  <si>
    <t>HNA063M</t>
  </si>
  <si>
    <t>Disjoncteur boîtier moulé x160 3P 40kA 63A magnétique fixe</t>
  </si>
  <si>
    <t>288.0527€</t>
  </si>
  <si>
    <t>HNA032M</t>
  </si>
  <si>
    <t>Disjoncteur boîtier moulé x160 3P 40kA 32A magnétique fixe</t>
  </si>
  <si>
    <t>257.9871€</t>
  </si>
  <si>
    <t>HEE800G</t>
  </si>
  <si>
    <t>Disjoncteur boîtier moulé h1000 3P 70kA 800A LSI déconnectable</t>
  </si>
  <si>
    <t>5126.6922€</t>
  </si>
  <si>
    <t>HEE631G</t>
  </si>
  <si>
    <t>Disjoncteur boîtier moulé h1000 4P 70kA 630A LSI déconnectable</t>
  </si>
  <si>
    <t>5015.6232€</t>
  </si>
  <si>
    <t>HIB425M</t>
  </si>
  <si>
    <t>Commutateur motorisé  4P 250A</t>
  </si>
  <si>
    <t>4056.3233€</t>
  </si>
  <si>
    <t>HIB440M</t>
  </si>
  <si>
    <t>Commutateur motorisé  4P 400A</t>
  </si>
  <si>
    <t>6214.0719€</t>
  </si>
  <si>
    <t>HIB463M</t>
  </si>
  <si>
    <t>Commutateur motorisé  4P 630A</t>
  </si>
  <si>
    <t>8094.6898€</t>
  </si>
  <si>
    <t>HIB480M</t>
  </si>
  <si>
    <t>Commutateur motorisé  4P 800A</t>
  </si>
  <si>
    <t>10711.5795€</t>
  </si>
  <si>
    <t>HIB490M</t>
  </si>
  <si>
    <t>Commutateur motorisé  4P 1000A</t>
  </si>
  <si>
    <t>11270.4591€</t>
  </si>
  <si>
    <t>HIB491M</t>
  </si>
  <si>
    <t>Commutateur motorisé  4P 1250A</t>
  </si>
  <si>
    <t>13297.5651€</t>
  </si>
  <si>
    <t>HIB492M</t>
  </si>
  <si>
    <t>Commutateur motorisé  4P 1600A</t>
  </si>
  <si>
    <t>15563.0459€</t>
  </si>
  <si>
    <t>HIC425E</t>
  </si>
  <si>
    <t>Commutateur motorisé automatique 4x250A gestion d'énergie</t>
  </si>
  <si>
    <t>7409.9793€</t>
  </si>
  <si>
    <t>HIC425G</t>
  </si>
  <si>
    <t>Commutateur motorisé auto 4P 250A</t>
  </si>
  <si>
    <t>5866.3137€</t>
  </si>
  <si>
    <t>HIC440E</t>
  </si>
  <si>
    <t>Commutateur motorisé automatique 4X400A gestion d'énergie</t>
  </si>
  <si>
    <t>10276.9183€</t>
  </si>
  <si>
    <t>HIC440G</t>
  </si>
  <si>
    <t>Commutateur motorisé auto 4P 400A</t>
  </si>
  <si>
    <t>8190.3734€</t>
  </si>
  <si>
    <t>HIC463E</t>
  </si>
  <si>
    <t>Commutateur motorisé automatique 4X630A gestion d'énergie</t>
  </si>
  <si>
    <t>13137.747€</t>
  </si>
  <si>
    <t>HIC463G</t>
  </si>
  <si>
    <t>Commutateur motorisé auto 4P 630A</t>
  </si>
  <si>
    <t>10669.3492€</t>
  </si>
  <si>
    <t>HIC480E</t>
  </si>
  <si>
    <t>Commutateur motorisé automatique 4X800A gestion d'énergie</t>
  </si>
  <si>
    <t>17506.6459€</t>
  </si>
  <si>
    <t>HIC480G</t>
  </si>
  <si>
    <t>Commutateur motorisé auto 4P 800A</t>
  </si>
  <si>
    <t>13909.511€</t>
  </si>
  <si>
    <t>HIC490E</t>
  </si>
  <si>
    <t>Commutateur motorisé automatique 4X1000A gestion d'énergie</t>
  </si>
  <si>
    <t>17852.611€</t>
  </si>
  <si>
    <t>HIC490G</t>
  </si>
  <si>
    <t>Commutateur motorisé auto 4P 1000A</t>
  </si>
  <si>
    <t>14512.7365€</t>
  </si>
  <si>
    <t>HIC491E</t>
  </si>
  <si>
    <t>Commutateur motorisé automatique 4X1250A gestion d'énergie</t>
  </si>
  <si>
    <t>21636.0133€</t>
  </si>
  <si>
    <t>HIC491G</t>
  </si>
  <si>
    <t>Commutateur motorisé auto 4P 1250A</t>
  </si>
  <si>
    <t>17661.9017€</t>
  </si>
  <si>
    <t>HIC492E</t>
  </si>
  <si>
    <t>Commutateur motorisé automatique 4x1600A gestion d'énergie</t>
  </si>
  <si>
    <t>24703.9773€</t>
  </si>
  <si>
    <t>HIC492G</t>
  </si>
  <si>
    <t>Commutateur motorisé auto 4P 1600A</t>
  </si>
  <si>
    <t>20087.1877€</t>
  </si>
  <si>
    <t>HBT160H</t>
  </si>
  <si>
    <t>Bloc différentiel P250 4P 160A Idn régl</t>
  </si>
  <si>
    <t>871.4982€</t>
  </si>
  <si>
    <t>HBT250H</t>
  </si>
  <si>
    <t>Bloc différentiel P250 4P 250A Idn régl</t>
  </si>
  <si>
    <t>1316.5869€</t>
  </si>
  <si>
    <t>HCS160AC</t>
  </si>
  <si>
    <t>Disjoncteur Boitier Moulé h3+ P160 SW 3P 160A CTC</t>
  </si>
  <si>
    <t>243.3155€</t>
  </si>
  <si>
    <t>HCS161AC</t>
  </si>
  <si>
    <t>Disjoncteur Boitier Moulé h3+ P160 SW 4P LN 160A CTC</t>
  </si>
  <si>
    <t>294.8768€</t>
  </si>
  <si>
    <t>HCT250AR</t>
  </si>
  <si>
    <t>Disjoncteur Boitier Moulé h3+ P250 SW 3P 250A FTC</t>
  </si>
  <si>
    <t>584.972€</t>
  </si>
  <si>
    <t>HCT251AR</t>
  </si>
  <si>
    <t>Disjoncteur Boitier Moulé h3+ P250 SW 4P LN 250A FTC</t>
  </si>
  <si>
    <t>706.9587€</t>
  </si>
  <si>
    <t>HES025BC</t>
  </si>
  <si>
    <t>Disjoncteur Boitier Moulé h3+ P160 MAG 3P3D 25A 70kA CTC</t>
  </si>
  <si>
    <t>497.8755€</t>
  </si>
  <si>
    <t>HES025DC</t>
  </si>
  <si>
    <t>Disjoncteur Boitier Moulé h3+ P160 TM ADJ 3P3D 25A 70kA CTC</t>
  </si>
  <si>
    <t>486.1623€</t>
  </si>
  <si>
    <t>HES026BC</t>
  </si>
  <si>
    <t>Disjoncteur Boitier Moulé h3+ P160 MAG 4P4D LN 25A 70kA CTC</t>
  </si>
  <si>
    <t>586.8339€</t>
  </si>
  <si>
    <t>HES026DC</t>
  </si>
  <si>
    <t>Disjoncteur Boitier Moulé h3+ P160 TM ADJ 4P4D N0-100% LN 25A 70kA CTC</t>
  </si>
  <si>
    <t>577.1718€</t>
  </si>
  <si>
    <t>HES040BC</t>
  </si>
  <si>
    <t>Disjoncteur Boitier Moulé h3+ P160 MAG 3P3D 40A 70kA CTC</t>
  </si>
  <si>
    <t>HES040DC</t>
  </si>
  <si>
    <t>Disjoncteur Boitier Moulé h3+ P160 TM ADJ 3P3D 40A 70kA CTC</t>
  </si>
  <si>
    <t>HES040GC</t>
  </si>
  <si>
    <t>Disjoncteur Boitier Moulé h3+ P160 LSNI 3P3D 40A 70kA CTC</t>
  </si>
  <si>
    <t>616.9253€</t>
  </si>
  <si>
    <t>HES040JC</t>
  </si>
  <si>
    <t>Disjoncteur Boitier Moulé h3+ P160 LSI 3P3D 40A 70kA CTC</t>
  </si>
  <si>
    <t>644.7377€</t>
  </si>
  <si>
    <t>HES040NC</t>
  </si>
  <si>
    <t>Disjoncteur Boitier Moulé h3+ P160 Energy 3P3D 40A 70kA CTC</t>
  </si>
  <si>
    <t>861.9479€</t>
  </si>
  <si>
    <t>HES041BC</t>
  </si>
  <si>
    <t>Disjoncteur Boitier Moulé h3+ P160 MAG 4P4D LN 40A 70kA CTC</t>
  </si>
  <si>
    <t>HES041DC</t>
  </si>
  <si>
    <t>Disjoncteur Boitier Moulé h3+ P160 TM ADJ 4P4D N0-100% LN 40A 70kA CTC</t>
  </si>
  <si>
    <t>HES041GC</t>
  </si>
  <si>
    <t>Disjoncteur Boitier Moulé h3+ P160 LSNI 4P4D N0-50-100% LN 40A 70kA CTC</t>
  </si>
  <si>
    <t>742.6315€</t>
  </si>
  <si>
    <t>HES041JC</t>
  </si>
  <si>
    <t>Disjoncteur Boitier Moulé h3+ P160 LSI 4P4D N0-50-100% LN 40A 70kA CTC</t>
  </si>
  <si>
    <t>908.1471€</t>
  </si>
  <si>
    <t>HES041NC</t>
  </si>
  <si>
    <t>Disjoncteur Boitier Moulé h3+ P160 Energy 4P4D N0-50-100% LN 40A 70kA CTC</t>
  </si>
  <si>
    <t>1186.7226€</t>
  </si>
  <si>
    <t>HES050BC</t>
  </si>
  <si>
    <t>Disjoncteur Boitier Moulé h3+ P160 MAG 3P3D 50A 70kA CTC</t>
  </si>
  <si>
    <t>HES051BC</t>
  </si>
  <si>
    <t>Disjoncteur Boitier Moulé h3+ P160 MAG 4P4D LN 50A 70kA CTC</t>
  </si>
  <si>
    <t>HES063BC</t>
  </si>
  <si>
    <t>Disjoncteur Boitier Moulé h3+ P160 MAG 3P3D 63A 70kA CTC</t>
  </si>
  <si>
    <t>HES063DC</t>
  </si>
  <si>
    <t>Disjoncteur Boitier Moulé h3+ P160 TM ADJ 3P3D 63A 70kA CTC</t>
  </si>
  <si>
    <t>HES064BC</t>
  </si>
  <si>
    <t>Disjoncteur Boitier Moulé h3+ P160 MAG 4P4D LN 63A 70kA CTC</t>
  </si>
  <si>
    <t>HES064DC</t>
  </si>
  <si>
    <t>Disjoncteur Boitier Moulé h3+ P160 TM ADJ 4P4D N0-100% LN 63A 70kA CTC</t>
  </si>
  <si>
    <t>HES080BC</t>
  </si>
  <si>
    <t>Disjoncteur Boitier Moulé h3+ P160 MAG 3P3D 80A 70kA CTC</t>
  </si>
  <si>
    <t>HES080DC</t>
  </si>
  <si>
    <t>Disjoncteur Boitier Moulé h3+ P160 TM ADJ 3P3D 80A 70kA CTC</t>
  </si>
  <si>
    <t>524.0754€</t>
  </si>
  <si>
    <t>HES081BC</t>
  </si>
  <si>
    <t>Disjoncteur Boitier Moulé h3+ P160 MAG 4P4D LN 80A 70kA CTC</t>
  </si>
  <si>
    <t>HES081DC</t>
  </si>
  <si>
    <t>Disjoncteur Boitier Moulé h3+ P160 TM ADJ 4P4D N0-100% LN 80A 70kA CTC</t>
  </si>
  <si>
    <t>630.2639€</t>
  </si>
  <si>
    <t>HES100BC</t>
  </si>
  <si>
    <t>Disjoncteur Boitier Moulé h3+ P160 MAG 3P3D 100A 70kA CTC</t>
  </si>
  <si>
    <t>528.8957€</t>
  </si>
  <si>
    <t>HES100DC</t>
  </si>
  <si>
    <t>Disjoncteur Boitier Moulé h3+ P160 TM ADJ 3P3D 100A 70kA CTC</t>
  </si>
  <si>
    <t>519.2465€</t>
  </si>
  <si>
    <t>HES100GC</t>
  </si>
  <si>
    <t>Disjoncteur Boitier Moulé h3+ P160 LSNI 3P3D 100A 70kA CTC</t>
  </si>
  <si>
    <t>HES100JC</t>
  </si>
  <si>
    <t>Disjoncteur Boitier Moulé h3+ P160 LSI 3P3D 100A 70kA CTC</t>
  </si>
  <si>
    <t>790.9205€</t>
  </si>
  <si>
    <t>HES100NC</t>
  </si>
  <si>
    <t>Disjoncteur Boitier Moulé h3+ P160 Energy 3P3D 100A 70kA CTC</t>
  </si>
  <si>
    <t>1012.2716€</t>
  </si>
  <si>
    <t>HES101BC</t>
  </si>
  <si>
    <t>Disjoncteur Boitier Moulé h3+ P160 MAG 4P4D LN 100A 70kA CTC</t>
  </si>
  <si>
    <t>HES101DC</t>
  </si>
  <si>
    <t>Disjoncteur Boitier Moulé h3+ P160 TM ADJ 4P4D N0-100% LN 100A 70kA CTC</t>
  </si>
  <si>
    <t>633.7254€</t>
  </si>
  <si>
    <t>HES101GC</t>
  </si>
  <si>
    <t>Disjoncteur Boitier Moulé h3+ P160 LSNI 4P4D N0-50-100% LN 100A 70kA CTC</t>
  </si>
  <si>
    <t>HES101JC</t>
  </si>
  <si>
    <t>Disjoncteur Boitier Moulé h3+ P160 LSI 4P4D N0-50-100% LN 100A 70kA CTC</t>
  </si>
  <si>
    <t>1001.2378€</t>
  </si>
  <si>
    <t>HES101NC</t>
  </si>
  <si>
    <t>Disjoncteur Boitier Moulé h3+ P160 Energy 4P4D N0-50-100% LN 100A 70kA CTC</t>
  </si>
  <si>
    <t>1279.1124€</t>
  </si>
  <si>
    <t>HES125BC</t>
  </si>
  <si>
    <t>Disjoncteur Boitier Moulé h3+ P160 MAG 3P3D 125A 70kA CTC</t>
  </si>
  <si>
    <t>736.4567€</t>
  </si>
  <si>
    <t>HES125DC</t>
  </si>
  <si>
    <t>Disjoncteur Boitier Moulé h3+ P160 TM ADJ 3P3D 125A 70kA CTC</t>
  </si>
  <si>
    <t>698.5393€</t>
  </si>
  <si>
    <t>HES126BC</t>
  </si>
  <si>
    <t>Disjoncteur Boitier Moulé h3+ P160 MAG 4P4D LN 125A 70kA CTC</t>
  </si>
  <si>
    <t>946.0731€</t>
  </si>
  <si>
    <t>HES126DC</t>
  </si>
  <si>
    <t>Disjoncteur Boitier Moulé h3+ P160 TM ADJ 4P4D N0-100% LN 125A 70kA CTC</t>
  </si>
  <si>
    <t>899.1773€</t>
  </si>
  <si>
    <t>HES160BC</t>
  </si>
  <si>
    <t>Disjoncteur Boitier Moulé h3+ P160 MAG 3P3D 160A 70kA CTC</t>
  </si>
  <si>
    <t>HES160DC</t>
  </si>
  <si>
    <t>Disjoncteur Boitier Moulé h3+ P160 TM ADJ 3P3D 160A 70kA CTC</t>
  </si>
  <si>
    <t>815.7487€</t>
  </si>
  <si>
    <t>HES160GC</t>
  </si>
  <si>
    <t>Disjoncteur Boitier Moulé h3+ P160 LSNI 3P3D 160A 70kA CTC</t>
  </si>
  <si>
    <t>914.567€</t>
  </si>
  <si>
    <t>HES160JC</t>
  </si>
  <si>
    <t>Disjoncteur Boitier Moulé h3+ P160 LSI 3P3D 160A 70kA CTC</t>
  </si>
  <si>
    <t>957.1026€</t>
  </si>
  <si>
    <t>HES160NC</t>
  </si>
  <si>
    <t>Disjoncteur Boitier Moulé h3+ P160 Energy 3P3D 160A 70kA CTC</t>
  </si>
  <si>
    <t>1188.0986€</t>
  </si>
  <si>
    <t>HES161BC</t>
  </si>
  <si>
    <t>Disjoncteur Boitier Moulé h3+ P160 MAG 4P4D LN 160A 70kA CTC</t>
  </si>
  <si>
    <t>HES161DC</t>
  </si>
  <si>
    <t>Disjoncteur Boitier Moulé h3+ P160 TM ADJ 4P4D N0-100% LN 160A 70kA CTC</t>
  </si>
  <si>
    <t>1070.184€</t>
  </si>
  <si>
    <t>HES161GC</t>
  </si>
  <si>
    <t>Disjoncteur Boitier Moulé h3+ P160 LSNI 4P4D N0-50-100% LN 160A 70kA CTC</t>
  </si>
  <si>
    <t>1165.9364€</t>
  </si>
  <si>
    <t>HES161JC</t>
  </si>
  <si>
    <t>Disjoncteur Boitier Moulé h3+ P160 LSI 4P4D N0-50-100% LN 160A 70kA CTC</t>
  </si>
  <si>
    <t>1248.0836€</t>
  </si>
  <si>
    <t>HES161NC</t>
  </si>
  <si>
    <t>Disjoncteur Boitier Moulé h3+ P160 Energy 4P4D N0-50-100% LN 160A 70kA CTC</t>
  </si>
  <si>
    <t>1527.3471€</t>
  </si>
  <si>
    <t>HET040GR</t>
  </si>
  <si>
    <t>Disjoncteur Boitier Moulé h3+ P250 LSNI 3P3D 40A 70kA FTC</t>
  </si>
  <si>
    <t>680.5094€</t>
  </si>
  <si>
    <t>HET040JR</t>
  </si>
  <si>
    <t>Disjoncteur Boitier Moulé h3+ P250 LSI 3P3D 40A 70kA FTC</t>
  </si>
  <si>
    <t>787.4117€</t>
  </si>
  <si>
    <t>HET040NR</t>
  </si>
  <si>
    <t>Disjoncteur Boitier Moulé h3+ P250 ENER 3P3D 40A 70kA FTC</t>
  </si>
  <si>
    <t>1088.1752€</t>
  </si>
  <si>
    <t>HET041GR</t>
  </si>
  <si>
    <t>Disjoncteur Boitier Moulé h3+ P250 LSNI 4P4D N0-50-100% LN 40A 70kA FTC</t>
  </si>
  <si>
    <t>806.9208€</t>
  </si>
  <si>
    <t>HET041JR</t>
  </si>
  <si>
    <t>Disjoncteur Boitier Moulé h3+ P250 LSI 4P4D N0-50-100% LN 40A 70kA FTC</t>
  </si>
  <si>
    <t>1109.1936€</t>
  </si>
  <si>
    <t>HET041NR</t>
  </si>
  <si>
    <t>Disjoncteur Boitier Moulé h3+ P250 ENER 4P4D N0-50-100% LN 40A 70kA FTC</t>
  </si>
  <si>
    <t>1374.4993€</t>
  </si>
  <si>
    <t>HET050DR</t>
  </si>
  <si>
    <t>Disjoncteur Boitier Moulé h3+ P250 TM ADJ 3P3D 50A 70kA FTC</t>
  </si>
  <si>
    <t>430.1677€</t>
  </si>
  <si>
    <t>HET051DR</t>
  </si>
  <si>
    <t>Disjoncteur Boitier Moulé h3+ P250 TM ADJ 4P4D N0-100% LN 50A 70kA FTC</t>
  </si>
  <si>
    <t>520.7859€</t>
  </si>
  <si>
    <t>HET063DR</t>
  </si>
  <si>
    <t>Disjoncteur Boitier Moulé h3+ P250 TM ADJ 3P3D 63A 70kA FTC</t>
  </si>
  <si>
    <t>487.3018€</t>
  </si>
  <si>
    <t>HET064DR</t>
  </si>
  <si>
    <t>Disjoncteur Boitier Moulé h3+ P250 TM ADJ 4P4D N0-100% LN 63A 70kA FTC</t>
  </si>
  <si>
    <t>578.5779€</t>
  </si>
  <si>
    <t>HET100DR</t>
  </si>
  <si>
    <t>Disjoncteur Boitier Moulé h3+ P250 TM ADJ 3P3D 100A 70kA FTC</t>
  </si>
  <si>
    <t>520.128€</t>
  </si>
  <si>
    <t>HET100GR</t>
  </si>
  <si>
    <t>Disjoncteur Boitier Moulé h3+ P250 LSNI 3P3D 100A 70kA FTC</t>
  </si>
  <si>
    <t>693.504€</t>
  </si>
  <si>
    <t>HET100JR</t>
  </si>
  <si>
    <t>Disjoncteur Boitier Moulé h3+ P250 LSI 3P3D 100A 70kA FTC</t>
  </si>
  <si>
    <t>966.0208€</t>
  </si>
  <si>
    <t>HET100NR</t>
  </si>
  <si>
    <t>Disjoncteur Boitier Moulé h3+ P250 ENER 3P3D 100A 70kA FTC</t>
  </si>
  <si>
    <t>1096.0657€</t>
  </si>
  <si>
    <t>HET101DR</t>
  </si>
  <si>
    <t>Disjoncteur Boitier Moulé h3+ P250 TM ADJ 4P4D N0-100% LN 100A 70kA FTC</t>
  </si>
  <si>
    <t>635.0627€</t>
  </si>
  <si>
    <t>HET101GR</t>
  </si>
  <si>
    <t>Disjoncteur Boitier Moulé h3+ P250 LSNI 4P4D N0-50-100% LN 100A 70kA FTC</t>
  </si>
  <si>
    <t>815.5767€</t>
  </si>
  <si>
    <t>HET101JR</t>
  </si>
  <si>
    <t>Disjoncteur Boitier Moulé h3+ P250 LSI 4P4D N0-50-100% LN 100A 70kA FTC</t>
  </si>
  <si>
    <t>1222.7996€</t>
  </si>
  <si>
    <t>HET101NR</t>
  </si>
  <si>
    <t>Disjoncteur Boitier Moulé h3+ P250 ENER 4P4D N0-50-100% LN 100A 70kA FTC</t>
  </si>
  <si>
    <t>1382.3597€</t>
  </si>
  <si>
    <t>HET125DR</t>
  </si>
  <si>
    <t>Disjoncteur Boitier Moulé h3+ P250 TM ADJ 3P3D 125A 70kA FTC</t>
  </si>
  <si>
    <t>700.7323€</t>
  </si>
  <si>
    <t>HET126DR</t>
  </si>
  <si>
    <t>Disjoncteur Boitier Moulé h3+ P250 TM ADJ 4P4D N0-100% LN 125A 70kA FTC</t>
  </si>
  <si>
    <t>901.0177€</t>
  </si>
  <si>
    <t>HET160DR</t>
  </si>
  <si>
    <t>Disjoncteur Boitier Moulé h3+ P250 TM ADJ 3P3D 160A 70kA FTC</t>
  </si>
  <si>
    <t>817.6106€</t>
  </si>
  <si>
    <t>HET160GR</t>
  </si>
  <si>
    <t>Disjoncteur Boitier Moulé h3+ P250 LSNI 3P3D 160A 70kA FTC</t>
  </si>
  <si>
    <t>1007.7351€</t>
  </si>
  <si>
    <t>HET160JR</t>
  </si>
  <si>
    <t>Disjoncteur Boitier Moulé h3+ P250 LSI 3P3D 160A 70kA FTC</t>
  </si>
  <si>
    <t>1168.2928€</t>
  </si>
  <si>
    <t>HET160NR</t>
  </si>
  <si>
    <t>Disjoncteur Boitier Moulé h3+ P250 ENER 3P3D 160A 70kA FTC</t>
  </si>
  <si>
    <t>1293.7238€</t>
  </si>
  <si>
    <t>HET161DR</t>
  </si>
  <si>
    <t>Disjoncteur Boitier Moulé h3+ P250 TM ADJ 4P4D N0-100% LN 160A 70kA FTC</t>
  </si>
  <si>
    <t>1073.0779€</t>
  </si>
  <si>
    <t>HET161GR</t>
  </si>
  <si>
    <t>Disjoncteur Boitier Moulé h3+ P250 LSNI 4P4D N0-50-100% LN 160A 70kA FTC</t>
  </si>
  <si>
    <t>1288.7358€</t>
  </si>
  <si>
    <t>HET161JR</t>
  </si>
  <si>
    <t>Disjoncteur Boitier Moulé h3+ P250 LSI 4P4D N0-50-100% LN 160A 70kA FTC</t>
  </si>
  <si>
    <t>1523.5674€</t>
  </si>
  <si>
    <t>HET161NR</t>
  </si>
  <si>
    <t>Disjoncteur Boitier Moulé h3+ P250 ENER 4P4D N0-50-100% LN 160A 70kA FTC</t>
  </si>
  <si>
    <t>1639.1557€</t>
  </si>
  <si>
    <t>HET200DR</t>
  </si>
  <si>
    <t>Disjoncteur Boitier Moulé h3+ P250 TM ADJ 3P3D 200A 70kA FTC</t>
  </si>
  <si>
    <t>1322.6198€</t>
  </si>
  <si>
    <t>HET201DR</t>
  </si>
  <si>
    <t>Disjoncteur Boitier Moulé h3+ P250 TM ADJ 4P4D N0-100% LN 200A 70kA FTC</t>
  </si>
  <si>
    <t>1671.3283€</t>
  </si>
  <si>
    <t>HET250DR</t>
  </si>
  <si>
    <t>Disjoncteur Boitier Moulé h3+ P250 TM ADJ 3P3D 250A 70kA FTC</t>
  </si>
  <si>
    <t>HET250GR</t>
  </si>
  <si>
    <t>Disjoncteur Boitier Moulé h3+ P250 LSNI 3P3D 250A 70kA FTC</t>
  </si>
  <si>
    <t>1562.5082€</t>
  </si>
  <si>
    <t>HET250JR</t>
  </si>
  <si>
    <t>Disjoncteur Boitier Moulé h3+ P250 LSI 3P3D 250A 70kA FTC</t>
  </si>
  <si>
    <t>1644.406€</t>
  </si>
  <si>
    <t>HET250NR</t>
  </si>
  <si>
    <t>Disjoncteur Boitier Moulé h3+ P250 ENER 3P3D 250A 70kA FTC</t>
  </si>
  <si>
    <t>1893.9393€</t>
  </si>
  <si>
    <t>HET251DR</t>
  </si>
  <si>
    <t>Disjoncteur Boitier Moulé h3+ P250 TM ADJ 4P4D N0-100% LN 250A 70kA FTC</t>
  </si>
  <si>
    <t>HET251GR</t>
  </si>
  <si>
    <t>Disjoncteur Boitier Moulé h3+ P250 LSNI 4P4D N0-50-100% LN 250A 70kA FTC</t>
  </si>
  <si>
    <t>1946.0897€</t>
  </si>
  <si>
    <t>HET251JR</t>
  </si>
  <si>
    <t>Disjoncteur Boitier Moulé h3+ P250 LSI 4P4D N0-50-100% LN 250A 70kA FTC</t>
  </si>
  <si>
    <t>2124.4365€</t>
  </si>
  <si>
    <t>HET251NR</t>
  </si>
  <si>
    <t>Disjoncteur Boitier Moulé h3+ P250 ENER 4P4D N0-50-100% LN 250A 70kA FTC</t>
  </si>
  <si>
    <t>2194.7157€</t>
  </si>
  <si>
    <t>HHS025DC</t>
  </si>
  <si>
    <t>Disjoncteur Boitier Moulé h3+ P160 TM ADJ 3P3D 25A 25kA CTC</t>
  </si>
  <si>
    <t>299.9852€</t>
  </si>
  <si>
    <t>HHS026DC</t>
  </si>
  <si>
    <t>Disjoncteur Boitier Moulé h3+ P160 TM ADJ 4P4D N0-100% LN 25A 25kA CTC</t>
  </si>
  <si>
    <t>392.375€</t>
  </si>
  <si>
    <t>HHS040DC</t>
  </si>
  <si>
    <t>Disjoncteur Boitier Moulé h3+ P160 TM ADJ 3P3D 40A 25kA CTC</t>
  </si>
  <si>
    <t>308.2498€</t>
  </si>
  <si>
    <t>HHS041DC</t>
  </si>
  <si>
    <t>Disjoncteur Boitier Moulé h3+ P160 TM ADJ 4P4D N0-100% LN 40A 25kA CTC</t>
  </si>
  <si>
    <t>400.6482€</t>
  </si>
  <si>
    <t>HHS063DC</t>
  </si>
  <si>
    <t>Disjoncteur Boitier Moulé h3+ P160 TM ADJ 3P3D 63A 25kA CTC</t>
  </si>
  <si>
    <t>316.5273€</t>
  </si>
  <si>
    <t>HHS064DC</t>
  </si>
  <si>
    <t>Disjoncteur Boitier Moulé h3+ P160 TM ADJ 4P4D N0-100% LN 63A 25kA CTC</t>
  </si>
  <si>
    <t>408.9386€</t>
  </si>
  <si>
    <t>HHS080DC</t>
  </si>
  <si>
    <t>Disjoncteur Boitier Moulé h3+ P160 TM ADJ 3P3D 80A 25kA CTC</t>
  </si>
  <si>
    <t>333.0694€</t>
  </si>
  <si>
    <t>HHS081DC</t>
  </si>
  <si>
    <t>Disjoncteur Boitier Moulé h3+ P160 TM ADJ 4P4D N0-100% LN 80A 25kA CTC</t>
  </si>
  <si>
    <t>435.8136€</t>
  </si>
  <si>
    <t>HHS100DC</t>
  </si>
  <si>
    <t>Disjoncteur Boitier Moulé h3+ P160 TM ADJ 3P3D 100A 25kA CTC</t>
  </si>
  <si>
    <t>341.3555€</t>
  </si>
  <si>
    <t>HHS101DC</t>
  </si>
  <si>
    <t>Disjoncteur Boitier Moulé h3+ P160 TM ADJ 4P4D N0-100% LN 100A 25kA CTC</t>
  </si>
  <si>
    <t>444.0868€</t>
  </si>
  <si>
    <t>HHS125DC</t>
  </si>
  <si>
    <t>Disjoncteur Boitier Moulé h3+ P160 TM ADJ 3P3D 125A 25kA CTC</t>
  </si>
  <si>
    <t>403.4045€</t>
  </si>
  <si>
    <t>HHS126DC</t>
  </si>
  <si>
    <t>Disjoncteur Boitier Moulé h3+ P160 TM ADJ 4P4D N0-100% LN 125A 25kA CTC</t>
  </si>
  <si>
    <t>508.217€</t>
  </si>
  <si>
    <t>HHS160DC</t>
  </si>
  <si>
    <t>Disjoncteur Boitier Moulé h3+ P160 TM ADJ 3P3D 160A 25kA CTC</t>
  </si>
  <si>
    <t>526.1394€</t>
  </si>
  <si>
    <t>HHS161DC</t>
  </si>
  <si>
    <t>Disjoncteur Boitier Moulé h3+ P160 TM ADJ 4P4D N0-100% LN 160A 25kA CTC</t>
  </si>
  <si>
    <t>728.8629€</t>
  </si>
  <si>
    <t>HHT161JA</t>
  </si>
  <si>
    <t>Disjoncteur Boitier Moulé h3+ P250 LSI AB 4P4D 160A 25kA</t>
  </si>
  <si>
    <t>760.4034€</t>
  </si>
  <si>
    <t>HHT161JB</t>
  </si>
  <si>
    <t>Disjoncteur Boitier Moulé + Diff. h3+ P250 LSI AB 4P4D 160A 25kA</t>
  </si>
  <si>
    <t>1458.5428€</t>
  </si>
  <si>
    <t>HHT161NA</t>
  </si>
  <si>
    <t>Disjoncteur Boitier Moulé h3+ P250 Energy AB 4P4D 160A 25kA</t>
  </si>
  <si>
    <t>1194.4755€</t>
  </si>
  <si>
    <t>HHT161NB</t>
  </si>
  <si>
    <t>Disjoncteur Boitier Moulé + Diff. h3+ LSI AB P250 Energy AB 4P4D 160A 25kA</t>
  </si>
  <si>
    <t>1892.6321€</t>
  </si>
  <si>
    <t>HHT251JA</t>
  </si>
  <si>
    <t>Disjoncteur Boitier Moulé h3+ P250 LSI AB 4P4D 250A 25kA</t>
  </si>
  <si>
    <t>1010.6376€</t>
  </si>
  <si>
    <t>HHT251JB</t>
  </si>
  <si>
    <t>Disjoncteur Boitier Moulé + Diff. h3+ LSI AB P250 LSI 4P4D 250A 25kA</t>
  </si>
  <si>
    <t>1895.6163€</t>
  </si>
  <si>
    <t>HHT251NA</t>
  </si>
  <si>
    <t>Disjoncteur Boitier Moulé h3+ P250 Energy AB 4P4D 250A 25kA</t>
  </si>
  <si>
    <t>1436.4365€</t>
  </si>
  <si>
    <t>HHT251NB</t>
  </si>
  <si>
    <t>Disjoncteur Boitier Moulé + Diff. h3+ LSI AB P250 Energy AB 4P4D 250A 25kA</t>
  </si>
  <si>
    <t>2321.4109€</t>
  </si>
  <si>
    <t>HMS025BC</t>
  </si>
  <si>
    <t>Disjoncteur Boitier Moulé h3+ P160 MAG 3P3D 25A 50kA CTC</t>
  </si>
  <si>
    <t>437.1939€</t>
  </si>
  <si>
    <t>HMS025DC</t>
  </si>
  <si>
    <t>Disjoncteur Boitier Moulé h3+ P160 TM ADJ 3P3D 25A 50kA CTC</t>
  </si>
  <si>
    <t>372.3714€</t>
  </si>
  <si>
    <t>HMS026BC</t>
  </si>
  <si>
    <t>Disjoncteur Boitier Moulé h3+ P160 MAG 4P4D LN 25A 50kA CTC</t>
  </si>
  <si>
    <t>HMS026DC</t>
  </si>
  <si>
    <t>Disjoncteur Boitier Moulé h3+ P160 TM ADJ 4P4D N0-100% LN 25A 50kA CTC</t>
  </si>
  <si>
    <t>462.035€</t>
  </si>
  <si>
    <t>HMS040BC</t>
  </si>
  <si>
    <t>Disjoncteur Boitier Moulé h3+ P160 MAG 3P3D 40A 50kA CTC</t>
  </si>
  <si>
    <t>HMS040DC</t>
  </si>
  <si>
    <t>Disjoncteur Boitier Moulé h3+ P160 TM ADJ 3P3D 40A 50kA CTC</t>
  </si>
  <si>
    <t>HMS040GC</t>
  </si>
  <si>
    <t>Disjoncteur Boitier Moulé h3+ P160 LSNI 3P3D 40A 50kA CTC</t>
  </si>
  <si>
    <t>405.9974€</t>
  </si>
  <si>
    <t>HMS040JC</t>
  </si>
  <si>
    <t>Disjoncteur Boitier Moulé h3+ P160 LSI 3P3D 40A 50kA CTC</t>
  </si>
  <si>
    <t>484.7777€</t>
  </si>
  <si>
    <t>HMS040NC</t>
  </si>
  <si>
    <t>Disjoncteur Boitier Moulé h3+ P160 Energy 3P3D 40A 50kA CTC</t>
  </si>
  <si>
    <t>697.8341€</t>
  </si>
  <si>
    <t>HMS041BC</t>
  </si>
  <si>
    <t>Disjoncteur Boitier Moulé h3+ P160 MAG 4P4D LN 40A 50kA CTC</t>
  </si>
  <si>
    <t>HMS041DC</t>
  </si>
  <si>
    <t>Disjoncteur Boitier Moulé h3+ P160 TM ADJ 4P4D N0-100% LN 40A 50kA CTC</t>
  </si>
  <si>
    <t>470.291€</t>
  </si>
  <si>
    <t>HMS041GC</t>
  </si>
  <si>
    <t>Disjoncteur Boitier Moulé h3+ P160 LSNI 4P4D N0-50-100% LN 40A 50kA CTC</t>
  </si>
  <si>
    <t>614.7753€</t>
  </si>
  <si>
    <t>HMS041JC</t>
  </si>
  <si>
    <t>Disjoncteur Boitier Moulé h3+ P160 LSI 4P4D N0-50-100% LN 40A 50kA CTC</t>
  </si>
  <si>
    <t>594.4105€</t>
  </si>
  <si>
    <t>HMS041NC</t>
  </si>
  <si>
    <t>Disjoncteur Boitier Moulé h3+ P160 Energy 4P4D N0-50-100% LN 40A 50kA CTC</t>
  </si>
  <si>
    <t>948.1414€</t>
  </si>
  <si>
    <t>HMS050BC</t>
  </si>
  <si>
    <t>Disjoncteur Boitier Moulé h3+ P160 MAG 3P3D 50A 50kA CTC</t>
  </si>
  <si>
    <t>HMS051BC</t>
  </si>
  <si>
    <t>Disjoncteur Boitier Moulé h3+ P160 MAG 4P4D LN 50A 50kA CTC</t>
  </si>
  <si>
    <t>HMS063BC</t>
  </si>
  <si>
    <t>Disjoncteur Boitier Moulé h3+ P160 MAG 3P3D 63A 50kA CTC</t>
  </si>
  <si>
    <t>HMS063DC</t>
  </si>
  <si>
    <t>Disjoncteur Boitier Moulé h3+ P160 TM ADJ 3P3D 63A 50kA CTC</t>
  </si>
  <si>
    <t>380.6661€</t>
  </si>
  <si>
    <t>HMS064BC</t>
  </si>
  <si>
    <t>Disjoncteur Boitier Moulé h3+ P160 MAG 4P4D LN 63A 50kA CTC</t>
  </si>
  <si>
    <t>HMS064DC</t>
  </si>
  <si>
    <t>Disjoncteur Boitier Moulé h3+ P160 TM ADJ 4P4D N0-100% LN 63A 50kA CTC</t>
  </si>
  <si>
    <t>475.7993€</t>
  </si>
  <si>
    <t>HMS080BC</t>
  </si>
  <si>
    <t>Disjoncteur Boitier Moulé h3+ P160 MAG 3P3D 80A 50kA CTC</t>
  </si>
  <si>
    <t>HMS080DC</t>
  </si>
  <si>
    <t>Disjoncteur Boitier Moulé h3+ P160 TM ADJ 3P3D 80A 50kA CTC</t>
  </si>
  <si>
    <t>405.4771€</t>
  </si>
  <si>
    <t>HMS081BC</t>
  </si>
  <si>
    <t>Disjoncteur Boitier Moulé h3+ P160 MAG 4P4D LN 80A 50kA CTC</t>
  </si>
  <si>
    <t>HMS081DC</t>
  </si>
  <si>
    <t>Disjoncteur Boitier Moulé h3+ P160 TM ADJ 4P4D N0-100% LN 80A 50kA CTC</t>
  </si>
  <si>
    <t>515.1142€</t>
  </si>
  <si>
    <t>HMS100BC</t>
  </si>
  <si>
    <t>Disjoncteur Boitier Moulé h3+ P160 MAG 3P3D 100A 50kA CTC</t>
  </si>
  <si>
    <t>HMS100DC</t>
  </si>
  <si>
    <t>Disjoncteur Boitier Moulé h3+ P160 TM ADJ 3P3D 100A 50kA CTC</t>
  </si>
  <si>
    <t>413.7503€</t>
  </si>
  <si>
    <t>HMS100GC</t>
  </si>
  <si>
    <t>Disjoncteur Boitier Moulé h3+ P160 LSNI 3P3D 100A 50kA CTC</t>
  </si>
  <si>
    <t>507.8601€</t>
  </si>
  <si>
    <t>HMS100JC</t>
  </si>
  <si>
    <t>Disjoncteur Boitier Moulé h3+ P160 LSI 3P3D 100A 50kA CTC</t>
  </si>
  <si>
    <t>516.4859€</t>
  </si>
  <si>
    <t>HMS100NC</t>
  </si>
  <si>
    <t>Disjoncteur Boitier Moulé h3+ P160 Energy 3P3D 100A 50kA CTC</t>
  </si>
  <si>
    <t>859.8753€</t>
  </si>
  <si>
    <t>HMS101BC</t>
  </si>
  <si>
    <t>Disjoncteur Boitier Moulé h3+ P160 MAG 4P4D LN 100A 50kA CTC</t>
  </si>
  <si>
    <t>HMS101DC</t>
  </si>
  <si>
    <t>Disjoncteur Boitier Moulé h3+ P160 TM ADJ 4P4D N0-100% LN 100A 50kA CTC</t>
  </si>
  <si>
    <t>517.8791€</t>
  </si>
  <si>
    <t>HMS101GC</t>
  </si>
  <si>
    <t>Disjoncteur Boitier Moulé h3+ P160 LSNI 4P4D N0-50-100% LN 100A 50kA CTC</t>
  </si>
  <si>
    <t>622.7174€</t>
  </si>
  <si>
    <t>HMS101JC</t>
  </si>
  <si>
    <t>Disjoncteur Boitier Moulé h3+ P160 LSI 4P4D N0-50-100% LN 100A 50kA CTC</t>
  </si>
  <si>
    <t>739.2087€</t>
  </si>
  <si>
    <t>HMS101NC</t>
  </si>
  <si>
    <t>Disjoncteur Boitier Moulé h3+ P160 Energy 4P4D N0-50-100% LN 100A 50kA CTC</t>
  </si>
  <si>
    <t>1139.8268€</t>
  </si>
  <si>
    <t>HMS125BC</t>
  </si>
  <si>
    <t>Disjoncteur Boitier Moulé h3+ P160 MAG 3P3D 125A 50kA CTC</t>
  </si>
  <si>
    <t>647.5026€</t>
  </si>
  <si>
    <t>HMS125DC</t>
  </si>
  <si>
    <t>Disjoncteur Boitier Moulé h3+ P160 TM ADJ 3P3D 125A 50kA CTC</t>
  </si>
  <si>
    <t>546.831€</t>
  </si>
  <si>
    <t>HMS126BC</t>
  </si>
  <si>
    <t>Disjoncteur Boitier Moulé h3+ P160 MAG 4P4D LN 125A 50kA CTC</t>
  </si>
  <si>
    <t>829.5474€</t>
  </si>
  <si>
    <t>HMS126DC</t>
  </si>
  <si>
    <t>Disjoncteur Boitier Moulé h3+ P160 TM ADJ 4P4D N0-100% LN 125A 50kA CTC</t>
  </si>
  <si>
    <t>HMS160BC</t>
  </si>
  <si>
    <t>Disjoncteur Boitier Moulé h3+ P160 MAG 3P3D 160A 50kA CTC</t>
  </si>
  <si>
    <t>HMS160DC</t>
  </si>
  <si>
    <t>Disjoncteur Boitier Moulé h3+ P160 TM ADJ 3P3D 160A 50kA CTC</t>
  </si>
  <si>
    <t>663.361€</t>
  </si>
  <si>
    <t>HMS160GC</t>
  </si>
  <si>
    <t>Disjoncteur Boitier Moulé h3+ P160 LSNI 3P3D 160A 50kA CTC</t>
  </si>
  <si>
    <t>767.9241€</t>
  </si>
  <si>
    <t>HMS160JC</t>
  </si>
  <si>
    <t>Disjoncteur Boitier Moulé h3+ P160 LSI 3P3D 160A 50kA CTC</t>
  </si>
  <si>
    <t>797.134€</t>
  </si>
  <si>
    <t>HMS160NC</t>
  </si>
  <si>
    <t>Disjoncteur Boitier Moulé h3+ P160 Energy 3P3D 160A 50kA CTC</t>
  </si>
  <si>
    <t>1128.1136€</t>
  </si>
  <si>
    <t>HMS161BC</t>
  </si>
  <si>
    <t>Disjoncteur Boitier Moulé h3+ P160 MAG 4P4D LN 160A 50kA CTC</t>
  </si>
  <si>
    <t>HMS161DC</t>
  </si>
  <si>
    <t>Disjoncteur Boitier Moulé h3+ P160 TM ADJ 4P4D N0-100% LN 160A 50kA CTC</t>
  </si>
  <si>
    <t>869.5288€</t>
  </si>
  <si>
    <t>HMS161GC</t>
  </si>
  <si>
    <t>Disjoncteur Boitier Moulé h3+ P160 LSNI 4P4D N0-50-100% LN 160A 50kA CTC</t>
  </si>
  <si>
    <t>974.5047€</t>
  </si>
  <si>
    <t>HMS161JC</t>
  </si>
  <si>
    <t>Disjoncteur Boitier Moulé h3+ P160 LSI 4P4D N0-50-100% LN 160A 50kA CTC</t>
  </si>
  <si>
    <t>1072.2609€</t>
  </si>
  <si>
    <t>HMS161NC</t>
  </si>
  <si>
    <t>Disjoncteur Boitier Moulé h3+ P160 Energy 4P4D N0-50-100% LN 160A 50kA CTC</t>
  </si>
  <si>
    <t>1283.9413€</t>
  </si>
  <si>
    <t>HMT040GR</t>
  </si>
  <si>
    <t>Disjoncteur Boitier Moulé h3+ P250 LSNI 3P3D 40A 50kA FTC</t>
  </si>
  <si>
    <t>554.8161€</t>
  </si>
  <si>
    <t>HMT040JR</t>
  </si>
  <si>
    <t>Disjoncteur Boitier Moulé h3+ P250 LSI 3P3D 40A 50kA FTC</t>
  </si>
  <si>
    <t>535.2339€</t>
  </si>
  <si>
    <t>HMT040NR</t>
  </si>
  <si>
    <t>Disjoncteur Boitier Moulé h3+ P250 ENER 3P3D 40A 50kA FTC</t>
  </si>
  <si>
    <t>863.5819€</t>
  </si>
  <si>
    <t>HMT041GR</t>
  </si>
  <si>
    <t>Disjoncteur Boitier Moulé h3+ P250 LSNI 4P4D N0-50-100% LN 40A 50kA FTC</t>
  </si>
  <si>
    <t>679.0603€</t>
  </si>
  <si>
    <t>HMT041JR</t>
  </si>
  <si>
    <t>Disjoncteur Boitier Moulé h3+ P250 LSI 4P4D N0-50-100% LN 40A 50kA FTC</t>
  </si>
  <si>
    <t>809.7459€</t>
  </si>
  <si>
    <t>HMT041NR</t>
  </si>
  <si>
    <t>Disjoncteur Boitier Moulé h3+ P250 ENER 4P4D N0-50-100% LN 40A 50kA FTC</t>
  </si>
  <si>
    <t>1138.0853€</t>
  </si>
  <si>
    <t>HMT050DR</t>
  </si>
  <si>
    <t>Disjoncteur Boitier Moulé h3+ P250 TM ADJ 3P3D 50A 50kA FTC</t>
  </si>
  <si>
    <t>373.0207€</t>
  </si>
  <si>
    <t>HMT051DR</t>
  </si>
  <si>
    <t>Disjoncteur Boitier Moulé h3+ P250 TM ADJ 4P4D N0-100% LN 50A 50kA FTC</t>
  </si>
  <si>
    <t>463.0068€</t>
  </si>
  <si>
    <t>HMT063DR</t>
  </si>
  <si>
    <t>Disjoncteur Boitier Moulé h3+ P250 TM ADJ 3P3D 63A 50kA FTC</t>
  </si>
  <si>
    <t>374.3451€</t>
  </si>
  <si>
    <t>HMT064DR</t>
  </si>
  <si>
    <t>Disjoncteur Boitier Moulé h3+ P250 TM ADJ 4P4D N0-100% LN 63A 50kA FTC</t>
  </si>
  <si>
    <t>470.8758€</t>
  </si>
  <si>
    <t>HMT100DR</t>
  </si>
  <si>
    <t>Disjoncteur Boitier Moulé h3+ P250 TM ADJ 3P3D 100A 50kA FTC</t>
  </si>
  <si>
    <t>440.0276€</t>
  </si>
  <si>
    <t>HMT100GR</t>
  </si>
  <si>
    <t>Disjoncteur Boitier Moulé h3+ P250 LSNI 3P3D 100A 50kA FTC</t>
  </si>
  <si>
    <t>563.4806€</t>
  </si>
  <si>
    <t>HMT100JR</t>
  </si>
  <si>
    <t>Disjoncteur Boitier Moulé h3+ P250 LSI 3P3D 100A 50kA FTC</t>
  </si>
  <si>
    <t>712.5444€</t>
  </si>
  <si>
    <t>HMT100NR</t>
  </si>
  <si>
    <t>Disjoncteur Boitier Moulé h3+ P250 ENER 3P3D 100A 50kA FTC</t>
  </si>
  <si>
    <t>1040.8924€</t>
  </si>
  <si>
    <t>HMT101DR</t>
  </si>
  <si>
    <t>Disjoncteur Boitier Moulé h3+ P250 TM ADJ 4P4D N0-100% LN 100A 50kA FTC</t>
  </si>
  <si>
    <t>519.4744€</t>
  </si>
  <si>
    <t>HMT101GR</t>
  </si>
  <si>
    <t>Disjoncteur Boitier Moulé h3+ P250 LSNI 4P4D N0-50-100% LN 100A 50kA FTC</t>
  </si>
  <si>
    <t>687.7248€</t>
  </si>
  <si>
    <t>HMT101JR</t>
  </si>
  <si>
    <t>Disjoncteur Boitier Moulé h3+ P250 LSI 4P4D N0-50-100% LN 100A 50kA FTC</t>
  </si>
  <si>
    <t>1020.5362€</t>
  </si>
  <si>
    <t>HMT101NR</t>
  </si>
  <si>
    <t>Disjoncteur Boitier Moulé h3+ P250 ENER 4P4D N0-50-100% LN 100A 50kA FTC</t>
  </si>
  <si>
    <t>1226.7384€</t>
  </si>
  <si>
    <t>HMT125DR</t>
  </si>
  <si>
    <t>Disjoncteur Boitier Moulé h3+ P250 TM ADJ 3P3D 125A 50kA FTC</t>
  </si>
  <si>
    <t>HMT126DR</t>
  </si>
  <si>
    <t>Disjoncteur Boitier Moulé h3+ P250 TM ADJ 4P4D N0-100% LN 125A 50kA FTC</t>
  </si>
  <si>
    <t>700.0572€</t>
  </si>
  <si>
    <t>HMT160DR</t>
  </si>
  <si>
    <t>Disjoncteur Boitier Moulé h3+ P250 TM ADJ 3P3D 160A 50kA FTC</t>
  </si>
  <si>
    <t>631.7732€</t>
  </si>
  <si>
    <t>HMT160GR</t>
  </si>
  <si>
    <t>Disjoncteur Boitier Moulé h3+ P250 LSNI 3P3D 160A 50kA FTC</t>
  </si>
  <si>
    <t>839.4331€</t>
  </si>
  <si>
    <t>HMT160JR</t>
  </si>
  <si>
    <t>Disjoncteur Boitier Moulé h3+ P250 LSI 3P3D 160A 50kA FTC</t>
  </si>
  <si>
    <t>1100.6495€</t>
  </si>
  <si>
    <t>HMT160NR</t>
  </si>
  <si>
    <t>Disjoncteur Boitier Moulé h3+ P250 ENER 3P3D 160A 50kA FTC</t>
  </si>
  <si>
    <t>1226.0848€</t>
  </si>
  <si>
    <t>HMT161DR</t>
  </si>
  <si>
    <t>Disjoncteur Boitier Moulé h3+ P250 TM ADJ 4P4D N0-100% LN 160A 50kA FTC</t>
  </si>
  <si>
    <t>871.4724€</t>
  </si>
  <si>
    <t>HMT161GR</t>
  </si>
  <si>
    <t>Disjoncteur Boitier Moulé h3+ P250 LSNI 4P4D N0-50-100% LN 160A 50kA FTC</t>
  </si>
  <si>
    <t>1066.9676€</t>
  </si>
  <si>
    <t>HMT161JR</t>
  </si>
  <si>
    <t>Disjoncteur Boitier Moulé h3+ P250 LSI 4P4D N0-50-100% LN 160A 50kA FTC</t>
  </si>
  <si>
    <t>1306.856€</t>
  </si>
  <si>
    <t>HMT161NR</t>
  </si>
  <si>
    <t>Disjoncteur Boitier Moulé h3+ P250 ENER 4P4D N0-50-100% LN 160A 50kA FTC</t>
  </si>
  <si>
    <t>1480.2234€</t>
  </si>
  <si>
    <t>HMT200DR</t>
  </si>
  <si>
    <t>Disjoncteur Boitier Moulé h3+ P250 TM ADJ 3P3D 200A 50kA FTC</t>
  </si>
  <si>
    <t>855.7043€</t>
  </si>
  <si>
    <t>HMT201DR</t>
  </si>
  <si>
    <t>Disjoncteur Boitier Moulé h3+ P250 TM ADJ 4P4D N0-100% LN 200A 50kA FTC</t>
  </si>
  <si>
    <t>1370.5562€</t>
  </si>
  <si>
    <t>HMT250DR</t>
  </si>
  <si>
    <t>Disjoncteur Boitier Moulé h3+ P250 TM ADJ 3P3D 250A 50kA FTC</t>
  </si>
  <si>
    <t>HMT250GR</t>
  </si>
  <si>
    <t>Disjoncteur Boitier Moulé h3+ P250 LSNI 3P3D 250A 50kA FTC</t>
  </si>
  <si>
    <t>1312.5707€</t>
  </si>
  <si>
    <t>HMT250JR</t>
  </si>
  <si>
    <t>Disjoncteur Boitier Moulé h3+ P250 LSI 3P3D 250A 50kA FTC</t>
  </si>
  <si>
    <t>1267.4551€</t>
  </si>
  <si>
    <t>HMT250NR</t>
  </si>
  <si>
    <t>Disjoncteur Boitier Moulé h3+ P250 ENER 3P3D 250A 50kA FTC</t>
  </si>
  <si>
    <t>1384.9999€</t>
  </si>
  <si>
    <t>HMT251DR</t>
  </si>
  <si>
    <t>Disjoncteur Boitier Moulé h3+ P250 TM ADJ 4P4D N0-100% LN 250A 50kA FTC</t>
  </si>
  <si>
    <t>HMT251GR</t>
  </si>
  <si>
    <t>Disjoncteur Boitier Moulé h3+ P250 LSNI 4P4D N0-50-100% LN 250A 50kA FTC</t>
  </si>
  <si>
    <t>1615.9744€</t>
  </si>
  <si>
    <t>HMT251JR</t>
  </si>
  <si>
    <t>Disjoncteur Boitier Moulé h3+ P250 LSI 4P4D N0-50-100% LN 250A 50kA FTC</t>
  </si>
  <si>
    <t>1677.8901€</t>
  </si>
  <si>
    <t>HMT251NR</t>
  </si>
  <si>
    <t>Disjoncteur Boitier Moulé h3+ P250 ENER 4P4D N0-50-100% LN 250A 50kA FTC</t>
  </si>
  <si>
    <t>1894.5972€</t>
  </si>
  <si>
    <t>HBW400H</t>
  </si>
  <si>
    <t>Bloc différentiel P630 4P 400A Idn adj</t>
  </si>
  <si>
    <t>1645.2746€</t>
  </si>
  <si>
    <t>HBW630H</t>
  </si>
  <si>
    <t>Bloc différentiel P630 4P In630A Idn adj</t>
  </si>
  <si>
    <t>HCW400AR</t>
  </si>
  <si>
    <t>Interrupteur h3+ P630 3x400A</t>
  </si>
  <si>
    <t>1007.6577€</t>
  </si>
  <si>
    <t>HCW401AR</t>
  </si>
  <si>
    <t>Interrupteur h3+ P630 4x400A</t>
  </si>
  <si>
    <t>1232.3972€</t>
  </si>
  <si>
    <t>HCW630AR</t>
  </si>
  <si>
    <t>Interrupteur h3+ P630 3x630A</t>
  </si>
  <si>
    <t>1528.8306€</t>
  </si>
  <si>
    <t>HCW631AR</t>
  </si>
  <si>
    <t>Interrupteur h3+ P630 4x630A</t>
  </si>
  <si>
    <t>1848.5829€</t>
  </si>
  <si>
    <t>HEW250JR</t>
  </si>
  <si>
    <t>Disjoncteur h3+ P630 LSI 3x250A 70kA</t>
  </si>
  <si>
    <t>2128.1947€</t>
  </si>
  <si>
    <t>HEW250NR</t>
  </si>
  <si>
    <t>Disjoncteur h3+ P630 Energy 3x250A 70kA</t>
  </si>
  <si>
    <t>2360.9709€</t>
  </si>
  <si>
    <t>HEW251JR</t>
  </si>
  <si>
    <t>Disjoncteur h3+ P630 LSI 4x250A 70kA</t>
  </si>
  <si>
    <t>2726.7461€</t>
  </si>
  <si>
    <t>HEW251NR</t>
  </si>
  <si>
    <t>Disjoncteur h3+ P630 Energy 4x250A 70kA</t>
  </si>
  <si>
    <t>2992.7656€</t>
  </si>
  <si>
    <t>HEW400JR</t>
  </si>
  <si>
    <t>Disjoncteur h3+ P630 LSI 3x400A 70kA</t>
  </si>
  <si>
    <t>2560.4737€</t>
  </si>
  <si>
    <t>HEW400NR</t>
  </si>
  <si>
    <t>Disjoncteur h3+ P630 Energy 3x400A 70kA</t>
  </si>
  <si>
    <t>HEW401JR</t>
  </si>
  <si>
    <t>Disjoncteur h3+ P630 LSI 4x400A 70kA</t>
  </si>
  <si>
    <t>3159.0251€</t>
  </si>
  <si>
    <t>HEW401NR</t>
  </si>
  <si>
    <t>Disjoncteur h3+ P630 Energy 4x400A 70kA</t>
  </si>
  <si>
    <t>3524.8132€</t>
  </si>
  <si>
    <t>HEW630JR</t>
  </si>
  <si>
    <t>Disjoncteur h3+ P630 LSI 3x630A 70kA</t>
  </si>
  <si>
    <t>3458.2879€</t>
  </si>
  <si>
    <t>HEW630NR</t>
  </si>
  <si>
    <t>Disjoncteur h3+ P630 Energy 3x630A 70kA</t>
  </si>
  <si>
    <t>3990.3398€</t>
  </si>
  <si>
    <t>HEW631JR</t>
  </si>
  <si>
    <t>Disjoncteur h3+ P630 LSI 4x630A 70kA</t>
  </si>
  <si>
    <t>4123.3474€</t>
  </si>
  <si>
    <t>HEW631NR</t>
  </si>
  <si>
    <t>Disjoncteur h3+ P630 Energy 4x630A 70kA</t>
  </si>
  <si>
    <t>4721.9074€</t>
  </si>
  <si>
    <t>HHW401JA</t>
  </si>
  <si>
    <t>Disjoncteur h3+ P630 LSI AB 4x400A 25kA</t>
  </si>
  <si>
    <t>2247.0295€</t>
  </si>
  <si>
    <t>HHW401JB</t>
  </si>
  <si>
    <t>Disj. h3+ P630 LSI AB 4x400A 25kA + RCD</t>
  </si>
  <si>
    <t>3975.479€</t>
  </si>
  <si>
    <t>HHW401NA</t>
  </si>
  <si>
    <t>Disj. h3+ P630 Energy AB 4x400A 25kA</t>
  </si>
  <si>
    <t>2558.1388€</t>
  </si>
  <si>
    <t>HHW401NB</t>
  </si>
  <si>
    <t>Disj. h3+ P630 Energy AB 4x400A 25kA + RCD</t>
  </si>
  <si>
    <t>4286.5969€</t>
  </si>
  <si>
    <t>HMW250JR</t>
  </si>
  <si>
    <t>Disjoncteur h3+ P630 LSI 3x250A 50kA</t>
  </si>
  <si>
    <t>1662.6638€</t>
  </si>
  <si>
    <t>HMW250NR</t>
  </si>
  <si>
    <t>Disjoncteur h3+ P630 Energy 3x250A 50kA</t>
  </si>
  <si>
    <t>1995.1785€</t>
  </si>
  <si>
    <t>HMW251JR</t>
  </si>
  <si>
    <t>Disjoncteur h3+ P630 LSI 4x250A 50kA</t>
  </si>
  <si>
    <t>1895.4228€</t>
  </si>
  <si>
    <t>HMW251NR</t>
  </si>
  <si>
    <t>Disjoncteur h3+ P630 Energy 4x250A 50kA</t>
  </si>
  <si>
    <t>2261.1937€</t>
  </si>
  <si>
    <t>HMW400JR</t>
  </si>
  <si>
    <t>Disjoncteur h3+ P630 LSI 3x400A 50kA</t>
  </si>
  <si>
    <t>2161.4466€</t>
  </si>
  <si>
    <t>HMW400NR</t>
  </si>
  <si>
    <t>Disjoncteur h3+ P630 Energy 3x400A 50kA</t>
  </si>
  <si>
    <t>2527.2218€</t>
  </si>
  <si>
    <t>HMW401JR</t>
  </si>
  <si>
    <t>Disjoncteur h3+ P630 LSI 4x400A 50kA</t>
  </si>
  <si>
    <t>HMW401NR</t>
  </si>
  <si>
    <t>Disjoncteur h3+ P630 Energy 4x400A 50kA</t>
  </si>
  <si>
    <t>2893.0013€</t>
  </si>
  <si>
    <t>HMW630JR</t>
  </si>
  <si>
    <t>Disjoncteur h3+ P630 LSI 3x630A 50kA</t>
  </si>
  <si>
    <t>2859.7537€</t>
  </si>
  <si>
    <t>HMW630NR</t>
  </si>
  <si>
    <t>Disjoncteur h3+ P630 Energy 3x630A 50kA</t>
  </si>
  <si>
    <t>3292.0327€</t>
  </si>
  <si>
    <t>HMW631JR</t>
  </si>
  <si>
    <t>Disjoncteur h3+ P630 LSI 4x630A 50kA</t>
  </si>
  <si>
    <t>HMW631NR</t>
  </si>
  <si>
    <t>Disjoncteur h3+ P630 Energy 4x630A 50kA</t>
  </si>
  <si>
    <t>3890.5884€</t>
  </si>
  <si>
    <t>HET200BR</t>
  </si>
  <si>
    <t>Disjoncteur h3+ P250 MAG 3x200A 70kA</t>
  </si>
  <si>
    <t>1131.459€</t>
  </si>
  <si>
    <t>HET250BR</t>
  </si>
  <si>
    <t>Disjoncteur h3+ P250 MAG 3x250A 70kA</t>
  </si>
  <si>
    <t>HMT200BR</t>
  </si>
  <si>
    <t>Disjoncteur h3+ P250 MAG 3x200A 50kA</t>
  </si>
  <si>
    <t>856.2418€</t>
  </si>
  <si>
    <t>HMT250BR</t>
  </si>
  <si>
    <t>Disjoncteur h3+ P250 MAG 3x250A 50kA</t>
  </si>
  <si>
    <t>EUC100</t>
  </si>
  <si>
    <t>Relais de contrôle courant 1P+N 1 contact inverseur</t>
  </si>
  <si>
    <t>216.9307€</t>
  </si>
  <si>
    <t>EUD100</t>
  </si>
  <si>
    <t>Relais contrôle tempo U/P 1P/3P(N) 1CO</t>
  </si>
  <si>
    <t>299.5853€</t>
  </si>
  <si>
    <t>EUM100</t>
  </si>
  <si>
    <t>Relais contrôle U/P 1P/3P(N) 1CO</t>
  </si>
  <si>
    <t>210.2743€</t>
  </si>
  <si>
    <t>EUP100</t>
  </si>
  <si>
    <t>Relais de contrôle phase 3P(N) 1 contact inverseur</t>
  </si>
  <si>
    <t>193.0829€</t>
  </si>
  <si>
    <t>HR526</t>
  </si>
  <si>
    <t>Relais différentiel type A 0.03-30A temporisé avec écran de visualisation</t>
  </si>
  <si>
    <t>563.1194€</t>
  </si>
  <si>
    <t>HEW250DR</t>
  </si>
  <si>
    <t>Disjoncteur h3+ P630 TM 3x250A 70kA</t>
  </si>
  <si>
    <t>2086.4675€</t>
  </si>
  <si>
    <t>HEW251DR</t>
  </si>
  <si>
    <t>Disjoncteur h3+ P630 TM 4x250A 70kA</t>
  </si>
  <si>
    <t>2673.2756€</t>
  </si>
  <si>
    <t>HEW320BR</t>
  </si>
  <si>
    <t>Disjoncteur h3+ P630 MAG 3x320A 70kA</t>
  </si>
  <si>
    <t>1818.1776€</t>
  </si>
  <si>
    <t>HEW320DR</t>
  </si>
  <si>
    <t>Disjoncteur h3+ P630 TM 3x320A 70kA</t>
  </si>
  <si>
    <t>2314.6771€</t>
  </si>
  <si>
    <t>HEW321DR</t>
  </si>
  <si>
    <t>Disjoncteur h3+ P630 TM 4x320A 70kA</t>
  </si>
  <si>
    <t>2803.6731€</t>
  </si>
  <si>
    <t>HEW400DR</t>
  </si>
  <si>
    <t>Disjoncteur h3+ P630 TM 3x400A 70kA</t>
  </si>
  <si>
    <t>2510.2712€</t>
  </si>
  <si>
    <t>HEW401DR</t>
  </si>
  <si>
    <t>Disjoncteur h3+ P630 TM 4x400A 70kA</t>
  </si>
  <si>
    <t>3097.0793€</t>
  </si>
  <si>
    <t>HEW500BR</t>
  </si>
  <si>
    <t>Disjoncteur h3+ P630 MAG 3x500A 70kA</t>
  </si>
  <si>
    <t>2414.7596€</t>
  </si>
  <si>
    <t>HEW630DE</t>
  </si>
  <si>
    <t>Disjoncteur h3+ P630 TM 3x630A 70kA</t>
  </si>
  <si>
    <t>3390.4769€</t>
  </si>
  <si>
    <t>HEW631DE</t>
  </si>
  <si>
    <t>Disjoncteur h3+ P630 TM 4x630A 70kA</t>
  </si>
  <si>
    <t>4042.4945€</t>
  </si>
  <si>
    <t>HMW250DR</t>
  </si>
  <si>
    <t>Disjoncteur h3+ P630 TM 3x250A 50kA</t>
  </si>
  <si>
    <t>1630.0612€</t>
  </si>
  <si>
    <t>HMW251DR</t>
  </si>
  <si>
    <t>Disjoncteur h3+ P630 TM 4x250A 50kA</t>
  </si>
  <si>
    <t>1858.2579€</t>
  </si>
  <si>
    <t>HMW320BR</t>
  </si>
  <si>
    <t>Disjoncteur h3+ P630 MAG 3x320A 50kA</t>
  </si>
  <si>
    <t>1581.0283€</t>
  </si>
  <si>
    <t>HMW320DR</t>
  </si>
  <si>
    <t>Disjoncteur h3+ P630 TM 3x320A 50kA</t>
  </si>
  <si>
    <t>1923.4631€</t>
  </si>
  <si>
    <t>HMW321DR</t>
  </si>
  <si>
    <t>Disjoncteur h3+ P630 TM 4x320A 50kA</t>
  </si>
  <si>
    <t>2282.0702€</t>
  </si>
  <si>
    <t>HMW400DR</t>
  </si>
  <si>
    <t>Disjoncteur h3+ P630 TM 3x400A 50kA</t>
  </si>
  <si>
    <t>2119.0658€</t>
  </si>
  <si>
    <t>HMW401DR</t>
  </si>
  <si>
    <t>Disjoncteur h3+ P630 TM 4x400A 50kA</t>
  </si>
  <si>
    <t>HMW500BR</t>
  </si>
  <si>
    <t>Disjoncteur h3+ P630 MAG 3x500A 50kA</t>
  </si>
  <si>
    <t>2099.7932€</t>
  </si>
  <si>
    <t>HMW630DE</t>
  </si>
  <si>
    <t>Disjoncteur h3+ P630 TM 3x630A 50kA</t>
  </si>
  <si>
    <t>HMW631DE</t>
  </si>
  <si>
    <t>Disjoncteur h3+ P630 TM 4x630A 50kA</t>
  </si>
  <si>
    <t>3455.695€</t>
  </si>
  <si>
    <t>HR551</t>
  </si>
  <si>
    <t>Relais différentiel de type B avec une sensibilité réglable 30mA à 3A. Ce relais est préconisé pour la protection différentiel des bornes de recharge. des variateurs ou onduleur.</t>
  </si>
  <si>
    <t>694.1146€</t>
  </si>
  <si>
    <t>HR554</t>
  </si>
  <si>
    <t>Relais différentiel de type B avec une sensibilité réglable 30mA à 3A. Ce relais est préconisé pour la protection différentiel des bornes de recharge. des variateurs ou onduleur. Il permet de proteger jusqu?à 4 circuits.</t>
  </si>
  <si>
    <t>2584.9622€</t>
  </si>
  <si>
    <t>HR721</t>
  </si>
  <si>
    <t>Tore circulaire de diamètre 35mm pour relais différentiel de type B HR551/HR554. Il permet une sureté et rapidité de cable gràce a sa connectique de type RJ45.</t>
  </si>
  <si>
    <t>526.5694€</t>
  </si>
  <si>
    <t>HR722</t>
  </si>
  <si>
    <t>Tore circulaire de diamètre 55mm pour relais différentiel de type B HR551/HR554. Il permet une sureté et rapidité de cable gràce a sa connectique de type RJ45.</t>
  </si>
  <si>
    <t>598.3751€</t>
  </si>
  <si>
    <t>HR723</t>
  </si>
  <si>
    <t>Tore circulaire de diamètre 80mm pour relais différentiel de type B HR551/HR554. Il permet une sureté et rapidité de cable gràce a sa connectique de type RJ45.</t>
  </si>
  <si>
    <t>670.1808€</t>
  </si>
  <si>
    <t>HR724</t>
  </si>
  <si>
    <t>Tore circulaire de diamètre 110mm pour relais différentiel de type B HR551/HR554. Il permet une sureté et rapidité de cable gràce a sa connectique de type RJ45.</t>
  </si>
  <si>
    <t>909.5274€</t>
  </si>
  <si>
    <t>HR535</t>
  </si>
  <si>
    <t>Relais différentiel 4 canaux de type A avec une sensibilité de 0.03-30A temporisé avec écran de visualisation</t>
  </si>
  <si>
    <t>779.246€</t>
  </si>
  <si>
    <t>HMB480</t>
  </si>
  <si>
    <t>Disjoncteur 4P 15kA courbe B - 80A 6 modules</t>
  </si>
  <si>
    <t xml:space="preserve">HATPMM03 </t>
  </si>
  <si>
    <t>DISJ.MULTIPOLAIRES</t>
  </si>
  <si>
    <t>449.6448€</t>
  </si>
  <si>
    <t>HMD290</t>
  </si>
  <si>
    <t>Disjoncteur 2P 15kA courbe D - 100A 3 modules</t>
  </si>
  <si>
    <t>196.064€</t>
  </si>
  <si>
    <t>HMD490</t>
  </si>
  <si>
    <t>Disjoncteur 4P 15kA courbe D - 100A 6 modules</t>
  </si>
  <si>
    <t>430.192€</t>
  </si>
  <si>
    <t>HMX310</t>
  </si>
  <si>
    <t>Disjoncteur 3P 50kA courbe C - 10A 4.5 modules</t>
  </si>
  <si>
    <t>228.9184€</t>
  </si>
  <si>
    <t>NFN306</t>
  </si>
  <si>
    <t>Disjoncteur 3P 6-10kA courbe C - 6A 3 modules</t>
  </si>
  <si>
    <t>64.8608€</t>
  </si>
  <si>
    <t>NFN332</t>
  </si>
  <si>
    <t>Disjoncteur 3P 6-10kA courbe C - 32A 3 modules</t>
  </si>
  <si>
    <t>63.3984€</t>
  </si>
  <si>
    <t>NQN216</t>
  </si>
  <si>
    <t>Disjoncteur 2P 25kA courbe B - 16A 2 modules</t>
  </si>
  <si>
    <t>80.2304€</t>
  </si>
  <si>
    <t>NQN350</t>
  </si>
  <si>
    <t>Disjoncteur 3P 15kA courbe B - 50A 3 modules</t>
  </si>
  <si>
    <t>171.712€</t>
  </si>
  <si>
    <t>NRN240</t>
  </si>
  <si>
    <t>Disjoncteur 2P 20kA courbe C - 40A 2 modules</t>
  </si>
  <si>
    <t>83.2672€</t>
  </si>
  <si>
    <t>NRN316</t>
  </si>
  <si>
    <t>Disjoncteur 3P 25kA courbe C - 16A 3 modules</t>
  </si>
  <si>
    <t>96.8384€</t>
  </si>
  <si>
    <t>NRN450</t>
  </si>
  <si>
    <t>Disjoncteur 4P 15kA courbe C - 50A 4 modules</t>
  </si>
  <si>
    <t>195.36€</t>
  </si>
  <si>
    <t>NSN225</t>
  </si>
  <si>
    <t>Disjoncteur 2P 25kA courbe D - 25A 2 modules</t>
  </si>
  <si>
    <t>88.912€</t>
  </si>
  <si>
    <t>NSN363</t>
  </si>
  <si>
    <t>Disjoncteur 3P 15kA courbe D - 63A 3 modules</t>
  </si>
  <si>
    <t>158.3552€</t>
  </si>
  <si>
    <t>HMB399</t>
  </si>
  <si>
    <t>Disjoncteur 3P 15kA courbe B - 125A 4.5 modules</t>
  </si>
  <si>
    <t>454.4032€</t>
  </si>
  <si>
    <t>HMD280</t>
  </si>
  <si>
    <t>Disjoncteur 2P 15kA courbe D - 80A 3 modules</t>
  </si>
  <si>
    <t>186.2784€</t>
  </si>
  <si>
    <t>HMD480</t>
  </si>
  <si>
    <t>Disjoncteur 4P 15kA courbe D - 80A 6 modules</t>
  </si>
  <si>
    <t>366.6848€</t>
  </si>
  <si>
    <t>HMX220</t>
  </si>
  <si>
    <t>Disjoncteur 2P 50kA courbe C - 20A 3 modules</t>
  </si>
  <si>
    <t>149.2672€</t>
  </si>
  <si>
    <t>HMX363</t>
  </si>
  <si>
    <t>Disjoncteur 3P 50kA courbe C - 63A 4.5 modules</t>
  </si>
  <si>
    <t>338.8384€</t>
  </si>
  <si>
    <t>HMX440</t>
  </si>
  <si>
    <t>Disjoncteur 4P 50kA courbe C - 40A 6 modules</t>
  </si>
  <si>
    <t>334.7424€</t>
  </si>
  <si>
    <t>NFN263</t>
  </si>
  <si>
    <t>Disjoncteur 2P 6-10kA courbe C - 63A 2 modules</t>
  </si>
  <si>
    <t>80.1824€</t>
  </si>
  <si>
    <t>NFN420</t>
  </si>
  <si>
    <t>Disjoncteur 4P 6-10kA courbe C - 20A 4 modules</t>
  </si>
  <si>
    <t>70.7008€</t>
  </si>
  <si>
    <t>NQN306</t>
  </si>
  <si>
    <t>Disjoncteur 3P 25kA courbe B - 6A 3 modules</t>
  </si>
  <si>
    <t>126.5472€</t>
  </si>
  <si>
    <t>NQN340</t>
  </si>
  <si>
    <t>Disjoncteur 3P 20kA courbe B - 40A 3 modules</t>
  </si>
  <si>
    <t>147.3504€</t>
  </si>
  <si>
    <t>NRN232</t>
  </si>
  <si>
    <t>Disjoncteur 2P 20kA courbe C - 32A 2 modules</t>
  </si>
  <si>
    <t>69.0496€</t>
  </si>
  <si>
    <t>NRN440</t>
  </si>
  <si>
    <t>Disjoncteur 4P 20kA courbe C - 40A 4 modules</t>
  </si>
  <si>
    <t>168.336€</t>
  </si>
  <si>
    <t>NSN316</t>
  </si>
  <si>
    <t>Disjoncteur 3P 25kA courbe D - 16A 3 modules</t>
  </si>
  <si>
    <t>122.2944€</t>
  </si>
  <si>
    <t>NSN350</t>
  </si>
  <si>
    <t>Disjoncteur 3P 15kA courbe D - 50A 3 modules</t>
  </si>
  <si>
    <t>154.0544€</t>
  </si>
  <si>
    <t>HMB390</t>
  </si>
  <si>
    <t>Disjoncteur 3P 15kA courbe B - 100A 4.5 modules</t>
  </si>
  <si>
    <t>376.2624€</t>
  </si>
  <si>
    <t>HMC499</t>
  </si>
  <si>
    <t>Disjoncteur 4P 15kA courbe C - 125A 6 modules</t>
  </si>
  <si>
    <t>494.3264€</t>
  </si>
  <si>
    <t>HMX216</t>
  </si>
  <si>
    <t>Disjoncteur 2P 50kA courbe C - 16A 3 modules</t>
  </si>
  <si>
    <t>146.3296€</t>
  </si>
  <si>
    <t>HMX432</t>
  </si>
  <si>
    <t>Disjoncteur 4P 50kA courbe C - 32A 6 modules</t>
  </si>
  <si>
    <t>344.784€</t>
  </si>
  <si>
    <t>NFN210</t>
  </si>
  <si>
    <t>Disjoncteur 2P 6-10kA courbe C- 10A 2 modules</t>
  </si>
  <si>
    <t>36.736€</t>
  </si>
  <si>
    <t>NFN250</t>
  </si>
  <si>
    <t>Disjoncteur 2P 6-10kA courbe C - 50A 2 modules</t>
  </si>
  <si>
    <t>72.8352€</t>
  </si>
  <si>
    <t>NFN416</t>
  </si>
  <si>
    <t>Disjoncteur 4P 6-10kA courbe C - 16A 4 modules</t>
  </si>
  <si>
    <t>70.224€</t>
  </si>
  <si>
    <t>NFN463</t>
  </si>
  <si>
    <t>Disjoncteur 4P 6-10kA courbe C - 63A 4 modules</t>
  </si>
  <si>
    <t>168.1536€</t>
  </si>
  <si>
    <t>NQN263</t>
  </si>
  <si>
    <t>Disjoncteur 2P 15kA courbe B - 63A 2 modules</t>
  </si>
  <si>
    <t>112.3296€</t>
  </si>
  <si>
    <t>NQN332</t>
  </si>
  <si>
    <t>Disjoncteur 3P 20kA courbe B - 32A 3 modules</t>
  </si>
  <si>
    <t>122.3936€</t>
  </si>
  <si>
    <t>NRN225</t>
  </si>
  <si>
    <t>Disjoncteur 2P 25kA courbe C - 25A 2 modules</t>
  </si>
  <si>
    <t>69.0592€</t>
  </si>
  <si>
    <t>NRN406</t>
  </si>
  <si>
    <t>Disjoncteur 4P 25kA courbe C - 6A 4 modules</t>
  </si>
  <si>
    <t>161.0464€</t>
  </si>
  <si>
    <t>NRN432</t>
  </si>
  <si>
    <t>Disjoncteur 4P 20kA courbe C - 32A 4 modules</t>
  </si>
  <si>
    <t>136.8896€</t>
  </si>
  <si>
    <t>NSN310</t>
  </si>
  <si>
    <t>Disjoncteur 3P 25kA courbe D - 10A 3 modules</t>
  </si>
  <si>
    <t>122.3008€</t>
  </si>
  <si>
    <t>HMC299</t>
  </si>
  <si>
    <t>Disjoncteur 2P 15kA courbe C - 125A 3 modules</t>
  </si>
  <si>
    <t>210.7744€</t>
  </si>
  <si>
    <t>HMC490</t>
  </si>
  <si>
    <t>Disjoncteur 4P 15kA courbe C - 100A 6 modules</t>
  </si>
  <si>
    <t>358.784€</t>
  </si>
  <si>
    <t>HMX210</t>
  </si>
  <si>
    <t>Disjoncteur 2P 50kA courbe C - 10A 3 modules</t>
  </si>
  <si>
    <t>140.5312€</t>
  </si>
  <si>
    <t>HMX340</t>
  </si>
  <si>
    <t>Disjoncteur 3P 50kA courbe C - 40A 4.5 modules</t>
  </si>
  <si>
    <t>264.4992€</t>
  </si>
  <si>
    <t>NFN206</t>
  </si>
  <si>
    <t>Disjoncteur 2P 6-10kA courbe C - 6A 2 modules</t>
  </si>
  <si>
    <t>41.3664€</t>
  </si>
  <si>
    <t>NFN240</t>
  </si>
  <si>
    <t>Disjoncteur 2P 6-10kA courbe C - 40A 2 modules</t>
  </si>
  <si>
    <t>NFN410</t>
  </si>
  <si>
    <t>Disjoncteur 4P 6-10kA courbe C - 10A 4 modules</t>
  </si>
  <si>
    <t>77.5136€</t>
  </si>
  <si>
    <t>NQN250</t>
  </si>
  <si>
    <t>Disjoncteur 2P 15kA courbe B - 50A 2 modules</t>
  </si>
  <si>
    <t>98.8352€</t>
  </si>
  <si>
    <t>NQN420</t>
  </si>
  <si>
    <t>Disjoncteur 4P 25kA courbe B - 20A 4 modules</t>
  </si>
  <si>
    <t>161.776€</t>
  </si>
  <si>
    <t>NQN463</t>
  </si>
  <si>
    <t>Disjoncteur 4P 15kA courbe B - 63A 4 modules</t>
  </si>
  <si>
    <t>250.7936€</t>
  </si>
  <si>
    <t>NRN220</t>
  </si>
  <si>
    <t>Disjoncteur 2P 25kA courbe C - 20A 2 modules</t>
  </si>
  <si>
    <t>66.1952€</t>
  </si>
  <si>
    <t>NRN363</t>
  </si>
  <si>
    <t>Disjoncteur 3P 15kA courbe C - 63A 3 modules</t>
  </si>
  <si>
    <t>152.4768€</t>
  </si>
  <si>
    <t>NSN220</t>
  </si>
  <si>
    <t>Disjoncteur 2P 25kA courbe D - 20A 2 modules</t>
  </si>
  <si>
    <t>85.7632€</t>
  </si>
  <si>
    <t>NSN306</t>
  </si>
  <si>
    <t>Disjoncteur 3P 25kA courbe D - 6A 3 modules</t>
  </si>
  <si>
    <t>142.9312€</t>
  </si>
  <si>
    <t>NSN432</t>
  </si>
  <si>
    <t>Disjoncteur 4P 20kA courbe D - 32A 4 modules</t>
  </si>
  <si>
    <t>170.7072€</t>
  </si>
  <si>
    <t>HMC290</t>
  </si>
  <si>
    <t>Disjoncteur 2P 15kA courbe C - 100A 3 modules</t>
  </si>
  <si>
    <t>169.1424€</t>
  </si>
  <si>
    <t>HMX263</t>
  </si>
  <si>
    <t>Disjoncteur 2P 50kA courbe C - 63A 3 modules</t>
  </si>
  <si>
    <t>210.0064€</t>
  </si>
  <si>
    <t>HMX332</t>
  </si>
  <si>
    <t>Disjoncteur 3P 50kA courbe C - 32A 4.5 modules</t>
  </si>
  <si>
    <t>261.0208€</t>
  </si>
  <si>
    <t>NFN325</t>
  </si>
  <si>
    <t>Disjoncteur 3P 6-10kA courbe C - 25A 3 modules</t>
  </si>
  <si>
    <t>61.8656€</t>
  </si>
  <si>
    <t>NFN406</t>
  </si>
  <si>
    <t>Disjoncteur 4P 6-10kA courbe C - 6A 4 modules</t>
  </si>
  <si>
    <t>87.3056€</t>
  </si>
  <si>
    <t>NQN210</t>
  </si>
  <si>
    <t>Disjoncteur 2P 25kA courbe B - 10A 2 modules</t>
  </si>
  <si>
    <t>80.224€</t>
  </si>
  <si>
    <t>NQN240</t>
  </si>
  <si>
    <t>Disjoncteur 2P 20kA courbe B - 40A 2 modules</t>
  </si>
  <si>
    <t>85.0336€</t>
  </si>
  <si>
    <t>NQN416</t>
  </si>
  <si>
    <t>Disjoncteur 4P 25kA courbe B - 16A 4 modules</t>
  </si>
  <si>
    <t>162.6144€</t>
  </si>
  <si>
    <t>NRN310</t>
  </si>
  <si>
    <t>Disjoncteur 3P 25kA courbe C - 10A 3 modules</t>
  </si>
  <si>
    <t>97.808€</t>
  </si>
  <si>
    <t>NRN350</t>
  </si>
  <si>
    <t>Disjoncteur 3P 15kA courbe C - 50A 3 modules</t>
  </si>
  <si>
    <t>141.3824€</t>
  </si>
  <si>
    <t>NSN216</t>
  </si>
  <si>
    <t>Disjoncteur 2P 25kA courbe D - 16A 2 modules</t>
  </si>
  <si>
    <t>NSN263</t>
  </si>
  <si>
    <t>Disjoncteur 2P 15kA courbe D - 63A 2 modules</t>
  </si>
  <si>
    <t>107.1072€</t>
  </si>
  <si>
    <t>NSN425</t>
  </si>
  <si>
    <t>Disjoncteur 4P 25kA courbe D - 25A 4 modules</t>
  </si>
  <si>
    <t>169.1072€</t>
  </si>
  <si>
    <t>HMB380</t>
  </si>
  <si>
    <t>Disjoncteur 3P 15kA courbe B - 80A 4.5 modules</t>
  </si>
  <si>
    <t>312.7008€</t>
  </si>
  <si>
    <t>HMC280</t>
  </si>
  <si>
    <t>Disjoncteur 2P 15kA courbe C - 80A 3 modules</t>
  </si>
  <si>
    <t>161.2€</t>
  </si>
  <si>
    <t>HMD399</t>
  </si>
  <si>
    <t>Disjoncteur 3P 15kA courbe D - 125A 4.5 modules</t>
  </si>
  <si>
    <t>418.4736€</t>
  </si>
  <si>
    <t>NFN320</t>
  </si>
  <si>
    <t>Disjoncteur 3P 6-10kA courbe C - 20A 3 modules</t>
  </si>
  <si>
    <t>58.304€</t>
  </si>
  <si>
    <t>NQN206</t>
  </si>
  <si>
    <t>Disjoncteur 2P 25kA courbe B - 6A 2 modules</t>
  </si>
  <si>
    <t>109.4816€</t>
  </si>
  <si>
    <t>NQN325</t>
  </si>
  <si>
    <t>Disjoncteur 3P 25kA courbe B - 25A 3 modules</t>
  </si>
  <si>
    <t>122.3648€</t>
  </si>
  <si>
    <t>NQN410</t>
  </si>
  <si>
    <t>Disjoncteur 4P 25kA courbe B - 10A 4 modules</t>
  </si>
  <si>
    <t>162.5888€</t>
  </si>
  <si>
    <t>NRN306</t>
  </si>
  <si>
    <t>Disjoncteur 3P 25kA courbe C - 6A 3 modules</t>
  </si>
  <si>
    <t>121.0944€</t>
  </si>
  <si>
    <t>NRN340</t>
  </si>
  <si>
    <t>Disjoncteur 3P 20kA courbe C - 40A 3 modules</t>
  </si>
  <si>
    <t>121.3248€</t>
  </si>
  <si>
    <t>NSN210</t>
  </si>
  <si>
    <t>Disjoncteur 2P 25kA courbe D - 10A 2 modules</t>
  </si>
  <si>
    <t>85.7664€</t>
  </si>
  <si>
    <t>NSN340</t>
  </si>
  <si>
    <t>Disjoncteur 3P 20kA courbe D - 40A 3 modules</t>
  </si>
  <si>
    <t>149.424€</t>
  </si>
  <si>
    <t>NSN420</t>
  </si>
  <si>
    <t>Disjoncteur 4P 25kA courbe D - 20A 4 modules</t>
  </si>
  <si>
    <t>165.1456€</t>
  </si>
  <si>
    <t>HMB299</t>
  </si>
  <si>
    <t>Disjoncteur 2P 15kA courbe B - 125A 3 modules</t>
  </si>
  <si>
    <t>248.7616€</t>
  </si>
  <si>
    <t>HMB499</t>
  </si>
  <si>
    <t>Disjoncteur 4P 15kA courbe B - 125A 6 modules</t>
  </si>
  <si>
    <t>629.4592€</t>
  </si>
  <si>
    <t>HMD390</t>
  </si>
  <si>
    <t>Disjoncteur 3P 15kA courbe D - 100A 4.5 modules</t>
  </si>
  <si>
    <t>311.0016€</t>
  </si>
  <si>
    <t>HMX240</t>
  </si>
  <si>
    <t>Disjoncteur 2P 50kA courbe C - 40A 3 modules</t>
  </si>
  <si>
    <t>174.0288€</t>
  </si>
  <si>
    <t>NFN232</t>
  </si>
  <si>
    <t>Disjoncteur 2P 6-10kA courbe C - 32A 2 modules</t>
  </si>
  <si>
    <t>40.3968€</t>
  </si>
  <si>
    <t>NFN316</t>
  </si>
  <si>
    <t>Disjoncteur 3P 6-10kA courbe C - 16A 3 modules</t>
  </si>
  <si>
    <t>56.5632€</t>
  </si>
  <si>
    <t>NFN450</t>
  </si>
  <si>
    <t>Disjoncteur 4P 6-10kA courbe C - 50A 4 modules</t>
  </si>
  <si>
    <t>156.0288€</t>
  </si>
  <si>
    <t>NQN320</t>
  </si>
  <si>
    <t>Disjoncteur 3P 25kA courbe B - 20A 3 modules</t>
  </si>
  <si>
    <t>117.0112€</t>
  </si>
  <si>
    <t>NQN406</t>
  </si>
  <si>
    <t>Disjoncteur 4P 25kA courbe B - 6A 4 modules</t>
  </si>
  <si>
    <t>170.6752€</t>
  </si>
  <si>
    <t>NRN263</t>
  </si>
  <si>
    <t>Disjoncteur 2P 15kA courbe C - 63A 2 modules</t>
  </si>
  <si>
    <t>99.1712€</t>
  </si>
  <si>
    <t>NRN425</t>
  </si>
  <si>
    <t>Disjoncteur 4P 25kA courbe C - 25A 4 modules</t>
  </si>
  <si>
    <t>137.0464€</t>
  </si>
  <si>
    <t>NSN206</t>
  </si>
  <si>
    <t>Disjoncteur 2P 25kA courbe D - 6A 2 modules</t>
  </si>
  <si>
    <t>92.0928€</t>
  </si>
  <si>
    <t>NSN332</t>
  </si>
  <si>
    <t>Disjoncteur 3P 20kA courbe D - 32A 3 modules</t>
  </si>
  <si>
    <t>NSN416</t>
  </si>
  <si>
    <t>Disjoncteur 4P 25kA courbe D - 16A 4 modules</t>
  </si>
  <si>
    <t>165.1488€</t>
  </si>
  <si>
    <t>HMB290</t>
  </si>
  <si>
    <t>Disjoncteur 2P 15kA courbe B - 100A 3 module</t>
  </si>
  <si>
    <t>191.4176€</t>
  </si>
  <si>
    <t>HMC480</t>
  </si>
  <si>
    <t>Disjoncteur 4P 15kA courbe C - 80A 6 modules</t>
  </si>
  <si>
    <t>303.072€</t>
  </si>
  <si>
    <t>HMD380</t>
  </si>
  <si>
    <t>Disjoncteur 3P 15kA courbe D - 80A 4.5 modules</t>
  </si>
  <si>
    <t>264.5824€</t>
  </si>
  <si>
    <t>HMX232</t>
  </si>
  <si>
    <t>Disjoncteur 2P 50kA courbe C - 32A 3 modules</t>
  </si>
  <si>
    <t>162.0672€</t>
  </si>
  <si>
    <t>HMX420</t>
  </si>
  <si>
    <t>Disjoncteur 4P 50kA courbe C - 20A 6 modules</t>
  </si>
  <si>
    <t>334.6272€</t>
  </si>
  <si>
    <t>NFN225</t>
  </si>
  <si>
    <t>Disjoncteur 2P 6-10kA courbe C - 25A 2 modules</t>
  </si>
  <si>
    <t>39.424€</t>
  </si>
  <si>
    <t>NFN310</t>
  </si>
  <si>
    <t>Disjoncteur 3P 6-10kA courbe C - 10A 3 modules</t>
  </si>
  <si>
    <t>57.6224€</t>
  </si>
  <si>
    <t>NFN440</t>
  </si>
  <si>
    <t>Disjoncteur 4P 6-10kA courbe C - 40A 4 modules</t>
  </si>
  <si>
    <t>103.2384€</t>
  </si>
  <si>
    <t>NQN316</t>
  </si>
  <si>
    <t>Disjoncteur 3P 25kA courbe B - 16A 3 modules</t>
  </si>
  <si>
    <t>NQN450</t>
  </si>
  <si>
    <t>Disjoncteur 4P 15kA courbe B - 50A 4 modules</t>
  </si>
  <si>
    <t>232.896€</t>
  </si>
  <si>
    <t>NRN216</t>
  </si>
  <si>
    <t>Disjoncteur 2P 25kA courbe C - 16A 2 modules</t>
  </si>
  <si>
    <t>66.176€</t>
  </si>
  <si>
    <t>NRN250</t>
  </si>
  <si>
    <t>Disjoncteur 2P 15kA courbe C - 50A 2 modules</t>
  </si>
  <si>
    <t>91.7248€</t>
  </si>
  <si>
    <t>NRN420</t>
  </si>
  <si>
    <t>Disjoncteur 4P 25kA courbe C - 20A 4 modules</t>
  </si>
  <si>
    <t>132.1312€</t>
  </si>
  <si>
    <t>NSN325</t>
  </si>
  <si>
    <t>Disjoncteur 3P 25kA courbe D - 25A 3 modules</t>
  </si>
  <si>
    <t>122.2752€</t>
  </si>
  <si>
    <t>HMB280</t>
  </si>
  <si>
    <t>Disjoncteur 2P 15kA courbe B - 80A 3 modules</t>
  </si>
  <si>
    <t>164.1696€</t>
  </si>
  <si>
    <t>HMC399</t>
  </si>
  <si>
    <t>Disjoncteur 3P 15kA courbe C - 125A 4.5 modules</t>
  </si>
  <si>
    <t>366.6624€</t>
  </si>
  <si>
    <t>HMD299</t>
  </si>
  <si>
    <t>Disjoncteur 2P 15kA courbe D - 125A 3 modules</t>
  </si>
  <si>
    <t>268.4416€</t>
  </si>
  <si>
    <t>HMX416</t>
  </si>
  <si>
    <t>Disjoncteur 4P 50kA courbe C - 16A 6 modules</t>
  </si>
  <si>
    <t>327.0816€</t>
  </si>
  <si>
    <t>NFN220</t>
  </si>
  <si>
    <t>Disjoncteur 2P 6-10kA courbe C - 20A 2 modules</t>
  </si>
  <si>
    <t>37.1808€</t>
  </si>
  <si>
    <t>NFN363</t>
  </si>
  <si>
    <t>Disjoncteur 3P 6-10kA courbe C - 63A 3 modules</t>
  </si>
  <si>
    <t>132.3552€</t>
  </si>
  <si>
    <t>NFN432</t>
  </si>
  <si>
    <t>Disjoncteur 4P 6-10kA courbe C - 32A 4 modules</t>
  </si>
  <si>
    <t>77.2928€</t>
  </si>
  <si>
    <t>NQN232</t>
  </si>
  <si>
    <t>Disjoncteur 2P 20kA courbe B - 32A 2 modules</t>
  </si>
  <si>
    <t>81.9296€</t>
  </si>
  <si>
    <t>NQN310</t>
  </si>
  <si>
    <t>Disjoncteur 3P 25kA courbe B - 10A 3 modules</t>
  </si>
  <si>
    <t>NQN440</t>
  </si>
  <si>
    <t>Disjoncteur 4P 20kA courbe B - 40A 4 modules</t>
  </si>
  <si>
    <t>206.3296€</t>
  </si>
  <si>
    <t>NRN210</t>
  </si>
  <si>
    <t>Disjoncteur 2P 25kA courbe C - 10A 2 modules</t>
  </si>
  <si>
    <t>NRN332</t>
  </si>
  <si>
    <t>Disjoncteur 3P 20kA courbe C - 32A 3 modules</t>
  </si>
  <si>
    <t>100.8064€</t>
  </si>
  <si>
    <t>NRN416</t>
  </si>
  <si>
    <t>Disjoncteur 4P 25kA courbe C - 16A 4 modules</t>
  </si>
  <si>
    <t>132.1472€</t>
  </si>
  <si>
    <t>NSN250</t>
  </si>
  <si>
    <t>Disjoncteur 2P 15kA courbe D - 50A 2 modules</t>
  </si>
  <si>
    <t>101.0592€</t>
  </si>
  <si>
    <t>NSN320</t>
  </si>
  <si>
    <t>Disjoncteur 3P 25kA courbe D - 20A 3 modules</t>
  </si>
  <si>
    <t>122.3168€</t>
  </si>
  <si>
    <t>NSN463</t>
  </si>
  <si>
    <t>Disjoncteur 4P 15kA courbe D - 63A 4 modules</t>
  </si>
  <si>
    <t>228.6304€</t>
  </si>
  <si>
    <t>HMC390</t>
  </si>
  <si>
    <t>Disjoncteur 3P 15kA courbe C - 100A 4.5 modules</t>
  </si>
  <si>
    <t>271.1168€</t>
  </si>
  <si>
    <t>HMX320</t>
  </si>
  <si>
    <t>Disjoncteur 3P 50kA courbe C - 20A 4.5 modules</t>
  </si>
  <si>
    <t>246.0064€</t>
  </si>
  <si>
    <t>HMX410</t>
  </si>
  <si>
    <t>Disjoncteur 4P 50kA courbe C - 10A 6 modules</t>
  </si>
  <si>
    <t>319.6576€</t>
  </si>
  <si>
    <t>NFN216</t>
  </si>
  <si>
    <t>Disjoncteur 2P 6-10kA courbe C - 16A 2 modules</t>
  </si>
  <si>
    <t>36.08€</t>
  </si>
  <si>
    <t>NFN350</t>
  </si>
  <si>
    <t>Disjoncteur 3P 6-10kA courbe C - 50A 3 modules</t>
  </si>
  <si>
    <t>116.1344€</t>
  </si>
  <si>
    <t>NFN425</t>
  </si>
  <si>
    <t>Disjoncteur 4P 6-10kA courbe C - 25A 4 modules</t>
  </si>
  <si>
    <t>83.184€</t>
  </si>
  <si>
    <t>NQN225</t>
  </si>
  <si>
    <t>Disjoncteur 2P 25kA courbe B - 25A 2 modules</t>
  </si>
  <si>
    <t>NQN432</t>
  </si>
  <si>
    <t>Disjoncteur 4P 20kA courbe B - 32A 4 modules</t>
  </si>
  <si>
    <t>168.1696€</t>
  </si>
  <si>
    <t>NRN206</t>
  </si>
  <si>
    <t>Disjoncteur 2P 25kA courbe C - 6A 2 modules</t>
  </si>
  <si>
    <t>75.2896€</t>
  </si>
  <si>
    <t>NRN325</t>
  </si>
  <si>
    <t>Disjoncteur 3P 25kA courbe C - 25A 3 modules</t>
  </si>
  <si>
    <t>100.7456€</t>
  </si>
  <si>
    <t>NRN410</t>
  </si>
  <si>
    <t>Disjoncteur 4P 25kA courbe C - 10A 4 modules</t>
  </si>
  <si>
    <t>132.3104€</t>
  </si>
  <si>
    <t>NSN240</t>
  </si>
  <si>
    <t>Disjoncteur 2P 20kA courbe D - 40A 2 modules</t>
  </si>
  <si>
    <t>101.6448€</t>
  </si>
  <si>
    <t>NSN410</t>
  </si>
  <si>
    <t>Disjoncteur 4P 25kA courbe D - 10A 4 modules</t>
  </si>
  <si>
    <t>165.1392€</t>
  </si>
  <si>
    <t>NSN450</t>
  </si>
  <si>
    <t>Disjoncteur 4P 15kA courbe D - 50A 4 modules</t>
  </si>
  <si>
    <t>219.1008€</t>
  </si>
  <si>
    <t>HMB490</t>
  </si>
  <si>
    <t>Disjoncteur 4P 15kA courbe B - 100A 6 modules</t>
  </si>
  <si>
    <t>523.6128€</t>
  </si>
  <si>
    <t>HMC380</t>
  </si>
  <si>
    <t>Disjoncteur 3P 15kA courbe C - 80A 4.5 modules</t>
  </si>
  <si>
    <t>231.1744€</t>
  </si>
  <si>
    <t>HMD499</t>
  </si>
  <si>
    <t>Disjoncteur 4P 15kA courbe D - 125A 6 modules</t>
  </si>
  <si>
    <t>526.0064€</t>
  </si>
  <si>
    <t>HMX316</t>
  </si>
  <si>
    <t>Disjoncteur 3P 50kA courbe C - 16A 4.5 modules</t>
  </si>
  <si>
    <t>238.5088€</t>
  </si>
  <si>
    <t>HMX463</t>
  </si>
  <si>
    <t>Disjoncteur 4P 50kA courbe C - 63A 6 modules</t>
  </si>
  <si>
    <t>353.0144€</t>
  </si>
  <si>
    <t>NFN340</t>
  </si>
  <si>
    <t>Disjoncteur 3P 6-10kA courbe C - 40A 3 modules</t>
  </si>
  <si>
    <t>77.1936€</t>
  </si>
  <si>
    <t>NQN220</t>
  </si>
  <si>
    <t>Disjoncteur 2P 25kA courbe B - 20A 2 modules</t>
  </si>
  <si>
    <t>80.2176€</t>
  </si>
  <si>
    <t>NQN363</t>
  </si>
  <si>
    <t>Disjoncteur 3P 15kA courbe B - 63A 3 modules</t>
  </si>
  <si>
    <t>184.7776€</t>
  </si>
  <si>
    <t>NQN425</t>
  </si>
  <si>
    <t>Disjoncteur 4P 25kA courbe B - 25A 4 modules</t>
  </si>
  <si>
    <t>168.1632€</t>
  </si>
  <si>
    <t>NRN320</t>
  </si>
  <si>
    <t>Disjoncteur 3P 25kA courbe C - 20A 3 modules</t>
  </si>
  <si>
    <t>96.8064€</t>
  </si>
  <si>
    <t>NRN463</t>
  </si>
  <si>
    <t>Disjoncteur 4P 15kA courbe C - 63A 4 modules</t>
  </si>
  <si>
    <t>211.3344€</t>
  </si>
  <si>
    <t>NSN232</t>
  </si>
  <si>
    <t>Disjoncteur 2P 20kA courbe D - 32A 2 modules</t>
  </si>
  <si>
    <t>88.9216€</t>
  </si>
  <si>
    <t>NSN406</t>
  </si>
  <si>
    <t>Disjoncteur 4P 25kA courbe D - 6A 4 modules</t>
  </si>
  <si>
    <t>193.712€</t>
  </si>
  <si>
    <t>NSN440</t>
  </si>
  <si>
    <t>Disjoncteur 4P 20kA courbe D - 40A 4 modules</t>
  </si>
  <si>
    <t>208.0032€</t>
  </si>
  <si>
    <t>NFT310</t>
  </si>
  <si>
    <t>52.1952€</t>
  </si>
  <si>
    <t>NFT820</t>
  </si>
  <si>
    <t>Disjoncteur 3P+N 6-10kA courbe C - 20A 3 modules</t>
  </si>
  <si>
    <t>62.8384€</t>
  </si>
  <si>
    <t>NFT306</t>
  </si>
  <si>
    <t>62.2304€</t>
  </si>
  <si>
    <t>NFT816</t>
  </si>
  <si>
    <t>Disjoncteur 3P+N 6-10kA courbe C - 16A 3 modules</t>
  </si>
  <si>
    <t>62.4096€</t>
  </si>
  <si>
    <t>NGT825</t>
  </si>
  <si>
    <t>Disjoncteur 3P+N 6-10kA courbe D - 25A 3 modules</t>
  </si>
  <si>
    <t>102.912€</t>
  </si>
  <si>
    <t>NGT316</t>
  </si>
  <si>
    <t>Disjoncteur 3P 6-10kA courbe D - 16A 3 modules</t>
  </si>
  <si>
    <t>71.9424€</t>
  </si>
  <si>
    <t>NGT820</t>
  </si>
  <si>
    <t>Disjoncteur 3P+N 6-10kA courbe D - 20A 3 modules</t>
  </si>
  <si>
    <t>99.9936€</t>
  </si>
  <si>
    <t>NGT310</t>
  </si>
  <si>
    <t>Disjoncteur 3P 6-10kA courbe D - 10A 3 modules</t>
  </si>
  <si>
    <t>71.5552€</t>
  </si>
  <si>
    <t>NGT816</t>
  </si>
  <si>
    <t>Disjoncteur 3P+N 6-10kA courbe D - 16A 3 modules</t>
  </si>
  <si>
    <t>96.8224€</t>
  </si>
  <si>
    <t>NFT340</t>
  </si>
  <si>
    <t>74.5824€</t>
  </si>
  <si>
    <t>NFT810</t>
  </si>
  <si>
    <t>Disjoncteur 3P+N 6-10kA courbe C - 10A 3 modules</t>
  </si>
  <si>
    <t>61.7344€</t>
  </si>
  <si>
    <t>NGT306</t>
  </si>
  <si>
    <t>Disjoncteur 3P 6-10kA courbe D - 6A 3 modules</t>
  </si>
  <si>
    <t>82.6528€</t>
  </si>
  <si>
    <t>NGT810</t>
  </si>
  <si>
    <t>Disjoncteur 3P+N 6-10kA courbe D - 10A 3 modules</t>
  </si>
  <si>
    <t>98.8032€</t>
  </si>
  <si>
    <t>NFT332</t>
  </si>
  <si>
    <t>58.3008€</t>
  </si>
  <si>
    <t>NFT806</t>
  </si>
  <si>
    <t>Disjoncteur 3P+N 6-10kA courbe C - 6A 3 modules</t>
  </si>
  <si>
    <t>80.1632€</t>
  </si>
  <si>
    <t>NFT840</t>
  </si>
  <si>
    <t>Disjoncteur 3P+N 6-10kA courbe C - 40A 3 modules</t>
  </si>
  <si>
    <t>87.0624€</t>
  </si>
  <si>
    <t>NFT325</t>
  </si>
  <si>
    <t>57.0048€</t>
  </si>
  <si>
    <t>NGT340</t>
  </si>
  <si>
    <t>Disjoncteur 3P 6-10kA courbe D - 40A 3 modules</t>
  </si>
  <si>
    <t>88.8704€</t>
  </si>
  <si>
    <t>NGT332</t>
  </si>
  <si>
    <t>Disjoncteur 3P 6-10kA courbe D - 32A 3 modules</t>
  </si>
  <si>
    <t>77.4208€</t>
  </si>
  <si>
    <t>NGT840</t>
  </si>
  <si>
    <t>Disjoncteur 3P+N 6-10kA courbe D - 40A 3 modules</t>
  </si>
  <si>
    <t>112.0544€</t>
  </si>
  <si>
    <t>NGT325</t>
  </si>
  <si>
    <t>Disjoncteur 3P 6-10kA courbe D - 25A 3 modules</t>
  </si>
  <si>
    <t>76.2848€</t>
  </si>
  <si>
    <t>NGT806</t>
  </si>
  <si>
    <t>Disjoncteur 3P+N 6-10kA courbe D - 6A 3 modules</t>
  </si>
  <si>
    <t>110.7648€</t>
  </si>
  <si>
    <t>NGT832</t>
  </si>
  <si>
    <t>Disjoncteur 3P+N 6-10kA courbe D - 32A 3 modules</t>
  </si>
  <si>
    <t>102.9216€</t>
  </si>
  <si>
    <t>NFT320</t>
  </si>
  <si>
    <t>52.8064€</t>
  </si>
  <si>
    <t>NFT832</t>
  </si>
  <si>
    <t>Disjoncteur 3P+N 6-10kA courbe C - 32A 3 modules</t>
  </si>
  <si>
    <t>68.7168€</t>
  </si>
  <si>
    <t>NGT320</t>
  </si>
  <si>
    <t>Disjoncteur 3P 6-10kA courbe D - 20A 3 modules</t>
  </si>
  <si>
    <t>71.2096€</t>
  </si>
  <si>
    <t>NFT316</t>
  </si>
  <si>
    <t>52.416€</t>
  </si>
  <si>
    <t>NFT825</t>
  </si>
  <si>
    <t>Disjoncteur 3P+N 6-10kA courbe C - 25A 3 modules</t>
  </si>
  <si>
    <t>67.6256€</t>
  </si>
  <si>
    <t>HXA011H</t>
  </si>
  <si>
    <t>Bobine manque tension 24 V DC (x160-P160-x250-P250-x630-P630)</t>
  </si>
  <si>
    <t xml:space="preserve">HATPUM03 </t>
  </si>
  <si>
    <t>ACCESS.APPAREIL. DE TETE</t>
  </si>
  <si>
    <t>121.303€</t>
  </si>
  <si>
    <t>HXA025H</t>
  </si>
  <si>
    <t>Contact auxiliaire bas niveau  x160-x250 1NO+1NC 125VAC</t>
  </si>
  <si>
    <t>54.8293€</t>
  </si>
  <si>
    <t>HXC001H</t>
  </si>
  <si>
    <t>Bobine à émission 24V DC (h250-h400-h630-h800-h1000)</t>
  </si>
  <si>
    <t>89.4572€</t>
  </si>
  <si>
    <t>HXE011H</t>
  </si>
  <si>
    <t>Bobine manque tension 24VDC (h800-h1000-h1600)</t>
  </si>
  <si>
    <t>160.1019€</t>
  </si>
  <si>
    <t>HXE031H</t>
  </si>
  <si>
    <t>Commande rotative débrochable h1000</t>
  </si>
  <si>
    <t>402.3553€</t>
  </si>
  <si>
    <t>HYA013H</t>
  </si>
  <si>
    <t>Rallonge de plage droite x160 4P pour disjoncteur cage</t>
  </si>
  <si>
    <t>37.7067€</t>
  </si>
  <si>
    <t>HYD034H</t>
  </si>
  <si>
    <t>Connexion arrière h/x/P630 4P In 630A</t>
  </si>
  <si>
    <t>98.8355€</t>
  </si>
  <si>
    <t>HYE032H</t>
  </si>
  <si>
    <t>connexion arrière h1000 4P</t>
  </si>
  <si>
    <t>281.7532€</t>
  </si>
  <si>
    <t>HZ093</t>
  </si>
  <si>
    <t>Jeu de 4 bornes de raccordement HA964N</t>
  </si>
  <si>
    <t>43.043€</t>
  </si>
  <si>
    <t>HZA001</t>
  </si>
  <si>
    <t>Commande débrochable double sur porte pour interrupteurs 800 à 1600 A</t>
  </si>
  <si>
    <t>141.9516€</t>
  </si>
  <si>
    <t>HZC101</t>
  </si>
  <si>
    <t>Axe 200 mm pour appareillage de 63 à 630A</t>
  </si>
  <si>
    <t>24.9787€</t>
  </si>
  <si>
    <t>HZC311</t>
  </si>
  <si>
    <t>Contact auxiliaire 1NO+1NC pour interrupteur 20A-160A</t>
  </si>
  <si>
    <t>54.9712€</t>
  </si>
  <si>
    <t>HZF104</t>
  </si>
  <si>
    <t>Axe 320 mm pour interrupteur fusible de 630 à 800A</t>
  </si>
  <si>
    <t>45.623€</t>
  </si>
  <si>
    <t>HZI003</t>
  </si>
  <si>
    <t>Poignée noire pour app 800-1600A</t>
  </si>
  <si>
    <t>211.345€</t>
  </si>
  <si>
    <t>HZI210</t>
  </si>
  <si>
    <t>Capot frontal plombable</t>
  </si>
  <si>
    <t>123.3842€</t>
  </si>
  <si>
    <t>HXA005H</t>
  </si>
  <si>
    <t>Bobine à émission 380-450 V AC (x160-P160-x250-P250-x630-P630)</t>
  </si>
  <si>
    <t>101.1747€</t>
  </si>
  <si>
    <t>HXA054H</t>
  </si>
  <si>
    <t>Bobine manque tension retardée x160-x250 220-240V AC</t>
  </si>
  <si>
    <t>344.9073€</t>
  </si>
  <si>
    <t>HXC026H</t>
  </si>
  <si>
    <t>Contact signal défaut bas niveau H250-h1600 1NO + 1NC</t>
  </si>
  <si>
    <t>133.214€</t>
  </si>
  <si>
    <t>HXE065H</t>
  </si>
  <si>
    <t>Interverrouillage mécanique câble h1000</t>
  </si>
  <si>
    <t>957.8852€</t>
  </si>
  <si>
    <t>HYA006H</t>
  </si>
  <si>
    <t>Cage de raccordement x160 Al 4P</t>
  </si>
  <si>
    <t>28.6767€</t>
  </si>
  <si>
    <t>HYB010H</t>
  </si>
  <si>
    <t>Rallonge de plage droite (x/P250) 4P</t>
  </si>
  <si>
    <t>39.3192€</t>
  </si>
  <si>
    <t>HYD033H</t>
  </si>
  <si>
    <t>Connexion arrière h/x/P630 3P In 630A</t>
  </si>
  <si>
    <t>68.5635€</t>
  </si>
  <si>
    <t>HZ023</t>
  </si>
  <si>
    <t>Contact auxiliaire 2x 1NO+NC h125-630</t>
  </si>
  <si>
    <t>57.1943€</t>
  </si>
  <si>
    <t>HZ037</t>
  </si>
  <si>
    <t>Ecran de protection des plages amont ou aval pour HA362-HA364 3P</t>
  </si>
  <si>
    <t>87.6598€</t>
  </si>
  <si>
    <t>HZ092</t>
  </si>
  <si>
    <t>Cache bornes + borne de raccordement ha407-406N</t>
  </si>
  <si>
    <t>59.9377€</t>
  </si>
  <si>
    <t>HZ160R</t>
  </si>
  <si>
    <t>Contact auxiliaire inverseur of-position HI63-125</t>
  </si>
  <si>
    <t>69.918€</t>
  </si>
  <si>
    <t>HZ164</t>
  </si>
  <si>
    <t>Barres de pontage pour commutateur 4-pôle jusqu?à 1600A</t>
  </si>
  <si>
    <t>1211.4992€</t>
  </si>
  <si>
    <t>HZC016</t>
  </si>
  <si>
    <t>Poignée grise pour commutateur 20-80A</t>
  </si>
  <si>
    <t>27.2104€</t>
  </si>
  <si>
    <t>HZC218</t>
  </si>
  <si>
    <t>Capot cache borne 4P interrupteur 100A à 160A</t>
  </si>
  <si>
    <t>24.0112€</t>
  </si>
  <si>
    <t>HZF102</t>
  </si>
  <si>
    <t>Axe 200 mm pour interrupteur fusible de 630 à 800A</t>
  </si>
  <si>
    <t>32.8176€</t>
  </si>
  <si>
    <t>HZF505</t>
  </si>
  <si>
    <t>Barette de neutre 630A</t>
  </si>
  <si>
    <t>510.7927€</t>
  </si>
  <si>
    <t>HXA004H</t>
  </si>
  <si>
    <t>Bobine à émission 200-240 V AC (x160-P160-x250-P250-x630-P630)</t>
  </si>
  <si>
    <t>99.6826€</t>
  </si>
  <si>
    <t>HXA053H</t>
  </si>
  <si>
    <t>Bobine manque tension retardée x160-x250 110-120V AC</t>
  </si>
  <si>
    <t>367.8736€</t>
  </si>
  <si>
    <t>HXC025H</t>
  </si>
  <si>
    <t>Contact auxiliaire bas niveau  h250-h. 1NO+1NC 125V AC</t>
  </si>
  <si>
    <t>71.2553€</t>
  </si>
  <si>
    <t>HXD039H</t>
  </si>
  <si>
    <t>Kit de cadenassage h400-h1000</t>
  </si>
  <si>
    <t>18.4771€</t>
  </si>
  <si>
    <t>HXE055H</t>
  </si>
  <si>
    <t>Bobine manque tension retardée h1000-h1600 3P 380-415VAC</t>
  </si>
  <si>
    <t>344.8901€</t>
  </si>
  <si>
    <t>HYA005H</t>
  </si>
  <si>
    <t>Cage de raccordement x160 Al 3P</t>
  </si>
  <si>
    <t>23.7102€</t>
  </si>
  <si>
    <t>HYD032H</t>
  </si>
  <si>
    <t>Connexion arrière h/x/P630 4P In 400A</t>
  </si>
  <si>
    <t>90.4935€</t>
  </si>
  <si>
    <t>HZ022</t>
  </si>
  <si>
    <t>Contact auxiliaire 1NO+1NC HA100-160A</t>
  </si>
  <si>
    <t>55.4829€</t>
  </si>
  <si>
    <t>HZ036</t>
  </si>
  <si>
    <t>Ecran de protection des plages amont ou aval pour HA360 3P</t>
  </si>
  <si>
    <t>47.5408€</t>
  </si>
  <si>
    <t>HZ082</t>
  </si>
  <si>
    <t>Borne de raccordement HA406N - HA407</t>
  </si>
  <si>
    <t>46.6894€</t>
  </si>
  <si>
    <t>HZ160</t>
  </si>
  <si>
    <t>Contact auxiliaire 1NO+1NC pour 125 A 630A</t>
  </si>
  <si>
    <t>HZC115</t>
  </si>
  <si>
    <t>Axe N°6 200 mm pour interrupteur de 100A à 160A</t>
  </si>
  <si>
    <t>23.0351€</t>
  </si>
  <si>
    <t>HZC214</t>
  </si>
  <si>
    <t>Capot cache borne 4P interrupteur 63A à 100A</t>
  </si>
  <si>
    <t>19.3156€</t>
  </si>
  <si>
    <t>HZF207</t>
  </si>
  <si>
    <t>Capot cache borne 4P interrupteur fusible 630 à 800A</t>
  </si>
  <si>
    <t>122.3565€</t>
  </si>
  <si>
    <t>HZF504</t>
  </si>
  <si>
    <t>Barette de neutre 400A</t>
  </si>
  <si>
    <t>202.5558€</t>
  </si>
  <si>
    <t>HZI812</t>
  </si>
  <si>
    <t>Double alimentation pour commande inverseurs motorisés</t>
  </si>
  <si>
    <t>325.7852€</t>
  </si>
  <si>
    <t>HXA051H</t>
  </si>
  <si>
    <t>Bobine manque tension retardée x160-250 24V DC</t>
  </si>
  <si>
    <t>HXC024H</t>
  </si>
  <si>
    <t>Contact signal défaut 1NO+1NC 230V (h250-h400-h630-h800-h1000-h1600)</t>
  </si>
  <si>
    <t>111.069€</t>
  </si>
  <si>
    <t>HXE054H</t>
  </si>
  <si>
    <t>Bobine manque tension retardée h1000-h1600 3P 220-240VAC</t>
  </si>
  <si>
    <t>HYA022H</t>
  </si>
  <si>
    <t>Cache borne x160 4P long pour cosse et rallonge plage</t>
  </si>
  <si>
    <t>51.5914€</t>
  </si>
  <si>
    <t>HYB032H</t>
  </si>
  <si>
    <t>Connexion arrière (x/P250-P250) - 4P</t>
  </si>
  <si>
    <t>69.1311€</t>
  </si>
  <si>
    <t>HYE031H</t>
  </si>
  <si>
    <t>connexion arrière h1000 3P</t>
  </si>
  <si>
    <t>210.786€</t>
  </si>
  <si>
    <t>HZ035</t>
  </si>
  <si>
    <t>Ecran de protection des plages amont ou aval pour HA356-HA358 3P</t>
  </si>
  <si>
    <t>25.6452€</t>
  </si>
  <si>
    <t>HZ156R</t>
  </si>
  <si>
    <t>Barre de pontage HI63-125</t>
  </si>
  <si>
    <t>157.0274€</t>
  </si>
  <si>
    <t>HZ159</t>
  </si>
  <si>
    <t>Barre de pontage 630A</t>
  </si>
  <si>
    <t>428.0263€</t>
  </si>
  <si>
    <t>HZC113</t>
  </si>
  <si>
    <t>Axe N°5 320 mm pour interrupteur de 20A à 125A</t>
  </si>
  <si>
    <t>25.9849€</t>
  </si>
  <si>
    <t>HZC212</t>
  </si>
  <si>
    <t>Capot cache borne 4P interrupteur 20A à 63A</t>
  </si>
  <si>
    <t>11.18€</t>
  </si>
  <si>
    <t>HZF206</t>
  </si>
  <si>
    <t>Capot cache borne 3P interrupteur fusible 630 à 800A</t>
  </si>
  <si>
    <t>94.4839€</t>
  </si>
  <si>
    <t>HXA024H</t>
  </si>
  <si>
    <t>Contact signal défaut x160-250 1NO+1NC 250VAC</t>
  </si>
  <si>
    <t>84.1553€</t>
  </si>
  <si>
    <t>HXA039H</t>
  </si>
  <si>
    <t>Kit de cadenassage(x160-P160-x250-P250-x630)</t>
  </si>
  <si>
    <t>16.1723€</t>
  </si>
  <si>
    <t>HXC005H</t>
  </si>
  <si>
    <t>Bobine à émission 380-450V DC (h250-h400-h630-h800-h1000)</t>
  </si>
  <si>
    <t>HXE030H</t>
  </si>
  <si>
    <t>Commande rotative directe h1000</t>
  </si>
  <si>
    <t>238.693€</t>
  </si>
  <si>
    <t>HXE053H</t>
  </si>
  <si>
    <t>Bobine manque tension retardée h1000-h1600 3P 110-120VAC</t>
  </si>
  <si>
    <t>HYA021H</t>
  </si>
  <si>
    <t>Cache borne x160 3P long pour cosse et rallonge plage</t>
  </si>
  <si>
    <t>44.4448€</t>
  </si>
  <si>
    <t>HYA035H</t>
  </si>
  <si>
    <t>Kit de connexion 3p-4p</t>
  </si>
  <si>
    <t>30.27€</t>
  </si>
  <si>
    <t>12.6248€</t>
  </si>
  <si>
    <t>HYB031H</t>
  </si>
  <si>
    <t>Connexion arrière (x/P250-P250) - 3P</t>
  </si>
  <si>
    <t>47.9923€</t>
  </si>
  <si>
    <t>HYE026H</t>
  </si>
  <si>
    <t>Cache borne h1000 4P court pour connexion arrière et platine sectionnable</t>
  </si>
  <si>
    <t>95.0644€</t>
  </si>
  <si>
    <t>HZ034</t>
  </si>
  <si>
    <t>Ecran de protection des plages amont ou aval pour HA354-HA357 3P</t>
  </si>
  <si>
    <t>19.7843€</t>
  </si>
  <si>
    <t>HZ156</t>
  </si>
  <si>
    <t>Barre de pontage 160A</t>
  </si>
  <si>
    <t>217.8423€</t>
  </si>
  <si>
    <t>HZC112</t>
  </si>
  <si>
    <t>Axe N°5 200 mm pour interrupteur de 20A à 125A</t>
  </si>
  <si>
    <t>HZF205</t>
  </si>
  <si>
    <t>Capot cache borne 4P interrupteur fusible 200 à 400A</t>
  </si>
  <si>
    <t>42.5184€</t>
  </si>
  <si>
    <t>HZI203</t>
  </si>
  <si>
    <t>Ecran de protection plage 630A 4P</t>
  </si>
  <si>
    <t>56.0505€</t>
  </si>
  <si>
    <t>HZI401</t>
  </si>
  <si>
    <t>Barre de pontage 2x4P 160A</t>
  </si>
  <si>
    <t>244.4851€</t>
  </si>
  <si>
    <t>HXA021H</t>
  </si>
  <si>
    <t>Contact auxiliaire x160-x250 1NO+1NC 250V AC</t>
  </si>
  <si>
    <t>45.0253€</t>
  </si>
  <si>
    <t>HXC004H</t>
  </si>
  <si>
    <t>Bobine à émission 200-240V AC (h250-h400-h630-h800-h1000)</t>
  </si>
  <si>
    <t>101.1919€</t>
  </si>
  <si>
    <t>HXE015H</t>
  </si>
  <si>
    <t>Bobine manque tension h1000-h1600 380-415VAC</t>
  </si>
  <si>
    <t>HYA019H</t>
  </si>
  <si>
    <t>Séparateur de phase x160 3-4P</t>
  </si>
  <si>
    <t>20.48€</t>
  </si>
  <si>
    <t>8.5441€</t>
  </si>
  <si>
    <t>HYE025H</t>
  </si>
  <si>
    <t>Cache borne h1000 3P court pour connexion arrière et platine sectionnable</t>
  </si>
  <si>
    <t>81.8032€</t>
  </si>
  <si>
    <t>HZ062</t>
  </si>
  <si>
    <t>Cache bornes ha407-406N</t>
  </si>
  <si>
    <t>27.5157€</t>
  </si>
  <si>
    <t>HZ096</t>
  </si>
  <si>
    <t>Capot cache borne 1PX4 pour HA966N</t>
  </si>
  <si>
    <t>43.2408€</t>
  </si>
  <si>
    <t>HZ163</t>
  </si>
  <si>
    <t>Barres de pontage pour commutateur 4-pôle jusqu?à 1250A</t>
  </si>
  <si>
    <t>868.4667€</t>
  </si>
  <si>
    <t>HZC014</t>
  </si>
  <si>
    <t>Commande débrochable sur porte pur HAE 100 à 160A</t>
  </si>
  <si>
    <t>32.1511€</t>
  </si>
  <si>
    <t>HZC104</t>
  </si>
  <si>
    <t>Axe 320 mm pour appareillage de 80 à 250A</t>
  </si>
  <si>
    <t>31.347€</t>
  </si>
  <si>
    <t>HZF204</t>
  </si>
  <si>
    <t>Capot cache borne 3P interrupteur fusible 200 à 400A</t>
  </si>
  <si>
    <t>35.9652€</t>
  </si>
  <si>
    <t>HZI202</t>
  </si>
  <si>
    <t>Ecran de protection plage 250-400A 4P</t>
  </si>
  <si>
    <t>37.0746€</t>
  </si>
  <si>
    <t>HXA003H</t>
  </si>
  <si>
    <t>Bobine à émission 100-120 V AC (x160-P160-x250-P250-x630-P630)</t>
  </si>
  <si>
    <t>101.1661€</t>
  </si>
  <si>
    <t>HXA015H</t>
  </si>
  <si>
    <t>Bobine manque tension x160-x250 380-450 V AC</t>
  </si>
  <si>
    <t>HXC003H</t>
  </si>
  <si>
    <t>Bobine à émission 100-120V DC (h250-h400-h630-h800-h1000)</t>
  </si>
  <si>
    <t>89.7969€</t>
  </si>
  <si>
    <t>HXE014H</t>
  </si>
  <si>
    <t>Bobine manque tension h1000-h1600 220-240VAC</t>
  </si>
  <si>
    <t>160.1105€</t>
  </si>
  <si>
    <t>HXF055H</t>
  </si>
  <si>
    <t>Bobine manque tension retardée h1000-h1600 4P 380-415VAC</t>
  </si>
  <si>
    <t>HYA015H</t>
  </si>
  <si>
    <t>Epanouisseur x160 4P pour disjoncteur cage</t>
  </si>
  <si>
    <t>37.2122€</t>
  </si>
  <si>
    <t>HYD031H</t>
  </si>
  <si>
    <t>Connexion arrière h/x/P630 3P In 400A</t>
  </si>
  <si>
    <t>62.3457€</t>
  </si>
  <si>
    <t>HYE022H</t>
  </si>
  <si>
    <t>Cache borne h1000 4P long pour cosse et rallonge plage</t>
  </si>
  <si>
    <t>HZ045</t>
  </si>
  <si>
    <t>Ecran de protection des plages amont ou aval pour HA456-HA458 4P</t>
  </si>
  <si>
    <t>24.6476€</t>
  </si>
  <si>
    <t>HZ095</t>
  </si>
  <si>
    <t>Capot cache borne 1PX4 pour HA964N</t>
  </si>
  <si>
    <t>39.9556€</t>
  </si>
  <si>
    <t>HZ162</t>
  </si>
  <si>
    <t>Barres de pontage pour commutateur 4-pôle jusqu?à 800A</t>
  </si>
  <si>
    <t>562.9044€</t>
  </si>
  <si>
    <t>HZC010</t>
  </si>
  <si>
    <t>Commande débrochable sur porte pour interrupteurs 20A-100A verrouillable</t>
  </si>
  <si>
    <t>24.7379€</t>
  </si>
  <si>
    <t>HZC206</t>
  </si>
  <si>
    <t>Capot cache borne 4P interrupteur 400 à 630A</t>
  </si>
  <si>
    <t>58.6133€</t>
  </si>
  <si>
    <t>HZF503</t>
  </si>
  <si>
    <t>Barette de neutre 250A</t>
  </si>
  <si>
    <t>166.8228€</t>
  </si>
  <si>
    <t>HZI004</t>
  </si>
  <si>
    <t>Poignée noire pour app 63-125A 3 positions</t>
  </si>
  <si>
    <t>61.2492€</t>
  </si>
  <si>
    <t>HXA002H</t>
  </si>
  <si>
    <t>Bobine à émission 48 V DC (x160-P160-x250-P250-x630-P630)</t>
  </si>
  <si>
    <t>95.0558€</t>
  </si>
  <si>
    <t>HXA014H</t>
  </si>
  <si>
    <t>Bobine manque tension x160-x250 200-240VAC</t>
  </si>
  <si>
    <t>HXC021H</t>
  </si>
  <si>
    <t>Contact auxiliaire H250-H. 1NO+1NC 230VAC</t>
  </si>
  <si>
    <t>59.4131€</t>
  </si>
  <si>
    <t>HXE013H</t>
  </si>
  <si>
    <t>Bobine manque tension h1000-h1600 110-120VAC</t>
  </si>
  <si>
    <t>HXF054H</t>
  </si>
  <si>
    <t>Bobine manque tension retardée h1000-h1600 4P 220-240VAC</t>
  </si>
  <si>
    <t>HYA026H</t>
  </si>
  <si>
    <t>Cache borne x160 4P court pour connexion arrière et platine sectionnable</t>
  </si>
  <si>
    <t>39.6718€</t>
  </si>
  <si>
    <t>HYB012H</t>
  </si>
  <si>
    <t>Epanouisseur (x250-h250) 4P</t>
  </si>
  <si>
    <t>41.3316€</t>
  </si>
  <si>
    <t>HZ044</t>
  </si>
  <si>
    <t>Ecran de protection des plages amont ou aval pour HA454-HA457 4P</t>
  </si>
  <si>
    <t>17.931€</t>
  </si>
  <si>
    <t>HZ047</t>
  </si>
  <si>
    <t>Ecran de protection des plages amont ou aval pour HA462-HA464 4P</t>
  </si>
  <si>
    <t>94.9268€</t>
  </si>
  <si>
    <t>HZC002</t>
  </si>
  <si>
    <t>Commande débrochable sur porte pour interrupteurs 125-630A verrouillable</t>
  </si>
  <si>
    <t>48.16€</t>
  </si>
  <si>
    <t>HZC204</t>
  </si>
  <si>
    <t>Capot cache borne 4P interrupteur 200 à 400A</t>
  </si>
  <si>
    <t>39.2246€</t>
  </si>
  <si>
    <t>HZF502</t>
  </si>
  <si>
    <t>Barette de neutre 125 à 160A</t>
  </si>
  <si>
    <t>70.7995€</t>
  </si>
  <si>
    <t>HZI002</t>
  </si>
  <si>
    <t>Poignée noire pour app 125-630A</t>
  </si>
  <si>
    <t>68.7226€</t>
  </si>
  <si>
    <t>HXA001H</t>
  </si>
  <si>
    <t>Bobine à émission 24 V DC (x160-P160-x250-P250-x630-P630)</t>
  </si>
  <si>
    <t>99.6224€</t>
  </si>
  <si>
    <t>HXA031H</t>
  </si>
  <si>
    <t>Commande rotative débrochable x160</t>
  </si>
  <si>
    <t>120.5118€</t>
  </si>
  <si>
    <t>HXA055H</t>
  </si>
  <si>
    <t>Bobine manque tension retardée x160-x250 380-450V AC</t>
  </si>
  <si>
    <t>HXE051H</t>
  </si>
  <si>
    <t>Bobine manque tension retardée h1000-h1600 3P 24VDC</t>
  </si>
  <si>
    <t>HXF053H</t>
  </si>
  <si>
    <t>Bobine manque tension retardée h1000-h1600 4P 110-120VAC</t>
  </si>
  <si>
    <t>HYA025H</t>
  </si>
  <si>
    <t>Cache borne x160 3P court pour connexion arrière et platine sectionnable</t>
  </si>
  <si>
    <t>42.613€</t>
  </si>
  <si>
    <t>HYB011H</t>
  </si>
  <si>
    <t>Epanouisseur (x/P250) 3P</t>
  </si>
  <si>
    <t>34.0904€</t>
  </si>
  <si>
    <t>HZ033</t>
  </si>
  <si>
    <t>Ecran de protection des plages amont ou aval pour HA351-HA352 3P</t>
  </si>
  <si>
    <t>19.8832€</t>
  </si>
  <si>
    <t>HZ043</t>
  </si>
  <si>
    <t>Ecran de protection des plages amont ou aval pour HA451-HA452 4P</t>
  </si>
  <si>
    <t>HZ046</t>
  </si>
  <si>
    <t>Ecran de protection des plages amont ou aval pour HA460 4P</t>
  </si>
  <si>
    <t>55.8656€</t>
  </si>
  <si>
    <t>HZ158</t>
  </si>
  <si>
    <t>Barre de pontage 400A</t>
  </si>
  <si>
    <t>386.4281€</t>
  </si>
  <si>
    <t>HZC001</t>
  </si>
  <si>
    <t>Commande débrochable sur porte p HA406N-407-408-964N-966N verrouillable</t>
  </si>
  <si>
    <t>35.8663€</t>
  </si>
  <si>
    <t>HZC202</t>
  </si>
  <si>
    <t>Capot cache borne 4P interrupteur 125 à 200A</t>
  </si>
  <si>
    <t>36.2404€</t>
  </si>
  <si>
    <t>HZF302</t>
  </si>
  <si>
    <t>Contact auxiliaire interrupteur fusible 1x NC</t>
  </si>
  <si>
    <t>16.0304€</t>
  </si>
  <si>
    <t>HZI400</t>
  </si>
  <si>
    <t>Barre de pontage 2x4P 63 à 125A</t>
  </si>
  <si>
    <t>151.6524€</t>
  </si>
  <si>
    <t>HXA030H</t>
  </si>
  <si>
    <t>Commande rotative directe x160</t>
  </si>
  <si>
    <t>71.2037€</t>
  </si>
  <si>
    <t>HXE042H</t>
  </si>
  <si>
    <t>Commande motorisée h1000 100-240VAC</t>
  </si>
  <si>
    <t>1034.5456€</t>
  </si>
  <si>
    <t>HXF051H</t>
  </si>
  <si>
    <t>Bobine manque tension retardée h1000-h1600 4P 24VDC</t>
  </si>
  <si>
    <t>HYA024H</t>
  </si>
  <si>
    <t>Cache borne x160 4P pour épanouisseur</t>
  </si>
  <si>
    <t>51.6043€</t>
  </si>
  <si>
    <t>HZC103</t>
  </si>
  <si>
    <t>Axe 200 mm pour appareillage de 80 à 250A</t>
  </si>
  <si>
    <t>HZC116</t>
  </si>
  <si>
    <t>Axe N°6 320 mm pour interrupteur de 100A à 160A</t>
  </si>
  <si>
    <t>HZC203</t>
  </si>
  <si>
    <t>Capot cache borne 3P interrupteur 200 à 400A</t>
  </si>
  <si>
    <t>36.1286€</t>
  </si>
  <si>
    <t>HZF203</t>
  </si>
  <si>
    <t>Capot cache borne 4P interrupteur fusible 100 à 160A</t>
  </si>
  <si>
    <t>28.5305€</t>
  </si>
  <si>
    <t>HZF301</t>
  </si>
  <si>
    <t>Contact auxiliaire interrupteur fusible 1x NO</t>
  </si>
  <si>
    <t>16.0347€</t>
  </si>
  <si>
    <t>HZI300</t>
  </si>
  <si>
    <t>Contact auxiliaire 1NO+1NC 20-160A</t>
  </si>
  <si>
    <t>106.5368€</t>
  </si>
  <si>
    <t>HXA013H</t>
  </si>
  <si>
    <t>Bobine manque tension x160-x250 100-120VAC</t>
  </si>
  <si>
    <t>121.2987€</t>
  </si>
  <si>
    <t>HXA026H</t>
  </si>
  <si>
    <t>Contact signal défaut bas niveau x160-x250 1NO + 1NC 125V AC</t>
  </si>
  <si>
    <t>102.4948€</t>
  </si>
  <si>
    <t>HXC002H</t>
  </si>
  <si>
    <t>Bobine à émission 48V DC (h250-h400-h630-h800-h1000)</t>
  </si>
  <si>
    <t>107.0743€</t>
  </si>
  <si>
    <t>HXE040H</t>
  </si>
  <si>
    <t>Commande motorisée h1000 24-48V DC</t>
  </si>
  <si>
    <t>965.5607€</t>
  </si>
  <si>
    <t>HYA014H</t>
  </si>
  <si>
    <t>Epanouisseur x160 3P pour disjoncteur cage</t>
  </si>
  <si>
    <t>30.6031€</t>
  </si>
  <si>
    <t>HYA023H</t>
  </si>
  <si>
    <t>Cache borne x160 3P pour épanouisseur</t>
  </si>
  <si>
    <t>44.3846€</t>
  </si>
  <si>
    <t>HYE021H</t>
  </si>
  <si>
    <t>Cache borne h1000 3P long pour cosse et rallonge plage</t>
  </si>
  <si>
    <t>HZ014</t>
  </si>
  <si>
    <t>Rallonge d'axe 200mm pour commutateur HI800-1600</t>
  </si>
  <si>
    <t>HZ094</t>
  </si>
  <si>
    <t>Capot cache borne pour HA964N</t>
  </si>
  <si>
    <t>60.1613€</t>
  </si>
  <si>
    <t>HZ157</t>
  </si>
  <si>
    <t>Barre de pontage 250A</t>
  </si>
  <si>
    <t>303.2317€</t>
  </si>
  <si>
    <t>HZC003</t>
  </si>
  <si>
    <t>Commande débrochable sur porte pour interrupteurs 800-1600A verrouillable</t>
  </si>
  <si>
    <t>126.1835€</t>
  </si>
  <si>
    <t>HZC102</t>
  </si>
  <si>
    <t>Axe 320 mm pour appareillage de 63 à 630A</t>
  </si>
  <si>
    <t>HZF202</t>
  </si>
  <si>
    <t>Capot cache borne 3P interrupteur fusible 100 à 160A</t>
  </si>
  <si>
    <t>25.6968€</t>
  </si>
  <si>
    <t>HZI230</t>
  </si>
  <si>
    <t>Borne prise tension</t>
  </si>
  <si>
    <t>63.941€</t>
  </si>
  <si>
    <t>HYE034H</t>
  </si>
  <si>
    <t>299.7315€</t>
  </si>
  <si>
    <t>HYE033H</t>
  </si>
  <si>
    <t>230.9358€</t>
  </si>
  <si>
    <t>HZI205</t>
  </si>
  <si>
    <t>Capot raccordement pour commutateur 4-pôle 1600A</t>
  </si>
  <si>
    <t>97.3434€</t>
  </si>
  <si>
    <t>HZI204</t>
  </si>
  <si>
    <t>Ecran de protection plage 800-1250A 4P</t>
  </si>
  <si>
    <t>90.1968€</t>
  </si>
  <si>
    <t>HZC106</t>
  </si>
  <si>
    <t>Axe 320 mm pour appareillage de 800 à 1600A</t>
  </si>
  <si>
    <t>69.4149€</t>
  </si>
  <si>
    <t>HXF039H</t>
  </si>
  <si>
    <t>Kit de cadenassage h1250-h1600</t>
  </si>
  <si>
    <t>23.5425€</t>
  </si>
  <si>
    <t>HXF031H</t>
  </si>
  <si>
    <t>Commande rotative débrochable H1250-h1600</t>
  </si>
  <si>
    <t>443.0505€</t>
  </si>
  <si>
    <t>HXF030H</t>
  </si>
  <si>
    <t>Commande rotative directe H1250-h1600</t>
  </si>
  <si>
    <t>346.6359€</t>
  </si>
  <si>
    <t>HZC105</t>
  </si>
  <si>
    <t>Axe 200 mm pour appareillage de 800 à 1600A</t>
  </si>
  <si>
    <t>51.2388€</t>
  </si>
  <si>
    <t>HYA036H</t>
  </si>
  <si>
    <t>Réhausse rail DIN</t>
  </si>
  <si>
    <t>11.1284€</t>
  </si>
  <si>
    <t>HYC353H</t>
  </si>
  <si>
    <t>Connecteur déconnectable - débrochable côté h250-h1000 3fils</t>
  </si>
  <si>
    <t>37.8271€</t>
  </si>
  <si>
    <t>HYC352H</t>
  </si>
  <si>
    <t>Connecteur déconnectable - débrochable côté h250-h1000 2fils</t>
  </si>
  <si>
    <t>34.0087€</t>
  </si>
  <si>
    <t>HYE201H</t>
  </si>
  <si>
    <t>PM base déconnectable h1000 LSI 4P</t>
  </si>
  <si>
    <t>984.0636€</t>
  </si>
  <si>
    <t>HYC250H</t>
  </si>
  <si>
    <t>Connecteur déconnectable - débrochable côté base h250-h1000</t>
  </si>
  <si>
    <t>49.1662€</t>
  </si>
  <si>
    <t>HYE200H</t>
  </si>
  <si>
    <t>PM base déconnectable h1000 LSI 3P</t>
  </si>
  <si>
    <t>823.7768€</t>
  </si>
  <si>
    <t>HXF001H</t>
  </si>
  <si>
    <t>Bobine à émission h1600 24V DC</t>
  </si>
  <si>
    <t>99.6095€</t>
  </si>
  <si>
    <t>HXF002H</t>
  </si>
  <si>
    <t>Bobine à émission h1600 48V DC</t>
  </si>
  <si>
    <t>95.0515€</t>
  </si>
  <si>
    <t>HXF003H</t>
  </si>
  <si>
    <t>Bobine à émission h1600 100-120V AC</t>
  </si>
  <si>
    <t>101.1618€</t>
  </si>
  <si>
    <t>HXF004H</t>
  </si>
  <si>
    <t>Bobine à émission h1600 200-240V AC</t>
  </si>
  <si>
    <t>101.179€</t>
  </si>
  <si>
    <t>HXF005H</t>
  </si>
  <si>
    <t>Bobine à émission h1600 380-450V AC</t>
  </si>
  <si>
    <t>HXF008H</t>
  </si>
  <si>
    <t>Bobine à émission h1600 110V DC</t>
  </si>
  <si>
    <t>HXF040H</t>
  </si>
  <si>
    <t>Commande motorisée h1600 24VDC</t>
  </si>
  <si>
    <t>1771.1012€</t>
  </si>
  <si>
    <t>HXF042H</t>
  </si>
  <si>
    <t>Commande motorisée h1600 200-230VAC</t>
  </si>
  <si>
    <t>HYC321H</t>
  </si>
  <si>
    <t>Cache borne h250 3P pour versions déconnectables et débrochables</t>
  </si>
  <si>
    <t>48.7964€</t>
  </si>
  <si>
    <t>HYC322H</t>
  </si>
  <si>
    <t>Cache borne h250 4P pour versions déconnectables et débrochables</t>
  </si>
  <si>
    <t>51.3119€</t>
  </si>
  <si>
    <t>HYD321H</t>
  </si>
  <si>
    <t>Cache borne P630 3P pour versions déconnectables et débrochables</t>
  </si>
  <si>
    <t>73.4913€</t>
  </si>
  <si>
    <t>HYD322H</t>
  </si>
  <si>
    <t>Cache borne P630 4P pour versions déconnectables et débrochables</t>
  </si>
  <si>
    <t>75.4478€</t>
  </si>
  <si>
    <t>HYE321H</t>
  </si>
  <si>
    <t>Cache borne h1000 4P pour versions déconnectables et débrochables</t>
  </si>
  <si>
    <t>HYE322H</t>
  </si>
  <si>
    <t>Cache borne h1000 3P pour versions déconnectables et débrochables</t>
  </si>
  <si>
    <t>HXB068H</t>
  </si>
  <si>
    <t>Câble d'interverrouillage électrique x250 h250</t>
  </si>
  <si>
    <t>54.5713€</t>
  </si>
  <si>
    <t>HXB069H</t>
  </si>
  <si>
    <t>Câble interverrouillage électrique x250-h250 / h630-h1000</t>
  </si>
  <si>
    <t>HXB070H</t>
  </si>
  <si>
    <t>Câble interverrouillage mécanique  longueur 1m (P160-x250-h250..h1000)</t>
  </si>
  <si>
    <t>39.603€</t>
  </si>
  <si>
    <t>HXB071H</t>
  </si>
  <si>
    <t>Interverrouillage mécanique cable longueur 1.5m</t>
  </si>
  <si>
    <t>50.052€</t>
  </si>
  <si>
    <t>HXD068H</t>
  </si>
  <si>
    <t>Câble d'interverrouillage électrique h630-1000</t>
  </si>
  <si>
    <t>76.2347€</t>
  </si>
  <si>
    <t>HXE066H</t>
  </si>
  <si>
    <t>Adaptateur verrouillage mécanique h1000</t>
  </si>
  <si>
    <t>666.2463€</t>
  </si>
  <si>
    <t>HZI410</t>
  </si>
  <si>
    <t>kit prise de tension commut.125-160-200A</t>
  </si>
  <si>
    <t>109.3662€</t>
  </si>
  <si>
    <t>HZI411</t>
  </si>
  <si>
    <t>kit prise de tension pour commutateur automatique 250A</t>
  </si>
  <si>
    <t>124.958€</t>
  </si>
  <si>
    <t>HZI412</t>
  </si>
  <si>
    <t>kit prise de tension pour commutateur automatique 400A</t>
  </si>
  <si>
    <t>141.3668€</t>
  </si>
  <si>
    <t>HZI413</t>
  </si>
  <si>
    <t>kit prise de tension pour commutateur automatique 630A</t>
  </si>
  <si>
    <t>169.6522€</t>
  </si>
  <si>
    <t>HZI414</t>
  </si>
  <si>
    <t>kit prise de tension pour commutateur automatique 800-1000A</t>
  </si>
  <si>
    <t>209.3369€</t>
  </si>
  <si>
    <t>HZI415</t>
  </si>
  <si>
    <t>kit prise de tension pour commutateur automatique 1250A</t>
  </si>
  <si>
    <t>232.974€</t>
  </si>
  <si>
    <t>HZI416</t>
  </si>
  <si>
    <t>kit prise de tension pour commutateur automatique 1600A</t>
  </si>
  <si>
    <t>235.597€</t>
  </si>
  <si>
    <t>HTG465H</t>
  </si>
  <si>
    <t>Connecteur RJ45 et câble Modbus 3 m pour HTG411H</t>
  </si>
  <si>
    <t>42.8151€</t>
  </si>
  <si>
    <t>HTG485H</t>
  </si>
  <si>
    <t>Cable Modbus 25m</t>
  </si>
  <si>
    <t>63.7862€</t>
  </si>
  <si>
    <t>HTC100H</t>
  </si>
  <si>
    <t>Support latéral H3+ pour câbles</t>
  </si>
  <si>
    <t>23.79€</t>
  </si>
  <si>
    <t>9.9244€</t>
  </si>
  <si>
    <t>HTC130H</t>
  </si>
  <si>
    <t>Adaptateur OAC/PTA pour H3+ 1.20 m</t>
  </si>
  <si>
    <t>10.5952€</t>
  </si>
  <si>
    <t>HTC140H</t>
  </si>
  <si>
    <t>Adaptateur CIP - 24 V pour H3+ 1.20 m</t>
  </si>
  <si>
    <t>HTC150H</t>
  </si>
  <si>
    <t>Adaptateur ZSI  pour H3+ 1.20 m</t>
  </si>
  <si>
    <t>HTC310H</t>
  </si>
  <si>
    <t>Module de COMMUNICATION sans entrées et sorties h3+</t>
  </si>
  <si>
    <t>182.8403€</t>
  </si>
  <si>
    <t>HTC320H</t>
  </si>
  <si>
    <t>Module de COMMUNICATION avec entrées et sorties h3+</t>
  </si>
  <si>
    <t>233.2019€</t>
  </si>
  <si>
    <t>HTC330H</t>
  </si>
  <si>
    <t>Adaptateur CIP pour h3+ 0.5 m</t>
  </si>
  <si>
    <t>HTC340H</t>
  </si>
  <si>
    <t>Adaptateur CIP pour H3+ 1.5 m</t>
  </si>
  <si>
    <t>HTC350H</t>
  </si>
  <si>
    <t>Adaptateur CIP pour H3+ 3 m</t>
  </si>
  <si>
    <t>11.5799€</t>
  </si>
  <si>
    <t>HTC360H</t>
  </si>
  <si>
    <t>Adaptateur CIP pour H3+ 5 m</t>
  </si>
  <si>
    <t>13.2311€</t>
  </si>
  <si>
    <t>HTC370H</t>
  </si>
  <si>
    <t>Adaptateur CIP pour H3+ 10 m</t>
  </si>
  <si>
    <t>39.64€</t>
  </si>
  <si>
    <t>16.5335€</t>
  </si>
  <si>
    <t>HTD210H</t>
  </si>
  <si>
    <t>Afficheur pour disjoncteur boitier moulé Energy h3+</t>
  </si>
  <si>
    <t>161.0522€</t>
  </si>
  <si>
    <t>HTG471H</t>
  </si>
  <si>
    <t>Câble Modbus 1 m RJ45-RJ45 avec liaison terre</t>
  </si>
  <si>
    <t>9.5589€</t>
  </si>
  <si>
    <t>HTG472H</t>
  </si>
  <si>
    <t>Câble Modbus 2 m RJ45-RJ45 avec liaison terre</t>
  </si>
  <si>
    <t>12.1088€</t>
  </si>
  <si>
    <t>HTG474H</t>
  </si>
  <si>
    <t>Câble Modbus 5 m RJ45-RJ45 avec liaison terre</t>
  </si>
  <si>
    <t>22.2697€</t>
  </si>
  <si>
    <t>HTG480H</t>
  </si>
  <si>
    <t>Câble Modbus 20 cm RJ45-RJ45</t>
  </si>
  <si>
    <t>HTG481H</t>
  </si>
  <si>
    <t>Câble Modbus 1 m RJ45-RJ45</t>
  </si>
  <si>
    <t>15.2779€</t>
  </si>
  <si>
    <t>HTG482H</t>
  </si>
  <si>
    <t>Câble Modbus 2 m RJ45-RJ45</t>
  </si>
  <si>
    <t>15.9186€</t>
  </si>
  <si>
    <t>HTG484H</t>
  </si>
  <si>
    <t>Câble Modbus 5 m RJ45-RJ45</t>
  </si>
  <si>
    <t>HTG911H</t>
  </si>
  <si>
    <t>Alimentation 230VAC/24VDC 2.5A à 70°C</t>
  </si>
  <si>
    <t>146.329€</t>
  </si>
  <si>
    <t>HXS030H</t>
  </si>
  <si>
    <t>Commande rotative directe pour P160</t>
  </si>
  <si>
    <t>72.6313€</t>
  </si>
  <si>
    <t>HXS031H</t>
  </si>
  <si>
    <t>Commande rotative débrochable P160</t>
  </si>
  <si>
    <t>122.1071€</t>
  </si>
  <si>
    <t>HXS066H</t>
  </si>
  <si>
    <t>Capot d\'interverrouillage mécanique P160</t>
  </si>
  <si>
    <t>54.8035€</t>
  </si>
  <si>
    <t>HXS120H</t>
  </si>
  <si>
    <t>Compteur AX/AL Energy</t>
  </si>
  <si>
    <t>176.2398€</t>
  </si>
  <si>
    <t>HXS121H</t>
  </si>
  <si>
    <t>AX/AL Energy 250VAC 125VDC</t>
  </si>
  <si>
    <t>193.4011€</t>
  </si>
  <si>
    <t>HXS122H</t>
  </si>
  <si>
    <t>AX/AL Energy - bas niveau 125VAC 30VDC</t>
  </si>
  <si>
    <t>211.8782€</t>
  </si>
  <si>
    <t>HXS165H</t>
  </si>
  <si>
    <t>Kit d\'interverrouillage direct P160 3P</t>
  </si>
  <si>
    <t>101.6692€</t>
  </si>
  <si>
    <t>HXS166H</t>
  </si>
  <si>
    <t>Kit d\'interverrouillage direct P160 4P</t>
  </si>
  <si>
    <t>HXS999H</t>
  </si>
  <si>
    <t>Serrure à clef Ronis (P160-P250)</t>
  </si>
  <si>
    <t>75.2715€</t>
  </si>
  <si>
    <t>HXT030H</t>
  </si>
  <si>
    <t>Commande rotative directe pour P250</t>
  </si>
  <si>
    <t>73.9514€</t>
  </si>
  <si>
    <t>HXT031H</t>
  </si>
  <si>
    <t>Commande rotative débrochable P250</t>
  </si>
  <si>
    <t>124.0937€</t>
  </si>
  <si>
    <t>HXT040H</t>
  </si>
  <si>
    <t>Commande motorisée P250 24VDC avec Auto-Reset</t>
  </si>
  <si>
    <t>394.0219€</t>
  </si>
  <si>
    <t>HXT040HK</t>
  </si>
  <si>
    <t>Commande motorisée P250 24VDC avec Auto-Reset +clé</t>
  </si>
  <si>
    <t>466.6188€</t>
  </si>
  <si>
    <t>HXT041H</t>
  </si>
  <si>
    <t>Commande motorisée P250 100-110VAC/DC avec Auto-Reset</t>
  </si>
  <si>
    <t>354.4232€</t>
  </si>
  <si>
    <t>HXT041HK</t>
  </si>
  <si>
    <t>Commande motorisée P250 100-110VAC/DC avec Auto-Reset +clé</t>
  </si>
  <si>
    <t>430.9675€</t>
  </si>
  <si>
    <t>HXT042H</t>
  </si>
  <si>
    <t>Commande motorisée P250 230-240VAC avec Auto-Reset</t>
  </si>
  <si>
    <t>347.1648€</t>
  </si>
  <si>
    <t>HXT042HK</t>
  </si>
  <si>
    <t>Commande motorisée P250 230-240VAC avec Auto-Reset +clé</t>
  </si>
  <si>
    <t>423.7177€</t>
  </si>
  <si>
    <t>HXT043H</t>
  </si>
  <si>
    <t>Commande motorisée P250 24VDC sans Auto-Reset</t>
  </si>
  <si>
    <t>HXT043HK</t>
  </si>
  <si>
    <t>Commande motorisée P250 24VDC sans Auto-Reset +clé</t>
  </si>
  <si>
    <t>470.5662€</t>
  </si>
  <si>
    <t>HXT044H</t>
  </si>
  <si>
    <t>Commande motorisée P250 230-240VAC sans Auto-Reset</t>
  </si>
  <si>
    <t>347.8227€</t>
  </si>
  <si>
    <t>HXT045H</t>
  </si>
  <si>
    <t>Commande motorisée P250 200-220VAC/DC avec Auto-Reset</t>
  </si>
  <si>
    <t>HXT045HK</t>
  </si>
  <si>
    <t>Commande motorisée P250 200-220VAC/DC avec Auto-Reset +clé</t>
  </si>
  <si>
    <t>424.3713€</t>
  </si>
  <si>
    <t>HXT046H</t>
  </si>
  <si>
    <t>Commande motorisée P250 100-110VAC/DC sans Auto-Reset</t>
  </si>
  <si>
    <t>HXT046HK</t>
  </si>
  <si>
    <t>Commande motorisée P250 100-110VAC/DC sans Auto-Reset +clé</t>
  </si>
  <si>
    <t>HXT047H</t>
  </si>
  <si>
    <t>Commande motorisée P250 200-220VAC/DC sans Auto-Reset</t>
  </si>
  <si>
    <t>HXT047HK</t>
  </si>
  <si>
    <t>Commande motorisée P250 200-220VAC/DC sans Auto-Reset +clé</t>
  </si>
  <si>
    <t>HXT066H</t>
  </si>
  <si>
    <t>Capot d\'interverrouillage mécanique P250</t>
  </si>
  <si>
    <t>HXT165H</t>
  </si>
  <si>
    <t>Kit d\'interverrouillage direct P250 3P</t>
  </si>
  <si>
    <t>HXT166H</t>
  </si>
  <si>
    <t>Kit d\'interverrouillage direct P250 4P</t>
  </si>
  <si>
    <t>HYC255H</t>
  </si>
  <si>
    <t>Auxiliaire de position pour boitier moulé débrochable (P250-h250..1000)</t>
  </si>
  <si>
    <t>69.9911€</t>
  </si>
  <si>
    <t>HYS005H</t>
  </si>
  <si>
    <t>Cage de raccordement P160 Al 3P 1x35-120mm²</t>
  </si>
  <si>
    <t>24.4498€</t>
  </si>
  <si>
    <t>HYS006H</t>
  </si>
  <si>
    <t>Cage de raccordement P160 Al 4P</t>
  </si>
  <si>
    <t>28.4015€</t>
  </si>
  <si>
    <t>HYS013H</t>
  </si>
  <si>
    <t>Rallonge de plage droite pour P160 4P version cage</t>
  </si>
  <si>
    <t>37.6895€</t>
  </si>
  <si>
    <t>HYS014H</t>
  </si>
  <si>
    <t>Epanouisseur pour P160 3P version cage</t>
  </si>
  <si>
    <t>HYS015H</t>
  </si>
  <si>
    <t>Epanouisseur pour P160 4P version cage</t>
  </si>
  <si>
    <t>34.3398€</t>
  </si>
  <si>
    <t>HYS019H</t>
  </si>
  <si>
    <t>Séparateur de phase pour P160 3-4Pôles</t>
  </si>
  <si>
    <t>HYS021H</t>
  </si>
  <si>
    <t>Capot cache-bornes pour rallonge de plage P160 3P</t>
  </si>
  <si>
    <t>36.9886€</t>
  </si>
  <si>
    <t>HYS022H</t>
  </si>
  <si>
    <t>Capot cache-bornes pour rallonge de plage P160 4P</t>
  </si>
  <si>
    <t>40.9446€</t>
  </si>
  <si>
    <t>HYS023H</t>
  </si>
  <si>
    <t>Capot cache-bornes pour épanouisseur P160 3P</t>
  </si>
  <si>
    <t>HYS024H</t>
  </si>
  <si>
    <t>Capot cache-bornes pour épanouisseur P160 4P</t>
  </si>
  <si>
    <t>HYS025H</t>
  </si>
  <si>
    <t>Capot cache-bornes pour connection arrière + déconnectable P160 3P</t>
  </si>
  <si>
    <t>35.6642€</t>
  </si>
  <si>
    <t>HYS026H</t>
  </si>
  <si>
    <t>Capot cache-bornes pour connection arrière + déconnectable P160 4P</t>
  </si>
  <si>
    <t>38.3044€</t>
  </si>
  <si>
    <t>HYS033H</t>
  </si>
  <si>
    <t>Adaptateur Rail Din P160 3P/4P</t>
  </si>
  <si>
    <t>52.8169€</t>
  </si>
  <si>
    <t>HYS050H</t>
  </si>
  <si>
    <t>Isolation arrière pour Capot cache-bornes rallonge de plage P160 3P</t>
  </si>
  <si>
    <t>18.5115€</t>
  </si>
  <si>
    <t>HYS051H</t>
  </si>
  <si>
    <t>Isolation arrière pour Capot cache-bornes rallonge de plage P160 4P</t>
  </si>
  <si>
    <t>17.8536€</t>
  </si>
  <si>
    <t>HYS052H</t>
  </si>
  <si>
    <t>Isolation arrière pour Capot cache-bornes épanouisseur P160 3P</t>
  </si>
  <si>
    <t>HYS053H</t>
  </si>
  <si>
    <t>Isolation arrière pour Capot cache-bornes épanouisseur P160 4P</t>
  </si>
  <si>
    <t>20.4852€</t>
  </si>
  <si>
    <t>HYS055H</t>
  </si>
  <si>
    <t>Cage de raccordement P160 Cu/Al 3P 6x4-25mm²</t>
  </si>
  <si>
    <t>106.941€</t>
  </si>
  <si>
    <t>HYS056H</t>
  </si>
  <si>
    <t>Cage de raccordement P160 Cu/Al 4P 6x4-25mm²</t>
  </si>
  <si>
    <t>129.3827€</t>
  </si>
  <si>
    <t>HYS131H</t>
  </si>
  <si>
    <t>Connexions arrière pour P160 3P (63-160A)</t>
  </si>
  <si>
    <t>42.2647€</t>
  </si>
  <si>
    <t>HYS132H</t>
  </si>
  <si>
    <t>Connexions arrière pour P160 4P (63-160A)</t>
  </si>
  <si>
    <t>61.3954€</t>
  </si>
  <si>
    <t>HYS200H</t>
  </si>
  <si>
    <t>Base pour boitier moulé déconnectable P160 3P</t>
  </si>
  <si>
    <t>120.7999€</t>
  </si>
  <si>
    <t>HYS201H</t>
  </si>
  <si>
    <t>Base pour boitier moulé déconnectable P160 4P</t>
  </si>
  <si>
    <t>172.2838€</t>
  </si>
  <si>
    <t>HYS256H</t>
  </si>
  <si>
    <t>Déclencheur de sécu base déco P160-P250</t>
  </si>
  <si>
    <t>HYS300H</t>
  </si>
  <si>
    <t>Adaptateur déconnectable pour boitier moulé P160 3P (63-160A)</t>
  </si>
  <si>
    <t>84.4993€</t>
  </si>
  <si>
    <t>HYS301H</t>
  </si>
  <si>
    <t>Adaptateur déconnectable pour boitier moulé P160 4P (63-160A)</t>
  </si>
  <si>
    <t>103.6343€</t>
  </si>
  <si>
    <t>HYS321H</t>
  </si>
  <si>
    <t>Capot cache-bornes pour base déconnectable P160 3P</t>
  </si>
  <si>
    <t>HYS322H</t>
  </si>
  <si>
    <t>Capot cache-bornes pour base déconnectable P160 4P</t>
  </si>
  <si>
    <t>HYS328H</t>
  </si>
  <si>
    <t>Connexion pour base déconnectable P160 1P</t>
  </si>
  <si>
    <t>21.1517€</t>
  </si>
  <si>
    <t>HYT001H</t>
  </si>
  <si>
    <t>Cage de raccordement P250 Cu/Al 3P 1x 10-150mm²</t>
  </si>
  <si>
    <t>HYT002H</t>
  </si>
  <si>
    <t>Cage de raccordement P250 Cu/Al 4P 1x 10-150mm²</t>
  </si>
  <si>
    <t>49.5274€</t>
  </si>
  <si>
    <t>HYT005H</t>
  </si>
  <si>
    <t>Cage de raccordement P250 Al 3P 1x 50-185mm²</t>
  </si>
  <si>
    <t>42.9269€</t>
  </si>
  <si>
    <t>HYT006H</t>
  </si>
  <si>
    <t>Cage de raccordement P250 Al 4P 1x 50-185mm²</t>
  </si>
  <si>
    <t>50.0864€</t>
  </si>
  <si>
    <t>HYT007H</t>
  </si>
  <si>
    <t>Cage de raccordement P250 Cu/Al 3P 2x 35-120mm²</t>
  </si>
  <si>
    <t>80.5476€</t>
  </si>
  <si>
    <t>HYT008H</t>
  </si>
  <si>
    <t>Cage de raccordement P250 Cu/Al 4P 2x 35-120mm²</t>
  </si>
  <si>
    <t>104.9673€</t>
  </si>
  <si>
    <t>HYT019H</t>
  </si>
  <si>
    <t>Séparateur de phase pour P250 3-4Pôles</t>
  </si>
  <si>
    <t>9.2751€</t>
  </si>
  <si>
    <t>HYT021H</t>
  </si>
  <si>
    <t>Capot cache-bornes pour rallonge de plage P250 3P</t>
  </si>
  <si>
    <t>HYT022H</t>
  </si>
  <si>
    <t>Capot cache-bornes pour rallonge de plage P250 4P</t>
  </si>
  <si>
    <t>HYT023H</t>
  </si>
  <si>
    <t>Capot cache-bornes pour épanouisseur P250 3P</t>
  </si>
  <si>
    <t>HYT024H</t>
  </si>
  <si>
    <t>Capot cache-bornes pour épanouisseur P250 4P</t>
  </si>
  <si>
    <t>HYT025H</t>
  </si>
  <si>
    <t>Capot cache-bornes pour connection arrière + déconnectable P250 3P</t>
  </si>
  <si>
    <t>HYT026H</t>
  </si>
  <si>
    <t>Capot cache-bornes pour connection arrière + déconnectable P250 4P</t>
  </si>
  <si>
    <t>HYT033H</t>
  </si>
  <si>
    <t>Adaptateur Rail Din P250 3P/4P</t>
  </si>
  <si>
    <t>HYT050H</t>
  </si>
  <si>
    <t>Isolation arrière pour Capot cache-bornes rallonge de plage P250 3P</t>
  </si>
  <si>
    <t>HYT051H</t>
  </si>
  <si>
    <t>Isolation arrière pour Capot cache-bornes rallonge de plage P250 4P</t>
  </si>
  <si>
    <t>HYT052H</t>
  </si>
  <si>
    <t>Isolation arrière pour Capot cache-bornes épanouisseur P250 3P</t>
  </si>
  <si>
    <t>HYT053H</t>
  </si>
  <si>
    <t>Isolation arrière pour Capot cache-bornes épanouisseur P250 4P</t>
  </si>
  <si>
    <t>HYT065H</t>
  </si>
  <si>
    <t>Cage de raccordement P250 Cu/Al 3P 6x 6-35mm²</t>
  </si>
  <si>
    <t>HYT066H</t>
  </si>
  <si>
    <t>Cage de raccordement P250 Cu/Al 4P 6x 6-35mm²</t>
  </si>
  <si>
    <t>HYT200H</t>
  </si>
  <si>
    <t>Base pour boitier moulé déconnectable P250 3P</t>
  </si>
  <si>
    <t>HYT201H</t>
  </si>
  <si>
    <t>Base pour boitier moulé déconnectable P250 4P</t>
  </si>
  <si>
    <t>HYT300H</t>
  </si>
  <si>
    <t>Adaptateur déconnectable pour boitier moulé P250 3P</t>
  </si>
  <si>
    <t>HYT301H</t>
  </si>
  <si>
    <t>Adaptateur déconnectable pour boitier moulé P250 4P</t>
  </si>
  <si>
    <t>HYT328H</t>
  </si>
  <si>
    <t>Connexion pour base déconnectable (P250-h250) 1P</t>
  </si>
  <si>
    <t>HYT330H</t>
  </si>
  <si>
    <t>Base pour boitier moulé débrochable P250 3P</t>
  </si>
  <si>
    <t>HYT331H</t>
  </si>
  <si>
    <t>Base pour boitier moulé débrochable P250 4P</t>
  </si>
  <si>
    <t>HYT332H</t>
  </si>
  <si>
    <t>Kit de débrochabilité pour boitier moulé P250 3P</t>
  </si>
  <si>
    <t>HYT333H</t>
  </si>
  <si>
    <t>Kit de débrochabilité pour boitier moulé P250 4P</t>
  </si>
  <si>
    <t>98.3496€</t>
  </si>
  <si>
    <t>HXT044HK</t>
  </si>
  <si>
    <t>Commande motorisée P250 230-240VAC sans Auto-Reset + clé</t>
  </si>
  <si>
    <t>HTP020H</t>
  </si>
  <si>
    <t>Adaptateur MIP pour H3+</t>
  </si>
  <si>
    <t>221.7424€</t>
  </si>
  <si>
    <t>HXT890H</t>
  </si>
  <si>
    <t>Kit de verrouillage pour kit débro P250</t>
  </si>
  <si>
    <t>116.8267€</t>
  </si>
  <si>
    <t>HXW030H</t>
  </si>
  <si>
    <t>Commande rotative directe x/P630</t>
  </si>
  <si>
    <t>129.7998€</t>
  </si>
  <si>
    <t>HXW031H</t>
  </si>
  <si>
    <t>Commande rotative débrochable x/P630</t>
  </si>
  <si>
    <t>181.7094€</t>
  </si>
  <si>
    <t>HXW033H</t>
  </si>
  <si>
    <t>Extension de manette P630</t>
  </si>
  <si>
    <t>19.4962€</t>
  </si>
  <si>
    <t>HXW040H</t>
  </si>
  <si>
    <t>Mot. x630/P630 24-48VDC avec Auto-Reset</t>
  </si>
  <si>
    <t>1297.7787€</t>
  </si>
  <si>
    <t>HXW040HK</t>
  </si>
  <si>
    <t>Mot. x630/P630 24-48VDC avec Auto-R.+clé</t>
  </si>
  <si>
    <t>1687.0964€</t>
  </si>
  <si>
    <t>HXW041H</t>
  </si>
  <si>
    <t>Mot. x630/P630 100-110VDC avec Auto-Res.</t>
  </si>
  <si>
    <t>HXW041HK</t>
  </si>
  <si>
    <t>Mot. x630/P630 100-110VDC avec Au-R.+clé</t>
  </si>
  <si>
    <t>HXW042H</t>
  </si>
  <si>
    <t>Mot. x630/P630 110-240VAC avec Auto-Res.</t>
  </si>
  <si>
    <t>HXW042HK</t>
  </si>
  <si>
    <t>Mot. x630/P630 110-240VAC avec Au-R.+clé</t>
  </si>
  <si>
    <t>HXW043H</t>
  </si>
  <si>
    <t>Mot. x630/P630 24-48VDC sans Auto-Reset</t>
  </si>
  <si>
    <t>HXW043HK</t>
  </si>
  <si>
    <t>Mot. x630/P630 24-48VDC sans Auto-R.+clé</t>
  </si>
  <si>
    <t>HXW044H</t>
  </si>
  <si>
    <t>Mot. x630/P630 110-240VAC sans Auto-Res.</t>
  </si>
  <si>
    <t>HXW044HK</t>
  </si>
  <si>
    <t>Mot. x630/P630 110-240VAC sans Au-R.+clé</t>
  </si>
  <si>
    <t>HXW046H</t>
  </si>
  <si>
    <t>Mot. x630/P630 100-110VDC sans Auto-Res.</t>
  </si>
  <si>
    <t>HXW046HK</t>
  </si>
  <si>
    <t>Mot. x630/P630 100-110VDC sans Au-R.+clé</t>
  </si>
  <si>
    <t>HXW888H</t>
  </si>
  <si>
    <t>Kit verrouillage cde rotative x630/P630</t>
  </si>
  <si>
    <t>97.3606€</t>
  </si>
  <si>
    <t>HXW890H</t>
  </si>
  <si>
    <t>Kit de verr. pour kit débro x630/P630</t>
  </si>
  <si>
    <t>HXW901H</t>
  </si>
  <si>
    <t>Manette taille 2 IP55 (10x10mm)</t>
  </si>
  <si>
    <t>32.4736€</t>
  </si>
  <si>
    <t>HYS001H</t>
  </si>
  <si>
    <t>Cage P160 Cu/Al 3P 1x 25-95mm²</t>
  </si>
  <si>
    <t>37.0144€</t>
  </si>
  <si>
    <t>HYS002H</t>
  </si>
  <si>
    <t>Cage P160 Cu/Al 4P 1x 25-95mm²</t>
  </si>
  <si>
    <t>49.3339€</t>
  </si>
  <si>
    <t>HYW001H</t>
  </si>
  <si>
    <t>Cage x630/P630 Cu/Al 3P 1x 35-300mm²</t>
  </si>
  <si>
    <t>HYW002H</t>
  </si>
  <si>
    <t>Cage x630/P630 Cu/Al 4P 1x 35-300mm²</t>
  </si>
  <si>
    <t>HYW007H</t>
  </si>
  <si>
    <t>Cage x630/P630 Cu/Al 3P 2x 35-300mm²</t>
  </si>
  <si>
    <t>HYW008H</t>
  </si>
  <si>
    <t>Cage x630/P630 Cu/Al 4P 2x 35-300mm²</t>
  </si>
  <si>
    <t>HYW013H</t>
  </si>
  <si>
    <t>Rallonge plage droite x630/P630 4P(630A)</t>
  </si>
  <si>
    <t>84.3832€</t>
  </si>
  <si>
    <t>HYW014H</t>
  </si>
  <si>
    <t>Epanouisseur x630/P630 3P (jusqu\'à 630A)</t>
  </si>
  <si>
    <t>77.8988€</t>
  </si>
  <si>
    <t>HYW015H</t>
  </si>
  <si>
    <t>Epanouisseur x630/P630 4P (jusqu\'à 630A)</t>
  </si>
  <si>
    <t>HYW019H</t>
  </si>
  <si>
    <t>Séparateur de phase x630/P630 3-4P</t>
  </si>
  <si>
    <t>11.7089€</t>
  </si>
  <si>
    <t>HYW021H</t>
  </si>
  <si>
    <t>Capot rallonge de plage x630/P630 3P</t>
  </si>
  <si>
    <t>58.4284€</t>
  </si>
  <si>
    <t>HYW022H</t>
  </si>
  <si>
    <t>Capot rallonge de plage x630/P630 4P</t>
  </si>
  <si>
    <t>64.9171€</t>
  </si>
  <si>
    <t>HYW023H</t>
  </si>
  <si>
    <t>Capot épanouisseur x630/P630 3P</t>
  </si>
  <si>
    <t>HYW024H</t>
  </si>
  <si>
    <t>Capot épanouisseur x630/P630 4P</t>
  </si>
  <si>
    <t>HYW025H</t>
  </si>
  <si>
    <t>Capot connect. arr. + décon x630/P630 3P</t>
  </si>
  <si>
    <t>HYW026H</t>
  </si>
  <si>
    <t>Capot connect. arr. + décon x630/P630 4P</t>
  </si>
  <si>
    <t>HYW050H</t>
  </si>
  <si>
    <t>Plaque isol. droite P630 3P</t>
  </si>
  <si>
    <t>16.2497€</t>
  </si>
  <si>
    <t>HYW051H</t>
  </si>
  <si>
    <t>Plaque isol. droite P630 4P</t>
  </si>
  <si>
    <t>HYW052H</t>
  </si>
  <si>
    <t>Plaque isol. épanouie P630 3P</t>
  </si>
  <si>
    <t>HYW053H</t>
  </si>
  <si>
    <t>Plaque isol. épanouie P630 4P</t>
  </si>
  <si>
    <t>HYW200H</t>
  </si>
  <si>
    <t>Base disj. déco. x630/P630 3P</t>
  </si>
  <si>
    <t>421.7999€</t>
  </si>
  <si>
    <t>HYW201H</t>
  </si>
  <si>
    <t>Base disj. déco. x630/P630 4P</t>
  </si>
  <si>
    <t>551.5696€</t>
  </si>
  <si>
    <t>HYW256H</t>
  </si>
  <si>
    <t>Déclencheur de sécu base déco x630-P630</t>
  </si>
  <si>
    <t>HYW328H</t>
  </si>
  <si>
    <t>Connection pour base déco x630/P630 1P</t>
  </si>
  <si>
    <t>22.7341€</t>
  </si>
  <si>
    <t>HYW330H</t>
  </si>
  <si>
    <t>Base débro. x630/P630 3P</t>
  </si>
  <si>
    <t>HYW331H</t>
  </si>
  <si>
    <t>Base débro. x630/P630 4P</t>
  </si>
  <si>
    <t>HYW332H</t>
  </si>
  <si>
    <t>Kit débro. x630/P630 3P (400A)</t>
  </si>
  <si>
    <t>HYW333H</t>
  </si>
  <si>
    <t>Kit débro. x630/P630 4P (400A)</t>
  </si>
  <si>
    <t>HZC019</t>
  </si>
  <si>
    <t>Kit verr.ext. Ronis EL11AP (125A-1600A)</t>
  </si>
  <si>
    <t>227.1389€</t>
  </si>
  <si>
    <t>HTC160H</t>
  </si>
  <si>
    <t>Adaptateur NSP pour h3+ 1.20 m</t>
  </si>
  <si>
    <t>57.0008€</t>
  </si>
  <si>
    <t>HXW066H</t>
  </si>
  <si>
    <t>Capot d\'interverrouillage mécanique x630/P630</t>
  </si>
  <si>
    <t>HXW165H</t>
  </si>
  <si>
    <t>Kit de liaison d\'interverrouillage 3P x630/P630</t>
  </si>
  <si>
    <t>HXW166H</t>
  </si>
  <si>
    <t>Kit de liaison d\'interverrouillage 4P x630/P630</t>
  </si>
  <si>
    <t>HYW300H</t>
  </si>
  <si>
    <t>Adaptateur déconnectable pour boitier moulé x630/P630 3P (400A)</t>
  </si>
  <si>
    <t>148.0361€</t>
  </si>
  <si>
    <t>HYW301H</t>
  </si>
  <si>
    <t>Adaptateur déconnectable pour boitier moulé x630/P630 4P (400A)</t>
  </si>
  <si>
    <t>208.1759€</t>
  </si>
  <si>
    <t>HZI855</t>
  </si>
  <si>
    <t>Controleur d\'inverseur de sources motorisées pour HIB4xxM. disjoncteurs boitiers moulés et disjoncteurs ouverts avec configurateur intégré.</t>
  </si>
  <si>
    <t>1782.3887€</t>
  </si>
  <si>
    <t>HXS888H</t>
  </si>
  <si>
    <t>Kit de verrouillage pour commande rotative (P160-P250)</t>
  </si>
  <si>
    <t>77.5892€</t>
  </si>
  <si>
    <t>HXS901H</t>
  </si>
  <si>
    <t>Poignée rotative S1 IP55 (P160-P250)</t>
  </si>
  <si>
    <t>47.7601€</t>
  </si>
  <si>
    <t>HXS912H</t>
  </si>
  <si>
    <t>Axe 8x8mm 200mm poignée S1 (P160-P250)</t>
  </si>
  <si>
    <t>25.0862€</t>
  </si>
  <si>
    <t>HXS913H</t>
  </si>
  <si>
    <t>Axe 8x8mm 320mm poignée S1 (P160-P250)</t>
  </si>
  <si>
    <t>31.0546€</t>
  </si>
  <si>
    <t>HXS915H</t>
  </si>
  <si>
    <t>Axe 8x8mm 500mm poignée S1 (P160-P250)</t>
  </si>
  <si>
    <t>41.1897€</t>
  </si>
  <si>
    <t>HXS920H</t>
  </si>
  <si>
    <t>Cone guidage poig.S1/2(P160-P250-x/P630)</t>
  </si>
  <si>
    <t>29.8549€</t>
  </si>
  <si>
    <t>HXW912H</t>
  </si>
  <si>
    <t>Axe 14x14mm 200mm pour manette taille 2</t>
  </si>
  <si>
    <t>51.3334€</t>
  </si>
  <si>
    <t>HXW913H</t>
  </si>
  <si>
    <t>Axe 14x14mm 320mm pour manette taille 2</t>
  </si>
  <si>
    <t>69.2343€</t>
  </si>
  <si>
    <t>HXW915H</t>
  </si>
  <si>
    <t>Axe 14x14mm 500mm pour manette taille 2</t>
  </si>
  <si>
    <t>96.6769€</t>
  </si>
  <si>
    <t>HZI010</t>
  </si>
  <si>
    <t>Clé de selection Auto/manu pour ATS HIB HIC 125A à 3200A</t>
  </si>
  <si>
    <t>93.1079€</t>
  </si>
  <si>
    <t>HTL010H</t>
  </si>
  <si>
    <t>Câble adaptateur h3+ MIP vers USB</t>
  </si>
  <si>
    <t>257.4926€</t>
  </si>
  <si>
    <t>HZC201</t>
  </si>
  <si>
    <t>Capot cache borne 3P inter.  125-200A</t>
  </si>
  <si>
    <t>33.5658€</t>
  </si>
  <si>
    <t>HZI201</t>
  </si>
  <si>
    <t>Capot raccordement pour commutateur 4-pôle 125/160A</t>
  </si>
  <si>
    <t>34.3312€</t>
  </si>
  <si>
    <t>HTD010H</t>
  </si>
  <si>
    <t>Ecran embarqué de remplacement pour disjoncteurs h3+ Energy</t>
  </si>
  <si>
    <t>66.7446€</t>
  </si>
  <si>
    <t>HYE007H</t>
  </si>
  <si>
    <t>Cages de raccordement h1000 Al/Cu 3P 4x 95-240mm²</t>
  </si>
  <si>
    <t>224.2751€</t>
  </si>
  <si>
    <t>HYE008H</t>
  </si>
  <si>
    <t>Cages de raccordement h1000 Al/Cu 4P 4x 95-240mm²</t>
  </si>
  <si>
    <t>299.0306€</t>
  </si>
  <si>
    <t>HZC205</t>
  </si>
  <si>
    <t>Capot cache borne 3P inter. 400-630A</t>
  </si>
  <si>
    <t>HWY967H</t>
  </si>
  <si>
    <t>Module de communication Modbus RTU pour boitier moulé h3+ PW1600</t>
  </si>
  <si>
    <t>194.403€</t>
  </si>
  <si>
    <t>HWY968H</t>
  </si>
  <si>
    <t>Module de communication Modbus TCP/IP pour boitier moulé h3+ PW1600</t>
  </si>
  <si>
    <t>486.0075€</t>
  </si>
  <si>
    <t>HXH027H</t>
  </si>
  <si>
    <t>Contact auxilliare AX/AL/FS pour boitier moulé h3+ PW1600</t>
  </si>
  <si>
    <t>60.1742€</t>
  </si>
  <si>
    <t>HXH028H</t>
  </si>
  <si>
    <t>Contact auxilliare bas niveau AX/AL/FS pour boitier moulé h3+ PW1600</t>
  </si>
  <si>
    <t>69.4321€</t>
  </si>
  <si>
    <t>HXH030H</t>
  </si>
  <si>
    <t>kit montage des contacts auxillaires pour boitier moulé h3+ PW1600</t>
  </si>
  <si>
    <t>37.0316€</t>
  </si>
  <si>
    <t>HXH035H</t>
  </si>
  <si>
    <t>Commande rotative pour boitier moulé h3+ PW1600 en version interrupteur</t>
  </si>
  <si>
    <t>157.3757€</t>
  </si>
  <si>
    <t>HXH036H</t>
  </si>
  <si>
    <t>Commande rotative pour boitier moulé h3+ PW1600 en version Sentinel LSI</t>
  </si>
  <si>
    <t>HXH037H</t>
  </si>
  <si>
    <t>Commande rotative pour boitier moulé h3+ PW1600 en version Sentinel Energy</t>
  </si>
  <si>
    <t>HXH090H</t>
  </si>
  <si>
    <t>Module de contact d\'alarme supplémentaire pour boitier moulé h3+ PW1600. Permet d\'indiquer lorsque qu\'un défaut a apparu la nature de celui-ci.</t>
  </si>
  <si>
    <t>694.2952€</t>
  </si>
  <si>
    <t>HXH102H</t>
  </si>
  <si>
    <t>Rallonge axe 320mm pour commande déporté pour boitier moulé h3+ PW1600. Permet la commande du boitier moulé depuis l\'extérieur de l\'armoire.</t>
  </si>
  <si>
    <t>11.2531€</t>
  </si>
  <si>
    <t>HXH888H</t>
  </si>
  <si>
    <t>Kit Ronis pour commande rotative pour boitier moulé h3+ PW1600. Permet de verrouiller la position de la manette.</t>
  </si>
  <si>
    <t>231.4346€</t>
  </si>
  <si>
    <t>HXH901H</t>
  </si>
  <si>
    <t>Poignée pour commande déporté pour boitier moulé h3+ PW1600. Permet la commande du boitier moulé depuis l\'extérieur de l\'armoire.</t>
  </si>
  <si>
    <t>7.5035€</t>
  </si>
  <si>
    <t>HXH957H</t>
  </si>
  <si>
    <t>Bornier de raccordement de déclencheur pour boitier moulé h3+ PW1600. Permet d\'alimenter le déclencheur même si la consommation est faible.</t>
  </si>
  <si>
    <t>18.5158€</t>
  </si>
  <si>
    <t>HYH021H</t>
  </si>
  <si>
    <t>Cache-bornes 3P pour boitier moulé h3+ PW1600</t>
  </si>
  <si>
    <t>92.5747€</t>
  </si>
  <si>
    <t>HYH022H</t>
  </si>
  <si>
    <t>Cache-bornes 4P pour boitier moulé h3+ PW1600</t>
  </si>
  <si>
    <t>106.4594€</t>
  </si>
  <si>
    <t>HYH040H</t>
  </si>
  <si>
    <t>Connexions frontale 3P pour boitier moulé h3+ PW1600</t>
  </si>
  <si>
    <t>83.3168€</t>
  </si>
  <si>
    <t>HYH041H</t>
  </si>
  <si>
    <t>Connexions frontale 4P pour boitier moulé h3+ PW1600</t>
  </si>
  <si>
    <t>185.1451€</t>
  </si>
  <si>
    <t>HYH500H</t>
  </si>
  <si>
    <t>Vis de fixation pour boitier moulé h3+ PW1600</t>
  </si>
  <si>
    <t>HYH501H</t>
  </si>
  <si>
    <t>Ecrous et rondelles de montage 3P pour boitier moulé h3+ PW1600</t>
  </si>
  <si>
    <t>HYH502H</t>
  </si>
  <si>
    <t>Ecrous et rondelles de montage 4P pour boitier moulé h3+ PW1600</t>
  </si>
  <si>
    <t>HYH554H</t>
  </si>
  <si>
    <t>Adaptateur de connexion arrière 3P pour boitier moulé h3+ PW1600</t>
  </si>
  <si>
    <t>23.1469€</t>
  </si>
  <si>
    <t>HYH555H</t>
  </si>
  <si>
    <t>Adaptateur de connexion arrière 4P pour boitier moulé h3+ PW1600</t>
  </si>
  <si>
    <t>HYH654H</t>
  </si>
  <si>
    <t>Adaptateur de connexion frontale 3P pour boitier moulé h3+ PW1600</t>
  </si>
  <si>
    <t>HYH655H</t>
  </si>
  <si>
    <t>Adaptateur de connexion frontale 4P pour boitier moulé h3+ PW1600</t>
  </si>
  <si>
    <t>HYH957H</t>
  </si>
  <si>
    <t>Kit liaison entre le déclencheur et le bornier pour boitier moulé h3+ PW1600</t>
  </si>
  <si>
    <t>K010</t>
  </si>
  <si>
    <t>Barrette de connexion 2X5X4mm</t>
  </si>
  <si>
    <t xml:space="preserve">HATCCM03 </t>
  </si>
  <si>
    <t>CONNEXION TERTIAIRE</t>
  </si>
  <si>
    <t>8.8623€</t>
  </si>
  <si>
    <t>K035</t>
  </si>
  <si>
    <t>Borne de distribution, 1 phase, 1x35mm² - 3x10mm², gris</t>
  </si>
  <si>
    <t>31.5835€</t>
  </si>
  <si>
    <t>K11001</t>
  </si>
  <si>
    <t>Bornes sans pattes anticisail 2X10 mm</t>
  </si>
  <si>
    <t>2.5585€</t>
  </si>
  <si>
    <t>K143</t>
  </si>
  <si>
    <t>Barrette sur socle 67mm 5X16-5X10mm</t>
  </si>
  <si>
    <t>4.9364€</t>
  </si>
  <si>
    <t>KB190B</t>
  </si>
  <si>
    <t>Barre de pontage 1P 100A languette 20mm² 57m</t>
  </si>
  <si>
    <t>KB363C</t>
  </si>
  <si>
    <t>Barre de pontage 3P 63A languette 10mm²  24M</t>
  </si>
  <si>
    <t>39.4052€</t>
  </si>
  <si>
    <t>KD304M</t>
  </si>
  <si>
    <t>Barre de pontage pour 4 disjoncteurs moteur 3P 63A fourche 10mm²</t>
  </si>
  <si>
    <t>22.016€</t>
  </si>
  <si>
    <t>KZ022</t>
  </si>
  <si>
    <t>10 bouchons latéraux pour barres de pontage 2P 10mm²</t>
  </si>
  <si>
    <t>13.7127€</t>
  </si>
  <si>
    <t>KZ059</t>
  </si>
  <si>
    <t>Profil de protection des parties de barres de pontage gardées en réserve</t>
  </si>
  <si>
    <t>1.9952€</t>
  </si>
  <si>
    <t>K10601</t>
  </si>
  <si>
    <t>Bornes sans pattes anticisail 2X6 mm</t>
  </si>
  <si>
    <t>2.3048€</t>
  </si>
  <si>
    <t>K159</t>
  </si>
  <si>
    <t>Barrette laiton sans socle L242mm 29X10-16mm univers+support et connexion 250 A</t>
  </si>
  <si>
    <t>47.9407€</t>
  </si>
  <si>
    <t>KB363A</t>
  </si>
  <si>
    <t>Barre de pontage 3P 63A languette 10mm²  12M</t>
  </si>
  <si>
    <t>17.3892€</t>
  </si>
  <si>
    <t>KZ021</t>
  </si>
  <si>
    <t>10 bouchons latéraux pour barres de pontage 1P</t>
  </si>
  <si>
    <t>6.1576€</t>
  </si>
  <si>
    <t>KZN024</t>
  </si>
  <si>
    <t>Bouchon latéral pour barre de pontage 4P</t>
  </si>
  <si>
    <t>1.4792€</t>
  </si>
  <si>
    <t>K085</t>
  </si>
  <si>
    <t>Barrette sectionnnée T 50mm2</t>
  </si>
  <si>
    <t>118.51€</t>
  </si>
  <si>
    <t>49.4328€</t>
  </si>
  <si>
    <t>K09900</t>
  </si>
  <si>
    <t>Profil pour bornes à patte 35 mm</t>
  </si>
  <si>
    <t>23.2157€</t>
  </si>
  <si>
    <t>K158</t>
  </si>
  <si>
    <t>Borne en laiton, 169mm, 1x25mm² - 13x10mm² - 11x16mm², sans base de montage</t>
  </si>
  <si>
    <t>13.459€</t>
  </si>
  <si>
    <t>KB963P</t>
  </si>
  <si>
    <t>Barre de pontage 1P 63A languette 10mm² marron 12M</t>
  </si>
  <si>
    <t>7.0907€</t>
  </si>
  <si>
    <t>KJ01A</t>
  </si>
  <si>
    <t>Répartiteur à barrettes étagé 90A,2 pole.2x 10-35 ² / 10x 2,5-16 ² par pole</t>
  </si>
  <si>
    <t>28.6681€</t>
  </si>
  <si>
    <t>KJ03B</t>
  </si>
  <si>
    <t>Répartiteur multifiche tétra 250A + connect</t>
  </si>
  <si>
    <t>199.8511€</t>
  </si>
  <si>
    <t>KS72C</t>
  </si>
  <si>
    <t>Barre Cu 12X5 taraudée M5 longueur 1000 mm</t>
  </si>
  <si>
    <t>111.6925€</t>
  </si>
  <si>
    <t>KZN023</t>
  </si>
  <si>
    <t>Bouchon latéral pour barres de pontage 2P et 3P</t>
  </si>
  <si>
    <t>K074</t>
  </si>
  <si>
    <t>Cavalier raccordement 95 barres Cu univers+quadro4-quadro5-quadro+ acc connexion</t>
  </si>
  <si>
    <t>15.5574€</t>
  </si>
  <si>
    <t>K142</t>
  </si>
  <si>
    <t>Barrette sur socle 49mm 3X16-4X10mm</t>
  </si>
  <si>
    <t>4.4892€</t>
  </si>
  <si>
    <t>K156</t>
  </si>
  <si>
    <t>Barre sans socle 121mm 1X25-8X16-8X10mm</t>
  </si>
  <si>
    <t>12.2292€</t>
  </si>
  <si>
    <t>K89200</t>
  </si>
  <si>
    <t>Mini Borne sur rail DIN 2,5mm², 24A/300V, verte, sans base de montage</t>
  </si>
  <si>
    <t>1.2427€</t>
  </si>
  <si>
    <t>KB963N</t>
  </si>
  <si>
    <t>Barre de pontage 1P 63A languette 10mm² bleu 12M</t>
  </si>
  <si>
    <t>KJ03A</t>
  </si>
  <si>
    <t>Répartiteur multifiche tétrapolaire 250A</t>
  </si>
  <si>
    <t>159.4827€</t>
  </si>
  <si>
    <t>KS72B</t>
  </si>
  <si>
    <t>Barre Cu 12X6 taraudée M5 longueur 245 mm</t>
  </si>
  <si>
    <t>26.5869€</t>
  </si>
  <si>
    <t>KZ005</t>
  </si>
  <si>
    <t>Câble de raccordement, 120mm,noir, 10mm²,avec fiche, pour Répartiteur multifiche</t>
  </si>
  <si>
    <t>3.0745€</t>
  </si>
  <si>
    <t>KZ075</t>
  </si>
  <si>
    <t>Câble de raccordement,500mm,noir,10mm²,avec fiche, pour Répartiteur multifiche</t>
  </si>
  <si>
    <t>4.9106€</t>
  </si>
  <si>
    <t>K025</t>
  </si>
  <si>
    <t>Bloc jonction 5P 2X25 + 4X16 + couvercle de protection</t>
  </si>
  <si>
    <t>72.326€</t>
  </si>
  <si>
    <t>K073</t>
  </si>
  <si>
    <t>Cavalier raccordement 70 barres Cu univers+quadro4-quadro5-quadro+ acc connexion</t>
  </si>
  <si>
    <t>K140</t>
  </si>
  <si>
    <t>Barrette sur socle 30mm 2X16-2X10mm</t>
  </si>
  <si>
    <t>3.7109€</t>
  </si>
  <si>
    <t>K151</t>
  </si>
  <si>
    <t>Borne en laiton, 85mm, 1x25mm² - 5x10mm² - 5x16mm², sans base de montage</t>
  </si>
  <si>
    <t>5.4653€</t>
  </si>
  <si>
    <t>K89100</t>
  </si>
  <si>
    <t>Mini Borne sur rail DIN 2,5mm², 24A/300V, gris, sans base de montage</t>
  </si>
  <si>
    <t>1.2599€</t>
  </si>
  <si>
    <t>KB280B</t>
  </si>
  <si>
    <t>Barre de pontage 2P 80A languette 16mm²  57M</t>
  </si>
  <si>
    <t>60.6859€</t>
  </si>
  <si>
    <t>KB480B</t>
  </si>
  <si>
    <t>Barre de pontage 3P+N 80A languette 16mm²  57M</t>
  </si>
  <si>
    <t>105.4274€</t>
  </si>
  <si>
    <t>KD303M</t>
  </si>
  <si>
    <t>Barre de pontage pour 3 disjoncteurs moteur 3P 63A fourche 10mm²</t>
  </si>
  <si>
    <t>20.2229€</t>
  </si>
  <si>
    <t>KF30M</t>
  </si>
  <si>
    <t>Borne de raccordement pour disjoncteur moteur 3P 63A fourche 10mm²</t>
  </si>
  <si>
    <t>14.1986€</t>
  </si>
  <si>
    <t>KS70A</t>
  </si>
  <si>
    <t>Connecteur arrivée de terre 70mm2</t>
  </si>
  <si>
    <t>145.0863€</t>
  </si>
  <si>
    <t>KZ004</t>
  </si>
  <si>
    <t>Câble de raccordement, 120mm, bleu, 10mm²,avec fiche,pour Répartiteur multifiche</t>
  </si>
  <si>
    <t>7.34€</t>
  </si>
  <si>
    <t>3.0616€</t>
  </si>
  <si>
    <t>KZ052</t>
  </si>
  <si>
    <t>Câble de raccordement,500mm,noir, 6mm²,avec fiche, pour Répartiteur multifiche</t>
  </si>
  <si>
    <t>4.1667€</t>
  </si>
  <si>
    <t>KZ074</t>
  </si>
  <si>
    <t>Câble de raccordement,500mm, bleu, 10mm²,avec fiche, pour Répartiteur multifiche</t>
  </si>
  <si>
    <t>4.8676€</t>
  </si>
  <si>
    <t>K024</t>
  </si>
  <si>
    <t>Bloc jonction 4P 2X25 + 4X16 + couvercle de protection</t>
  </si>
  <si>
    <t>56.6697€</t>
  </si>
  <si>
    <t>K071</t>
  </si>
  <si>
    <t>Cavalier raccordement 35 barres Cu univers+quadro4-quadro5-quadro+ acc connexion</t>
  </si>
  <si>
    <t>7.3229€</t>
  </si>
  <si>
    <t>K135</t>
  </si>
  <si>
    <t>Bornes sans pattes anticisail 2X35 mm</t>
  </si>
  <si>
    <t>5.375€</t>
  </si>
  <si>
    <t>K89000</t>
  </si>
  <si>
    <t>Mini Borne sur rail DIN 2,5mm², 24A/300V, bleu, sans base de montage</t>
  </si>
  <si>
    <t>1.3158€</t>
  </si>
  <si>
    <t>KB263C</t>
  </si>
  <si>
    <t>Barre de pontage 2P 63A languette 10mm²  24M</t>
  </si>
  <si>
    <t>31.0847€</t>
  </si>
  <si>
    <t>KB463C</t>
  </si>
  <si>
    <t>Barre de pontage 3P+N 63A languette 10mm²  24M</t>
  </si>
  <si>
    <t>54.0166€</t>
  </si>
  <si>
    <t>KD302M</t>
  </si>
  <si>
    <t>Barre de pontage pour 2 disjoncteurs moteur 3P 63A fourche 10mm²</t>
  </si>
  <si>
    <t>17.9568€</t>
  </si>
  <si>
    <t>KZ051</t>
  </si>
  <si>
    <t>Câble de raccordement, 500mm, bleu, 6mm²,avec fiche, pour Répartiteur multifiche</t>
  </si>
  <si>
    <t>K023</t>
  </si>
  <si>
    <t>Bloc jonction 2P 2X25 + 4X16 + couvercle de protection</t>
  </si>
  <si>
    <t>27.8683€</t>
  </si>
  <si>
    <t>K09800</t>
  </si>
  <si>
    <t>Profil pour bornes à patte 6A 25 mm</t>
  </si>
  <si>
    <t>7.8862€</t>
  </si>
  <si>
    <t>K125</t>
  </si>
  <si>
    <t>Bornes sans pattes anticisail 2X25 mm</t>
  </si>
  <si>
    <t>3.9388€</t>
  </si>
  <si>
    <t>KB263A</t>
  </si>
  <si>
    <t>Barre de pontage 2P 63A languette 10mm²  12M</t>
  </si>
  <si>
    <t>13.7256€</t>
  </si>
  <si>
    <t>KD190B</t>
  </si>
  <si>
    <t>Barre de pontage 1P 100A fourche 20mm² 57m</t>
  </si>
  <si>
    <t>33.3336€</t>
  </si>
  <si>
    <t>KF83D</t>
  </si>
  <si>
    <t>Borne de raccordement 1P languette 1x35mm²</t>
  </si>
  <si>
    <t>8.01€</t>
  </si>
  <si>
    <t>3.3411€</t>
  </si>
  <si>
    <t>KZ024</t>
  </si>
  <si>
    <t>10 bouchons latéraux pour barres de pontage 4P</t>
  </si>
  <si>
    <t>13.8933€</t>
  </si>
  <si>
    <t>K018</t>
  </si>
  <si>
    <t>Bloc jonction 1P 2X25 + 4X16 + couvercle de protection</t>
  </si>
  <si>
    <t>18.1933€</t>
  </si>
  <si>
    <t>K162F</t>
  </si>
  <si>
    <t>Barret Laiton 992mm 129X10-16mm</t>
  </si>
  <si>
    <t>94.3592€</t>
  </si>
  <si>
    <t>KB190C</t>
  </si>
  <si>
    <t>Barre de pontage 1P 100A languette 20mm² 24m</t>
  </si>
  <si>
    <t>KF83C</t>
  </si>
  <si>
    <t>Borne de raccordement rallongée 1P languette 1x35mm²</t>
  </si>
  <si>
    <t>3.2809€</t>
  </si>
  <si>
    <t>KJ02E</t>
  </si>
  <si>
    <t>Répartiteur monobloc 4X100A In 100A tétrapolaire</t>
  </si>
  <si>
    <t>39.1214€</t>
  </si>
  <si>
    <t>K070</t>
  </si>
  <si>
    <t>Cavalier raccordement 16 barres Cu univers+quadro4-quadro5-quadro+ acc connexion</t>
  </si>
  <si>
    <t>K148</t>
  </si>
  <si>
    <t>Barrette sur socle 85mm 6X16-7X1mm</t>
  </si>
  <si>
    <t>8.0711€</t>
  </si>
  <si>
    <t>K160F</t>
  </si>
  <si>
    <t>Barret Laiton 482mm 61X10-16mm</t>
  </si>
  <si>
    <t>50.8518€</t>
  </si>
  <si>
    <t>K89500</t>
  </si>
  <si>
    <t>Base de montage pour K89000, K89100, K89200, K89300 pour montage sur rail DIN</t>
  </si>
  <si>
    <t>KBN663C</t>
  </si>
  <si>
    <t>Barre de pontage 3P+N 63A languette 10mm² 24m pour disjoncteurs 1P+N 1 module</t>
  </si>
  <si>
    <t>32.9036€</t>
  </si>
  <si>
    <t>KDN463B</t>
  </si>
  <si>
    <t>Barre de pontage 4P 63A fourche 10mm²  57M</t>
  </si>
  <si>
    <t>100.448€</t>
  </si>
  <si>
    <t>KR95P</t>
  </si>
  <si>
    <t>Borne de jonction 95mm²</t>
  </si>
  <si>
    <t>51.2173€</t>
  </si>
  <si>
    <t>KZ002</t>
  </si>
  <si>
    <t>Câble de raccordement, 120mm, noir, 6mm²,avec fiche, pour Répartiteur multifiche</t>
  </si>
  <si>
    <t>2.5886€</t>
  </si>
  <si>
    <t>KZN624</t>
  </si>
  <si>
    <t>Bouchon latéral pour barre de pontage 3P+N</t>
  </si>
  <si>
    <t>1.3545€</t>
  </si>
  <si>
    <t>K039</t>
  </si>
  <si>
    <t>Borne de distribution, 1 phase, 1x35mm² - 3x10mm², bleu</t>
  </si>
  <si>
    <t>32.8348€</t>
  </si>
  <si>
    <t>K145</t>
  </si>
  <si>
    <t>Borne en laiton, 8x10mm² - 2x16mm², sans base de montage</t>
  </si>
  <si>
    <t>10.9349€</t>
  </si>
  <si>
    <t>K89400</t>
  </si>
  <si>
    <t>Plaque d'extrémité pour K89000, K89100, K89200, K89300</t>
  </si>
  <si>
    <t>0.5633€</t>
  </si>
  <si>
    <t>KB463A</t>
  </si>
  <si>
    <t>Barre de pontage 3P+N 63A languette 10mm²  12M</t>
  </si>
  <si>
    <t>23.4307€</t>
  </si>
  <si>
    <t>KBN663A</t>
  </si>
  <si>
    <t>Barre de pontage 3P+N 63A languette 10mm² 12m pour disjoncteurs 1P+N 1 module</t>
  </si>
  <si>
    <t>17.0022€</t>
  </si>
  <si>
    <t>KDN363B</t>
  </si>
  <si>
    <t>Barre de pontage 3P 63A fourche 10mm²  57M</t>
  </si>
  <si>
    <t>73.1344€</t>
  </si>
  <si>
    <t>KN07P</t>
  </si>
  <si>
    <t>Bornier arrivée phase à cage 7x25 mm²</t>
  </si>
  <si>
    <t>18.24€</t>
  </si>
  <si>
    <t>7.6067€</t>
  </si>
  <si>
    <t>KR15P</t>
  </si>
  <si>
    <t>Borne de jonction 150mm²</t>
  </si>
  <si>
    <t>57.3534€</t>
  </si>
  <si>
    <t>KZ001</t>
  </si>
  <si>
    <t>Câble de raccordement, 120mm, bleu, 6mm²,avec fiche, pour Répartiteur multifiche</t>
  </si>
  <si>
    <t>2.5198€</t>
  </si>
  <si>
    <t>KZ007</t>
  </si>
  <si>
    <t>Fiche à sertir,  4²-10² ,  pour Répartiteur multifiche</t>
  </si>
  <si>
    <t>2.451€</t>
  </si>
  <si>
    <t>K037</t>
  </si>
  <si>
    <t>Bloc de jonction 1P 2x35 + 4x25mm</t>
  </si>
  <si>
    <t>25.2281€</t>
  </si>
  <si>
    <t>K11601</t>
  </si>
  <si>
    <t>Bornes ss pattes anticis. 2x16</t>
  </si>
  <si>
    <t>2.8982€</t>
  </si>
  <si>
    <t>K144</t>
  </si>
  <si>
    <t>Barrette sur socle 73mm 5X16-6X1mm</t>
  </si>
  <si>
    <t>11.85€</t>
  </si>
  <si>
    <t>4.9407€</t>
  </si>
  <si>
    <t>K89300</t>
  </si>
  <si>
    <t>Mini Borne sur rail DIN 2,5mm², 24A/300V, orange, sans base de montage</t>
  </si>
  <si>
    <t>KB380B</t>
  </si>
  <si>
    <t>Barre de pontage 3P 80A languette 16mm²  57M</t>
  </si>
  <si>
    <t>77.443€</t>
  </si>
  <si>
    <t>KDN263B</t>
  </si>
  <si>
    <t>Barre de pontage 2P 63A fourche 10mm²  57M</t>
  </si>
  <si>
    <t>63.1412€</t>
  </si>
  <si>
    <t>KJ02B</t>
  </si>
  <si>
    <t>Bloc de répartition 400A fermé. 1pôle. 2x 6-25²/5x 1.5-16²/4x 1.5-10²</t>
  </si>
  <si>
    <t>59.3916€</t>
  </si>
  <si>
    <t>KN07N</t>
  </si>
  <si>
    <t>Bornier arrivée neutre à cage 7x25 mm²</t>
  </si>
  <si>
    <t>7.5981€</t>
  </si>
  <si>
    <t>KZ023A</t>
  </si>
  <si>
    <t>10 bouchons latéraux pour barres de pontage 2P 16mm² et 3P</t>
  </si>
  <si>
    <t>KZ060F</t>
  </si>
  <si>
    <t>10 ressorts à clips pour barrettes</t>
  </si>
  <si>
    <t>3.3325€</t>
  </si>
  <si>
    <t>N11A</t>
  </si>
  <si>
    <t>Barre Cu 12 X 5 2050</t>
  </si>
  <si>
    <t>55.8011€</t>
  </si>
  <si>
    <t>KW10LH</t>
  </si>
  <si>
    <t>Plaque de fermeture pour KNX10LH</t>
  </si>
  <si>
    <t>0.9718€</t>
  </si>
  <si>
    <t>KXN10LH</t>
  </si>
  <si>
    <t>Borne de passage-phase, 10mm², 1000V/57A, connection à vis</t>
  </si>
  <si>
    <t>2.0081€</t>
  </si>
  <si>
    <t>KBN863C</t>
  </si>
  <si>
    <t>Barres de pontage 3P+N 63A languette 24 mod</t>
  </si>
  <si>
    <t>28.81€</t>
  </si>
  <si>
    <t>KBN863A</t>
  </si>
  <si>
    <t>Barres de pontage 3P+N 63A languette 12 mod</t>
  </si>
  <si>
    <t>16.0218€</t>
  </si>
  <si>
    <t>KF83E</t>
  </si>
  <si>
    <t>Borne de raccordement 1P languette 35mm² pour KBN863</t>
  </si>
  <si>
    <t>7.98€</t>
  </si>
  <si>
    <t>3.3282€</t>
  </si>
  <si>
    <t>KWE01G</t>
  </si>
  <si>
    <t>Plaque d'extrémité pour KXA02LH - KXA04LH, Couleur: gris</t>
  </si>
  <si>
    <t>0.8041€</t>
  </si>
  <si>
    <t>KXA10E</t>
  </si>
  <si>
    <t>Borne de terre. 10mm². connection à vis</t>
  </si>
  <si>
    <t>4.5279€</t>
  </si>
  <si>
    <t>KWL002</t>
  </si>
  <si>
    <t>Bandes de marquage 1-100   Jeu = 25 bandes</t>
  </si>
  <si>
    <t>82.7105€</t>
  </si>
  <si>
    <t>KXA04NH</t>
  </si>
  <si>
    <t>Borne de passage-neutre 4mm², 800V-32A, connection à vis</t>
  </si>
  <si>
    <t>1.3373€</t>
  </si>
  <si>
    <t>KWL001</t>
  </si>
  <si>
    <t>Clip de marquage Box (0-9)</t>
  </si>
  <si>
    <t>117.5018€</t>
  </si>
  <si>
    <t>KXA04LH</t>
  </si>
  <si>
    <t>Borne de passage-phase,4mm², 800V/32A, connection à vis</t>
  </si>
  <si>
    <t>1.1696€</t>
  </si>
  <si>
    <t>KWJ10B10</t>
  </si>
  <si>
    <t>Contact de pontage horizontal isolé,  10mm² - 10x, connection à vis</t>
  </si>
  <si>
    <t>8.901€</t>
  </si>
  <si>
    <t>KXA16N</t>
  </si>
  <si>
    <t>Borne de passage-neutre, 16mm², 400V-76A, connection à vis</t>
  </si>
  <si>
    <t>2.8767€</t>
  </si>
  <si>
    <t>KWB02</t>
  </si>
  <si>
    <t>Butée d\'arrêt 150 mm²</t>
  </si>
  <si>
    <t>3.2207€</t>
  </si>
  <si>
    <t>KWJ04B10</t>
  </si>
  <si>
    <t>Contact de pontage horizontal isolé,  4mm² - 10x, connection à vis</t>
  </si>
  <si>
    <t>8.514€</t>
  </si>
  <si>
    <t>KXA16L</t>
  </si>
  <si>
    <t>Borne de passage-phase, 16mm², 400V/76A, connection à vis</t>
  </si>
  <si>
    <t>6.14€</t>
  </si>
  <si>
    <t>2.5628€</t>
  </si>
  <si>
    <t>KXB70LH</t>
  </si>
  <si>
    <t>Borne de passage-phase,70mm²,1000V/192A, connection à vis</t>
  </si>
  <si>
    <t>18.576€</t>
  </si>
  <si>
    <t>KWB01</t>
  </si>
  <si>
    <t>Butée d\'arrêt 35 mm²</t>
  </si>
  <si>
    <t>2.9756€</t>
  </si>
  <si>
    <t>KXA16E</t>
  </si>
  <si>
    <t>Borne de terre. 16mm². connection à vis</t>
  </si>
  <si>
    <t>6.5403€</t>
  </si>
  <si>
    <t>KXA02NH</t>
  </si>
  <si>
    <t>Borne de passage-neutre, 2.5mm², 800V/24A, connection à vis</t>
  </si>
  <si>
    <t>1.1395€</t>
  </si>
  <si>
    <t>KXA10N</t>
  </si>
  <si>
    <t>Borne de passage-neutre,10mm², 400V/57A, connection à vis</t>
  </si>
  <si>
    <t>1.7931€</t>
  </si>
  <si>
    <t>KXA02LH</t>
  </si>
  <si>
    <t>Borne de passage-phase, 2,5mm², 800V/24A, connection à vis</t>
  </si>
  <si>
    <t>1.0105€</t>
  </si>
  <si>
    <t>KXB35E</t>
  </si>
  <si>
    <t>Borne de terre. 35mm². connection à vis</t>
  </si>
  <si>
    <t>8.7247€</t>
  </si>
  <si>
    <t>KWJ02B10</t>
  </si>
  <si>
    <t>Contact de pontage horizontal isolé,  2.5² - 10x, connection à vis</t>
  </si>
  <si>
    <t>5.5427€</t>
  </si>
  <si>
    <t>KXA02E</t>
  </si>
  <si>
    <t>Borne vert-jaune 2 5mm²</t>
  </si>
  <si>
    <t>3.8829€</t>
  </si>
  <si>
    <t>KXB04E</t>
  </si>
  <si>
    <t>Borne de terre. 4mm². connection à vis</t>
  </si>
  <si>
    <t>3.5819€</t>
  </si>
  <si>
    <t>KWE04G</t>
  </si>
  <si>
    <t>Plaque d'extrémité pour KXA10L - KXA16L, Couleur: gris</t>
  </si>
  <si>
    <t>0.8428€</t>
  </si>
  <si>
    <t>KWL003</t>
  </si>
  <si>
    <t>Bandes de marquage 101-200  Jeu = 25 bandes</t>
  </si>
  <si>
    <t>KXA35N</t>
  </si>
  <si>
    <t>Borne de passage-neutre, 35mm²400V/125A, connection à vis</t>
  </si>
  <si>
    <t>4.3688€</t>
  </si>
  <si>
    <t>KWE03G</t>
  </si>
  <si>
    <t>Plaque d'extrémité pour KXA35L, Couleur: gris</t>
  </si>
  <si>
    <t>1.2126€</t>
  </si>
  <si>
    <t>KXA10L</t>
  </si>
  <si>
    <t>Borne de passage-phase, 10mm², 400V/57A, connection à vis</t>
  </si>
  <si>
    <t>1.6039€</t>
  </si>
  <si>
    <t>KXA35L</t>
  </si>
  <si>
    <t>Borne de passage-phase, 35mm², 400V/125A, connection à vis</t>
  </si>
  <si>
    <t>3.87€</t>
  </si>
  <si>
    <t>KZN029</t>
  </si>
  <si>
    <t>Bouchon gauche + bouchon droit pour barre 1P KBN863x</t>
  </si>
  <si>
    <t>1.3115€</t>
  </si>
  <si>
    <t>KJ100A</t>
  </si>
  <si>
    <t>Répartiteur 100A, tétrapolaire, 2x 2,5-25² / 5x 1,5-16² par phase</t>
  </si>
  <si>
    <t>30.917€</t>
  </si>
  <si>
    <t>KJ125B</t>
  </si>
  <si>
    <t>Répartiteur 125A, tétrapolaire, 1x 10-35² / 3x 6-35² / 11x 1,5-16² par phase</t>
  </si>
  <si>
    <t>40.9188€</t>
  </si>
  <si>
    <t>KJ160A</t>
  </si>
  <si>
    <t>Répartiteur 160A, tétrapolaire, 1x 25-70² / 3x 10-35² / 8x 2,5-25² par phase</t>
  </si>
  <si>
    <t>94.0668€</t>
  </si>
  <si>
    <t>KJ02AN</t>
  </si>
  <si>
    <t>Bloc de répartition 250A a. couvercle 1p. 1x25-95²/1x1.5-35²/4x1.5-10²/8x1.5-16²</t>
  </si>
  <si>
    <t>52.0988€</t>
  </si>
  <si>
    <t>KJ02CN</t>
  </si>
  <si>
    <t>Blocs de répartition unipolaire 160A leur 35mm</t>
  </si>
  <si>
    <t>41.4004€</t>
  </si>
  <si>
    <t>KJ02DN</t>
  </si>
  <si>
    <t>Blocs de répartition unipolaire 125A leur 27mm</t>
  </si>
  <si>
    <t>27.3351€</t>
  </si>
  <si>
    <t>KJ125C</t>
  </si>
  <si>
    <t>Répartiteur 125A, tétrapolaire</t>
  </si>
  <si>
    <t>28.0876€</t>
  </si>
  <si>
    <t>KF50S</t>
  </si>
  <si>
    <t>Borne raccord. 50mm²</t>
  </si>
  <si>
    <t>14.0911€</t>
  </si>
  <si>
    <t>KJ125A</t>
  </si>
  <si>
    <t>Répartiteur à barrettes étagé 125A.2 poles 2x 10-35 ² / 10x 2.5-16 ² par pole</t>
  </si>
  <si>
    <t>30.5128€</t>
  </si>
  <si>
    <t>KR01AP</t>
  </si>
  <si>
    <t>Plaque d\'extrémité pour 2.5-10 mm². Couleur: beige</t>
  </si>
  <si>
    <t>KR01EW</t>
  </si>
  <si>
    <t>Butée d\'arrêt 35 mm². connection à vis. Couleur: beige</t>
  </si>
  <si>
    <t>2.9799€</t>
  </si>
  <si>
    <t>KR025B10</t>
  </si>
  <si>
    <t>Contact de pontage. horizontal. 2.5mm². 10x. connection à vis</t>
  </si>
  <si>
    <t>5.5513€</t>
  </si>
  <si>
    <t>KR025L</t>
  </si>
  <si>
    <t>Borne de  phase. 2.5mm². 800V/24A. connection à vis</t>
  </si>
  <si>
    <t>KR025N</t>
  </si>
  <si>
    <t>Borne de neutre. 2.5mm². 800V/24A. connection à vis</t>
  </si>
  <si>
    <t>KR025PE</t>
  </si>
  <si>
    <t>Borne de terre PE Vert-Jaune 2.5mm². connection à vis</t>
  </si>
  <si>
    <t>3.8872€</t>
  </si>
  <si>
    <t>KR02BE</t>
  </si>
  <si>
    <t>Clip de marquage 5 mm. numérotée de 1 à 100</t>
  </si>
  <si>
    <t>82.8911€</t>
  </si>
  <si>
    <t>KR03BE</t>
  </si>
  <si>
    <t>Clip de marquage 5 mm. numérotée de 101-200</t>
  </si>
  <si>
    <t>KR040L</t>
  </si>
  <si>
    <t>Borne de phase.4mm². 800V/32A. connection à vis</t>
  </si>
  <si>
    <t>KR040N</t>
  </si>
  <si>
    <t>Borne de neutre 4mm². 800V/32A. connection à vis</t>
  </si>
  <si>
    <t>KR040PE</t>
  </si>
  <si>
    <t>3.5905€</t>
  </si>
  <si>
    <t>KR100B10</t>
  </si>
  <si>
    <t>Contact de pontage. horizontal 10mm² - 10x. connection à vis</t>
  </si>
  <si>
    <t>KR100L</t>
  </si>
  <si>
    <t>Borne de phase. 10mm². 1000V/57A. connection à vis</t>
  </si>
  <si>
    <t>1.6082€</t>
  </si>
  <si>
    <t>KR100N</t>
  </si>
  <si>
    <t>Borne de neutre. 10mm². 1000V/57A. connection à vis</t>
  </si>
  <si>
    <t>1.7974€</t>
  </si>
  <si>
    <t>KR100PE</t>
  </si>
  <si>
    <t>KR160L</t>
  </si>
  <si>
    <t>Borne de phase. 16mm². 690V/76A. connection à vis</t>
  </si>
  <si>
    <t>KR160N</t>
  </si>
  <si>
    <t>Borne de neutre. 16mm². 690V/76A. connection à vis</t>
  </si>
  <si>
    <t>KR160PE</t>
  </si>
  <si>
    <t>6.5532€</t>
  </si>
  <si>
    <t>KR350L</t>
  </si>
  <si>
    <t>Borne de phase. 35mm². 500V/125A. connection à vis</t>
  </si>
  <si>
    <t>3.8786€</t>
  </si>
  <si>
    <t>KR350N</t>
  </si>
  <si>
    <t>Borne de neutre. 35mm²500V/125A. connection à vis</t>
  </si>
  <si>
    <t>4.3774€</t>
  </si>
  <si>
    <t>KR350PE</t>
  </si>
  <si>
    <t>8.7419€</t>
  </si>
  <si>
    <t>KR700L</t>
  </si>
  <si>
    <t>Borne de phase.70mm².1000V/192A. connection à vis</t>
  </si>
  <si>
    <t>18.6147€</t>
  </si>
  <si>
    <t>KCN225</t>
  </si>
  <si>
    <t>Barre alimentation des interrupteurs diff. pour coffret 2 rangées entraxe 125mm</t>
  </si>
  <si>
    <t xml:space="preserve">HAHCCM05 </t>
  </si>
  <si>
    <t>CONNEXION HABITAT</t>
  </si>
  <si>
    <t>20.273€</t>
  </si>
  <si>
    <t>KM07E</t>
  </si>
  <si>
    <t>Borne en laiton, 4x10² 3x16², avec base de montage, Couleur: vert</t>
  </si>
  <si>
    <t>8.129€</t>
  </si>
  <si>
    <t>KM10C</t>
  </si>
  <si>
    <t>Borne en laiton, 5x10mm² - 5x16mm², sans base de montage</t>
  </si>
  <si>
    <t>9.02€</t>
  </si>
  <si>
    <t>KN00A</t>
  </si>
  <si>
    <t>Support universel pour borniers sanvis</t>
  </si>
  <si>
    <t>2.1285€</t>
  </si>
  <si>
    <t>KN06P</t>
  </si>
  <si>
    <t>Bornier phase sanvis 5x4mm2 + 1x25mm2</t>
  </si>
  <si>
    <t>8.459€</t>
  </si>
  <si>
    <t>KN22P</t>
  </si>
  <si>
    <t>Bornier phase sanvis 17x4mm2 + 5x25mm2</t>
  </si>
  <si>
    <t>21.9835€</t>
  </si>
  <si>
    <t>KB163P</t>
  </si>
  <si>
    <t>Barre de pontage 1P 63A languette 10mm² marron 13M</t>
  </si>
  <si>
    <t>5.3€</t>
  </si>
  <si>
    <t>KC616</t>
  </si>
  <si>
    <t>Jeu 2 conducteurs 16 mm² bleu + noir, longueur 650 mm</t>
  </si>
  <si>
    <t>18.018€</t>
  </si>
  <si>
    <t>KF83A</t>
  </si>
  <si>
    <t>5.456€</t>
  </si>
  <si>
    <t>KM04L</t>
  </si>
  <si>
    <t>Borne en laiton, 2x10²/2x16², avec base de montage, Couleur: brun</t>
  </si>
  <si>
    <t>6.9685€</t>
  </si>
  <si>
    <t>KM10B</t>
  </si>
  <si>
    <t>Borne en laiton, 5x10² 5x16², avec base de montage, Couleur: vert</t>
  </si>
  <si>
    <t>8.9705€</t>
  </si>
  <si>
    <t>KM25N</t>
  </si>
  <si>
    <t>Borne en laiton, 1x25² 13x10² 11x16², avec base de montage, Couleur: bleu</t>
  </si>
  <si>
    <t>24.2715€</t>
  </si>
  <si>
    <t>KN14N</t>
  </si>
  <si>
    <t>Bornier neutre sanvis 11x4mm2 + 3x25mm2</t>
  </si>
  <si>
    <t>10.9175€</t>
  </si>
  <si>
    <t>KN22N</t>
  </si>
  <si>
    <t>Bornier neutre sanvis 17x4mm2 + 5x25mm2</t>
  </si>
  <si>
    <t>KB163N</t>
  </si>
  <si>
    <t>Barre de pontage 1P 63A languette 10mm² bleu 13M</t>
  </si>
  <si>
    <t>KC416</t>
  </si>
  <si>
    <t>Jeu 2 conducteurs 16 mm² bleu + noir, longueur 450 mm</t>
  </si>
  <si>
    <t>12.485€</t>
  </si>
  <si>
    <t>KF82A</t>
  </si>
  <si>
    <t>Borne de raccordement 1P languette 2 câbles 16mm²</t>
  </si>
  <si>
    <t>5.6815€</t>
  </si>
  <si>
    <t>KM11L</t>
  </si>
  <si>
    <t>Barrette phases 5X16+6X10mm</t>
  </si>
  <si>
    <t>10.3895€</t>
  </si>
  <si>
    <t>KM25E</t>
  </si>
  <si>
    <t>Borne en laiton, 1x25² 13x10² 11x16², avec base de montage, Couleur: vert</t>
  </si>
  <si>
    <t>46.26€</t>
  </si>
  <si>
    <t>24.1725€</t>
  </si>
  <si>
    <t>KN14E</t>
  </si>
  <si>
    <t>Bornier terre sanvis 11x4mm2 + 3x25mm2</t>
  </si>
  <si>
    <t>KN22E</t>
  </si>
  <si>
    <t>Bornier terre sanvis 17x4mm2 + 5x25mm2</t>
  </si>
  <si>
    <t>KZ014</t>
  </si>
  <si>
    <t>Socle de montage pour bornes en laiton, Couleur: brun</t>
  </si>
  <si>
    <t>4.235€</t>
  </si>
  <si>
    <t>KF81A</t>
  </si>
  <si>
    <t>Borne de raccordement 1P languette 1 câble 25mm²</t>
  </si>
  <si>
    <t>5.269€</t>
  </si>
  <si>
    <t>KM11E</t>
  </si>
  <si>
    <t>10.307€</t>
  </si>
  <si>
    <t>KM17N</t>
  </si>
  <si>
    <t>Borne en laiton, 1x25² 8x10² 8x16², avec base de montage, Couleur: bleu</t>
  </si>
  <si>
    <t>18.1555€</t>
  </si>
  <si>
    <t>KN10P</t>
  </si>
  <si>
    <t>Bornier phase sanvis 8x4mm2 + 2x25mm2</t>
  </si>
  <si>
    <t>17.76€</t>
  </si>
  <si>
    <t>9.2785€</t>
  </si>
  <si>
    <t>KN99N</t>
  </si>
  <si>
    <t>10 cavalier pont bornier sanvis neutre</t>
  </si>
  <si>
    <t>18.1335€</t>
  </si>
  <si>
    <t>KM11B</t>
  </si>
  <si>
    <t>Borne en laiton, 1x25² 5x10² 5x16², avec base de montage, Couleur: vert</t>
  </si>
  <si>
    <t>19.47€</t>
  </si>
  <si>
    <t>10.175€</t>
  </si>
  <si>
    <t>KN06N</t>
  </si>
  <si>
    <t>Bornier neutre sanvis 5x4mm2 + 1x25mm2</t>
  </si>
  <si>
    <t>KN10N</t>
  </si>
  <si>
    <t>Bornier neutre sanvis 8x4mm2 + 2x25mm2</t>
  </si>
  <si>
    <t>KN99E</t>
  </si>
  <si>
    <t>10 cavalier pont bornier sanvis terre</t>
  </si>
  <si>
    <t>KF84A</t>
  </si>
  <si>
    <t>Borne de raccordement 1P fourche 1 câble 25mm²</t>
  </si>
  <si>
    <t>5.753€</t>
  </si>
  <si>
    <t>KM10A</t>
  </si>
  <si>
    <t>Borne en laiton, 5x10² 5x16², avec base de montage, Couleur: bleu</t>
  </si>
  <si>
    <t>8.965€</t>
  </si>
  <si>
    <t>KM10N</t>
  </si>
  <si>
    <t>Borne en laiton, 8x10² 2x16², avec base de montage, Couleur: bleu</t>
  </si>
  <si>
    <t>18.6945€</t>
  </si>
  <si>
    <t>KN06E</t>
  </si>
  <si>
    <t>Bornier terre sanvis 5x4mm2 + 1x25mm2</t>
  </si>
  <si>
    <t>KN26P</t>
  </si>
  <si>
    <t>Bornier phase sanvis 20x4mm2 + 6x25mm2</t>
  </si>
  <si>
    <t>25.069€</t>
  </si>
  <si>
    <t>KC025</t>
  </si>
  <si>
    <t>Jeu 2 conducteurs 25 mm² (bleu + noir) longueur 450 mm</t>
  </si>
  <si>
    <t>32.109€</t>
  </si>
  <si>
    <t>KM08L</t>
  </si>
  <si>
    <t>Borne en laiton, 4x10² 4x16², avec base de montage, Couleur: brun</t>
  </si>
  <si>
    <t>11.088€</t>
  </si>
  <si>
    <t>KM17E</t>
  </si>
  <si>
    <t>Borne en laiton, 1x25² 8x10² 8x16², avec base de montage, Couleur: vert</t>
  </si>
  <si>
    <t>18.1005€</t>
  </si>
  <si>
    <t>KN04P</t>
  </si>
  <si>
    <t>Bornier arrivee phase a cage 4x16mm2</t>
  </si>
  <si>
    <t>8.6735€</t>
  </si>
  <si>
    <t>KN18P</t>
  </si>
  <si>
    <t>Bornier phase sanvis 14x4mm2 + 4x25mm2</t>
  </si>
  <si>
    <t>18.876€</t>
  </si>
  <si>
    <t>KN26N</t>
  </si>
  <si>
    <t>Bornier neutre sanvis 20x4mm2 + 6x25mm2</t>
  </si>
  <si>
    <t>KZ013</t>
  </si>
  <si>
    <t>Socle de montage pour bornes en laiton, Couleur: vert</t>
  </si>
  <si>
    <t>KBS763</t>
  </si>
  <si>
    <t>Barres de pontage pour système SanVis</t>
  </si>
  <si>
    <t>12.8315€</t>
  </si>
  <si>
    <t>KCN425</t>
  </si>
  <si>
    <t>Barre alimentation des interrupteurs diff. pour coffret 4 rangées entraxe 125mm</t>
  </si>
  <si>
    <t>42.053€</t>
  </si>
  <si>
    <t>KM07N</t>
  </si>
  <si>
    <t>Borne en laiton, 4x10² 3x16², avec base de montage, Couleur: bleu</t>
  </si>
  <si>
    <t>8.162€</t>
  </si>
  <si>
    <t>KM13N</t>
  </si>
  <si>
    <t>Borne en laiton, 7x10² 6x16², avec base de montage, Couleur: bleu</t>
  </si>
  <si>
    <t>10.4775€</t>
  </si>
  <si>
    <t>KN04N</t>
  </si>
  <si>
    <t>Bornier arrivee neutre a cage 4x16mm2</t>
  </si>
  <si>
    <t>KN18N</t>
  </si>
  <si>
    <t>Bornier neutre sanvis 14x4mm2 + 4x25mm2</t>
  </si>
  <si>
    <t>KZ012</t>
  </si>
  <si>
    <t>Socle de montage pour bornes en laiton, Couleur:  bleu</t>
  </si>
  <si>
    <t>8.05€</t>
  </si>
  <si>
    <t>4.2075€</t>
  </si>
  <si>
    <t>KF83B</t>
  </si>
  <si>
    <t>Borne de raccordement 1P languette 2x25mm²</t>
  </si>
  <si>
    <t>9.5535€</t>
  </si>
  <si>
    <t>KM07L</t>
  </si>
  <si>
    <t>Borne en laiton, 4x10² 3x16², avec base de montage, Couleur: brun</t>
  </si>
  <si>
    <t>8.2115€</t>
  </si>
  <si>
    <t>KM13E</t>
  </si>
  <si>
    <t>Borne en laiton, 7x10² 6x16², avec base de montage, Couleur: vert</t>
  </si>
  <si>
    <t>10.461€</t>
  </si>
  <si>
    <t>KN10E</t>
  </si>
  <si>
    <t>Bornier terre sanvis 8x4mm2 + 2x25mm2</t>
  </si>
  <si>
    <t>KN18E</t>
  </si>
  <si>
    <t>Bornier terre sanvis 14x4mm2 + 4x25mm2</t>
  </si>
  <si>
    <t>KZ062</t>
  </si>
  <si>
    <t>Vis taraudeuse 3,5x12,0 +/- PZ1, pour la fixation du borne en laiton</t>
  </si>
  <si>
    <t>4.5925€</t>
  </si>
  <si>
    <t>KM10L</t>
  </si>
  <si>
    <t>Barrette phases 2X16+6X10</t>
  </si>
  <si>
    <t>19.173€</t>
  </si>
  <si>
    <t>KM11N</t>
  </si>
  <si>
    <t>10.3345€</t>
  </si>
  <si>
    <t>KN14P</t>
  </si>
  <si>
    <t>Bornier phase sanvis 11x4mm2 + 3x25mm2</t>
  </si>
  <si>
    <t>KZ061</t>
  </si>
  <si>
    <t>Ressort à clips pour barrettes</t>
  </si>
  <si>
    <t>2.673€</t>
  </si>
  <si>
    <t>KCN325</t>
  </si>
  <si>
    <t>Barre alimentation des interrupteurs diff. pour coffret 3 rangées entraxe 125mm</t>
  </si>
  <si>
    <t>28.721€</t>
  </si>
  <si>
    <t>KM10E</t>
  </si>
  <si>
    <t>Borne en laiton, 8x10² 2x16², avec base de montage, Couleur: vert</t>
  </si>
  <si>
    <t>18.865€</t>
  </si>
  <si>
    <t>KN26E</t>
  </si>
  <si>
    <t>Bornier terre sanvis 20x4mm2 + 6x25mm2</t>
  </si>
  <si>
    <t>KN99P</t>
  </si>
  <si>
    <t>10 cavalier pont bornier sanvis phase</t>
  </si>
  <si>
    <t>KB163PG</t>
  </si>
  <si>
    <t>Barre de pontage 1P 63A languette 10mm² marron 18M</t>
  </si>
  <si>
    <t>7.491€</t>
  </si>
  <si>
    <t>KB163NG</t>
  </si>
  <si>
    <t>Barre de pontage 1P 63A languette 10mm² bleu 18M</t>
  </si>
  <si>
    <t>KBS763G</t>
  </si>
  <si>
    <t>Barres de pontage pour système SanVis 18mod</t>
  </si>
  <si>
    <t>14.872€</t>
  </si>
  <si>
    <t>KC816</t>
  </si>
  <si>
    <t>Jeu 2 conducteurs 16 mm² bleu + noir longueur 800mm</t>
  </si>
  <si>
    <t>22.1485€</t>
  </si>
  <si>
    <t>LS604</t>
  </si>
  <si>
    <t>Coupe circuit 3P+N 50A 690V L51 accessoriable 6 modules</t>
  </si>
  <si>
    <t xml:space="preserve">HATPAM03 </t>
  </si>
  <si>
    <t>AUX DISJ+INTER+C/C</t>
  </si>
  <si>
    <t>64.7064€</t>
  </si>
  <si>
    <t>MZ521N</t>
  </si>
  <si>
    <t>Coffret saillie IP55 disjoncteur moteur</t>
  </si>
  <si>
    <t>29.6227€</t>
  </si>
  <si>
    <t>SA440</t>
  </si>
  <si>
    <t>Interrupteur à déclenchement libre 4P 40A</t>
  </si>
  <si>
    <t>108.4847€</t>
  </si>
  <si>
    <t>L95200</t>
  </si>
  <si>
    <t>Porte-fusible combiné 1P+N 20A 380V L38 2M avec cartouche</t>
  </si>
  <si>
    <t>50.2412€</t>
  </si>
  <si>
    <t>LS603</t>
  </si>
  <si>
    <t>Coupe circuit 3P 50A 690V L51 accessoriable 4.5 modules</t>
  </si>
  <si>
    <t>48.6459€</t>
  </si>
  <si>
    <t>MZ203</t>
  </si>
  <si>
    <t>Bobine à émission 230-415V AC 110-130V DC</t>
  </si>
  <si>
    <t>60.9224€</t>
  </si>
  <si>
    <t>MZ520N</t>
  </si>
  <si>
    <t>Contacteur auxiliaire pr disj moteur 10+1F</t>
  </si>
  <si>
    <t>16.1809€</t>
  </si>
  <si>
    <t>MZN175</t>
  </si>
  <si>
    <t>Kit de verrouillage manette plombable pour disjoncteur - inter dif - disj dif</t>
  </si>
  <si>
    <t>11.9841€</t>
  </si>
  <si>
    <t>SA280</t>
  </si>
  <si>
    <t>Interrupteur à déclenchement libre 2P 80A</t>
  </si>
  <si>
    <t>189.7762€</t>
  </si>
  <si>
    <t>L95100</t>
  </si>
  <si>
    <t>Porte-fusible combiné 1P 20A 380V L38 1M avec cartouche</t>
  </si>
  <si>
    <t>31.5792€</t>
  </si>
  <si>
    <t>LS702</t>
  </si>
  <si>
    <t>Coupe circuit 2P 125A 690V L58 accessoriable 4 modules</t>
  </si>
  <si>
    <t>47.6096€</t>
  </si>
  <si>
    <t>LZ060</t>
  </si>
  <si>
    <t>Intercalaire de dissipation pour télévariateurs</t>
  </si>
  <si>
    <t>4.2355€</t>
  </si>
  <si>
    <t>MZ202</t>
  </si>
  <si>
    <t>Contact signal défaut 10+1F 230V AC</t>
  </si>
  <si>
    <t>40.0072€</t>
  </si>
  <si>
    <t>LS701</t>
  </si>
  <si>
    <t>Coupe circuit 1P 125A L58 accessoriable 2 modules</t>
  </si>
  <si>
    <t>21.6763€</t>
  </si>
  <si>
    <t>LS771</t>
  </si>
  <si>
    <t>Microrupteur 3P pour coupe-circuit L58</t>
  </si>
  <si>
    <t>16.9721€</t>
  </si>
  <si>
    <t>MZ201</t>
  </si>
  <si>
    <t>Contact auxiliaire 10+1F 230V AC</t>
  </si>
  <si>
    <t>37.7024€</t>
  </si>
  <si>
    <t>MZ529N</t>
  </si>
  <si>
    <t>Bobine manque tension pour disjoncteur moteur 400V AC</t>
  </si>
  <si>
    <t>48.4524€</t>
  </si>
  <si>
    <t>L53201</t>
  </si>
  <si>
    <t>Coupe circuit 1P+N 32A 250V L31 voyant 1 module</t>
  </si>
  <si>
    <t>19.9649€</t>
  </si>
  <si>
    <t>LS672</t>
  </si>
  <si>
    <t>Voyant de signalisation 230V pour coupe-circuit L51 et L58</t>
  </si>
  <si>
    <t>7.7658€</t>
  </si>
  <si>
    <t>MZ528N</t>
  </si>
  <si>
    <t>Bobine manque tension pour disjoncteur moteur 230V AC</t>
  </si>
  <si>
    <t>48.8781€</t>
  </si>
  <si>
    <t>MZN131</t>
  </si>
  <si>
    <t>Jeu de 3 séparateurs de phase</t>
  </si>
  <si>
    <t>6.2264€</t>
  </si>
  <si>
    <t>SA263</t>
  </si>
  <si>
    <t>Interrupteur à déclenchement libre 2P 63A</t>
  </si>
  <si>
    <t>96.4318€</t>
  </si>
  <si>
    <t>L50600</t>
  </si>
  <si>
    <t>Coupe circuit 1P+N 32A 400V L38 1 module</t>
  </si>
  <si>
    <t>13.8245€</t>
  </si>
  <si>
    <t>LB026</t>
  </si>
  <si>
    <t>kit d'assemblage de coupe-circuit (pour 1 association)</t>
  </si>
  <si>
    <t>1.4319€</t>
  </si>
  <si>
    <t>LS602</t>
  </si>
  <si>
    <t>Coupe circuit 2P 50A 690V L51 accessoriable 3 modules</t>
  </si>
  <si>
    <t>34.357€</t>
  </si>
  <si>
    <t>LS671</t>
  </si>
  <si>
    <t>microrupteur 3p pour coupe-circuit L51</t>
  </si>
  <si>
    <t>MZ527N</t>
  </si>
  <si>
    <t>Contact signal défaut disj moteur 2F</t>
  </si>
  <si>
    <t>23.6414€</t>
  </si>
  <si>
    <t>MZN130</t>
  </si>
  <si>
    <t>Capot cache-bornes/cache - vis plombables</t>
  </si>
  <si>
    <t>12.1991€</t>
  </si>
  <si>
    <t>SA240</t>
  </si>
  <si>
    <t>Interrupteur à déclenchement libre 2P 40A</t>
  </si>
  <si>
    <t>48.2675€</t>
  </si>
  <si>
    <t>L43201</t>
  </si>
  <si>
    <t>Coupe circuit 1P+N 20A 250V L31 voyant 1 module</t>
  </si>
  <si>
    <t>19.5779€</t>
  </si>
  <si>
    <t>L96200</t>
  </si>
  <si>
    <t>Porte-fusible combiné 2P 20A 380V L38 2M avec cartouche</t>
  </si>
  <si>
    <t>55.7409€</t>
  </si>
  <si>
    <t>LS601</t>
  </si>
  <si>
    <t>Coupe circuit 1P 50A 690V L51 accessoriable 1.5 modules</t>
  </si>
  <si>
    <t>15.6305€</t>
  </si>
  <si>
    <t>LS770</t>
  </si>
  <si>
    <t>Microrupteur 1P pour coupe-circuit L58</t>
  </si>
  <si>
    <t>MZ206</t>
  </si>
  <si>
    <t>Bobine manque tension 230V AC</t>
  </si>
  <si>
    <t>64.2764€</t>
  </si>
  <si>
    <t>MZN121</t>
  </si>
  <si>
    <t>Jeu de 3 séparateurs de phase pour disjoncteur</t>
  </si>
  <si>
    <t>6.106€</t>
  </si>
  <si>
    <t>L40600</t>
  </si>
  <si>
    <t>Coupe circuit 1P+N 20A 250V L31  1 module</t>
  </si>
  <si>
    <t>29.46€</t>
  </si>
  <si>
    <t>12.2894€</t>
  </si>
  <si>
    <t>L95400</t>
  </si>
  <si>
    <t>Porte-fusible combiné 3P+N 20A 380V L38 4M avec cartouche</t>
  </si>
  <si>
    <t>107.156€</t>
  </si>
  <si>
    <t>LS712</t>
  </si>
  <si>
    <t>Coupe circuit 1P+N 125A 690V L58 accessoriable 4 modules</t>
  </si>
  <si>
    <t>48.9426€</t>
  </si>
  <si>
    <t>MZN120</t>
  </si>
  <si>
    <t>Cache-borne cache-vis plombables pour disjoncteur</t>
  </si>
  <si>
    <t>12.0056€</t>
  </si>
  <si>
    <t>L95300</t>
  </si>
  <si>
    <t>Porte-fusible combiné 3P 20A 380V L38 3M avec cartouche</t>
  </si>
  <si>
    <t>91.5427€</t>
  </si>
  <si>
    <t>LS704</t>
  </si>
  <si>
    <t>Coupe circuit 3P+N 125A 690V L58 accessoriable 8 modules</t>
  </si>
  <si>
    <t>89.4959€</t>
  </si>
  <si>
    <t>MZ204</t>
  </si>
  <si>
    <t>Bobine à émission 12-48V DC</t>
  </si>
  <si>
    <t>65.5793€</t>
  </si>
  <si>
    <t>LS670</t>
  </si>
  <si>
    <t>Microrupteur 1P pour coupe-circuit L51</t>
  </si>
  <si>
    <t>15.7337€</t>
  </si>
  <si>
    <t>LS703</t>
  </si>
  <si>
    <t>Coupe circuit 3P 125A 690V L58 accessoriable 6 modules</t>
  </si>
  <si>
    <t>67.8282€</t>
  </si>
  <si>
    <t>MZ523N</t>
  </si>
  <si>
    <t>Bobine à émission pour disjoncteur moteur 230V AC</t>
  </si>
  <si>
    <t>44.6469€</t>
  </si>
  <si>
    <t>MZ531N</t>
  </si>
  <si>
    <t>Bouton arrêt d'urgence déporté coup de poing à clé</t>
  </si>
  <si>
    <t>91.3105€</t>
  </si>
  <si>
    <t>SA480</t>
  </si>
  <si>
    <t>Interrupteur à déclenchement libre 4P 80A</t>
  </si>
  <si>
    <t>280.1837€</t>
  </si>
  <si>
    <t>L06800</t>
  </si>
  <si>
    <t>Rehausse 10mm 4M</t>
  </si>
  <si>
    <t>5.1428€</t>
  </si>
  <si>
    <t>LS612</t>
  </si>
  <si>
    <t>Coupe circuit 1P+N 50A 690V L51 accessoriable 3 modules</t>
  </si>
  <si>
    <t>84.93€</t>
  </si>
  <si>
    <t>35.4234€</t>
  </si>
  <si>
    <t>MZ522N</t>
  </si>
  <si>
    <t>Contacteur auxiliaire face av disj moteur 1F</t>
  </si>
  <si>
    <t>13.9664€</t>
  </si>
  <si>
    <t>MZ530N</t>
  </si>
  <si>
    <t>Bouton arrêt d'urgence déporté type coup de poing</t>
  </si>
  <si>
    <t>77.2667€</t>
  </si>
  <si>
    <t>SA463</t>
  </si>
  <si>
    <t>Interrupteur à déclenchement libre 4P 63A</t>
  </si>
  <si>
    <t>204.7488€</t>
  </si>
  <si>
    <t>LF303PV</t>
  </si>
  <si>
    <t>Cartouche fusible PV 10x38 mm 1000V DC 3A</t>
  </si>
  <si>
    <t>9.2708€</t>
  </si>
  <si>
    <t>LF312M</t>
  </si>
  <si>
    <t>Cartouche fusible industrielle 10x38 aM 12A</t>
  </si>
  <si>
    <t>LF320G</t>
  </si>
  <si>
    <t>Cartouche fusible industrielle 10x38 gG 20A</t>
  </si>
  <si>
    <t>1.6254€</t>
  </si>
  <si>
    <t>LF410G</t>
  </si>
  <si>
    <t>Cartouche fusible industrielle 14x51 gG 10A</t>
  </si>
  <si>
    <t>6.27€</t>
  </si>
  <si>
    <t>2.6144€</t>
  </si>
  <si>
    <t>LF420G</t>
  </si>
  <si>
    <t>Cartouche fusible industrielle 14x51 gG 20A</t>
  </si>
  <si>
    <t>2.6789€</t>
  </si>
  <si>
    <t>LF520M</t>
  </si>
  <si>
    <t>Cartouche fusible industrielle 22x58 aM 20A</t>
  </si>
  <si>
    <t>4.6096€</t>
  </si>
  <si>
    <t>LF590M</t>
  </si>
  <si>
    <t>Cartouche fusible industrielle 22x58 aM 100A</t>
  </si>
  <si>
    <t>5.6932€</t>
  </si>
  <si>
    <t>LF300M</t>
  </si>
  <si>
    <t>Cartouche fusible industrielle 10x38 aM 0.5A</t>
  </si>
  <si>
    <t>3.6765€</t>
  </si>
  <si>
    <t>LF302PV</t>
  </si>
  <si>
    <t>Cartouche fusible PV 10x38 mm 1000V DC 2A</t>
  </si>
  <si>
    <t>LF312G</t>
  </si>
  <si>
    <t>Cartouche fusible industrielle 10x38 gG 12A</t>
  </si>
  <si>
    <t>LF408M</t>
  </si>
  <si>
    <t>Cartouche fusible industrielle 14x51 aM 8A</t>
  </si>
  <si>
    <t>2.6058€</t>
  </si>
  <si>
    <t>LF440M</t>
  </si>
  <si>
    <t>Cartouche fusible industrielle 14x51 aM 40A</t>
  </si>
  <si>
    <t>LF520G</t>
  </si>
  <si>
    <t>Cartouche fusible industrielle 22x58 gG 20A</t>
  </si>
  <si>
    <t>4.6225€</t>
  </si>
  <si>
    <t>LF590G</t>
  </si>
  <si>
    <t>Cartouche fusible industrielle 22x58 gG 100A</t>
  </si>
  <si>
    <t>13.64€</t>
  </si>
  <si>
    <t>5.6889€</t>
  </si>
  <si>
    <t>LF300G</t>
  </si>
  <si>
    <t>Cartouche fusible industrielle 10x38 gG 0.5A</t>
  </si>
  <si>
    <t>5.4954€</t>
  </si>
  <si>
    <t>LF306PV</t>
  </si>
  <si>
    <t>Cartouche fusible PV 10x38 mm 1000V DC 6A</t>
  </si>
  <si>
    <t>8.9526€</t>
  </si>
  <si>
    <t>LF310PV</t>
  </si>
  <si>
    <t>Cartouche fusible PV 10x38 mm 1000V DC 10A</t>
  </si>
  <si>
    <t>8.9569€</t>
  </si>
  <si>
    <t>LF402M</t>
  </si>
  <si>
    <t>Cartouche fusible industrielle 14x51 aM 2A</t>
  </si>
  <si>
    <t>2.6703€</t>
  </si>
  <si>
    <t>LF408G</t>
  </si>
  <si>
    <t>Cartouche fusible industrielle 14x51 gG 8A</t>
  </si>
  <si>
    <t>2.6101€</t>
  </si>
  <si>
    <t>LF440G</t>
  </si>
  <si>
    <t>Cartouche fusible industrielle 14x51 gG 40A</t>
  </si>
  <si>
    <t>2.6875€</t>
  </si>
  <si>
    <t>LF580M</t>
  </si>
  <si>
    <t>Cartouche fusible industrielle 22x58 aM 50A</t>
  </si>
  <si>
    <t>5.418€</t>
  </si>
  <si>
    <t>LF306M</t>
  </si>
  <si>
    <t>Cartouche fusible industrielle 10x38 aM 6A</t>
  </si>
  <si>
    <t>1.5781€</t>
  </si>
  <si>
    <t>LF310M</t>
  </si>
  <si>
    <t>Cartouche fusible industrielle 10x38 aM 10A</t>
  </si>
  <si>
    <t>LF402G</t>
  </si>
  <si>
    <t>Cartouche fusible industrielle 14x51 gG 2A</t>
  </si>
  <si>
    <t>LF416M</t>
  </si>
  <si>
    <t>Cartouche fusible industrielle 14x51 aM 16A</t>
  </si>
  <si>
    <t>LF432M</t>
  </si>
  <si>
    <t>Cartouche fusible industrielle 14x51 aM 32A</t>
  </si>
  <si>
    <t>LF540M</t>
  </si>
  <si>
    <t>Cartouche fusible industrielle 22x58 aM 40A</t>
  </si>
  <si>
    <t>4.6139€</t>
  </si>
  <si>
    <t>LF580G</t>
  </si>
  <si>
    <t>Cartouche fusible industrielle 22x58 gG 80A</t>
  </si>
  <si>
    <t>5.4223€</t>
  </si>
  <si>
    <t>LF306G</t>
  </si>
  <si>
    <t>Cartouche fusible industrielle 10x38 gG 6A</t>
  </si>
  <si>
    <t>1.5824€</t>
  </si>
  <si>
    <t>LF316PV</t>
  </si>
  <si>
    <t>Cartouche fusible PV 10x38 mm 1000V DC 16A</t>
  </si>
  <si>
    <t>LF332G</t>
  </si>
  <si>
    <t>Cartouche fusible industrielle 10x38 gG 32A</t>
  </si>
  <si>
    <t>LF416G</t>
  </si>
  <si>
    <t>Cartouche fusible industrielle 14x51 gG 16A</t>
  </si>
  <si>
    <t>2.6832€</t>
  </si>
  <si>
    <t>LF432G</t>
  </si>
  <si>
    <t>Cartouche fusible industrielle 14x51 gG 32A</t>
  </si>
  <si>
    <t>LF540G</t>
  </si>
  <si>
    <t>Cartouche fusible industrielle 22x58 gG 40A</t>
  </si>
  <si>
    <t>4.6354€</t>
  </si>
  <si>
    <t>LF302M</t>
  </si>
  <si>
    <t>Cartouche fusible industrielle 10x38 aM 2A</t>
  </si>
  <si>
    <t>LF304PV</t>
  </si>
  <si>
    <t>Cartouche fusible PV 10x38 mm 1000V DC 4A</t>
  </si>
  <si>
    <t>LF316M</t>
  </si>
  <si>
    <t>Cartouche fusible industrielle 10x38 aM 16A</t>
  </si>
  <si>
    <t>1.6125€</t>
  </si>
  <si>
    <t>LF325M</t>
  </si>
  <si>
    <t>Cartouche fusible industrielle 10x38 aM 25A</t>
  </si>
  <si>
    <t>1.7372€</t>
  </si>
  <si>
    <t>LF516M</t>
  </si>
  <si>
    <t>Cartouche fusible industrielle 22x58 aM 16A</t>
  </si>
  <si>
    <t>LF532M</t>
  </si>
  <si>
    <t>Cartouche fusible industrielle 22x58 aM 32A</t>
  </si>
  <si>
    <t>LF302G</t>
  </si>
  <si>
    <t>Cartouche fusible industrielle 10x38 gG 2A</t>
  </si>
  <si>
    <t>LF316G</t>
  </si>
  <si>
    <t>Cartouche fusible industrielle 10x38 gG 16A</t>
  </si>
  <si>
    <t>LF406M</t>
  </si>
  <si>
    <t>Cartouche fusible industrielle 14x51 aM 6A</t>
  </si>
  <si>
    <t>LF412G</t>
  </si>
  <si>
    <t>Cartouche fusible industrielle 14x51 gG 12A</t>
  </si>
  <si>
    <t>LF516G</t>
  </si>
  <si>
    <t>Cartouche fusible industrielle 22x58 gG 16A</t>
  </si>
  <si>
    <t>LF532G</t>
  </si>
  <si>
    <t>Cartouche fusible industrielle 22x58 gG 32A</t>
  </si>
  <si>
    <t>LF599M</t>
  </si>
  <si>
    <t>Cartouche fusible industrielle 22x58 aM 125A</t>
  </si>
  <si>
    <t>L502PV</t>
  </si>
  <si>
    <t>Coupe circuit 2P 1000V DC L38 2 modules</t>
  </si>
  <si>
    <t>58.5187€</t>
  </si>
  <si>
    <t>LF301M</t>
  </si>
  <si>
    <t>Cartouche fusible industrielle 10x38 aM 1A</t>
  </si>
  <si>
    <t>1.8232€</t>
  </si>
  <si>
    <t>LF310G</t>
  </si>
  <si>
    <t>Cartouche fusible industrielle 10x38 gG 10A</t>
  </si>
  <si>
    <t>LF312PV</t>
  </si>
  <si>
    <t>Cartouche fusible PV 10x38 mm 1000V DC 12A</t>
  </si>
  <si>
    <t>LF406G</t>
  </si>
  <si>
    <t>Cartouche fusible industrielle 14x51 gG 6A</t>
  </si>
  <si>
    <t>LF450M</t>
  </si>
  <si>
    <t>Cartouche fusible industrielle 14x51 aM 50A</t>
  </si>
  <si>
    <t>LF563M</t>
  </si>
  <si>
    <t>Cartouche fusible industrielle 22x58 aM 63A</t>
  </si>
  <si>
    <t>LF599G</t>
  </si>
  <si>
    <t>Cartouche fusible industrielle 22x58 gG 125A</t>
  </si>
  <si>
    <t>L501PV</t>
  </si>
  <si>
    <t>Coupe circuit 1P 1000V DC L38 1 module</t>
  </si>
  <si>
    <t>28.2209€</t>
  </si>
  <si>
    <t>LF301G</t>
  </si>
  <si>
    <t>Cartouche fusible industrielle 10x38 gG 1A</t>
  </si>
  <si>
    <t>1.8361€</t>
  </si>
  <si>
    <t>LF308PV</t>
  </si>
  <si>
    <t>Cartouche fusible PV 10x38 mm 1000V DC 8A</t>
  </si>
  <si>
    <t>LF325G</t>
  </si>
  <si>
    <t>Cartouche fusible industrielle 10x38 gG 25A</t>
  </si>
  <si>
    <t>LF404M</t>
  </si>
  <si>
    <t>Cartouche fusible industrielle 14x51 aM 4A</t>
  </si>
  <si>
    <t>LF425M</t>
  </si>
  <si>
    <t>Cartouche fusible industrielle 14x51 aM 25A</t>
  </si>
  <si>
    <t>2.8294€</t>
  </si>
  <si>
    <t>LF450G</t>
  </si>
  <si>
    <t>Cartouche fusible industrielle 14x51 gG 50A</t>
  </si>
  <si>
    <t>LF563G</t>
  </si>
  <si>
    <t>Cartouche fusible industrielle 22x58 gG 63A</t>
  </si>
  <si>
    <t>LF304M</t>
  </si>
  <si>
    <t>Cartouche fusible industrielle 10x38 aM 4A</t>
  </si>
  <si>
    <t>LF308M</t>
  </si>
  <si>
    <t>Cartouche fusible industrielle 10x38 aM 8A</t>
  </si>
  <si>
    <t>LF320PV</t>
  </si>
  <si>
    <t>Cartouche fusible PV 10x38 mm 1000V DC 20A</t>
  </si>
  <si>
    <t>LF404G</t>
  </si>
  <si>
    <t>Cartouche fusible industrielle 14x51 gG 4A</t>
  </si>
  <si>
    <t>LF425G</t>
  </si>
  <si>
    <t>Cartouche fusible industrielle 14x51 gG 25A</t>
  </si>
  <si>
    <t>2.8509€</t>
  </si>
  <si>
    <t>LF525M</t>
  </si>
  <si>
    <t>Cartouche fusible industrielle 22x58 aM 25A</t>
  </si>
  <si>
    <t>4.8977€</t>
  </si>
  <si>
    <t>LF550M</t>
  </si>
  <si>
    <t>LF304G</t>
  </si>
  <si>
    <t>Cartouche fusible industrielle 10x38 gG 4A</t>
  </si>
  <si>
    <t>LF308G</t>
  </si>
  <si>
    <t>Cartouche fusible industrielle 10x38 gG 8A</t>
  </si>
  <si>
    <t>LF320M</t>
  </si>
  <si>
    <t>Cartouche fusible industrielle 10x38 aM 20A</t>
  </si>
  <si>
    <t>LF410M</t>
  </si>
  <si>
    <t>Cartouche fusible industrielle 14x51 aM 10A</t>
  </si>
  <si>
    <t>LF420M</t>
  </si>
  <si>
    <t>Cartouche fusible industrielle 14x51 aM 20A</t>
  </si>
  <si>
    <t>LF525G</t>
  </si>
  <si>
    <t>Cartouche fusible industrielle 22x58 gG 25A</t>
  </si>
  <si>
    <t>4.9149€</t>
  </si>
  <si>
    <t>LF550G</t>
  </si>
  <si>
    <t>Cartouche fusible industrielle 22x58 gG 50A</t>
  </si>
  <si>
    <t>MZ212</t>
  </si>
  <si>
    <t>Bobine à seuil 230V AC</t>
  </si>
  <si>
    <t>180.1012€</t>
  </si>
  <si>
    <t>LSN401</t>
  </si>
  <si>
    <t>Coupe-circuit 1P 25A 400V L32 1M</t>
  </si>
  <si>
    <t>7.4992€</t>
  </si>
  <si>
    <t>LSN402</t>
  </si>
  <si>
    <t>Coupe-circuit 2P 25A 400V L32 2M</t>
  </si>
  <si>
    <t>16.4131€</t>
  </si>
  <si>
    <t>LSN403</t>
  </si>
  <si>
    <t>Coupe-circuit 3P 25A 400V L32 3M</t>
  </si>
  <si>
    <t>23.9166€</t>
  </si>
  <si>
    <t>LSN404</t>
  </si>
  <si>
    <t>Coupe-circuit 3P+N 25A 400V L32 4M</t>
  </si>
  <si>
    <t>31.4373€</t>
  </si>
  <si>
    <t>LSN412</t>
  </si>
  <si>
    <t>Coupe-circuit 1P+N 25A 400V L32 2M</t>
  </si>
  <si>
    <t>16.5937€</t>
  </si>
  <si>
    <t>LSN431</t>
  </si>
  <si>
    <t>Coupe-circuit 1P 25A 400V L32 1M voyant</t>
  </si>
  <si>
    <t>LSN501</t>
  </si>
  <si>
    <t>Coupe-circuit 1P 32A 690V L38 1M</t>
  </si>
  <si>
    <t>7.9034€</t>
  </si>
  <si>
    <t>LSN502</t>
  </si>
  <si>
    <t>Coupe-circuit 2P 32A 690V L38 2M</t>
  </si>
  <si>
    <t>17.2559€</t>
  </si>
  <si>
    <t>LSN503</t>
  </si>
  <si>
    <t>Coupe-circuit 3P 32A 690V L38 3M</t>
  </si>
  <si>
    <t>25.0088€</t>
  </si>
  <si>
    <t>LSN504</t>
  </si>
  <si>
    <t>Coupe-circuit 3P+N 32A 690V L38 4M</t>
  </si>
  <si>
    <t>33.1831€</t>
  </si>
  <si>
    <t>LSN509</t>
  </si>
  <si>
    <t>Coupe-circuit 1N 32A 690V L38 1M</t>
  </si>
  <si>
    <t>8.2001€</t>
  </si>
  <si>
    <t>LSN512</t>
  </si>
  <si>
    <t>Coupe-circuit 1P+N 32A 690V L38 2M</t>
  </si>
  <si>
    <t>16.1895€</t>
  </si>
  <si>
    <t>LSN531</t>
  </si>
  <si>
    <t>Coupe-circuit 1P 32A 690V L38 1M voyant</t>
  </si>
  <si>
    <t>12.6592€</t>
  </si>
  <si>
    <t>MFN702</t>
  </si>
  <si>
    <t>Disjoncteur 2A 1P+N 3kA courbe C connexion à vis 1 Module</t>
  </si>
  <si>
    <t xml:space="preserve">HAHPDM03 </t>
  </si>
  <si>
    <t>DISJONCTEUR PH+N 10-16-20</t>
  </si>
  <si>
    <t>13.8488€</t>
  </si>
  <si>
    <t>MFN732</t>
  </si>
  <si>
    <t>Disjoncteur 32A 1P+N 3kA courbe C connexion à vis 1 Module</t>
  </si>
  <si>
    <t>11.144€</t>
  </si>
  <si>
    <t>MFN725</t>
  </si>
  <si>
    <t>Disjoncteur 25A 1P+N 3kA courbe C connexion à vis 1 Module</t>
  </si>
  <si>
    <t>10.6008€</t>
  </si>
  <si>
    <t>MFN720</t>
  </si>
  <si>
    <t>Disjoncteur 20A 1P+N 3kA courbe C connexion à vis 1 Module</t>
  </si>
  <si>
    <t>7.8148€</t>
  </si>
  <si>
    <t>MFN716</t>
  </si>
  <si>
    <t>Disjoncteur 16A 1P+N 3kA courbe C connexion à vis 1 Module</t>
  </si>
  <si>
    <t>MFN710</t>
  </si>
  <si>
    <t>Disjoncteur 10A 1P+N 3kA courbe C connexion à vis 1 Module</t>
  </si>
  <si>
    <t>MFN706</t>
  </si>
  <si>
    <t>Disjoncteur 6A 1P+N 3kA courbe C connexion à vis 1 Module</t>
  </si>
  <si>
    <t>14.4732€</t>
  </si>
  <si>
    <t>MFS710</t>
  </si>
  <si>
    <t>Disjoncteur 1P+N 3kA C-10A connexion SanVis 1 Module</t>
  </si>
  <si>
    <t xml:space="preserve">HAHPSM03 </t>
  </si>
  <si>
    <t>DISJ.PH/N SANS VIS 10-16-20</t>
  </si>
  <si>
    <t>7.9296€</t>
  </si>
  <si>
    <t>MFS706</t>
  </si>
  <si>
    <t>Disjoncteur 1P+N 3kA C-6A connexion SanVis 1 Module</t>
  </si>
  <si>
    <t>14.6888€</t>
  </si>
  <si>
    <t>MFS702</t>
  </si>
  <si>
    <t>Disjoncteur 1P+N 3kA C-2A connexion SanVis 1 Module</t>
  </si>
  <si>
    <t>14.0476€</t>
  </si>
  <si>
    <t>MFS732</t>
  </si>
  <si>
    <t>Disjoncteur 1P+N 3kA C-32A connexion SanVis 1 Module</t>
  </si>
  <si>
    <t>11.3148€</t>
  </si>
  <si>
    <t>MFS725</t>
  </si>
  <si>
    <t>Disjoncteur 1P+N 3kA C-25A connexion SanVis 1 Module</t>
  </si>
  <si>
    <t>10.8612€</t>
  </si>
  <si>
    <t>MFS720</t>
  </si>
  <si>
    <t>Disjoncteur 1P+N 3kA C-20A connexion SanVis 1 Module</t>
  </si>
  <si>
    <t>MFS716</t>
  </si>
  <si>
    <t>Disjoncteur 1P+N 3kA C-16A connexion SanVis 1 Module</t>
  </si>
  <si>
    <t>MM507N</t>
  </si>
  <si>
    <t>Disjoncteur moteur 1.6-2.5A P = 0.37-0.75 kW AC3 230-400 V 2.5 M IEC 947</t>
  </si>
  <si>
    <t xml:space="preserve">HATPOM03 </t>
  </si>
  <si>
    <t>DISJ.MOTEURS</t>
  </si>
  <si>
    <t>98.9129€</t>
  </si>
  <si>
    <t>MM512N</t>
  </si>
  <si>
    <t>Disjoncteur moteur 16.0-20.0 A  P = 5.5-9 kW AC3 230-400 V 2.5 M IEC 947</t>
  </si>
  <si>
    <t>165.8897€</t>
  </si>
  <si>
    <t>MM506N</t>
  </si>
  <si>
    <t>Disjoncteur moteur 1.0-1.6 A P = 0.25-0.55 kW AC3 230-400 V 2.5 M IEC 947</t>
  </si>
  <si>
    <t>97.8895€</t>
  </si>
  <si>
    <t>MM505N</t>
  </si>
  <si>
    <t>Disjoncteur moteur 0.63-1.0 A  P = 0.12-0.25 kW AC3 230-400 V  2.5 M  IEC 947</t>
  </si>
  <si>
    <t>98.1088€</t>
  </si>
  <si>
    <t>MMN206</t>
  </si>
  <si>
    <t>Disjoncteur magnétique 2P 25kA 6.3A 2 modules</t>
  </si>
  <si>
    <t>166.6809€</t>
  </si>
  <si>
    <t>MM504N</t>
  </si>
  <si>
    <t>Disjoncteur moteur 0.4-0.63 A  P = 0.09-0.12 kW AC3 230-400 V  2.5 M  IEC 947</t>
  </si>
  <si>
    <t>96.6253€</t>
  </si>
  <si>
    <t>MMN310</t>
  </si>
  <si>
    <t>Disjoncteur magnétique 3P 25kA 10A 3 modules</t>
  </si>
  <si>
    <t>244.8463€</t>
  </si>
  <si>
    <t>MM511N</t>
  </si>
  <si>
    <t>Disjoncteur moteur 10.0-16.0 A P = 4-7.5 kW AC3 230-400 V 2.5 M IEC 947</t>
  </si>
  <si>
    <t>129.7267€</t>
  </si>
  <si>
    <t>MMN306</t>
  </si>
  <si>
    <t>Disjoncteur magnétique 3P 25kA 6.3A 3 modules</t>
  </si>
  <si>
    <t>244.8721€</t>
  </si>
  <si>
    <t>MM510N</t>
  </si>
  <si>
    <t>Disjoncteur moteur 6.3-10.0 A P = 2.2-4 kW AC3 230-400 V 2.5 M IEC 947</t>
  </si>
  <si>
    <t>111.671€</t>
  </si>
  <si>
    <t>MM509N</t>
  </si>
  <si>
    <t>Disjoncteur moteur 4.0-6.3 A P = 1.1-2.2 kW AC3 230-400 V 2.5 M IEC 947</t>
  </si>
  <si>
    <t>MMN220</t>
  </si>
  <si>
    <t>Disjoncteur magnétique 2P 20kA 20A 2 modules</t>
  </si>
  <si>
    <t>175.5217€</t>
  </si>
  <si>
    <t>MM503N</t>
  </si>
  <si>
    <t>Disjoncteur moteur 0.25-0.4 A P = 0.06-0.09 kW AC3 230-400 V 2.5 M IEC 947</t>
  </si>
  <si>
    <t>92.1705€</t>
  </si>
  <si>
    <t>MM508N</t>
  </si>
  <si>
    <t>Disjoncteur moteur 2.5-4.0 A P = 0.75-1.5 kW AC3 230-400 V 2.5 M IEC 947</t>
  </si>
  <si>
    <t>98.9086€</t>
  </si>
  <si>
    <t>MMN216</t>
  </si>
  <si>
    <t>Disjoncteur magnétique 2P 20kA 16A 2 modules</t>
  </si>
  <si>
    <t>166.6637€</t>
  </si>
  <si>
    <t>MM502N</t>
  </si>
  <si>
    <t>Disjoncteur moteur 0.16-0.25 A P = 0.06 kW AC3 400 V 2.5 M IEC 947</t>
  </si>
  <si>
    <t>90.3301€</t>
  </si>
  <si>
    <t>MM501N</t>
  </si>
  <si>
    <t>Disjoncteur moteur 0.1-0.16 A 2.5 M IEC 947</t>
  </si>
  <si>
    <t>MMN210</t>
  </si>
  <si>
    <t>Disjoncteur magnétique 2P 25kA 10A 2 modules</t>
  </si>
  <si>
    <t>166.6981€</t>
  </si>
  <si>
    <t>MMN320</t>
  </si>
  <si>
    <t>Disjoncteur magnétique 3P 20kA 20A 3 modules</t>
  </si>
  <si>
    <t>257.4668€</t>
  </si>
  <si>
    <t>MM513N</t>
  </si>
  <si>
    <t>Disjoncteur moteur 20.0-25.0 A P = 5.5-12.5 kW AC3 230-400 V 2.5 M IEC 947</t>
  </si>
  <si>
    <t>168.0397€</t>
  </si>
  <si>
    <t>MMN316</t>
  </si>
  <si>
    <t>Disjoncteur magnétique 3P 20kA 16A 3 modules</t>
  </si>
  <si>
    <t>244.8248€</t>
  </si>
  <si>
    <t>MMN232</t>
  </si>
  <si>
    <t>Disjoncteur magnétique 2P 20kA 32A 400V access. indicateur IEC 947-2</t>
  </si>
  <si>
    <t>170.3703€</t>
  </si>
  <si>
    <t>MMN263</t>
  </si>
  <si>
    <t>Disjoncteur magnétique 2P 15kA 63A 400V access. indicateur IEC 947-2</t>
  </si>
  <si>
    <t>244.7474€</t>
  </si>
  <si>
    <t>MMN332</t>
  </si>
  <si>
    <t>Disjoncteur magnétique 3P 20kA 32A 400V access. indicateur IEC 947-2</t>
  </si>
  <si>
    <t>249.9289€</t>
  </si>
  <si>
    <t>MMN363</t>
  </si>
  <si>
    <t>Disjoncteur magnétique 3P 15kA 63A 400V access. indicateur IEC 947-2</t>
  </si>
  <si>
    <t>378.2839€</t>
  </si>
  <si>
    <t>MMN406</t>
  </si>
  <si>
    <t>Disjoncteur magnétique 4P 25kA 6.3A 400V access. indicateur IEC 947-2</t>
  </si>
  <si>
    <t>307.2995€</t>
  </si>
  <si>
    <t>MMN410</t>
  </si>
  <si>
    <t>Disjoncteur magnétique 4P 25kA 10A 400V access. indicateur IEC 947-2</t>
  </si>
  <si>
    <t>MMN416</t>
  </si>
  <si>
    <t>Disjoncteur magnétique 4P 25kA 16A 400V access. indicateur IEC 947-2</t>
  </si>
  <si>
    <t>MMN420</t>
  </si>
  <si>
    <t>Disjoncteur magnétique 4P 25kA 20A 400V access. indicateur IEC 947-2</t>
  </si>
  <si>
    <t>323.661€</t>
  </si>
  <si>
    <t>MMN432</t>
  </si>
  <si>
    <t>Disjoncteur magnétique 4P 20kA 32A 400V access. indicateur IEC 947-2</t>
  </si>
  <si>
    <t>MMN463</t>
  </si>
  <si>
    <t>Disjoncteur magnétique 4P 15kA 63A 400V access. indicateur IEC 947-2</t>
  </si>
  <si>
    <t>464.9848€</t>
  </si>
  <si>
    <t>ST313</t>
  </si>
  <si>
    <t>Transformateur sécurité 16VA 230V-12 à 24V</t>
  </si>
  <si>
    <t xml:space="preserve">HAHSTM15 </t>
  </si>
  <si>
    <t>TRANSFORMATEURS</t>
  </si>
  <si>
    <t>105.465€</t>
  </si>
  <si>
    <t>ST312</t>
  </si>
  <si>
    <t>Transformateur sécurité 25VA 230V-12 à 24V</t>
  </si>
  <si>
    <t>116.03€</t>
  </si>
  <si>
    <t>ST305</t>
  </si>
  <si>
    <t>Transformateur de sonnerie 16VA 230V-8 à 12V</t>
  </si>
  <si>
    <t>90.695€</t>
  </si>
  <si>
    <t>ST303</t>
  </si>
  <si>
    <t>Transformateur de sonnerie 8VA 230V-8 à 12V</t>
  </si>
  <si>
    <t>78.255€</t>
  </si>
  <si>
    <t>ST315</t>
  </si>
  <si>
    <t>Transformateur sécurité 63VA 230V-12 à 24V</t>
  </si>
  <si>
    <t>205.275€</t>
  </si>
  <si>
    <t>ST301</t>
  </si>
  <si>
    <t>Transformateur de sonnerie 4VA 230V-8 à 12V</t>
  </si>
  <si>
    <t>ST314</t>
  </si>
  <si>
    <t>Transformateur sécurité 40VA 230V-12 à 24V</t>
  </si>
  <si>
    <t>161.975€</t>
  </si>
  <si>
    <t>ST309</t>
  </si>
  <si>
    <t>Transformateur sécurité 20VA 12V</t>
  </si>
  <si>
    <t>106.32€</t>
  </si>
  <si>
    <t>ST310</t>
  </si>
  <si>
    <t>Transformateur sécurité 20VA 24V</t>
  </si>
  <si>
    <t>SVS121B</t>
  </si>
  <si>
    <t>Voyant LED vert 230VAC QC passage de barre</t>
  </si>
  <si>
    <t xml:space="preserve">HAHSBM15 </t>
  </si>
  <si>
    <t>BP/VOYANTS</t>
  </si>
  <si>
    <t>20.69€</t>
  </si>
  <si>
    <t>SVN352</t>
  </si>
  <si>
    <t>Bouton poussoir 1O+F accrochage</t>
  </si>
  <si>
    <t>26.595€</t>
  </si>
  <si>
    <t>SVN351</t>
  </si>
  <si>
    <t>Bouton poussoir 1O+F impulsion</t>
  </si>
  <si>
    <t>25.82€</t>
  </si>
  <si>
    <t>SVS127B</t>
  </si>
  <si>
    <t>Voyant triple LED rouge 230VAC QCPB QC passage de barre</t>
  </si>
  <si>
    <t>68.22€</t>
  </si>
  <si>
    <t>SVS411B</t>
  </si>
  <si>
    <t>bouton poussoir 1F impulsion + Voyant vert 230VAC QC passage de barre</t>
  </si>
  <si>
    <t>29.205€</t>
  </si>
  <si>
    <t>SVS126B</t>
  </si>
  <si>
    <t>Voyant double LED vert &amp; rouge 230VAC QC passage de barre</t>
  </si>
  <si>
    <t>28.9€</t>
  </si>
  <si>
    <t>SVN433</t>
  </si>
  <si>
    <t>Bouton poussoir 2F accrochage + Voyant vert 230VAC</t>
  </si>
  <si>
    <t>40.665€</t>
  </si>
  <si>
    <t>SVS125B</t>
  </si>
  <si>
    <t>Voyant LED incolore 230VAC QC passage de barre</t>
  </si>
  <si>
    <t>20.61€</t>
  </si>
  <si>
    <t>SVN432</t>
  </si>
  <si>
    <t>Bouton poussoir 2F impulsion + Voyant rouge 230VAC</t>
  </si>
  <si>
    <t>38.04€</t>
  </si>
  <si>
    <t>SVS312B</t>
  </si>
  <si>
    <t>Bouton poussoir 1F accrochage QC passage de barre</t>
  </si>
  <si>
    <t>21.935€</t>
  </si>
  <si>
    <t>SVN321</t>
  </si>
  <si>
    <t>Bouton poussoir 1O impulsion</t>
  </si>
  <si>
    <t>20.82€</t>
  </si>
  <si>
    <t>SVS311B</t>
  </si>
  <si>
    <t>Bouton poussoir 1F impulsion QC passage de barre</t>
  </si>
  <si>
    <t>20.735€</t>
  </si>
  <si>
    <t>SVS123B</t>
  </si>
  <si>
    <t>Voyant LED orange 230VAC QC passage de barre</t>
  </si>
  <si>
    <t>20.385€</t>
  </si>
  <si>
    <t>SVN331</t>
  </si>
  <si>
    <t>Bouton poussoir 2F impulsion</t>
  </si>
  <si>
    <t>64.08€</t>
  </si>
  <si>
    <t>27.235€</t>
  </si>
  <si>
    <t>SVS122B</t>
  </si>
  <si>
    <t>Voyant LED rouge 230VAC QC passage de barre</t>
  </si>
  <si>
    <t>19.555€</t>
  </si>
  <si>
    <t>TG401</t>
  </si>
  <si>
    <t>Pile de rechange CR2430 3V</t>
  </si>
  <si>
    <t xml:space="preserve">HADTJM05 </t>
  </si>
  <si>
    <t>TEBIS SYSTEME</t>
  </si>
  <si>
    <t>4.7845€</t>
  </si>
  <si>
    <t>TG200A</t>
  </si>
  <si>
    <t>Cavaliers de pontage Quickconnect, noir (50 pces)</t>
  </si>
  <si>
    <t>23.3905€</t>
  </si>
  <si>
    <t>TG029</t>
  </si>
  <si>
    <t>Limiteur de surtension bus KNX</t>
  </si>
  <si>
    <t>68.152€</t>
  </si>
  <si>
    <t>TG402</t>
  </si>
  <si>
    <t>Pile de rechange 1/2AA 3V</t>
  </si>
  <si>
    <t>12.3795€</t>
  </si>
  <si>
    <t>TG019</t>
  </si>
  <si>
    <t>Cable bus longueur 500m vert</t>
  </si>
  <si>
    <t>302.3195€</t>
  </si>
  <si>
    <t>TR131B</t>
  </si>
  <si>
    <t>Coupleur de média argent</t>
  </si>
  <si>
    <t>153.9265€</t>
  </si>
  <si>
    <t>TG018</t>
  </si>
  <si>
    <t>Cable bus longueur 100m vert</t>
  </si>
  <si>
    <t>55.741€</t>
  </si>
  <si>
    <t>TG008</t>
  </si>
  <si>
    <t>Bornes de connexion bus rouge / noir, KNX</t>
  </si>
  <si>
    <t>1.148€</t>
  </si>
  <si>
    <t>TR351A</t>
  </si>
  <si>
    <t>Concentrateur d'entrées radio unidirectionnelles blanc</t>
  </si>
  <si>
    <t>170.912€</t>
  </si>
  <si>
    <t>TGA200</t>
  </si>
  <si>
    <t>Alimentation 24V DC 1A</t>
  </si>
  <si>
    <t>81.0425€</t>
  </si>
  <si>
    <t>TRC120</t>
  </si>
  <si>
    <t>Interface alarme LS radio / bus KNX</t>
  </si>
  <si>
    <t>147.553€</t>
  </si>
  <si>
    <t>TXA114</t>
  </si>
  <si>
    <t>Alimentation Bus 1x30V TBTS + 1x24V</t>
  </si>
  <si>
    <t>185.5315€</t>
  </si>
  <si>
    <t>TGM600E</t>
  </si>
  <si>
    <t>Embouts isolants pour TGM6xxD</t>
  </si>
  <si>
    <t>3.8955€</t>
  </si>
  <si>
    <t>TGM616D</t>
  </si>
  <si>
    <t>Barre de pontage 6mm² 8 contacts pour TxM616D</t>
  </si>
  <si>
    <t>4.7145€</t>
  </si>
  <si>
    <t>TGM620D</t>
  </si>
  <si>
    <t>Barre de pontage 6mm² 10 contacts pour TxM620D</t>
  </si>
  <si>
    <t>5.656€</t>
  </si>
  <si>
    <t>TXE531</t>
  </si>
  <si>
    <t>Station météo KNX avec fonction simulation</t>
  </si>
  <si>
    <t>344.0745€</t>
  </si>
  <si>
    <t>TYFS122</t>
  </si>
  <si>
    <t>Interface modulaire USB KNX Secure. permettant de se connecter au bus depuis le logiciel ETS. Fonctionne avec les trames KNX et KNX secure.</t>
  </si>
  <si>
    <t>109.4345€</t>
  </si>
  <si>
    <t>TYFS120</t>
  </si>
  <si>
    <t>Interface KNX/IP Secure, 1 module</t>
  </si>
  <si>
    <t>119.6895€</t>
  </si>
  <si>
    <t>TYFS121</t>
  </si>
  <si>
    <t>Routeur de ligne KNX filaire vers ligne KNX IP. compatible KNX secure. Fonction routage KNX ligne IP/TP + interface bus KNX TP pour le téléchargement des produits depuis ETS. configurable en IP fixe et en DHCP. Compatible KNX Secure.</t>
  </si>
  <si>
    <t>229.1135€</t>
  </si>
  <si>
    <t>TYFS110</t>
  </si>
  <si>
    <t>Alimentation Bus 30V TBTS 1280 mA</t>
  </si>
  <si>
    <t>177.016€</t>
  </si>
  <si>
    <t>TYAS664D</t>
  </si>
  <si>
    <t>Pilote KNX/DALI2 broadcast compatible KNX EASY et ETS</t>
  </si>
  <si>
    <t>187.446€</t>
  </si>
  <si>
    <t>TYFS671D</t>
  </si>
  <si>
    <t>Passerelle 1 canal KNX/DALI2 ETS only + balance des blancs</t>
  </si>
  <si>
    <t>322.595€</t>
  </si>
  <si>
    <t>TYFS672D</t>
  </si>
  <si>
    <t>Passerelle 2 canaux KNX/DALI2 ETS only + balance des blancs</t>
  </si>
  <si>
    <t>384.9125€</t>
  </si>
  <si>
    <t>TR131N</t>
  </si>
  <si>
    <t>Coupleur de média blanc</t>
  </si>
  <si>
    <t>UC209</t>
  </si>
  <si>
    <t>Kit bornier réglage 24modules h150mm l600mm</t>
  </si>
  <si>
    <t xml:space="preserve">HATEKM03 </t>
  </si>
  <si>
    <t>KITS QUADRO</t>
  </si>
  <si>
    <t>67.7465€</t>
  </si>
  <si>
    <t>UC236</t>
  </si>
  <si>
    <t>Plastron plein h 600 x l 600mm quadro4 - quadro5 - quadro+</t>
  </si>
  <si>
    <t>82.8008€</t>
  </si>
  <si>
    <t>UC964</t>
  </si>
  <si>
    <t>Platine perforée 600x500</t>
  </si>
  <si>
    <t>222.5508€</t>
  </si>
  <si>
    <t>UM30A4</t>
  </si>
  <si>
    <t>Barre Cu perforée M6 630A 30X10 longueur 430</t>
  </si>
  <si>
    <t>69.0666€</t>
  </si>
  <si>
    <t>UM92H</t>
  </si>
  <si>
    <t>Jeu de 4 connecteurs Jeux barres verticales univers</t>
  </si>
  <si>
    <t>64.199€</t>
  </si>
  <si>
    <t>UC037</t>
  </si>
  <si>
    <t>Kit comptage tarif Bleu elec mono h300 l600</t>
  </si>
  <si>
    <t>184.1905€</t>
  </si>
  <si>
    <t>UC205</t>
  </si>
  <si>
    <t>Kit appareillage modulaire 24 modules h200mm l600mm</t>
  </si>
  <si>
    <t>54.739€</t>
  </si>
  <si>
    <t>UC235</t>
  </si>
  <si>
    <t>Plastron plein h 400 x l 600mm quadro4 - quadro5 - quadro+</t>
  </si>
  <si>
    <t>69.3246€</t>
  </si>
  <si>
    <t>UC962</t>
  </si>
  <si>
    <t>Platine perforée 450x500</t>
  </si>
  <si>
    <t>175.2852€</t>
  </si>
  <si>
    <t>UM30A3</t>
  </si>
  <si>
    <t>Barre Cu perforée M6 400A 30X5 longueur 280</t>
  </si>
  <si>
    <t>35.2987€</t>
  </si>
  <si>
    <t>UM92W</t>
  </si>
  <si>
    <t>Barre Cu gaine souple 32X6 630A longueur 2000mm</t>
  </si>
  <si>
    <t>367.3662€</t>
  </si>
  <si>
    <t>UC225</t>
  </si>
  <si>
    <t>Plastron plein h 400 x l 350mm quadro4 - quadro5 - quadro+</t>
  </si>
  <si>
    <t>38.0507€</t>
  </si>
  <si>
    <t>UC234</t>
  </si>
  <si>
    <t>Plastron plein h 300 x l 600mm quadro4 - quadro5 - quadro+</t>
  </si>
  <si>
    <t>54.825€</t>
  </si>
  <si>
    <t>UC313H</t>
  </si>
  <si>
    <t>Kit d'équipement isolant pour BM sans dif h125-160 l500 h150 hor.</t>
  </si>
  <si>
    <t>73.0011€</t>
  </si>
  <si>
    <t>UC960</t>
  </si>
  <si>
    <t>Platine perforée 300x500</t>
  </si>
  <si>
    <t>131.6015€</t>
  </si>
  <si>
    <t>UM30A2</t>
  </si>
  <si>
    <t>Barre Cu perforée M6 400A 30X5 longueur 880</t>
  </si>
  <si>
    <t>110.7293€</t>
  </si>
  <si>
    <t>UC005</t>
  </si>
  <si>
    <t>Kit interrupteur à coupure apparente HA630 commande directe débrochable 600x600</t>
  </si>
  <si>
    <t>126.6221€</t>
  </si>
  <si>
    <t>UC224</t>
  </si>
  <si>
    <t>Plastron plein h 300 x l 350mm quadro4 - quadro5 - quadro+</t>
  </si>
  <si>
    <t>28.6466€</t>
  </si>
  <si>
    <t>UC233</t>
  </si>
  <si>
    <t>Plastron plein h 200 x l 600mm quadro4 - quadro5 - quadro+</t>
  </si>
  <si>
    <t>36.1071€</t>
  </si>
  <si>
    <t>UC311H</t>
  </si>
  <si>
    <t>Kit d'équipement isolant pour BM avec-sans dif h125-160 l500 h300 vertical</t>
  </si>
  <si>
    <t>93.4132€</t>
  </si>
  <si>
    <t>UC951</t>
  </si>
  <si>
    <t>Rail DIN réglable et inclinable L500</t>
  </si>
  <si>
    <t>23.607€</t>
  </si>
  <si>
    <t>UM30A1</t>
  </si>
  <si>
    <t>Barre Cu perforée M6 400A 30X5 longueur 430</t>
  </si>
  <si>
    <t>54.5111€</t>
  </si>
  <si>
    <t>UC003</t>
  </si>
  <si>
    <t>Kit interrupteur à coupure apparente HA250-400 cde directe débrochable 300x600</t>
  </si>
  <si>
    <t>94.7763€</t>
  </si>
  <si>
    <t>UC223</t>
  </si>
  <si>
    <t>Plastron plein h 200 x l 350mm quadro4 - quadro5 - quadro+</t>
  </si>
  <si>
    <t>20.5153€</t>
  </si>
  <si>
    <t>UC335</t>
  </si>
  <si>
    <t>Kit d'équipement isolant pour interrupteur 400A (ha966n) l500 h400</t>
  </si>
  <si>
    <t>118.422€</t>
  </si>
  <si>
    <t>UM92E</t>
  </si>
  <si>
    <t>Jeu de 4 connecteurs pour HA451-HA452 univers</t>
  </si>
  <si>
    <t>143.3835€</t>
  </si>
  <si>
    <t>UM92P</t>
  </si>
  <si>
    <t>Jeu de 4 connecteurs pour HA454-HA457 univers</t>
  </si>
  <si>
    <t>168.4353€</t>
  </si>
  <si>
    <t>UC001</t>
  </si>
  <si>
    <t>Kit interrupteur à coupure apparente HA160 commande directe débrochable 300x600</t>
  </si>
  <si>
    <t>100.6759€</t>
  </si>
  <si>
    <t>UC201</t>
  </si>
  <si>
    <t>Kit appareillage modulaire 24 modules h150mm l600mm</t>
  </si>
  <si>
    <t>45.9197€</t>
  </si>
  <si>
    <t>UC222</t>
  </si>
  <si>
    <t>Plastron plein h 150 x l 350mm quadro4 - quadro5 - quadro+</t>
  </si>
  <si>
    <t>16.6668€</t>
  </si>
  <si>
    <t>UC332</t>
  </si>
  <si>
    <t>Kit d'équipement isolant pour interrupteur 250A (ha964n) l250 h300</t>
  </si>
  <si>
    <t>82.5127€</t>
  </si>
  <si>
    <t>UC200</t>
  </si>
  <si>
    <t>Kit appareillage modulaire 10 modules h150mm l350mm</t>
  </si>
  <si>
    <t>28.0747€</t>
  </si>
  <si>
    <t>UC268</t>
  </si>
  <si>
    <t>Jeu de 2 charnières droite ou gauche pour plastron quadro4 - quadro5 - quadro+</t>
  </si>
  <si>
    <t>17.7375€</t>
  </si>
  <si>
    <t>UC310H</t>
  </si>
  <si>
    <t>Kit d'équipement isolant pour BM avec-sans dif h125-160 l250 h300 vertical</t>
  </si>
  <si>
    <t>55.728€</t>
  </si>
  <si>
    <t>UM01F</t>
  </si>
  <si>
    <t>Support isolant unipolaire barre de cuivre 12mmx6mm ou barrette laiton univers</t>
  </si>
  <si>
    <t>6.1232€</t>
  </si>
  <si>
    <t>UC039</t>
  </si>
  <si>
    <t>Kit comptage tarif bleu elec tetra h400 l600</t>
  </si>
  <si>
    <t>263.1815€</t>
  </si>
  <si>
    <t>UC232</t>
  </si>
  <si>
    <t>Plastron plein h 150 x l 600mm quadro4 - quadro5 - quadro+</t>
  </si>
  <si>
    <t>27.4985€</t>
  </si>
  <si>
    <t>UC239</t>
  </si>
  <si>
    <t>Plastron plein h 100 x l 600mm quadro4 - quadro5 - quadro+</t>
  </si>
  <si>
    <t>19.9907€</t>
  </si>
  <si>
    <t>UM30A5</t>
  </si>
  <si>
    <t>Barre Cu perforée M6 630A 30X10 longueur 880</t>
  </si>
  <si>
    <t>140.1456€</t>
  </si>
  <si>
    <t>UM92Z</t>
  </si>
  <si>
    <t>Barre Cu gaine souple 32X4 400A longueur 2000mm</t>
  </si>
  <si>
    <t>256.8519€</t>
  </si>
  <si>
    <t>UC038</t>
  </si>
  <si>
    <t>Kit disjoncteur tarif bleu mono ou tétra 300x600</t>
  </si>
  <si>
    <t>116.7579€</t>
  </si>
  <si>
    <t>UC231</t>
  </si>
  <si>
    <t>Plastron plein h 50 x l 600mm quadro4 - quadro5 - quadro+</t>
  </si>
  <si>
    <t>15.394€</t>
  </si>
  <si>
    <t>UM92N</t>
  </si>
  <si>
    <t>Connecteur tarif jaune int 160A disj 160A univers</t>
  </si>
  <si>
    <t>114.0747€</t>
  </si>
  <si>
    <t>UM92Y</t>
  </si>
  <si>
    <t>Barre Cu gaine souple 20X3 250A longueur 2000mm</t>
  </si>
  <si>
    <t>111.3872€</t>
  </si>
  <si>
    <t>UC009</t>
  </si>
  <si>
    <t>Kit interrupteur à coupure apparente HA250-400 commande directe débro. 300x350</t>
  </si>
  <si>
    <t>77.1205€</t>
  </si>
  <si>
    <t>UC221</t>
  </si>
  <si>
    <t>Plastron plein h 50 x l 350mm quadro4 - quadro5 - quadro+</t>
  </si>
  <si>
    <t>13.2784€</t>
  </si>
  <si>
    <t>UC230</t>
  </si>
  <si>
    <t>Plastron plein h 70 x l 600mm quadro4 - quadro5 - quadro+</t>
  </si>
  <si>
    <t>16.813€</t>
  </si>
  <si>
    <t>UM92M</t>
  </si>
  <si>
    <t>Connecteur tarif jaune int 400A disj 400A univers</t>
  </si>
  <si>
    <t>UM92X</t>
  </si>
  <si>
    <t>Barre Cu gaine souple 20X2 160A longueur 2000mm</t>
  </si>
  <si>
    <t>99.5751€</t>
  </si>
  <si>
    <t>UC008</t>
  </si>
  <si>
    <t>Kit interrupteur à coupure apparente HA160 commande directe débrochable 300x350</t>
  </si>
  <si>
    <t>67.1875€</t>
  </si>
  <si>
    <t>UC220</t>
  </si>
  <si>
    <t>Plastron plein h 75 x l 350mm quadro4 - quadro5 - quadro+</t>
  </si>
  <si>
    <t>15.2134€</t>
  </si>
  <si>
    <t>UC226</t>
  </si>
  <si>
    <t>Plastron plein h 600 x l 350mm quadro4 - quadro5 - quadro+</t>
  </si>
  <si>
    <t>49.923€</t>
  </si>
  <si>
    <t>UM92K</t>
  </si>
  <si>
    <t>Connecteur tarif jaune int 250A disj160-250 univers</t>
  </si>
  <si>
    <t>134.9555€</t>
  </si>
  <si>
    <t>UM92V</t>
  </si>
  <si>
    <t>Barre Cu gaine souple 40X6 800A longueur 2000</t>
  </si>
  <si>
    <t>458.7283€</t>
  </si>
  <si>
    <t>UC207</t>
  </si>
  <si>
    <t>kit appareillage modulaire 36 modules h200mm l800mm</t>
  </si>
  <si>
    <t>78.2514€</t>
  </si>
  <si>
    <t>UC243</t>
  </si>
  <si>
    <t>Plastron plein h 200 x l 800mm quadro4 - quadro5 - quadro+</t>
  </si>
  <si>
    <t>46.9603€</t>
  </si>
  <si>
    <t>UC244</t>
  </si>
  <si>
    <t>Plastron plein h 300 x l 800mm quadro4 - quadro5 - quadro+</t>
  </si>
  <si>
    <t>71.2639€</t>
  </si>
  <si>
    <t>UC245</t>
  </si>
  <si>
    <t>Plastron plein h 400 x l 800mm quadro4 - quadro5 - quadro+</t>
  </si>
  <si>
    <t>90.1022€</t>
  </si>
  <si>
    <t>UC249</t>
  </si>
  <si>
    <t>Plastron plein h 100 x l 800mm quadro4 - quadro5 - quadro+</t>
  </si>
  <si>
    <t>UC311S</t>
  </si>
  <si>
    <t>Kit commutateur HIC 63-160A vertical 300x600</t>
  </si>
  <si>
    <t>100.6587€</t>
  </si>
  <si>
    <t>UC203</t>
  </si>
  <si>
    <t>Kit appareillage modulaire 36 modules h150mm l800mm</t>
  </si>
  <si>
    <t>67.6691€</t>
  </si>
  <si>
    <t>UC240</t>
  </si>
  <si>
    <t>Plastron plein h 75 x l 800mm quadro4 - quadro5 - quadro+</t>
  </si>
  <si>
    <t>22.3686€</t>
  </si>
  <si>
    <t>UC241</t>
  </si>
  <si>
    <t>Plastron plein h 50 x l 800mm quadro4 - quadro5 - quadro+</t>
  </si>
  <si>
    <t>20.9324€</t>
  </si>
  <si>
    <t>UC242</t>
  </si>
  <si>
    <t>Plastron plein h 150 x l 800mm quadro4 - quadro5 - quadro+</t>
  </si>
  <si>
    <t>36.5113€</t>
  </si>
  <si>
    <t>UC246</t>
  </si>
  <si>
    <t>Plastron plein h 600 x l 800mm quadro4 - quadro5 - quadro+</t>
  </si>
  <si>
    <t>110.3767€</t>
  </si>
  <si>
    <t>UC312H</t>
  </si>
  <si>
    <t>Kit d'équipement isolant BM avec-sans dif x160 cde dir-débro vertical H300 L800</t>
  </si>
  <si>
    <t>124.528€</t>
  </si>
  <si>
    <t>UC314H</t>
  </si>
  <si>
    <t>Kit d'équipement isolant BM sans dif x160 cde dir-débro horizontal H150 L800</t>
  </si>
  <si>
    <t>97.3219€</t>
  </si>
  <si>
    <t>UC312S</t>
  </si>
  <si>
    <t>Kit d'équipement isolant boitier moulé avec-sans différentiel h125 -160</t>
  </si>
  <si>
    <t>117.7856€</t>
  </si>
  <si>
    <t>UC331S</t>
  </si>
  <si>
    <t>Kit équipement 300 x 600 mm pour commutateur avec télécommande rotative HI400 125 à 400 A</t>
  </si>
  <si>
    <t>115.7345€</t>
  </si>
  <si>
    <t>UC332S</t>
  </si>
  <si>
    <t>Kit com.man.HI125-400A 300X800</t>
  </si>
  <si>
    <t>119.4325€</t>
  </si>
  <si>
    <t>UC133P</t>
  </si>
  <si>
    <t>kit 1xBM Quadro.system H3+P160, 348x298, vertical</t>
  </si>
  <si>
    <t>83.4673€</t>
  </si>
  <si>
    <t>UC162P</t>
  </si>
  <si>
    <t>kit 1xBM Quadro.system H3+P160. 600x200. horizontal</t>
  </si>
  <si>
    <t>79.421€</t>
  </si>
  <si>
    <t>UC163P</t>
  </si>
  <si>
    <t>kit 2xBM Quadro.system H3+P160. 600x300. vertical</t>
  </si>
  <si>
    <t>97.0295€</t>
  </si>
  <si>
    <t>UC163PI</t>
  </si>
  <si>
    <t>kit 2xBM Quadro.system H3+P160. vertical. pour interverrouillage</t>
  </si>
  <si>
    <t>UC182P</t>
  </si>
  <si>
    <t>kit 1xBM Quadro.system H3+P160. 800x200. horizontal</t>
  </si>
  <si>
    <t>105.8574€</t>
  </si>
  <si>
    <t>UC183P</t>
  </si>
  <si>
    <t>kit 3xBM Quadro.system H3+P160. 800x300. vertical</t>
  </si>
  <si>
    <t>129.3698€</t>
  </si>
  <si>
    <t>UC183PI</t>
  </si>
  <si>
    <t>kit 2xBM Quadro.system H3+P160. 800x300. vertical. pour interverrouillage</t>
  </si>
  <si>
    <t>UC233P</t>
  </si>
  <si>
    <t>kit 1xMCCB quadro.system H3+P250, 350x300, vertical</t>
  </si>
  <si>
    <t>109.521€</t>
  </si>
  <si>
    <t>UC234PR</t>
  </si>
  <si>
    <t>kit 1xBM Quadro.system H3+P250, 348x398, vertical, avec diff</t>
  </si>
  <si>
    <t>89.2465€</t>
  </si>
  <si>
    <t>UC262PR</t>
  </si>
  <si>
    <t>kit 1xBM Quadro.system H3+P250. 600x200. horizontal. avec ou sans diff</t>
  </si>
  <si>
    <t>UC263P</t>
  </si>
  <si>
    <t>kit 2xBM Quadro.system H3+P250. 600x300. vertical</t>
  </si>
  <si>
    <t>UC263PI</t>
  </si>
  <si>
    <t>kit 2xBM Quadro.system H3+P250. 600x300. vertical. pour interverrouillage</t>
  </si>
  <si>
    <t>UC263PM</t>
  </si>
  <si>
    <t>kit 2xBM Quadro.system H3+P250. 600x300. vertical. motorisé</t>
  </si>
  <si>
    <t>UC264PR</t>
  </si>
  <si>
    <t>kit 2xBM Quadro.system H3+P250. 600x400. vertical. avec ou sans diff</t>
  </si>
  <si>
    <t>132.5346€</t>
  </si>
  <si>
    <t>UC282PR</t>
  </si>
  <si>
    <t>kit 1xBM Quadro.system H3+P250, 798x198, horizontal, avec diff</t>
  </si>
  <si>
    <t>UC283P</t>
  </si>
  <si>
    <t>kit 3xBM Quadro.system H3+P250. 800x300. vertical</t>
  </si>
  <si>
    <t>UC283PI</t>
  </si>
  <si>
    <t>kit 2xBM Quadro.system H3+P250, 798x298, vertical, pour interverrouillage</t>
  </si>
  <si>
    <t>UC283PM</t>
  </si>
  <si>
    <t>kit 2xBM Quadro.system H3+P250. 800x300. vertical. motorisé</t>
  </si>
  <si>
    <t>UC162PP</t>
  </si>
  <si>
    <t>kit 1xBM Quadro.system H3+P160. 600x200. horizontal. déconnectable</t>
  </si>
  <si>
    <t>UC163PP</t>
  </si>
  <si>
    <t>kit 2xBM Quadro.system H3+P160. 600x300. vertical. déconnectable</t>
  </si>
  <si>
    <t>UC183PP</t>
  </si>
  <si>
    <t>kit 3xBM Quadro.system H3+P160. 800x300. vertical. déconnectable</t>
  </si>
  <si>
    <t>UC206</t>
  </si>
  <si>
    <t>kit appareillage modulaire 24 modules h200mm l600mm</t>
  </si>
  <si>
    <t>41.1209€</t>
  </si>
  <si>
    <t>UC208</t>
  </si>
  <si>
    <t>kit appareillage modulaire 36 modules h200mm l800mm fixation latérale</t>
  </si>
  <si>
    <t>55.3711€</t>
  </si>
  <si>
    <t>UC233PW</t>
  </si>
  <si>
    <t>kit 1xBM Quadro.system H3+P250. 350x300. vertical. débrochable. sans diff</t>
  </si>
  <si>
    <t>UC262PP</t>
  </si>
  <si>
    <t>kit 1xBM Quadro.system H3+P250. 600x200. horizontal. déconnectable</t>
  </si>
  <si>
    <t>UC263PP</t>
  </si>
  <si>
    <t>kit 2xBM Quadro.system H3+P250. 600x300. vertical. déconnectable. sans diff</t>
  </si>
  <si>
    <t>UC263PW</t>
  </si>
  <si>
    <t>kit 1xBM Quadro.system H3+P250. 600x300. vertical. débrochable. sans diff</t>
  </si>
  <si>
    <t>UC283PP</t>
  </si>
  <si>
    <t>kit 3xBM Quadro.system H3+P250. 800x300. vertical. déconnectable. sans diff</t>
  </si>
  <si>
    <t>UC283PW</t>
  </si>
  <si>
    <t>kit 2xBM Quadro.system H3+P250. 600x300. vertical. débrochable. sans diff</t>
  </si>
  <si>
    <t>UC6010PL</t>
  </si>
  <si>
    <t>Plastron avec persiennes.quadro.600x100</t>
  </si>
  <si>
    <t>UC6020PL</t>
  </si>
  <si>
    <t>Plastron avec persiennes.quadro.600x200</t>
  </si>
  <si>
    <t>65.9792€</t>
  </si>
  <si>
    <t>UC8010PL</t>
  </si>
  <si>
    <t>Plastron avec persiennes.quadro.800x100</t>
  </si>
  <si>
    <t>47.4333€</t>
  </si>
  <si>
    <t>UC8020PL</t>
  </si>
  <si>
    <t>Plastron avec persiennes.quadro.800x200</t>
  </si>
  <si>
    <t>85.7764€</t>
  </si>
  <si>
    <t>UC163PD</t>
  </si>
  <si>
    <t>kit 3x4P/3x3P BM Quadro.system H3+P160, 600x300, vertical</t>
  </si>
  <si>
    <t>UC183PD</t>
  </si>
  <si>
    <t>kit 5x4P/5x3P BM Quadro.system H3+P160. 800x300. vertical</t>
  </si>
  <si>
    <t>UC263PD</t>
  </si>
  <si>
    <t>kit 3x4P/3x3P BM Quadro.system H3+P250, 598x298, vertical</t>
  </si>
  <si>
    <t>UC283PD</t>
  </si>
  <si>
    <t>kit 4x4P/4x3P BM Quadro.system H3+P250, 798x298, vertical</t>
  </si>
  <si>
    <t>UC434P</t>
  </si>
  <si>
    <t>kit 1xBM Quadro.system H3+P630, 348x398, horizontal, sans diff</t>
  </si>
  <si>
    <t>111.8774€</t>
  </si>
  <si>
    <t>UC436PR</t>
  </si>
  <si>
    <t>kit 1xBM Quadro.system H3+P630, 348x598, vertical, sans diff</t>
  </si>
  <si>
    <t>117.9533€</t>
  </si>
  <si>
    <t>UC463PR</t>
  </si>
  <si>
    <t>kit 1xBM Quadro.system H3+P630, 798x298, horizontal, sans diff</t>
  </si>
  <si>
    <t>161.3317€</t>
  </si>
  <si>
    <t>UC464P</t>
  </si>
  <si>
    <t>kit 2xBM Quadro.system H3+P630, 598x398, vertical</t>
  </si>
  <si>
    <t>131.8896€</t>
  </si>
  <si>
    <t>UC464PM</t>
  </si>
  <si>
    <t>kit 2xBM Quadro.system H3+P630, 598x398, vertical, motorisé</t>
  </si>
  <si>
    <t>UC466PR</t>
  </si>
  <si>
    <t>kit 2xBM Quadro.system H3+P630, 598x598, vertical, sans diff</t>
  </si>
  <si>
    <t>159.9471€</t>
  </si>
  <si>
    <t>UC483PR</t>
  </si>
  <si>
    <t>105.3285€</t>
  </si>
  <si>
    <t>UC484PD</t>
  </si>
  <si>
    <t>kit 3x4P/3x3P BM Quadro.system H3+P630, 798x398, vertical</t>
  </si>
  <si>
    <t>175.8141€</t>
  </si>
  <si>
    <t>FN6020FDW</t>
  </si>
  <si>
    <t>Plastron partiel vissé. quadro 600x200</t>
  </si>
  <si>
    <t>106.7389€</t>
  </si>
  <si>
    <t>FN60TBPW</t>
  </si>
  <si>
    <t>Plastrons haut et bas quadro.evo L600</t>
  </si>
  <si>
    <t>91.0267€</t>
  </si>
  <si>
    <t>FN8020FDW</t>
  </si>
  <si>
    <t>Plastron partiel vissé. quadro 800x200</t>
  </si>
  <si>
    <t>138.8169€</t>
  </si>
  <si>
    <t>FN80TBPW</t>
  </si>
  <si>
    <t>Plastrons haut et bas quadro.evo L800</t>
  </si>
  <si>
    <t>123.7583€</t>
  </si>
  <si>
    <t>UC000XHP</t>
  </si>
  <si>
    <t>Kit de montage classe II appareils h3 et h3+ dans quadro.evo</t>
  </si>
  <si>
    <t>20.3089€</t>
  </si>
  <si>
    <t>UC133PN</t>
  </si>
  <si>
    <t>Kit 1xP160. quadro.evo. 350x300 vertical</t>
  </si>
  <si>
    <t>108.0461€</t>
  </si>
  <si>
    <t>UC133X</t>
  </si>
  <si>
    <t>Kit 1xX160 vertical. quadro.evo 350x300</t>
  </si>
  <si>
    <t>74.2008€</t>
  </si>
  <si>
    <t>UC162PN</t>
  </si>
  <si>
    <t>Kit quadro.evo 1x h3+ P160. 600x200 mm. horizontal</t>
  </si>
  <si>
    <t>101.4972€</t>
  </si>
  <si>
    <t>UC162PPN</t>
  </si>
  <si>
    <t>Kit quadro.evo 1x h3+ P160. 600x200 mm. horizontal. déconnectable</t>
  </si>
  <si>
    <t>117.8716€</t>
  </si>
  <si>
    <t>UC162X</t>
  </si>
  <si>
    <t>Kit quadro.evo 1x h3 X160. 600x200. horizontal</t>
  </si>
  <si>
    <t>83.2222€</t>
  </si>
  <si>
    <t>UC163HI</t>
  </si>
  <si>
    <t>Kit interrupteur. quadro evo. 125/400A 600x300</t>
  </si>
  <si>
    <t>UC163HIC</t>
  </si>
  <si>
    <t>Kit commutateur HIC. quadro.evo. motorisé 63/160A 600x300</t>
  </si>
  <si>
    <t>115.24€</t>
  </si>
  <si>
    <t>UC163PIN</t>
  </si>
  <si>
    <t>Kit 2xP160 quadro.evo. 600x300. vertical. avec interverrouillage</t>
  </si>
  <si>
    <t>UC163PN</t>
  </si>
  <si>
    <t>Kit 2xP160 avec différentiel. quadro.evo. 598x298. vertical</t>
  </si>
  <si>
    <t>114.5864€</t>
  </si>
  <si>
    <t>UC163PPN</t>
  </si>
  <si>
    <t>Kit 2xP160 quadro.evo. 600x300. vertical. déconnectable</t>
  </si>
  <si>
    <t>178.7553€</t>
  </si>
  <si>
    <t>UC163X</t>
  </si>
  <si>
    <t>Kit 2xX160 vertical. quadro.evo 600x300</t>
  </si>
  <si>
    <t>99.9965€</t>
  </si>
  <si>
    <t>UC182PN</t>
  </si>
  <si>
    <t>Kit quadro.evo 1x h3+ P160. 800x200 mm. horizontal</t>
  </si>
  <si>
    <t>UC183HI</t>
  </si>
  <si>
    <t>Kit interrupteur. quadro evo. 125/400A 800x300</t>
  </si>
  <si>
    <t>128.3378€</t>
  </si>
  <si>
    <t>UC183HIC</t>
  </si>
  <si>
    <t>Kit commutateur HIC. quadro.evo. motorisé 63/160A 800x300</t>
  </si>
  <si>
    <t>UC183PIN</t>
  </si>
  <si>
    <t>Kit vertical 3xP160. quadro.evo. 800x300 avec interverrouillage</t>
  </si>
  <si>
    <t>134.891€</t>
  </si>
  <si>
    <t>UC183PN</t>
  </si>
  <si>
    <t>Kit vertical 3xP160. quadro.evo. 800x300</t>
  </si>
  <si>
    <t>UC183PPN</t>
  </si>
  <si>
    <t>Kit vertical 3xP160 déconnectable. quadro.evo. 800x300</t>
  </si>
  <si>
    <t>UC183X</t>
  </si>
  <si>
    <t>Kit 3xX160. quadro.evo 800x300. vertical</t>
  </si>
  <si>
    <t>132.8915€</t>
  </si>
  <si>
    <t>UC2035AMD</t>
  </si>
  <si>
    <t>Rail DIN réglable.quadro evo 200x350</t>
  </si>
  <si>
    <t>UC2060AMD</t>
  </si>
  <si>
    <t>Rail DIN réglable.quadro evo 200x600</t>
  </si>
  <si>
    <t>57.6286€</t>
  </si>
  <si>
    <t>UC2060MP</t>
  </si>
  <si>
    <t>Platine interne. quadro evo. 200x600 mm</t>
  </si>
  <si>
    <t>UC2080AMD</t>
  </si>
  <si>
    <t>Rail DIN réglable.quadro evo 200x800</t>
  </si>
  <si>
    <t>81.1969€</t>
  </si>
  <si>
    <t>UC2080MP</t>
  </si>
  <si>
    <t>Platine interne. quadro evo. 200x800 mm</t>
  </si>
  <si>
    <t>UC227</t>
  </si>
  <si>
    <t>Plastron.quadro.evo.pour coffret métallique.pleine.front.800x350mm</t>
  </si>
  <si>
    <t>73.5515€</t>
  </si>
  <si>
    <t>UC233EM</t>
  </si>
  <si>
    <t>kit 3xMCB 92x92. quadro.evo. 600x200 mm</t>
  </si>
  <si>
    <t>40.6092€</t>
  </si>
  <si>
    <t>UC233HA</t>
  </si>
  <si>
    <t>Kit operating Switch. quadro.evo. 160/250A 350x300</t>
  </si>
  <si>
    <t>75.3145€</t>
  </si>
  <si>
    <t>UC233PN</t>
  </si>
  <si>
    <t>Kit 1xP250. quadro.evo. 350x300 vertical</t>
  </si>
  <si>
    <t>UC233PWN</t>
  </si>
  <si>
    <t>Kit 1xP250 débrochable. quadro.evo. 350x300 vertical</t>
  </si>
  <si>
    <t>216.0707€</t>
  </si>
  <si>
    <t>UC234EM</t>
  </si>
  <si>
    <t>kit 2xMCB 92x92. quadro.evo. 600x200 mm plus 3 lamps</t>
  </si>
  <si>
    <t>UC234PRN</t>
  </si>
  <si>
    <t>Kit 1xP250 quadro evo 350x400.vertical.avec differential</t>
  </si>
  <si>
    <t>131.6187€</t>
  </si>
  <si>
    <t>UC237</t>
  </si>
  <si>
    <t>Plastron.quadro.evo.pour coffret métallique.pleine.front.800x600mm</t>
  </si>
  <si>
    <t>134.8265€</t>
  </si>
  <si>
    <t>UC247</t>
  </si>
  <si>
    <t>Plastron.quadro.evo.pour coffret métallique.pleine.front.800x800mm</t>
  </si>
  <si>
    <t>174.8208€</t>
  </si>
  <si>
    <t>UC262PPN</t>
  </si>
  <si>
    <t>Kit quadro.evo 1x h3+ P250. 600x200 mm. horizontal. déconnectable</t>
  </si>
  <si>
    <t>UC262PRN</t>
  </si>
  <si>
    <t>Kit 1xP250 quadro evo 600x200.horizontal.avec differential</t>
  </si>
  <si>
    <t>UC262PWN</t>
  </si>
  <si>
    <t>Kit quadro.evo 1x h3+ P250. 600x200 mm. horizontal. débrochable</t>
  </si>
  <si>
    <t>UC263HA</t>
  </si>
  <si>
    <t>Kit interrupteur HA. quadro.evo. 160/250A 600x300</t>
  </si>
  <si>
    <t>UC263PDN</t>
  </si>
  <si>
    <t>Kit 3xP250 quadro.evo. 600x300. vertical</t>
  </si>
  <si>
    <t>UC263PIN</t>
  </si>
  <si>
    <t>Kit 2xP250 quadro.evo. 600x300. vertical. avec interverrouillage</t>
  </si>
  <si>
    <t>UC263PMN</t>
  </si>
  <si>
    <t>Kit 2xP250 . quadro.evo. 600x300. vertical. motorisé</t>
  </si>
  <si>
    <t>UC263PN</t>
  </si>
  <si>
    <t>Kit 2xP250. quadro.evo. 600x300. vertical</t>
  </si>
  <si>
    <t>119.3465€</t>
  </si>
  <si>
    <t>UC263PPN</t>
  </si>
  <si>
    <t>Kit 2xP250 quadro.evo. 600x300. vertical. déconnectable</t>
  </si>
  <si>
    <t>182.0319€</t>
  </si>
  <si>
    <t>UC263PWN</t>
  </si>
  <si>
    <t>Kit 1xP250 quadro.evo 600x300. vertical. débrochable</t>
  </si>
  <si>
    <t>323.4374€</t>
  </si>
  <si>
    <t>UC264PRN</t>
  </si>
  <si>
    <t>Kit 2xP250 quadro evo 600x400.vertical.avec differential</t>
  </si>
  <si>
    <t>168.9341€</t>
  </si>
  <si>
    <t>UC282PRN</t>
  </si>
  <si>
    <t>Kit 1xP250 quadro evo 800x200.horizontal.avec differential</t>
  </si>
  <si>
    <t>UC283HA</t>
  </si>
  <si>
    <t>Kit interrupteur HA. quadro.evo. 160/250A 800x300</t>
  </si>
  <si>
    <t>UC283PIN</t>
  </si>
  <si>
    <t>Kit vertical 3xP250. quadro.evo. 800x300 avec interverrouillage</t>
  </si>
  <si>
    <t>UC283PMN</t>
  </si>
  <si>
    <t>Kit vertical 3xP250. quadro.evo. 800x300 motorisé</t>
  </si>
  <si>
    <t>UC283PN</t>
  </si>
  <si>
    <t>Kit vertical 3xP250. quadro.evo. 800x300</t>
  </si>
  <si>
    <t>UC283PPN</t>
  </si>
  <si>
    <t>Kit vertical 3xP250 déconnectable. quadro.evo. 800x300</t>
  </si>
  <si>
    <t>UC283PWN</t>
  </si>
  <si>
    <t>Kit vertical 2xP250 débrochable. quadro.evo. 800x300</t>
  </si>
  <si>
    <t>UC291</t>
  </si>
  <si>
    <t>Plastron.evo.pour coffret métallique.creusé.300x600mm</t>
  </si>
  <si>
    <t>63.8765€</t>
  </si>
  <si>
    <t>UC292</t>
  </si>
  <si>
    <t>Plastron.evo.pour coffret métallique.creusé.400x600mm</t>
  </si>
  <si>
    <t>80.6465€</t>
  </si>
  <si>
    <t>UC293</t>
  </si>
  <si>
    <t>Plastron.evo.pour coffret métallique.creusé.600x600mm</t>
  </si>
  <si>
    <t>96.7672€</t>
  </si>
  <si>
    <t>UC296</t>
  </si>
  <si>
    <t>Plastron.evo.pour coffret métallique.creusé.300x800mm</t>
  </si>
  <si>
    <t>UC297</t>
  </si>
  <si>
    <t>Plastron plein. quadro.evo. 800x400 mm</t>
  </si>
  <si>
    <t>105.1608€</t>
  </si>
  <si>
    <t>UC298</t>
  </si>
  <si>
    <t>Plastron.evo.pour coffret métallique.creusé.600x800mm</t>
  </si>
  <si>
    <t>128.3808€</t>
  </si>
  <si>
    <t>UC301</t>
  </si>
  <si>
    <t>Plaque de montage.quadro.evo.pleine.front.200x600mm</t>
  </si>
  <si>
    <t>UC353040FP</t>
  </si>
  <si>
    <t>Plastron ventilé. quadro.evo 350x300x400</t>
  </si>
  <si>
    <t>UC3540FP</t>
  </si>
  <si>
    <t>Plastron ventilé. quadro.evo L350 P400</t>
  </si>
  <si>
    <t>UC434PN</t>
  </si>
  <si>
    <t>Kit quadro.evo 1x h3+P630. 350x400</t>
  </si>
  <si>
    <t>UC436PRN</t>
  </si>
  <si>
    <t>Kit 1xP630 quadro evo .350x600.vertical.avec differential</t>
  </si>
  <si>
    <t>UC436PWN</t>
  </si>
  <si>
    <t>Kit 1xP630 débrochable. quadro.evo. 350x600 vertical</t>
  </si>
  <si>
    <t>269.7562€</t>
  </si>
  <si>
    <t>UC463HI</t>
  </si>
  <si>
    <t>Kit interrupteur. quadro evo. 630A 600x300</t>
  </si>
  <si>
    <t>UC463HIC</t>
  </si>
  <si>
    <t>Kit commutateur HIC. quadro.evo. motorisé 250/630A 600x300</t>
  </si>
  <si>
    <t>UC463PPN</t>
  </si>
  <si>
    <t>Kit quadro.evo 1x h3+ P630. 600x300 mm. horizontal. déconnectable</t>
  </si>
  <si>
    <t>UC463PRN</t>
  </si>
  <si>
    <t>Kit 1xP630 quadro evo .600x300.horizontal.avec differential</t>
  </si>
  <si>
    <t>158.4593€</t>
  </si>
  <si>
    <t>UC463PWN</t>
  </si>
  <si>
    <t>Kit 1xP630 débrochable. quadro.evo. 600x300 horizontal</t>
  </si>
  <si>
    <t>UC464PMN</t>
  </si>
  <si>
    <t>kit 2xP630. quadro.evo 600x400. vertical</t>
  </si>
  <si>
    <t>UC464PN</t>
  </si>
  <si>
    <t>Kit 2xP630 quadro.evo. 600x400. vertical</t>
  </si>
  <si>
    <t>UC466HA</t>
  </si>
  <si>
    <t>Kit interrupteur HA. quadro.evo. 400/630A 600x600</t>
  </si>
  <si>
    <t>UC466PPN</t>
  </si>
  <si>
    <t>Kit 2xP630 quadro.evo. 600x600. vertical. déconnectable</t>
  </si>
  <si>
    <t>337.2017€</t>
  </si>
  <si>
    <t>UC466PRN</t>
  </si>
  <si>
    <t>Kit 2xP630 quadro evo .600x600.vertical.avec differential</t>
  </si>
  <si>
    <t>UC466PWN</t>
  </si>
  <si>
    <t>Kit 1xP630 débrochable. quadro.evo. 600x600 vertical</t>
  </si>
  <si>
    <t>350.9359€</t>
  </si>
  <si>
    <t>UC483HI</t>
  </si>
  <si>
    <t>Kit interrupteur. quadro evo. 630A 800x300</t>
  </si>
  <si>
    <t>UC483HIC</t>
  </si>
  <si>
    <t>Kit commutateur HIC. quadro.evo. motorisé 250/630A 800x300</t>
  </si>
  <si>
    <t>UC483PPN</t>
  </si>
  <si>
    <t>Kit quadro.evo 1x h3+ P630. 800x300 mm. horizontal. déconnectable</t>
  </si>
  <si>
    <t>UC483PRN</t>
  </si>
  <si>
    <t>Kit 1xP630 quadro evo .800x300.horizontal.avec differential</t>
  </si>
  <si>
    <t>UC484PDN</t>
  </si>
  <si>
    <t>Kit 3xP630 quadro.evo. 800x400. vertical</t>
  </si>
  <si>
    <t>UC486HA</t>
  </si>
  <si>
    <t>Kit interrupteur HA. quadro.evo. 400/630A 800x600</t>
  </si>
  <si>
    <t>208.8639€</t>
  </si>
  <si>
    <t>UC486PPN</t>
  </si>
  <si>
    <t>Kit 3xP630 quadro.evo. 800x600. vertical. déconnectable</t>
  </si>
  <si>
    <t>UC486PWN</t>
  </si>
  <si>
    <t>Kit 2xP630 débrochable. quadro.evo. 800x600 vertical</t>
  </si>
  <si>
    <t>371.2362€</t>
  </si>
  <si>
    <t>UC564H</t>
  </si>
  <si>
    <t>Kit quadro.evo 1x h3 H1000. 600x400 mm. horizontal</t>
  </si>
  <si>
    <t>199.3308€</t>
  </si>
  <si>
    <t>UC566H</t>
  </si>
  <si>
    <t>Kit 1xH1000 vertical. quadro.evo 600x600</t>
  </si>
  <si>
    <t>UC566HM</t>
  </si>
  <si>
    <t>Kit 1xH1000 vertical+motor. quadro.evo 600x600</t>
  </si>
  <si>
    <t>252.2251€</t>
  </si>
  <si>
    <t>UC584H</t>
  </si>
  <si>
    <t>Kit quadro.evo 1x h3 H1000. 800x400 mm. horizontal</t>
  </si>
  <si>
    <t>232.8665€</t>
  </si>
  <si>
    <t>UC586H</t>
  </si>
  <si>
    <t>Kit 2xH1000 vertical. quadro.evo 800x600</t>
  </si>
  <si>
    <t>219.3258€</t>
  </si>
  <si>
    <t>UC586HM</t>
  </si>
  <si>
    <t>Kit 2xH1000 vertical+motor. quadro.evo 800x600</t>
  </si>
  <si>
    <t>UC603040FP</t>
  </si>
  <si>
    <t>Plastron ventilé. quadro.evo 600x300x400</t>
  </si>
  <si>
    <t>UC6040FP</t>
  </si>
  <si>
    <t>Plastron ventilé. quadro.evo L600 P400</t>
  </si>
  <si>
    <t>UC666H</t>
  </si>
  <si>
    <t>Kit 1xH1600 vertical. quadro.evo 600x600</t>
  </si>
  <si>
    <t>UC666HA</t>
  </si>
  <si>
    <t>Kit interrupteur HA. quadro.evo. 1600A 600x600</t>
  </si>
  <si>
    <t>202.3236€</t>
  </si>
  <si>
    <t>UC666HM</t>
  </si>
  <si>
    <t>Kit 1xH1600 vertical+motor. quadro.evo 600x600</t>
  </si>
  <si>
    <t>256.0134€</t>
  </si>
  <si>
    <t>UC686H</t>
  </si>
  <si>
    <t>Kit 1xH1600 vertical. quadro.evo 800x600</t>
  </si>
  <si>
    <t>222.6196€</t>
  </si>
  <si>
    <t>UC686HA</t>
  </si>
  <si>
    <t>Kit interrupteur HA. quadro.evo. 1600A 800x600</t>
  </si>
  <si>
    <t>UC686HD</t>
  </si>
  <si>
    <t>Kit 2xH1600. quadro evo. 800x600 mm</t>
  </si>
  <si>
    <t>UC686HIC</t>
  </si>
  <si>
    <t>Kit commutateur HIC. quadro.evo. motorisé 1600A 800x600</t>
  </si>
  <si>
    <t>UC686HM</t>
  </si>
  <si>
    <t>Kit 1xH1600 vertical+motor. quadro.evo 800x600</t>
  </si>
  <si>
    <t>UC766HWT</t>
  </si>
  <si>
    <t>Kit ACB HWT 2000 A. quadro.evo 600x600</t>
  </si>
  <si>
    <t>539.4909€</t>
  </si>
  <si>
    <t>UC786HWT</t>
  </si>
  <si>
    <t>Kit ACB HWT 2000 A. quadro.evo 800x600</t>
  </si>
  <si>
    <t>606.9235€</t>
  </si>
  <si>
    <t>UC803040FP</t>
  </si>
  <si>
    <t>Plastron ventilé. quadro.evo 800x300x400</t>
  </si>
  <si>
    <t>111.3227€</t>
  </si>
  <si>
    <t>UC8040FP</t>
  </si>
  <si>
    <t>Plastron ventilé. quadro.evo L800 P400</t>
  </si>
  <si>
    <t>UC886HWT</t>
  </si>
  <si>
    <t>Kit ACB HWT 4000 A. quadro.evo 800x600</t>
  </si>
  <si>
    <t>UC686HI</t>
  </si>
  <si>
    <t>Kit interrupteur. quadro evo. 3200A 800x600</t>
  </si>
  <si>
    <t>202.9772€</t>
  </si>
  <si>
    <t>UC6030ATS</t>
  </si>
  <si>
    <t>Kit pour contrôleur ATS quadro evo 600x300</t>
  </si>
  <si>
    <t>121.0794€</t>
  </si>
  <si>
    <t>UC8030ATS</t>
  </si>
  <si>
    <t>Kit pour contrôleur ATS quadro evo 800x300</t>
  </si>
  <si>
    <t>134.6674€</t>
  </si>
  <si>
    <t>UC6040HW1</t>
  </si>
  <si>
    <t>Kit pour ACB hw1. quadro evo. largeur 600mm. hauteur 400mm</t>
  </si>
  <si>
    <t>539.8693€</t>
  </si>
  <si>
    <t>UC8040HW1</t>
  </si>
  <si>
    <t>Kit pour ACB hw1. quadro evo. largeur 800mm. hauteur 400mm</t>
  </si>
  <si>
    <t>607.3492€</t>
  </si>
  <si>
    <t>UC6060HW2</t>
  </si>
  <si>
    <t>Kit pour ACB hw2. quadro evo. largeur 600mm. hauteur 600mm</t>
  </si>
  <si>
    <t>524.1399€</t>
  </si>
  <si>
    <t>UC8060HW2</t>
  </si>
  <si>
    <t>Kit pour ACB hw2. quadro evo. largeur 800mm. hauteur 600mm</t>
  </si>
  <si>
    <t>589.659€</t>
  </si>
  <si>
    <t>UC8060DHW4</t>
  </si>
  <si>
    <t>Kit pour ACB hw4. quadro evo. débrochable. largeur 800mm. hauteur 600mm</t>
  </si>
  <si>
    <t>600.4219€</t>
  </si>
  <si>
    <t>UC8060FHW4</t>
  </si>
  <si>
    <t>Kit pour ACB hw4. quadro evo. fixe. largeur 800mm. hauteur 600mm</t>
  </si>
  <si>
    <t>UC1530MDN</t>
  </si>
  <si>
    <t>Kit 10M pour appareils modulaires DIN  quadro evo  150x350</t>
  </si>
  <si>
    <t>UC1560MDN</t>
  </si>
  <si>
    <t>Kit 10M pour appareils modulaires DIN  quadro evo  150x600</t>
  </si>
  <si>
    <t>49.9273€</t>
  </si>
  <si>
    <t>UC1580MDN</t>
  </si>
  <si>
    <t>Kit 36M pour appareils modulaires DIN  quadro evo  150x800</t>
  </si>
  <si>
    <t>73.272€</t>
  </si>
  <si>
    <t>UC2060MDN</t>
  </si>
  <si>
    <t>Kit 24M pour appareils modulaires DIN  quadro evo  200x600</t>
  </si>
  <si>
    <t>57.0567€</t>
  </si>
  <si>
    <t>UC2080MDN</t>
  </si>
  <si>
    <t>Kit 36M pour appareils modulaires DIN  quadro evo  200x800</t>
  </si>
  <si>
    <t>80.3928€</t>
  </si>
  <si>
    <t>UC6015FMDN</t>
  </si>
  <si>
    <t>Kit de cloisonnement pour appareils modulaires  quadro evo 600x150</t>
  </si>
  <si>
    <t>81.485€</t>
  </si>
  <si>
    <t>UC6020FMDN</t>
  </si>
  <si>
    <t>Kit de cloisonnement pour appareils modulaires  quadro evo 600x200</t>
  </si>
  <si>
    <t>108.4288€</t>
  </si>
  <si>
    <t>UC6030FMDN</t>
  </si>
  <si>
    <t>Kit de cloisonnement pour appareils modulaires  quadro evo 600x300</t>
  </si>
  <si>
    <t>140.7175€</t>
  </si>
  <si>
    <t>UC8015FMDN</t>
  </si>
  <si>
    <t>Kit de cloisonnement pour appareils modulaires  quadro evo 800x150</t>
  </si>
  <si>
    <t>UC8020FMDN</t>
  </si>
  <si>
    <t>Kit de cloisonnement pour appareils modulaires  quadro evo 800x200</t>
  </si>
  <si>
    <t>141.9344€</t>
  </si>
  <si>
    <t>UC8030FMDN</t>
  </si>
  <si>
    <t>Kit de cloisonnement pour appareils modulaires  quadro evo 800x300</t>
  </si>
  <si>
    <t>184.7323€</t>
  </si>
  <si>
    <t>UCCL2HW1</t>
  </si>
  <si>
    <t>Kit de transformation classe II pour kit pour appareil HW1 quadro evo</t>
  </si>
  <si>
    <t>UCCL2HW2</t>
  </si>
  <si>
    <t>Kit de transformation classe II pour kit pour appareil HW2 et HW4  quadro evo</t>
  </si>
  <si>
    <t>UC164HFD</t>
  </si>
  <si>
    <t>Kit d\'équipement pour un interrupteur fusibles HFD de hager d\'intensité nominale 125 à 160A dans une armoire quadro evo. Hauteur 400mm Largeur 600mm.</t>
  </si>
  <si>
    <t>128.4324€</t>
  </si>
  <si>
    <t>UC466HFD</t>
  </si>
  <si>
    <t>Kit d\'équipement pour un interrupteur fusibles HFD de hager d\'intensité nominale 250 à 400A dans une armoire quadro evo. Hauteur 600mm Largeur 600mm.</t>
  </si>
  <si>
    <t>136.1767€</t>
  </si>
  <si>
    <t>UC566HFD</t>
  </si>
  <si>
    <t>Kit d\'équipement pour un interrupteur fusibles HFD de hager d\'intensité nominale 630 à 800A dans une armoire quadro evo. Hauteur 600mm Largeur 600mm.</t>
  </si>
  <si>
    <t>UC6343PW1</t>
  </si>
  <si>
    <t>Kit pour Boitier moulé h3+ PW1600 3 poles en version fixe pour un montage vertical dans l\'armoire quadro evo d\'une largeur de 350mm et d\'une hauteur de 400mm</t>
  </si>
  <si>
    <t>220.4309€</t>
  </si>
  <si>
    <t>UC6344PW1</t>
  </si>
  <si>
    <t>Kit pour Boitier moulé h3+ PW1600 4 poles en version fixe pour un montage vertical dans l\'armoire quadro evo d\'une largeur de 350mm et d\'une hauteur de 400mm</t>
  </si>
  <si>
    <t>UC6644PW1</t>
  </si>
  <si>
    <t>Kit pour Boitier moulé h3+ PW1600 en version fixe pour un montage vertical dans l\'armoire quadro evo d\'une largeur de 600mm et d\'une hauteur de 400mm</t>
  </si>
  <si>
    <t>252.3111€</t>
  </si>
  <si>
    <t>UC664HPW1</t>
  </si>
  <si>
    <t>Kit pour Boitier moulé h3+ PW1600 en version fixe pour un montage horizontal dans l\'armoire quadro evo d\'une largeur de 600mm et d\'une hauteur de 400mm</t>
  </si>
  <si>
    <t>UC6844PW1</t>
  </si>
  <si>
    <t>Kit PW1 fixé q.evo,1600A 4P H400xW800</t>
  </si>
  <si>
    <t>315.1599€</t>
  </si>
  <si>
    <t>UC684HPW1</t>
  </si>
  <si>
    <t>Kit pour Boitier moulé h3+ PW1600 en version fixe pour un montage horizontal dans l\'armoire quadro evo d\'une largeur de 800mm et d\'une hauteur de 400mm</t>
  </si>
  <si>
    <t>UC300S</t>
  </si>
  <si>
    <t>Kit Adaptateur pour UCX11H-UCX12H quadro.system x63/160 ATS</t>
  </si>
  <si>
    <t>8.9741€</t>
  </si>
  <si>
    <t>UC464PWMN</t>
  </si>
  <si>
    <t>Kit pour un disjoncteur ou interrupteur boitiers moulés h3+ débrochable motorisé de taille P630 pour les armoires quadro evo avec une hauteur de 600mm et une largeur de 600mm.</t>
  </si>
  <si>
    <t>349.9856€</t>
  </si>
  <si>
    <t>UC484PWMN</t>
  </si>
  <si>
    <t>Kit 2xP630,q.evo,800x400,v,de,mot.</t>
  </si>
  <si>
    <t>367.9338€</t>
  </si>
  <si>
    <t>UC6343PWM</t>
  </si>
  <si>
    <t>Kit MCCB PW1 q.evo,1600A 3P e/o 400x350</t>
  </si>
  <si>
    <t>UC6344PWM</t>
  </si>
  <si>
    <t>Kit MCCB PW1 q.evo,1600A 4P e/o 400x350</t>
  </si>
  <si>
    <t>UC6644PWM</t>
  </si>
  <si>
    <t>Kit MCCB PW1 q.evo,1600A 4P e/o 400x600</t>
  </si>
  <si>
    <t>UC664HPWM</t>
  </si>
  <si>
    <t>UC6844PWM</t>
  </si>
  <si>
    <t>Kit MCCB PW1 q.evo,1600A 4P e/o 400x800</t>
  </si>
  <si>
    <t>UC684HPWM</t>
  </si>
  <si>
    <t>UD11F1</t>
  </si>
  <si>
    <t>Jeu 2 plastrons pleins d'extrémité univers 1 travée h 150 mm l 250mm</t>
  </si>
  <si>
    <t xml:space="preserve">HATEWM03 </t>
  </si>
  <si>
    <t>KITS UNIVERS</t>
  </si>
  <si>
    <t>UD21A2</t>
  </si>
  <si>
    <t>Unité équipement univers l250mm h300mm 1 travée bornier vertical 17 modules</t>
  </si>
  <si>
    <t>104.232€</t>
  </si>
  <si>
    <t>UD31F1</t>
  </si>
  <si>
    <t>Jeu 2 plastrons pleins d'extrémité univers 1 travée h 450 mm l 250mm</t>
  </si>
  <si>
    <t>79.7822€</t>
  </si>
  <si>
    <t>UG22F2</t>
  </si>
  <si>
    <t>Unité équipement  univers vega D h300 l500 p disjoncteur branchement +compteur</t>
  </si>
  <si>
    <t>190.2492€</t>
  </si>
  <si>
    <t>UK21R1</t>
  </si>
  <si>
    <t>Unité équipement h 300mm l250mm p interrupteur à coup apparente HA 125 et 160A</t>
  </si>
  <si>
    <t>91.5814€</t>
  </si>
  <si>
    <t>UM92D1</t>
  </si>
  <si>
    <t>Connecteur disjoncteur -  interrupteur 400A commande débrochable</t>
  </si>
  <si>
    <t>260.0855€</t>
  </si>
  <si>
    <t>UD11B4</t>
  </si>
  <si>
    <t>Unité équipement univers h 225mm l 250mm p appareils modulaires 1rangée x 10mod</t>
  </si>
  <si>
    <t>62.1049€</t>
  </si>
  <si>
    <t>UD22A5</t>
  </si>
  <si>
    <t>Unité équipement vega D-univers l500 h300 pour borniers 2 rangées 2x9mod 2 rails</t>
  </si>
  <si>
    <t>122.034€</t>
  </si>
  <si>
    <t>UD31B3</t>
  </si>
  <si>
    <t>Unité équipement univers l250 h450 p appareils modulaires 3 rangées x 10 mod</t>
  </si>
  <si>
    <t>96.6726€</t>
  </si>
  <si>
    <t>UG22F1</t>
  </si>
  <si>
    <t>Unité équipement  univers vega D h300 l500 p disjoncteur branchement mono ou tri</t>
  </si>
  <si>
    <t>125.5514€</t>
  </si>
  <si>
    <t>UK21A3</t>
  </si>
  <si>
    <t>Unité équipement univers h 300mm l250mm 1 tr disjoncteur int hn h c 160A</t>
  </si>
  <si>
    <t>99.6783€</t>
  </si>
  <si>
    <t>UK41C3</t>
  </si>
  <si>
    <t>Unité équipement univers h600mm l250mm 1 tr disjoncteur int hn h c 400 630A</t>
  </si>
  <si>
    <t>197.8172€</t>
  </si>
  <si>
    <t>UD01F1</t>
  </si>
  <si>
    <t>Jeu 2 plastrons pleins d'extrémité 1 travée h 75 mm l 250mm univers</t>
  </si>
  <si>
    <t>UD11B3</t>
  </si>
  <si>
    <t>Unité équipement univers h 150mm l 250mm p appareils modulaires 1rangée x 10mod</t>
  </si>
  <si>
    <t>55.3625€</t>
  </si>
  <si>
    <t>UD21G1</t>
  </si>
  <si>
    <t>Unité équipement univers l250 h300 2rangées 1x9mod 1x10mod 2rails règlab+2fixes</t>
  </si>
  <si>
    <t>83.9231€</t>
  </si>
  <si>
    <t>UD22G1</t>
  </si>
  <si>
    <t>Unité équipement vega D-univers l500 h300 p borniers et app modulaires 2rangées</t>
  </si>
  <si>
    <t>118.9509€</t>
  </si>
  <si>
    <t>UK31C2</t>
  </si>
  <si>
    <t>Unité équipement h450mm l250mm 1 tr disjoncteur int hn h c 400 630A</t>
  </si>
  <si>
    <t>173.8877€</t>
  </si>
  <si>
    <t>UD21F1</t>
  </si>
  <si>
    <t>Jeu 2 plastrons pleins d'extrémité univers 1 travée h 300 mm l 250mm</t>
  </si>
  <si>
    <t>60.1011€</t>
  </si>
  <si>
    <t>UD42F1</t>
  </si>
  <si>
    <t>Jeu 2 plastrons pleins d'extrémité univers 1 travée h 650 mm l 500mm</t>
  </si>
  <si>
    <t>122.2748€</t>
  </si>
  <si>
    <t>UG21F1</t>
  </si>
  <si>
    <t>Unité équipement h375 l250 avec bloc de cde 1 travee pour disjr de branchement</t>
  </si>
  <si>
    <t>172.6407€</t>
  </si>
  <si>
    <t>UD12F4</t>
  </si>
  <si>
    <t>Jeu 2 plastrons pleins d'extrémité univers 2 travées h 225 mm l 500mm</t>
  </si>
  <si>
    <t>63.2573€</t>
  </si>
  <si>
    <t>UD21C2</t>
  </si>
  <si>
    <t>Unité équipement univers l165 h300 1travée p app spéciaux platine perforée</t>
  </si>
  <si>
    <t>121.733€</t>
  </si>
  <si>
    <t>UD41F1</t>
  </si>
  <si>
    <t>Jeu 2 plastrons pleins d'extrémité univers 1 travée h 650 mm l 250mm</t>
  </si>
  <si>
    <t>95.202€</t>
  </si>
  <si>
    <t>UD12F1</t>
  </si>
  <si>
    <t>Jeu 2 plastrons pleins d'extrémité univers 2 travées h 150 mm l 500mm</t>
  </si>
  <si>
    <t>53.8919€</t>
  </si>
  <si>
    <t>UD22F1</t>
  </si>
  <si>
    <t>Jeu 2 plastrons pleins d'extrémité univers 2 travées h 300 mm l 500mm</t>
  </si>
  <si>
    <t>UD41A2</t>
  </si>
  <si>
    <t>Unité équipement univers l250mm h600mm 1 travée bornier vertical 34 modules</t>
  </si>
  <si>
    <t>140.524€</t>
  </si>
  <si>
    <t>UD02F2</t>
  </si>
  <si>
    <t>Jeu 2 plastrons pleins d'extrémité 1 travée h 75 mm l 500mm + KS70A univers</t>
  </si>
  <si>
    <t>162.884€</t>
  </si>
  <si>
    <t>UD12B4</t>
  </si>
  <si>
    <t>Unité équipement univers h 225mm l 500mm p appareils modulaires 1rangée x 24mod</t>
  </si>
  <si>
    <t>72.4679€</t>
  </si>
  <si>
    <t>UD22C2</t>
  </si>
  <si>
    <t>Unité équipement vega D-univers l500 h300 app spéciaux platine perforée règlable</t>
  </si>
  <si>
    <t>154.8344€</t>
  </si>
  <si>
    <t>UD32F1</t>
  </si>
  <si>
    <t>Jeu 2 plastrons pleins d'extrémité univers 1 travée h 450 mm l 500mm</t>
  </si>
  <si>
    <t>90.2441€</t>
  </si>
  <si>
    <t>UM92U1</t>
  </si>
  <si>
    <t>Connecteur disjoncteur - interrupteur 250A commande directe univers</t>
  </si>
  <si>
    <t>153.6605€</t>
  </si>
  <si>
    <t>UD02F1</t>
  </si>
  <si>
    <t>Jeu 2 plastrons pleins d'extrémité 1 travée h 75 mm l 500mm univers</t>
  </si>
  <si>
    <t>36.9198€</t>
  </si>
  <si>
    <t>UD12B3</t>
  </si>
  <si>
    <t>Unité équipement univers h 150mm l 500mm p appareils modulaires 1rangée x 24mod</t>
  </si>
  <si>
    <t>UD22B6</t>
  </si>
  <si>
    <t>Unité équipement univers  l500 h300 avec goulotte câblage 2rangées 2x24 mod</t>
  </si>
  <si>
    <t>87.1567€</t>
  </si>
  <si>
    <t>UE31D6</t>
  </si>
  <si>
    <t>Unité équipement jeu de barres tétra univers cu 25x10mm 630A 1 travée h400mm</t>
  </si>
  <si>
    <t>385.1983€</t>
  </si>
  <si>
    <t>UG41F1</t>
  </si>
  <si>
    <t>Unité équipement h 675 l250 p compteur électrique + disjoncteur triphasé 675x250</t>
  </si>
  <si>
    <t>305.7687€</t>
  </si>
  <si>
    <t>UK22A2</t>
  </si>
  <si>
    <t>Unité équipement vega D l500 h300 pour inter à coupure visible cde dir.160A</t>
  </si>
  <si>
    <t>103.2258€</t>
  </si>
  <si>
    <t>UK42T1</t>
  </si>
  <si>
    <t>Unité équipement univers  h600mm l500mm p inter à coupure apparente HA4558 630A</t>
  </si>
  <si>
    <t>179.0649€</t>
  </si>
  <si>
    <t>UD01F3</t>
  </si>
  <si>
    <t>Jeu 2 plastrons pleins d'extrémité 1 travée h 50 mm l 250mm univers</t>
  </si>
  <si>
    <t>68.6452€</t>
  </si>
  <si>
    <t>UD21B6</t>
  </si>
  <si>
    <t>Unité équipement univers l250 h300 avec goulotte câblage p app mod 2rangées x10</t>
  </si>
  <si>
    <t>71.3929€</t>
  </si>
  <si>
    <t>UD22B3</t>
  </si>
  <si>
    <t>Unité équipement vega D-univers l500 h300 sans goulotte câblage 2rangées 2x24mod</t>
  </si>
  <si>
    <t>74.949€</t>
  </si>
  <si>
    <t>UE21D3</t>
  </si>
  <si>
    <t>Unité équipement avec jeu de barres tétra univers cu 25x6mm 400A 1 travée h300mm</t>
  </si>
  <si>
    <t>289.3212€</t>
  </si>
  <si>
    <t>UG32F3</t>
  </si>
  <si>
    <t>Unité équipement h 450 l500 p compteur électrique + disjoncteur triphasé 450x500</t>
  </si>
  <si>
    <t>UD01F2</t>
  </si>
  <si>
    <t>Jeu 2 plastrons pleins d'extrémité 1 travée h 75 mm l 250mm + KS70A univers</t>
  </si>
  <si>
    <t>118.2414€</t>
  </si>
  <si>
    <t>UD21B3</t>
  </si>
  <si>
    <t>Unité équipement univers l250 h300 sans goulotte câblage p app mod 2rangées x10</t>
  </si>
  <si>
    <t>61.2191€</t>
  </si>
  <si>
    <t>UE21D2</t>
  </si>
  <si>
    <t>Unité équipement avec jeu de barres tétra univers cu 25x4mm 250A 1 travée h300mm</t>
  </si>
  <si>
    <t>217.3306€</t>
  </si>
  <si>
    <t>UK21S2</t>
  </si>
  <si>
    <t>Unité équipement h 300mm l250mm p interrupteur général coupure visible 250A</t>
  </si>
  <si>
    <t>128.1744€</t>
  </si>
  <si>
    <t>UK32S1</t>
  </si>
  <si>
    <t>Unité équipement h450mm l500mm p interrupteur général coupure visible 400A</t>
  </si>
  <si>
    <t>160.3771€</t>
  </si>
  <si>
    <t>UD11F4</t>
  </si>
  <si>
    <t>Jeu 2 plastrons pleins d'extrémité univers 1 travée h 225 mm l 250mm</t>
  </si>
  <si>
    <t>54.3477€</t>
  </si>
  <si>
    <t>UD21A5</t>
  </si>
  <si>
    <t>Unité équipement univers l250mm h300mm 2 rangéesx9mod 2 rails règlables en prof</t>
  </si>
  <si>
    <t>93.6067€</t>
  </si>
  <si>
    <t>UD32B3</t>
  </si>
  <si>
    <t>Unité équipement univers l500 h450 p appareils modulaires 3 rangées x 24 mod</t>
  </si>
  <si>
    <t>119.4712€</t>
  </si>
  <si>
    <t>UE21D1</t>
  </si>
  <si>
    <t>Unité équipement avec jeu de barres univers tétra cu 25x4mm 160A 1 travée h300mm</t>
  </si>
  <si>
    <t>199.004€</t>
  </si>
  <si>
    <t>UK21S1</t>
  </si>
  <si>
    <t>Unité équipement h 300mm l250mm 1 travée interrupteur 250A</t>
  </si>
  <si>
    <t>113.1975€</t>
  </si>
  <si>
    <t>UM92R1</t>
  </si>
  <si>
    <t>Connecteur disjoncteur - interrupteur 400A commande directe univers</t>
  </si>
  <si>
    <t>260.236€</t>
  </si>
  <si>
    <t>UK32U1</t>
  </si>
  <si>
    <t>Kit univers N pour inverseur 630A 450x500 mm</t>
  </si>
  <si>
    <t>133.3387€</t>
  </si>
  <si>
    <t>UK22V1</t>
  </si>
  <si>
    <t>Kit univers N pour inverseur 125A-160A-250A-400A 300x500 mm</t>
  </si>
  <si>
    <t>UK22U1</t>
  </si>
  <si>
    <t>UK32V1</t>
  </si>
  <si>
    <t>Kit,universN,450x500mm,pour inverseur 630A,avec Commande motorisée</t>
  </si>
  <si>
    <t>UK21LH0</t>
  </si>
  <si>
    <t>Kit.universN.300x250mm.pour Disj. H3+ P160</t>
  </si>
  <si>
    <t>118.7015€</t>
  </si>
  <si>
    <t>UK21LH1</t>
  </si>
  <si>
    <t>Kit.universN.300x250mm.pour Disj. H3+ P250</t>
  </si>
  <si>
    <t>UK21LH1M</t>
  </si>
  <si>
    <t>Kit.universN.300x250mm.pour Disj. H3+ P250.avec commande motorisée</t>
  </si>
  <si>
    <t>UK22LH0</t>
  </si>
  <si>
    <t>Kit.universN.300x500mm.pour 2 Disj. H3+ P160</t>
  </si>
  <si>
    <t>UK22LH1</t>
  </si>
  <si>
    <t>Kit.universN.300x500mm.pour 2 Disj. H3+ P250</t>
  </si>
  <si>
    <t>UK22LH1M</t>
  </si>
  <si>
    <t>Kit.universN.300x500mm.pour 2 Disj. H3+ P250.avec commande motorisée</t>
  </si>
  <si>
    <t>UK31LH1</t>
  </si>
  <si>
    <t>Kit,universN,450x250mm,pour MCCB H3+ P250</t>
  </si>
  <si>
    <t>141.4657€</t>
  </si>
  <si>
    <t>UK31LH1F</t>
  </si>
  <si>
    <t>Kit,universN,450x250mm,pour MCCB H3+ P250,avec interrupteur différentiel</t>
  </si>
  <si>
    <t>UK31LH1FM</t>
  </si>
  <si>
    <t>Kit,universN,450x250mm,MCCB H3+ P250,commonde motorisée,interrupteur différentie</t>
  </si>
  <si>
    <t>UK31LH34</t>
  </si>
  <si>
    <t>Unité équipement h450mm l250mm 1 tr disjoncteur int hn h3+ c 400 630A</t>
  </si>
  <si>
    <t>140.7691€</t>
  </si>
  <si>
    <t>UK41LH34F</t>
  </si>
  <si>
    <t>Unité équipement univers h600mm l250mm 1 tr disjoncteur int hn h3+ c 400 630A</t>
  </si>
  <si>
    <t>160.132€</t>
  </si>
  <si>
    <t>UM92LH1</t>
  </si>
  <si>
    <t>Connecteur.univerN.250A.pourMCCB H3+ P2</t>
  </si>
  <si>
    <t>153.6433€</t>
  </si>
  <si>
    <t>UM92LH4</t>
  </si>
  <si>
    <t>Connecteur disjoncteur diff h3+ - interrupteur diff h3+ 400A commande directe univers</t>
  </si>
  <si>
    <t>238.2501€</t>
  </si>
  <si>
    <t>VE218F</t>
  </si>
  <si>
    <t>Coffret étanche vector IP55 2 rangées 36 modules h 452mm l 418mm</t>
  </si>
  <si>
    <t xml:space="preserve">HAHEDM10 </t>
  </si>
  <si>
    <t>VECTOR</t>
  </si>
  <si>
    <t>221.93€</t>
  </si>
  <si>
    <t>VE212F</t>
  </si>
  <si>
    <t>Coffret étanche vector IP55 2 rangées 24 modules h 427mm l 310mm</t>
  </si>
  <si>
    <t>141.46€</t>
  </si>
  <si>
    <t>VE118F</t>
  </si>
  <si>
    <t>Coffret étanche vector IP55 1 rangée 18 modules h 302mm l 418mm</t>
  </si>
  <si>
    <t>158.05€</t>
  </si>
  <si>
    <t>VE112F</t>
  </si>
  <si>
    <t>Coffret étanche vector IP55 1 rangée 12 modules h 302mm l 310mm</t>
  </si>
  <si>
    <t>85.645€</t>
  </si>
  <si>
    <t>VE412F</t>
  </si>
  <si>
    <t>Coffret étanche vector IP55 4 rangées 48 modules h 677mm l 310mm</t>
  </si>
  <si>
    <t>264.935€</t>
  </si>
  <si>
    <t>VE103F</t>
  </si>
  <si>
    <t>Coffret sécurité vector IP55 IK07 cl.II à équiper 1 rangée 6 modules h190xl165mm</t>
  </si>
  <si>
    <t>39.52€</t>
  </si>
  <si>
    <t>VE318F</t>
  </si>
  <si>
    <t>Coffret étanche vector IP55 3 rangées 54 modules h 602mm l 418mm</t>
  </si>
  <si>
    <t>284.81€</t>
  </si>
  <si>
    <t>VE110F</t>
  </si>
  <si>
    <t>Coffret étanche vector IP55 1 rangée 8+2 modules h 210mm l 237mm</t>
  </si>
  <si>
    <t>64.815€</t>
  </si>
  <si>
    <t>VE312F</t>
  </si>
  <si>
    <t>Coffret étanche vector IP55 3 rangées 36 modules h 552mm l 310mm</t>
  </si>
  <si>
    <t>177.065€</t>
  </si>
  <si>
    <t>VE106F</t>
  </si>
  <si>
    <t>Coffret étanche vector IP55 1 rangée 4+2 modules h 190mm l 165mm</t>
  </si>
  <si>
    <t>52.405€</t>
  </si>
  <si>
    <t>VF112TR</t>
  </si>
  <si>
    <t>Coffret encastré 12 M porte transp.</t>
  </si>
  <si>
    <t xml:space="preserve">HAHEFM10 </t>
  </si>
  <si>
    <t>COF VOLTA/VEGA 12 ENCAS.</t>
  </si>
  <si>
    <t>105.85692€</t>
  </si>
  <si>
    <t>VU12ND</t>
  </si>
  <si>
    <t>Coffret encastré, Volta, 12 M, version France</t>
  </si>
  <si>
    <t>109.48392€</t>
  </si>
  <si>
    <t>VF112PR</t>
  </si>
  <si>
    <t>Coffret encastré 12 M porte opaque</t>
  </si>
  <si>
    <t>98.2098€</t>
  </si>
  <si>
    <t>VF412TR</t>
  </si>
  <si>
    <t>Coffret encastré 48 M porte transp.</t>
  </si>
  <si>
    <t>234.77688€</t>
  </si>
  <si>
    <t>VU48ND</t>
  </si>
  <si>
    <t>Coffret encastré, Volta, 48 M, version France</t>
  </si>
  <si>
    <t>249.9822€</t>
  </si>
  <si>
    <t>VF412PR</t>
  </si>
  <si>
    <t>Coffret encastré 48 M porte opaque</t>
  </si>
  <si>
    <t>217.76976€</t>
  </si>
  <si>
    <t>VF212TR</t>
  </si>
  <si>
    <t>Coffret encastré 24 M porte transp.</t>
  </si>
  <si>
    <t>145.2672€</t>
  </si>
  <si>
    <t>VU36ND</t>
  </si>
  <si>
    <t>Coffret encastré, Volta, 36 M, version France</t>
  </si>
  <si>
    <t>196.70508€</t>
  </si>
  <si>
    <t>VF212PR</t>
  </si>
  <si>
    <t>Coffret encastré 24 M porte opaque</t>
  </si>
  <si>
    <t>134.70912€</t>
  </si>
  <si>
    <t>VF312TR</t>
  </si>
  <si>
    <t>Coffret encastré 36 M porte transp.</t>
  </si>
  <si>
    <t>186.1002€</t>
  </si>
  <si>
    <t>VU24ND</t>
  </si>
  <si>
    <t>Coffret encastré, Volta, 24 M, version France</t>
  </si>
  <si>
    <t>150.2748€</t>
  </si>
  <si>
    <t>VF312PR</t>
  </si>
  <si>
    <t>Coffret encastré 36 M porte opaque</t>
  </si>
  <si>
    <t>172.43928€</t>
  </si>
  <si>
    <t>VF418TR</t>
  </si>
  <si>
    <t>Coffret encastré 72 M porte transp.</t>
  </si>
  <si>
    <t xml:space="preserve">HAHECM10 </t>
  </si>
  <si>
    <t>COFFRET VEGA 18 SAILLI/ENCAS</t>
  </si>
  <si>
    <t>450.65€</t>
  </si>
  <si>
    <t>VF418PR</t>
  </si>
  <si>
    <t>Coffret encastré 72 M porte opaque</t>
  </si>
  <si>
    <t>431.22€</t>
  </si>
  <si>
    <t>VF218TR</t>
  </si>
  <si>
    <t>243.835€</t>
  </si>
  <si>
    <t>VF218PR</t>
  </si>
  <si>
    <t>233.275€</t>
  </si>
  <si>
    <t>VF318TR</t>
  </si>
  <si>
    <t>Coffret encastré 54 M porte transp.</t>
  </si>
  <si>
    <t>341.37€</t>
  </si>
  <si>
    <t>VF318PR</t>
  </si>
  <si>
    <t>Coffret encastré 54 M porte opaque</t>
  </si>
  <si>
    <t>326.635€</t>
  </si>
  <si>
    <t>VF118TR</t>
  </si>
  <si>
    <t>Coffret encastré 18 M porte transp.</t>
  </si>
  <si>
    <t>161.245€</t>
  </si>
  <si>
    <t>VF118PR</t>
  </si>
  <si>
    <t>Coffret encastré 18 M porte opaque</t>
  </si>
  <si>
    <t>154.285€</t>
  </si>
  <si>
    <t>VS112PR</t>
  </si>
  <si>
    <t>Coffret saillie 12 M porte opaque</t>
  </si>
  <si>
    <t xml:space="preserve">HAHEBM10 </t>
  </si>
  <si>
    <t>COF GALA/VEGA 12 SAILLIE</t>
  </si>
  <si>
    <t>68.03€</t>
  </si>
  <si>
    <t>VS412TR</t>
  </si>
  <si>
    <t>Coffret saillie 48 M porte transp.</t>
  </si>
  <si>
    <t>162.7€</t>
  </si>
  <si>
    <t>VS412PR</t>
  </si>
  <si>
    <t>Coffret saillie 48 M porte opaque</t>
  </si>
  <si>
    <t>150.89€</t>
  </si>
  <si>
    <t>VS312TR</t>
  </si>
  <si>
    <t>Coffret saillie 36 M porte transp.</t>
  </si>
  <si>
    <t>128.85€</t>
  </si>
  <si>
    <t>VS312PR</t>
  </si>
  <si>
    <t>Coffret saillie 36 M porte opaque</t>
  </si>
  <si>
    <t>119.485€</t>
  </si>
  <si>
    <t>VS212TR</t>
  </si>
  <si>
    <t>Coffret saillie 24 M porte transp.</t>
  </si>
  <si>
    <t>100.84€</t>
  </si>
  <si>
    <t>VS212PR</t>
  </si>
  <si>
    <t>Coffret saillie 24 M porte opaque</t>
  </si>
  <si>
    <t>93.58€</t>
  </si>
  <si>
    <t>VS112TR</t>
  </si>
  <si>
    <t>Coffret saillie 12 M porte transp.</t>
  </si>
  <si>
    <t>73.345€</t>
  </si>
  <si>
    <t>WE045</t>
  </si>
  <si>
    <t>Double InterBP Duo essensya double va-et-vient ou double poussoir à voyant pure</t>
  </si>
  <si>
    <t xml:space="preserve">HAMEMM05 </t>
  </si>
  <si>
    <t>ESSENSYA MECANISMES</t>
  </si>
  <si>
    <t>20.34€</t>
  </si>
  <si>
    <t>WE253</t>
  </si>
  <si>
    <t>Essensya Prise TV+FM directe</t>
  </si>
  <si>
    <t>21.234€</t>
  </si>
  <si>
    <t>WE00150</t>
  </si>
  <si>
    <t>Essensya Lot de 50 interrupteurs va-et-vient 10A</t>
  </si>
  <si>
    <t>222.546€</t>
  </si>
  <si>
    <t>WE044G</t>
  </si>
  <si>
    <t>Double InterBP Duo essensya double va-et-vient ou double poussoir à griffes pure</t>
  </si>
  <si>
    <t>15.642€</t>
  </si>
  <si>
    <t>WE300</t>
  </si>
  <si>
    <t>Essensya double va-et-vient volet roulant</t>
  </si>
  <si>
    <t>20.694€</t>
  </si>
  <si>
    <t>WE023</t>
  </si>
  <si>
    <t>InterBP Duo essensya va-et-vient ou poussoir à voyant pure</t>
  </si>
  <si>
    <t>8.616€</t>
  </si>
  <si>
    <t>WE044</t>
  </si>
  <si>
    <t>Double InterBP Duo essensya double va-et-vient ou double poussoir pure</t>
  </si>
  <si>
    <t>14.454€</t>
  </si>
  <si>
    <t>WE155</t>
  </si>
  <si>
    <t>Essensya sortie de câble</t>
  </si>
  <si>
    <t>4.23€</t>
  </si>
  <si>
    <t>WE022G</t>
  </si>
  <si>
    <t>InterBP Duo essensya va-et-vient ou poussoir à griffes pure</t>
  </si>
  <si>
    <t>6.276€</t>
  </si>
  <si>
    <t>WE290</t>
  </si>
  <si>
    <t>Essensya Prise haut parleur simple</t>
  </si>
  <si>
    <t>8.778€</t>
  </si>
  <si>
    <t>WE022</t>
  </si>
  <si>
    <t>InterBP Duo essensya va-et-vient ou poussoir pure</t>
  </si>
  <si>
    <t>5.076€</t>
  </si>
  <si>
    <t>WE063</t>
  </si>
  <si>
    <t>Essensya variateur rotatif 400VA pour transformateur ferromagnétique</t>
  </si>
  <si>
    <t>64.368€</t>
  </si>
  <si>
    <t>WE102G</t>
  </si>
  <si>
    <t>Essensya prise de courant 2P 16A 250V à vis à griffes</t>
  </si>
  <si>
    <t>6.654€</t>
  </si>
  <si>
    <t>WE250</t>
  </si>
  <si>
    <t>essensya prise TV simple. prise directe. finition pure</t>
  </si>
  <si>
    <t>9.63€</t>
  </si>
  <si>
    <t>WE259</t>
  </si>
  <si>
    <t>Essensya Prise TV type \F\""</t>
  </si>
  <si>
    <t>12.522€</t>
  </si>
  <si>
    <t>WE001</t>
  </si>
  <si>
    <t>essensya interrupteur électrique va-et-vient 10A. finition pure</t>
  </si>
  <si>
    <t>4.626€</t>
  </si>
  <si>
    <t>WE010</t>
  </si>
  <si>
    <t>Essensya Permutateur 10A</t>
  </si>
  <si>
    <t>WE049</t>
  </si>
  <si>
    <t>InterBP VMC essensya va-et-vient ou poussoir VMC pure</t>
  </si>
  <si>
    <t>10.722€</t>
  </si>
  <si>
    <t>WE102</t>
  </si>
  <si>
    <t>Essensya prise de courant 2P 16A 250V à vis</t>
  </si>
  <si>
    <t>5.856€</t>
  </si>
  <si>
    <t>WE226</t>
  </si>
  <si>
    <t>essensya prise RJ45 Catégorie 6 STP pour Grade 3 Blanc</t>
  </si>
  <si>
    <t>WE046</t>
  </si>
  <si>
    <t>InterBP Duo+InterBP Duo à voyant essensya pure</t>
  </si>
  <si>
    <t>19.068€</t>
  </si>
  <si>
    <t>WE040</t>
  </si>
  <si>
    <t>essensya double interrupteur va-et-vient 10A. 2 boutons. finition pure</t>
  </si>
  <si>
    <t>13.14€</t>
  </si>
  <si>
    <t>WE200</t>
  </si>
  <si>
    <t>Essensya Prise Téléphone T</t>
  </si>
  <si>
    <t>13.206€</t>
  </si>
  <si>
    <t>WE310</t>
  </si>
  <si>
    <t>Essensya Thermostat d'ambiance électronique</t>
  </si>
  <si>
    <t>115.392€</t>
  </si>
  <si>
    <t>WE100G</t>
  </si>
  <si>
    <t>Essensya prise de courant 2P+T 16A 250V SanVis à griffes</t>
  </si>
  <si>
    <t>5.694€</t>
  </si>
  <si>
    <t>WE157</t>
  </si>
  <si>
    <t>essensya obturateur pour appareillage mural. finition pure</t>
  </si>
  <si>
    <t>6.216€</t>
  </si>
  <si>
    <t>WE257</t>
  </si>
  <si>
    <t>Essensya prise TV+FM+SAT directe 2entrées</t>
  </si>
  <si>
    <t>30.852€</t>
  </si>
  <si>
    <t>WE301</t>
  </si>
  <si>
    <t>Essensya Double poussoir volet roulant</t>
  </si>
  <si>
    <t>22.482€</t>
  </si>
  <si>
    <t>WE025</t>
  </si>
  <si>
    <t>InterBP Duo essensya va-et-vient ou poussoir porte-étiquette pure</t>
  </si>
  <si>
    <t>6.498€</t>
  </si>
  <si>
    <t>WE10050</t>
  </si>
  <si>
    <t>Essensya Lot de 50 prises de courant 2P+T 16A 250V SanVis</t>
  </si>
  <si>
    <t>191.244€</t>
  </si>
  <si>
    <t>WE156</t>
  </si>
  <si>
    <t>6.426€</t>
  </si>
  <si>
    <t>WE256</t>
  </si>
  <si>
    <t>Essensya Prise TV+FM+SAT directe 1entrée</t>
  </si>
  <si>
    <t>26.514€</t>
  </si>
  <si>
    <t>WE100</t>
  </si>
  <si>
    <t>Essensya prise de courant 2P+T 16A 250V SanVis</t>
  </si>
  <si>
    <t>3.954€</t>
  </si>
  <si>
    <t>WE122</t>
  </si>
  <si>
    <t>Essensya prise de courant de courant double 2P+T</t>
  </si>
  <si>
    <t>12.858€</t>
  </si>
  <si>
    <t>WE123</t>
  </si>
  <si>
    <t>Essensya prise de courant de courant triple 2P+T</t>
  </si>
  <si>
    <t>19.524€</t>
  </si>
  <si>
    <t>WE258</t>
  </si>
  <si>
    <t>essensya Prise TV double type F pour réseaux câblés</t>
  </si>
  <si>
    <t>26.712€</t>
  </si>
  <si>
    <t>WE154</t>
  </si>
  <si>
    <t>Essensya sortie de câble étanche blanc</t>
  </si>
  <si>
    <t>8.076€</t>
  </si>
  <si>
    <t>WE228</t>
  </si>
  <si>
    <t>essensya prise RJ45 Catégorie 6a STP pour Grade 3 TV Blanc</t>
  </si>
  <si>
    <t>16.488€</t>
  </si>
  <si>
    <t>WE697</t>
  </si>
  <si>
    <t>Griffes longues Essensya</t>
  </si>
  <si>
    <t>0.75€</t>
  </si>
  <si>
    <t>WE062</t>
  </si>
  <si>
    <t>Variateur Rotatif pure essensya</t>
  </si>
  <si>
    <t>WE112</t>
  </si>
  <si>
    <t>Chargeur double USB A+A blanc essensya</t>
  </si>
  <si>
    <t>32.67€</t>
  </si>
  <si>
    <t>WE052</t>
  </si>
  <si>
    <t>L\'interrupteur automatique 2 fils WE052 fait partie de la gamme Essensya. Pure. A compléter d\'une plaque de finition Essensya pour une solution complète.</t>
  </si>
  <si>
    <t>75.24€</t>
  </si>
  <si>
    <t>WE053</t>
  </si>
  <si>
    <t>L\'interrupteur automatique 3 fils WE053 fait partie de la gamme Essensya. Pure. A compléter d\'une plaque de finition Essensya pour une solution complète.</t>
  </si>
  <si>
    <t>85.17€</t>
  </si>
  <si>
    <t>WE054</t>
  </si>
  <si>
    <t>L\'interrupteur automatique pour escalier et esclave WE054 fait partie de la gamme Essensya. Pure. A compléter d\'une plaque de finition Essensya pour une solution complète.</t>
  </si>
  <si>
    <t>69.12€</t>
  </si>
  <si>
    <t>WE113</t>
  </si>
  <si>
    <t>La prise double USB A+C 15W WE113 fait partie de la gamme Essensya. Pure. A compléter d\'une plaque de finition Essensya pour une solution complète.</t>
  </si>
  <si>
    <t>32.664€</t>
  </si>
  <si>
    <t>WE104</t>
  </si>
  <si>
    <t>Prise de courant 2P+T essensya spéciale rénovation Pure</t>
  </si>
  <si>
    <t>5.286€</t>
  </si>
  <si>
    <t>WE222</t>
  </si>
  <si>
    <t>La prise RJ45 cat 5e FTP WE222 fait partie de la gamme Essensya. Pure. A compléter d\'une plaque de finition Essensya pour une solution complète.</t>
  </si>
  <si>
    <t>19.6€</t>
  </si>
  <si>
    <t>11.172€</t>
  </si>
  <si>
    <t>WE224</t>
  </si>
  <si>
    <t>La prise RJ45 cat 6 FTP WE224 fait partie de la gamme Essensya. Pure. A compléter d\'une plaque de finition Essensya pour une solution complète.</t>
  </si>
  <si>
    <t>13.704€</t>
  </si>
  <si>
    <t>WE225</t>
  </si>
  <si>
    <t>Prise RJ45 simple essensya catégorie 6 UTP Pure</t>
  </si>
  <si>
    <t>13.308€</t>
  </si>
  <si>
    <t>WE227</t>
  </si>
  <si>
    <t>Prise RJ45 double essensya catégorie 6 STP grade 2 TV Pure</t>
  </si>
  <si>
    <t>31.896€</t>
  </si>
  <si>
    <t>WE229</t>
  </si>
  <si>
    <t>Prise RJ45 double essensya catégorie 6A STP grade 3 TV Pure</t>
  </si>
  <si>
    <t>33.42€</t>
  </si>
  <si>
    <t>WE115</t>
  </si>
  <si>
    <t>Chargeur USB-C 65W pure</t>
  </si>
  <si>
    <t>69.156€</t>
  </si>
  <si>
    <t>WE106</t>
  </si>
  <si>
    <t>La prise de courant affleurante 2P+T 16A WE106 finition Pure fait partie de la gamme Essensya. Cette référence regroupe le support. le mécanisme et l\'enjoliveur.</t>
  </si>
  <si>
    <t>WE10650</t>
  </si>
  <si>
    <t>Prise de courant affleurante 2P+T carton de 50</t>
  </si>
  <si>
    <t>WE106G</t>
  </si>
  <si>
    <t>Prise de courant affleurante 2P+T pure avec griffes</t>
  </si>
  <si>
    <t>WE114</t>
  </si>
  <si>
    <t>Prise de courant affleurante + USB-C pure</t>
  </si>
  <si>
    <t>34.038€</t>
  </si>
  <si>
    <t>WE116</t>
  </si>
  <si>
    <t>Le chargeur USB C+C WE116A fait partie de la gamme Essensya. Permet de brancher deux produits USB de type C sur le même appareillage mural de puissance 20w chacun.</t>
  </si>
  <si>
    <t>26.874€</t>
  </si>
  <si>
    <t>WE116A</t>
  </si>
  <si>
    <t>Le chargeur USB C+C WE116 fait partie de la gamme Essensya. Permet de brancher deux produits USB de type C sur le même appareillage mural de puissance 20w chacun.</t>
  </si>
  <si>
    <t>27.648€</t>
  </si>
  <si>
    <t>WE132</t>
  </si>
  <si>
    <t>Double PC affleurantes pré-montées blanc</t>
  </si>
  <si>
    <t>11.91€</t>
  </si>
  <si>
    <t>WE133</t>
  </si>
  <si>
    <t>Triple PC affleurantes pré-montées blanc</t>
  </si>
  <si>
    <t>16.278€</t>
  </si>
  <si>
    <t>WE402</t>
  </si>
  <si>
    <t>Essensya Plaque 2 postes réversible entraxe 71mm Blanc</t>
  </si>
  <si>
    <t xml:space="preserve">HAMEPM05 </t>
  </si>
  <si>
    <t>ESSENSYA PLAQUES</t>
  </si>
  <si>
    <t>2.755€</t>
  </si>
  <si>
    <t>WE40150</t>
  </si>
  <si>
    <t>Plaque de finition Essensya 1 poste Pure lot de 50</t>
  </si>
  <si>
    <t>57.415€</t>
  </si>
  <si>
    <t>WE681</t>
  </si>
  <si>
    <t>Essensya Boîte 1 poste pour montage en saillie</t>
  </si>
  <si>
    <t>4.305€</t>
  </si>
  <si>
    <t>WE401</t>
  </si>
  <si>
    <t>Plaque de finition Essensya 1 poste Pure</t>
  </si>
  <si>
    <t>1.245€</t>
  </si>
  <si>
    <t>WE407</t>
  </si>
  <si>
    <t>essensya Plaque 3 postes verticale entraxe 57mm, Blanc</t>
  </si>
  <si>
    <t>5.54€</t>
  </si>
  <si>
    <t>WE406</t>
  </si>
  <si>
    <t>essensya Plaque 2 postes verticale entraxe 57mm, Blanc</t>
  </si>
  <si>
    <t>3.095€</t>
  </si>
  <si>
    <t>WE403</t>
  </si>
  <si>
    <t>Essensya Plaque 3 postes réversible entraxe 71mm Blanc</t>
  </si>
  <si>
    <t>5.61€</t>
  </si>
  <si>
    <t>WE450</t>
  </si>
  <si>
    <t>essensya Support à vis</t>
  </si>
  <si>
    <t>1.34€</t>
  </si>
  <si>
    <t>WE404</t>
  </si>
  <si>
    <t>essensya Plaque 4 postes réversible entraxe 71mm Blanc</t>
  </si>
  <si>
    <t>6.545€</t>
  </si>
  <si>
    <t>WE682</t>
  </si>
  <si>
    <t>essensya Boîte 2 postes pour montage en saillie</t>
  </si>
  <si>
    <t>7.575€</t>
  </si>
  <si>
    <t>WE451</t>
  </si>
  <si>
    <t>support essensya pour gallery</t>
  </si>
  <si>
    <t>WE450R</t>
  </si>
  <si>
    <t>Support RF saillie essensya</t>
  </si>
  <si>
    <t>1.305€</t>
  </si>
  <si>
    <t>WE408</t>
  </si>
  <si>
    <t>Plaque 16 modules essensya Pure</t>
  </si>
  <si>
    <t>16.84€</t>
  </si>
  <si>
    <t>EK083</t>
  </si>
  <si>
    <t>Sonde universelle pour chauffage électrique à associer au EK186</t>
  </si>
  <si>
    <t xml:space="preserve">HACOMM15 </t>
  </si>
  <si>
    <t>TH MOD+ SONDES</t>
  </si>
  <si>
    <t>101.76€</t>
  </si>
  <si>
    <t>EMS005B</t>
  </si>
  <si>
    <t>Minuterie multifonction SanVis</t>
  </si>
  <si>
    <t xml:space="preserve">HAHAGM03 </t>
  </si>
  <si>
    <t>MINUTERIES</t>
  </si>
  <si>
    <t>102.6864€</t>
  </si>
  <si>
    <t>EMS001B</t>
  </si>
  <si>
    <t>Minuterie simple temporisation connexion SanVis</t>
  </si>
  <si>
    <t>51.3648€</t>
  </si>
  <si>
    <t>EMN001</t>
  </si>
  <si>
    <t>Minuterie simple temporisation</t>
  </si>
  <si>
    <t>49.224€</t>
  </si>
  <si>
    <t>FP51QS</t>
  </si>
  <si>
    <t>Armoire univers IP44 classe II h 800mm l 300mm p 205mm</t>
  </si>
  <si>
    <t xml:space="preserve">HATEUM03 </t>
  </si>
  <si>
    <t>UNIVERS ARMOIRES</t>
  </si>
  <si>
    <t>386.9656€</t>
  </si>
  <si>
    <t>FP93QS</t>
  </si>
  <si>
    <t>Armoire univers IP44 classe II h 1400mm l 800mm p 205mm</t>
  </si>
  <si>
    <t>1600.2665€</t>
  </si>
  <si>
    <t>FL53S</t>
  </si>
  <si>
    <t>Armoire univers h850 l 850 p 300 IP65 IK10 cl.II RAL7035 (liv sans montants)</t>
  </si>
  <si>
    <t>922.651€</t>
  </si>
  <si>
    <t>FP72QS</t>
  </si>
  <si>
    <t>Armoire univers IP44 classe II h 1100mm l 550mm p 205mm</t>
  </si>
  <si>
    <t>861.8748€</t>
  </si>
  <si>
    <t>FP92QS</t>
  </si>
  <si>
    <t>Armoire univers IP44 classe II h 1400mm l 550mm p 205mm</t>
  </si>
  <si>
    <t>1006.3333€</t>
  </si>
  <si>
    <t>FP32QS</t>
  </si>
  <si>
    <t>Armoire univers IP44 classe II h 500 l 550mm p 205mm</t>
  </si>
  <si>
    <t>492.4575€</t>
  </si>
  <si>
    <t>FL32S</t>
  </si>
  <si>
    <t>Armoire polyester univers 500x550x300 mm,IP65 cl.II</t>
  </si>
  <si>
    <t>618.9678€</t>
  </si>
  <si>
    <t>FL73S</t>
  </si>
  <si>
    <t>Armoire univers h850 l 1150 p 300 IP65 IK10 cl.II RAL 7035 (liv sans montant)</t>
  </si>
  <si>
    <t>1167.8542€</t>
  </si>
  <si>
    <t>FP53QS</t>
  </si>
  <si>
    <t>Armoire univers IP44 classe II h 800mm l 800mm p 205mm</t>
  </si>
  <si>
    <t>983.1305€</t>
  </si>
  <si>
    <t>FL72S</t>
  </si>
  <si>
    <t>Armoire univers h600 l 1150 p 300 IP65 IK10 cl.II RAL 7035 (liv sans montant)</t>
  </si>
  <si>
    <t>1067.6728€</t>
  </si>
  <si>
    <t>FP42QS</t>
  </si>
  <si>
    <t>Armoire univers IP44 classe II h 650mm l 550mm p 205mm</t>
  </si>
  <si>
    <t>579.3433€</t>
  </si>
  <si>
    <t>FP94QS</t>
  </si>
  <si>
    <t>Armoire univers IP44 classe II h 1400mm l 1050mm p 205mm</t>
  </si>
  <si>
    <t>2002.9873€</t>
  </si>
  <si>
    <t>FP31QS</t>
  </si>
  <si>
    <t>Armoire univers IP44 classe II h 500mm l 300mm p 205mm</t>
  </si>
  <si>
    <t>319.3008€</t>
  </si>
  <si>
    <t>FP41QS</t>
  </si>
  <si>
    <t>Armoire univers IP44 classe II h 650mm l 300mm p 205mm</t>
  </si>
  <si>
    <t>356.4012€</t>
  </si>
  <si>
    <t>FP74QS</t>
  </si>
  <si>
    <t>Armoire univers IP44 classe II h 1100mm l 1050mm p 205mm</t>
  </si>
  <si>
    <t>1485.8134€</t>
  </si>
  <si>
    <t>FL52S</t>
  </si>
  <si>
    <t>Armoire univers IP65 IK10 cl.II  h600 l 850mm p300mm RAL7035 (liv sans montants)</t>
  </si>
  <si>
    <t>849.3618€</t>
  </si>
  <si>
    <t>FP52QS</t>
  </si>
  <si>
    <t>Armoire univers IP44 classe II h 800mm l 550mm p 205mm</t>
  </si>
  <si>
    <t>686.2843€</t>
  </si>
  <si>
    <t>FP73QS</t>
  </si>
  <si>
    <t>Armoire univers IP44 classe II h 1100mm l 800mm p 205mm</t>
  </si>
  <si>
    <t>1190.068€</t>
  </si>
  <si>
    <t>FR21H1</t>
  </si>
  <si>
    <t>Armoire univers IP55 Classe II 1950x300x400 avec socle h100</t>
  </si>
  <si>
    <t>1145.8382€</t>
  </si>
  <si>
    <t>FR21S1</t>
  </si>
  <si>
    <t>Armoire univers IP55 Classe II 1950x300x275  avec socle h100</t>
  </si>
  <si>
    <t>839.0719€</t>
  </si>
  <si>
    <t>FR22H1</t>
  </si>
  <si>
    <t>Armoire univers IP55 Classe II 1950x550x400  avec socle h100</t>
  </si>
  <si>
    <t>1709.2629€</t>
  </si>
  <si>
    <t>FR22S1</t>
  </si>
  <si>
    <t>Armoire univers IP55 Classe II 1950x550x275  avec socle h100</t>
  </si>
  <si>
    <t>1678.7931€</t>
  </si>
  <si>
    <t>FR23H1</t>
  </si>
  <si>
    <t>Armoire univers IP55 Classe II 1950x800x400  avec socle h100</t>
  </si>
  <si>
    <t>2311.9724€</t>
  </si>
  <si>
    <t>FR23S1</t>
  </si>
  <si>
    <t>Armoire univers IP55 Classe II 1950x800x275  avec socle h100</t>
  </si>
  <si>
    <t>2292.3257€</t>
  </si>
  <si>
    <t>FR24H1</t>
  </si>
  <si>
    <t>Armoire univers IP55 Classe II 1950x1050x400  avec socle h100</t>
  </si>
  <si>
    <t>2997.2978€</t>
  </si>
  <si>
    <t>FR24S1</t>
  </si>
  <si>
    <t>Armoire univers IP55 Classe II 1950x1050x275  avec socle h100</t>
  </si>
  <si>
    <t>2932.9526€</t>
  </si>
  <si>
    <t>FR25H1</t>
  </si>
  <si>
    <t>Armoire univers IP55 Classe II 1950x1300x400  avec socle h100</t>
  </si>
  <si>
    <t>3660.934€</t>
  </si>
  <si>
    <t>FR25S1</t>
  </si>
  <si>
    <t>Armoire univers IP55 Classe II 1950x1300x275  avec socle h100</t>
  </si>
  <si>
    <t>3581.7065€</t>
  </si>
  <si>
    <t>FR26H1</t>
  </si>
  <si>
    <t>Armoire univers IP55 Classe II 1950x1550x400  avec socle h100</t>
  </si>
  <si>
    <t>4134.2995€</t>
  </si>
  <si>
    <t>FR26S1</t>
  </si>
  <si>
    <t>Armoire univers IP55 Classe II 1950x1550x275 avec socle h100</t>
  </si>
  <si>
    <t>4045.5862€</t>
  </si>
  <si>
    <t>FR32S</t>
  </si>
  <si>
    <t>Coffret univers IP55 Classe II 500x550x275</t>
  </si>
  <si>
    <t>633.2008€</t>
  </si>
  <si>
    <t>FR33S</t>
  </si>
  <si>
    <t>Coffret univers IP55 Classe II 500x800x275</t>
  </si>
  <si>
    <t>811.3111€</t>
  </si>
  <si>
    <t>FR34S</t>
  </si>
  <si>
    <t>Coffret univers IP55 Classe II 500x1050x275</t>
  </si>
  <si>
    <t>1145.1588€</t>
  </si>
  <si>
    <t>FR42S</t>
  </si>
  <si>
    <t>Coffret univers IP55 Classe II 650x550x275</t>
  </si>
  <si>
    <t>732.7501€</t>
  </si>
  <si>
    <t>FR52S</t>
  </si>
  <si>
    <t>Coffret univers IP55 Classe II 800x550x275</t>
  </si>
  <si>
    <t>846.5152€</t>
  </si>
  <si>
    <t>FR53S</t>
  </si>
  <si>
    <t>Coffret univers IP55 Classe II 800x800x275</t>
  </si>
  <si>
    <t>1153.9695€</t>
  </si>
  <si>
    <t>FR72S</t>
  </si>
  <si>
    <t>Coffret univers IP55 Classe II 1100x550x275</t>
  </si>
  <si>
    <t>1099.7981€</t>
  </si>
  <si>
    <t>FR73S</t>
  </si>
  <si>
    <t>Coffret univers IP55 Classe II 1100x800x275</t>
  </si>
  <si>
    <t>994.8308€</t>
  </si>
  <si>
    <t>FR74S</t>
  </si>
  <si>
    <t>Coffret univers IP55 Classe II 1100x1050x275</t>
  </si>
  <si>
    <t>1798.6642€</t>
  </si>
  <si>
    <t>FR84S</t>
  </si>
  <si>
    <t>Coffret univers IP55 Classe II 1250x1050x275</t>
  </si>
  <si>
    <t>2066.8337€</t>
  </si>
  <si>
    <t>FR92H</t>
  </si>
  <si>
    <t>Coffret univers IP55 Classe II 1400x550x400</t>
  </si>
  <si>
    <t>1420.7845€</t>
  </si>
  <si>
    <t>FR92S</t>
  </si>
  <si>
    <t>Coffret univers IP55 Classe II 1400x550x275</t>
  </si>
  <si>
    <t>1395.0576€</t>
  </si>
  <si>
    <t>FR93H</t>
  </si>
  <si>
    <t>Coffret univers IP55 Classe II 1400x800x400</t>
  </si>
  <si>
    <t>2037.0261€</t>
  </si>
  <si>
    <t>FR93S</t>
  </si>
  <si>
    <t>Coffret univers IP55 Classe II 1400x800x275</t>
  </si>
  <si>
    <t>2019.4133€</t>
  </si>
  <si>
    <t>FR94H</t>
  </si>
  <si>
    <t>Coffret univers IP55 Classe II 1400x1050x400</t>
  </si>
  <si>
    <t>2587.5809€</t>
  </si>
  <si>
    <t>FR94S</t>
  </si>
  <si>
    <t>Coffret univers IP55 Classe II 1400x1050x275</t>
  </si>
  <si>
    <t>2532.0507€</t>
  </si>
  <si>
    <t>FP31SN2</t>
  </si>
  <si>
    <t>Armoire de notre gamme univers. IP44. Classe 2 et de dimensions 500x300x205mm</t>
  </si>
  <si>
    <t>317.7442€</t>
  </si>
  <si>
    <t>FP32SN2</t>
  </si>
  <si>
    <t>Armoire de notre gamme univers. IP44. Classe 2 et de dimensions 500x550x205mm</t>
  </si>
  <si>
    <t>490.0581€</t>
  </si>
  <si>
    <t>FP41SN2</t>
  </si>
  <si>
    <t>Armoire de notre gamme univers. IP44. Classe 2 et de dimensions 650x300x205mm</t>
  </si>
  <si>
    <t>354.6597€</t>
  </si>
  <si>
    <t>FP42SN2</t>
  </si>
  <si>
    <t>Armoire de notre gamme univers. IP44. Classe 2 et de dimensions 650x550x205mm</t>
  </si>
  <si>
    <t>576.5139€</t>
  </si>
  <si>
    <t>FP51SN2</t>
  </si>
  <si>
    <t>Armoire de notre gamme univers. IP44. Classe 2 et de dimensions 800x300x205mm</t>
  </si>
  <si>
    <t>385.0779€</t>
  </si>
  <si>
    <t>FP52SN2</t>
  </si>
  <si>
    <t>Armoire de notre gamme univers. IP44. Classe 2 et de dimensions 800x550x205mm</t>
  </si>
  <si>
    <t>682.9303€</t>
  </si>
  <si>
    <t>FP53SN2</t>
  </si>
  <si>
    <t>Armoire de notre gamme univers. IP44. Classe 2 et de dimensions 800x800x205mm</t>
  </si>
  <si>
    <t>978.3274€</t>
  </si>
  <si>
    <t>FP72SN2</t>
  </si>
  <si>
    <t>Armoire de notre gamme univers. IP44. Classe 2 et de dimensions 1100x550x205mm</t>
  </si>
  <si>
    <t>857.6694€</t>
  </si>
  <si>
    <t>FP73SN2</t>
  </si>
  <si>
    <t>Armoire de notre gamme univers. IP44. Classe 2 et de dimensions 1100x800x205mm</t>
  </si>
  <si>
    <t>1184.263€</t>
  </si>
  <si>
    <t>FP74SN2</t>
  </si>
  <si>
    <t>Armoire de notre gamme univers. IP44. Classe 2 et de dimensions 1100x1050x205mm</t>
  </si>
  <si>
    <t>1478.5593€</t>
  </si>
  <si>
    <t>FP92SN2</t>
  </si>
  <si>
    <t>Armoire de notre gamme univers. IP44. Classe 2 et de dimensions 1400x550x205mm</t>
  </si>
  <si>
    <t>1001.4184€</t>
  </si>
  <si>
    <t>FP93SN2</t>
  </si>
  <si>
    <t>Armoire de notre gamme univers. IP44. Classe 2 et de dimensions 1400x800x205mm</t>
  </si>
  <si>
    <t>1592.4577€</t>
  </si>
  <si>
    <t>FP94SN2</t>
  </si>
  <si>
    <t>Armoire de notre gamme univers. IP44. Classe 2 et de dimensions 1400x1050x205mm</t>
  </si>
  <si>
    <t>1993.2134€</t>
  </si>
  <si>
    <t>TG354</t>
  </si>
  <si>
    <t>Petit support pour station Météorologique TG053</t>
  </si>
  <si>
    <t xml:space="preserve">HADTHM05 </t>
  </si>
  <si>
    <t>ENTRE FILAIRE</t>
  </si>
  <si>
    <t>32.879€</t>
  </si>
  <si>
    <t>TG353</t>
  </si>
  <si>
    <t>Grand support pour station Météorologique TG053</t>
  </si>
  <si>
    <t>66.2165€</t>
  </si>
  <si>
    <t>TG308</t>
  </si>
  <si>
    <t>Kit LEDs pour TXB344 (4 pces)</t>
  </si>
  <si>
    <t>7.707€</t>
  </si>
  <si>
    <t>TX320</t>
  </si>
  <si>
    <t>Thermostat d\'ambiance KNX</t>
  </si>
  <si>
    <t>129.703€</t>
  </si>
  <si>
    <t>TG053A</t>
  </si>
  <si>
    <t>Station météorologique GPS KNX</t>
  </si>
  <si>
    <t>812.217€</t>
  </si>
  <si>
    <t>TXA310</t>
  </si>
  <si>
    <t>Module 10 entrées 230V~. Modulaire. KNX</t>
  </si>
  <si>
    <t>298.0215€</t>
  </si>
  <si>
    <t>TE370</t>
  </si>
  <si>
    <t>Compteur tri via transformateur d'intensité 50 à 6000/5A sortie KNX</t>
  </si>
  <si>
    <t>282.6915€</t>
  </si>
  <si>
    <t>TXA112</t>
  </si>
  <si>
    <t>Alimentation Bus 30V TBTS 640 mA</t>
  </si>
  <si>
    <t>138.4915€</t>
  </si>
  <si>
    <t>TXA306</t>
  </si>
  <si>
    <t>Module 6 entrées universelles. Modulaire. KNX</t>
  </si>
  <si>
    <t>251.2195€</t>
  </si>
  <si>
    <t>TXA111</t>
  </si>
  <si>
    <t>Alimentation bus KNX - TBTS 30V 320 mA</t>
  </si>
  <si>
    <t>132.9545€</t>
  </si>
  <si>
    <t>TXA304</t>
  </si>
  <si>
    <t>Module 4 entrées modulaires 230V~</t>
  </si>
  <si>
    <t>141.267€</t>
  </si>
  <si>
    <t>EK086</t>
  </si>
  <si>
    <t>Sonde de température extérieure</t>
  </si>
  <si>
    <t>48.6745€</t>
  </si>
  <si>
    <t>TXA023</t>
  </si>
  <si>
    <t>Inter. horaire DCF 2 Voies 7 jours</t>
  </si>
  <si>
    <t>198.485€</t>
  </si>
  <si>
    <t>TXA022</t>
  </si>
  <si>
    <t>Horloge hebdomadaire EASY. 2 modules</t>
  </si>
  <si>
    <t>176.2355€</t>
  </si>
  <si>
    <t>TE332</t>
  </si>
  <si>
    <t>Indicateur de consommations KNX avec 3 tores</t>
  </si>
  <si>
    <t>122.8465€</t>
  </si>
  <si>
    <t>WKT510</t>
  </si>
  <si>
    <t>Thermostat d\'ambiance programmable basique KNX gallery</t>
  </si>
  <si>
    <t>112.5635€</t>
  </si>
  <si>
    <t>WKT511</t>
  </si>
  <si>
    <t>Thermostat d\'ambiance programmable évolué KNX gallery</t>
  </si>
  <si>
    <t>133.6615€</t>
  </si>
  <si>
    <t>TXE771</t>
  </si>
  <si>
    <t>Passerelle impulsions KNX 1 entrée</t>
  </si>
  <si>
    <t>56.4515€</t>
  </si>
  <si>
    <t>TXE773</t>
  </si>
  <si>
    <t>Passerelle impulsions KNX 3 entrées</t>
  </si>
  <si>
    <t>85.9775€</t>
  </si>
  <si>
    <t>EK087</t>
  </si>
  <si>
    <t>Sonde de température pour thermostat TX320 Tebis</t>
  </si>
  <si>
    <t>14.259€</t>
  </si>
  <si>
    <t>TYC120</t>
  </si>
  <si>
    <t>Passerelle EnOcean / KNX radio, montage saillie</t>
  </si>
  <si>
    <t>338.6775€</t>
  </si>
  <si>
    <t>TGZ181</t>
  </si>
  <si>
    <t>Cable bus longueur 100m sans halogène. KNX . B2ca.s1.d1.a1</t>
  </si>
  <si>
    <t>192.6715€</t>
  </si>
  <si>
    <t>TGZ185</t>
  </si>
  <si>
    <t>Cable bus longueur 500m sans halogène. KNX . B2ca.s1.d1.a1</t>
  </si>
  <si>
    <t>1075.8965€</t>
  </si>
  <si>
    <t>TXC513</t>
  </si>
  <si>
    <t>détecteur zone de détection ronde de 20 mètres de présence et mouvement plafond installation en saillie KNX EASY et KNX ETS</t>
  </si>
  <si>
    <t>93.023€</t>
  </si>
  <si>
    <t>TXC515</t>
  </si>
  <si>
    <t>détecteur couloir avec zone de détection en longueur de 30 x 5 mètres de mouvement plafond installation en saillie KNX EASY et KNX ETS</t>
  </si>
  <si>
    <t>97.6185€</t>
  </si>
  <si>
    <t>TXC518</t>
  </si>
  <si>
    <t>détecteur grande hauteur avec zone de détection de 22 x 12 mètres de mouvement plafond installation en saillie KNX EASY et KNX ETS</t>
  </si>
  <si>
    <t>TXD501</t>
  </si>
  <si>
    <t>détecteur mini avec zone de détection ronde de 10 mètres de présence et mouvement plafond installation en encastré KNX EASY et KNX ETS</t>
  </si>
  <si>
    <t>74.4205€</t>
  </si>
  <si>
    <t>TXD503</t>
  </si>
  <si>
    <t>détecteur zone de détection ronde de 20 mètres de présence et mouvement plafond installation en encastré KNX EASY et KNX ETS</t>
  </si>
  <si>
    <t>TXD505</t>
  </si>
  <si>
    <t>détecteur couloir avec zone de détection en longueur de 30 x 5 mètres de mouvement plafond installation en encastré KNX EASY et KNX ETS</t>
  </si>
  <si>
    <t>TJAS471</t>
  </si>
  <si>
    <t>Serveur d\'automatisme du bâtiment résidentiel et tertiaire Domovea expert compatible KNX Secure intégrant un module automatisme et la programmation à distance avec connexion cryptée. Intègre la fonction Matter Bridge</t>
  </si>
  <si>
    <t>696.507€</t>
  </si>
  <si>
    <t>TJAS671</t>
  </si>
  <si>
    <t>Serveur domovea basic d\'automatisme du bâtiment résidentiel et tertiaire. Compatible KNX Secure. il dispose d\'une interface de pilotage locale et à distance intuitive. Intègre la fonction Matter Bridge</t>
  </si>
  <si>
    <t>352.968€</t>
  </si>
  <si>
    <t>TYBS702A</t>
  </si>
  <si>
    <t>Module d\'entrées à encastrer : 2 entrées pour contacts libres de potentiel</t>
  </si>
  <si>
    <t>36.8725€</t>
  </si>
  <si>
    <t>TYBS704A</t>
  </si>
  <si>
    <t>Module d\'entrées à encastrer : 4 entrées pour contacts libres de potentiel</t>
  </si>
  <si>
    <t>53.76€</t>
  </si>
  <si>
    <t>TYBS794A</t>
  </si>
  <si>
    <t>Module 4 entrées + 4 sorties LEDs, KNX</t>
  </si>
  <si>
    <t>78.099€</t>
  </si>
  <si>
    <t>TYFS130</t>
  </si>
  <si>
    <t>Coupleur de lignes KNX SECURE pour lien entre lignes bus KNX TP</t>
  </si>
  <si>
    <t>164.4615€</t>
  </si>
  <si>
    <t>TJAS471R</t>
  </si>
  <si>
    <t>domovea plus pour remplacement TJA45x</t>
  </si>
  <si>
    <t>WS697</t>
  </si>
  <si>
    <t>Détrompeur prise goulotte gallery</t>
  </si>
  <si>
    <t xml:space="preserve">HAMMAM15 </t>
  </si>
  <si>
    <t>MULTI GAMMES ACCESSOIRES</t>
  </si>
  <si>
    <t>WUZ692</t>
  </si>
  <si>
    <t>cubyco lampe pour signalisation  forme &amp;quot;I&amp;quot; 12-28V Bleu</t>
  </si>
  <si>
    <t>10.654€</t>
  </si>
  <si>
    <t>WS120</t>
  </si>
  <si>
    <t>Systo accessoire de jonction pour bloc de prises spéciale goulotte</t>
  </si>
  <si>
    <t>2.037€</t>
  </si>
  <si>
    <t>WUZ691</t>
  </si>
  <si>
    <t>cubyko lampe enfichage pour témoin forme &amp;quot;L&amp;quot; 250V rouge</t>
  </si>
  <si>
    <t>7.294€</t>
  </si>
  <si>
    <t>WUZ690</t>
  </si>
  <si>
    <t>cubyko lampe enfichage pour signalisation forme &amp;quot;L&amp;quot; 250V bleu</t>
  </si>
  <si>
    <t>WUZ695</t>
  </si>
  <si>
    <t>cubyco lampe pour signalisation  forme &amp;quot;I&amp;quot; 250V rouge</t>
  </si>
  <si>
    <t>7.413€</t>
  </si>
  <si>
    <t>WUZ696</t>
  </si>
  <si>
    <t>cubyco lampe pour témoin forme &amp;quot;L&amp;quot; 250V bleu</t>
  </si>
  <si>
    <t>7.042€</t>
  </si>
  <si>
    <t>WUZ697</t>
  </si>
  <si>
    <t>cubyco lampe pour signalisation, forme &amp;quot;I&amp;quot;, 12-28V rouge</t>
  </si>
  <si>
    <t>WUZ698</t>
  </si>
  <si>
    <t>cubyco lampe pour signalisation forme &amp;quot;I&amp;quot; 250V blanche</t>
  </si>
  <si>
    <t>9.03€</t>
  </si>
  <si>
    <t>WUZ699</t>
  </si>
  <si>
    <t>cubyco lampe pour témoin forme &amp;quot;L&amp;quot; 250V blanche</t>
  </si>
  <si>
    <t>8.659€</t>
  </si>
  <si>
    <t>WUZ155</t>
  </si>
  <si>
    <t>Kit d\'étanchéité à l\'air</t>
  </si>
  <si>
    <t>1.869€</t>
  </si>
  <si>
    <t>WHT1400</t>
  </si>
  <si>
    <t>Cache porte-étiquette gallery blanc</t>
  </si>
  <si>
    <t>2.688€</t>
  </si>
  <si>
    <t>WHT1405</t>
  </si>
  <si>
    <t>Cache porte-étiquette gallery noir</t>
  </si>
  <si>
    <t>3.136€</t>
  </si>
  <si>
    <t>WXA904</t>
  </si>
  <si>
    <t>Valise multi-gammes Hager</t>
  </si>
  <si>
    <t>129.164€</t>
  </si>
  <si>
    <t>Gestionnaire énergie simplifié pour chauf élec 2 zones sur 7 jours 230V</t>
  </si>
  <si>
    <t xml:space="preserve">HACEGM15 </t>
  </si>
  <si>
    <t>GESTIONNAIRES D'ENERGIE</t>
  </si>
  <si>
    <t>410.856€</t>
  </si>
  <si>
    <t>Gestionnaire énergie confort chauf élec 2 zones sur 7 jours 230V</t>
  </si>
  <si>
    <t>441.15€</t>
  </si>
  <si>
    <t>EK482</t>
  </si>
  <si>
    <t>Gestionnaire énergie RT2012 chauffage électrique 2 zones blanc</t>
  </si>
  <si>
    <t>631.728€</t>
  </si>
  <si>
    <t>Accessoire d angle blanc pour détecteur infrarouge standard mural 140°-200°</t>
  </si>
  <si>
    <t xml:space="preserve">HACLAM10 </t>
  </si>
  <si>
    <t>ACCESSOIRES DETECTEURS</t>
  </si>
  <si>
    <t>6.162€</t>
  </si>
  <si>
    <t>Accessoire angle anthracite pour détecteur IR stand 360° et évolué 140-220-360°</t>
  </si>
  <si>
    <t>7.068€</t>
  </si>
  <si>
    <t>Accessoire plafond anthracite pour détecteur infrarouge standard mural 140°-200°</t>
  </si>
  <si>
    <t>Accessoire plafond blanc pour détecteur infrarouge standard mural 140°-200°</t>
  </si>
  <si>
    <t>EE808</t>
  </si>
  <si>
    <t>Télécommande utilisateur pour détecteurs de présence 360° monobloc</t>
  </si>
  <si>
    <t>41.652€</t>
  </si>
  <si>
    <t>Accessoire d angle anthracite pour détecteur infrarouge standard mural 140°-200°</t>
  </si>
  <si>
    <t>EE807</t>
  </si>
  <si>
    <t>Télécommande installateur pour détecteurs de présence 360° monobloc</t>
  </si>
  <si>
    <t>46.848€</t>
  </si>
  <si>
    <t>Accessoire d angle blanc pour détecteur standard 360° et évolué 140°-220°-360°</t>
  </si>
  <si>
    <t>Télécommande pour détecteur de mouvement infrarouge évolué mural</t>
  </si>
  <si>
    <t>27.252€</t>
  </si>
  <si>
    <t>EEK005</t>
  </si>
  <si>
    <t>Boîtier pour montage détecteurs de présence en saillie</t>
  </si>
  <si>
    <t>11.304€</t>
  </si>
  <si>
    <t>EEK006</t>
  </si>
  <si>
    <t>Panier de protection</t>
  </si>
  <si>
    <t>41.208€</t>
  </si>
  <si>
    <t>Détecteur de mouvement infrarouge plafond semi-encastré 360° blanc</t>
  </si>
  <si>
    <t xml:space="preserve">HACLPM10 </t>
  </si>
  <si>
    <t>DETECTEUR MVT/PRES PLAFON</t>
  </si>
  <si>
    <t>84.696€</t>
  </si>
  <si>
    <t>Détecteur de mouvement infrarouge plafond en saillie 360° blanc</t>
  </si>
  <si>
    <t>80.598€</t>
  </si>
  <si>
    <t>EED503</t>
  </si>
  <si>
    <t>détecteur zone de détection ronde de 20 mètres de présence et mouvement plafond installation en encastré DALI2</t>
  </si>
  <si>
    <t>165.876€</t>
  </si>
  <si>
    <t>EED505</t>
  </si>
  <si>
    <t>détecteur couloir 30 x 5 mètres de mouvement plafond encastré DALI2</t>
  </si>
  <si>
    <t>174.072€</t>
  </si>
  <si>
    <t>EED513</t>
  </si>
  <si>
    <t>détecteur zone de détection ronde de 20 mètres de présence et mouvement plafond installation en saillie DALI2</t>
  </si>
  <si>
    <t>EED515</t>
  </si>
  <si>
    <t>détecteur couloir 30 x 5 mètres de mouvement plafond saillie DALI2</t>
  </si>
  <si>
    <t>EED518</t>
  </si>
  <si>
    <t>détecteur grande hauteur avec zone de détection de 22 x 12 mètres de mouvement plafond installation en saillie DALI2</t>
  </si>
  <si>
    <t>EER501</t>
  </si>
  <si>
    <t xml:space="preserve">détecteur mini 10 mètres de présence et mouvement plafond encastré ON/OFF </t>
  </si>
  <si>
    <t>100.968€</t>
  </si>
  <si>
    <t>EER503</t>
  </si>
  <si>
    <t>détecteur zone de détection ronde (360°) de 20 mètres de présence et mouvement plafond installation en encastré ON/OFF</t>
  </si>
  <si>
    <t>111.12€</t>
  </si>
  <si>
    <t>EER505</t>
  </si>
  <si>
    <t>détecteur couloir avec zone de détection en longueur de 30 x 5 mètres de mouvement plafond installation en encastré ON/OFF</t>
  </si>
  <si>
    <t>EER513</t>
  </si>
  <si>
    <t>détecteur zone de détection ronde (360°) de 20 mètres de présence et mouvement plafond installation en saillie ON/OFF</t>
  </si>
  <si>
    <t>EER515</t>
  </si>
  <si>
    <t>détecteur couloir 30 x 5 mètres de mouvement plafond saillie ON/OFF</t>
  </si>
  <si>
    <t>EER518</t>
  </si>
  <si>
    <t>détecteur grande hauteur avec zone de détection de 22 x 12 mètres de mouvement plafond installation en saillie ON/OFF</t>
  </si>
  <si>
    <t>CDS765F</t>
  </si>
  <si>
    <t>Interrupteur différentiel 2P 63A 30mA typeA à bornes décalées SanVis</t>
  </si>
  <si>
    <t xml:space="preserve">HAHDSM03 </t>
  </si>
  <si>
    <t>INTER.DIFF.HABITAT SANS VIS</t>
  </si>
  <si>
    <t>93.345€</t>
  </si>
  <si>
    <t>CDS764F</t>
  </si>
  <si>
    <t>Interrupteur différentiel 2P 63A 30mA type AC à bornes décalées SanVis</t>
  </si>
  <si>
    <t>76.3595€</t>
  </si>
  <si>
    <t>CDS743F</t>
  </si>
  <si>
    <t>Interrupteur différentiel 2P 40A 30mA type A à bornes décalées SanVis</t>
  </si>
  <si>
    <t>58.877€</t>
  </si>
  <si>
    <t>CDS742F</t>
  </si>
  <si>
    <t>Interrupteur différentiel 2P 40A 30mA type AC à bornes décalées SanVis</t>
  </si>
  <si>
    <t>47.9115€</t>
  </si>
  <si>
    <t>CDS740F</t>
  </si>
  <si>
    <t>Inter diff 2P 40A 30mA type F Bornes décalées SanVis</t>
  </si>
  <si>
    <t>75.0365€</t>
  </si>
  <si>
    <t>CDS763F</t>
  </si>
  <si>
    <t>Inter diff 2P 63A 30mA type F Bornes décalées SanVis</t>
  </si>
  <si>
    <t>118.965€</t>
  </si>
  <si>
    <t>CZ001</t>
  </si>
  <si>
    <t>Contact auxiliaire pour interrupteur différentiel 2(1NO+1NC) 6A 240V AC</t>
  </si>
  <si>
    <t xml:space="preserve">HATDIM03 </t>
  </si>
  <si>
    <t>INTER.DIFF.TERTIAIRE</t>
  </si>
  <si>
    <t>36.339€</t>
  </si>
  <si>
    <t>CZN006</t>
  </si>
  <si>
    <t>Jeu de 2 cache bornes plombable pour interrupteur différentiel 25 à 63A 4M</t>
  </si>
  <si>
    <t>3.618€</t>
  </si>
  <si>
    <t>CZN005</t>
  </si>
  <si>
    <t>Jeu de 2 cache bornes plombable pour interrupteur différentiel 25 à 63A 2M</t>
  </si>
  <si>
    <t>3.393€</t>
  </si>
  <si>
    <t>CEC163F</t>
  </si>
  <si>
    <t>Interrupteur différentiel 1P+N 63A 100mA type AC à bornes décalées</t>
  </si>
  <si>
    <t>233.568€</t>
  </si>
  <si>
    <t>CDC163F</t>
  </si>
  <si>
    <t>Interrupteur différentiel 1P+N 63A 30mA type AC à bornes décalées</t>
  </si>
  <si>
    <t>138.249€</t>
  </si>
  <si>
    <t>CGC163F</t>
  </si>
  <si>
    <t>Interrupteur différentiel 1P+N 63A 500mA type AC à bornes décalées</t>
  </si>
  <si>
    <t>146.595€</t>
  </si>
  <si>
    <t>CDC140F</t>
  </si>
  <si>
    <t>Interrupteur différentiel 1P+N 40A 30mA type AC à bornes décalées</t>
  </si>
  <si>
    <t>89.373€</t>
  </si>
  <si>
    <t>CDC125F</t>
  </si>
  <si>
    <t>Interrupteur différentiel 1P+N 25A 30mA type AC à bornes décalées</t>
  </si>
  <si>
    <t>80.91€</t>
  </si>
  <si>
    <t>CDC863F</t>
  </si>
  <si>
    <t>Interrupteur différentiel 3P+N 63A 30mA type AC à bornes décalées</t>
  </si>
  <si>
    <t>184.572€</t>
  </si>
  <si>
    <t>CPC863F</t>
  </si>
  <si>
    <t>Interrupteur différentiel 3P+N 63A 300mA type AC S à bornes décalées</t>
  </si>
  <si>
    <t>219.444€</t>
  </si>
  <si>
    <t>CDC470F</t>
  </si>
  <si>
    <t>Interrupteur différentiel 4P 63A 30mA type AC 60Hz</t>
  </si>
  <si>
    <t>181.791€</t>
  </si>
  <si>
    <t>CDC840F</t>
  </si>
  <si>
    <t>Interrupteur différentiel 3P+N 40A 30mA type AC à bornes décalées</t>
  </si>
  <si>
    <t>111.696€</t>
  </si>
  <si>
    <t>CDC447F</t>
  </si>
  <si>
    <t>Interrupteur différentiel 4P 40A 30mA type AC 60Hz</t>
  </si>
  <si>
    <t>119.466€</t>
  </si>
  <si>
    <t>CEC863F</t>
  </si>
  <si>
    <t>Interrupteur différentiel 3P+N 63A 100mA type AC à bornes décalées</t>
  </si>
  <si>
    <t>299.379€</t>
  </si>
  <si>
    <t>CPC163F</t>
  </si>
  <si>
    <t>Interrupteur différentiel 1P+N 63A 300mA type AC S à bornes décalées</t>
  </si>
  <si>
    <t>166.947€</t>
  </si>
  <si>
    <t>CCC125F</t>
  </si>
  <si>
    <t>Interrupteur différentiel 1P+N 25A 10mA type AC à bornes décalées</t>
  </si>
  <si>
    <t>127.983€</t>
  </si>
  <si>
    <t>CFC863F</t>
  </si>
  <si>
    <t>Interrupteur différentiel 3P+N 63A 300mA type AC à bornes décalées</t>
  </si>
  <si>
    <t>133.524€</t>
  </si>
  <si>
    <t>CFC840F</t>
  </si>
  <si>
    <t>Interrupteur différentiel 3P+N 40A 300mA type AC à bornes décalées</t>
  </si>
  <si>
    <t>102.723€</t>
  </si>
  <si>
    <t>CGC863F</t>
  </si>
  <si>
    <t>Interrupteur différentiel 3P+N 63A 500mA type AC à bornes décalées</t>
  </si>
  <si>
    <t>207.03€</t>
  </si>
  <si>
    <t>CFC163F</t>
  </si>
  <si>
    <t>Interrupteur différentiel 1P+N 63A 300mA type AC à bornes décalées</t>
  </si>
  <si>
    <t>111.78€</t>
  </si>
  <si>
    <t>CFC680F</t>
  </si>
  <si>
    <t>Interrupteur différentiel 3P+N 80A 300mA type AC</t>
  </si>
  <si>
    <t>183.702€</t>
  </si>
  <si>
    <t>CFC684F</t>
  </si>
  <si>
    <t>Interrupteur différentiel 3P+N 100A 300mA type AC</t>
  </si>
  <si>
    <t>360.066€</t>
  </si>
  <si>
    <t>CPC580F</t>
  </si>
  <si>
    <t>Interrupteur différentiel 1P+N 80A 300mA type AC S</t>
  </si>
  <si>
    <t>214.695€</t>
  </si>
  <si>
    <t>CPC684F</t>
  </si>
  <si>
    <t>Interrupteur différentiel 3P+N 100A 300mA type AC S</t>
  </si>
  <si>
    <t>490.146€</t>
  </si>
  <si>
    <t>CDB625F</t>
  </si>
  <si>
    <t>Interrupteur différentiel 3P+N 25A 30mA type B hfq</t>
  </si>
  <si>
    <t>390.774€</t>
  </si>
  <si>
    <t>CDB640F</t>
  </si>
  <si>
    <t>Interrupteur différentiel 3P+N 40A 30mA type B hfq</t>
  </si>
  <si>
    <t>482.13€</t>
  </si>
  <si>
    <t>CDB663F</t>
  </si>
  <si>
    <t>Interrupteur différentiel 3P+N 63A 30mA type B hfq</t>
  </si>
  <si>
    <t>662.136€</t>
  </si>
  <si>
    <t>CDB740F</t>
  </si>
  <si>
    <t>Interrupteur différentiel 3P+N 40A 30mA type B</t>
  </si>
  <si>
    <t>537.564€</t>
  </si>
  <si>
    <t>CDB763F</t>
  </si>
  <si>
    <t>Interrupteur différentiel 3P+N 63A 30mA type B</t>
  </si>
  <si>
    <t>830.769€</t>
  </si>
  <si>
    <t>CFB640F</t>
  </si>
  <si>
    <t>Inter. diff. 3P+N 40A 300mA B hfq</t>
  </si>
  <si>
    <t>430.011€</t>
  </si>
  <si>
    <t>CFB663F</t>
  </si>
  <si>
    <t>Inter. diff. 3P+N 63A 300mA B hfq</t>
  </si>
  <si>
    <t>600.186€</t>
  </si>
  <si>
    <t>CFB740F</t>
  </si>
  <si>
    <t>Inter. diff. 3P+N 40A 300mA  B</t>
  </si>
  <si>
    <t>488.706€</t>
  </si>
  <si>
    <t>CFB763F</t>
  </si>
  <si>
    <t>Inter. diff. 3P+N 63A 300mA  B</t>
  </si>
  <si>
    <t>708.6€</t>
  </si>
  <si>
    <t>CFC864F</t>
  </si>
  <si>
    <t>Interrupteur différentiel 3P+N 63A 300mA type AC à bornes décalées  50/60HZ</t>
  </si>
  <si>
    <t>133.521€</t>
  </si>
  <si>
    <t>CDF125F</t>
  </si>
  <si>
    <t>Inter diff 1P+N 25A 30mA type F Bornes décalées</t>
  </si>
  <si>
    <t>112.641€</t>
  </si>
  <si>
    <t>CDF140F</t>
  </si>
  <si>
    <t>Inter diff 1P+N 40A 30mA type F Bornes décalées</t>
  </si>
  <si>
    <t>123.135€</t>
  </si>
  <si>
    <t>CDF163F</t>
  </si>
  <si>
    <t>Inter diff 1P+N 63A 30mA type F Bornes décalées</t>
  </si>
  <si>
    <t>208.611€</t>
  </si>
  <si>
    <t>CDF825F</t>
  </si>
  <si>
    <t>Inter diff 3P+N 25A 30mA type F Bornes décalées</t>
  </si>
  <si>
    <t>154.752€</t>
  </si>
  <si>
    <t>CDF840F</t>
  </si>
  <si>
    <t>Inter diff 3P+N 40A 30mA type F Bornes décalées</t>
  </si>
  <si>
    <t>158.706€</t>
  </si>
  <si>
    <t>CDF863F</t>
  </si>
  <si>
    <t>Inter diff 3P+N 63A 30mA type F Bornes décalées</t>
  </si>
  <si>
    <t>264.411€</t>
  </si>
  <si>
    <t>CFF125F</t>
  </si>
  <si>
    <t>Inter diff 1P+N 25A 300mA type F Bornes décalées</t>
  </si>
  <si>
    <t>115.365€</t>
  </si>
  <si>
    <t>CFF140F</t>
  </si>
  <si>
    <t>Inter diff 1P+N 40A 300mA type F Bornes décalées</t>
  </si>
  <si>
    <t>129.591€</t>
  </si>
  <si>
    <t>CFF163F</t>
  </si>
  <si>
    <t>Inter diff 1P+N 63A 300mA type F Bornes décalées</t>
  </si>
  <si>
    <t>186.699€</t>
  </si>
  <si>
    <t>CFF825F</t>
  </si>
  <si>
    <t>Inter diff 3P+N 25A 300mA type F Borne décalées</t>
  </si>
  <si>
    <t>147.81€</t>
  </si>
  <si>
    <t>CFF840F</t>
  </si>
  <si>
    <t>Inter diff 3P+N 40A 300mA type F Bornes décalées</t>
  </si>
  <si>
    <t>162.957€</t>
  </si>
  <si>
    <t>CFF863F</t>
  </si>
  <si>
    <t>Inter diff 3P+N 63A 300mA type F Bornes décalées</t>
  </si>
  <si>
    <t>250.371€</t>
  </si>
  <si>
    <t>ETS221B</t>
  </si>
  <si>
    <t>Contacteur Jour-Nuit 20A 2F</t>
  </si>
  <si>
    <t xml:space="preserve">HAHAFM03 </t>
  </si>
  <si>
    <t>CONTACTEURS JOUR/NUIT</t>
  </si>
  <si>
    <t>68.964€</t>
  </si>
  <si>
    <t>ETC225</t>
  </si>
  <si>
    <t>Contacteur Jour-Nuit 25A. 2F. 230V</t>
  </si>
  <si>
    <t>64.068€</t>
  </si>
  <si>
    <t>ETC225S</t>
  </si>
  <si>
    <t>Contacteur Silencieux Jour-Nuit 25A, 2F, 230V</t>
  </si>
  <si>
    <t>66.656€</t>
  </si>
  <si>
    <t>ETC226</t>
  </si>
  <si>
    <t>Contacteur Jour-Nuit 25A. 2O. 230V</t>
  </si>
  <si>
    <t>80.968€</t>
  </si>
  <si>
    <t>ETC227</t>
  </si>
  <si>
    <t>Contacteur Jour-Nuit 25A. 1F+1O. 230V</t>
  </si>
  <si>
    <t>87.636€</t>
  </si>
  <si>
    <t>ETC325</t>
  </si>
  <si>
    <t>Contacteur Jour-Nuit 25A. 3F. 230V</t>
  </si>
  <si>
    <t>100.436€</t>
  </si>
  <si>
    <t>ETC325S</t>
  </si>
  <si>
    <t>Contacteur Silencieux Jour-Nuit 25A, 3F, 230V</t>
  </si>
  <si>
    <t>ETC340</t>
  </si>
  <si>
    <t>Contacteur Jour-Nuit 40A. 3F. 230V</t>
  </si>
  <si>
    <t>120.992€</t>
  </si>
  <si>
    <t>ETC425</t>
  </si>
  <si>
    <t>Contacteur Jour-Nuit 25A. 4F. 230V</t>
  </si>
  <si>
    <t>130.272€</t>
  </si>
  <si>
    <t>ETC425S</t>
  </si>
  <si>
    <t>Contacteur Silencieux Jour-Nuit 25A, 4F, 230V</t>
  </si>
  <si>
    <t>130.268€</t>
  </si>
  <si>
    <t>ETC440</t>
  </si>
  <si>
    <t>Contacteur Jour-Nuit 40A. 4F. 230V</t>
  </si>
  <si>
    <t>156.18€</t>
  </si>
  <si>
    <t>FV32A</t>
  </si>
  <si>
    <t>Coffret saillie, VegaD IP55, 650x550x275mm, 24 modules + 2 rangées à compléter</t>
  </si>
  <si>
    <t xml:space="preserve">HATEDM03 </t>
  </si>
  <si>
    <t>COFFRETS VEGA D</t>
  </si>
  <si>
    <t>376.1504€</t>
  </si>
  <si>
    <t>FV22A</t>
  </si>
  <si>
    <t>Coffret saillie, VegaD IP55, 500x550x275mm, avec 2 rangées à compléter</t>
  </si>
  <si>
    <t>317.4112€</t>
  </si>
  <si>
    <t>FV72A</t>
  </si>
  <si>
    <t>Coffret saillie, VegaD IP55, 1250x550x275mm, 120 modules + 2 rangées à compléter</t>
  </si>
  <si>
    <t>734.112€</t>
  </si>
  <si>
    <t>FV62A</t>
  </si>
  <si>
    <t>Coffret saillie, VegaD IP55, 1100x550x275mm, 96 modules + 2 rangées à compléter</t>
  </si>
  <si>
    <t>641.8592€</t>
  </si>
  <si>
    <t>FV52A</t>
  </si>
  <si>
    <t>Coffret saillie, VegaD IP55, 950x550x275mm, 72 modules + 2 rangées à compléter</t>
  </si>
  <si>
    <t>537.4432€</t>
  </si>
  <si>
    <t>FV42A</t>
  </si>
  <si>
    <t>Coffret saillie, VegaD IP55, 800x550x275mm, 48 modules + 2 rangées à compléter</t>
  </si>
  <si>
    <t>444.848€</t>
  </si>
  <si>
    <t>FD22AN</t>
  </si>
  <si>
    <t>Coffret VegaD saillie 2 rangées à compléter h450</t>
  </si>
  <si>
    <t>128.4832€</t>
  </si>
  <si>
    <t>FD22DN</t>
  </si>
  <si>
    <t>Coffret VegaD saillie 2 rangées 48 modules</t>
  </si>
  <si>
    <t>168.8128€</t>
  </si>
  <si>
    <t>FD32AN</t>
  </si>
  <si>
    <t>Coffret VegaD saillie 3 rangées dont 2 à compléter h600</t>
  </si>
  <si>
    <t>157.5904€</t>
  </si>
  <si>
    <t>FD32DN</t>
  </si>
  <si>
    <t>Coffret VegaD saillie 3 rangées 72 modules h600</t>
  </si>
  <si>
    <t>176.7424€</t>
  </si>
  <si>
    <t>FD32ZN</t>
  </si>
  <si>
    <t>Coffret vegaD pré équipé  pour comptage tri électronique - tarif bleu h600</t>
  </si>
  <si>
    <t>268.4288€</t>
  </si>
  <si>
    <t>FD42AN</t>
  </si>
  <si>
    <t>Coffret VegaD saillie 4 rangées dont 2 à compléter h750</t>
  </si>
  <si>
    <t>192.3488€</t>
  </si>
  <si>
    <t>FD42DN</t>
  </si>
  <si>
    <t>Coffret VegaD saillie 4 rangées 96 modules h750</t>
  </si>
  <si>
    <t>243.1552€</t>
  </si>
  <si>
    <t>FD52AN</t>
  </si>
  <si>
    <t>Coffret VegaD saillie 5 rangées dont 2 à compléter h850</t>
  </si>
  <si>
    <t>222.3776€</t>
  </si>
  <si>
    <t>FD52DN</t>
  </si>
  <si>
    <t>Coffret VegaD saillie 5 rangées 120 modules h850</t>
  </si>
  <si>
    <t>273.808€</t>
  </si>
  <si>
    <t>FD62AN</t>
  </si>
  <si>
    <t>Coffret VegaD 6 rangées dont 2 à compléter h1050</t>
  </si>
  <si>
    <t>277.6192€</t>
  </si>
  <si>
    <t>FD62DN</t>
  </si>
  <si>
    <t>Coffret VegaD 6 rangées 144 modules h1050</t>
  </si>
  <si>
    <t>314.2656€</t>
  </si>
  <si>
    <t>FD72AN</t>
  </si>
  <si>
    <t>Coffret VegaD 7 rangées dont 2 à compléter h1200</t>
  </si>
  <si>
    <t>373.872€</t>
  </si>
  <si>
    <t>FD72DN</t>
  </si>
  <si>
    <t>Coffret VegaD 7 rangées 168 modules h1200</t>
  </si>
  <si>
    <t>374.5952€</t>
  </si>
  <si>
    <t>FU22AN</t>
  </si>
  <si>
    <t>Coffret VegaD encastré 2 rangées à compléter h450</t>
  </si>
  <si>
    <t>217.6608€</t>
  </si>
  <si>
    <t>FU22DN</t>
  </si>
  <si>
    <t>Coffret VegaD encastré 2 rangées 48 modules</t>
  </si>
  <si>
    <t>291.0368€</t>
  </si>
  <si>
    <t>FU32AN</t>
  </si>
  <si>
    <t>Coffret VegaD encastré 3 rangées dont 2 à compléter h600</t>
  </si>
  <si>
    <t>287.3376€</t>
  </si>
  <si>
    <t>FU32DN</t>
  </si>
  <si>
    <t>Coffret VegaD encastré 3 rangées 72 modules h600</t>
  </si>
  <si>
    <t>299.0624€</t>
  </si>
  <si>
    <t>FU42AN</t>
  </si>
  <si>
    <t>Coffret VegaD encastré 4 rangées dont 2 à compléter h750</t>
  </si>
  <si>
    <t>339.8944€</t>
  </si>
  <si>
    <t>FU42DN</t>
  </si>
  <si>
    <t>Coffret VegaD encastré 4 rangées 96 modules h750</t>
  </si>
  <si>
    <t>371.2352€</t>
  </si>
  <si>
    <t>FU52AN</t>
  </si>
  <si>
    <t>Coffret VegaD encastré 5 rangées dont 2 à compléter h850</t>
  </si>
  <si>
    <t>405.7856€</t>
  </si>
  <si>
    <t>FU52DN</t>
  </si>
  <si>
    <t>Coffret VegaD encastré 5 rangées 120 modules h850</t>
  </si>
  <si>
    <t>439.6288€</t>
  </si>
  <si>
    <t>FU62AN</t>
  </si>
  <si>
    <t>484.8416€</t>
  </si>
  <si>
    <t>FU62DN</t>
  </si>
  <si>
    <t>514.7968€</t>
  </si>
  <si>
    <t>FU72AN</t>
  </si>
  <si>
    <t>560.2432€</t>
  </si>
  <si>
    <t>FU72DN</t>
  </si>
  <si>
    <t>604.8672€</t>
  </si>
  <si>
    <t>FD52BMN</t>
  </si>
  <si>
    <t>Coffret VegaD pour distribuer la VDI. de dimensions 900x550x193mm pour installation en saillie 5 rangées. avec porte pleine</t>
  </si>
  <si>
    <t>283.8304€</t>
  </si>
  <si>
    <t>GD113A</t>
  </si>
  <si>
    <t>Coffret de distribution Gamma+ 13, 1 rangée, 13 M</t>
  </si>
  <si>
    <t xml:space="preserve">HAHEAM03 </t>
  </si>
  <si>
    <t>GAMMA 13</t>
  </si>
  <si>
    <t>22.912€</t>
  </si>
  <si>
    <t>GD213A</t>
  </si>
  <si>
    <t>Coffret de distribution Gamma+ 13, 2 rangées, 26 M</t>
  </si>
  <si>
    <t>36.24€</t>
  </si>
  <si>
    <t>GD413A</t>
  </si>
  <si>
    <t>Coffret de distribution Gamma+ 13, 4 rangées, 52 M</t>
  </si>
  <si>
    <t>73.168€</t>
  </si>
  <si>
    <t>GD313A</t>
  </si>
  <si>
    <t>Coffret de distribution Gamma+ 13, 3 rangées, 39 M</t>
  </si>
  <si>
    <t>52.66€</t>
  </si>
  <si>
    <t>L14700</t>
  </si>
  <si>
    <t>Boîtier de réserve de cartouche-fusible</t>
  </si>
  <si>
    <t xml:space="preserve">HAHPCM03 </t>
  </si>
  <si>
    <t>COUPE-CIRCUITS</t>
  </si>
  <si>
    <t>5.814€</t>
  </si>
  <si>
    <t>L12501</t>
  </si>
  <si>
    <t>Coupe-circuit 1P+N 16A 250V domestique 1M</t>
  </si>
  <si>
    <t>9.2378€</t>
  </si>
  <si>
    <t>L12401</t>
  </si>
  <si>
    <t>Coupe-circuit 1P+N 10A 250V domestique 1M</t>
  </si>
  <si>
    <t>9.14736€</t>
  </si>
  <si>
    <t>L12801</t>
  </si>
  <si>
    <t>Coupe-circuit 1P+N 32A 400V domestique 1M</t>
  </si>
  <si>
    <t>30.45€</t>
  </si>
  <si>
    <t>9.54142€</t>
  </si>
  <si>
    <t>L12701</t>
  </si>
  <si>
    <t>Coupe-circuit 1P+N 25A 400V domestique 1M</t>
  </si>
  <si>
    <t>9.96132€</t>
  </si>
  <si>
    <t>L12601</t>
  </si>
  <si>
    <t>Coupe-circuit 1P+N 20A 400V domestique 1M</t>
  </si>
  <si>
    <t>Thermostat d ambiance semi-encastré avec entrée fil pilote</t>
  </si>
  <si>
    <t xml:space="preserve">HACEEM15 </t>
  </si>
  <si>
    <t>TA ENCASTRES</t>
  </si>
  <si>
    <t>111.834€</t>
  </si>
  <si>
    <t>Thermostat ambiance digital semi-encastré chauf élec avec entrée fil pilote 230V</t>
  </si>
  <si>
    <t>112.914€</t>
  </si>
  <si>
    <t>EK090</t>
  </si>
  <si>
    <t>Sonde de température déportée filaire pour sol de salle de bain</t>
  </si>
  <si>
    <t>32.004€</t>
  </si>
  <si>
    <t>Pack carillon radio à piles 10 mélodies+flash (BP sonnette+récept+alimentations)</t>
  </si>
  <si>
    <t xml:space="preserve">HACCPM15 </t>
  </si>
  <si>
    <t>PACK CARILLONS DOMESTIQUES</t>
  </si>
  <si>
    <t>115.14€</t>
  </si>
  <si>
    <t>Pack carillon radio à piles 3 mélodies (BP sonnette + récepteur + alimentations)</t>
  </si>
  <si>
    <t>100.638€</t>
  </si>
  <si>
    <t>GD104A</t>
  </si>
  <si>
    <t>Coffret cache-borne. 4 modules</t>
  </si>
  <si>
    <t xml:space="preserve">HAHEEM10 </t>
  </si>
  <si>
    <t>MINI GAMMA ET CACHE BORNE</t>
  </si>
  <si>
    <t>11.265€</t>
  </si>
  <si>
    <t>GD102A</t>
  </si>
  <si>
    <t>Coffret cache-borne. 2 modules</t>
  </si>
  <si>
    <t>8.805€</t>
  </si>
  <si>
    <t>VF108PR</t>
  </si>
  <si>
    <t>Coffret encastré 8 M porte opaque</t>
  </si>
  <si>
    <t>GD110A</t>
  </si>
  <si>
    <t>Coffret cache-borne. 10 modules</t>
  </si>
  <si>
    <t>31.21€</t>
  </si>
  <si>
    <t>GD108A</t>
  </si>
  <si>
    <t>Coffret cache-borne. 8 modules</t>
  </si>
  <si>
    <t>29.035€</t>
  </si>
  <si>
    <t>VF104PR</t>
  </si>
  <si>
    <t>Coffret encastré 4 M porte opaque</t>
  </si>
  <si>
    <t>35.905€</t>
  </si>
  <si>
    <t>GD106A</t>
  </si>
  <si>
    <t>Coffret cache-borne. 6 modules</t>
  </si>
  <si>
    <t>SU213</t>
  </si>
  <si>
    <t>Sonnerie modulaire 230V</t>
  </si>
  <si>
    <t xml:space="preserve">HAHSSM15 </t>
  </si>
  <si>
    <t>SONNERIES</t>
  </si>
  <si>
    <t>SU212</t>
  </si>
  <si>
    <t>Sonnerie modulaire 8-12V</t>
  </si>
  <si>
    <t>24.1€</t>
  </si>
  <si>
    <t>TN001S</t>
  </si>
  <si>
    <t>Connecteur RJ45 cat. 5e pour Grade 1 + support modulaire</t>
  </si>
  <si>
    <t xml:space="preserve">HAHNAM10 </t>
  </si>
  <si>
    <t>ACCESSOIRES VDI</t>
  </si>
  <si>
    <t>22.6127€</t>
  </si>
  <si>
    <t>TN131</t>
  </si>
  <si>
    <t>Répartiteur téléphone 4 sorties RJ45</t>
  </si>
  <si>
    <t>53.3933€</t>
  </si>
  <si>
    <t>TN712</t>
  </si>
  <si>
    <t>Cordon de brassage RJ45/RJ45 Grade 3 longueur 0.50m</t>
  </si>
  <si>
    <t>17.9401€</t>
  </si>
  <si>
    <t>TN202S</t>
  </si>
  <si>
    <t>Répartiteur TV hertzien/satellite 2 sorties COAX 5-2400MHz</t>
  </si>
  <si>
    <t>19.9653€</t>
  </si>
  <si>
    <t>TN103S</t>
  </si>
  <si>
    <t>DTI Dispositif de Terminaison Intérieur format modulaire</t>
  </si>
  <si>
    <t>62.0492€</t>
  </si>
  <si>
    <t>TN724</t>
  </si>
  <si>
    <t>Cordon répartiteur téléphonique 4xRJ45</t>
  </si>
  <si>
    <t>31.8969€</t>
  </si>
  <si>
    <t>TN151</t>
  </si>
  <si>
    <t>DTIO Modulaire 1 Fibre Optique</t>
  </si>
  <si>
    <t>39.8574€</t>
  </si>
  <si>
    <t>TN161</t>
  </si>
  <si>
    <t>DTIO Modulaire 4 Fibres Optiques</t>
  </si>
  <si>
    <t>60.8231€</t>
  </si>
  <si>
    <t>TN007</t>
  </si>
  <si>
    <t>Jeu de 4 connecteurs RJ45 cat.6 pour grade 2TV</t>
  </si>
  <si>
    <t>45.4511€</t>
  </si>
  <si>
    <t>TN007S</t>
  </si>
  <si>
    <t>Connecteur RJ45 cat.6 + support modulaire pour grade 2TV</t>
  </si>
  <si>
    <t>23.1007€</t>
  </si>
  <si>
    <t>TN008</t>
  </si>
  <si>
    <t>Jeu de 4 connecteurs RJ45 cat.6a STP pour grade 3TV</t>
  </si>
  <si>
    <t>58.6942€</t>
  </si>
  <si>
    <t>TN008S</t>
  </si>
  <si>
    <t>Connecteur RJ45 cat.6a + support modulaire pour grade 3TV</t>
  </si>
  <si>
    <t>35.8802€</t>
  </si>
  <si>
    <t>VZ02MM</t>
  </si>
  <si>
    <t>Support appareils multimedia. universZ</t>
  </si>
  <si>
    <t>29.7131€</t>
  </si>
  <si>
    <t>TX502</t>
  </si>
  <si>
    <t>Vanne motorisée KNX avec réglage</t>
  </si>
  <si>
    <t xml:space="preserve">HADTGM05 </t>
  </si>
  <si>
    <t>SORTIE FILAIRE</t>
  </si>
  <si>
    <t>245.8505€</t>
  </si>
  <si>
    <t>TX501</t>
  </si>
  <si>
    <t>Vanne motorisée KNX</t>
  </si>
  <si>
    <t>173.068€</t>
  </si>
  <si>
    <t>TXA230A</t>
  </si>
  <si>
    <t>Gestionnaire d\'énergie kallysta KNX module de sortie maître (avec télé-info)</t>
  </si>
  <si>
    <t>177.94€</t>
  </si>
  <si>
    <t>TRE400</t>
  </si>
  <si>
    <t>Module 1 entrée + 1 sortie volet roulant 10A IP55 KNX radio QL</t>
  </si>
  <si>
    <t>87.283€</t>
  </si>
  <si>
    <t>TX211A</t>
  </si>
  <si>
    <t>Pilote de sortie pour l'éclairage variable 3 sorties 1/10 V</t>
  </si>
  <si>
    <t>287.49€</t>
  </si>
  <si>
    <t>TYF642F</t>
  </si>
  <si>
    <t>Module 2 sorties ventilo-convecteur 10A NO</t>
  </si>
  <si>
    <t>198.968€</t>
  </si>
  <si>
    <t>TYA604D</t>
  </si>
  <si>
    <t>Module 4 sorties 16A / 230V~ adapté pour charges capacitives</t>
  </si>
  <si>
    <t>198.4255€</t>
  </si>
  <si>
    <t>TYA606B</t>
  </si>
  <si>
    <t>Module de sortie 6x 10A /230V~. KNX</t>
  </si>
  <si>
    <t>209.1705€</t>
  </si>
  <si>
    <t>TYA606E</t>
  </si>
  <si>
    <t>Module 6 sorties 16A / 230V~ adapté pour charges capacitives mesure de courant</t>
  </si>
  <si>
    <t>304.0835€</t>
  </si>
  <si>
    <t>TYA608B</t>
  </si>
  <si>
    <t>Module de sortie 8x 10A /230V</t>
  </si>
  <si>
    <t>277.4205€</t>
  </si>
  <si>
    <t>TYA608C</t>
  </si>
  <si>
    <t>Module 8 sorties 16A 230V~ avec forçage manuel sans bus</t>
  </si>
  <si>
    <t>347.7075€</t>
  </si>
  <si>
    <t>TYA610A</t>
  </si>
  <si>
    <t>Module de sortie 10x 4A /230V~. KNX</t>
  </si>
  <si>
    <t>278.544€</t>
  </si>
  <si>
    <t>TYA610C</t>
  </si>
  <si>
    <t>Module de sortie 10x 16A /230V~. KNX</t>
  </si>
  <si>
    <t>357.0595€</t>
  </si>
  <si>
    <t>TYA610D</t>
  </si>
  <si>
    <t>Module de sortie 10x 16A (C)/230V~. KNX</t>
  </si>
  <si>
    <t>393.4455€</t>
  </si>
  <si>
    <t>TYA624B</t>
  </si>
  <si>
    <t>Module de sortie pour volets roulants pour 4 moteurs 24V DC 6A</t>
  </si>
  <si>
    <t>193.34€</t>
  </si>
  <si>
    <t>TYA624C</t>
  </si>
  <si>
    <t>Module de sortie pour volets roulants ou stores à bannes pour 4 moteurs 230V~ 6A</t>
  </si>
  <si>
    <t>190.708€</t>
  </si>
  <si>
    <t>TYA624D</t>
  </si>
  <si>
    <t>Module de sortie pour volets roulants ou stores à bannes pour 4 moteurs 24VDC 6A</t>
  </si>
  <si>
    <t>216.748€</t>
  </si>
  <si>
    <t>TXA604D</t>
  </si>
  <si>
    <t>Module 4 sorties 16A/230V~ adapte pour charges capacitives / New Easy</t>
  </si>
  <si>
    <t>169.8235€</t>
  </si>
  <si>
    <t>TXA606B</t>
  </si>
  <si>
    <t>Module 6 sorties 10A/230V~ / New Easy</t>
  </si>
  <si>
    <t>179.0355€</t>
  </si>
  <si>
    <t>TXA606D</t>
  </si>
  <si>
    <t>Module 6 sorties 16A/230V~ adapte pour charges capacitives / New Easy</t>
  </si>
  <si>
    <t>244.874€</t>
  </si>
  <si>
    <t>TXA610B</t>
  </si>
  <si>
    <t>Module de sortie 10x 10A /230V~. KNX</t>
  </si>
  <si>
    <t>247.1105€</t>
  </si>
  <si>
    <t>TXA610D</t>
  </si>
  <si>
    <t>Module 10 sorties 16A/230V~ adapte pour charges capacitives / New Easy</t>
  </si>
  <si>
    <t>336.763€</t>
  </si>
  <si>
    <t>TXA624C</t>
  </si>
  <si>
    <t>Module 4 sorties volets roulants et stores a bannes 230V~ 6A / New Easy</t>
  </si>
  <si>
    <t>163.2365€</t>
  </si>
  <si>
    <t>TXA624D</t>
  </si>
  <si>
    <t>Module 4 sorties volets roulants et stores a bannes 24V DC 6A / New Easy</t>
  </si>
  <si>
    <t>TXA628C</t>
  </si>
  <si>
    <t>Mod. 8 sorties volets 230V</t>
  </si>
  <si>
    <t>290.731€</t>
  </si>
  <si>
    <t>TXA661A</t>
  </si>
  <si>
    <t>Module de sortie pour l'éclairage variable - 1 sortie directe 300W / New Easy</t>
  </si>
  <si>
    <t>90.3735€</t>
  </si>
  <si>
    <t>TXA661B</t>
  </si>
  <si>
    <t>Module de sortie pour l'éclairage variable - 1 sortie directe 600W / New Easy</t>
  </si>
  <si>
    <t>123.004€</t>
  </si>
  <si>
    <t>TXA663A</t>
  </si>
  <si>
    <t>Module 3 sorties varia 300W</t>
  </si>
  <si>
    <t>243.481€</t>
  </si>
  <si>
    <t>TXB692F</t>
  </si>
  <si>
    <t>Module 2 sorties, 2 entrées ,encast.,KNX</t>
  </si>
  <si>
    <t>55.475€</t>
  </si>
  <si>
    <t>TYA604B</t>
  </si>
  <si>
    <t>Module de sortie 4x 10A /230V~. KNX</t>
  </si>
  <si>
    <t>145.348€</t>
  </si>
  <si>
    <t>TYA604C</t>
  </si>
  <si>
    <t>Module de sortie 4x 16A /230V~. KNX</t>
  </si>
  <si>
    <t>169.092€</t>
  </si>
  <si>
    <t>TYA661AN</t>
  </si>
  <si>
    <t>Module de sortie pour l'éclairage variable : 1 sortie directe 300W</t>
  </si>
  <si>
    <t>97.839€</t>
  </si>
  <si>
    <t>TYA661BN</t>
  </si>
  <si>
    <t>Module de sortie pour l'éclairage variable : 1 sortie directe 600W</t>
  </si>
  <si>
    <t>143.682€</t>
  </si>
  <si>
    <t>TXA662AN</t>
  </si>
  <si>
    <t>Module 2 sorties variation éclairage 300W par voie / New Easy / Parallélisation</t>
  </si>
  <si>
    <t>171.9305€</t>
  </si>
  <si>
    <t>TYA662AN</t>
  </si>
  <si>
    <t>Module 2 sorties variables puissance 300W système Parallélisable</t>
  </si>
  <si>
    <t>208.4985€</t>
  </si>
  <si>
    <t>TGC600</t>
  </si>
  <si>
    <t>Coffret de montage mural pour produits modulaires 4 modules IP31</t>
  </si>
  <si>
    <t>22.0885€</t>
  </si>
  <si>
    <t>TXM646R</t>
  </si>
  <si>
    <t>Mod. 6 sorties chauffage avec regul. NE</t>
  </si>
  <si>
    <t>79.667€</t>
  </si>
  <si>
    <t>TYMS646R</t>
  </si>
  <si>
    <t>Mod. 6 sorties chauffage avec regul.</t>
  </si>
  <si>
    <t>137.7705€</t>
  </si>
  <si>
    <t>TYMS646T</t>
  </si>
  <si>
    <t>Mod. 6 sorties chauffage</t>
  </si>
  <si>
    <t>97.9195€</t>
  </si>
  <si>
    <t>TYAS608D</t>
  </si>
  <si>
    <t>Module 8 sorties 16A 230V~ (charges capacitives) avec forçage manuel sans bus</t>
  </si>
  <si>
    <t>161.4375€</t>
  </si>
  <si>
    <t>TYAS628C</t>
  </si>
  <si>
    <t>Module de sortie pour volets roulants ou stores à bannes pour 8 moteurs 230V~ 6A</t>
  </si>
  <si>
    <t>312.7075€</t>
  </si>
  <si>
    <t>TYAS664AN</t>
  </si>
  <si>
    <t>Module 4 sorties variation éclairage 300W par voie / New Easy / Parallélisation</t>
  </si>
  <si>
    <t>327.817€</t>
  </si>
  <si>
    <t>TYBS601B</t>
  </si>
  <si>
    <t>Module de sortie 1x 10A /230V~. à encastrer. KNX</t>
  </si>
  <si>
    <t>42.063€</t>
  </si>
  <si>
    <t>TYBS602F</t>
  </si>
  <si>
    <t>Module de sortie 2x 6A /230V~. à encastrer. KNX</t>
  </si>
  <si>
    <t>40.11€</t>
  </si>
  <si>
    <t>TYBS692F</t>
  </si>
  <si>
    <t>Module de sortie 2x 6A /230V~. 2 entrées. à encastrer. KNX</t>
  </si>
  <si>
    <t>55.776€</t>
  </si>
  <si>
    <t>TYAS604D</t>
  </si>
  <si>
    <t>Mod. 4 sorties 16A/230V~ charge capa</t>
  </si>
  <si>
    <t>119.875€</t>
  </si>
  <si>
    <t>TYAS606D</t>
  </si>
  <si>
    <t>Mod. 6 sorties 16A/230V~ charge capa</t>
  </si>
  <si>
    <t>126.4725€</t>
  </si>
  <si>
    <t>TYAS610D</t>
  </si>
  <si>
    <t>Mod. 10 sorties 16A/230V~ charge capa</t>
  </si>
  <si>
    <t>174.496€</t>
  </si>
  <si>
    <t>TYAS624C</t>
  </si>
  <si>
    <t>Module 4 sorties volets ou stores 230V~</t>
  </si>
  <si>
    <t>115.108€</t>
  </si>
  <si>
    <t>TYAS624D</t>
  </si>
  <si>
    <t>Module 4 sorties volets ou stores 24V DC</t>
  </si>
  <si>
    <t>130.872€</t>
  </si>
  <si>
    <t>AZ010</t>
  </si>
  <si>
    <t>Cache bornes plombable jaune pour disjoncteur différentiel 2m</t>
  </si>
  <si>
    <t xml:space="preserve">HATDDM03 </t>
  </si>
  <si>
    <t>DISJ.DIFF.PH+N 4.5KA</t>
  </si>
  <si>
    <t>9.64€</t>
  </si>
  <si>
    <t>3.2725€</t>
  </si>
  <si>
    <t>ACC816F</t>
  </si>
  <si>
    <t>Disjoncteur différentiel 1P+N 4.5-6kA courbe C - 16A 10mA type AC</t>
  </si>
  <si>
    <t>189.9065€</t>
  </si>
  <si>
    <t>ADC816F</t>
  </si>
  <si>
    <t>Disjoncteur Différentiel 1P+N 4.5-6kA C-16A 30mA type AC</t>
  </si>
  <si>
    <t>110.929€</t>
  </si>
  <si>
    <t>ADC810F</t>
  </si>
  <si>
    <t>Disjoncteur différentiel 1P+N 4.5-6kA courbe C - 10A 30mA type AC</t>
  </si>
  <si>
    <t>118.7515€</t>
  </si>
  <si>
    <t>ADC420F</t>
  </si>
  <si>
    <t>Disjoncteur Différentiel 3P+N 6-10kA courbe C - 20A 30mA type AC</t>
  </si>
  <si>
    <t>214.487€</t>
  </si>
  <si>
    <t>ADC847F</t>
  </si>
  <si>
    <t>Disjoncteur Différentiel 1P+N 4.5kA C-40A 30mA type AC 60Hz</t>
  </si>
  <si>
    <t>126.091€</t>
  </si>
  <si>
    <t>ADC839F</t>
  </si>
  <si>
    <t>Disjoncteur Différentiel 1P+N 4.5kA C-32A 30mA type AC 60Hz</t>
  </si>
  <si>
    <t>120.2635€</t>
  </si>
  <si>
    <t>ADC833F</t>
  </si>
  <si>
    <t>Disjoncteur Différentiel 1P+N 4.5kA C-25A 30mA type AC 60Hz</t>
  </si>
  <si>
    <t>115.9655€</t>
  </si>
  <si>
    <t>ADC416F</t>
  </si>
  <si>
    <t>Disjoncteur Différentiel 3P+N 6-10kA courbe C - 16A 30mA type AC</t>
  </si>
  <si>
    <t>212.037€</t>
  </si>
  <si>
    <t>ADC827F</t>
  </si>
  <si>
    <t>Disjoncteur Différentiel 1P+N 4.5kA C-20A 30mA type AC 60Hz</t>
  </si>
  <si>
    <t>113.827€</t>
  </si>
  <si>
    <t>ADC410F</t>
  </si>
  <si>
    <t>Disjoncteur Différentiel 3P+N 6-10kA courbe C - 10A 30mA type AC</t>
  </si>
  <si>
    <t>209.4295€</t>
  </si>
  <si>
    <t>AFC420F</t>
  </si>
  <si>
    <t>Disjoncteur Différentiel 3P+N 6-10kA courbe C - 20A 300mA type AC</t>
  </si>
  <si>
    <t>208.0295€</t>
  </si>
  <si>
    <t>ADC823F</t>
  </si>
  <si>
    <t>Disjoncteur Différentiel 1P+N 4.5kA C-16A 30mA type AC 60Hz</t>
  </si>
  <si>
    <t>112.504€</t>
  </si>
  <si>
    <t>AFC416F</t>
  </si>
  <si>
    <t>Disjoncteur Différentiel 3P+N 6-10kA courbe C - 16A 300mA type AC</t>
  </si>
  <si>
    <t>207.5115€</t>
  </si>
  <si>
    <t>ADC817F</t>
  </si>
  <si>
    <t>Disjoncteur Différentiel 1P+N 4.5kA C-10A 30mA type AC 60Hz</t>
  </si>
  <si>
    <t>110.0505€</t>
  </si>
  <si>
    <t>ADC432F</t>
  </si>
  <si>
    <t>Disjoncteur Différentiel 3P+N 6-10kA courbe C - 32A 30mA type AC</t>
  </si>
  <si>
    <t>227.8745€</t>
  </si>
  <si>
    <t>ADX460C</t>
  </si>
  <si>
    <t>Le disjoncteur différentiel Hager ADX460C 10A assure la protection contre les surintensités et les fuites de courant à la terre jusqu\'à 30mA. Pour les installations tertiaires. il offre une capacité de coupure de 10kA et est de type A.</t>
  </si>
  <si>
    <t>289.0195€</t>
  </si>
  <si>
    <t>ADX466C</t>
  </si>
  <si>
    <t>Le disjoncteur différentiel Hager ADX466C 16A assure la protection contre les surintensités et les fuites de courant à la terre jusqu\'à 30mA. Pour les installations tertiaires. il offre une capacité de coupure de 10kA et est de type A.</t>
  </si>
  <si>
    <t>281.0255€</t>
  </si>
  <si>
    <t>ADX470C</t>
  </si>
  <si>
    <t>Le disjoncteur différentiel Hager ADX470C 20A assure la protection contre les surintensités et les fuites de courant à la terre jusqu\'à 30mA. Pour les installations tertiaires. il offre une capacité de coupure de 10kA et est de type A.</t>
  </si>
  <si>
    <t>281.547€</t>
  </si>
  <si>
    <t>ADX475C</t>
  </si>
  <si>
    <t>Le disjoncteur différentiel Hager ADX475C 25A assure la protection contre les surintensités et les fuites de courant à la terre jusqu\'à 30mA. Pour les installations tertiaires. il offre une capacité de coupure de 10kA et est de type A.</t>
  </si>
  <si>
    <t>295.2495€</t>
  </si>
  <si>
    <t>ADX482C</t>
  </si>
  <si>
    <t>Le disjoncteur différentiel Hager ADX482C 32A assure la protection contre les surintensités et les fuites de courant à la terre jusqu\'à 30mA. Pour les installations tertiaires. il offre une capacité de coupure de 10kA et est de type A.</t>
  </si>
  <si>
    <t>305.1475€</t>
  </si>
  <si>
    <t>ADX490C</t>
  </si>
  <si>
    <t>Le disjoncteur différentiel Hager ADX490C 40A assure la protection contre les surintensités et les fuites de courant à la terre jusqu\'à 30mA. Pour les installations tertiaires. il offre une capacité de coupure de 10kA et est de type A.</t>
  </si>
  <si>
    <t>333.6305€</t>
  </si>
  <si>
    <t>ADF810F</t>
  </si>
  <si>
    <t xml:space="preserve">Disjoncteur différentiel 1P+N 4.5kA C-10A 30mA type F </t>
  </si>
  <si>
    <t>162.6135€</t>
  </si>
  <si>
    <t>ADF816F</t>
  </si>
  <si>
    <t xml:space="preserve">Disjoncteur différentiel 1P+N 4.5kA C-16A 30mA type F </t>
  </si>
  <si>
    <t>ADF820F</t>
  </si>
  <si>
    <t xml:space="preserve">Disjoncteur différentiel 1P+N 4.5kA C-20A 30mA type F </t>
  </si>
  <si>
    <t>ADF823F</t>
  </si>
  <si>
    <t xml:space="preserve">Disjoncteur différentiel 1P+N 4.5kA C-16A 30mA type F 60Hz </t>
  </si>
  <si>
    <t>ADF825F</t>
  </si>
  <si>
    <t xml:space="preserve">Disjoncteur différentiel 1P+N 4.5kA C-25A 30mA type F </t>
  </si>
  <si>
    <t>170.7475€</t>
  </si>
  <si>
    <t>ADF916F</t>
  </si>
  <si>
    <t xml:space="preserve">Disjoncteur différentiel 1P+N 6kA C-16A 30mA type F </t>
  </si>
  <si>
    <t>179.284€</t>
  </si>
  <si>
    <t>ADF925F</t>
  </si>
  <si>
    <t xml:space="preserve">Disjoncteur différentiel 1P+N 6kA C-25A 30mA type F </t>
  </si>
  <si>
    <t>JB253N</t>
  </si>
  <si>
    <t>Epanouisseur de goulotte</t>
  </si>
  <si>
    <t xml:space="preserve">HAHEHM10 </t>
  </si>
  <si>
    <t>GOULOTTES GAMMA</t>
  </si>
  <si>
    <t>42.58€</t>
  </si>
  <si>
    <t>TU418</t>
  </si>
  <si>
    <t>Télécommande 6 Boutons poussoir 18 Entrées KNX radio quicklink</t>
  </si>
  <si>
    <t xml:space="preserve">HADTIM05 </t>
  </si>
  <si>
    <t>TEBIS RADIO</t>
  </si>
  <si>
    <t>153.1386€</t>
  </si>
  <si>
    <t>TU406</t>
  </si>
  <si>
    <t>Télécommande 6 Boutons poussoir 6 Entrées KNX radio quicklink</t>
  </si>
  <si>
    <t>104.6682€</t>
  </si>
  <si>
    <t>TU404</t>
  </si>
  <si>
    <t>Télécommande 4 touches KNX</t>
  </si>
  <si>
    <t>147.92€</t>
  </si>
  <si>
    <t>75.8862€</t>
  </si>
  <si>
    <t>TU402</t>
  </si>
  <si>
    <t>Télécommande 2 Boutons poussoir  2 Entrées KNX radio quicklink</t>
  </si>
  <si>
    <t>68.067€</t>
  </si>
  <si>
    <t>TRE221</t>
  </si>
  <si>
    <t>Module 1 sortie volet roulant 10A IP55 KNX radio QL</t>
  </si>
  <si>
    <t>166.3416€</t>
  </si>
  <si>
    <t>TRE202</t>
  </si>
  <si>
    <t>Module 2 sorties 10A IP55 KNX radio Quicklink</t>
  </si>
  <si>
    <t>162.0864€</t>
  </si>
  <si>
    <t>TRE201</t>
  </si>
  <si>
    <t>Module 1 sortie 10A IP55 KNX radio Quicklink</t>
  </si>
  <si>
    <t>134.1306€</t>
  </si>
  <si>
    <t>TRB201</t>
  </si>
  <si>
    <t>1 Sortie 16A à encastrer KNX radio QL</t>
  </si>
  <si>
    <t>97.848€</t>
  </si>
  <si>
    <t>TRC270F</t>
  </si>
  <si>
    <t>Prise gigogne ON/OFF 16A KNX radio QL</t>
  </si>
  <si>
    <t>139.5036€</t>
  </si>
  <si>
    <t>TRE301</t>
  </si>
  <si>
    <t>Bouton poussoir mural radio KNX, 1 entrée, IP55</t>
  </si>
  <si>
    <t>87.0858€</t>
  </si>
  <si>
    <t>TRE302</t>
  </si>
  <si>
    <t>Bouton poussoir mural radio KNX, 2 entrées, IP55</t>
  </si>
  <si>
    <t>96.12€</t>
  </si>
  <si>
    <t>TRE600</t>
  </si>
  <si>
    <t>Projecteur LED avec détecteur infrarouge évolué 220-360° KNX radio quicklink</t>
  </si>
  <si>
    <t>314.5176€</t>
  </si>
  <si>
    <t>TRC301B</t>
  </si>
  <si>
    <t>Détecteur ouverture KNX radio QL</t>
  </si>
  <si>
    <t>45.6624€</t>
  </si>
  <si>
    <t>EE960</t>
  </si>
  <si>
    <t>Lampe de secours débrochable</t>
  </si>
  <si>
    <t xml:space="preserve">HAHAIM03 </t>
  </si>
  <si>
    <t>DIVERS</t>
  </si>
  <si>
    <t>143.568€</t>
  </si>
  <si>
    <t>MONTECABL3</t>
  </si>
  <si>
    <t>td1-logement t3</t>
  </si>
  <si>
    <t>273.9072€</t>
  </si>
  <si>
    <t>MONTECABL4</t>
  </si>
  <si>
    <t>td2-logement t4</t>
  </si>
  <si>
    <t>356.4768€</t>
  </si>
  <si>
    <t>TAMC206075827TD01</t>
  </si>
  <si>
    <t>B_TD1 MARCHE TAMC RENO/MARSEILLE/ERILIA</t>
  </si>
  <si>
    <t>138.8112€</t>
  </si>
  <si>
    <t>TAMC206075827TD02</t>
  </si>
  <si>
    <t>B_TD2 MARCHE TAMC RENO/MARSEILLE/ERILIA</t>
  </si>
  <si>
    <t>135.0864€</t>
  </si>
  <si>
    <t>Delesteur universel pour chauffage électrique 3 voies tournantes 3 entrees 230V</t>
  </si>
  <si>
    <t xml:space="preserve">HACEDM15 </t>
  </si>
  <si>
    <t>DELESTEURS</t>
  </si>
  <si>
    <t>308.844€</t>
  </si>
  <si>
    <t>SK606</t>
  </si>
  <si>
    <t>Interrupteur à clé 10A</t>
  </si>
  <si>
    <t xml:space="preserve">HATAVM03 </t>
  </si>
  <si>
    <t>VOLTMETRE/AMPEREMETRE</t>
  </si>
  <si>
    <t>293.8958€</t>
  </si>
  <si>
    <t>SM103E</t>
  </si>
  <si>
    <t>Centrale de mesure évoluée</t>
  </si>
  <si>
    <t>685.0602€</t>
  </si>
  <si>
    <t>SM102E</t>
  </si>
  <si>
    <t>Centrale de mesure</t>
  </si>
  <si>
    <t>527.1284€</t>
  </si>
  <si>
    <t>SM203</t>
  </si>
  <si>
    <t>Module sortie analogique pour centrale de mesure et d'analyse de réseau</t>
  </si>
  <si>
    <t>119.8596€</t>
  </si>
  <si>
    <t>SM202</t>
  </si>
  <si>
    <t>Module entrée-sortie pour SM103E</t>
  </si>
  <si>
    <t>154.3902€</t>
  </si>
  <si>
    <t>SM201</t>
  </si>
  <si>
    <t>Module sortie imp. pour SM103E</t>
  </si>
  <si>
    <t>96.444€</t>
  </si>
  <si>
    <t>SM200</t>
  </si>
  <si>
    <t>Module sortie imp. pour SM102E</t>
  </si>
  <si>
    <t>67.7122€</t>
  </si>
  <si>
    <t>SM204</t>
  </si>
  <si>
    <t>Module mémoire pour centrale de mesure et d'analyse de réseau</t>
  </si>
  <si>
    <t>496.8538€</t>
  </si>
  <si>
    <t>SM205</t>
  </si>
  <si>
    <t>Module température pour centrale de mesure et d'analyse de réseau</t>
  </si>
  <si>
    <t>212.9634€</t>
  </si>
  <si>
    <t>SM210</t>
  </si>
  <si>
    <t>Module de communication RS485 JBUS/MODBUS pour centrale de mesure</t>
  </si>
  <si>
    <t>152.608€</t>
  </si>
  <si>
    <t>SM211</t>
  </si>
  <si>
    <t>Module de communication RS485 JBUS/MODBUS pour centrale mesure &amp; analyse réseau</t>
  </si>
  <si>
    <t>179.1624€</t>
  </si>
  <si>
    <t>SM213</t>
  </si>
  <si>
    <t>Module ethernet jbus-modbus pour SM103E</t>
  </si>
  <si>
    <t>308.4764€</t>
  </si>
  <si>
    <t>SM214</t>
  </si>
  <si>
    <t>Module ethernet + RS485 jbus-modbus pour SM103E</t>
  </si>
  <si>
    <t>614.2662€</t>
  </si>
  <si>
    <t>SM101E</t>
  </si>
  <si>
    <t>Centrale de mesure modulaire</t>
  </si>
  <si>
    <t>415.1006€</t>
  </si>
  <si>
    <t>SM101C</t>
  </si>
  <si>
    <t>Centrale de mesure modulaire communicante</t>
  </si>
  <si>
    <t>459.4238€</t>
  </si>
  <si>
    <t>Programmateur digital semi-encastré chauf élec avec fil pilote 2 zones 7j 230V</t>
  </si>
  <si>
    <t xml:space="preserve">HACESM15 </t>
  </si>
  <si>
    <t>PROG SAILLIE</t>
  </si>
  <si>
    <t>234.462€</t>
  </si>
  <si>
    <t>Hublot 60W avec détecteur infrarouge 110° blanc</t>
  </si>
  <si>
    <t xml:space="preserve">HACLDM10 </t>
  </si>
  <si>
    <t>LUMINAIRE AVEC DETECTEUR</t>
  </si>
  <si>
    <t>125.694€</t>
  </si>
  <si>
    <t>VZ404</t>
  </si>
  <si>
    <t>Kit de nettoyage pour coffrets</t>
  </si>
  <si>
    <t xml:space="preserve">HATECM03 </t>
  </si>
  <si>
    <t>COFFRETS VEGA 18</t>
  </si>
  <si>
    <t>93.77€</t>
  </si>
  <si>
    <t>39.1128€</t>
  </si>
  <si>
    <t>VZ699N</t>
  </si>
  <si>
    <t>Jeu de 10 bracelets guide-fils pour coffrets vega largeurs 12 et 18 modules</t>
  </si>
  <si>
    <t>1.2642€</t>
  </si>
  <si>
    <t>VB118A</t>
  </si>
  <si>
    <t>Coffret vega largeur 18 modules hauteur 1 rangée</t>
  </si>
  <si>
    <t>69.4192€</t>
  </si>
  <si>
    <t>VB218A</t>
  </si>
  <si>
    <t>Coffret vega largeur 18 modules hauteur 2 rangées</t>
  </si>
  <si>
    <t>97.7605€</t>
  </si>
  <si>
    <t>VB318A</t>
  </si>
  <si>
    <t>Coffret vega largeur 18 modules hauteur 3 rangées</t>
  </si>
  <si>
    <t>122.9413€</t>
  </si>
  <si>
    <t>VB418A</t>
  </si>
  <si>
    <t>Coffret vega largeur 18 modules hauteur 4 rangées</t>
  </si>
  <si>
    <t>193.9644€</t>
  </si>
  <si>
    <t>VZ001VB</t>
  </si>
  <si>
    <t>Plaque de fermeture standard pour coffret vega largeur 18 modules</t>
  </si>
  <si>
    <t>13.0204€</t>
  </si>
  <si>
    <t>VZ003VB</t>
  </si>
  <si>
    <t>Plaque de fermeture IP41 pour coffret vega largeur 18 modules</t>
  </si>
  <si>
    <t>VZ004VB</t>
  </si>
  <si>
    <t>Jeu de 2 charnières pour coffrets vega largeur 18 modules</t>
  </si>
  <si>
    <t>18.3954€</t>
  </si>
  <si>
    <t>VZ005VB</t>
  </si>
  <si>
    <t>Kit de juxtaposition horizontale pour coffrets vega largeur 18 modules</t>
  </si>
  <si>
    <t>29.1325€</t>
  </si>
  <si>
    <t>VZ006VB</t>
  </si>
  <si>
    <t>Kit de juxtaposition vertical pour coffrets vega largeur 18 modules</t>
  </si>
  <si>
    <t>VZ008VB</t>
  </si>
  <si>
    <t>Plastron modualire pour coffret vega 18 modules hauteur 1 rangée</t>
  </si>
  <si>
    <t>24.553€</t>
  </si>
  <si>
    <t>VZ009VB</t>
  </si>
  <si>
    <t>Kit de montage murale classe II pour coffret vega largeur 18 modules</t>
  </si>
  <si>
    <t>24.467€</t>
  </si>
  <si>
    <t>VZ010VB</t>
  </si>
  <si>
    <t>Rail de montage DIN  symétrique pour coffret vega largeur 18 modules</t>
  </si>
  <si>
    <t>8.858€</t>
  </si>
  <si>
    <t>VZ011VB</t>
  </si>
  <si>
    <t>Jeu de 10 étiquettes avec supports pour coffrets vega largeur 18 modules</t>
  </si>
  <si>
    <t>VZ012VB</t>
  </si>
  <si>
    <t>Goulotte verticale pour coffrets vega largeur 18 modules 3 rangées</t>
  </si>
  <si>
    <t>10.9994€</t>
  </si>
  <si>
    <t>VZ013VB</t>
  </si>
  <si>
    <t>Goulotte verticale pour coffrets vega largeur 18 modules 4 rangées</t>
  </si>
  <si>
    <t>16.4733€</t>
  </si>
  <si>
    <t>VZ014VB</t>
  </si>
  <si>
    <t>Goulotte horizontale pour coffrets vega largeur 18 modules 1 à 4 rangées</t>
  </si>
  <si>
    <t>10.5522€</t>
  </si>
  <si>
    <t>VZ041VB</t>
  </si>
  <si>
    <t>Kit IP41 pour coffrets vega largeur 18 modules</t>
  </si>
  <si>
    <t>56.0204€</t>
  </si>
  <si>
    <t>VZ118P</t>
  </si>
  <si>
    <t>Porte opaque pour coffret vega largeur 18 modules hauteur 1 rangée</t>
  </si>
  <si>
    <t>27.4383€</t>
  </si>
  <si>
    <t>VZ118T</t>
  </si>
  <si>
    <t>Porte transparente pour coffret vega largeur 18 modules hauteur 1 rangée</t>
  </si>
  <si>
    <t>32.6155€</t>
  </si>
  <si>
    <t>VZ218P</t>
  </si>
  <si>
    <t>Porte opaque pour coffret vega largeur 18 modules hauteur 2 rangées</t>
  </si>
  <si>
    <t>30.3881€</t>
  </si>
  <si>
    <t>VZ218T</t>
  </si>
  <si>
    <t>Porte transparente pour coffret vega largeur 18 modules hauteur 2 rangées</t>
  </si>
  <si>
    <t>40.0201€</t>
  </si>
  <si>
    <t>VZ310PVB</t>
  </si>
  <si>
    <t>Fermeture à clé type Ronis 1242E pour porte opaque vega largeur 18 modules</t>
  </si>
  <si>
    <t>13.7342€</t>
  </si>
  <si>
    <t>VZ310TVB</t>
  </si>
  <si>
    <t>Fermeture à clé type Ronis 1242E pour porte transparente vega largeur 18 modules</t>
  </si>
  <si>
    <t>VZ311PVB</t>
  </si>
  <si>
    <t>Fermeture à clé type Ronis 405E pour porte opaque vega largeur 18 modules</t>
  </si>
  <si>
    <t>VZ311TVB</t>
  </si>
  <si>
    <t>Fermeture à clé type Ronis 405E pour porte transparente vega largeur 18 modules</t>
  </si>
  <si>
    <t>VZ318P</t>
  </si>
  <si>
    <t>Porte opaque pour coffret vega largeur 18 modules hauteur 3 rangées</t>
  </si>
  <si>
    <t>VZ318T</t>
  </si>
  <si>
    <t>Porte transparente pour coffret vega largeur 18 modules hauteur 3 rangées</t>
  </si>
  <si>
    <t>45.9412€</t>
  </si>
  <si>
    <t>VZ418P</t>
  </si>
  <si>
    <t>Porte opaque pour coffret vega largeur 18 modules hauteur 4 rangées</t>
  </si>
  <si>
    <t>41.4993€</t>
  </si>
  <si>
    <t>VZ418T</t>
  </si>
  <si>
    <t>Porte transparente pour coffret vega largeur 18 modules hauteur 4 rangées</t>
  </si>
  <si>
    <t>55.5603€</t>
  </si>
  <si>
    <t>EG203P</t>
  </si>
  <si>
    <t>Programmateur modulaire électronique chauf élec avec fil pilote 2 zones 7j 230V</t>
  </si>
  <si>
    <t xml:space="preserve">HACEMM15 </t>
  </si>
  <si>
    <t>PROG MOD</t>
  </si>
  <si>
    <t>242.85€</t>
  </si>
  <si>
    <t>EK660P</t>
  </si>
  <si>
    <t>Programmateur radio pour chauffage électrique 1-2-3 zones 7j</t>
  </si>
  <si>
    <t xml:space="preserve">HACERM15 </t>
  </si>
  <si>
    <t>RENOVATION</t>
  </si>
  <si>
    <t>245.178€</t>
  </si>
  <si>
    <t>EK066P</t>
  </si>
  <si>
    <t>Récepteur radio saillie pour chauffage électrique avec fil pilote 230V</t>
  </si>
  <si>
    <t>95.802€</t>
  </si>
  <si>
    <t>EK520</t>
  </si>
  <si>
    <t>Thermostat ambiance programmable digital chauf eau chaude 2 fils sur 7j à piles</t>
  </si>
  <si>
    <t xml:space="preserve">HACOFM15 </t>
  </si>
  <si>
    <t>TAP FILAIRES</t>
  </si>
  <si>
    <t>201.774€</t>
  </si>
  <si>
    <t>EK510</t>
  </si>
  <si>
    <t>Thermostat ambiance programmable digital chauf eau chaude 4 fils sur 7j ECO 230V</t>
  </si>
  <si>
    <t>148.35€</t>
  </si>
  <si>
    <t>EK570</t>
  </si>
  <si>
    <t>Thermostat ambiance programmable digital chauf eau chaude 2 fils 7j ECO à piles</t>
  </si>
  <si>
    <t>147.018€</t>
  </si>
  <si>
    <t>EK530</t>
  </si>
  <si>
    <t>Thermostat ambiance programmable digital chauf eau chaude 4 fils sur 7j 230V</t>
  </si>
  <si>
    <t>199.914€</t>
  </si>
  <si>
    <t>EK529</t>
  </si>
  <si>
    <t>kit pile lithium pour thermostats ambiance prog digitaux chauf eau ch 2 fils</t>
  </si>
  <si>
    <t>25.608€</t>
  </si>
  <si>
    <t>EK528</t>
  </si>
  <si>
    <t>Support mural pour thermostats ambiance prog digitaux chauf eau chaude EK5xx</t>
  </si>
  <si>
    <t>22.344€</t>
  </si>
  <si>
    <t>SB432PV</t>
  </si>
  <si>
    <t>Interrupteur DC 4P 1000V 32A</t>
  </si>
  <si>
    <t xml:space="preserve">HAHSIM15 </t>
  </si>
  <si>
    <t>INTER. DE COMMANDE</t>
  </si>
  <si>
    <t>155.2€</t>
  </si>
  <si>
    <t>SF263</t>
  </si>
  <si>
    <t>Inverseur 2 pôles 63A I-0-II</t>
  </si>
  <si>
    <t>164.505€</t>
  </si>
  <si>
    <t>SBN132</t>
  </si>
  <si>
    <t>Interrupteur modulaire 1 pôle 32A</t>
  </si>
  <si>
    <t>SBN325</t>
  </si>
  <si>
    <t>Interrupteur modulaire 3 pôles 25A</t>
  </si>
  <si>
    <t>36.595€</t>
  </si>
  <si>
    <t>SFT240</t>
  </si>
  <si>
    <t>Inverseur modulaire 2 pôles 40A, point commun amont, I-0-II</t>
  </si>
  <si>
    <t>SBN125</t>
  </si>
  <si>
    <t>Interrupteur modulaire 1 pôle 25A</t>
  </si>
  <si>
    <t>14.365€</t>
  </si>
  <si>
    <t>SBN299</t>
  </si>
  <si>
    <t>Interrupteur modulaire 2 pôles 125A</t>
  </si>
  <si>
    <t>77.465€</t>
  </si>
  <si>
    <t>SBN199</t>
  </si>
  <si>
    <t>Interrupteur modulaire 1 pôle 125A</t>
  </si>
  <si>
    <t>51.11€</t>
  </si>
  <si>
    <t>SFT232</t>
  </si>
  <si>
    <t>Inverseur modulaire 2 pôles 32A, point commun amont, I-0-II</t>
  </si>
  <si>
    <t>85.315€</t>
  </si>
  <si>
    <t>SBN463</t>
  </si>
  <si>
    <t>Interrupteur modulaire 4 pôles 63A</t>
  </si>
  <si>
    <t>110.285€</t>
  </si>
  <si>
    <t>SFT225</t>
  </si>
  <si>
    <t>Inverseur modulaire 2 pôles 25A, point commun amont, I-0-II</t>
  </si>
  <si>
    <t>56.86€</t>
  </si>
  <si>
    <t>SBN363</t>
  </si>
  <si>
    <t>Interrupteur modulaire 3 pôles 63A</t>
  </si>
  <si>
    <t>SFT140</t>
  </si>
  <si>
    <t>Inverseur modulaire 1 pôle 40A, point commun amont, I-0-II</t>
  </si>
  <si>
    <t>60.015€</t>
  </si>
  <si>
    <t>SBB232</t>
  </si>
  <si>
    <t>Interrupteur modulaire 2 pôles 32A à voyant</t>
  </si>
  <si>
    <t>40.32€</t>
  </si>
  <si>
    <t>SFH225</t>
  </si>
  <si>
    <t>Inverseur modulaire 2 pôles 25A, point commun amont, I-II</t>
  </si>
  <si>
    <t>49.66€</t>
  </si>
  <si>
    <t>SFT132</t>
  </si>
  <si>
    <t>Inverseur modulaire 1 pôle 32A, point commun amont, I-0-II</t>
  </si>
  <si>
    <t>40.225€</t>
  </si>
  <si>
    <t>SBB225</t>
  </si>
  <si>
    <t>Interrupteur modulaire 2 pôles 25A à voyant</t>
  </si>
  <si>
    <t>40.01€</t>
  </si>
  <si>
    <t>SBN263</t>
  </si>
  <si>
    <t>Interrupteur modulaire 2 pôles 63A</t>
  </si>
  <si>
    <t>56.565€</t>
  </si>
  <si>
    <t>SBN332</t>
  </si>
  <si>
    <t>Interrupteur modulaire 3 pôles 32A</t>
  </si>
  <si>
    <t>41.235€</t>
  </si>
  <si>
    <t>SBB216</t>
  </si>
  <si>
    <t>Interrupteur modulaire 2 pôles 16A à voyant</t>
  </si>
  <si>
    <t>40.245€</t>
  </si>
  <si>
    <t>SBN432</t>
  </si>
  <si>
    <t>Interrupteur modulaire 4 pôles 32A</t>
  </si>
  <si>
    <t>48.45€</t>
  </si>
  <si>
    <t>SFH125</t>
  </si>
  <si>
    <t>Inverseur modulaire 1 pôle 25A, point commun amont, I-II</t>
  </si>
  <si>
    <t>22.585€</t>
  </si>
  <si>
    <t>SBN163</t>
  </si>
  <si>
    <t>Interrupteur modulaire 1 pôle 63A</t>
  </si>
  <si>
    <t>40.26€</t>
  </si>
  <si>
    <t>SBN232</t>
  </si>
  <si>
    <t>Interrupteur modulaire 2 pôles 32A</t>
  </si>
  <si>
    <t>SBN425</t>
  </si>
  <si>
    <t>Interrupteur modulaire 4 pôles 25A</t>
  </si>
  <si>
    <t>42.92€</t>
  </si>
  <si>
    <t>SBN499</t>
  </si>
  <si>
    <t>Interrupteur modulaire 4 pôles 125A</t>
  </si>
  <si>
    <t>146.87€</t>
  </si>
  <si>
    <t>SBN225</t>
  </si>
  <si>
    <t>Interrupteur modulaire 2 pôles 25A</t>
  </si>
  <si>
    <t>20.415€</t>
  </si>
  <si>
    <t>SBN399</t>
  </si>
  <si>
    <t>Interrupteur modulaire 3 pôles 125A</t>
  </si>
  <si>
    <t>128.655€</t>
  </si>
  <si>
    <t>SFT125</t>
  </si>
  <si>
    <t>Inverseur modulaire 1 pôle 25A, point commun amont, I-0-II</t>
  </si>
  <si>
    <t>26.7€</t>
  </si>
  <si>
    <t>SFT440</t>
  </si>
  <si>
    <t>Inverseur modulaire 4 pôles 40A, point commun amont, I-0-II</t>
  </si>
  <si>
    <t>207.575€</t>
  </si>
  <si>
    <t>EK560</t>
  </si>
  <si>
    <t>Kit thermostat ambiance prog digital radio chauf eau ch 7j récept mural à piles</t>
  </si>
  <si>
    <t xml:space="preserve">HACORM15 </t>
  </si>
  <si>
    <t>TAP RADIO</t>
  </si>
  <si>
    <t>387.102€</t>
  </si>
  <si>
    <t>EK056</t>
  </si>
  <si>
    <t>Récepteur mural 8A pour thermostat ambiance prog radio EK560 chauf eau ch 230V</t>
  </si>
  <si>
    <t>195.414€</t>
  </si>
  <si>
    <t>ERC218</t>
  </si>
  <si>
    <t>Relais de commande 16A. 1F+1O. 230V</t>
  </si>
  <si>
    <t xml:space="preserve">HAHABM03 </t>
  </si>
  <si>
    <t>RELAIS DE COMMANDE</t>
  </si>
  <si>
    <t>79.7808€</t>
  </si>
  <si>
    <t>ERD218</t>
  </si>
  <si>
    <t>Relais de commande 16A. 1F+1O. 24V</t>
  </si>
  <si>
    <t>78.1968€</t>
  </si>
  <si>
    <t>ERL218</t>
  </si>
  <si>
    <t>Relais de commande 16A. 1F+1O. 12V</t>
  </si>
  <si>
    <t>86.7552€</t>
  </si>
  <si>
    <t>ERC263</t>
  </si>
  <si>
    <t>Contacteur à commande manuelle 63A, 2F, 230V</t>
  </si>
  <si>
    <t xml:space="preserve">HATACM03 </t>
  </si>
  <si>
    <t>CONTACTEURS TERTIAIRES</t>
  </si>
  <si>
    <t>169.011€</t>
  </si>
  <si>
    <t>ERC325</t>
  </si>
  <si>
    <t>Contacteur à commande manuelle 25A, 3F, 230V</t>
  </si>
  <si>
    <t>80.0505€</t>
  </si>
  <si>
    <t>ERC425</t>
  </si>
  <si>
    <t>Contacteur à commande manuelle 25A, 4F, 230V</t>
  </si>
  <si>
    <t>85.041€</t>
  </si>
  <si>
    <t>ERC425S</t>
  </si>
  <si>
    <t>Contacteur Silencieux à commande manuelle 25A, 4F, 230V</t>
  </si>
  <si>
    <t>ERC426</t>
  </si>
  <si>
    <t>Contacteur à commande manuelle 25A, 4O, 230V</t>
  </si>
  <si>
    <t>106.2675€</t>
  </si>
  <si>
    <t>ERC427</t>
  </si>
  <si>
    <t>Contacteur à commande manuelle 25A, 2F+2O, 230V</t>
  </si>
  <si>
    <t>93.0375€</t>
  </si>
  <si>
    <t>ERD263</t>
  </si>
  <si>
    <t>Contacteur à commande manuelle 63A, 2F, 24V</t>
  </si>
  <si>
    <t>162.621€</t>
  </si>
  <si>
    <t>ERD425</t>
  </si>
  <si>
    <t>Contacteur à commande manuelle 25A, 4F, 24V</t>
  </si>
  <si>
    <t>90.792€</t>
  </si>
  <si>
    <t>ESC240</t>
  </si>
  <si>
    <t>Contacteur 40A. 2F. 230V</t>
  </si>
  <si>
    <t>110.3625€</t>
  </si>
  <si>
    <t>ESC240S</t>
  </si>
  <si>
    <t>Contacteur Silencieux 40A. 2F. 230V</t>
  </si>
  <si>
    <t>110.3535€</t>
  </si>
  <si>
    <t>ESC241</t>
  </si>
  <si>
    <t>Contacteur 40A. 2O. 230V</t>
  </si>
  <si>
    <t>132.2325€</t>
  </si>
  <si>
    <t>ESC263</t>
  </si>
  <si>
    <t>Contacteur 63A. 2F. 230V</t>
  </si>
  <si>
    <t>162.171€</t>
  </si>
  <si>
    <t>ESC263S</t>
  </si>
  <si>
    <t>Contacteur Silencieux 63A. 2F. 230V</t>
  </si>
  <si>
    <t>162.1575€</t>
  </si>
  <si>
    <t>ESC264</t>
  </si>
  <si>
    <t>Contacteur 63A. 2O. 230V</t>
  </si>
  <si>
    <t>186.012€</t>
  </si>
  <si>
    <t>ESC325</t>
  </si>
  <si>
    <t>Contacteur 25A. 3F. 230V</t>
  </si>
  <si>
    <t>76.374€</t>
  </si>
  <si>
    <t>ESC340</t>
  </si>
  <si>
    <t>Contacteur 40A. 3F. 230V</t>
  </si>
  <si>
    <t>121.5765€</t>
  </si>
  <si>
    <t>ESC425</t>
  </si>
  <si>
    <t>Contacteur 25A. 4F. 230V</t>
  </si>
  <si>
    <t>81.0135€</t>
  </si>
  <si>
    <t>ESC425S</t>
  </si>
  <si>
    <t>Contacteur Silencieux 25A. 4F. 230V</t>
  </si>
  <si>
    <t>81.054€</t>
  </si>
  <si>
    <t>ESC426</t>
  </si>
  <si>
    <t>Contacteur 25A. 4O. 230V</t>
  </si>
  <si>
    <t>101.4435€</t>
  </si>
  <si>
    <t>ESC427</t>
  </si>
  <si>
    <t>Contacteur 25A. 2F+2O. 230V</t>
  </si>
  <si>
    <t>91.6785€</t>
  </si>
  <si>
    <t>ESC440</t>
  </si>
  <si>
    <t>Contacteur 40A. 4F. 230V</t>
  </si>
  <si>
    <t>136.5525€</t>
  </si>
  <si>
    <t>ESC440S</t>
  </si>
  <si>
    <t>Contacteur Silencieux 40A. 4F. 230V</t>
  </si>
  <si>
    <t>136.5435€</t>
  </si>
  <si>
    <t>ESC441</t>
  </si>
  <si>
    <t>Contacteur 40A. 4O. 230V</t>
  </si>
  <si>
    <t>176.994€</t>
  </si>
  <si>
    <t>ESC442</t>
  </si>
  <si>
    <t>Contacteur 40A. 2F+2O. 230V</t>
  </si>
  <si>
    <t>215.838€</t>
  </si>
  <si>
    <t>ESC443</t>
  </si>
  <si>
    <t>Contacteur 40A. 3F+1O. 230V</t>
  </si>
  <si>
    <t>188.469€</t>
  </si>
  <si>
    <t>ESC463</t>
  </si>
  <si>
    <t>Contacteur 63A. 4F. 230V</t>
  </si>
  <si>
    <t>194.454€</t>
  </si>
  <si>
    <t>ESC463S</t>
  </si>
  <si>
    <t>Contacteur Silencieux 63A. 4F. 230V</t>
  </si>
  <si>
    <t>ESC464</t>
  </si>
  <si>
    <t>Contacteur 63A. 4O. 230V</t>
  </si>
  <si>
    <t>241.902€</t>
  </si>
  <si>
    <t>ESC465</t>
  </si>
  <si>
    <t>Contacteur 63A. 2F+2O. 230V</t>
  </si>
  <si>
    <t>189.1755€</t>
  </si>
  <si>
    <t>ESC466</t>
  </si>
  <si>
    <t>Contacteur 63A. 3F+1O. 230V</t>
  </si>
  <si>
    <t>195.1875€</t>
  </si>
  <si>
    <t>ESD263</t>
  </si>
  <si>
    <t>Contacteur 63A. 2F. 24V</t>
  </si>
  <si>
    <t>153.396€</t>
  </si>
  <si>
    <t>ESD264</t>
  </si>
  <si>
    <t>Contacteur 63A. 2O. 24V</t>
  </si>
  <si>
    <t>176.3685€</t>
  </si>
  <si>
    <t>ESD425</t>
  </si>
  <si>
    <t>Contacteur 25A. 4F. 24V</t>
  </si>
  <si>
    <t>87.1515€</t>
  </si>
  <si>
    <t>ESD426</t>
  </si>
  <si>
    <t>Contacteur 25A. 4O. 24V</t>
  </si>
  <si>
    <t>92.448€</t>
  </si>
  <si>
    <t>ESD427</t>
  </si>
  <si>
    <t>Contacteur 25A. 2F+2O. 24V</t>
  </si>
  <si>
    <t>97.002€</t>
  </si>
  <si>
    <t>ESD463</t>
  </si>
  <si>
    <t>Contacteur 63A. 4F. 24V</t>
  </si>
  <si>
    <t>227.6055€</t>
  </si>
  <si>
    <t>ESD464</t>
  </si>
  <si>
    <t>Contacteur 63A. 4O. 24V</t>
  </si>
  <si>
    <t>243.666€</t>
  </si>
  <si>
    <t>ESD425SDC</t>
  </si>
  <si>
    <t>Contacteur silencieux 25A. 4F. 24V</t>
  </si>
  <si>
    <t>91.269€</t>
  </si>
  <si>
    <t>EVN002</t>
  </si>
  <si>
    <t>Télévariateur Universel 500W</t>
  </si>
  <si>
    <t xml:space="preserve">HATAGM03 </t>
  </si>
  <si>
    <t>TELEVARIATEURS TERTIAIRE</t>
  </si>
  <si>
    <t>161.478€</t>
  </si>
  <si>
    <t>EVN004</t>
  </si>
  <si>
    <t>Télévariateur Universel 500W Confort</t>
  </si>
  <si>
    <t>215.226€</t>
  </si>
  <si>
    <t>EVN011</t>
  </si>
  <si>
    <t>Télévariateur Universel 300W</t>
  </si>
  <si>
    <t xml:space="preserve">HAHAHM03 </t>
  </si>
  <si>
    <t>TELEVARIATEURS HABITAT</t>
  </si>
  <si>
    <t>70.1424€</t>
  </si>
  <si>
    <t>EVN012</t>
  </si>
  <si>
    <t>Télévariateur Universel 300W Confort</t>
  </si>
  <si>
    <t>91.608€</t>
  </si>
  <si>
    <t>WMV023B</t>
  </si>
  <si>
    <t>1930 Poussoir à voyant E10 alba</t>
  </si>
  <si>
    <t xml:space="preserve">HAMVVM15 </t>
  </si>
  <si>
    <t>SERIE 1930</t>
  </si>
  <si>
    <t>31.224€</t>
  </si>
  <si>
    <t>WMV023N</t>
  </si>
  <si>
    <t>1930 Poussoir à voyant E10 nuit</t>
  </si>
  <si>
    <t>WMV100B</t>
  </si>
  <si>
    <t>1930 Prise 2P+T sanvis alba</t>
  </si>
  <si>
    <t>20.892€</t>
  </si>
  <si>
    <t>WMV100N</t>
  </si>
  <si>
    <t>1930 Prise 2P+T sanvis nuit</t>
  </si>
  <si>
    <t>20.886€</t>
  </si>
  <si>
    <t>WMV155B</t>
  </si>
  <si>
    <t>1930 Sortie de câble alba</t>
  </si>
  <si>
    <t>11.736€</t>
  </si>
  <si>
    <t>WMV155N</t>
  </si>
  <si>
    <t>1930 Sortie de câble nuit</t>
  </si>
  <si>
    <t>WMV157B</t>
  </si>
  <si>
    <t>1930 Obturateur alba</t>
  </si>
  <si>
    <t>WMV157N</t>
  </si>
  <si>
    <t>1930 Obturateur nuit</t>
  </si>
  <si>
    <t>WMV211</t>
  </si>
  <si>
    <t>1930 RJ45 simple Cat5e FTP</t>
  </si>
  <si>
    <t>22.2€</t>
  </si>
  <si>
    <t>WMV212</t>
  </si>
  <si>
    <t>1930 RJ45 double Cat5e FTP</t>
  </si>
  <si>
    <t>WMV226</t>
  </si>
  <si>
    <t>1930 RJ45 simple Cat 6 STP</t>
  </si>
  <si>
    <t>23.502€</t>
  </si>
  <si>
    <t>WMV227</t>
  </si>
  <si>
    <t>1930 RJ45 double Cat 6 STP</t>
  </si>
  <si>
    <t>WMV253</t>
  </si>
  <si>
    <t>1930 Prise TV directe</t>
  </si>
  <si>
    <t>23.514€</t>
  </si>
  <si>
    <t>WMV256</t>
  </si>
  <si>
    <t>1930 Prise TV + FM + SAT</t>
  </si>
  <si>
    <t>WMV290B</t>
  </si>
  <si>
    <t>1930 Prise HP simple Blanc</t>
  </si>
  <si>
    <t>WMV290N</t>
  </si>
  <si>
    <t>1930 Prise HP simple Noir</t>
  </si>
  <si>
    <t>WMV291B</t>
  </si>
  <si>
    <t>1930 Prise HP double Blanc</t>
  </si>
  <si>
    <t>19.548€</t>
  </si>
  <si>
    <t>WMV291N</t>
  </si>
  <si>
    <t>1930 Prise HP double Noir</t>
  </si>
  <si>
    <t>WMV300B</t>
  </si>
  <si>
    <t>1930 Interrupteur rotatif unipolaire pour store alba</t>
  </si>
  <si>
    <t>73.998€</t>
  </si>
  <si>
    <t>WMV300N</t>
  </si>
  <si>
    <t>1930 Interrupteur rotatif unipolaire pour store nuit</t>
  </si>
  <si>
    <t>WMV302B</t>
  </si>
  <si>
    <t>1930 Interrupteur rotatif bipolaire pour store alba</t>
  </si>
  <si>
    <t>83.118€</t>
  </si>
  <si>
    <t>WMV302N</t>
  </si>
  <si>
    <t>1930 Interrupteur rotatif bipolaire pour store nuit</t>
  </si>
  <si>
    <t>83.13€</t>
  </si>
  <si>
    <t>WMV401</t>
  </si>
  <si>
    <t>1930 Plaque 1 poste alba</t>
  </si>
  <si>
    <t>6.558€</t>
  </si>
  <si>
    <t>WMV402</t>
  </si>
  <si>
    <t>1930 Plaque 2 postes alba</t>
  </si>
  <si>
    <t>18.234€</t>
  </si>
  <si>
    <t>WMV403</t>
  </si>
  <si>
    <t>1930 Plaque 3 postes alba</t>
  </si>
  <si>
    <t>28.638€</t>
  </si>
  <si>
    <t>WMV411</t>
  </si>
  <si>
    <t>1930 Plaque 1 poste nuit</t>
  </si>
  <si>
    <t>WMV412</t>
  </si>
  <si>
    <t>1930 Plaque 2 postes nuit</t>
  </si>
  <si>
    <t>WMV413</t>
  </si>
  <si>
    <t>1930 Plaque 3 postes nuit</t>
  </si>
  <si>
    <t>WMV421</t>
  </si>
  <si>
    <t>1930 Plaque en porcelaine 1 poste nuit by Rosenthal</t>
  </si>
  <si>
    <t>33.834€</t>
  </si>
  <si>
    <t>WMV422</t>
  </si>
  <si>
    <t>1930 Plaque en porcelaine 1 poste alba by Rosenthal</t>
  </si>
  <si>
    <t>WMV431</t>
  </si>
  <si>
    <t>1930 Plaque 1 poste en verre pour inter transparence</t>
  </si>
  <si>
    <t>27.348€</t>
  </si>
  <si>
    <t>WMV441</t>
  </si>
  <si>
    <t>1930 Plaque 1 poste en verre pour prise/variateur transparence</t>
  </si>
  <si>
    <t>WMV442</t>
  </si>
  <si>
    <t>1930 Plaque 2 postes en verre transparence</t>
  </si>
  <si>
    <t>70.158€</t>
  </si>
  <si>
    <t>WMV681B</t>
  </si>
  <si>
    <t>1930 Cadre saillie 1 poste blanc</t>
  </si>
  <si>
    <t>WMV681N</t>
  </si>
  <si>
    <t>1930 Cadre saillie 1 poste noir</t>
  </si>
  <si>
    <t>WMV685B</t>
  </si>
  <si>
    <t>1930 Plaque de fond autoextinguible 1 poste blanche</t>
  </si>
  <si>
    <t>7.908€</t>
  </si>
  <si>
    <t>WMV685N</t>
  </si>
  <si>
    <t>1930 Plaque de fond autoextinguible 1 poste noire</t>
  </si>
  <si>
    <t>WMV686B</t>
  </si>
  <si>
    <t>1930 Entrée de tube blanche</t>
  </si>
  <si>
    <t>2.742€</t>
  </si>
  <si>
    <t>WMV686N</t>
  </si>
  <si>
    <t>1930 Entrée de tube noire</t>
  </si>
  <si>
    <t>WMV687B</t>
  </si>
  <si>
    <t>1930 Connecteur combiné blanc</t>
  </si>
  <si>
    <t>2.118€</t>
  </si>
  <si>
    <t>WMV687N</t>
  </si>
  <si>
    <t>1930 Connecteur combiné noir</t>
  </si>
  <si>
    <t>WMV688B</t>
  </si>
  <si>
    <t>1930 Entrée de câble et de goulotte blanche</t>
  </si>
  <si>
    <t>1.578€</t>
  </si>
  <si>
    <t>WMV688N</t>
  </si>
  <si>
    <t>1930 Entrée de câble et de goulotte noire</t>
  </si>
  <si>
    <t>WMV689</t>
  </si>
  <si>
    <t>1930 Accessoire pour VR poussoir</t>
  </si>
  <si>
    <t>WMV690</t>
  </si>
  <si>
    <t>1930 Lampe E10 à Led blanc</t>
  </si>
  <si>
    <t>19.806€</t>
  </si>
  <si>
    <t>WMV691</t>
  </si>
  <si>
    <t>1930 Lampe E10 à Led rouge</t>
  </si>
  <si>
    <t>WMV692</t>
  </si>
  <si>
    <t>1930 Lampe E10 à Led jaune</t>
  </si>
  <si>
    <t>19.8€</t>
  </si>
  <si>
    <t>WMV693</t>
  </si>
  <si>
    <t>1930 Lampe E10 à Led vert</t>
  </si>
  <si>
    <t>WMV694</t>
  </si>
  <si>
    <t>1930 Lampe E10 à Led bleu</t>
  </si>
  <si>
    <t>WMV741B</t>
  </si>
  <si>
    <t>1930 Enjo prise TV + FM Blanc</t>
  </si>
  <si>
    <t>WMV741N</t>
  </si>
  <si>
    <t>1930 Enjo prise TV + FM Noir</t>
  </si>
  <si>
    <t>WMV742B</t>
  </si>
  <si>
    <t>1930 Enjo prise TV + FM + SAT Blanc</t>
  </si>
  <si>
    <t>WMV742N</t>
  </si>
  <si>
    <t>1930 Enjo prise TV + FM + SATNoir</t>
  </si>
  <si>
    <t>WMV750B</t>
  </si>
  <si>
    <t>1930 Enjoliveur prise HP ou prise RJ45 alba</t>
  </si>
  <si>
    <t>WMV750N</t>
  </si>
  <si>
    <t>1930 Enjoliveur prise HP ou prise RJ45 nuit</t>
  </si>
  <si>
    <t>WMV780B</t>
  </si>
  <si>
    <t>1930 Enjoliveur et manette rotative alba</t>
  </si>
  <si>
    <t>WMV780N</t>
  </si>
  <si>
    <t>1930 Enjoliveur et manette rotative nuit</t>
  </si>
  <si>
    <t>WMV783B</t>
  </si>
  <si>
    <t>1930 Enjoliveur de poussoir à voyant E10 blanc</t>
  </si>
  <si>
    <t>10.422€</t>
  </si>
  <si>
    <t>WMV783L</t>
  </si>
  <si>
    <t>1930 Enjoliveur de poussoir à voyant E10 symbole lumière</t>
  </si>
  <si>
    <t>WMV783N</t>
  </si>
  <si>
    <t>1930 Enjoliveur de poussoir à voyant E10 noir</t>
  </si>
  <si>
    <t>WMV783R</t>
  </si>
  <si>
    <t>1930 Enjoliveur de poussoir à voyant E10 rouge transparent</t>
  </si>
  <si>
    <t>WMV783S</t>
  </si>
  <si>
    <t>1930 Enjoliveur de poussoir à voyant E10 symbole sonnette</t>
  </si>
  <si>
    <t>WMV783T</t>
  </si>
  <si>
    <t>1930 Enjoliveur de poussoir à voyant E10 transparent</t>
  </si>
  <si>
    <t>WMV784R</t>
  </si>
  <si>
    <t>1930 Capot pour poussoir à voyant E10 rouge</t>
  </si>
  <si>
    <t>WMV784T</t>
  </si>
  <si>
    <t>1930 Capot pour poussoir à voyant E10 transparent</t>
  </si>
  <si>
    <t>Module LED pour commande d'éclairage 230V avec neutre</t>
  </si>
  <si>
    <t>26.664€</t>
  </si>
  <si>
    <t>Module LED pour commande d'éclairage 230V sans neutre</t>
  </si>
  <si>
    <t>WMV002</t>
  </si>
  <si>
    <t>Interrupteur rotatif va et vient blanc 1930</t>
  </si>
  <si>
    <t>33.84€</t>
  </si>
  <si>
    <t>WMV009</t>
  </si>
  <si>
    <t>Interrupteur bipolaire rotatif blanc 1930</t>
  </si>
  <si>
    <t>58.542€</t>
  </si>
  <si>
    <t>WMV024</t>
  </si>
  <si>
    <t>Poussoir rotatif inverseur 1O/1F 1930</t>
  </si>
  <si>
    <t>41.616€</t>
  </si>
  <si>
    <t>WMV025</t>
  </si>
  <si>
    <t>Poussoir 3 positions avec arrêt 1930 blanc</t>
  </si>
  <si>
    <t>50.724€</t>
  </si>
  <si>
    <t>WMV785B</t>
  </si>
  <si>
    <t>1930 Enjo+manette rotativ blanc Porcelaine by Rosenthal</t>
  </si>
  <si>
    <t>WMV785N</t>
  </si>
  <si>
    <t>1930 Enjo+manette rotativ noir Porcelaine by Rosenthal</t>
  </si>
  <si>
    <t>WMV786</t>
  </si>
  <si>
    <t>Manette rotative 1930 laiton chrome</t>
  </si>
  <si>
    <t>29.976€</t>
  </si>
  <si>
    <t>1930 Enjoliveur pour chargeur USB A+A noir</t>
  </si>
  <si>
    <t>USB Prise de chargement à encastrer</t>
  </si>
  <si>
    <t>80.022€</t>
  </si>
  <si>
    <t>1930 Enjoliveur pour chargeur USB A+A blanc alba</t>
  </si>
  <si>
    <t>1930 Chargeur USB A+A 3A blanc alba</t>
  </si>
  <si>
    <t>1930 Variateur rotatif universel alba</t>
  </si>
  <si>
    <t>185.526€</t>
  </si>
  <si>
    <t>1930 Variateur rotatif universel nuit</t>
  </si>
  <si>
    <t>185.538€</t>
  </si>
  <si>
    <t>1930 Auxiliaire de variateur rotatif universel à réglage continu alba</t>
  </si>
  <si>
    <t>106.518€</t>
  </si>
  <si>
    <t>1930 Auxiliaire de variateur rotatif universel à réglage continu nuit</t>
  </si>
  <si>
    <t>106.494€</t>
  </si>
  <si>
    <t>USB A+C Prise de chargement à encastrer</t>
  </si>
  <si>
    <t>WDA2535W</t>
  </si>
  <si>
    <t>Cette commande d\'eclairage fait partie de la gamme 1930. Puissance 230V équipé d\'un neutre.</t>
  </si>
  <si>
    <t>WTF4000BG</t>
  </si>
  <si>
    <t>Cet enjoliveur pour double chargeur USB 104001 fait partie de la gamme 1930. Il est équipé d\'une découpe TAE. Couleur Nuit</t>
  </si>
  <si>
    <t>WTF4000WG</t>
  </si>
  <si>
    <t>Cet enjoliveur pour double chargeur USB 1040 fait partie de la gamme 1930. Il est équipé d\'une découpe TAE. Couleur Alba</t>
  </si>
  <si>
    <t>WTN4011BG</t>
  </si>
  <si>
    <t>Var. rot. (R,L,C,LED), 1930/Glas, noir</t>
  </si>
  <si>
    <t>WTN4011WG</t>
  </si>
  <si>
    <t>Var. rot. (R,L,C,LED), 1930/Glas, blc p.</t>
  </si>
  <si>
    <t>WTN4041BG</t>
  </si>
  <si>
    <t>Méc. aux. p. var., 1930/Glas/R.cl., noir</t>
  </si>
  <si>
    <t>WTN4041WG</t>
  </si>
  <si>
    <t>Méc. aux. p. var, 1930/Glas/R.cl., blc p</t>
  </si>
  <si>
    <t>WDA2536W</t>
  </si>
  <si>
    <t>Mod LED cmde d'éclair, 230V, sans neutre</t>
  </si>
  <si>
    <t>25.494€</t>
  </si>
  <si>
    <t>MHT720</t>
  </si>
  <si>
    <t>Disjoncteur 1P+N 4.5-6kA courbe B - 20A 1 module</t>
  </si>
  <si>
    <t xml:space="preserve">HATPPM03 </t>
  </si>
  <si>
    <t>DISJ.PH+N</t>
  </si>
  <si>
    <t>19.5424€</t>
  </si>
  <si>
    <t>NFT725</t>
  </si>
  <si>
    <t>Disjoncteur 1P+N 6-10kA courbe C - 25A 1 module</t>
  </si>
  <si>
    <t>35.6438€</t>
  </si>
  <si>
    <t>NGT725</t>
  </si>
  <si>
    <t>Disjoncteur 1P+N 6-10kA courbe D - 25A 1 module</t>
  </si>
  <si>
    <t>48.1988€</t>
  </si>
  <si>
    <t>MJT716</t>
  </si>
  <si>
    <t>Disjoncteur 1P+N 4.5-6kA courbe C - 16A 1 module</t>
  </si>
  <si>
    <t>11.3367€</t>
  </si>
  <si>
    <t>NFT720</t>
  </si>
  <si>
    <t>Disjoncteur 1P+N 6-10kA courbe C - 20A 1 module</t>
  </si>
  <si>
    <t>34.0752€</t>
  </si>
  <si>
    <t>NGT702</t>
  </si>
  <si>
    <t>Disjoncteur 1P+N 6-10kA courbe D - 2A 1 module</t>
  </si>
  <si>
    <t>50.3347€</t>
  </si>
  <si>
    <t>MJT710</t>
  </si>
  <si>
    <t>Disjoncteur 1P+N 4.5-6kA courbe C - 10A 1 module</t>
  </si>
  <si>
    <t>11.1197€</t>
  </si>
  <si>
    <t>NFT716</t>
  </si>
  <si>
    <t>Disjoncteur 1P+N 6-10kA courbe C - 16A 1 module</t>
  </si>
  <si>
    <t>MHT716</t>
  </si>
  <si>
    <t>Disjoncteur 1P+N 4.5-6kA courbe B - 16A 1 module</t>
  </si>
  <si>
    <t>18.1195€</t>
  </si>
  <si>
    <t>MJT706</t>
  </si>
  <si>
    <t>Disjoncteur 1P+N 4.5-6kA courbe C - 6A 1 module</t>
  </si>
  <si>
    <t>14.8676€</t>
  </si>
  <si>
    <t>NFT710</t>
  </si>
  <si>
    <t>Disjoncteur 1P+N 6-10kA courbe C - 10A 1 module</t>
  </si>
  <si>
    <t>31.7161€</t>
  </si>
  <si>
    <t>MHT710</t>
  </si>
  <si>
    <t>Disjoncteur 1P+N 4.5-6kA courbe B - 10A 1 module</t>
  </si>
  <si>
    <t>MJT702</t>
  </si>
  <si>
    <t>Disjoncteur 1P+N 4.5-6kA courbe C - 2A 1 module</t>
  </si>
  <si>
    <t>NGT720</t>
  </si>
  <si>
    <t>Disjoncteur 1P+N 6-10kA courbe D - 20A 1 module</t>
  </si>
  <si>
    <t>45.2817€</t>
  </si>
  <si>
    <t>MHT706</t>
  </si>
  <si>
    <t>Disjoncteur 1P+N 4.5-6kA courbe B - 6A 1 module</t>
  </si>
  <si>
    <t>21.8674€</t>
  </si>
  <si>
    <t>MJT740</t>
  </si>
  <si>
    <t>Disjoncteur 1P+N 4.5-6kA courbe C - 40A 1 module</t>
  </si>
  <si>
    <t>15.7139€</t>
  </si>
  <si>
    <t>NGT716</t>
  </si>
  <si>
    <t>Disjoncteur 1P+N 6-10kA courbe D - 16A 1 module</t>
  </si>
  <si>
    <t>43.9084€</t>
  </si>
  <si>
    <t>MJT732</t>
  </si>
  <si>
    <t>Disjoncteur 1P+N 4.5-6kA courbe C - 32A 1 module</t>
  </si>
  <si>
    <t>13.7578€</t>
  </si>
  <si>
    <t>NFT740</t>
  </si>
  <si>
    <t>Disjoncteur 1P+N 6-10kA courbe C - 40A 1 module</t>
  </si>
  <si>
    <t>46.6581€</t>
  </si>
  <si>
    <t>NGT710</t>
  </si>
  <si>
    <t>Disjoncteur 1P+N 6-10kA courbe D - 10A 1 module</t>
  </si>
  <si>
    <t>44.8167€</t>
  </si>
  <si>
    <t>MJT725</t>
  </si>
  <si>
    <t>Disjoncteur 1P+N 4.5-6kA courbe C - 25A 1 module</t>
  </si>
  <si>
    <t>12.8371€</t>
  </si>
  <si>
    <t>NFT706</t>
  </si>
  <si>
    <t>Disjoncteur 1P+N 6-10kA courbe C - 6A 1 module</t>
  </si>
  <si>
    <t>35.8298€</t>
  </si>
  <si>
    <t>NFT732</t>
  </si>
  <si>
    <t>Disjoncteur 1P+N 6-10kA courbe C - 32A 1 module</t>
  </si>
  <si>
    <t>39.8226€</t>
  </si>
  <si>
    <t>NGT706</t>
  </si>
  <si>
    <t>Disjoncteur 1P+N 6-10kA courbe D - 6A 1 module</t>
  </si>
  <si>
    <t>49.4171€</t>
  </si>
  <si>
    <t>MHT740</t>
  </si>
  <si>
    <t>Disjoncteur 1P+N 4.5-6kA courbe B - 40A 1 module</t>
  </si>
  <si>
    <t>77.7€</t>
  </si>
  <si>
    <t>23.3647€</t>
  </si>
  <si>
    <t>MJT720</t>
  </si>
  <si>
    <t>Disjoncteur 1P+N 4.5-6kA courbe C - 20A 1 module</t>
  </si>
  <si>
    <t>11.7738€</t>
  </si>
  <si>
    <t>NFT704</t>
  </si>
  <si>
    <t>Disjoncteur 1P+N 6-10kA courbe C - 4A 1 module</t>
  </si>
  <si>
    <t>44.6028€</t>
  </si>
  <si>
    <t>MHT732</t>
  </si>
  <si>
    <t>Disjoncteur 1P+N 4.5-6kA courbe B - 32A 1 module</t>
  </si>
  <si>
    <t>20.8196€</t>
  </si>
  <si>
    <t>NGT740</t>
  </si>
  <si>
    <t>Disjoncteur 1P+N 6-10kA courbe D - 40A 1 module</t>
  </si>
  <si>
    <t>53.8718€</t>
  </si>
  <si>
    <t>MHT725</t>
  </si>
  <si>
    <t>Disjoncteur 1P+N 4.5-6kA courbe B - 25A 1 module</t>
  </si>
  <si>
    <t>20.2833€</t>
  </si>
  <si>
    <t>NFT702</t>
  </si>
  <si>
    <t>Disjoncteur 1P+N 6-10kA courbe C - 2A 1 module</t>
  </si>
  <si>
    <t>NGT704</t>
  </si>
  <si>
    <t>Disjoncteur 1P+N 6-10kA courbe D - 4A 1 module</t>
  </si>
  <si>
    <t>50.4463€</t>
  </si>
  <si>
    <t>NGT732</t>
  </si>
  <si>
    <t>Disjoncteur 1P+N 6-10kA courbe D - 32A 1 module</t>
  </si>
  <si>
    <t>49.4233€</t>
  </si>
  <si>
    <t>EEN101</t>
  </si>
  <si>
    <t>Interrupteur crépusculaire 1 voie avec cellule à encastrer</t>
  </si>
  <si>
    <t xml:space="preserve">HACLIM10 </t>
  </si>
  <si>
    <t>INTER CRE ET ASTRO MODULAIRE</t>
  </si>
  <si>
    <t>197.052€</t>
  </si>
  <si>
    <t>EEN100</t>
  </si>
  <si>
    <t>Interrupteur crépusculaire 1 voie avec cellule saillie</t>
  </si>
  <si>
    <t>EEN003</t>
  </si>
  <si>
    <t>Cellule saillie pour interrupteur crépusculaire</t>
  </si>
  <si>
    <t xml:space="preserve">HACHIM15 </t>
  </si>
  <si>
    <t>ACCESS IH</t>
  </si>
  <si>
    <t>EEN002</t>
  </si>
  <si>
    <t>Cellule crépusculaire encastrée extérieure IP55 montage saillie pour EGNxxx</t>
  </si>
  <si>
    <t>EGN003</t>
  </si>
  <si>
    <t>Clé de programmation Bluetooth pour interrupteurs horaires électroniques EGNxxx</t>
  </si>
  <si>
    <t>58.716€</t>
  </si>
  <si>
    <t>GTVR400</t>
  </si>
  <si>
    <t>Support d'appareillage pour boîte de sol 8 modules</t>
  </si>
  <si>
    <t xml:space="preserve">HAGPKM15 </t>
  </si>
  <si>
    <t>BOITES DE SOL</t>
  </si>
  <si>
    <t>10.648€</t>
  </si>
  <si>
    <t>VQ06057011</t>
  </si>
  <si>
    <t>Boîte de sol carrée 12 modules 219x219mm encastrement 200x200mm grise</t>
  </si>
  <si>
    <t>63.998€</t>
  </si>
  <si>
    <t>VR10057011</t>
  </si>
  <si>
    <t>Boîte de sol ronde 20 modules diam 294mm encastrement diam 275mm grise</t>
  </si>
  <si>
    <t>95.018€</t>
  </si>
  <si>
    <t>GTVR300</t>
  </si>
  <si>
    <t>Support d'appareillage pour boîte de sol 6 modules</t>
  </si>
  <si>
    <t>8.041€</t>
  </si>
  <si>
    <t>VE09059005</t>
  </si>
  <si>
    <t>Boîte de sol rectangulaire 18 modules L272xl219mm encastrement L253x200mm noire</t>
  </si>
  <si>
    <t>84.898€</t>
  </si>
  <si>
    <t>VR06059005</t>
  </si>
  <si>
    <t>Boîte de sol ronde 12 modules noire</t>
  </si>
  <si>
    <t>67.1825€</t>
  </si>
  <si>
    <t>VE09057011</t>
  </si>
  <si>
    <t>Boîte de sol rectangulaire 18 modules L272xl219mm encastrement L253x200mm grise</t>
  </si>
  <si>
    <t>VR06057011</t>
  </si>
  <si>
    <t>Boîte de sol ronde 12 modules diam 234mm encastrement diam 215mm grise</t>
  </si>
  <si>
    <t>VQ12059005</t>
  </si>
  <si>
    <t>Boîte de sol 24 modules noire</t>
  </si>
  <si>
    <t>106.15€</t>
  </si>
  <si>
    <t>VR12059005</t>
  </si>
  <si>
    <t>Boîte de sol ronde 24 modules diam 325mm encastrement diam 306mm noire</t>
  </si>
  <si>
    <t>110.6215€</t>
  </si>
  <si>
    <t>VQ12057011</t>
  </si>
  <si>
    <t>Boîte de sol carrée 24 modules diam 325mm encastrement diam 306mm grise</t>
  </si>
  <si>
    <t>VQ06059005</t>
  </si>
  <si>
    <t>Boîte de sol 12 modules noire</t>
  </si>
  <si>
    <t>VR12057011</t>
  </si>
  <si>
    <t>Boîte de sol ronde 24 modules grise</t>
  </si>
  <si>
    <t>VR10059005</t>
  </si>
  <si>
    <t>VE09127011</t>
  </si>
  <si>
    <t>Boîte de sol 18 mod. revêt. sol 12mm gr</t>
  </si>
  <si>
    <t>82.6595€</t>
  </si>
  <si>
    <t>VE09129005</t>
  </si>
  <si>
    <t>Boîte de sol 18 mod. revêt sol 12mm nr</t>
  </si>
  <si>
    <t>VQ06127011</t>
  </si>
  <si>
    <t>Boîte de sol 12 mod. revêt. sol 12mm gr</t>
  </si>
  <si>
    <t>62.3205€</t>
  </si>
  <si>
    <t>VQ06129005</t>
  </si>
  <si>
    <t>Boîte de sol 12 mod. revêt. sol 12mm nr</t>
  </si>
  <si>
    <t>VQ12127011</t>
  </si>
  <si>
    <t>Boîte de sol 24 mod. revêt. sol 12mm gr</t>
  </si>
  <si>
    <t>103.2295€</t>
  </si>
  <si>
    <t>VQ12129005</t>
  </si>
  <si>
    <t>Boîte de sol 24 mod. revêt. sol 12mm nr</t>
  </si>
  <si>
    <t>VR06127011</t>
  </si>
  <si>
    <t>65.4115€</t>
  </si>
  <si>
    <t>VR06129005</t>
  </si>
  <si>
    <t>VR10127011</t>
  </si>
  <si>
    <t>Boîte de sol 20 mod. revêt. sol 12mm gr</t>
  </si>
  <si>
    <t>VR10129005</t>
  </si>
  <si>
    <t>Boîte de sol 20 mod. revêt. sol 12mm nr</t>
  </si>
  <si>
    <t>VR12127011</t>
  </si>
  <si>
    <t>107.7285€</t>
  </si>
  <si>
    <t>VR12129005</t>
  </si>
  <si>
    <t>UDM2215R06</t>
  </si>
  <si>
    <t>Cadre de montage diam 215 épais 4mm pour boîte de jonction acier 290 mm</t>
  </si>
  <si>
    <t xml:space="preserve">HAGPBM15 </t>
  </si>
  <si>
    <t>SYSTEMES ENTERRES</t>
  </si>
  <si>
    <t>50.4405€</t>
  </si>
  <si>
    <t>UDM3244Q12</t>
  </si>
  <si>
    <t>Cadre de montage l244mm xL 244mm épais 4mm pour boîte de jonction acier 340 mm</t>
  </si>
  <si>
    <t>62.887€</t>
  </si>
  <si>
    <t>UK340382</t>
  </si>
  <si>
    <t>Goulotte acier 2 compartiments 38mm x 340mm pour sol béton</t>
  </si>
  <si>
    <t>80.4155€</t>
  </si>
  <si>
    <t>UKB190280</t>
  </si>
  <si>
    <t>Support de fixation 2 compartiments 28mm x 190mm pour sol béton</t>
  </si>
  <si>
    <t>6.9795€</t>
  </si>
  <si>
    <t>UKK340283</t>
  </si>
  <si>
    <t>Angle vertical 3 compartiments 28mm x 340mm pour sol béton</t>
  </si>
  <si>
    <t>107.734€</t>
  </si>
  <si>
    <t>UDM2200Q06</t>
  </si>
  <si>
    <t>Cadre de montage l200mm x L200mm épais 4mm pour boîte de jonction acier 290 mm</t>
  </si>
  <si>
    <t>UDM3215R06</t>
  </si>
  <si>
    <t>Cadre de montage diam. 215mm épais 4mm pour boîte de jonction acier 340 mm</t>
  </si>
  <si>
    <t>UK340283</t>
  </si>
  <si>
    <t>Goulotte acier 3 compartiments 28mm x 340mm pour sol béton</t>
  </si>
  <si>
    <t>82.478€</t>
  </si>
  <si>
    <t>UKK190382</t>
  </si>
  <si>
    <t>Angle vertical 2 compartiments 38mm x 190mm pour sol béton</t>
  </si>
  <si>
    <t>70.4825€</t>
  </si>
  <si>
    <t>UKK340282</t>
  </si>
  <si>
    <t>Angle vertical 2 compartiments 28mm x 340mm pour sol béton</t>
  </si>
  <si>
    <t>95.0455€</t>
  </si>
  <si>
    <t>UDM2200E09</t>
  </si>
  <si>
    <t>Cadre de montage l200mm x L253mm épais 4mm pour boîte de jonction acier 290 mm</t>
  </si>
  <si>
    <t>UK190382</t>
  </si>
  <si>
    <t>Goulotte acier 2 compartiments 38mm x 190mm pour sol béton</t>
  </si>
  <si>
    <t>57.7665€</t>
  </si>
  <si>
    <t>UK340282</t>
  </si>
  <si>
    <t>Goulotte acier 2 compartiments 28mm x 340mm pour sol béton</t>
  </si>
  <si>
    <t>77.77€</t>
  </si>
  <si>
    <t>UKK190282</t>
  </si>
  <si>
    <t>Angle vertical 2 compartiments 28mm x 190mm pour sol béton</t>
  </si>
  <si>
    <t>70.2295€</t>
  </si>
  <si>
    <t>EKSNS100</t>
  </si>
  <si>
    <t>Set de nivellement pour boîtes de jonction pour charges jusqu'à 20kN 150-180mm</t>
  </si>
  <si>
    <t>20.8835€</t>
  </si>
  <si>
    <t>UDB2075125</t>
  </si>
  <si>
    <t>Boîte de jonction acier 290 mm avec jupes pour hauteur de chape 75-125 mm</t>
  </si>
  <si>
    <t>181.0545€</t>
  </si>
  <si>
    <t>UDM2147E04</t>
  </si>
  <si>
    <t>Cadre de montage l147mm x L247mm épais 4mm pour boîte de jonction acier 290 mm</t>
  </si>
  <si>
    <t>UK190282</t>
  </si>
  <si>
    <t>Goulotte acier 2 compartiments 28mm x 190mm pour sol béton</t>
  </si>
  <si>
    <t>53.1905€</t>
  </si>
  <si>
    <t>UKB340380</t>
  </si>
  <si>
    <t>Support de fixation 3 compartiments 38mm x 340mm pour sol béton</t>
  </si>
  <si>
    <t>UKS240380</t>
  </si>
  <si>
    <t>Collier de fixation 3 compartiments 38mm x 240mm pour sol béton</t>
  </si>
  <si>
    <t>11.3905€</t>
  </si>
  <si>
    <t>EKSNS070</t>
  </si>
  <si>
    <t>Set de nivellement pour boîtes de jonction pour charges jusqu'à 20kN 115-150mm</t>
  </si>
  <si>
    <t>38.951€</t>
  </si>
  <si>
    <t>UDB2050080</t>
  </si>
  <si>
    <t>Boîte de jonction acier 290 mm avec jupes pour hauteur de chape 50-80 mm</t>
  </si>
  <si>
    <t>166.1715€</t>
  </si>
  <si>
    <t>UDM3200Q06</t>
  </si>
  <si>
    <t>Cadre de montage l200mm x L200mm épais 4mm pour boîte de jonction acier 340 mm</t>
  </si>
  <si>
    <t>UDS3070120</t>
  </si>
  <si>
    <t>Boîte de jonction universelle acier pour hauteur de chape 70-120 mm</t>
  </si>
  <si>
    <t>227.843€</t>
  </si>
  <si>
    <t>UKB340280</t>
  </si>
  <si>
    <t>Support de fixation 3 compartiments 28mm x 340mm pour sol béton</t>
  </si>
  <si>
    <t>UKS240280</t>
  </si>
  <si>
    <t>Collier de fixation 3 compartiments 28mm x 240mm pour sol béton</t>
  </si>
  <si>
    <t>UDAR335</t>
  </si>
  <si>
    <t>Cadre de rehausse pour boîte de jonction acier 340 mm p boîte acier UDB3-UDS3xxx</t>
  </si>
  <si>
    <t>76.967€</t>
  </si>
  <si>
    <t>UDM3200E09</t>
  </si>
  <si>
    <t>Cadre de montage l200mm x L253mm épais 4mm pour boîte de jonction acier 340 mm</t>
  </si>
  <si>
    <t>UDM3306R12</t>
  </si>
  <si>
    <t>Cadre de montage diam 306mm épais 4mm pour boîte de jonction acier 340 mm</t>
  </si>
  <si>
    <t>UKK240383</t>
  </si>
  <si>
    <t>Angle vertical 3 compartiments 38mm x 240mm pour sol béton</t>
  </si>
  <si>
    <t>91.476€</t>
  </si>
  <si>
    <t>UKS190380</t>
  </si>
  <si>
    <t>Collier de fixation 2 compartiments 38mm x 190mm pour sol béton</t>
  </si>
  <si>
    <t>UDAR235</t>
  </si>
  <si>
    <t>Cadre de rehausse pour boîte de jonction acier 290 mm p boîte acier UDB2xxxxx</t>
  </si>
  <si>
    <t>63.4865€</t>
  </si>
  <si>
    <t>UDM3147E04</t>
  </si>
  <si>
    <t>Cadre de montage l147mm x L247mm épais 4mm pour boîte de jonction acier 340 mm</t>
  </si>
  <si>
    <t>UK240383</t>
  </si>
  <si>
    <t>Goulotte acier 3 compartiments 38mm x 240mm pour sol béton</t>
  </si>
  <si>
    <t>72.765€</t>
  </si>
  <si>
    <t>UKK240382</t>
  </si>
  <si>
    <t>Angle vertical 2 compartiments 38mm x 240mm pour sol béton</t>
  </si>
  <si>
    <t>79.948€</t>
  </si>
  <si>
    <t>UKS190280</t>
  </si>
  <si>
    <t>Collier de fixation 2 compartiments 28mm x 190mm pour sol béton</t>
  </si>
  <si>
    <t>UDB3120170</t>
  </si>
  <si>
    <t>Boîte de jonction acier 340 mm avec jupes pour hauteur de chape 120-170 mm</t>
  </si>
  <si>
    <t>205.1995€</t>
  </si>
  <si>
    <t>UDM2244Q12</t>
  </si>
  <si>
    <t>Cadre de montage l244mm x L244mm épais 4mm pour boîte de jonction acier 290 mm</t>
  </si>
  <si>
    <t>UK240382</t>
  </si>
  <si>
    <t>Goulotte acier 2 compartiments 38mm x 240mm pour sol béton</t>
  </si>
  <si>
    <t>66.814€</t>
  </si>
  <si>
    <t>UKK240283</t>
  </si>
  <si>
    <t>Angle vertical 3 compartiments 28mm x 240mm pour sol béton</t>
  </si>
  <si>
    <t>90.5795€</t>
  </si>
  <si>
    <t>EKSQ405TM</t>
  </si>
  <si>
    <t>Boîte de jonction pour charges jusqu'à 20kN acier couvercle plein 20000 N</t>
  </si>
  <si>
    <t>1456.3835€</t>
  </si>
  <si>
    <t>UDB3075125</t>
  </si>
  <si>
    <t>Boîte de jonction acier 340 mm avec jupes pour hauteur de chape 75-125 mm</t>
  </si>
  <si>
    <t>196.7405€</t>
  </si>
  <si>
    <t>UK240283</t>
  </si>
  <si>
    <t>Goulotte acier 3 compartiments 28mm x 240mm pour sol béton</t>
  </si>
  <si>
    <t>68.4585€</t>
  </si>
  <si>
    <t>UKB240380</t>
  </si>
  <si>
    <t>Support de fixation 3 compartiments 38mm x 240mm pour sol béton</t>
  </si>
  <si>
    <t>UKK240282</t>
  </si>
  <si>
    <t>Angle vertical 2 compartiments 28mm x 240mm pour sol béton</t>
  </si>
  <si>
    <t>79.354€</t>
  </si>
  <si>
    <t>EKSQ405BL</t>
  </si>
  <si>
    <t>Boîte de jonction pour charges jusqu'à 20kN acier couvercle tubus 20000 N</t>
  </si>
  <si>
    <t>1235.597€</t>
  </si>
  <si>
    <t>UDB3050080</t>
  </si>
  <si>
    <t>Boîte de jonction acier 340 mm avec jupes pour hauteur de chape 50-80 mm</t>
  </si>
  <si>
    <t>194.865€</t>
  </si>
  <si>
    <t>UDM3294Q08</t>
  </si>
  <si>
    <t>Cadre de montage l294mm x L294mm épais 4mm pour boîte de jonction acier 340 mm</t>
  </si>
  <si>
    <t>UK240282</t>
  </si>
  <si>
    <t>Goulotte acier 2 compartiments 28mm x 240mm pour sol béton</t>
  </si>
  <si>
    <t>UKB240280</t>
  </si>
  <si>
    <t>Support de fixation 3 compartiments 28mm x 240mm pour sol béton</t>
  </si>
  <si>
    <t>UKK340383</t>
  </si>
  <si>
    <t>Angle vertical 3 compartiments 38mm x 340mm pour sol béton</t>
  </si>
  <si>
    <t>232.5€</t>
  </si>
  <si>
    <t>108.691€</t>
  </si>
  <si>
    <t>UKS340380</t>
  </si>
  <si>
    <t>Collier de fixation 3 compartiments 38mm x 340mm pour sol béton</t>
  </si>
  <si>
    <t>EKSNS120</t>
  </si>
  <si>
    <t>Set de nivellement pour boîtes de jonction pour charges jusqu'à 20kN 170-200mm</t>
  </si>
  <si>
    <t>23.9635€</t>
  </si>
  <si>
    <t>UDB2120170</t>
  </si>
  <si>
    <t>Boîte de jonction acier 290 mm avec jupes pour hauteur de chape 120-170 mm</t>
  </si>
  <si>
    <t>192.5385€</t>
  </si>
  <si>
    <t>UDM3275R10</t>
  </si>
  <si>
    <t>Cadre de montage diam 275mm épais 4mm pour boîte de jonction acier 340 mm</t>
  </si>
  <si>
    <t>UK340383</t>
  </si>
  <si>
    <t>Goulotte acier 3 compartiments 38mm x 340mm pour sol béton</t>
  </si>
  <si>
    <t>87.3455€</t>
  </si>
  <si>
    <t>UKB190380</t>
  </si>
  <si>
    <t>Support de fixation 2 compartiments 38mm x 190mm pour sol béton</t>
  </si>
  <si>
    <t>UKK340382</t>
  </si>
  <si>
    <t>Angle vertical 2 compartiments 38mm x 340mm pour sol béton</t>
  </si>
  <si>
    <t>95.6065€</t>
  </si>
  <si>
    <t>UKS340280</t>
  </si>
  <si>
    <t>Collier de fixation 3 compartiments 28mm x 340mm pour sol béton</t>
  </si>
  <si>
    <t>TUSS000</t>
  </si>
  <si>
    <t>Clé de montage pour boîte de jonction 20kN</t>
  </si>
  <si>
    <t>21.9175€</t>
  </si>
  <si>
    <t>TULAA105</t>
  </si>
  <si>
    <t>Sortie de câbles pour boîte de jonction 20kN</t>
  </si>
  <si>
    <t>79.134€</t>
  </si>
  <si>
    <t>Inter crép compact évolué 16A</t>
  </si>
  <si>
    <t xml:space="preserve">HACLSM10 </t>
  </si>
  <si>
    <t>INTER CREP SAILLIE</t>
  </si>
  <si>
    <t>129.828€</t>
  </si>
  <si>
    <t>Inter crép compact basic 8A</t>
  </si>
  <si>
    <t>100.122€</t>
  </si>
  <si>
    <t>EK089</t>
  </si>
  <si>
    <t>Sonde de température ambiante filaire</t>
  </si>
  <si>
    <t xml:space="preserve">HACRAM15 </t>
  </si>
  <si>
    <t>ACCESSOIRE CDE TEL SAILLIE</t>
  </si>
  <si>
    <t>92.46€</t>
  </si>
  <si>
    <t>EK088</t>
  </si>
  <si>
    <t>Sonde de température extérieure filaire IP55</t>
  </si>
  <si>
    <t>85.998€</t>
  </si>
  <si>
    <t>SNS216</t>
  </si>
  <si>
    <t>Prise de courant modulaire 16A 2P+T connexion SanVis</t>
  </si>
  <si>
    <t xml:space="preserve">HAHSPM15 </t>
  </si>
  <si>
    <t>PRISES DE COURANT</t>
  </si>
  <si>
    <t>14.375€</t>
  </si>
  <si>
    <t>SNS316</t>
  </si>
  <si>
    <t>Prise de courant modulaire 16A 2P+T avec voyant version SanVis (FR)</t>
  </si>
  <si>
    <t>27.595€</t>
  </si>
  <si>
    <t>WNA001</t>
  </si>
  <si>
    <t>cubyko interrupteur V&amp;V associable. 10AX. IP55. finition gris</t>
  </si>
  <si>
    <t xml:space="preserve">HAMPMM15 </t>
  </si>
  <si>
    <t>MECANISMES CUBYKO</t>
  </si>
  <si>
    <t>6.0775€</t>
  </si>
  <si>
    <t>WNA001B</t>
  </si>
  <si>
    <t>cubyko Inter VV associable blanc IP55</t>
  </si>
  <si>
    <t>13.8€</t>
  </si>
  <si>
    <t>6.4515€</t>
  </si>
  <si>
    <t>WNA002</t>
  </si>
  <si>
    <t>cubyko Inter VV à voyant associable gris IP55</t>
  </si>
  <si>
    <t>13.178€</t>
  </si>
  <si>
    <t>WNA002B</t>
  </si>
  <si>
    <t>cubyko Inter VV à voyant associable blanc IP55</t>
  </si>
  <si>
    <t>15.499€</t>
  </si>
  <si>
    <t>WNA003</t>
  </si>
  <si>
    <t>cubyko Inter VV témoin associable gris IP55</t>
  </si>
  <si>
    <t>13.805€</t>
  </si>
  <si>
    <t>WNA003B</t>
  </si>
  <si>
    <t>cubyko Inter VV témoin associable blanc IP55</t>
  </si>
  <si>
    <t>16.2965€</t>
  </si>
  <si>
    <t>WNA006</t>
  </si>
  <si>
    <t>cubyko Inter VV porte-étiquette associable gris IP55</t>
  </si>
  <si>
    <t>8.481€</t>
  </si>
  <si>
    <t>WNA006B</t>
  </si>
  <si>
    <t>cubyko Inter VV porte-étiquette associable blanc IP55</t>
  </si>
  <si>
    <t>8.932€</t>
  </si>
  <si>
    <t>WNA008</t>
  </si>
  <si>
    <t>cubyko Interrupteur bipolaire marqué 0/1 associable gris IP55</t>
  </si>
  <si>
    <t>14.52€</t>
  </si>
  <si>
    <t>WNA008B</t>
  </si>
  <si>
    <t>cubyko Interrupteur bipolaire marqué 0/1 associable blanc IP55</t>
  </si>
  <si>
    <t>15.312€</t>
  </si>
  <si>
    <t>WNA010</t>
  </si>
  <si>
    <t>cubyko Permutateur associable gris IP55</t>
  </si>
  <si>
    <t>23.9745€</t>
  </si>
  <si>
    <t>WNA020</t>
  </si>
  <si>
    <t>cubyko Poussoir à fermeture 1F associable gris IP55</t>
  </si>
  <si>
    <t>6.974€</t>
  </si>
  <si>
    <t>WNA020B</t>
  </si>
  <si>
    <t>cubyko Poussoir à fermeture 1F associable blanc IP55</t>
  </si>
  <si>
    <t>7.238€</t>
  </si>
  <si>
    <t>WNA021</t>
  </si>
  <si>
    <t>cubyko Poussoir 1O/1F lumineux associable gris IP55</t>
  </si>
  <si>
    <t>10.0595€</t>
  </si>
  <si>
    <t>WNA021B</t>
  </si>
  <si>
    <t>cubyko Poussoir 1O/1F lumineux associable blanc IP55</t>
  </si>
  <si>
    <t>10.7745€</t>
  </si>
  <si>
    <t>WNA022</t>
  </si>
  <si>
    <t>cubyko Poussoir 1O/1F associable gris IP55</t>
  </si>
  <si>
    <t>11.231€</t>
  </si>
  <si>
    <t>WNA022B</t>
  </si>
  <si>
    <t>cubyko Poussoir 1O/1F associable blanc IP55</t>
  </si>
  <si>
    <t>15.8565€</t>
  </si>
  <si>
    <t>WNA023</t>
  </si>
  <si>
    <t>cubyko Poussoir à fermeture 1F à voyant témoin associable gris IP55</t>
  </si>
  <si>
    <t>10.89€</t>
  </si>
  <si>
    <t>WNA023B</t>
  </si>
  <si>
    <t>cubyko Poussoir à fermeture 1F à voyant témoin associable blanc IP55</t>
  </si>
  <si>
    <t>11.44€</t>
  </si>
  <si>
    <t>WNA025</t>
  </si>
  <si>
    <t>cubyko Poussoir à fermeture 1F porte-étiquette 1F associable gris IP55</t>
  </si>
  <si>
    <t>17.1435€</t>
  </si>
  <si>
    <t>WNA025B</t>
  </si>
  <si>
    <t>cubyko Poussoir à fermeture 1F porte-étiquette 1F associable blanc IP55</t>
  </si>
  <si>
    <t>15.521€</t>
  </si>
  <si>
    <t>WNA032</t>
  </si>
  <si>
    <t>cubyko Arrêt d'urgence avec clé associable gris IP55</t>
  </si>
  <si>
    <t>83.2205€</t>
  </si>
  <si>
    <t>WNA033</t>
  </si>
  <si>
    <t>cubyko Arrêt d'urgence 1/4 tour associable gris IP55</t>
  </si>
  <si>
    <t>68.7555€</t>
  </si>
  <si>
    <t>WNA040</t>
  </si>
  <si>
    <t>cubyko Double inter VV  associable gris IP55</t>
  </si>
  <si>
    <t>14.7125€</t>
  </si>
  <si>
    <t>WNA040B</t>
  </si>
  <si>
    <t>cubyko Double inter VV  associable blanc IP55</t>
  </si>
  <si>
    <t>16.0325€</t>
  </si>
  <si>
    <t>WNA044</t>
  </si>
  <si>
    <t>cubyko Double poussoir 1O/1F associable gris IP55</t>
  </si>
  <si>
    <t>13.904€</t>
  </si>
  <si>
    <t>WNA044B</t>
  </si>
  <si>
    <t>cubyko Double poussoir 1O/1F associable blanc IP55</t>
  </si>
  <si>
    <t>14.0965€</t>
  </si>
  <si>
    <t>WNA100</t>
  </si>
  <si>
    <t>cubyko prise électrique 2P+T associable.14A. IP55. finition gris</t>
  </si>
  <si>
    <t>6.6055€</t>
  </si>
  <si>
    <t>WNA100B</t>
  </si>
  <si>
    <t>cubyko prise électrique 2P+T associable. 14A. IP55. finition blanc</t>
  </si>
  <si>
    <t>14.37€</t>
  </si>
  <si>
    <t>6.7155€</t>
  </si>
  <si>
    <t>WNA104</t>
  </si>
  <si>
    <t>cubyko Prise 2P+T avec porte-étiquette associable gris IP55</t>
  </si>
  <si>
    <t>8.9045€</t>
  </si>
  <si>
    <t>WNA104B</t>
  </si>
  <si>
    <t>cubyko Prise 2P+T avec porte-étiquette associable blanc IP55</t>
  </si>
  <si>
    <t>9.031€</t>
  </si>
  <si>
    <t>WNA105</t>
  </si>
  <si>
    <t>cubyko Prise 2P+T à détrompage associable gris IP55</t>
  </si>
  <si>
    <t>22.5775€</t>
  </si>
  <si>
    <t>WNA105B</t>
  </si>
  <si>
    <t>cubyko Prise 2P+T à détrompage associable blanc IP55</t>
  </si>
  <si>
    <t>22.374€</t>
  </si>
  <si>
    <t>WNA160</t>
  </si>
  <si>
    <t>cubyko Prise Schuko associable gris IP55</t>
  </si>
  <si>
    <t>10.4115€</t>
  </si>
  <si>
    <t>WNA160B</t>
  </si>
  <si>
    <t>cubyko Prise Schuko associable blanc IP55</t>
  </si>
  <si>
    <t>WNA300</t>
  </si>
  <si>
    <t>cubyko Inter volet-roulant associable gris IP55</t>
  </si>
  <si>
    <t>27.5055€</t>
  </si>
  <si>
    <t>WNA300B</t>
  </si>
  <si>
    <t>cubyko Inter volet-roulant associable blanc IP55</t>
  </si>
  <si>
    <t>27.071€</t>
  </si>
  <si>
    <t>WNA301</t>
  </si>
  <si>
    <t>cubyko Poussoir volet-roulant associable gris IP55</t>
  </si>
  <si>
    <t>25.6025€</t>
  </si>
  <si>
    <t>WNA301B</t>
  </si>
  <si>
    <t>cubyko Poussoir volet-roulant associable blanc IP55</t>
  </si>
  <si>
    <t>27.6815€</t>
  </si>
  <si>
    <t>WNC001</t>
  </si>
  <si>
    <t>cubyko interrupteur va-et-vient saillie gris IP55</t>
  </si>
  <si>
    <t>6.952€</t>
  </si>
  <si>
    <t>WNC003</t>
  </si>
  <si>
    <t>cubyko interrupteur va-et-vient témoin avec neutre saillie gris IP55</t>
  </si>
  <si>
    <t>15.664€</t>
  </si>
  <si>
    <t>WNC021</t>
  </si>
  <si>
    <t>cubyko Poussoir 1O/1F à voyant saillie gris IP55</t>
  </si>
  <si>
    <t>12.1275€</t>
  </si>
  <si>
    <t>WNC023</t>
  </si>
  <si>
    <t>cubyko Poussoir 1F à voyant témoin saillie gris IP55</t>
  </si>
  <si>
    <t>16.071€</t>
  </si>
  <si>
    <t>WNC025</t>
  </si>
  <si>
    <t>cubyko Poussoir porte-étiquette 1F saillie gris IP55</t>
  </si>
  <si>
    <t>24.5135€</t>
  </si>
  <si>
    <t>WNC035</t>
  </si>
  <si>
    <t>cubyko Interrupteur à clé 2 positions saillie gris IP55</t>
  </si>
  <si>
    <t>64.801€</t>
  </si>
  <si>
    <t>WNC036</t>
  </si>
  <si>
    <t>cubyko Interrupteur à clé 3 positions saillie gris IP55</t>
  </si>
  <si>
    <t>81.213€</t>
  </si>
  <si>
    <t>WNC044</t>
  </si>
  <si>
    <t>cubyko Double poussoir 1O/1F saillie gris IP55</t>
  </si>
  <si>
    <t>16.445€</t>
  </si>
  <si>
    <t>WNC100</t>
  </si>
  <si>
    <t>cubyko prise électrique complète saillie 2P+T. 1 poste.16A. IP55. finition gris</t>
  </si>
  <si>
    <t>7.634€</t>
  </si>
  <si>
    <t>WNC122</t>
  </si>
  <si>
    <t>cubyko Prise double horizontale 2P+T saillie gris IP55</t>
  </si>
  <si>
    <t>19.4865€</t>
  </si>
  <si>
    <t>WNC122B</t>
  </si>
  <si>
    <t>cubyko Prise double horizontale 2P+T saillie blanc IP55</t>
  </si>
  <si>
    <t>25.531€</t>
  </si>
  <si>
    <t>WNC123</t>
  </si>
  <si>
    <t>cubyko Prise triple horizontale 2P+T saillie gris IP55</t>
  </si>
  <si>
    <t>31.427€</t>
  </si>
  <si>
    <t>WNC123B</t>
  </si>
  <si>
    <t>cubyko Prise triple horizontale 2P+T saillie blanc IP55</t>
  </si>
  <si>
    <t>45.144€</t>
  </si>
  <si>
    <t>WNC132</t>
  </si>
  <si>
    <t>cubyko Prise double verticale 2P+T saillie gris IP55</t>
  </si>
  <si>
    <t>WNC132B</t>
  </si>
  <si>
    <t>cubyko Prise double verticale 2P+T saillie blanc IP55</t>
  </si>
  <si>
    <t>20.35€</t>
  </si>
  <si>
    <t>WNC160</t>
  </si>
  <si>
    <t>cubyko Prise Schuko saillie gris IP55</t>
  </si>
  <si>
    <t>11.88€</t>
  </si>
  <si>
    <t>WNE001</t>
  </si>
  <si>
    <t>cubyko interrupteur va-et-vient encastré gris IP55</t>
  </si>
  <si>
    <t>14.0855€</t>
  </si>
  <si>
    <t>WNE001B</t>
  </si>
  <si>
    <t>cubyko interrupteur va-et-vient encastré blanc IP55</t>
  </si>
  <si>
    <t>14.751€</t>
  </si>
  <si>
    <t>WNE023</t>
  </si>
  <si>
    <t>cubyko Poussoir 1F à voyant témoin encastré gris IP55</t>
  </si>
  <si>
    <t>22.9075€</t>
  </si>
  <si>
    <t>WNE023B</t>
  </si>
  <si>
    <t>cubyko Poussoir 1F à voyant témoin encastré blanc IP55</t>
  </si>
  <si>
    <t>WNE025</t>
  </si>
  <si>
    <t>cubyko Poussoir porte-étiquette 1F encastré gris IP55</t>
  </si>
  <si>
    <t>23.7765€</t>
  </si>
  <si>
    <t>WNE025B</t>
  </si>
  <si>
    <t>cubyko Poussoir porte-étiquette 1F encastré blanc IP55</t>
  </si>
  <si>
    <t>WNE040</t>
  </si>
  <si>
    <t>cubyko Double interrupteur va-et-vient  encastré gris IP55</t>
  </si>
  <si>
    <t>WNE040B</t>
  </si>
  <si>
    <t>cubyko Double interrupteur va-et-vient  encastré blanc IP55</t>
  </si>
  <si>
    <t>WNE100</t>
  </si>
  <si>
    <t>cubyko prise électrique 2P+T complète encastrée. 16A. IP55. finition gris</t>
  </si>
  <si>
    <t>14.5365€</t>
  </si>
  <si>
    <t>WNE100B</t>
  </si>
  <si>
    <t>cubyko prise électrique 2P+T complète encastrée. 16A. IP55. finition blanc</t>
  </si>
  <si>
    <t>14.9325€</t>
  </si>
  <si>
    <t>WNE122</t>
  </si>
  <si>
    <t>cubyko Prise double horizontale 2P+T encastré gris IP55</t>
  </si>
  <si>
    <t>25.3605€</t>
  </si>
  <si>
    <t>WNE122B</t>
  </si>
  <si>
    <t>cubyko Prise double horizontale 2P+T encastré blanc IP55</t>
  </si>
  <si>
    <t>26.235€</t>
  </si>
  <si>
    <t>WNE123</t>
  </si>
  <si>
    <t>cubyko Prise triple horizontale 2P+T encastré gris IP55</t>
  </si>
  <si>
    <t>37.2955€</t>
  </si>
  <si>
    <t>WNE123B</t>
  </si>
  <si>
    <t>cubyko Prise triple horizontale 2P+T encastré blanc IP55</t>
  </si>
  <si>
    <t>38.874€</t>
  </si>
  <si>
    <t>WNE132</t>
  </si>
  <si>
    <t>cubyko Prise double verticale 2P+T encastré gris IP55</t>
  </si>
  <si>
    <t>WNE132B</t>
  </si>
  <si>
    <t>cubyko Prise double verticale 2P+T encastré blanc IP55</t>
  </si>
  <si>
    <t>WNA035</t>
  </si>
  <si>
    <t>cubyko interrupteur à clé 2 positions associable gris</t>
  </si>
  <si>
    <t>60.39€</t>
  </si>
  <si>
    <t>WNA036</t>
  </si>
  <si>
    <t>cubyko interrupteur à clé 3 positions associable gris</t>
  </si>
  <si>
    <t>76.494€</t>
  </si>
  <si>
    <t>WNA037</t>
  </si>
  <si>
    <t>cubyko interrupteur à clé 3P extract. 0 associable gris</t>
  </si>
  <si>
    <t>58.7895€</t>
  </si>
  <si>
    <t>WNA037B</t>
  </si>
  <si>
    <t>cubyko interrupteur à clé 3P extract. 0 associable Blanc</t>
  </si>
  <si>
    <t>60.7475€</t>
  </si>
  <si>
    <t>WNA038</t>
  </si>
  <si>
    <t>cubyko Adaptateur diamètre 22.5 associable gris</t>
  </si>
  <si>
    <t>14.4485€</t>
  </si>
  <si>
    <t>WNA041</t>
  </si>
  <si>
    <t>cubyko Double inter VV  lumineux associable gris IP55</t>
  </si>
  <si>
    <t>21.0375€</t>
  </si>
  <si>
    <t>WNA041B</t>
  </si>
  <si>
    <t>cubyko Double inter VV  lumineuxassociable blanc IP55</t>
  </si>
  <si>
    <t>23.804€</t>
  </si>
  <si>
    <t>WNA045</t>
  </si>
  <si>
    <t>cubyko Double poussoir lumineux associable gris IP55</t>
  </si>
  <si>
    <t>19.701€</t>
  </si>
  <si>
    <t>WNA045B</t>
  </si>
  <si>
    <t>cubyko Double poussoir lumineux associable blanc IP55</t>
  </si>
  <si>
    <t>20.9275€</t>
  </si>
  <si>
    <t>WNC001B</t>
  </si>
  <si>
    <t>cubyko va et vient en saillie blanc</t>
  </si>
  <si>
    <t>8.085€</t>
  </si>
  <si>
    <t>WNC002</t>
  </si>
  <si>
    <t>cubyko va-et-vient lumineux saillie gris</t>
  </si>
  <si>
    <t>15.6915€</t>
  </si>
  <si>
    <t>WNC020</t>
  </si>
  <si>
    <t>cubyko BP à fermeture 1F saillie gris</t>
  </si>
  <si>
    <t>9.075€</t>
  </si>
  <si>
    <t>WNC022</t>
  </si>
  <si>
    <t>cubyko Poussoir 1O/1F saillie gris IP55</t>
  </si>
  <si>
    <t>13.3265€</t>
  </si>
  <si>
    <t>WNC032</t>
  </si>
  <si>
    <t>cubyko Arrêt d'urgence avec clé saillie gris IP55</t>
  </si>
  <si>
    <t>83.259€</t>
  </si>
  <si>
    <t>WNC033</t>
  </si>
  <si>
    <t>cubyko Arrêt d'urgence 1/4 tour saillie gris IP55</t>
  </si>
  <si>
    <t>71.1975€</t>
  </si>
  <si>
    <t>WNC040</t>
  </si>
  <si>
    <t>cubyko double va-et-vient saillie gris</t>
  </si>
  <si>
    <t>16.852€</t>
  </si>
  <si>
    <t>WNC041</t>
  </si>
  <si>
    <t>cubyko double va-et-vient lumineux saillie gris</t>
  </si>
  <si>
    <t>22.638€</t>
  </si>
  <si>
    <t>WNA155</t>
  </si>
  <si>
    <t>cubyko Sortie de câble associable gris</t>
  </si>
  <si>
    <t>13.0075€</t>
  </si>
  <si>
    <t>WNA155B</t>
  </si>
  <si>
    <t>cubyko Sortie de câble associable blanc</t>
  </si>
  <si>
    <t>13.4255€</t>
  </si>
  <si>
    <t>WNA157</t>
  </si>
  <si>
    <t>cubyko Obturateur associable gris</t>
  </si>
  <si>
    <t>7.6065€</t>
  </si>
  <si>
    <t>WNA157B</t>
  </si>
  <si>
    <t>cubyko Obturateur associable blanc</t>
  </si>
  <si>
    <t>7.9695€</t>
  </si>
  <si>
    <t>WNA455</t>
  </si>
  <si>
    <t>cubyko adaptateur pour systo KNX associable gris</t>
  </si>
  <si>
    <t>9.5095€</t>
  </si>
  <si>
    <t>WNA455B</t>
  </si>
  <si>
    <t>cubyko adaptateur pour systo KNX associable blanc</t>
  </si>
  <si>
    <t>11.429€</t>
  </si>
  <si>
    <t>WNC100E</t>
  </si>
  <si>
    <t>Prise de courant 2P+T étanche cubyko IP55 orange complète installation saillie</t>
  </si>
  <si>
    <t>9.757€</t>
  </si>
  <si>
    <t>WNC100J</t>
  </si>
  <si>
    <t>Prise de courant 2P+T étanche cubyko IP55 jaune complète installation saillie</t>
  </si>
  <si>
    <t>9.185€</t>
  </si>
  <si>
    <t>WNC100R</t>
  </si>
  <si>
    <t>Prise de courant 2P+T étanche cubyko IP55 rouge complète installation saillie</t>
  </si>
  <si>
    <t>9.2015€</t>
  </si>
  <si>
    <t>WNC100V</t>
  </si>
  <si>
    <t>Prise de courant 2P+T étanche cubyko IP55 vert complète installation saillie</t>
  </si>
  <si>
    <t>WNC155</t>
  </si>
  <si>
    <t>cubyko Sortie de câble saillie gris</t>
  </si>
  <si>
    <t>15.2625€</t>
  </si>
  <si>
    <t>WNC155B</t>
  </si>
  <si>
    <t>cubyko Sortie de câble saillie blanc</t>
  </si>
  <si>
    <t>15.5155€</t>
  </si>
  <si>
    <t>WNC455</t>
  </si>
  <si>
    <t>cubyko adaptateur pour systo KNX complet gris</t>
  </si>
  <si>
    <t>11.6545€</t>
  </si>
  <si>
    <t>WNC455B</t>
  </si>
  <si>
    <t>cubyko adaptateur pour systo KNX complet blanc</t>
  </si>
  <si>
    <t>11.6875€</t>
  </si>
  <si>
    <t>WNE155</t>
  </si>
  <si>
    <t>cubyko Sortie de câble encastrée gris</t>
  </si>
  <si>
    <t>20.3005€</t>
  </si>
  <si>
    <t>WNE155B</t>
  </si>
  <si>
    <t>cubyko Sortie de câble encastrée blanc</t>
  </si>
  <si>
    <t>20.482€</t>
  </si>
  <si>
    <t>WNA009</t>
  </si>
  <si>
    <t>cubyko Minuterie bouton rotatif associable gris IP55</t>
  </si>
  <si>
    <t>40.821€</t>
  </si>
  <si>
    <t>WNA009B</t>
  </si>
  <si>
    <t>cubyko Minuterie bouton rotatif associable blanc IP55</t>
  </si>
  <si>
    <t>41.525€</t>
  </si>
  <si>
    <t>WNC009</t>
  </si>
  <si>
    <t>cubyko Minuterie bouton rotatif saillie gris IP55</t>
  </si>
  <si>
    <t>58.2725€</t>
  </si>
  <si>
    <t>WNC009B</t>
  </si>
  <si>
    <t>cubyko Minuterie bouton rotatif saillie blanc IP55</t>
  </si>
  <si>
    <t>58.9875€</t>
  </si>
  <si>
    <t>WNE001BG</t>
  </si>
  <si>
    <t>cubyko interrupteur va-et-vient encastré à griffes blanc IP55</t>
  </si>
  <si>
    <t>16.1535€</t>
  </si>
  <si>
    <t>WNE001G</t>
  </si>
  <si>
    <t>cubyko interrupteur va-et-vient encastré à griffes gris IP55</t>
  </si>
  <si>
    <t>33.21€</t>
  </si>
  <si>
    <t>15.5265€</t>
  </si>
  <si>
    <t>WNE023BG</t>
  </si>
  <si>
    <t>cubyko Poussoir 1F à voyant témoin encastré à griffes blanc IP55</t>
  </si>
  <si>
    <t>24.3155€</t>
  </si>
  <si>
    <t>WNE023G</t>
  </si>
  <si>
    <t>cubyko Poussoir 1F à voyant témoin encastré à griffes gris IP55</t>
  </si>
  <si>
    <t>WNE025G</t>
  </si>
  <si>
    <t>cubyko Poussoir porte-étiquette 1F encastré à griffes gris IP55</t>
  </si>
  <si>
    <t>25.1955€</t>
  </si>
  <si>
    <t>WNE040BG</t>
  </si>
  <si>
    <t>cubyko Double interrupteur va-et-vient  encastré à griffes blanc IP55</t>
  </si>
  <si>
    <t>23.76€</t>
  </si>
  <si>
    <t>WNE040G</t>
  </si>
  <si>
    <t>cubyko Double interrupteur va-et-vient  encastré à griffes gris IP55</t>
  </si>
  <si>
    <t>WNE025BG</t>
  </si>
  <si>
    <t>cubyko Poussoir porte-étiquette 1F encastré à griffes blanc IP55</t>
  </si>
  <si>
    <t>cubyko PC Schuko saillie rouge</t>
  </si>
  <si>
    <t>13.8875€</t>
  </si>
  <si>
    <t>WNA401</t>
  </si>
  <si>
    <t>cubyko Support d'encastrement simple associable gris IP55</t>
  </si>
  <si>
    <t xml:space="preserve">HAMPAM15 </t>
  </si>
  <si>
    <t>ACCESSOIRES CUBYKO</t>
  </si>
  <si>
    <t>3.575€</t>
  </si>
  <si>
    <t>WNA401B</t>
  </si>
  <si>
    <t>cubyko Support d'encastrement simple associable blanc IP55</t>
  </si>
  <si>
    <t>3.7895€</t>
  </si>
  <si>
    <t>WNA402</t>
  </si>
  <si>
    <t>cubyko Support d'encastrement double horizontale associable gris IP55</t>
  </si>
  <si>
    <t>15.09€</t>
  </si>
  <si>
    <t>7.0565€</t>
  </si>
  <si>
    <t>WNA402B</t>
  </si>
  <si>
    <t>cubyko Support d'encastrement double horizontale associable blanc IP55</t>
  </si>
  <si>
    <t>7.458€</t>
  </si>
  <si>
    <t>WNA403</t>
  </si>
  <si>
    <t>cubyko Support d'encastrement triple horizontale associable gris IP55</t>
  </si>
  <si>
    <t>13.002€</t>
  </si>
  <si>
    <t>WNA403B</t>
  </si>
  <si>
    <t>cubyko Support d'encastrement triple horizontale associable blanc IP55</t>
  </si>
  <si>
    <t>13.42€</t>
  </si>
  <si>
    <t>WNA408</t>
  </si>
  <si>
    <t>cubyko Support d'encastrement double verticale associable gris IP55</t>
  </si>
  <si>
    <t>7.403€</t>
  </si>
  <si>
    <t>WNA408B</t>
  </si>
  <si>
    <t>cubyko Support d'encastrement double verticale associable blanc IP55</t>
  </si>
  <si>
    <t>WNA450</t>
  </si>
  <si>
    <t>cubyko Support Adaptateur pour mécanisme systo associable IP55</t>
  </si>
  <si>
    <t>9.669€</t>
  </si>
  <si>
    <t>WNA601</t>
  </si>
  <si>
    <t>cubyko Voyant vert/rouge</t>
  </si>
  <si>
    <t>21.45€</t>
  </si>
  <si>
    <t>WNA602</t>
  </si>
  <si>
    <t>cubyko Voyant bleu</t>
  </si>
  <si>
    <t>17.545€</t>
  </si>
  <si>
    <t>WNA603</t>
  </si>
  <si>
    <t>cubyko Voyant de signalisation blanc associable IP55</t>
  </si>
  <si>
    <t>17.1105€</t>
  </si>
  <si>
    <t>WNA681</t>
  </si>
  <si>
    <t>cubyko Boîte simple vide associable gris IP55</t>
  </si>
  <si>
    <t>2.1615€</t>
  </si>
  <si>
    <t>WNA681B</t>
  </si>
  <si>
    <t>cubyko Boîte simple vide associable blanc IP55</t>
  </si>
  <si>
    <t>2.871€</t>
  </si>
  <si>
    <t>WNA682</t>
  </si>
  <si>
    <t>cubyko Boîte double horizontale vide avec 2 entrées associable gris IP55</t>
  </si>
  <si>
    <t>WNA682B</t>
  </si>
  <si>
    <t>cubyko Boîte double horizontale vide avec 2 entrées associable blanc IP55</t>
  </si>
  <si>
    <t>11.473€</t>
  </si>
  <si>
    <t>WNA683</t>
  </si>
  <si>
    <t>cubyko Boîte triple horizontale vide associable gris</t>
  </si>
  <si>
    <t>18.898€</t>
  </si>
  <si>
    <t>WNA683B</t>
  </si>
  <si>
    <t>cubyko Boîte triple horizontale vide associable blanc IP55</t>
  </si>
  <si>
    <t>20.8065€</t>
  </si>
  <si>
    <t>WNA684</t>
  </si>
  <si>
    <t>cubyko Boîte simple vide associable avec 2 embouts 1 entrée gris IP55</t>
  </si>
  <si>
    <t>2.321€</t>
  </si>
  <si>
    <t>WNA685</t>
  </si>
  <si>
    <t>cubyko Boîte double horizontale vide avec 4 entrées associable gris IP55</t>
  </si>
  <si>
    <t>WNA685B</t>
  </si>
  <si>
    <t>cubyko Boîte double horizontale vide avec 4 entrées associable blanc IP55</t>
  </si>
  <si>
    <t>12.672€</t>
  </si>
  <si>
    <t>WNA686</t>
  </si>
  <si>
    <t>cubyko Boîte double verticale vide associable gris IP55</t>
  </si>
  <si>
    <t>WNA686B</t>
  </si>
  <si>
    <t>cubyko Boîte double verticale vide associable blanc IP55</t>
  </si>
  <si>
    <t>11.5555€</t>
  </si>
  <si>
    <t>WNA690</t>
  </si>
  <si>
    <t>cubyko Entrée de câble gris IP55</t>
  </si>
  <si>
    <t>1.034€</t>
  </si>
  <si>
    <t>WNA690B</t>
  </si>
  <si>
    <t>cubyko Entrée de câble blanc IP55</t>
  </si>
  <si>
    <t>1.1055€</t>
  </si>
  <si>
    <t>WNA691</t>
  </si>
  <si>
    <t>cubyko Entrée de tube et câble gris IP55</t>
  </si>
  <si>
    <t>0.7755€</t>
  </si>
  <si>
    <t>WNA691B</t>
  </si>
  <si>
    <t>cubyko Entrée de tube et câble blanc IP55</t>
  </si>
  <si>
    <t>0.803€</t>
  </si>
  <si>
    <t>WNA693</t>
  </si>
  <si>
    <t>cubyko Entrée de câble pour presse étoupe M20 IP55</t>
  </si>
  <si>
    <t>0.9955€</t>
  </si>
  <si>
    <t>WNA694</t>
  </si>
  <si>
    <t>cubyko Connecteur de boites gris IP55</t>
  </si>
  <si>
    <t>WNA695</t>
  </si>
  <si>
    <t>cubyko collerette lumineuse à LED blanches 230V</t>
  </si>
  <si>
    <t>27.1755€</t>
  </si>
  <si>
    <t>WNA696</t>
  </si>
  <si>
    <t>cubyko collerette lumineuse à LED blanches 12/24V</t>
  </si>
  <si>
    <t>31.3225€</t>
  </si>
  <si>
    <t>WNA697</t>
  </si>
  <si>
    <t>cubyko collerette lumineuse à LED bleues 230V</t>
  </si>
  <si>
    <t>31.328€</t>
  </si>
  <si>
    <t>WNA698</t>
  </si>
  <si>
    <t>cubyko collerette lumineuse à LED bleues 12/24V</t>
  </si>
  <si>
    <t>34.859€</t>
  </si>
  <si>
    <t>WNA699</t>
  </si>
  <si>
    <t>cubyko collerette double lumineuse à LED blanches 230V</t>
  </si>
  <si>
    <t>45.8755€</t>
  </si>
  <si>
    <t>WNA689</t>
  </si>
  <si>
    <t>cubyko Cache vis boîte saillie</t>
  </si>
  <si>
    <t>1.3695€</t>
  </si>
  <si>
    <t>WNA692</t>
  </si>
  <si>
    <t>cubyko Gabarit de pose pour boîte saillie</t>
  </si>
  <si>
    <t>13.277€</t>
  </si>
  <si>
    <t>WUZ681</t>
  </si>
  <si>
    <t>cubyko lamperouge 0.75mA 250V à câbler</t>
  </si>
  <si>
    <t>12.54€</t>
  </si>
  <si>
    <t>5.863€</t>
  </si>
  <si>
    <t>WUZ682</t>
  </si>
  <si>
    <t>cubyko Lampe bleue 12-24V à câbler</t>
  </si>
  <si>
    <t>8.404€</t>
  </si>
  <si>
    <t>WUZ686</t>
  </si>
  <si>
    <t>cubyko Lampe bleue 0.4mA 250V à câbler</t>
  </si>
  <si>
    <t>WUZ687</t>
  </si>
  <si>
    <t>cubyko Lampe rouge 12-24V à câbler</t>
  </si>
  <si>
    <t>8.316€</t>
  </si>
  <si>
    <t>WNA401BG</t>
  </si>
  <si>
    <t>cubyko Support d\'encastrement simple associable à griffes blanc IP55</t>
  </si>
  <si>
    <t>5.1755€</t>
  </si>
  <si>
    <t>WNA401G</t>
  </si>
  <si>
    <t>cubyko Support d\'encastrement simple associable à griffes gris IP55</t>
  </si>
  <si>
    <t>4.983€</t>
  </si>
  <si>
    <t>WNA710</t>
  </si>
  <si>
    <t>cubyko collerette double lumineuse à LED blanches 230V horizontale</t>
  </si>
  <si>
    <t>48.697€</t>
  </si>
  <si>
    <t>WNA711</t>
  </si>
  <si>
    <t>cubyko collerette double lumineuse à LED bleues 230V horizontale</t>
  </si>
  <si>
    <t>52.558€</t>
  </si>
  <si>
    <t>WNA712</t>
  </si>
  <si>
    <t xml:space="preserve">cubyko collerette double lumineuse à LED bleue 230V verticale </t>
  </si>
  <si>
    <t>EC450</t>
  </si>
  <si>
    <t>Afficheur modulaire des consommations multi-énergies RT2012</t>
  </si>
  <si>
    <t xml:space="preserve">HACMAM10 </t>
  </si>
  <si>
    <t>INDICATEUR RT2012</t>
  </si>
  <si>
    <t>180.576€</t>
  </si>
  <si>
    <t>EC453</t>
  </si>
  <si>
    <t>Pack afficheur modulaire des consommations multi-énergies RT2012</t>
  </si>
  <si>
    <t>EK021</t>
  </si>
  <si>
    <t>transformateur d\'intensité jusqu\'à 63A</t>
  </si>
  <si>
    <t xml:space="preserve">HACMZM10 </t>
  </si>
  <si>
    <t>ACCESSOIRES INDICATEUR DE CONSO</t>
  </si>
  <si>
    <t>18.45€</t>
  </si>
  <si>
    <t>EK022</t>
  </si>
  <si>
    <t>transformateur d\'intensité jusqu\'à 40A</t>
  </si>
  <si>
    <t>18.618€</t>
  </si>
  <si>
    <t>EK028</t>
  </si>
  <si>
    <t>transformateur d'intensité jusqu'à 90A - 1 Maxitore</t>
  </si>
  <si>
    <t>24.894€</t>
  </si>
  <si>
    <t>BKA200800</t>
  </si>
  <si>
    <t>Couvercle BKW200</t>
  </si>
  <si>
    <t xml:space="preserve">HAGPAM15 </t>
  </si>
  <si>
    <t>CANIVEAU</t>
  </si>
  <si>
    <t>44.792€</t>
  </si>
  <si>
    <t>BKA300800</t>
  </si>
  <si>
    <t>Couvercle BKW300</t>
  </si>
  <si>
    <t>65.681€</t>
  </si>
  <si>
    <t>BKA300800Q06</t>
  </si>
  <si>
    <t>Couvercle BKW300 découp. Q06</t>
  </si>
  <si>
    <t>68.728€</t>
  </si>
  <si>
    <t>BKA300800R06</t>
  </si>
  <si>
    <t>Couvercle BKW300 découp. R06</t>
  </si>
  <si>
    <t>BKA400800</t>
  </si>
  <si>
    <t>Couvercle BKW400</t>
  </si>
  <si>
    <t>91.619€</t>
  </si>
  <si>
    <t>BKA400800Q06</t>
  </si>
  <si>
    <t>Couvercle BKW400 découp. Q06</t>
  </si>
  <si>
    <t>95.9145€</t>
  </si>
  <si>
    <t>BKA400800Q12</t>
  </si>
  <si>
    <t>Couvercle BKW400 découp. Q12</t>
  </si>
  <si>
    <t>BKA400800R06</t>
  </si>
  <si>
    <t>Couvercle BKW400 découp. R06</t>
  </si>
  <si>
    <t>BKA400800R12</t>
  </si>
  <si>
    <t>Couvercle BKW400 découp. R12</t>
  </si>
  <si>
    <t>BKA600800</t>
  </si>
  <si>
    <t>Couvercle BKW600</t>
  </si>
  <si>
    <t>128.821€</t>
  </si>
  <si>
    <t>BKA600800Q06</t>
  </si>
  <si>
    <t>Couvercle BKW600  découp. Q06</t>
  </si>
  <si>
    <t>134.816€</t>
  </si>
  <si>
    <t>BKA600800Q12</t>
  </si>
  <si>
    <t>Couvercle BKW600  découp. Q12</t>
  </si>
  <si>
    <t>BKA600800R06</t>
  </si>
  <si>
    <t>Couvercle BKW600  découp. R06</t>
  </si>
  <si>
    <t>BKA600800R12</t>
  </si>
  <si>
    <t>Couvercle BKW600  découp. R12</t>
  </si>
  <si>
    <t>BKTWK16</t>
  </si>
  <si>
    <t>Séparation 16mm L= 2000mm</t>
  </si>
  <si>
    <t>9.416€</t>
  </si>
  <si>
    <t>BKTWK31</t>
  </si>
  <si>
    <t>Séparation 31mm L= 2000mm</t>
  </si>
  <si>
    <t>9.9385€</t>
  </si>
  <si>
    <t>BKTWK46</t>
  </si>
  <si>
    <t>Séparation 46mm L= 2000mm</t>
  </si>
  <si>
    <t>12.4795€</t>
  </si>
  <si>
    <t>BKTWK61</t>
  </si>
  <si>
    <t>Séparation 61mm L= 2000mm</t>
  </si>
  <si>
    <t>16.6485€</t>
  </si>
  <si>
    <t>BKTWK76</t>
  </si>
  <si>
    <t>Séparation 76mm L= 2000mm</t>
  </si>
  <si>
    <t>18.7935€</t>
  </si>
  <si>
    <t>BKTWK91</t>
  </si>
  <si>
    <t>Séparation 91mm L= 2000mm</t>
  </si>
  <si>
    <t>19.6955€</t>
  </si>
  <si>
    <t>BKW200060</t>
  </si>
  <si>
    <t>Goulotte caniveau 200  60-100</t>
  </si>
  <si>
    <t>224.092€</t>
  </si>
  <si>
    <t>BKW200070</t>
  </si>
  <si>
    <t>Goulotte caniveau 200  70-110</t>
  </si>
  <si>
    <t>226.732€</t>
  </si>
  <si>
    <t>BKW200080</t>
  </si>
  <si>
    <t>Goulotte caniveau 200  80-120</t>
  </si>
  <si>
    <t>229.2675€</t>
  </si>
  <si>
    <t>BKW200090</t>
  </si>
  <si>
    <t>Goulotte caniveau 200  90-130</t>
  </si>
  <si>
    <t>231.957€</t>
  </si>
  <si>
    <t>BKW300060</t>
  </si>
  <si>
    <t>Goulotte caniveau 300  60-100</t>
  </si>
  <si>
    <t>272.338€</t>
  </si>
  <si>
    <t>BKW300070</t>
  </si>
  <si>
    <t>Goulotte caniveau 300  70-110</t>
  </si>
  <si>
    <t>274.857€</t>
  </si>
  <si>
    <t>BKW300080</t>
  </si>
  <si>
    <t>Goulotte caniveau 300  80-120</t>
  </si>
  <si>
    <t>277.6015€</t>
  </si>
  <si>
    <t>BKW300090</t>
  </si>
  <si>
    <t>Goulotte caniveau 300  90-130</t>
  </si>
  <si>
    <t>280.2085€</t>
  </si>
  <si>
    <t>BKW400060</t>
  </si>
  <si>
    <t>Goulotte caniveau 400  60-100</t>
  </si>
  <si>
    <t>363.11€</t>
  </si>
  <si>
    <t>BKW400070</t>
  </si>
  <si>
    <t>Goulotte caniveau 400  70-110</t>
  </si>
  <si>
    <t>365.981€</t>
  </si>
  <si>
    <t>BKW400080</t>
  </si>
  <si>
    <t>Goulotte caniveau 400  80-120</t>
  </si>
  <si>
    <t>368.5605€</t>
  </si>
  <si>
    <t>BKW400090</t>
  </si>
  <si>
    <t>Goulotte caniveau 400  90-130</t>
  </si>
  <si>
    <t>371.1565€</t>
  </si>
  <si>
    <t>BKW600060</t>
  </si>
  <si>
    <t>Goulotte caniveau 600  60-100</t>
  </si>
  <si>
    <t>472.813€</t>
  </si>
  <si>
    <t>BKW600070</t>
  </si>
  <si>
    <t>Goulotte caniveau 600  70-110</t>
  </si>
  <si>
    <t>475.497€</t>
  </si>
  <si>
    <t>BKW600080</t>
  </si>
  <si>
    <t>Goulotte caniveau 600  80-120</t>
  </si>
  <si>
    <t>478.0545€</t>
  </si>
  <si>
    <t>BKW600090</t>
  </si>
  <si>
    <t>Goulotte caniveau 600  90-130</t>
  </si>
  <si>
    <t>480.887€</t>
  </si>
  <si>
    <t>BKWE200060</t>
  </si>
  <si>
    <t>Embout pour BKW200060</t>
  </si>
  <si>
    <t>107.7505€</t>
  </si>
  <si>
    <t>BKWE200070</t>
  </si>
  <si>
    <t>Embout pour BKW200070</t>
  </si>
  <si>
    <t>BKWE200080</t>
  </si>
  <si>
    <t>Embout pour BKW200080</t>
  </si>
  <si>
    <t>BKWE200090</t>
  </si>
  <si>
    <t>Embout pour BKW200090</t>
  </si>
  <si>
    <t>BKWE300060</t>
  </si>
  <si>
    <t>Embout pour BKW300060</t>
  </si>
  <si>
    <t>118.954€</t>
  </si>
  <si>
    <t>BKWE300070</t>
  </si>
  <si>
    <t>Embout pour BKW300070</t>
  </si>
  <si>
    <t>BKWE300080</t>
  </si>
  <si>
    <t>Embout pour BKW300080</t>
  </si>
  <si>
    <t>BKWE300090</t>
  </si>
  <si>
    <t>Embout pour BKW300090</t>
  </si>
  <si>
    <t>BKWE400060</t>
  </si>
  <si>
    <t>Embout pour BKW400060</t>
  </si>
  <si>
    <t>130.1795€</t>
  </si>
  <si>
    <t>BKWE400070</t>
  </si>
  <si>
    <t>Embout pour BKW400070</t>
  </si>
  <si>
    <t>BKWE400080</t>
  </si>
  <si>
    <t>Embout pour BKW400080</t>
  </si>
  <si>
    <t>BKWE400090</t>
  </si>
  <si>
    <t>Embout pour BKW400090</t>
  </si>
  <si>
    <t>BKWE600060</t>
  </si>
  <si>
    <t>Embout pour BKW600060</t>
  </si>
  <si>
    <t>148.115€</t>
  </si>
  <si>
    <t>BKWE600070</t>
  </si>
  <si>
    <t>Embout pour BKW600070</t>
  </si>
  <si>
    <t>BKWE600080</t>
  </si>
  <si>
    <t>Embout pour BKW600080</t>
  </si>
  <si>
    <t>BKWE600090</t>
  </si>
  <si>
    <t>Embout pour BKW600090</t>
  </si>
  <si>
    <t>BKZSA200</t>
  </si>
  <si>
    <t>Fil de mise à la terre</t>
  </si>
  <si>
    <t>8.6€</t>
  </si>
  <si>
    <t>4.0205€</t>
  </si>
  <si>
    <t>BKBNS120</t>
  </si>
  <si>
    <t>Set de nivellement  M8x120 mm, 8 pièces, pour BKB/BKG</t>
  </si>
  <si>
    <t>31.5205€</t>
  </si>
  <si>
    <t>BKBNS60</t>
  </si>
  <si>
    <t>Set de nivellement  M8x60 mm, 8 pièces, pour BKB/BKG</t>
  </si>
  <si>
    <t>29.337€</t>
  </si>
  <si>
    <t>BKBNSD120</t>
  </si>
  <si>
    <t>Set nivel. amortisseur 145-210</t>
  </si>
  <si>
    <t>37.444€</t>
  </si>
  <si>
    <t>BKBNSD60</t>
  </si>
  <si>
    <t>Set de nivellement  M8x60mm, 8 pièces, avec isolation phonique pour BKB/BKG</t>
  </si>
  <si>
    <t>32.7635€</t>
  </si>
  <si>
    <t>JC113</t>
  </si>
  <si>
    <t>Couvercle pour JS013</t>
  </si>
  <si>
    <t xml:space="preserve">HAHELM10 </t>
  </si>
  <si>
    <t>ACC. NEW GOUL. GAMMA</t>
  </si>
  <si>
    <t>39.42561€</t>
  </si>
  <si>
    <t>JC213</t>
  </si>
  <si>
    <t>Jeu de couvercles pour JS013C</t>
  </si>
  <si>
    <t>JZ101</t>
  </si>
  <si>
    <t>Jeu de 12 quickfix</t>
  </si>
  <si>
    <t>5.46675€</t>
  </si>
  <si>
    <t>JZ104</t>
  </si>
  <si>
    <t>Jeu de 2 supports universels</t>
  </si>
  <si>
    <t>17.22765€</t>
  </si>
  <si>
    <t>JZ105</t>
  </si>
  <si>
    <t>Cloison séparation courant fort et courant faible, 2,6m</t>
  </si>
  <si>
    <t>10.5789€</t>
  </si>
  <si>
    <t>JZ108</t>
  </si>
  <si>
    <t>Tunnel de séparation du cheminement NF C14-100 et NF C15-100</t>
  </si>
  <si>
    <t>9.7515€</t>
  </si>
  <si>
    <t>JZ131</t>
  </si>
  <si>
    <t>Embout pour GTL Gamma+ 13</t>
  </si>
  <si>
    <t>10.74438€</t>
  </si>
  <si>
    <t>JZ132</t>
  </si>
  <si>
    <t>Jonction plafond pour GTL Gamma+  13</t>
  </si>
  <si>
    <t>30.90339€</t>
  </si>
  <si>
    <t>JZ181</t>
  </si>
  <si>
    <t>Embout pour GTL Gamma+ 18</t>
  </si>
  <si>
    <t>16.77849€</t>
  </si>
  <si>
    <t>JZ182</t>
  </si>
  <si>
    <t>Jonction plafond pour GTL Gamma+ 18</t>
  </si>
  <si>
    <t>48.29652€</t>
  </si>
  <si>
    <t>JK113</t>
  </si>
  <si>
    <t>Pack GTL Gamma+ 13. 1 couvercle. 2.6m</t>
  </si>
  <si>
    <t xml:space="preserve">HAHEKM03 </t>
  </si>
  <si>
    <t>NEW GOULOTTE GAMMA</t>
  </si>
  <si>
    <t>116.66€</t>
  </si>
  <si>
    <t>JK213</t>
  </si>
  <si>
    <t>Pack GTL Gamma+ 13. 2 couvercles. 2.6m</t>
  </si>
  <si>
    <t>JK213D</t>
  </si>
  <si>
    <t>Pack GTL Gamma+ 13. 2 couvercles. 2x1.3m</t>
  </si>
  <si>
    <t>131.324€</t>
  </si>
  <si>
    <t>JK218</t>
  </si>
  <si>
    <t>Pack GTL Gamma+ 18. 2 couvercles. 2.6m</t>
  </si>
  <si>
    <t>140.768€</t>
  </si>
  <si>
    <t>JS013</t>
  </si>
  <si>
    <t>Socle GTL Gamma 13 pour JC113. 2.6m</t>
  </si>
  <si>
    <t>78.232€</t>
  </si>
  <si>
    <t>JS013C</t>
  </si>
  <si>
    <t>Socle GTL Gamma 13 pour JC213. 2.6m</t>
  </si>
  <si>
    <t>TG600AL</t>
  </si>
  <si>
    <t>Détecteur avertisseur autonome de fumée (DAAF) pile lithium 10 ans</t>
  </si>
  <si>
    <t xml:space="preserve">HAHFAM10 </t>
  </si>
  <si>
    <t>DETECTION INCENDIE DOMESTIQUE</t>
  </si>
  <si>
    <t>49.476€</t>
  </si>
  <si>
    <t>WST302</t>
  </si>
  <si>
    <t>Essensya/systo.tebis 2E</t>
  </si>
  <si>
    <t xml:space="preserve">HADTMM05 </t>
  </si>
  <si>
    <t>SYSTO TEBIS</t>
  </si>
  <si>
    <t>52.4502€</t>
  </si>
  <si>
    <t>WST302N</t>
  </si>
  <si>
    <t>Essensya/systo.tebis 2E noir</t>
  </si>
  <si>
    <t>53.0928€</t>
  </si>
  <si>
    <t>WST302T</t>
  </si>
  <si>
    <t>Essensya/systo.tebis 2E titane</t>
  </si>
  <si>
    <t>58.8384€</t>
  </si>
  <si>
    <t>WST304</t>
  </si>
  <si>
    <t>Essensya/systo.tebis 4E</t>
  </si>
  <si>
    <t>57.2562€</t>
  </si>
  <si>
    <t>WST304N</t>
  </si>
  <si>
    <t>Essensya/systo.tebis 4E noir</t>
  </si>
  <si>
    <t>64.5624€</t>
  </si>
  <si>
    <t>WST304T</t>
  </si>
  <si>
    <t>Essensya/systo.tebis 4E titane</t>
  </si>
  <si>
    <t>70.2972€</t>
  </si>
  <si>
    <t>WST306</t>
  </si>
  <si>
    <t>Essensya/systo.tebis 6E</t>
  </si>
  <si>
    <t>78.6402€</t>
  </si>
  <si>
    <t>WST306N</t>
  </si>
  <si>
    <t>Essensya/systo.tebis 6E noir</t>
  </si>
  <si>
    <t>80.3574€</t>
  </si>
  <si>
    <t>WST312</t>
  </si>
  <si>
    <t>Essensya/systo.tebis 2E à voyants</t>
  </si>
  <si>
    <t>66.9924€</t>
  </si>
  <si>
    <t>WST312N</t>
  </si>
  <si>
    <t>Essensya/systo.tebis 2E à voyants noir</t>
  </si>
  <si>
    <t>68.8662€</t>
  </si>
  <si>
    <t>WST312T</t>
  </si>
  <si>
    <t>Essensya/systo.tebis 2E à voyants titane</t>
  </si>
  <si>
    <t>76.0536€</t>
  </si>
  <si>
    <t>WST314</t>
  </si>
  <si>
    <t>Essensya/systo.tebis 4E à voyants</t>
  </si>
  <si>
    <t>81.5562€</t>
  </si>
  <si>
    <t>WST314N</t>
  </si>
  <si>
    <t>Essensya/systo.tebis 4E à voyants noir</t>
  </si>
  <si>
    <t>83.2086€</t>
  </si>
  <si>
    <t>WST316</t>
  </si>
  <si>
    <t>Essensya/systo.tebis 6E à voyants</t>
  </si>
  <si>
    <t>106.299€</t>
  </si>
  <si>
    <t>WST316N</t>
  </si>
  <si>
    <t>Essensya/systo.tebis 6E à voyants noir</t>
  </si>
  <si>
    <t>109.026€</t>
  </si>
  <si>
    <t>WST316T</t>
  </si>
  <si>
    <t>Essensya/systo.tebis 6E à voyants titane</t>
  </si>
  <si>
    <t>120.5064€</t>
  </si>
  <si>
    <t>WST322</t>
  </si>
  <si>
    <t>Essensya/systo.tebis 2E+12E infra-rouge</t>
  </si>
  <si>
    <t>91.746€</t>
  </si>
  <si>
    <t>WST322N</t>
  </si>
  <si>
    <t>Essensya/systo.tebis 2E+12E infra-rouge noir</t>
  </si>
  <si>
    <t>94.6782€</t>
  </si>
  <si>
    <t>WST324</t>
  </si>
  <si>
    <t>Essensya/systo.tebis 4E+12E infra-rouge</t>
  </si>
  <si>
    <t>107.379€</t>
  </si>
  <si>
    <t>WST324N</t>
  </si>
  <si>
    <t>Essensya/systo.tebis 4E+12E infra-rouge noir</t>
  </si>
  <si>
    <t>110.1438€</t>
  </si>
  <si>
    <t>WST900</t>
  </si>
  <si>
    <t>3 feuilles libres essensya/systo.tebis</t>
  </si>
  <si>
    <t>30.3156€</t>
  </si>
  <si>
    <t>XEV080</t>
  </si>
  <si>
    <t>Witty IP55 3KW 2P+T M2+ saillie pour 1 véhicule électrique</t>
  </si>
  <si>
    <t xml:space="preserve">HAEAAM15 </t>
  </si>
  <si>
    <t>E MOBILITE RESIDENTIEL WITTY PRISE</t>
  </si>
  <si>
    <t>56.046€</t>
  </si>
  <si>
    <t>XEV081</t>
  </si>
  <si>
    <t>Witty IP55 3KW 2P+T M2+ encastrée pour 1 véhicule électrique</t>
  </si>
  <si>
    <t>91.062€</t>
  </si>
  <si>
    <t>XEV080P</t>
  </si>
  <si>
    <t>Witty IP55 3KW 2P+T M2 + protection différentielle</t>
  </si>
  <si>
    <t>164.982€</t>
  </si>
  <si>
    <t>SRA00505</t>
  </si>
  <si>
    <t>Transformateur de Courant à barre/câble passant BG 213 50/5A 1,5VA Classe 1</t>
  </si>
  <si>
    <t xml:space="preserve">HACFUM15 </t>
  </si>
  <si>
    <t>ACCESSOIRE CPT. GEST</t>
  </si>
  <si>
    <t>46.942€</t>
  </si>
  <si>
    <t>SRA00755</t>
  </si>
  <si>
    <t>Transformateur de Courant à barre/câble passant BG 113 75/5A 1,5VA Classe 1</t>
  </si>
  <si>
    <t>46.956€</t>
  </si>
  <si>
    <t>SRA010051</t>
  </si>
  <si>
    <t>Transformateur de Courant à barre/câble passant BG 213 100/5A 2,5VA Classe 1</t>
  </si>
  <si>
    <t>51.387€</t>
  </si>
  <si>
    <t>SRA01255</t>
  </si>
  <si>
    <t>Transformateur de Courant à barre/câble passant BG 113 125/5A 2,5VA Classe 1</t>
  </si>
  <si>
    <t>51.317€</t>
  </si>
  <si>
    <t>SRA01505</t>
  </si>
  <si>
    <t>Transformateur de Courant à barre/câble passant BG 113 150/5A 2,5VA Classe 1</t>
  </si>
  <si>
    <t>51.303€</t>
  </si>
  <si>
    <t>SRA02005</t>
  </si>
  <si>
    <t>Transformateur de Courant à barre/câble passant BG 113 200/5A 2,5VA Classe 1</t>
  </si>
  <si>
    <t>54.551€</t>
  </si>
  <si>
    <t>SRA02505</t>
  </si>
  <si>
    <t>Transformateur de Courant à barre/câble passant BG 113 250/5A 2,5VA Classe 1</t>
  </si>
  <si>
    <t>54.572€</t>
  </si>
  <si>
    <t>SRD08005</t>
  </si>
  <si>
    <t>Transformateur de Courant à barre/câble passant BG 613 800/5A 5VA Classe 1</t>
  </si>
  <si>
    <t>78.554€</t>
  </si>
  <si>
    <t>SRD10005</t>
  </si>
  <si>
    <t>Transformateur de Courant à barre/câble passant BG 613 1000/5A 5VA Classe 1</t>
  </si>
  <si>
    <t>76.314€</t>
  </si>
  <si>
    <t>SRD15005</t>
  </si>
  <si>
    <t>Transformateur de Courant à barre/câble passant BG 613 1500/5A 5VA Classe 1</t>
  </si>
  <si>
    <t>76.3€</t>
  </si>
  <si>
    <t>SRE100051</t>
  </si>
  <si>
    <t>Transformateur de Courant à barre/câble passant BG 814 1000/5A 15VA Classe 1</t>
  </si>
  <si>
    <t>87.171€</t>
  </si>
  <si>
    <t>SRE12505</t>
  </si>
  <si>
    <t>Transformateur de Courant à barre/câble passant BG 814 1250/5A 15VA Classe 1</t>
  </si>
  <si>
    <t>87.311€</t>
  </si>
  <si>
    <t>SRE16005</t>
  </si>
  <si>
    <t>Transformateur de Courant à barre/câble passant BG 814 1600/5A 15VA Classe 1</t>
  </si>
  <si>
    <t>SRE20005</t>
  </si>
  <si>
    <t>Transformateur de Courant à barre/câble passant BG 814 2000/5A 15VA Classe 1</t>
  </si>
  <si>
    <t>87.199€</t>
  </si>
  <si>
    <t>SRF12505</t>
  </si>
  <si>
    <t>Transformateur de Courant à barre/câble passant BG 1034 1250/5A 15VA Classe 1</t>
  </si>
  <si>
    <t>98.07€</t>
  </si>
  <si>
    <t>SRF16005</t>
  </si>
  <si>
    <t>Transformateur de Courant à barre/câble passant BG 1034 1600/5A 30VA Classe 1</t>
  </si>
  <si>
    <t>SRF20005</t>
  </si>
  <si>
    <t>Transformateur de Courant à barre/câble passant BG 1034 2000/5A 30VA Classe 1</t>
  </si>
  <si>
    <t>SRF25005</t>
  </si>
  <si>
    <t>Transformateur de Courant à barre/câble passant BG 1034 2500/5A 30VA Classe 1</t>
  </si>
  <si>
    <t>108.948€</t>
  </si>
  <si>
    <t>SRG30005</t>
  </si>
  <si>
    <t>Transformateur de Courant à barre/câble passant BG 1254 3000/5A 15VA Classe 1</t>
  </si>
  <si>
    <t>119.84€</t>
  </si>
  <si>
    <t>SRH30005</t>
  </si>
  <si>
    <t>Transformateur de Courant à barre/câble passant BG 1274 3000/5A 15VA Classe 1</t>
  </si>
  <si>
    <t>130.725€</t>
  </si>
  <si>
    <t>SRI03005</t>
  </si>
  <si>
    <t>Transformateur de Courant à barre/câble passant BG 413 300/5A 5VA Classe 1</t>
  </si>
  <si>
    <t>54.628€</t>
  </si>
  <si>
    <t>SRI04005</t>
  </si>
  <si>
    <t>Transformateur de Courant à barre/câble passant BG 413 400/5A 5VA Classe 1</t>
  </si>
  <si>
    <t>65.492€</t>
  </si>
  <si>
    <t>SRI06005</t>
  </si>
  <si>
    <t>Transformateur de Courant à barre/câble passant BG 413 600/5A 5VA Classe 1</t>
  </si>
  <si>
    <t>65.429€</t>
  </si>
  <si>
    <t>SRZH01</t>
  </si>
  <si>
    <t>Accessoire de montage sur rail DIN des TI de géométrie BG113, BG213 et BG413</t>
  </si>
  <si>
    <t>10.948€</t>
  </si>
  <si>
    <t>HTG445H</t>
  </si>
  <si>
    <t>Sonde PT100 pour HTG411H</t>
  </si>
  <si>
    <t>48.069€</t>
  </si>
  <si>
    <t>HTG450H</t>
  </si>
  <si>
    <t>Carte µSD industrielle 4Go pour HTG411H</t>
  </si>
  <si>
    <t>151.004€</t>
  </si>
  <si>
    <t>HTG457H</t>
  </si>
  <si>
    <t>Convertisseur USB vers Ethernet pour HTG411H</t>
  </si>
  <si>
    <t>102.669€</t>
  </si>
  <si>
    <t>HTG467H</t>
  </si>
  <si>
    <t>RESISTANCE 120 OHMS AGARDIO</t>
  </si>
  <si>
    <t>5.264€</t>
  </si>
  <si>
    <t>SMC120R</t>
  </si>
  <si>
    <t>RESISTANCE 120 OHMS MODBUS</t>
  </si>
  <si>
    <t>4.123€</t>
  </si>
  <si>
    <t>HTG468H</t>
  </si>
  <si>
    <t>RJ45 2 connecteurs femelles-fils nus</t>
  </si>
  <si>
    <t>70.49€</t>
  </si>
  <si>
    <t>HTG469H</t>
  </si>
  <si>
    <t>T RJ45 Modbus connecteur</t>
  </si>
  <si>
    <t>68.586€</t>
  </si>
  <si>
    <t>TXM632C</t>
  </si>
  <si>
    <t>Module  12 sorties volets roulants ou stores a bannes 230V~ 5A / New Easy</t>
  </si>
  <si>
    <t xml:space="preserve">HADTFM05 </t>
  </si>
  <si>
    <t>SORTIES FILAIRES ECO</t>
  </si>
  <si>
    <t>502.5564€</t>
  </si>
  <si>
    <t>TYM616D</t>
  </si>
  <si>
    <t>Mod. 16 sorties 16A/230V~ charge capa</t>
  </si>
  <si>
    <t>818.0028€</t>
  </si>
  <si>
    <t>TYM632C</t>
  </si>
  <si>
    <t>Module  12 sorties volets roulants ou stores a bannes 230V~ 5A</t>
  </si>
  <si>
    <t>608.7366€</t>
  </si>
  <si>
    <t>TYMS616D</t>
  </si>
  <si>
    <t>497.7288€</t>
  </si>
  <si>
    <t>TYMS620D</t>
  </si>
  <si>
    <t>Mod. 20 sorties 16A/230V~ charge capa</t>
  </si>
  <si>
    <t>562.1292€</t>
  </si>
  <si>
    <t>WJA690</t>
  </si>
  <si>
    <t>ateha-essensya lampe 250V bleu 0.5mA</t>
  </si>
  <si>
    <t xml:space="preserve">HAMAAM15 </t>
  </si>
  <si>
    <t>ACCESSOIRE ATEHA</t>
  </si>
  <si>
    <t>6.048€</t>
  </si>
  <si>
    <t>WJA691</t>
  </si>
  <si>
    <t>ateha-essensya lampe 250V rouge 1mA</t>
  </si>
  <si>
    <t>6.054€</t>
  </si>
  <si>
    <t>WJA692</t>
  </si>
  <si>
    <t>ateha-essensya lampe 250V blanche 0.5mA</t>
  </si>
  <si>
    <t>WJA693</t>
  </si>
  <si>
    <t>ateha-essensya lampe 12-24V rouge</t>
  </si>
  <si>
    <t>WJA694</t>
  </si>
  <si>
    <t>ateha-essensya lampe 12-24V bleue</t>
  </si>
  <si>
    <t>WJA695</t>
  </si>
  <si>
    <t>ateha-essensya lampe 12-24V blanche</t>
  </si>
  <si>
    <t>WJA680B</t>
  </si>
  <si>
    <t>ateha Boîte étroite vide associable</t>
  </si>
  <si>
    <t>2.604€</t>
  </si>
  <si>
    <t>WJA681B</t>
  </si>
  <si>
    <t>La boîte saillie WJA681B Ateha est compatible avec l\'ensemble des mécanismes associables de l\'appareillage en saillie Ateha.</t>
  </si>
  <si>
    <t>2.592€</t>
  </si>
  <si>
    <t>WJA682B</t>
  </si>
  <si>
    <t>ateha Boîte double vide assoc.</t>
  </si>
  <si>
    <t>5.55€</t>
  </si>
  <si>
    <t>AFCLOUSM125</t>
  </si>
  <si>
    <t>Clous tete plate l.25 boite 250 p</t>
  </si>
  <si>
    <t xml:space="preserve">HAGMGM03 </t>
  </si>
  <si>
    <t>DIVERS MOULURE/PLINTHE</t>
  </si>
  <si>
    <t>25.54€</t>
  </si>
  <si>
    <t>AFOUTILPISTOLET</t>
  </si>
  <si>
    <t>Pistolet pour cartouche de colle</t>
  </si>
  <si>
    <t>31.08€</t>
  </si>
  <si>
    <t>AFTH1525CLOUS</t>
  </si>
  <si>
    <t>Clous a beton lg. 25mm boite 1000 p</t>
  </si>
  <si>
    <t>50.94€</t>
  </si>
  <si>
    <t>ATA707598014</t>
  </si>
  <si>
    <t>Boîte de dérivation 75x75 Marron</t>
  </si>
  <si>
    <t>9.17€</t>
  </si>
  <si>
    <t>ATA711598014</t>
  </si>
  <si>
    <t>Boîte de dérivation 115x115 Marron</t>
  </si>
  <si>
    <t>15.52€</t>
  </si>
  <si>
    <t>ATA99030</t>
  </si>
  <si>
    <t>Sachet 50 agrafes pour ATA 12/16x30</t>
  </si>
  <si>
    <t>20.985€</t>
  </si>
  <si>
    <t>ATA99050</t>
  </si>
  <si>
    <t>Sachet 30 agrafes pour ATA 12/20x50</t>
  </si>
  <si>
    <t>18.41€</t>
  </si>
  <si>
    <t>ATA99075</t>
  </si>
  <si>
    <t>Sachet 20 agrafes pour ATA 20x75</t>
  </si>
  <si>
    <t>17.28€</t>
  </si>
  <si>
    <t>L5561</t>
  </si>
  <si>
    <t>Pince coupe moulure avec longeur de coupe 85mm</t>
  </si>
  <si>
    <t>168.495€</t>
  </si>
  <si>
    <t>L5562</t>
  </si>
  <si>
    <t>Pince entaille moulure avec une largeur coupe 16 mm et profondeur maximum 32mm</t>
  </si>
  <si>
    <t>184.015€</t>
  </si>
  <si>
    <t>ATA630599016</t>
  </si>
  <si>
    <t>Point de centre</t>
  </si>
  <si>
    <t>17.605€</t>
  </si>
  <si>
    <t>ATA630699016</t>
  </si>
  <si>
    <t>Point de centre DCL pour moulure Ateha de dimensions 12x20. 12x30 et 6x30mm. Livré avec un connecteur et un crochet à visser au plafond.</t>
  </si>
  <si>
    <t>23.95€</t>
  </si>
  <si>
    <t>ATA707599016</t>
  </si>
  <si>
    <t>Boîte de dérivation pour moulure Ateha de dimensions 12x20. 12x30. 16x30. 12x50 et 20x50mm. Dimensions 75x75x32mm et coloris blanc RAL9016.</t>
  </si>
  <si>
    <t>6.92€</t>
  </si>
  <si>
    <t>ATA711599016</t>
  </si>
  <si>
    <t>Boîte de dérivation 115x115 Pure</t>
  </si>
  <si>
    <t>11.71€</t>
  </si>
  <si>
    <t>ATA806099016</t>
  </si>
  <si>
    <t>Support Universel 60 mm + Adaptat. ATA</t>
  </si>
  <si>
    <t>20.065€</t>
  </si>
  <si>
    <t>ATA806199016</t>
  </si>
  <si>
    <t>Support Universel 60 mm pour ATA / LF</t>
  </si>
  <si>
    <t>22.715€</t>
  </si>
  <si>
    <t>ATAGLUECART</t>
  </si>
  <si>
    <t>Cartouche colle spéciale pour profilés en PVC</t>
  </si>
  <si>
    <t>15.41€</t>
  </si>
  <si>
    <t>AK100</t>
  </si>
  <si>
    <t>Boîte de dérivation grise</t>
  </si>
  <si>
    <t xml:space="preserve">HAGIPM03 </t>
  </si>
  <si>
    <t>BORNE BOITE/PASS.PLANCH</t>
  </si>
  <si>
    <t>28.7976€</t>
  </si>
  <si>
    <t>AK100ALU</t>
  </si>
  <si>
    <t>Boîte de dérivation aluminium</t>
  </si>
  <si>
    <t>42.1772€</t>
  </si>
  <si>
    <t>AK35100</t>
  </si>
  <si>
    <t>Goulotte de sol PVC 10x35 grise</t>
  </si>
  <si>
    <t>13.6448€</t>
  </si>
  <si>
    <t>AK35105</t>
  </si>
  <si>
    <t>Angle plat pour AK 10x35 gris</t>
  </si>
  <si>
    <t>8.3512€</t>
  </si>
  <si>
    <t>AK35107</t>
  </si>
  <si>
    <t>Joint de couvercle pour AK 10x35 gris</t>
  </si>
  <si>
    <t>4.5656€</t>
  </si>
  <si>
    <t>AK50120</t>
  </si>
  <si>
    <t>Goulotte de sol PVC 12x50 grise</t>
  </si>
  <si>
    <t>17.0976€</t>
  </si>
  <si>
    <t>AK50125</t>
  </si>
  <si>
    <t>Angle plat pour AK 12x50 gris</t>
  </si>
  <si>
    <t>10.452€</t>
  </si>
  <si>
    <t>AK50127</t>
  </si>
  <si>
    <t>Joint de couvercle pour AK 12x50 gris</t>
  </si>
  <si>
    <t>AK75180</t>
  </si>
  <si>
    <t>Goulotte de sol PVC 18x75 grise</t>
  </si>
  <si>
    <t>24.2164€</t>
  </si>
  <si>
    <t>AK75185</t>
  </si>
  <si>
    <t>Angle plat pour AK 18x75 gris</t>
  </si>
  <si>
    <t>14.8252€</t>
  </si>
  <si>
    <t>AK75185ALU</t>
  </si>
  <si>
    <t>Angle plat pour AK 18x75 aluminium</t>
  </si>
  <si>
    <t>22.2716€</t>
  </si>
  <si>
    <t>AK75187</t>
  </si>
  <si>
    <t>Joint de couvercle pour AK 18x75 gris</t>
  </si>
  <si>
    <t>8.0548€</t>
  </si>
  <si>
    <t>AK75187ALU</t>
  </si>
  <si>
    <t>Joint de couvercle pour AK 18x75 aluminium</t>
  </si>
  <si>
    <t>12.012€</t>
  </si>
  <si>
    <t>AKA50120ALU</t>
  </si>
  <si>
    <t>Goulotte de sol PVC 12x50 aluminium</t>
  </si>
  <si>
    <t>25.6412€</t>
  </si>
  <si>
    <t>AKA50125ALU</t>
  </si>
  <si>
    <t>Angle plat pour AK 12x50 aluminium</t>
  </si>
  <si>
    <t>15.7508€</t>
  </si>
  <si>
    <t>AKA75180ALU</t>
  </si>
  <si>
    <t>Goulotte de sol PVC 18x75 aluminium</t>
  </si>
  <si>
    <t>41.1476€</t>
  </si>
  <si>
    <t>AKA75185ALU</t>
  </si>
  <si>
    <t>29.5516€</t>
  </si>
  <si>
    <t>AKA75186ALU</t>
  </si>
  <si>
    <t>Embout pour AK 18x75 aluminium</t>
  </si>
  <si>
    <t>32.604€</t>
  </si>
  <si>
    <t>AKT445</t>
  </si>
  <si>
    <t>Borne pour 4 prises 45x45 pour AK grise</t>
  </si>
  <si>
    <t>66.7108€</t>
  </si>
  <si>
    <t>AKT445ALU</t>
  </si>
  <si>
    <t>Borne pour 4 prises 45x45 pour AK aluminium</t>
  </si>
  <si>
    <t>91.364€</t>
  </si>
  <si>
    <t>L50907035</t>
  </si>
  <si>
    <t>Boîte de Jonction Officea p SL11040-SL180750 h35mmxl110mmxp110mm gris clair</t>
  </si>
  <si>
    <t>37.154€</t>
  </si>
  <si>
    <t>L5806</t>
  </si>
  <si>
    <t>Jeu de 5 mises a la Terre pour SLA18075</t>
  </si>
  <si>
    <t>12.0016€</t>
  </si>
  <si>
    <t>SL1104007030</t>
  </si>
  <si>
    <t>Goulotte passage de plancher officea PVC rigide h 11 x l 40 RAL 7030 gris</t>
  </si>
  <si>
    <t>8.8036€</t>
  </si>
  <si>
    <t>SL1807507030</t>
  </si>
  <si>
    <t>Goulotte passage de plancher officea PVC rigide h 18 x l 75 RAL 7030 gris</t>
  </si>
  <si>
    <t>18.98€</t>
  </si>
  <si>
    <t>SL1807507035</t>
  </si>
  <si>
    <t>Goulotte passage de plancher officea PVC rigide h 18 x l75 RAL 7035 gris clair</t>
  </si>
  <si>
    <t>20.826€</t>
  </si>
  <si>
    <t>SL1807508014</t>
  </si>
  <si>
    <t>Goulotte passage de plancher officea PVC rigide h 18 x l75 RAL 8014 marron</t>
  </si>
  <si>
    <t>21.6632€</t>
  </si>
  <si>
    <t>SLA180750ELN</t>
  </si>
  <si>
    <t>Goulotte passage de plancher officea alu h 18 x l75 anodisé</t>
  </si>
  <si>
    <t>41.3504€</t>
  </si>
  <si>
    <t>TEHASOL506</t>
  </si>
  <si>
    <t>Borne équipée standard de 4 prises 2P + T10/16A h90mmxl110mmxp110mm gris clair</t>
  </si>
  <si>
    <t>105.5496€</t>
  </si>
  <si>
    <t>TEHASOL508</t>
  </si>
  <si>
    <t>Borne nue livrée avec sépar +2 plaques supports h90mmxl110mmxp110mm gris clair</t>
  </si>
  <si>
    <t>68.8376€</t>
  </si>
  <si>
    <t>ATA122008014</t>
  </si>
  <si>
    <t>Moulure ATA 12x20 Marron L=2.10m</t>
  </si>
  <si>
    <t xml:space="preserve">HAGMAM03 </t>
  </si>
  <si>
    <t>MOULURES SLC/ATA</t>
  </si>
  <si>
    <t>2.88€</t>
  </si>
  <si>
    <t>ATA123008014</t>
  </si>
  <si>
    <t>Moulure ATA 12x30 Marron L=2.10m</t>
  </si>
  <si>
    <t>4.1904€</t>
  </si>
  <si>
    <t>ATA163008014</t>
  </si>
  <si>
    <t>Moulure ATA 16x30 Marron L=2.10m</t>
  </si>
  <si>
    <t>7.392€</t>
  </si>
  <si>
    <t>ATA205008014</t>
  </si>
  <si>
    <t>Moulure ATA 20x50 Marron</t>
  </si>
  <si>
    <t>28.55€</t>
  </si>
  <si>
    <t>13.2912€</t>
  </si>
  <si>
    <t>ATA205028014</t>
  </si>
  <si>
    <t>Moulure ATA 20x50 2 cloisons Marron</t>
  </si>
  <si>
    <t>15.0816€</t>
  </si>
  <si>
    <t>ATA122009016</t>
  </si>
  <si>
    <t>Moulure ATA 12x20 Pure L=2.10m</t>
  </si>
  <si>
    <t>2.1312€</t>
  </si>
  <si>
    <t>ATA122019016</t>
  </si>
  <si>
    <t>Moulure ATA 12x20 Pure L=2.10m 1cloison</t>
  </si>
  <si>
    <t>2.2656€</t>
  </si>
  <si>
    <t>ATA123009016</t>
  </si>
  <si>
    <t>Moulure ATA 12x30 Pure L=2.10m</t>
  </si>
  <si>
    <t>ATA123019016</t>
  </si>
  <si>
    <t>Moulure ATA 12x30 Pure L=2.10m 1 cloison</t>
  </si>
  <si>
    <t>3.24€</t>
  </si>
  <si>
    <t>ATA125009016</t>
  </si>
  <si>
    <t>Moulure ATA 12x50 Pure</t>
  </si>
  <si>
    <t>7.1904€</t>
  </si>
  <si>
    <t>ATA125019016</t>
  </si>
  <si>
    <t>Moulure ATA 12x50 1 cloison Pure</t>
  </si>
  <si>
    <t>7.5552€</t>
  </si>
  <si>
    <t>ATA125029016</t>
  </si>
  <si>
    <t>Moulure ATA 12x50 2cloisons Pure</t>
  </si>
  <si>
    <t>8.1312€</t>
  </si>
  <si>
    <t>ATA163009016</t>
  </si>
  <si>
    <t>Moulure ATA 16x30 Pure L=2.10m</t>
  </si>
  <si>
    <t>5.4576€</t>
  </si>
  <si>
    <t>ATA163019016</t>
  </si>
  <si>
    <t>Moulure ATA 16x30 Pure L=2.10m 1cloison</t>
  </si>
  <si>
    <t>5.5776€</t>
  </si>
  <si>
    <t>ATA205009016</t>
  </si>
  <si>
    <t>Moulure ATA 20x50 Pure</t>
  </si>
  <si>
    <t>9.4896€</t>
  </si>
  <si>
    <t>ATA205019016</t>
  </si>
  <si>
    <t>Moulure ATA 20x50 1 cloison Pure</t>
  </si>
  <si>
    <t>10.2192€</t>
  </si>
  <si>
    <t>ATA205029016</t>
  </si>
  <si>
    <t>Moulure ATA 20x50 2cloisons Pure</t>
  </si>
  <si>
    <t>10.968€</t>
  </si>
  <si>
    <t>ATA207529016</t>
  </si>
  <si>
    <t>Moulure ATA 20x75 2cloisons Pure</t>
  </si>
  <si>
    <t>14.016€</t>
  </si>
  <si>
    <t>ATA630009016</t>
  </si>
  <si>
    <t>Moulure ATA 6X30 pour point lumineux Pure</t>
  </si>
  <si>
    <t>7.0848€</t>
  </si>
  <si>
    <t>ATA122038014</t>
  </si>
  <si>
    <t>Angle Extérieur variable ATA 12X20 Marron</t>
  </si>
  <si>
    <t xml:space="preserve">HAGMBM03 </t>
  </si>
  <si>
    <t>PDF SLC/ATA</t>
  </si>
  <si>
    <t>2.635€</t>
  </si>
  <si>
    <t>ATA122048014</t>
  </si>
  <si>
    <t>Angle Intérieur variable ATA 12X20 Marron</t>
  </si>
  <si>
    <t>5.37€</t>
  </si>
  <si>
    <t>2.605€</t>
  </si>
  <si>
    <t>ATA122058014</t>
  </si>
  <si>
    <t>Angle Plat ATA 12X20 Marron</t>
  </si>
  <si>
    <t>2.355€</t>
  </si>
  <si>
    <t>ATA122068014</t>
  </si>
  <si>
    <t>Embout ATA 12X20 Marron</t>
  </si>
  <si>
    <t>ATA122078014</t>
  </si>
  <si>
    <t>Joint de fond et couvercle ATA 12X20 Marron</t>
  </si>
  <si>
    <t>1.965€</t>
  </si>
  <si>
    <t>ATA122088014</t>
  </si>
  <si>
    <t>Té de Dérivation. 3D ATA 12X20 Marron</t>
  </si>
  <si>
    <t>6.03€</t>
  </si>
  <si>
    <t>ATA123038014</t>
  </si>
  <si>
    <t>Angle Extérieur variable ATA 12X30 Marron</t>
  </si>
  <si>
    <t>2.5€</t>
  </si>
  <si>
    <t>ATA123048014</t>
  </si>
  <si>
    <t>Angle Intérieur variable ATA 12X30 Marron</t>
  </si>
  <si>
    <t>ATA123058014</t>
  </si>
  <si>
    <t>Angle Plat ATA 12X30 Marron</t>
  </si>
  <si>
    <t>2.255€</t>
  </si>
  <si>
    <t>ATA123068014</t>
  </si>
  <si>
    <t>Embout ATA 12X30 Marron</t>
  </si>
  <si>
    <t>ATA123078014</t>
  </si>
  <si>
    <t>Joint de fond et couvercle ATA 12X30 Marron</t>
  </si>
  <si>
    <t>1.805€</t>
  </si>
  <si>
    <t>ATA123088014</t>
  </si>
  <si>
    <t>Té de Dérivation. 3D ATA 12X30 Marron</t>
  </si>
  <si>
    <t>6.66€</t>
  </si>
  <si>
    <t>ATA163038014</t>
  </si>
  <si>
    <t>Angle Extérieur variable ATA 16X30 Marron</t>
  </si>
  <si>
    <t>5.355€</t>
  </si>
  <si>
    <t>ATA163048014</t>
  </si>
  <si>
    <t>Angle Intérieur variable ATA 16X30 Marron</t>
  </si>
  <si>
    <t>ATA163058014</t>
  </si>
  <si>
    <t>Angle Plat pour moulure Ateha 16x30mm Marron</t>
  </si>
  <si>
    <t>4.835€</t>
  </si>
  <si>
    <t>ATA163068014</t>
  </si>
  <si>
    <t>Embout pour moulure Ateha 16x30 Marron</t>
  </si>
  <si>
    <t>2.205€</t>
  </si>
  <si>
    <t>ATA163078014</t>
  </si>
  <si>
    <t>Joint de fond et couvercle ATA 16X30 Marron</t>
  </si>
  <si>
    <t>2.945€</t>
  </si>
  <si>
    <t>ATA163088014</t>
  </si>
  <si>
    <t>Té de Dérivation 3D pour moulure Ateha 16x30 Marron</t>
  </si>
  <si>
    <t>6.32€</t>
  </si>
  <si>
    <t>ATA205038014</t>
  </si>
  <si>
    <t>Angle Extérieur variable ATA 20X50 Marron</t>
  </si>
  <si>
    <t>7.88€</t>
  </si>
  <si>
    <t>ATA205048014</t>
  </si>
  <si>
    <t>Angle Intérieur variable ATA 20X50 Marron</t>
  </si>
  <si>
    <t>7.81€</t>
  </si>
  <si>
    <t>ATA205058014</t>
  </si>
  <si>
    <t>Angle Plat ATA 20X50 M</t>
  </si>
  <si>
    <t>7.11€</t>
  </si>
  <si>
    <t>ATA205068014</t>
  </si>
  <si>
    <t>Embout ATA 20X50 M</t>
  </si>
  <si>
    <t>3.11€</t>
  </si>
  <si>
    <t>ATA205088014</t>
  </si>
  <si>
    <t>Té de Dérivation. 3D ATA 20X50 Marron</t>
  </si>
  <si>
    <t>7.38€</t>
  </si>
  <si>
    <t>ATA122039016</t>
  </si>
  <si>
    <t>Angle Extérieur variable ATA 12X20 Pure</t>
  </si>
  <si>
    <t>1.915€</t>
  </si>
  <si>
    <t>ATA122049016</t>
  </si>
  <si>
    <t>Angle Intérieur variable ATA 12X20 Pure</t>
  </si>
  <si>
    <t>ATA122059016</t>
  </si>
  <si>
    <t>Angle plat pour moulure Ateha 12x20mm Blanc. Permet la jonction à 90° de deux moulures de même section. de masquer les défauts de coupe et de respecter l?indice de protection.</t>
  </si>
  <si>
    <t>1.735€</t>
  </si>
  <si>
    <t>ATA122069016</t>
  </si>
  <si>
    <t>Embout pour moulure Ateha 12x20mm Blanc. Permet de masquer les défauts de coupe et de respecter l\'indice de protection.</t>
  </si>
  <si>
    <t>0.955€</t>
  </si>
  <si>
    <t>ATA122079016</t>
  </si>
  <si>
    <t>Joint de fond et couvercle ATA 12X20 Pure</t>
  </si>
  <si>
    <t>1.605€</t>
  </si>
  <si>
    <t>ATA122089016</t>
  </si>
  <si>
    <t>Té de Dérivation. 3D ATA 12X20 Pure</t>
  </si>
  <si>
    <t>4.16€</t>
  </si>
  <si>
    <t>ATA123039016</t>
  </si>
  <si>
    <t>Angle Extérieur variable ATA 12X30 Pure</t>
  </si>
  <si>
    <t>1.845€</t>
  </si>
  <si>
    <t>ATA123049016</t>
  </si>
  <si>
    <t>Angle Intérieur variable ATA 12X30 Pure</t>
  </si>
  <si>
    <t>ATA123059016</t>
  </si>
  <si>
    <t>Angle plat pour moulure Ateha 12x30mm Blanc. Permet la jonction à 90° de deux moulures de même section. de masquer les défauts de coupe et de respecter l?indice de protection.</t>
  </si>
  <si>
    <t>1.67€</t>
  </si>
  <si>
    <t>ATA123069016</t>
  </si>
  <si>
    <t>Embout pour moulure Ateha 12x30mm Blanc. Permet de masquer les défauts de coupe et de respecter l\'indice de protection.</t>
  </si>
  <si>
    <t>ATA123079016</t>
  </si>
  <si>
    <t>Joint de fond et couvercle ATA 12X30 Pure</t>
  </si>
  <si>
    <t>ATA123089016</t>
  </si>
  <si>
    <t>Té de dérivation pour moulure Ateha 12x30mm Blanc RAL9016. Permet un changement de direction entre un cheminement horizontal et vertical.</t>
  </si>
  <si>
    <t>5.56€</t>
  </si>
  <si>
    <t>ATA125039016</t>
  </si>
  <si>
    <t>Angle Extérieur variable ATA 12X50 Pure</t>
  </si>
  <si>
    <t>4.7€</t>
  </si>
  <si>
    <t>ATA125049016</t>
  </si>
  <si>
    <t>Angle Intérieur variable ATA 12X50 Pure</t>
  </si>
  <si>
    <t>ATA125059016</t>
  </si>
  <si>
    <t>Angle plat pour moulure Ateha 12x50mm Blanc. Permet la jonction à 90° de deux moulures de même section. de masquer les défauts de coupe et de respecter l?indice de protection.</t>
  </si>
  <si>
    <t>ATA125069016</t>
  </si>
  <si>
    <t>Embout pour moulure Ateha 12x50mm Blanc. Permet de masquer les défauts de coupe et de respecter l\'indice de protection.</t>
  </si>
  <si>
    <t>1.975€</t>
  </si>
  <si>
    <t>ATA125079016</t>
  </si>
  <si>
    <t>Joint de fond et couvercle ATA 12X50 Pure</t>
  </si>
  <si>
    <t>2.06€</t>
  </si>
  <si>
    <t>ATA125089016</t>
  </si>
  <si>
    <t>Té de Dérivation. 3D ATA 12X50 Pure</t>
  </si>
  <si>
    <t>5.25€</t>
  </si>
  <si>
    <t>ATA163039016</t>
  </si>
  <si>
    <t>Angle Extérieur variable ATA 16X30 Pure</t>
  </si>
  <si>
    <t>3.94€</t>
  </si>
  <si>
    <t>ATA163049016</t>
  </si>
  <si>
    <t>Angle Intérieur variable ATA 16X30 Pure</t>
  </si>
  <si>
    <t>ATA163059016</t>
  </si>
  <si>
    <t>Angle plat pour moulure Ateha 16x30mm Blanc. Permet la jonction à 90° de deux moulures de même section. de masquer les défauts de coupe et de respecter l?indice de protection.</t>
  </si>
  <si>
    <t>ATA163069016</t>
  </si>
  <si>
    <t>Embout pour moulure Ateha 16x30mm Blanc. Permet de masquer les défauts de coupe et de respecter l\'indice de protection.</t>
  </si>
  <si>
    <t>1.69€</t>
  </si>
  <si>
    <t>ATA163079016</t>
  </si>
  <si>
    <t>Joint de fond et couvercle ATA 16X30 Pure</t>
  </si>
  <si>
    <t>2.58€</t>
  </si>
  <si>
    <t>ATA163089016</t>
  </si>
  <si>
    <t>Té de Dérivation. 3D ATA 16X30 Pure</t>
  </si>
  <si>
    <t>4.985€</t>
  </si>
  <si>
    <t>ATA205039016</t>
  </si>
  <si>
    <t>Angle Extérieur variable ATA 20X50 Pure</t>
  </si>
  <si>
    <t>5.76€</t>
  </si>
  <si>
    <t>ATA205049016</t>
  </si>
  <si>
    <t>Angle Intérieur variable ATA 20X50 Pure</t>
  </si>
  <si>
    <t>5.75€</t>
  </si>
  <si>
    <t>ATA205059016</t>
  </si>
  <si>
    <t>Angle plat pour moulure Ateha 20x50mm Blanc. Permet la jonction à 90° de deux moulures de même section. de masquer les défauts de coupe et de respecter l?indice de protection.</t>
  </si>
  <si>
    <t>5.18€</t>
  </si>
  <si>
    <t>ATA205069016</t>
  </si>
  <si>
    <t>Embout pour moulure Ateha 20x50mm Blanc. Permet de masquer les défauts de coupe et de respecter l\'indice de protection.</t>
  </si>
  <si>
    <t>2.365€</t>
  </si>
  <si>
    <t>ATA205079016</t>
  </si>
  <si>
    <t>Joint de fond et couvercle ATA 20X50 Pure</t>
  </si>
  <si>
    <t>2.495€</t>
  </si>
  <si>
    <t>ATA205089016</t>
  </si>
  <si>
    <t>Té de Dérivation. 3D ATA 20X50 Pure</t>
  </si>
  <si>
    <t>ATA207539016</t>
  </si>
  <si>
    <t>Angle Extérieur variable ATA 20X75 Pure</t>
  </si>
  <si>
    <t>10.715€</t>
  </si>
  <si>
    <t>ATA207549016</t>
  </si>
  <si>
    <t>Angle Intérieur variable ATA 20X75 Pure</t>
  </si>
  <si>
    <t>10.7€</t>
  </si>
  <si>
    <t>ATA207559016</t>
  </si>
  <si>
    <t>Angle plat pour moulure Ateha 20x75mm Blanc. Permet la jonction à 90° de deux moulures de même section. de masquer les défauts de coupe et de respecter l?indice de protection.</t>
  </si>
  <si>
    <t>ATA207569016</t>
  </si>
  <si>
    <t>Embout pour moulure Ateha 20x75mm Blanc. Permet de masquer les défauts de coupe et de respecter l\'indice de protection.</t>
  </si>
  <si>
    <t>3.66€</t>
  </si>
  <si>
    <t>ATA207579016</t>
  </si>
  <si>
    <t>Joint de fond et couvercle ATA 20X75 Pure</t>
  </si>
  <si>
    <t>2.71€</t>
  </si>
  <si>
    <t>ATA207589016</t>
  </si>
  <si>
    <t>Té de Dérivation. 3D ATA 20X75 Pure</t>
  </si>
  <si>
    <t>20.52€</t>
  </si>
  <si>
    <t>9.95€</t>
  </si>
  <si>
    <t>ATA122198014</t>
  </si>
  <si>
    <t>Support app.saillie Legrand. ATA 12x20 M</t>
  </si>
  <si>
    <t xml:space="preserve">HAGMCM03 </t>
  </si>
  <si>
    <t>ADAPTATEURS SLC/ATA</t>
  </si>
  <si>
    <t>5.44€</t>
  </si>
  <si>
    <t>ATA123198014</t>
  </si>
  <si>
    <t>Support app.saillie Legrand.ATA12/16x30M</t>
  </si>
  <si>
    <t>5.69€</t>
  </si>
  <si>
    <t>ATA125198014</t>
  </si>
  <si>
    <t>Support app.saillie Legrand.ATA12/20x50M</t>
  </si>
  <si>
    <t>10.455€</t>
  </si>
  <si>
    <t>ATA122199016</t>
  </si>
  <si>
    <t>Support app.saillie Legrand.ATA 12x20 Pure</t>
  </si>
  <si>
    <t>ATA122399016</t>
  </si>
  <si>
    <t>Support Alréa pour ATA 12x20 Pure</t>
  </si>
  <si>
    <t>4.72€</t>
  </si>
  <si>
    <t>ATA122499016</t>
  </si>
  <si>
    <t>Support double appareillage saillie Legrand pour ATA12x20. Pure</t>
  </si>
  <si>
    <t>8.185€</t>
  </si>
  <si>
    <t>ATA123199016</t>
  </si>
  <si>
    <t>Supp. app.saillie Legrand.ATA12/16x30 Pure</t>
  </si>
  <si>
    <t>4.355€</t>
  </si>
  <si>
    <t>ATA123399016</t>
  </si>
  <si>
    <t>Support Alréa pour ATA 12 / 16x30 Pure</t>
  </si>
  <si>
    <t>4.925€</t>
  </si>
  <si>
    <t>ATA123499016</t>
  </si>
  <si>
    <t>Support double appareillage saillie Legrand pour ATA12/16x30. Pure</t>
  </si>
  <si>
    <t>8.595€</t>
  </si>
  <si>
    <t>ATA123919016</t>
  </si>
  <si>
    <t>Support appareillage saillie ateha pour ATA12x20/30 Pure</t>
  </si>
  <si>
    <t>3.65€</t>
  </si>
  <si>
    <t>ATA123929016</t>
  </si>
  <si>
    <t>ateha support double pour ATA12x20/30 Pure</t>
  </si>
  <si>
    <t>ATA125199016</t>
  </si>
  <si>
    <t>Supp. app.saillie Legrand.ATA12/20x50 Pure</t>
  </si>
  <si>
    <t>ATA125399016</t>
  </si>
  <si>
    <t>Support Alréa pour ATA 12/20x50 Pure</t>
  </si>
  <si>
    <t>9.115€</t>
  </si>
  <si>
    <t>ATA125499016</t>
  </si>
  <si>
    <t>Support double appareillage saillie Legrand pour ATA12/20x50. Pure</t>
  </si>
  <si>
    <t>15.82€</t>
  </si>
  <si>
    <t>ATA125919016</t>
  </si>
  <si>
    <t>Support appareillage saillie ateha pour ATA12x50 Pure</t>
  </si>
  <si>
    <t>8.355€</t>
  </si>
  <si>
    <t>ATA125929016</t>
  </si>
  <si>
    <t>Support double appareillage saillie ateha pour ATA12x50 Pure</t>
  </si>
  <si>
    <t>14.57€</t>
  </si>
  <si>
    <t>ATA163919016</t>
  </si>
  <si>
    <t>Support appareillage saillie ateha pour ATA16x30 Pure</t>
  </si>
  <si>
    <t>5.485€</t>
  </si>
  <si>
    <t>ATA163929016</t>
  </si>
  <si>
    <t>Support double appareillage saillie ateha pour ATA16x30 Pure</t>
  </si>
  <si>
    <t>10.92€</t>
  </si>
  <si>
    <t>ATA205919016</t>
  </si>
  <si>
    <t>Support appareillage saillie ateha pour ATA20x50 Pure</t>
  </si>
  <si>
    <t>7.35€</t>
  </si>
  <si>
    <t>ATA205929016</t>
  </si>
  <si>
    <t>Support double appareillage saillie ateha pour ATA20x50 Pure</t>
  </si>
  <si>
    <t>BA70252</t>
  </si>
  <si>
    <t>Couvercle en PVC pour pour goulotte BA7 hauteur 40/60/80mm 25mm gris pierre</t>
  </si>
  <si>
    <t xml:space="preserve">HAGEEM15 </t>
  </si>
  <si>
    <t>GOULOTTES BA7</t>
  </si>
  <si>
    <t>4.584€</t>
  </si>
  <si>
    <t>BA70252K</t>
  </si>
  <si>
    <t>Couvercle en PVC pour goulotte de câblage BA7 25mm gris pierre</t>
  </si>
  <si>
    <t>BA70302</t>
  </si>
  <si>
    <t>Couvercle en PVC pour goulotte de câblage BA7 30mm gris pierre</t>
  </si>
  <si>
    <t>5.376€</t>
  </si>
  <si>
    <t>BA70402</t>
  </si>
  <si>
    <t>Couvercle pour goulotte BA7 - l 40mm RAL 7030 gris</t>
  </si>
  <si>
    <t>6.456€</t>
  </si>
  <si>
    <t>BA70402K</t>
  </si>
  <si>
    <t>Couvercle en PVC pour goulotte de câblage BA7 40mm gris clair</t>
  </si>
  <si>
    <t>BA70602</t>
  </si>
  <si>
    <t>Couvercle pour goulotte BA7 - l 60mm RAL 7030 gris</t>
  </si>
  <si>
    <t>8.298€</t>
  </si>
  <si>
    <t>BA70802</t>
  </si>
  <si>
    <t>Couvercle en PVC pour goulotte BA7 80mm gris pierre</t>
  </si>
  <si>
    <t>8.904€</t>
  </si>
  <si>
    <t>BA70802K</t>
  </si>
  <si>
    <t>Couvercle en PVC pour goulotte de câblage BA7 80mm gris pierre</t>
  </si>
  <si>
    <t>12.78€</t>
  </si>
  <si>
    <t>BA7100060</t>
  </si>
  <si>
    <t>Goulotte de câblage complète BA7 prof 100mm l 60mm RAL 7030 gris</t>
  </si>
  <si>
    <t>33.252€</t>
  </si>
  <si>
    <t>BA7100080</t>
  </si>
  <si>
    <t>Goulotte de câblage complète BA7 prof 100mm l 80mm RAL 7030 gris</t>
  </si>
  <si>
    <t>39.948€</t>
  </si>
  <si>
    <t>BA7100100</t>
  </si>
  <si>
    <t>Goulotte de câblage complète BA7 prof 100mm l 100mm RAL 7030 gris</t>
  </si>
  <si>
    <t>BA71002</t>
  </si>
  <si>
    <t>Couvercle pour goulotte BA7 - l 100mm RAL 7030 gris</t>
  </si>
  <si>
    <t>9.714€</t>
  </si>
  <si>
    <t>BA71202</t>
  </si>
  <si>
    <t>Couvercle pour goulotte BA7 - l 120mm RAL 7030 gris</t>
  </si>
  <si>
    <t>11.124€</t>
  </si>
  <si>
    <t>BA725025</t>
  </si>
  <si>
    <t>Goulotte de câblage complète BA7 prof 25mm l 25mm RAL 7030 gris</t>
  </si>
  <si>
    <t>8.292€</t>
  </si>
  <si>
    <t>BA725025BL</t>
  </si>
  <si>
    <t>Goulotte de câblage complète BA7 prof 25mm l 25mm bleue</t>
  </si>
  <si>
    <t>9.942€</t>
  </si>
  <si>
    <t>BA725040</t>
  </si>
  <si>
    <t>Goulotte de câblage complète BA7 prof 25mm l 40mm RAL 7030 gris</t>
  </si>
  <si>
    <t>10.278€</t>
  </si>
  <si>
    <t>BA740025</t>
  </si>
  <si>
    <t>Goulotte de câblage complète BA7 prof 40mm l 25mm RAL 7030 gris</t>
  </si>
  <si>
    <t>10.716€</t>
  </si>
  <si>
    <t>BA740025BL</t>
  </si>
  <si>
    <t>Goulotte de câblage complète BA7 prof 40mm l 25mm bleue</t>
  </si>
  <si>
    <t>12.006€</t>
  </si>
  <si>
    <t>BA740040</t>
  </si>
  <si>
    <t>Goulotte de câblage complète BA7 prof 40mm l 40mm RAL 7030 gris</t>
  </si>
  <si>
    <t>BA740040BL</t>
  </si>
  <si>
    <t>Goulotte de câblage complète BA7 prof 40mm l 40mm bleue</t>
  </si>
  <si>
    <t>14.202€</t>
  </si>
  <si>
    <t>BA740060</t>
  </si>
  <si>
    <t>Goulotte de câblage complète BA7 prof 40mm l 60mm RAL 7030 gris</t>
  </si>
  <si>
    <t>16.044€</t>
  </si>
  <si>
    <t>BA740060BL</t>
  </si>
  <si>
    <t>Goulotte de câblage complète BA7 prof 40mm l 60mm bleue</t>
  </si>
  <si>
    <t>17.154€</t>
  </si>
  <si>
    <t>BA740080</t>
  </si>
  <si>
    <t>Goulotte de câblage complète BA7 prof 40mm l 80mm RAL 7030 gris</t>
  </si>
  <si>
    <t>20.196€</t>
  </si>
  <si>
    <t>BA740100</t>
  </si>
  <si>
    <t>Goulotte de câblage complète BA7 prof 40mm l 100mm RAL 7030 gris</t>
  </si>
  <si>
    <t>24.318€</t>
  </si>
  <si>
    <t>BA760025</t>
  </si>
  <si>
    <t>Goulotte de câblage complète BA7 prof 60mm l 25mm RAL 7030 gris</t>
  </si>
  <si>
    <t>12.15€</t>
  </si>
  <si>
    <t>BA760025BL</t>
  </si>
  <si>
    <t>Goulotte de câblage complète BA7 prof 60mm l 25mm bleue</t>
  </si>
  <si>
    <t>15.396€</t>
  </si>
  <si>
    <t>BA760040</t>
  </si>
  <si>
    <t>Goulotte de câblage complète BA7 prof 60mm l 40mm RAL 7030 gris</t>
  </si>
  <si>
    <t>15.786€</t>
  </si>
  <si>
    <t>BA760040BL</t>
  </si>
  <si>
    <t>Goulotte de câblage complète BA7 prof 60mm l 40mm bleue</t>
  </si>
  <si>
    <t>17.94€</t>
  </si>
  <si>
    <t>BA760060</t>
  </si>
  <si>
    <t>Goulotte de câblage complète BA7 prof 60mm l 60mm RAL 7030 gris</t>
  </si>
  <si>
    <t>20.274€</t>
  </si>
  <si>
    <t>BA760060BL</t>
  </si>
  <si>
    <t>Goulotte de câblage complète BA7 prof 60mm l 60mm bleue</t>
  </si>
  <si>
    <t>22.914€</t>
  </si>
  <si>
    <t>BA760080</t>
  </si>
  <si>
    <t>Goulotte de câblage complète BA7 prof 60mm l 80mm RAL 7030 gris</t>
  </si>
  <si>
    <t>25.362€</t>
  </si>
  <si>
    <t>BA760100</t>
  </si>
  <si>
    <t>Goulotte de câblage complète BA7 prof 60mm l 100mm RAL 7030 gris</t>
  </si>
  <si>
    <t>BA760120</t>
  </si>
  <si>
    <t>Goulotte de câblage complète BA7 prof 60mm l 120mm RAL 7030 gris</t>
  </si>
  <si>
    <t>33.09€</t>
  </si>
  <si>
    <t>BA780025</t>
  </si>
  <si>
    <t>Goulotte de câblage complète BA7 prof 80mm l 25mm RAL 7030 gris</t>
  </si>
  <si>
    <t>17.004€</t>
  </si>
  <si>
    <t>BA780025BL</t>
  </si>
  <si>
    <t>Goulotte de câblage complète BA7 prof 80mm l 25mm bleue</t>
  </si>
  <si>
    <t>19.218€</t>
  </si>
  <si>
    <t>BA780040</t>
  </si>
  <si>
    <t>Goulotte de câblage complète BA7 prof 80mm l 40mm RAL 7030 gris</t>
  </si>
  <si>
    <t>19.878€</t>
  </si>
  <si>
    <t>BA780060</t>
  </si>
  <si>
    <t>Goulotte de câblage complète BA7 prof 80mm l 60mm RAL 7030 gris</t>
  </si>
  <si>
    <t>25.458€</t>
  </si>
  <si>
    <t>BA780060BL</t>
  </si>
  <si>
    <t>Goulotte de câblage complète BA7 prof 80mm l 60mm bleue</t>
  </si>
  <si>
    <t>28.812€</t>
  </si>
  <si>
    <t>BA780080</t>
  </si>
  <si>
    <t>Goulotte de câblage complète BA7 prof 80mm l 80mm RAL 7030 gris</t>
  </si>
  <si>
    <t>31.926€</t>
  </si>
  <si>
    <t>BA780100</t>
  </si>
  <si>
    <t>Goulotte de câblage complète BA7 prof 80mm l 100mm RAL 7030 gris</t>
  </si>
  <si>
    <t>38.568€</t>
  </si>
  <si>
    <t>BA780100BL</t>
  </si>
  <si>
    <t>Goulotte de câblage en PVC BA7 80x100mm bleu</t>
  </si>
  <si>
    <t>85.59€</t>
  </si>
  <si>
    <t>43.65€</t>
  </si>
  <si>
    <t>BA780120</t>
  </si>
  <si>
    <t>Goulotte de câblage complète BA7 prof 80mm l 120mm RAL 7030 gris</t>
  </si>
  <si>
    <t>41.604€</t>
  </si>
  <si>
    <t>BA7A100030</t>
  </si>
  <si>
    <t>Goulotte de câblage complète BA7A 100x30  RAL 7030 gris</t>
  </si>
  <si>
    <t>22.614€</t>
  </si>
  <si>
    <t>BA7A100040</t>
  </si>
  <si>
    <t>Goulotte de câblage complète BA7A 100x40  RAL 7030 gris</t>
  </si>
  <si>
    <t>BA7A100060</t>
  </si>
  <si>
    <t>Goulotte de câblage complète BA7A 100x60  RAL 7030 gris</t>
  </si>
  <si>
    <t>29.958€</t>
  </si>
  <si>
    <t>BA7A100080</t>
  </si>
  <si>
    <t>Goulotte de câblage complète BA7A 100x80  RAL 7030 gris</t>
  </si>
  <si>
    <t>BA7A100100</t>
  </si>
  <si>
    <t>Goulotte de câblage complète BA7A 100x100  RAL 7030 gris</t>
  </si>
  <si>
    <t>44.994€</t>
  </si>
  <si>
    <t>BA7A25025</t>
  </si>
  <si>
    <t>Goulotte de câblage complète BA7A 25x25  RAL 7030 gris</t>
  </si>
  <si>
    <t>7.542€</t>
  </si>
  <si>
    <t>BA7A25040</t>
  </si>
  <si>
    <t>Goulotte de câblage complète BA7A 25x40  RAL 7030 gris</t>
  </si>
  <si>
    <t>9.342€</t>
  </si>
  <si>
    <t>BA7A25080</t>
  </si>
  <si>
    <t>Goulotte de cablage complète BA7A 25x80 RAL 7030 gris</t>
  </si>
  <si>
    <t>BA7A40025</t>
  </si>
  <si>
    <t>Goulotte de câblage complète BA7A 40x25  RAL 7030 gris</t>
  </si>
  <si>
    <t>BA7A40030</t>
  </si>
  <si>
    <t>Goulotte de câblage complète BA7A 40x30  RAL 7030 gris</t>
  </si>
  <si>
    <t>11.574€</t>
  </si>
  <si>
    <t>BA7A40040</t>
  </si>
  <si>
    <t>Goulotte de câblage complète BA7A 40x40  RAL 7030 gris</t>
  </si>
  <si>
    <t>11.328€</t>
  </si>
  <si>
    <t>BA7A40060</t>
  </si>
  <si>
    <t>Goulotte de câblage complète BA7A 40x60  RAL 7030 gris</t>
  </si>
  <si>
    <t>14.46€</t>
  </si>
  <si>
    <t>BA7A40080</t>
  </si>
  <si>
    <t>Goulotte de câblage complète BA7A 40x80  RAL 7030 gris</t>
  </si>
  <si>
    <t>18.168€</t>
  </si>
  <si>
    <t>BA7A40100</t>
  </si>
  <si>
    <t>Goulotte de câblage complète BA7A 40x100 RAL 7030 gris</t>
  </si>
  <si>
    <t>21.93€</t>
  </si>
  <si>
    <t>BA7A60025</t>
  </si>
  <si>
    <t>Goulotte de câblage complète BA7A 60x25  RAL 7030 gris</t>
  </si>
  <si>
    <t>10.956€</t>
  </si>
  <si>
    <t>BA7A60030</t>
  </si>
  <si>
    <t>Goulotte de câblage complète BA7A 60x30  RAL 7030 gris</t>
  </si>
  <si>
    <t>13.602€</t>
  </si>
  <si>
    <t>BA7A60040</t>
  </si>
  <si>
    <t>Goulotte de câblage complète BA7A 60x40  RAL 7030 gris</t>
  </si>
  <si>
    <t>14.256€</t>
  </si>
  <si>
    <t>BA7A60060</t>
  </si>
  <si>
    <t>Goulotte de câblage complète BA7A 60x60  RAL 7030 gris</t>
  </si>
  <si>
    <t>18.27€</t>
  </si>
  <si>
    <t>BA7A60080</t>
  </si>
  <si>
    <t>Goulotte de câblage complète BA7A 60x80  RAL 7030 gris</t>
  </si>
  <si>
    <t>22.872€</t>
  </si>
  <si>
    <t>BA7A60100</t>
  </si>
  <si>
    <t>Goulotte de câblage complète BA7A 60x100 RAL 7030 gris</t>
  </si>
  <si>
    <t>27.708€</t>
  </si>
  <si>
    <t>BA7A60120</t>
  </si>
  <si>
    <t>Goulotte de câblage complète BA7A 60x120 RAL 7030 gris</t>
  </si>
  <si>
    <t>29.826€</t>
  </si>
  <si>
    <t>BA7A80025</t>
  </si>
  <si>
    <t>Goulotte de câblage complète BA7A 80x25  RAL 7030 gris</t>
  </si>
  <si>
    <t>15.318€</t>
  </si>
  <si>
    <t>BA7A80030</t>
  </si>
  <si>
    <t>Goulotte de câblage complète BA7A 80x30  RAL 7030 gris</t>
  </si>
  <si>
    <t>18.444€</t>
  </si>
  <si>
    <t>BA7A80040</t>
  </si>
  <si>
    <t>Goulotte de câblage complète BA7A 80x40  RAL 7030 gris</t>
  </si>
  <si>
    <t>BA7A80060</t>
  </si>
  <si>
    <t>Goulotte de câblage complète BA7A 80x60  RAL 7030 gris</t>
  </si>
  <si>
    <t>22.974€</t>
  </si>
  <si>
    <t>BA7A80080</t>
  </si>
  <si>
    <t>Goulotte de câblage complète BA7A 80x80  RAL 7030 gris</t>
  </si>
  <si>
    <t>28.794€</t>
  </si>
  <si>
    <t>BA7A80100</t>
  </si>
  <si>
    <t>Goulotte de câblage complète BA7A 80x100  RAL 7030 gris</t>
  </si>
  <si>
    <t>34.734€</t>
  </si>
  <si>
    <t>BA7A80120</t>
  </si>
  <si>
    <t>Goulotte de câblage complète BA7A 80x120  RAL 7030 gris</t>
  </si>
  <si>
    <t>37.512€</t>
  </si>
  <si>
    <t>BA7CLIP</t>
  </si>
  <si>
    <t>Clip pour goulottes Agrafes sécables pour BA7-BA7bleu et HA7 toutes les leurs</t>
  </si>
  <si>
    <t>1.944€</t>
  </si>
  <si>
    <t>L5085</t>
  </si>
  <si>
    <t>Rivet pour trou de perçage 4mm sans halogene résistance de serrage 2-5mm gris</t>
  </si>
  <si>
    <t>0.348€</t>
  </si>
  <si>
    <t>BKIS121301VERZ</t>
  </si>
  <si>
    <t>Socle latéral pour BKIS épais 12,5mm simple hauteur acier (VERZ) zingué</t>
  </si>
  <si>
    <t xml:space="preserve">HAGJAM15 </t>
  </si>
  <si>
    <t>GOULOTTES ENCASTREES</t>
  </si>
  <si>
    <t>7.986€</t>
  </si>
  <si>
    <t>BKIS121303DVERZ</t>
  </si>
  <si>
    <t>Angle extérieur pour BKIS épais 12,5mm double hauteur acier (VERZ) zingué</t>
  </si>
  <si>
    <t>53.1135€</t>
  </si>
  <si>
    <t>BKIS121303EVERZ</t>
  </si>
  <si>
    <t>Angle extérieur pour BKIS épais 12,5mm simple hauteur acier (VERZ) zingué</t>
  </si>
  <si>
    <t>42.306€</t>
  </si>
  <si>
    <t>BKIS121304DVERZ</t>
  </si>
  <si>
    <t>Angle intérieur pour BKIS épais 12,5mm double hauteur acier (VERZ) zingué</t>
  </si>
  <si>
    <t>49.797€</t>
  </si>
  <si>
    <t>BKIS121304EVERZ</t>
  </si>
  <si>
    <t>Angle intérieur pour BKIS épais 12,5mm simple hauteur acier (VERZ) zingué</t>
  </si>
  <si>
    <t>32.549€</t>
  </si>
  <si>
    <t>BKIS121305DVERZ</t>
  </si>
  <si>
    <t>Angle Plat pour BKIS épais 12,5mm double hauteur acier (VERZ) zingué</t>
  </si>
  <si>
    <t>137.335€</t>
  </si>
  <si>
    <t>BKIS121305EVERZ</t>
  </si>
  <si>
    <t>Angle Plat pour BKIS épais 12,5mm simple hauteur acier (VERZ) zingué</t>
  </si>
  <si>
    <t>104.0545€</t>
  </si>
  <si>
    <t>BKIS121306DVERZ</t>
  </si>
  <si>
    <t>Embout pour BKIS épais 12,5mm double hauteur acier (VERZ) zingué</t>
  </si>
  <si>
    <t>41.7725€</t>
  </si>
  <si>
    <t>BKIS121306EVERZ</t>
  </si>
  <si>
    <t>Embout pour BKIS épais 12,5mm simple hauteur acier (VERZ) zingué</t>
  </si>
  <si>
    <t>21.813€</t>
  </si>
  <si>
    <t>BKIS121308DVERZ</t>
  </si>
  <si>
    <t>Té pour BKIS épais 12,5mm double hauteur acier (VERZ) zingué</t>
  </si>
  <si>
    <t>109.8735€</t>
  </si>
  <si>
    <t>BKIS121308EVERZ</t>
  </si>
  <si>
    <t>Té pour BKIS épais 12,5mm simple hauteur acier (VERZ) zingué</t>
  </si>
  <si>
    <t>83.2535€</t>
  </si>
  <si>
    <t>BKIS130MHU</t>
  </si>
  <si>
    <t>Support universel BKIS (x2) pour goulotte encastrée</t>
  </si>
  <si>
    <t>6.996€</t>
  </si>
  <si>
    <t>BKIS251301VERZ</t>
  </si>
  <si>
    <t>Socle latéral pour BKIS épais 25mm double hauteur acier (VERZ) zingué</t>
  </si>
  <si>
    <t>8.25€</t>
  </si>
  <si>
    <t>BKIS251303DVERZ</t>
  </si>
  <si>
    <t>Angle extérieur pour BKIS épais 25mm double hauteur acier (VERZ) zingué</t>
  </si>
  <si>
    <t>68.9755€</t>
  </si>
  <si>
    <t>BKIS251303EVERZ</t>
  </si>
  <si>
    <t>Angle extérieur pour BKIS épais 25mm simple hauteur acier (VERZ) zingué</t>
  </si>
  <si>
    <t>42.1245€</t>
  </si>
  <si>
    <t>BKIS251304DVERZ</t>
  </si>
  <si>
    <t>Angle intérieur pour BKIS épais 25mm double hauteur acier (VERZ) zingué</t>
  </si>
  <si>
    <t>50.039€</t>
  </si>
  <si>
    <t>BKIS251304EVERZ</t>
  </si>
  <si>
    <t>Angle intérieur pour BKIS épais 25mm simple hauteur acier (VERZ) zingué</t>
  </si>
  <si>
    <t>32.34€</t>
  </si>
  <si>
    <t>BKIS251305DVERZ</t>
  </si>
  <si>
    <t>Angle plat pour BKIS épais 25mm double hauteur acier (VERZ) zingué</t>
  </si>
  <si>
    <t>109.67€</t>
  </si>
  <si>
    <t>BKIS251305EVERZ</t>
  </si>
  <si>
    <t>Angle plat pour BKIS épais 25mm simple hauteur acier (VERZ) zingué</t>
  </si>
  <si>
    <t>83.094€</t>
  </si>
  <si>
    <t>BKIS251306DVERZ</t>
  </si>
  <si>
    <t>Embout pour BKIS épais 25mm 2 compart acier (VERZ) zingué</t>
  </si>
  <si>
    <t>41.4205€</t>
  </si>
  <si>
    <t>BKIS251306EVERZ</t>
  </si>
  <si>
    <t>Embout pour BKIS épais 25mm acier (VERZ) zingué</t>
  </si>
  <si>
    <t>21.637€</t>
  </si>
  <si>
    <t>BKIS251308DVERZ</t>
  </si>
  <si>
    <t>Té pour BKIS épais 25mm acier double hauteur (VERZ) zingué</t>
  </si>
  <si>
    <t>BKIS251308EVERZ</t>
  </si>
  <si>
    <t>Té pour BKIS épais 25mm acier simple hauteur (VERZ) zingué</t>
  </si>
  <si>
    <t>BKISKPD</t>
  </si>
  <si>
    <t>Jonction pour BKIS 2 compartiments acier double hauteur</t>
  </si>
  <si>
    <t>17.8035€</t>
  </si>
  <si>
    <t>BKISKPE</t>
  </si>
  <si>
    <t>Jonction pour BKIS 1 compartiment acier simple hauteur</t>
  </si>
  <si>
    <t>11.1925€</t>
  </si>
  <si>
    <t>BRS08029011</t>
  </si>
  <si>
    <t>Couvercle pour BKIS simple hauteur h 80mm RAL 9011 noir</t>
  </si>
  <si>
    <t>43.6535€</t>
  </si>
  <si>
    <t>BRS0802A9011</t>
  </si>
  <si>
    <t>Couvercle angle exterieur noir graphite</t>
  </si>
  <si>
    <t>41.1235€</t>
  </si>
  <si>
    <t>BRS0802AVERZ</t>
  </si>
  <si>
    <t>Couvercle angle exterieur</t>
  </si>
  <si>
    <t>22.792€</t>
  </si>
  <si>
    <t>BRS0802I9011</t>
  </si>
  <si>
    <t>Couvercle angle interieur</t>
  </si>
  <si>
    <t>BRS0802IVERZ</t>
  </si>
  <si>
    <t>BRS0802VERZ</t>
  </si>
  <si>
    <t>Couvercle pour BKIS simple hauteur h 80mm (VERZ) zingué</t>
  </si>
  <si>
    <t>25.2835€</t>
  </si>
  <si>
    <t>G2401</t>
  </si>
  <si>
    <t>Borne de terre universelle p goulotte encastrée BKIS simple haut épais 12,5 mm</t>
  </si>
  <si>
    <t>6.0665€</t>
  </si>
  <si>
    <t>G2850</t>
  </si>
  <si>
    <t>Boîte simple BKIS pour appareillage entraxe 60 montage frontal</t>
  </si>
  <si>
    <t>6.5945€</t>
  </si>
  <si>
    <t>G2860</t>
  </si>
  <si>
    <t>Boîte double BKIS pour appareillage entraxe 60 montage frontal</t>
  </si>
  <si>
    <t>8.4095€</t>
  </si>
  <si>
    <t>GT4519011</t>
  </si>
  <si>
    <t>Support d'appareillage 45x45 simple noir pour goulottes alu</t>
  </si>
  <si>
    <t>6.688€</t>
  </si>
  <si>
    <t>GT451ALU</t>
  </si>
  <si>
    <t>Support d'appareillage 45x45 simple alu pour goulottes alu</t>
  </si>
  <si>
    <t>10.483€</t>
  </si>
  <si>
    <t>GT4529011</t>
  </si>
  <si>
    <t>Support d'appareillage 45x45 double noir pour goulottes alu</t>
  </si>
  <si>
    <t>11.209€</t>
  </si>
  <si>
    <t>GT4539011</t>
  </si>
  <si>
    <t>Support d'appareillage 45x45 triple noir pour goulottes alu</t>
  </si>
  <si>
    <t>15.719€</t>
  </si>
  <si>
    <t>GT453ALU</t>
  </si>
  <si>
    <t>Support d'appareillage 45x45 triple alu pour goulottes alu</t>
  </si>
  <si>
    <t>22.748€</t>
  </si>
  <si>
    <t>BKIS1213019016</t>
  </si>
  <si>
    <t>Socle latéral pour BKIS épais 12.5mm simple hauteur acier RAL 9016 Pure</t>
  </si>
  <si>
    <t>13.244€</t>
  </si>
  <si>
    <t>BKIS121303D9016</t>
  </si>
  <si>
    <t>Angle extérieur pour BKIS épais 12.5mm double hauteur acier RAL9016 Pure</t>
  </si>
  <si>
    <t>78.1605€</t>
  </si>
  <si>
    <t>BKIS121303E9016</t>
  </si>
  <si>
    <t>Angle extérieur pour BKIS épais 12.5mm simple hauteur acier RAL9016 Pure</t>
  </si>
  <si>
    <t>58.883€</t>
  </si>
  <si>
    <t>BKIS121304D9016</t>
  </si>
  <si>
    <t>Angle intérieur pour BKIS épais 12.5mm double hauteur acier RAL9016 Pure</t>
  </si>
  <si>
    <t>76.5105€</t>
  </si>
  <si>
    <t>BKIS121304E9016</t>
  </si>
  <si>
    <t>Angle intérieur pour BKIS épais 12.5mm simple hauteur acier RAL9016 Pure</t>
  </si>
  <si>
    <t>57.046€</t>
  </si>
  <si>
    <t>BKIS121305D9016</t>
  </si>
  <si>
    <t>Angle Plat pour BKIS épais 12.5mm double hauteur acier RAL 9016 Pure</t>
  </si>
  <si>
    <t>168.443€</t>
  </si>
  <si>
    <t>BKIS121305E9016</t>
  </si>
  <si>
    <t>Angle Plat pour BKIS épais 12.5mm simple hauteur acier RAL 9016 Pure</t>
  </si>
  <si>
    <t>129.338€</t>
  </si>
  <si>
    <t>BKIS121306D9016</t>
  </si>
  <si>
    <t>Embout pour BKIS épais 12.5mm double hauteur acier RAL 9016 Pure</t>
  </si>
  <si>
    <t>57.4365€</t>
  </si>
  <si>
    <t>BKIS121306E9016</t>
  </si>
  <si>
    <t>Embout pour BKIS épais 12.5mm simple hauteur acier RAL 9016 Pure</t>
  </si>
  <si>
    <t>31.526€</t>
  </si>
  <si>
    <t>BKIS121308D9016</t>
  </si>
  <si>
    <t>Té pour BKIS épais 12.5mm double hauteur acier RAL 9016 Pure</t>
  </si>
  <si>
    <t>134.783€</t>
  </si>
  <si>
    <t>BKIS121308E9016</t>
  </si>
  <si>
    <t>Té pour BKIS épais 12.5mm simple hauteur acier RAL 9016 Pure</t>
  </si>
  <si>
    <t>BKIS2513019016</t>
  </si>
  <si>
    <t>Socle latéral pour BKIS épais 25mm simple hauteur acier RAL 9016 Pure</t>
  </si>
  <si>
    <t>BKIS251301M9016</t>
  </si>
  <si>
    <t>Socle central pour BKIS épais 25mm double hauteur acier RAL 9016 Pure</t>
  </si>
  <si>
    <t>27.5495€</t>
  </si>
  <si>
    <t>BKIS251303D9016</t>
  </si>
  <si>
    <t>Angle extérieur pour BKIS épais 25mm double hauteur acier RAL 9016 Pure</t>
  </si>
  <si>
    <t>BKIS251303E9016</t>
  </si>
  <si>
    <t>Angle extérieur pour BKIS épais 25mm simple hauteur acier RAL 9016 Pure</t>
  </si>
  <si>
    <t>60.4945€</t>
  </si>
  <si>
    <t>BKIS251304D9016</t>
  </si>
  <si>
    <t>Angle intérieur pour BKIS épais 25mm double hauteur acier RAL 9016 Pure</t>
  </si>
  <si>
    <t>77.9515€</t>
  </si>
  <si>
    <t>BKIS251304E9016</t>
  </si>
  <si>
    <t>Angle intérieur pour BKIS épais 25mm simple hauteur acier RAL 9016 Pure</t>
  </si>
  <si>
    <t>58.641€</t>
  </si>
  <si>
    <t>BKIS251305D9016</t>
  </si>
  <si>
    <t>Angle plat pour BKIS épais 25mm double hauteur acier RAL 9016 Pure</t>
  </si>
  <si>
    <t>134.596€</t>
  </si>
  <si>
    <t>BKIS251305E9016</t>
  </si>
  <si>
    <t>Angle plat pour BKIS épais 25mm simple hauteur acier RAL 9016 Pure</t>
  </si>
  <si>
    <t>103.3395€</t>
  </si>
  <si>
    <t>BKIS251306D9016</t>
  </si>
  <si>
    <t>Embout pour BKIS épais 25mm 2 compartiments acier RAL 9016Pure</t>
  </si>
  <si>
    <t>56.0615€</t>
  </si>
  <si>
    <t>BKIS251306E9016</t>
  </si>
  <si>
    <t>Embout pour BKIS épais 25mm acier RAL 9016 Pure</t>
  </si>
  <si>
    <t>28.325€</t>
  </si>
  <si>
    <t>BKIS251308D9016</t>
  </si>
  <si>
    <t>Té pour BKIS épais 25mm acier double hauteur RAL 9016 Pure</t>
  </si>
  <si>
    <t>BKIS251308E9016</t>
  </si>
  <si>
    <t>Té pour BKIS épais 25mm acier simple hauteur RAL 9016 Pure</t>
  </si>
  <si>
    <t>BRS08029016</t>
  </si>
  <si>
    <t>Couvercle pour BKIS simple hauteur h 80mm RAL 9016 Pure</t>
  </si>
  <si>
    <t>38.0325€</t>
  </si>
  <si>
    <t>BRS0802A9016</t>
  </si>
  <si>
    <t>Couvercle Angle exterieur BRS 80mm blanc</t>
  </si>
  <si>
    <t>37.708€</t>
  </si>
  <si>
    <t>BRS0802I9016</t>
  </si>
  <si>
    <t>Couvercle angle interieur blanc</t>
  </si>
  <si>
    <t>GT4519016</t>
  </si>
  <si>
    <t>Support d\'appareillage 45x45 simple Pure pour goulottes alu</t>
  </si>
  <si>
    <t>6.0555€</t>
  </si>
  <si>
    <t>GT4529016</t>
  </si>
  <si>
    <t>Support d\'appareillage 45x45 double Pure pour goulottes alu</t>
  </si>
  <si>
    <t>10.098€</t>
  </si>
  <si>
    <t>GT4539016</t>
  </si>
  <si>
    <t>Support d\'appareillage 45x45 triple Pure pour goulottes alu</t>
  </si>
  <si>
    <t>14.1515€</t>
  </si>
  <si>
    <t>BS90F</t>
  </si>
  <si>
    <t>Bloc de mastic</t>
  </si>
  <si>
    <t xml:space="preserve">HAGDKM05 </t>
  </si>
  <si>
    <t>DIVERS GOULOTTE DISTRIBU.</t>
  </si>
  <si>
    <t>103.932€</t>
  </si>
  <si>
    <t>BS90S</t>
  </si>
  <si>
    <t>Set de 3 têtes pour cartouche mastic ignifuge</t>
  </si>
  <si>
    <t>10.626€</t>
  </si>
  <si>
    <t>BS90Z</t>
  </si>
  <si>
    <t>Pistolet mastic</t>
  </si>
  <si>
    <t>158.61€</t>
  </si>
  <si>
    <t>CLM300359</t>
  </si>
  <si>
    <t>Joint mural p CLM30035 p30mm h 35mm IK08-IK10 PVC rigide RAL 9010 blanc paloma</t>
  </si>
  <si>
    <t>L5111</t>
  </si>
  <si>
    <t>boîtier étanche lifea gris</t>
  </si>
  <si>
    <t>13.074€</t>
  </si>
  <si>
    <t>L5804</t>
  </si>
  <si>
    <t>Barrière insonorisante lifea L300mm dual 30mm amorti 40DB env incombustible M1</t>
  </si>
  <si>
    <t>67.944€</t>
  </si>
  <si>
    <t>M1346</t>
  </si>
  <si>
    <t>Cloison séparation simple pour lifea FB-h60</t>
  </si>
  <si>
    <t>9.846€</t>
  </si>
  <si>
    <t>M2024</t>
  </si>
  <si>
    <t>Cloison pour lifea - officea profondeur 40mm</t>
  </si>
  <si>
    <t>8.622€</t>
  </si>
  <si>
    <t>M2026</t>
  </si>
  <si>
    <t>Cloison pour lifea - officea profondeur 60mm</t>
  </si>
  <si>
    <t>9.702€</t>
  </si>
  <si>
    <t>M5159</t>
  </si>
  <si>
    <t>Entretoises beha-set - lifea hauteur 20mm diamètre 25mm</t>
  </si>
  <si>
    <t>1.014€</t>
  </si>
  <si>
    <t>M51592</t>
  </si>
  <si>
    <t>Entretoises beha-set - lifea hauteur 12mm diamètre 25mm</t>
  </si>
  <si>
    <t>0.816€</t>
  </si>
  <si>
    <t>M5164</t>
  </si>
  <si>
    <t>Rondelle à collerette en polyethylene pour vis M4-M5</t>
  </si>
  <si>
    <t>0.354€</t>
  </si>
  <si>
    <t>M5280</t>
  </si>
  <si>
    <t>Agrafe beha-set pour FB60110</t>
  </si>
  <si>
    <t>2.382€</t>
  </si>
  <si>
    <t>M5281</t>
  </si>
  <si>
    <t>Agrafe lifea - beha-set pour FB60130 / FB80130</t>
  </si>
  <si>
    <t>3.042€</t>
  </si>
  <si>
    <t>M5282</t>
  </si>
  <si>
    <t>Agrafe beha-set pour FB60150</t>
  </si>
  <si>
    <t>3.312€</t>
  </si>
  <si>
    <t>M5283</t>
  </si>
  <si>
    <t>Agrafe beha-set pour FB60190</t>
  </si>
  <si>
    <t>3.978€</t>
  </si>
  <si>
    <t>M5284</t>
  </si>
  <si>
    <t>Agrafe lifea - beha-set pour FB60230 / FB99230</t>
  </si>
  <si>
    <t>9.18€</t>
  </si>
  <si>
    <t>5.232€</t>
  </si>
  <si>
    <t>M5409</t>
  </si>
  <si>
    <t>Agrafe pour LF. 120mm</t>
  </si>
  <si>
    <t>1.854€</t>
  </si>
  <si>
    <t>M7239</t>
  </si>
  <si>
    <t>Agrafe en PC/ABS pour LF/LFF leur 60mm</t>
  </si>
  <si>
    <t>0.93€</t>
  </si>
  <si>
    <t>M7248</t>
  </si>
  <si>
    <t>Agrafe en PC/ABS pour LF/LFF leur 90mm</t>
  </si>
  <si>
    <t>1.272€</t>
  </si>
  <si>
    <t>M7250</t>
  </si>
  <si>
    <t>Agrafe en PC/ABS pour LFF60150</t>
  </si>
  <si>
    <t>1.686€</t>
  </si>
  <si>
    <t>M7251</t>
  </si>
  <si>
    <t>Agrafe en PC/ABS pour LFF60190</t>
  </si>
  <si>
    <t>2.166€</t>
  </si>
  <si>
    <t>M7252</t>
  </si>
  <si>
    <t>Agrafe en PC/ABS pour LFF60230</t>
  </si>
  <si>
    <t>2.484€</t>
  </si>
  <si>
    <t>M7249</t>
  </si>
  <si>
    <t>Agrafe en PC/ABS pour LF/LFF largeur 110 mm</t>
  </si>
  <si>
    <t>1.434€</t>
  </si>
  <si>
    <t>CLM30035</t>
  </si>
  <si>
    <t>Goulotte de climatisation + pompe à chaleur p30mm h35mm L2m RAL9010 blanc paloma</t>
  </si>
  <si>
    <t xml:space="preserve">HAGDMM05 </t>
  </si>
  <si>
    <t>GOULOTTE CLIMATISATION</t>
  </si>
  <si>
    <t>6.876€</t>
  </si>
  <si>
    <t>CLM75125</t>
  </si>
  <si>
    <t>Goulotte de climatisation p 75mm h 125mm IK08-IK10 PVC RAL 9010 blanc paloma</t>
  </si>
  <si>
    <t>24.792€</t>
  </si>
  <si>
    <t>CLMU50065</t>
  </si>
  <si>
    <t>Goulotte de climatisation p50mm h65mm IK08-IK10 PVC rigide RAL 9010 blanc paloma</t>
  </si>
  <si>
    <t>9.954€</t>
  </si>
  <si>
    <t>CLMU65090</t>
  </si>
  <si>
    <t>Goulotte de climatisation p65mm h90mm IK08-IK10 PVC rigide RAL 9010 blanc paloma</t>
  </si>
  <si>
    <t>18.072€</t>
  </si>
  <si>
    <t>CLM300353</t>
  </si>
  <si>
    <t>Angle extérieur p CLM30035 p30mm h35mm IK08-IK10 PVC rigide RAL9010 blanc paloma</t>
  </si>
  <si>
    <t xml:space="preserve">HAGDNM05 </t>
  </si>
  <si>
    <t>PDF GOULOTTE CLIMATISATION</t>
  </si>
  <si>
    <t>CLM300354</t>
  </si>
  <si>
    <t>Angle intérieur p CLM30035 p30mm h35mm IK08-IK10 PVC rigide RAL9010 blanc paloma</t>
  </si>
  <si>
    <t>4.758€</t>
  </si>
  <si>
    <t>CLM300355</t>
  </si>
  <si>
    <t>Angle plat p CLM30035 p 30mm h 35mm IK08-IK10 PVC rigide RAL 9010 blanc paloma</t>
  </si>
  <si>
    <t>5.142€</t>
  </si>
  <si>
    <t>CLM300356</t>
  </si>
  <si>
    <t>Embout p CLM30035 p 30mm h 35mm IK08-IK10 PVC rigide RAL 9010 blanc paloma</t>
  </si>
  <si>
    <t>1.458€</t>
  </si>
  <si>
    <t>CLM3003561</t>
  </si>
  <si>
    <t>Passage de mur p CLM30035 p 30mm h 35mm IK08-IK10 PVC RAL 9010 blanc paloma</t>
  </si>
  <si>
    <t>8.586€</t>
  </si>
  <si>
    <t>CLM300357</t>
  </si>
  <si>
    <t>Joint de couvercle p CLM30035 p30mm h 35mm IK08-IK10 PVC RAL 9010 blanc paloma</t>
  </si>
  <si>
    <t>2.07€</t>
  </si>
  <si>
    <t>CLM500653</t>
  </si>
  <si>
    <t>Angle extérieur p CLM50065 p50mm h65mm IK08-IK10 PVC rigide RAL9010 blanc paloma</t>
  </si>
  <si>
    <t>7.446€</t>
  </si>
  <si>
    <t>CLM500654</t>
  </si>
  <si>
    <t>Angle intérieur p CLM50065 p50mm h65mm IK08-IK10 PVC rigide RAL9010 blanc paloma</t>
  </si>
  <si>
    <t>7.83€</t>
  </si>
  <si>
    <t>CLM500655</t>
  </si>
  <si>
    <t>Angle plat p CLM50065 p 50mm h 65mm IK08-IK10 PVC rigide RAL 9010 blanc paloma</t>
  </si>
  <si>
    <t>9.198€</t>
  </si>
  <si>
    <t>CLM500656</t>
  </si>
  <si>
    <t>Embout p CLM50065 p 50mm h 65mm IK08-IK10 PVC rigide RAL 9010 blanc paloma</t>
  </si>
  <si>
    <t>7.902€</t>
  </si>
  <si>
    <t>CLM5006561</t>
  </si>
  <si>
    <t>Passage de mur p CLM50065 p 50mm h 65mm IK08-IK10 PVC RAL 9010 blanc paloma</t>
  </si>
  <si>
    <t>10.35€</t>
  </si>
  <si>
    <t>CLM500657</t>
  </si>
  <si>
    <t>Joint de couvercle p CLM50065 p50mm h 65mm IK08-IK10 PVC RAL 9010 blanc paloma</t>
  </si>
  <si>
    <t>5.46€</t>
  </si>
  <si>
    <t>CLM500658</t>
  </si>
  <si>
    <t>Té p CLM50065 p 50mm h 65mm IK08-IK10 PVC rigide RAL 9010 blanc paloma</t>
  </si>
  <si>
    <t>8.202€</t>
  </si>
  <si>
    <t>CLM500659</t>
  </si>
  <si>
    <t>Joint de mur p CLM50065 p50mm h65mm IK08-IK10 PVC rigide RAL 9010 blanc paloma</t>
  </si>
  <si>
    <t>CLM650903</t>
  </si>
  <si>
    <t>Angle extérieur p CLM65090 p65mm h90mm IK08-IK10 PVC rigide RAL9010 blanc paloma</t>
  </si>
  <si>
    <t>8.718€</t>
  </si>
  <si>
    <t>CLM650904</t>
  </si>
  <si>
    <t>Angle intérieur p CLM65090 p65mm h90mm IK08-IK10 PVC rigide RAL9010 blanc paloma</t>
  </si>
  <si>
    <t>8.946€</t>
  </si>
  <si>
    <t>CLM650905</t>
  </si>
  <si>
    <t>Angle plat p CLM65090 p 65mm h 90mm IK08-IK10 PVC rigide RAL 9010 blanc paloma</t>
  </si>
  <si>
    <t>11.202€</t>
  </si>
  <si>
    <t>CLM650906</t>
  </si>
  <si>
    <t>Embout p CLM65090 p 65mm h 90mm IK08-IK10 PVC rigide RAL 9010 blanc paloma</t>
  </si>
  <si>
    <t>9.042€</t>
  </si>
  <si>
    <t>CLM6509061</t>
  </si>
  <si>
    <t>Passage de mur p CLM65090 p 65mm h 90mm IK08-IK10 PVC RAL 9010 blanc paloma</t>
  </si>
  <si>
    <t>10.236€</t>
  </si>
  <si>
    <t>CLM650907</t>
  </si>
  <si>
    <t>Joint de couvercle p CLM65090 p65mm h 90mm IK08-IK10 PVC RAL 9010 blanc paloma</t>
  </si>
  <si>
    <t>5.562€</t>
  </si>
  <si>
    <t>CLM650908</t>
  </si>
  <si>
    <t>Té p CLM65090 p 65mm h 90mm IK08-IK10 PVC rigide RAL 9010 blanc paloma</t>
  </si>
  <si>
    <t>16.476€</t>
  </si>
  <si>
    <t>CLM650909</t>
  </si>
  <si>
    <t>Joint mural p CLM65090 p65mm h 90mm IK08-IK10 PVC rigide RAL 9010 blanc paloma</t>
  </si>
  <si>
    <t>10.446€</t>
  </si>
  <si>
    <t>CLM751253</t>
  </si>
  <si>
    <t>Angle extérieur pCLM75125 p75mm h125mm IK08-IK10 PVC rigide RAL9010 blanc paloma</t>
  </si>
  <si>
    <t>10.572€</t>
  </si>
  <si>
    <t>CLM751254</t>
  </si>
  <si>
    <t>Angle intérieur pCLM75125 p75mm h125mm IK08-IK10 PVC rigide RAL9010 blanc paloma</t>
  </si>
  <si>
    <t>10.548€</t>
  </si>
  <si>
    <t>CLM751255</t>
  </si>
  <si>
    <t>Angle plat p CLM75125 p 75mm h 125mm IK08-IK10 PVC rigide RAL9010 blanc paloma</t>
  </si>
  <si>
    <t>13.446€</t>
  </si>
  <si>
    <t>CLM751256</t>
  </si>
  <si>
    <t>Embout p CLM75125 p 75mm h 125mm IK08-IK10 PVC rigide RAL 9010 blanc paloma</t>
  </si>
  <si>
    <t>11.694€</t>
  </si>
  <si>
    <t>CLM7512561</t>
  </si>
  <si>
    <t>Passage de mur p CLM75125 p 75mm h 125mm IK08-IK10 PVC RAL 9010 blanc paloma</t>
  </si>
  <si>
    <t>14.832€</t>
  </si>
  <si>
    <t>CLM7512562</t>
  </si>
  <si>
    <t>Réduction pour CLM 75x125 vers 90x75 IK08-IK10 PVC RAL 9010 blanc paloma</t>
  </si>
  <si>
    <t>8.16€</t>
  </si>
  <si>
    <t>CLM751257</t>
  </si>
  <si>
    <t>Joint de couvercle pour CLM75125 IK08-IK10 PVC RAL 9010 blanc paloma</t>
  </si>
  <si>
    <t>6.192€</t>
  </si>
  <si>
    <t>CLM751258</t>
  </si>
  <si>
    <t>Té pour CLM75125. blanc  paloma</t>
  </si>
  <si>
    <t>19.752€</t>
  </si>
  <si>
    <t>CLM751259</t>
  </si>
  <si>
    <t>Joint mural p CLM75125 p 75mm h125mm IK08-IK10 PVC rigide RAL9010 blanc paloma</t>
  </si>
  <si>
    <t>15.924€</t>
  </si>
  <si>
    <t>DABA50080109006</t>
  </si>
  <si>
    <t>Pièce accrochage DABA 50x80</t>
  </si>
  <si>
    <t xml:space="preserve">HAGPMM15 </t>
  </si>
  <si>
    <t>COLONNES/COLONNETTES</t>
  </si>
  <si>
    <t>56.694€</t>
  </si>
  <si>
    <t>DABA5008019006</t>
  </si>
  <si>
    <t>Chemin de câbles suspendu alu</t>
  </si>
  <si>
    <t>67.0615€</t>
  </si>
  <si>
    <t>DABA500801ELN</t>
  </si>
  <si>
    <t>55.374€</t>
  </si>
  <si>
    <t>DABA5008059006</t>
  </si>
  <si>
    <t>Angle plat p.DABA50080.acier.alu blanc</t>
  </si>
  <si>
    <t>DABA500806ELN</t>
  </si>
  <si>
    <t>Embout. Set. pour DABA50080.eln</t>
  </si>
  <si>
    <t>23.65€</t>
  </si>
  <si>
    <t>DABA5008079006</t>
  </si>
  <si>
    <t>Té pour DABA50080.acier.alu blanc</t>
  </si>
  <si>
    <t>110.088€</t>
  </si>
  <si>
    <t>DABA5008089006</t>
  </si>
  <si>
    <t>Plaque passage mur DABA 50x80</t>
  </si>
  <si>
    <t>30.327€</t>
  </si>
  <si>
    <t>DABA500809VERZ</t>
  </si>
  <si>
    <t>Eclisses jonction DABA 50x80</t>
  </si>
  <si>
    <t>24.695€</t>
  </si>
  <si>
    <t>DABA50160109006</t>
  </si>
  <si>
    <t>89.5015€</t>
  </si>
  <si>
    <t>DABA501601ELN</t>
  </si>
  <si>
    <t>62.7275€</t>
  </si>
  <si>
    <t>DABA5016059006</t>
  </si>
  <si>
    <t>Angle plat p.DABA50160.acier.alu blanc</t>
  </si>
  <si>
    <t>114.6035€</t>
  </si>
  <si>
    <t>DABA501606ELN</t>
  </si>
  <si>
    <t>Embout DABA 50x160</t>
  </si>
  <si>
    <t>34.4135€</t>
  </si>
  <si>
    <t>DABA5016079006</t>
  </si>
  <si>
    <t>Té plat DABA 50x160</t>
  </si>
  <si>
    <t>124.8445€</t>
  </si>
  <si>
    <t>DABA5016089006</t>
  </si>
  <si>
    <t>35.9425€</t>
  </si>
  <si>
    <t>DABA501609VERZ</t>
  </si>
  <si>
    <t>Eclisses jonction DABA 50x160</t>
  </si>
  <si>
    <t>45.793€</t>
  </si>
  <si>
    <t>DABZAB2509006</t>
  </si>
  <si>
    <t>Pied suspension 250-400mm</t>
  </si>
  <si>
    <t>87.318€</t>
  </si>
  <si>
    <t>DABZAB4009006</t>
  </si>
  <si>
    <t>Pied suspension 400-700mm</t>
  </si>
  <si>
    <t>92.9555€</t>
  </si>
  <si>
    <t>DABZAB7009006</t>
  </si>
  <si>
    <t>Pied suspension 700-1300mm</t>
  </si>
  <si>
    <t>98.8295€</t>
  </si>
  <si>
    <t>DABZADFLR9006</t>
  </si>
  <si>
    <t>Adaptateur tuyau p. DAB.acier.alu bl</t>
  </si>
  <si>
    <t>32.6975€</t>
  </si>
  <si>
    <t>DABZADUN9006</t>
  </si>
  <si>
    <t>Adaptateur universel p. DAB.acier.alu bl</t>
  </si>
  <si>
    <t>29.0675€</t>
  </si>
  <si>
    <t>DAP245700ELN</t>
  </si>
  <si>
    <t>Colonnette officea h 650mm double face alu (ELN) anodisé naturel</t>
  </si>
  <si>
    <t>218.4215€</t>
  </si>
  <si>
    <t>DAP45700ELN</t>
  </si>
  <si>
    <t>Colonnette officea h 700mm simple face alu (ELN) anodisé naturel</t>
  </si>
  <si>
    <t>185.9€</t>
  </si>
  <si>
    <t>DAS2452700ELN</t>
  </si>
  <si>
    <t>Colonne officea double face fixation vérin 2700-3000mm alu (ELN) anodisé naturel</t>
  </si>
  <si>
    <t>433.356€</t>
  </si>
  <si>
    <t>DAS2453000ELN</t>
  </si>
  <si>
    <t>Colonne officea double face fixation vérin 3000-3300mm alu (ELN) anodisé naturel</t>
  </si>
  <si>
    <t>467.61€</t>
  </si>
  <si>
    <t>DAS2453300ELN</t>
  </si>
  <si>
    <t>Colonne officea double face fixation vérin 3300-3600mm alu (ELN) anodisé naturel</t>
  </si>
  <si>
    <t>502.1555€</t>
  </si>
  <si>
    <t>DAS452700ELN</t>
  </si>
  <si>
    <t>Colonne officea simple face fixation vérin 2700-3000mm alu (ELN) anodisé naturel</t>
  </si>
  <si>
    <t>368.1865€</t>
  </si>
  <si>
    <t>DAS453000ELN</t>
  </si>
  <si>
    <t>Colonne officea simple face fixation vérin 3000-3300mm alu (ELN) anodisé naturel</t>
  </si>
  <si>
    <t>396.0605€</t>
  </si>
  <si>
    <t>DAS453300ELN</t>
  </si>
  <si>
    <t>425.3425€</t>
  </si>
  <si>
    <t>DBS2452700ELN</t>
  </si>
  <si>
    <t>Colonne économique double face fixation vérin 2700-3000mm Alu anodisé</t>
  </si>
  <si>
    <t>354.563€</t>
  </si>
  <si>
    <t>DBS2453000ELN</t>
  </si>
  <si>
    <t>Colonne économique double face fixation vérin 3000-3300mm Alu anodisé</t>
  </si>
  <si>
    <t>415.5305€</t>
  </si>
  <si>
    <t>DBS2453300ELN</t>
  </si>
  <si>
    <t>Colonne économique double face fixation vérin 3300-3600mm Alu anodisé</t>
  </si>
  <si>
    <t>433.246€</t>
  </si>
  <si>
    <t>DBS452700ELN</t>
  </si>
  <si>
    <t>Colonne économique simple face fixation vérin 2700-3000mm Alu anodisé</t>
  </si>
  <si>
    <t>320.9415€</t>
  </si>
  <si>
    <t>DBS453000ELN</t>
  </si>
  <si>
    <t>Colonne économique simple face fixation vérin 3000-3300mm Alu anodisé</t>
  </si>
  <si>
    <t>342.8975€</t>
  </si>
  <si>
    <t>DBS453300ELN</t>
  </si>
  <si>
    <t>Colonne économique simple face fixation vérin 3300-3600mm Alu anodisé</t>
  </si>
  <si>
    <t>367.4055€</t>
  </si>
  <si>
    <t>DABA50080109016</t>
  </si>
  <si>
    <t>Pièce accrochage DABA 50x80 blanc</t>
  </si>
  <si>
    <t>DABA5008019016</t>
  </si>
  <si>
    <t>Chemin de cables office 50x80.Alu.Pure</t>
  </si>
  <si>
    <t>DABA5008059016</t>
  </si>
  <si>
    <t>Angle plat p.DABA50080. acier. Pure</t>
  </si>
  <si>
    <t>DABA5008069016</t>
  </si>
  <si>
    <t>Embout. Set. pour DABA50080. acier. Pure</t>
  </si>
  <si>
    <t>25.6905€</t>
  </si>
  <si>
    <t>DABA5008079016</t>
  </si>
  <si>
    <t>Té plat DABA 50x80</t>
  </si>
  <si>
    <t>DABA5008089016</t>
  </si>
  <si>
    <t>Plaque passage mur DABA 50x80 blanc</t>
  </si>
  <si>
    <t>DABA50160109016</t>
  </si>
  <si>
    <t>DABA5016019016</t>
  </si>
  <si>
    <t>Chemin de cables office 50x160 mm. Aluminium Pure</t>
  </si>
  <si>
    <t>74.646€</t>
  </si>
  <si>
    <t>DABA5016059016</t>
  </si>
  <si>
    <t>Angle plat p.DABA50160. acier. Pure</t>
  </si>
  <si>
    <t>DABA5016069016</t>
  </si>
  <si>
    <t>Embout DABA 50x80</t>
  </si>
  <si>
    <t>45.0285€</t>
  </si>
  <si>
    <t>DABA5016079016</t>
  </si>
  <si>
    <t>DABA5016089016</t>
  </si>
  <si>
    <t>DABZAB2509016</t>
  </si>
  <si>
    <t>Pied suspension 250-400mm blanc</t>
  </si>
  <si>
    <t>DABZAB4009016</t>
  </si>
  <si>
    <t>Pied suspension 400-700mm blanc</t>
  </si>
  <si>
    <t>DABZAB7009016</t>
  </si>
  <si>
    <t>Pied suspension 700-1300mm blanc</t>
  </si>
  <si>
    <t>DABZADFLR9016</t>
  </si>
  <si>
    <t>Adaptateur tuyau p. DAB.acier.Pure</t>
  </si>
  <si>
    <t>DABZADUN9016</t>
  </si>
  <si>
    <t>Adaptateur universel p. DAB.acier.Pure</t>
  </si>
  <si>
    <t>DAP2456509016</t>
  </si>
  <si>
    <t>Colonnette officea h 650mm double face alu anodisé RAL 9016 Pure</t>
  </si>
  <si>
    <t>263.934€</t>
  </si>
  <si>
    <t>DAP456509016</t>
  </si>
  <si>
    <t>Colonnette officea h 650mm simple face alu anodisé RAL 9016 Pure</t>
  </si>
  <si>
    <t>223.6685€</t>
  </si>
  <si>
    <t>DAS24527009016</t>
  </si>
  <si>
    <t>Colonne officea double face fixation vérin 2700-3000mm RAL9016 Pure</t>
  </si>
  <si>
    <t>523.523€</t>
  </si>
  <si>
    <t>DAS24530009016</t>
  </si>
  <si>
    <t>Colonne officea double face fixation vérin 3000-3300mm RAL9016 Pure</t>
  </si>
  <si>
    <t>565.213€</t>
  </si>
  <si>
    <t>DAS24533009016</t>
  </si>
  <si>
    <t>Colonne officea double face fixation vérin 3300-3600mm RAL9016 Pure</t>
  </si>
  <si>
    <t>607.189€</t>
  </si>
  <si>
    <t>DAS4527009016</t>
  </si>
  <si>
    <t>Colonne officea simple face fixation vérin 2700-3000mm RAL9016 Pure</t>
  </si>
  <si>
    <t>443.454€</t>
  </si>
  <si>
    <t>DAS4530009016</t>
  </si>
  <si>
    <t>Colonne officea simple face fixation vérin 3000-3300mm RAL9016 Pure</t>
  </si>
  <si>
    <t>478.764€</t>
  </si>
  <si>
    <t>DAS4533009016</t>
  </si>
  <si>
    <t>Colonne officea simple face fixation vérin 3300-3600mm RAL9016 Pure</t>
  </si>
  <si>
    <t>514.602€</t>
  </si>
  <si>
    <t>DAP245650ELN</t>
  </si>
  <si>
    <t>DAP45650ELN</t>
  </si>
  <si>
    <t>Colonnette officea h 650mm simple face alu (ELN) anodisé naturel</t>
  </si>
  <si>
    <t>FB6011007030</t>
  </si>
  <si>
    <t>Goulotte lifea p 60mm h 110mm IP40 IK09 à IK10 PVC rigide RAL 7030 gris</t>
  </si>
  <si>
    <t xml:space="preserve">HAGDAM05 </t>
  </si>
  <si>
    <t>GOULOTTES LF/LFF/FB</t>
  </si>
  <si>
    <t>FB6013007030</t>
  </si>
  <si>
    <t>Goulotte lifea p 60mm h 130mm IP40 IK09 à IK10 PVC rigide RAL 7030 gris</t>
  </si>
  <si>
    <t>41.825€</t>
  </si>
  <si>
    <t>FB6015007030</t>
  </si>
  <si>
    <t>Goulotte lifea p 60 h 150 IP40 IK09 à IK10 PVC rigide RAL 7030 gris</t>
  </si>
  <si>
    <t>57.03€</t>
  </si>
  <si>
    <t>FB6019007030</t>
  </si>
  <si>
    <t>Goulotte lifea p 60mm h 190mm IP40 IK09 à IK10 PVC rigide RAL 7030 gris</t>
  </si>
  <si>
    <t>72.32€</t>
  </si>
  <si>
    <t>FB6023007030</t>
  </si>
  <si>
    <t>Goulotte lifea p 60mm h 230mm IP40 IK09 à IK10 PVC rigide RAL 7030 gris</t>
  </si>
  <si>
    <t>89.17€</t>
  </si>
  <si>
    <t>FB80130070301</t>
  </si>
  <si>
    <t>Goulotte lifea p82mm h130mm 4 agrafes IP40 IK09 à IK10 PVC rigide RAL 7030 gris</t>
  </si>
  <si>
    <t>66.525€</t>
  </si>
  <si>
    <t>FB9923007030</t>
  </si>
  <si>
    <t>Goulotte lifea p100mm h230mm 4 agrafes IP40 IK09 à IK10 PVC rigide RAL 7030 gris</t>
  </si>
  <si>
    <t>144.335€</t>
  </si>
  <si>
    <t>LF1001008014</t>
  </si>
  <si>
    <t>Goulotte lifea PVC h 12mm x p 10mm sans agrafe RAL 8014 marron</t>
  </si>
  <si>
    <t>2.77€</t>
  </si>
  <si>
    <t>LF1501508014</t>
  </si>
  <si>
    <t>Goulotte lifea PVC h 15mm x p 15mm sans agrafe RAL 8014 marron</t>
  </si>
  <si>
    <t>5.15€</t>
  </si>
  <si>
    <t>LF2002008014</t>
  </si>
  <si>
    <t>Goulotte lifea PVC h 20mm x p 20mm sans agrafe RAL 8014 marron</t>
  </si>
  <si>
    <t>6.46€</t>
  </si>
  <si>
    <t>LFF2003508014</t>
  </si>
  <si>
    <t>Goulotte lifea PVC h 35mm x p 20mm sans agrafe RAL 8014 marron</t>
  </si>
  <si>
    <t>8.46€</t>
  </si>
  <si>
    <t>LFF2003608014</t>
  </si>
  <si>
    <t>Goulotte lifea PVC h 35mm x p 20mm 1 cloison sans agrafe RAL 8014 marron</t>
  </si>
  <si>
    <t>8.38€</t>
  </si>
  <si>
    <t>LFF3003007030</t>
  </si>
  <si>
    <t>Goulotte lifea PVC h 30mm x p 30mm + 2 éclisses sans agrafe RAL 7030 gris</t>
  </si>
  <si>
    <t>11.615€</t>
  </si>
  <si>
    <t>LFF3004507030</t>
  </si>
  <si>
    <t>Goulotte lifea PVC h 45mm x p 30mm + 2 éclisses sans agrafe RAL 7030 gris</t>
  </si>
  <si>
    <t>13.02€</t>
  </si>
  <si>
    <t>LFF3006007030</t>
  </si>
  <si>
    <t>Goulotte lifea PVC h 57mm x p 30mm + 2 éclisses + 4 agrafes M7239 RAL 7030gris</t>
  </si>
  <si>
    <t>15.555€</t>
  </si>
  <si>
    <t>LFF4004007030</t>
  </si>
  <si>
    <t>Goulotte lifea PVC h 40mm x p 40mm + 2 éclisses RAL 7030 gris</t>
  </si>
  <si>
    <t>13.495€</t>
  </si>
  <si>
    <t>LFF4006007030</t>
  </si>
  <si>
    <t>Goulotte lifea PVC h 57mm x p 40mm + 2 éclisses + 4 agrafes M7239 RAL 7030 gris</t>
  </si>
  <si>
    <t>18.425€</t>
  </si>
  <si>
    <t>LFF4009007030</t>
  </si>
  <si>
    <t>Goulotte lifea PVC h90mm x p40mm + 2 éclisses + 4 agrafes M7248 RAL 7030 gris</t>
  </si>
  <si>
    <t>22.43€</t>
  </si>
  <si>
    <t>LFF4011007030</t>
  </si>
  <si>
    <t>Goulotte lifea PVC h 110mm x p 40mm + 2 éclisses + 4 agrafes M7249 RAL 7030 gris</t>
  </si>
  <si>
    <t>LFF6006007030</t>
  </si>
  <si>
    <t>Goulotte lifea PVC h 60mm x p 60mm + 2 éclisses + 4 agrafes M7239 gris</t>
  </si>
  <si>
    <t>24.265€</t>
  </si>
  <si>
    <t>LFF6009007030</t>
  </si>
  <si>
    <t>Goulotte lifea PVC h 90mm x p 60mm + 2 éclisses + 4 agrafes M7248 RAL 7030 gris</t>
  </si>
  <si>
    <t>28.795€</t>
  </si>
  <si>
    <t>LFF6011007030</t>
  </si>
  <si>
    <t>Goulotte lifea h 110mm x p 60mm + 2 éclisses + 4 agrafes M7249 gris</t>
  </si>
  <si>
    <t>36.02€</t>
  </si>
  <si>
    <t>LFF6015007030</t>
  </si>
  <si>
    <t>Goulotte Liféa 60X150 RAL 7030 avec éclis. et 2 agrf./mètre</t>
  </si>
  <si>
    <t>51.795€</t>
  </si>
  <si>
    <t>LFF6019007030</t>
  </si>
  <si>
    <t>Goulotte Liféa 60X190 RAL 7030 avec éclis. et 2 agrf./mètre</t>
  </si>
  <si>
    <t>65.655€</t>
  </si>
  <si>
    <t>LFF6023007030</t>
  </si>
  <si>
    <t>Goulotte Liféa 60X230 RAL 7030 avec éclis. et 2 agrf./mètre</t>
  </si>
  <si>
    <t>81.105€</t>
  </si>
  <si>
    <t>FB6011009016</t>
  </si>
  <si>
    <t>Goulotte lifea p 60mm h 110mm IP40 IK09 à IK10 PVC rigide RAL 9016 Pure</t>
  </si>
  <si>
    <t>FB6013009016</t>
  </si>
  <si>
    <t>Goulotte lifea p 60mm h 130mm IP40 IK09 à IK10 PVC rigide RAL 9016 Pure</t>
  </si>
  <si>
    <t>FB6015009016</t>
  </si>
  <si>
    <t>Goulotte lifea p 60 h 150 IP40 IK09 à IK10 PVC rigide RAL 9016 Pure</t>
  </si>
  <si>
    <t>FB6019009016</t>
  </si>
  <si>
    <t>Goulotte lifea p 60mm h 190mm IP40 IK09 à IK10 PVC rigide RAL 9016 Pure</t>
  </si>
  <si>
    <t>FB6023009016</t>
  </si>
  <si>
    <t>Goulotte lifea p 60mm h 230mm IP40 IK09 à IK10 PVC rigide RAL 9016 Pure</t>
  </si>
  <si>
    <t>FB8013009016</t>
  </si>
  <si>
    <t>Goulotte lifea p82mm h130mm 4 agrafes IP40 IK09 à IK10 PVC RAL 9016 Pure</t>
  </si>
  <si>
    <t>FB9923009016</t>
  </si>
  <si>
    <t>Goulotte lifea p100mm h230mm 4 agrafes IP40 IK09 à IK10 PVC RAL9016 Pure</t>
  </si>
  <si>
    <t>LF1001009016</t>
  </si>
  <si>
    <t>Goulotte lifea PVC h 12mm x p 10mm sans agrafe RAL 9016 Pure</t>
  </si>
  <si>
    <t>5.13€</t>
  </si>
  <si>
    <t>2.435€</t>
  </si>
  <si>
    <t>LF1001009016A</t>
  </si>
  <si>
    <t>Goulotte de distribution 10x10 avec bande adhésive. Pure</t>
  </si>
  <si>
    <t>4.765€</t>
  </si>
  <si>
    <t>LF1501509016</t>
  </si>
  <si>
    <t>Goulotte lifea PVC h 15mm x p 15mm sans agrafe RAL 9016 Pure</t>
  </si>
  <si>
    <t>4.475€</t>
  </si>
  <si>
    <t>LF1501509016A</t>
  </si>
  <si>
    <t>Goulotte de distribution 15x15 avec bande adhésive. Pure</t>
  </si>
  <si>
    <t>8.875€</t>
  </si>
  <si>
    <t>LF2002009016</t>
  </si>
  <si>
    <t>Goulotte lifea PVC h 20mm x p 20mm sans agrafe RAL 9016 Pure</t>
  </si>
  <si>
    <t>5.93€</t>
  </si>
  <si>
    <t>LF2002009016A</t>
  </si>
  <si>
    <t>Goulotte de distribution 20x20 avec bande adhésive. Pure</t>
  </si>
  <si>
    <t>11.8€</t>
  </si>
  <si>
    <t>LFC1001509016A</t>
  </si>
  <si>
    <t>Goulotte lifea PVC h10mmxp15mm adhésive colisage 148m RAL 9016 Pure</t>
  </si>
  <si>
    <t>15.05€</t>
  </si>
  <si>
    <t>7.15€</t>
  </si>
  <si>
    <t>LFF2003509016</t>
  </si>
  <si>
    <t>Goulotte lifea PVC h 35mm x p 20mm sans agrafe RAL 9016 Pure</t>
  </si>
  <si>
    <t>LFF2003609016</t>
  </si>
  <si>
    <t>Goulotte lifea PVC h 35mm x p 20mm 1 cloison sans agrafe RAL 9016 Pure</t>
  </si>
  <si>
    <t>LFF3003009016</t>
  </si>
  <si>
    <t>Goulotte lifea PVC h 30mm x p 30mm + 2 éclisses ss agrafe RAL 9016 Pure</t>
  </si>
  <si>
    <t>LFF3004509016</t>
  </si>
  <si>
    <t>Goulotte lifea PVC h 45mm x p 30mm + 2 éclisses ss agrafe RAL 9016 Pure</t>
  </si>
  <si>
    <t>LFF3006009016</t>
  </si>
  <si>
    <t>Goulotte lifea PVC h57mmxp30mm +2 éclisses+4 agrafes M7239 RAL 9016 Pure</t>
  </si>
  <si>
    <t>LFF4004009016</t>
  </si>
  <si>
    <t>Goulotte lifea PVC h 40mm x p 40mm + 2 éclisses RAL 9016 Pure</t>
  </si>
  <si>
    <t>LFF4006009016</t>
  </si>
  <si>
    <t>Goulotte lifea PVC h57mmxp40mm +2 éclisses+4 agrafes M7239 RAL 9016 Pure</t>
  </si>
  <si>
    <t>16.43€</t>
  </si>
  <si>
    <t>LFF4009009016</t>
  </si>
  <si>
    <t>Goul. Liféa 40x90 blanc</t>
  </si>
  <si>
    <t>LFF4011009016</t>
  </si>
  <si>
    <t>Goul. LIFEA 40x110 eclisses/2 agrafe b</t>
  </si>
  <si>
    <t>LFF6006009016</t>
  </si>
  <si>
    <t>Goulotte lifea PVC h60mmxp60mm + 2éclisses+4 agrafes M7239 RAL 9016 Pure</t>
  </si>
  <si>
    <t>LFF6009009016</t>
  </si>
  <si>
    <t>Goulotte lifea PVC h90mmxp60mm+2 éclisses+4 agrafesM7248 RAL 9016 Pure</t>
  </si>
  <si>
    <t>LFF6011009016</t>
  </si>
  <si>
    <t>Goulotte lifea h110mmxp60mm + 2 éclisses +4 agrafes M7249 RAL 9016 Pure</t>
  </si>
  <si>
    <t>LFF6015009016</t>
  </si>
  <si>
    <t>Goulotte Liféa 60X150 RAL 9016 avec éclis. et 2 agrf./mètre</t>
  </si>
  <si>
    <t>LFF6019009016</t>
  </si>
  <si>
    <t>Goulotte Liféa 60X190 RAL 9016 avec éclis. et 2 agrf./mètre</t>
  </si>
  <si>
    <t>LFF6023009016</t>
  </si>
  <si>
    <t>Goulotte Liféa 60X230 RAL 9016 avec éclis. et 2 agrf./mètre</t>
  </si>
  <si>
    <t>FB6011027030</t>
  </si>
  <si>
    <t>Plaque arrière pour goulotte lifea p 60mm h 110mm PVC rigide RAL 7030 gris</t>
  </si>
  <si>
    <t xml:space="preserve">HAGECM15 </t>
  </si>
  <si>
    <t>BOITE DE JONCTION RK</t>
  </si>
  <si>
    <t>10.644€</t>
  </si>
  <si>
    <t>FB6011027035</t>
  </si>
  <si>
    <t>Plaque arrière pour goulotte lifea p 60mm h 110mm PVC rigide RAL7035 gris clair</t>
  </si>
  <si>
    <t>FB6015027030</t>
  </si>
  <si>
    <t>Plaque arrière pour goulotte lifea p 60mm h 150mm PVC rigide RAL 7030 gris</t>
  </si>
  <si>
    <t>FB6015027035</t>
  </si>
  <si>
    <t>Plaque arrière pour goulotte lifea p60mm h150mm PVC rigide RAL 7035 gris clair</t>
  </si>
  <si>
    <t>FB6019027030</t>
  </si>
  <si>
    <t>Plaque arrière pour goulotte lifea p 60mm h 190mm PVC rigide RAL 7030 gris</t>
  </si>
  <si>
    <t>18.636€</t>
  </si>
  <si>
    <t>FB6019027035</t>
  </si>
  <si>
    <t>Plaque arrière pour goulotte lifea p 60mm h 190mm PVC rigide RAL 7035 gris clair</t>
  </si>
  <si>
    <t>18.54€</t>
  </si>
  <si>
    <t>FB6023027030</t>
  </si>
  <si>
    <t>Plaque arrière pour goulotte lifea p 60mm h 230mm PVC rigide RAL 7030 gris</t>
  </si>
  <si>
    <t>23.556€</t>
  </si>
  <si>
    <t>FB6023027035</t>
  </si>
  <si>
    <t>Plaque arrière pour goulotte lifea p 60mm h 230mm PVC rigide RAL 7035 gris clair</t>
  </si>
  <si>
    <t>RK1107030</t>
  </si>
  <si>
    <t>Profilé de recouvrement beha-set PVC h 110mm x p 80mm RAL 7030 gris</t>
  </si>
  <si>
    <t>35.256€</t>
  </si>
  <si>
    <t>RK1107035</t>
  </si>
  <si>
    <t>Profilé de recouvrement beha-set PVC h 110mm x p 80mm RAL 7035 gris clair</t>
  </si>
  <si>
    <t>32.814€</t>
  </si>
  <si>
    <t>RK1109010</t>
  </si>
  <si>
    <t>Profilé de recouvrement beha-set PVC h 110mm x p 80mm RAL 9010 blanc paloma</t>
  </si>
  <si>
    <t>32.952€</t>
  </si>
  <si>
    <t>RK1507030</t>
  </si>
  <si>
    <t>Profilé de recouvrement beha-set PVC h 150mm x p 110mm RAL 7030 gris</t>
  </si>
  <si>
    <t>52.116€</t>
  </si>
  <si>
    <t>RK1507035</t>
  </si>
  <si>
    <t>Profilé de recouvrement beha-set PVC h 150mm x p 110mm RAL 7035 gris clair</t>
  </si>
  <si>
    <t>48.258€</t>
  </si>
  <si>
    <t>RK1509010</t>
  </si>
  <si>
    <t>Profilé de recouvrement beha-set PVC h 150mm x p 110mm RAL 9010 blanc paloma</t>
  </si>
  <si>
    <t>RK1907030</t>
  </si>
  <si>
    <t>Profilé de recouvrement beha-set PVC h 190mm x p 150mm RAL 7030 gris</t>
  </si>
  <si>
    <t>55.92€</t>
  </si>
  <si>
    <t>RK1907035</t>
  </si>
  <si>
    <t>Profilé de recouvrement beha-set PVC h 190mm x p 150mm RAL 7035 gris clair</t>
  </si>
  <si>
    <t>55.674€</t>
  </si>
  <si>
    <t>RK1909010</t>
  </si>
  <si>
    <t>Profilé de recouvrement beha-set PVC h 190mm x p 150mm RAL 9010 blanc paloma</t>
  </si>
  <si>
    <t>59.412€</t>
  </si>
  <si>
    <t>RK2307030</t>
  </si>
  <si>
    <t>Profilé de recouvrement beha-set PVC h 230mm x p 190mm RAL 7030 gris</t>
  </si>
  <si>
    <t>60.834€</t>
  </si>
  <si>
    <t>RK2307035</t>
  </si>
  <si>
    <t>Profilé de recouvrement beha-set PVC h 230mm x p 190mm RAL 7035 gris clair</t>
  </si>
  <si>
    <t>65.916€</t>
  </si>
  <si>
    <t>RK2309010</t>
  </si>
  <si>
    <t>Profilé de recouvrement beha-set PVC h 230mm x p 190mm RAL 9010 blanc paloma</t>
  </si>
  <si>
    <t>62.874€</t>
  </si>
  <si>
    <t>FB11029016</t>
  </si>
  <si>
    <t>Plaque arrière pr goulotte lifea p 60mm h 110mm PVC rigide RAL 9016 Pure</t>
  </si>
  <si>
    <t>11.334€</t>
  </si>
  <si>
    <t>LF15029016</t>
  </si>
  <si>
    <t>Plaque arrière pour goulotte lifea p60mm h150mm PVC rigide RAL 9016 Pure</t>
  </si>
  <si>
    <t>14.544€</t>
  </si>
  <si>
    <t>LF19029016</t>
  </si>
  <si>
    <t>Plaque arrière pour goulotte lifea p60mm h190mm PVC rigide RAL 9016 Pure</t>
  </si>
  <si>
    <t>18.942€</t>
  </si>
  <si>
    <t>LF23029016</t>
  </si>
  <si>
    <t>Plaque arrière pour goulotte lifea p 60 h 230 PVC rigide RAL 9016 Pure</t>
  </si>
  <si>
    <t>26.892€</t>
  </si>
  <si>
    <t>GBA452ALU</t>
  </si>
  <si>
    <t>Couvercle pour goulotte queraz h54mm x p54mm L200mm 1 compartiment alu anodisé</t>
  </si>
  <si>
    <t xml:space="preserve">HAGABM15 </t>
  </si>
  <si>
    <t>GOULOTTES BRA BR</t>
  </si>
  <si>
    <t>15.785€</t>
  </si>
  <si>
    <t>GBA500501ALU</t>
  </si>
  <si>
    <t>Socle pour goulotte queraz h54mm x p54mm L200mm 1 compartiment alu anodisé</t>
  </si>
  <si>
    <t>57.3485€</t>
  </si>
  <si>
    <t>GBA500851ALU</t>
  </si>
  <si>
    <t>Socle pour goulotte queraz h85mm x p56mm L200mm 1 compartiment alu anodisé</t>
  </si>
  <si>
    <t>94.3635€</t>
  </si>
  <si>
    <t>GBA501311ALU</t>
  </si>
  <si>
    <t>Socle pour goulotte queraz h134mm x p56mm L200mm 2 compartiments alu anodisé</t>
  </si>
  <si>
    <t>113.8555€</t>
  </si>
  <si>
    <t>GBA501611ALU</t>
  </si>
  <si>
    <t>Socle pour goulotte queraz h162mm x p56mm L200mm 3 compartiments alu anodisé</t>
  </si>
  <si>
    <t>132.4785€</t>
  </si>
  <si>
    <t>GBA4529016</t>
  </si>
  <si>
    <t>Couvercle p goulotte queraz h54mmxp54mm L200mm 1 compartiment alu RAL 9016 Pure</t>
  </si>
  <si>
    <t>16.8465€</t>
  </si>
  <si>
    <t>GBA5005019016</t>
  </si>
  <si>
    <t>Socle pour goulotte queraz h54mmxp54mm L200mm 1 compartiment alu RAL9016 Pure</t>
  </si>
  <si>
    <t>64.867€</t>
  </si>
  <si>
    <t>GBA5008519016</t>
  </si>
  <si>
    <t>Socle pour goulotte queraz h85mm x p56mm L200mm 1 compartiment RAL 9016 Pure</t>
  </si>
  <si>
    <t>122.4905€</t>
  </si>
  <si>
    <t>GBA5013119016</t>
  </si>
  <si>
    <t>Socle pour goulotte queraz h134mmxp56mm L200mm 2compartiments alu RAL 9016 Pure</t>
  </si>
  <si>
    <t>122.078€</t>
  </si>
  <si>
    <t>GBA5016119016</t>
  </si>
  <si>
    <t>Socle pour goulotte queraz h162mmxp56mm L200mm 3compartiments alu RAL 9016 Pure</t>
  </si>
  <si>
    <t>135.4265€</t>
  </si>
  <si>
    <t>GBD5005009011</t>
  </si>
  <si>
    <t>Goulotte appareillable queraz enclipsage direct h 54mm x p 54mm L200mm PVC noire</t>
  </si>
  <si>
    <t xml:space="preserve">HAGIDM03 </t>
  </si>
  <si>
    <t>GOULOTTES GBD</t>
  </si>
  <si>
    <t>20.8285€</t>
  </si>
  <si>
    <t>GBD5008509011</t>
  </si>
  <si>
    <t>Goulotte appareillable queraz enclipsage direct h 85mm x p 56mm L200mm PVC noire</t>
  </si>
  <si>
    <t>28.4075€</t>
  </si>
  <si>
    <t>GBD5013109011</t>
  </si>
  <si>
    <t>Goulotte appareillable queraz enclipsage direct h 134 x p 56mm L200mm PVC noire</t>
  </si>
  <si>
    <t>49.8355€</t>
  </si>
  <si>
    <t>GBD5016109011</t>
  </si>
  <si>
    <t>Goulotte appareillable queraz enclipsage direct h 162 x p 56mm L200mm noire</t>
  </si>
  <si>
    <t>82.1315€</t>
  </si>
  <si>
    <t>GBA50X9</t>
  </si>
  <si>
    <t>Jeu d\'éclisses queraz pour GBA50085/50131/50161 acier</t>
  </si>
  <si>
    <t>8.591€</t>
  </si>
  <si>
    <t>GBD5005009016</t>
  </si>
  <si>
    <t>Goulotte d\'installation GBD 50x50mm 1 compartiment PVC blanc RAL9016. Goulotte appareillable à enclipsage direct. compatible avec l\'appareillage Gallery.</t>
  </si>
  <si>
    <t>20.669€</t>
  </si>
  <si>
    <t>GBD5008509016</t>
  </si>
  <si>
    <t>Goulotte d\'installation GBD 50x85mm 1 compartiment PVC blanc RAL9016. Goulotte appareillable à enclipsage direct. compatible avec l\'appareillage Gallery.</t>
  </si>
  <si>
    <t>28.2975€</t>
  </si>
  <si>
    <t>GBD5010009016</t>
  </si>
  <si>
    <t>Goulotte d\'installation GBD 50x100mm 1 compartiment PVC blanc RAL9016. Goulotte appareillable à enclipsage direct. compatible avec l\'appareillage Gallery.</t>
  </si>
  <si>
    <t>34.628€</t>
  </si>
  <si>
    <t>GBD5013109016</t>
  </si>
  <si>
    <t>Goulotte d\'installation GBD 50x130mm 2 compartiments PVC blanc RAL9016. Goulotte appareillable à enclipsage direct. compatible avec l\'appareillage Gallery.</t>
  </si>
  <si>
    <t>49.2085€</t>
  </si>
  <si>
    <t>GBD5016109016</t>
  </si>
  <si>
    <t>Goulotte d\'installation GBD 50x160mm 3 compartiments PVC blanc RAL9016. Goulotte appareillable à enclipsage direct. compatible avec l\'appareillage Gallery.</t>
  </si>
  <si>
    <t>82.06€</t>
  </si>
  <si>
    <t>GBD5019009016</t>
  </si>
  <si>
    <t>Goulotte d\'installation GBD 50x190mm 3 compartiments PVC blanc RAL9016. Goulotte appareillable à enclipsage direct. compatible avec l\'appareillage Gallery.</t>
  </si>
  <si>
    <t>85.4315€</t>
  </si>
  <si>
    <t>HA70252</t>
  </si>
  <si>
    <t>Couvercle en PC-ABS beha-set pour HA7 40/60/80 x 25mm RAL7035B gris clair</t>
  </si>
  <si>
    <t xml:space="preserve">HAGEDM15 </t>
  </si>
  <si>
    <t>ACCESSOIRES EQUIP. ARMOIRE</t>
  </si>
  <si>
    <t>5.448€</t>
  </si>
  <si>
    <t>HA70252K</t>
  </si>
  <si>
    <t>Couvercle en PC-ABS beha-set pour HA7 25 x 25mm RAL7035B gris clair</t>
  </si>
  <si>
    <t>9.48€</t>
  </si>
  <si>
    <t>4.836€</t>
  </si>
  <si>
    <t>HA70402</t>
  </si>
  <si>
    <t>Couvercle en PC-ABS beha-set pour HA7 leur 40mm RAL7035B gris clair</t>
  </si>
  <si>
    <t>6.882€</t>
  </si>
  <si>
    <t>HA70602</t>
  </si>
  <si>
    <t>Couvercle en PC-ABS beha-set pour HA7 leur 60mm RAL7035B gris clair</t>
  </si>
  <si>
    <t>8.88€</t>
  </si>
  <si>
    <t>HA70802</t>
  </si>
  <si>
    <t>Couvercle en PC-ABS beha-set pour HA7 leur 80mm RAL7035B gris clair</t>
  </si>
  <si>
    <t>9.564€</t>
  </si>
  <si>
    <t>HA71002</t>
  </si>
  <si>
    <t>Couvercle en PC-ABS beha-set pour HA7 leur 100mm RAL7035B gris clair</t>
  </si>
  <si>
    <t>10.434€</t>
  </si>
  <si>
    <t>HA71202</t>
  </si>
  <si>
    <t>Couvercle en PC-ABS beha-set pour HA7 leur 120mm RAL7035B gris clair</t>
  </si>
  <si>
    <t>11.886€</t>
  </si>
  <si>
    <t>L22357030</t>
  </si>
  <si>
    <t>Embout de fermeture beha-set droit-gauche pour RK150 RAL 7030 gris</t>
  </si>
  <si>
    <t>30.876€</t>
  </si>
  <si>
    <t>L22357035</t>
  </si>
  <si>
    <t>Embout de fermeture beha-set droit-gauche pour RK150 RAL 7035 gris clair</t>
  </si>
  <si>
    <t>32.202€</t>
  </si>
  <si>
    <t>L22359010</t>
  </si>
  <si>
    <t>Embout de fermeture beha-set droit-gauche pour RK150 RAL 9010 blanc paloma</t>
  </si>
  <si>
    <t>32.868€</t>
  </si>
  <si>
    <t>L22367030</t>
  </si>
  <si>
    <t>Embout de fermeture beha-set droit-gauche pour RK110 RAL 7030 gris</t>
  </si>
  <si>
    <t>25.272€</t>
  </si>
  <si>
    <t>L22367035</t>
  </si>
  <si>
    <t>Embout de fermeture beha-set droit-gauche pour RK110 RAL 7035 gris clair</t>
  </si>
  <si>
    <t>L22369010</t>
  </si>
  <si>
    <t>Embout de fermeture beha-set droit-gauche pour RK110 RAL 9010 blanc paloma</t>
  </si>
  <si>
    <t>29.238€</t>
  </si>
  <si>
    <t>L22397030</t>
  </si>
  <si>
    <t>Embout de fermeture beha-set droit-gauche pour RK190 RAL 7030 gris</t>
  </si>
  <si>
    <t>36.552€</t>
  </si>
  <si>
    <t>L22397035</t>
  </si>
  <si>
    <t>Embout de fermeture beha-set droit-gauche pour RK190 RAL 7035 gris clair</t>
  </si>
  <si>
    <t>36.942€</t>
  </si>
  <si>
    <t>L22399010</t>
  </si>
  <si>
    <t>Embout de fermeture beha-set droit-gauche pour RK190 RAL 9010 blanc paloma</t>
  </si>
  <si>
    <t>38.424€</t>
  </si>
  <si>
    <t>L23207030</t>
  </si>
  <si>
    <t>Embout de fermeture beha-set droit-gauche pour RK230 RAL 7030 gris</t>
  </si>
  <si>
    <t>35.424€</t>
  </si>
  <si>
    <t>L23207035</t>
  </si>
  <si>
    <t>Embout de fermeture beha-set droit-gauche pour RK230 RAL 7035 gris clair</t>
  </si>
  <si>
    <t>34.896€</t>
  </si>
  <si>
    <t>L5067</t>
  </si>
  <si>
    <t>Rivet expansible beha-set diam 6mm pour épaisseur 3mm-8mm</t>
  </si>
  <si>
    <t>0.414€</t>
  </si>
  <si>
    <t>L5123</t>
  </si>
  <si>
    <t>Rivet pour trou de perçage 4mm sans halogene résistance de serrage 4-7mm gris</t>
  </si>
  <si>
    <t>0.378€</t>
  </si>
  <si>
    <t>L5262GRAU</t>
  </si>
  <si>
    <t>Outil de pose beha-set pour rivet L5085 gris</t>
  </si>
  <si>
    <t>139.83€</t>
  </si>
  <si>
    <t>L5263ROT</t>
  </si>
  <si>
    <t>Outil de pose beha-set pour rivet L5123 rouge</t>
  </si>
  <si>
    <t>L5264SCHW</t>
  </si>
  <si>
    <t>Outil de pose beha-set pour rivet L5067 noir</t>
  </si>
  <si>
    <t>M5830</t>
  </si>
  <si>
    <t>Support de profilé beha-set pour RK230</t>
  </si>
  <si>
    <t>35.33€</t>
  </si>
  <si>
    <t>M5848</t>
  </si>
  <si>
    <t>Support de profilé beha-set pour RK110</t>
  </si>
  <si>
    <t>15.648€</t>
  </si>
  <si>
    <t>M5849</t>
  </si>
  <si>
    <t>Support de profilé beha-set pour RK150</t>
  </si>
  <si>
    <t>17.742€</t>
  </si>
  <si>
    <t>M5850</t>
  </si>
  <si>
    <t>Support de profilé beha-set pour RK190</t>
  </si>
  <si>
    <t>17.958€</t>
  </si>
  <si>
    <t>HA725025</t>
  </si>
  <si>
    <t>Goulotte de câblage sans halogène en PC-ABS beha-set l 25mm x p 25mm gris clair</t>
  </si>
  <si>
    <t xml:space="preserve">HAGEAM15 </t>
  </si>
  <si>
    <t>GOULOTTES HNG</t>
  </si>
  <si>
    <t>HA740025</t>
  </si>
  <si>
    <t>Goulotte de câblage sans halogène en PC-ABS beha-set l 25mm x p 40mm gris clair</t>
  </si>
  <si>
    <t>22.656€</t>
  </si>
  <si>
    <t>HA740040</t>
  </si>
  <si>
    <t>Goulotte de câblage sans halogène en PC-ABS beha-set l 40mm x p 40mm gris clair</t>
  </si>
  <si>
    <t>30.33€</t>
  </si>
  <si>
    <t>HA740060</t>
  </si>
  <si>
    <t>Goulotte de câblage sans halogène en PC-ABS beha-set l 60mm x p 40mm gris clair</t>
  </si>
  <si>
    <t>28.506€</t>
  </si>
  <si>
    <t>HA760025</t>
  </si>
  <si>
    <t>Goulotte de câblage sans halogène en PC-ABS beha-set l 25mm x p 60mm gris clair</t>
  </si>
  <si>
    <t>HA760040</t>
  </si>
  <si>
    <t>Goulotte de câblage sans halogène en PC-ABS beha-set l 40mm x p 60mm gris clair</t>
  </si>
  <si>
    <t>32.352€</t>
  </si>
  <si>
    <t>HA760060</t>
  </si>
  <si>
    <t>Goulotte de câblage sans halogène en PC-ABS beha-set l 60mm x p 60mm gris clair</t>
  </si>
  <si>
    <t>37.146€</t>
  </si>
  <si>
    <t>HA760080</t>
  </si>
  <si>
    <t>Goulotte de câblage sans halogène en PC-ABS beha-set l 80mm x p 60mm gris clair</t>
  </si>
  <si>
    <t>48.672€</t>
  </si>
  <si>
    <t>HA760100</t>
  </si>
  <si>
    <t>Goulotte de câblage sans halogène en PC-ABS beha-set l 100mm x p 60mm gris clair</t>
  </si>
  <si>
    <t>65.178€</t>
  </si>
  <si>
    <t>HA760120</t>
  </si>
  <si>
    <t>Goulotte de câblage sans halogène en PC-ABS beha-set l 120mm x p 60mm gris clair</t>
  </si>
  <si>
    <t>83.064€</t>
  </si>
  <si>
    <t>HA780040</t>
  </si>
  <si>
    <t>Goulotte de câblage sans halogène en PC-ABS beha-set l 40mm x p 80mm gris clair</t>
  </si>
  <si>
    <t>42.012€</t>
  </si>
  <si>
    <t>HA780060</t>
  </si>
  <si>
    <t>Goulotte de câblage sans halogène en PC-ABS beha-set l 60mm x p 80mm gris clair</t>
  </si>
  <si>
    <t>55.098€</t>
  </si>
  <si>
    <t>HA780080</t>
  </si>
  <si>
    <t>Goulotte de câblage sans halogène en PC-ABS beha-set l 80mm x p 80mm gris clair</t>
  </si>
  <si>
    <t>76.476€</t>
  </si>
  <si>
    <t>HA780100</t>
  </si>
  <si>
    <t>Goulotte de câblage sans halogène en PC-ABS beha-set l 100mm x p 80mm gris clair</t>
  </si>
  <si>
    <t>HA780120</t>
  </si>
  <si>
    <t>Goulotte de câblage sans halogène en PC-ABS beha-set l 120mm x p 80mm gris clair</t>
  </si>
  <si>
    <t>117.894€</t>
  </si>
  <si>
    <t>HNG2502507035B</t>
  </si>
  <si>
    <t>Goulotte de câblage sans halogène en PPO beha-set h24mm x p24mm noryl gris clair</t>
  </si>
  <si>
    <t>25.746€</t>
  </si>
  <si>
    <t>HNG3702507035B</t>
  </si>
  <si>
    <t>Goulotte de câblage sans halogène en PPO beha-set h36mm x p24mm noryl gris clair</t>
  </si>
  <si>
    <t>25.698€</t>
  </si>
  <si>
    <t>HNG3703707035B</t>
  </si>
  <si>
    <t>Goulotte de câblage sans halogène en PPO beha-set h6mm x p37mm noryl gris clair</t>
  </si>
  <si>
    <t>30.66€</t>
  </si>
  <si>
    <t>HNG3705007035B</t>
  </si>
  <si>
    <t>Goulotte de câblage sans halogène en PPO beha-set h36mm x p39mm noryl gris clair</t>
  </si>
  <si>
    <t>31.344€</t>
  </si>
  <si>
    <t>HNG5002507035B</t>
  </si>
  <si>
    <t>Goulotte de câblage sans halogène en PPO beha-set h49mm x p24mm noryl gris clair</t>
  </si>
  <si>
    <t>HNG5003707035B</t>
  </si>
  <si>
    <t>Goulotte de câblage sans halogène en PPO beha-set h49mm x p37mm noryl gris clair</t>
  </si>
  <si>
    <t>32.688€</t>
  </si>
  <si>
    <t>HNG5005007035B</t>
  </si>
  <si>
    <t>Goulotte de câblage sans halogène en PPO beha-set h49mm x p49mm noryl gris clair</t>
  </si>
  <si>
    <t>38.238€</t>
  </si>
  <si>
    <t>HNG5007507035B</t>
  </si>
  <si>
    <t>Goulotte de câblage sans halogène en PPO beha-set h49mm x p74mm noryl gris clair</t>
  </si>
  <si>
    <t>55.38€</t>
  </si>
  <si>
    <t>HNG5010007035B</t>
  </si>
  <si>
    <t>Goulotte de câblage sans halogène en PPO beha-set h49mm x p99mm noryl gris clair</t>
  </si>
  <si>
    <t>74.172€</t>
  </si>
  <si>
    <t>HNG5012507035B</t>
  </si>
  <si>
    <t>Goulotte de câblage sans halogène en PPO beha-set h49mmxp124mm noryl gris clair</t>
  </si>
  <si>
    <t>91.944€</t>
  </si>
  <si>
    <t>HNG7503707035B</t>
  </si>
  <si>
    <t>Goulotte de câblage sans halogène en PPO beha-set h73mm x p36mm noryl gris clair</t>
  </si>
  <si>
    <t>43.734€</t>
  </si>
  <si>
    <t>HNG7505007035B</t>
  </si>
  <si>
    <t>Goulotte de câblage sans halogène en PPO beha-set h73mm x p49mm noryl gris clair</t>
  </si>
  <si>
    <t>57.414€</t>
  </si>
  <si>
    <t>HNG7507507035B</t>
  </si>
  <si>
    <t>Goulotte de câblage sans halogène en PPO beha-set h73mm x p74mm noryl gris clair</t>
  </si>
  <si>
    <t>79.698€</t>
  </si>
  <si>
    <t>HNG7510007035B</t>
  </si>
  <si>
    <t>Goulotte de câblage sans halogène en PPO beha-set h73mm x p99mm noryl gris clair</t>
  </si>
  <si>
    <t>103.722€</t>
  </si>
  <si>
    <t>HNG7512507035B</t>
  </si>
  <si>
    <t>Goulotte de câblage sans halogène en PPO beha-set h73mmxp124mm noryl gris clair</t>
  </si>
  <si>
    <t>112.464€</t>
  </si>
  <si>
    <t>L2212</t>
  </si>
  <si>
    <t>Goulotte de câblage flexible autocollante sans halogene 10mm L=250mm gris clair</t>
  </si>
  <si>
    <t xml:space="preserve">HAGEBM15 </t>
  </si>
  <si>
    <t>GOULOTTES VK FLEX</t>
  </si>
  <si>
    <t>L2222</t>
  </si>
  <si>
    <t>Goulotte de câblage flexible autocollante sans halogene 20mm L=500mm gris clair</t>
  </si>
  <si>
    <t>L2232</t>
  </si>
  <si>
    <t>Goulotte de câblage flexible autocollante sans halogene 30mm L=500mm gris clair</t>
  </si>
  <si>
    <t>14.424€</t>
  </si>
  <si>
    <t>L2242</t>
  </si>
  <si>
    <t>Goulotte de câblage flexible autocollante sans halogene 40mm L=500mm gris clair</t>
  </si>
  <si>
    <t>22.8€</t>
  </si>
  <si>
    <t>M5690</t>
  </si>
  <si>
    <t>Goulotte de câblage flexible Polyamide sans halogene 10mm L=0,25m gris clair</t>
  </si>
  <si>
    <t>4.722€</t>
  </si>
  <si>
    <t>M5691</t>
  </si>
  <si>
    <t>Goulotte de câblage flexible Polyamide sans halogene 20mm L=0,5m gris clair</t>
  </si>
  <si>
    <t>10.824€</t>
  </si>
  <si>
    <t>M5692</t>
  </si>
  <si>
    <t>Goulotte de câblage flexible Polyamide sans halogene 30mm L=0,5m gris clair</t>
  </si>
  <si>
    <t>12.102€</t>
  </si>
  <si>
    <t>M5693</t>
  </si>
  <si>
    <t>Goulotte de câblage flexible Polyamide sans halogene 40mm L=0,5m gris clair</t>
  </si>
  <si>
    <t>19.896€</t>
  </si>
  <si>
    <t>L4180VERZ</t>
  </si>
  <si>
    <t>Languette de mise à la terre pour couvercle et cloison camelea</t>
  </si>
  <si>
    <t xml:space="preserve">HAGDFM05 </t>
  </si>
  <si>
    <t>PDF LFS</t>
  </si>
  <si>
    <t>2.424€</t>
  </si>
  <si>
    <t>L4181GNGE</t>
  </si>
  <si>
    <t>Fil de terre avec cosses camelea L 150mm</t>
  </si>
  <si>
    <t>5.268€</t>
  </si>
  <si>
    <t>L4182GNGE</t>
  </si>
  <si>
    <t>Fil de terre avec cosses camelea L 300mm</t>
  </si>
  <si>
    <t>5.748€</t>
  </si>
  <si>
    <t>L4183GNGE</t>
  </si>
  <si>
    <t>Fil de terre avec cosses camelea L 600mm</t>
  </si>
  <si>
    <t>6.888€</t>
  </si>
  <si>
    <t>L4187CHRO</t>
  </si>
  <si>
    <t>Borne pour fils de terre camelea</t>
  </si>
  <si>
    <t>3.204€</t>
  </si>
  <si>
    <t>TWS70VERZ</t>
  </si>
  <si>
    <t>Cloison goulotte acier LFS</t>
  </si>
  <si>
    <t>22.338€</t>
  </si>
  <si>
    <t>L4188VERZ</t>
  </si>
  <si>
    <t>Borne de terre BRA/S</t>
  </si>
  <si>
    <t xml:space="preserve">HAGPOM15 </t>
  </si>
  <si>
    <t>ACCESSOIRE COLONNES</t>
  </si>
  <si>
    <t>2.992€</t>
  </si>
  <si>
    <t>L4770</t>
  </si>
  <si>
    <t>Cadre de montage vertical queraz 45mm x 45mm</t>
  </si>
  <si>
    <t xml:space="preserve">HAGDBM05 </t>
  </si>
  <si>
    <t>PDF LF/LFF/FB</t>
  </si>
  <si>
    <t>2.892€</t>
  </si>
  <si>
    <t>LFF601167030</t>
  </si>
  <si>
    <t>Embout lifea pour LF/LFF60110 et LF/LFF40110 gris</t>
  </si>
  <si>
    <t>10.332€</t>
  </si>
  <si>
    <t>M1629</t>
  </si>
  <si>
    <t>Cloison séparation simple pour lifea FB99230</t>
  </si>
  <si>
    <t>34.116€</t>
  </si>
  <si>
    <t>FB6013039016</t>
  </si>
  <si>
    <t>Angle extérieur lifea pour FB60130 RAL 9016 Pure</t>
  </si>
  <si>
    <t>40.242€</t>
  </si>
  <si>
    <t>FB6013049016</t>
  </si>
  <si>
    <t>Angle intérieur lifea pour FB60130 RAL 9016 Pure</t>
  </si>
  <si>
    <t>37.746€</t>
  </si>
  <si>
    <t>FB6013059016</t>
  </si>
  <si>
    <t>Angle plat lifea pour FB60130 RAL 9016 Pure</t>
  </si>
  <si>
    <t>39.21€</t>
  </si>
  <si>
    <t>FB6013069016</t>
  </si>
  <si>
    <t>Embout lifea pour FB 60130 RAL 9016 Pure</t>
  </si>
  <si>
    <t>13.5€</t>
  </si>
  <si>
    <t>FB6013089016</t>
  </si>
  <si>
    <t>Te et croix lifea pour FB60130 RAL 9016 Pure</t>
  </si>
  <si>
    <t>35.214€</t>
  </si>
  <si>
    <t>FB8013039016</t>
  </si>
  <si>
    <t>Angle extérieur lifea pour FB80130 h130mm xp82mm 4 agrafes RAL 9016 Pure</t>
  </si>
  <si>
    <t>134.748€</t>
  </si>
  <si>
    <t>FB8013049016</t>
  </si>
  <si>
    <t>Angle intérieur lifea pour FB80130 h130mmxp82mm 4 agrafes RAL 9016 Pure</t>
  </si>
  <si>
    <t>115.272€</t>
  </si>
  <si>
    <t>FB8013059016</t>
  </si>
  <si>
    <t>Angle plat lifea pour FB80130 h 130mm x p 82mm 4 agrafes RAL 9016 Pure</t>
  </si>
  <si>
    <t>106.74€</t>
  </si>
  <si>
    <t>FB8013069016</t>
  </si>
  <si>
    <t>Embout lifea pour FB80130 RAL 9016 Pure</t>
  </si>
  <si>
    <t>17.124€</t>
  </si>
  <si>
    <t>FB9923039016</t>
  </si>
  <si>
    <t>Angle extérieur lifea pour FB99230 h230mmxp100mm 4 agrafes RAL 9016 Pure</t>
  </si>
  <si>
    <t>275.76€</t>
  </si>
  <si>
    <t>FB9923049016</t>
  </si>
  <si>
    <t>Angle intérieur lifea pour FB99230 h230mmxp100mm 4 agrafes RAL 9016 Pure</t>
  </si>
  <si>
    <t>204.588€</t>
  </si>
  <si>
    <t>FB9923059016</t>
  </si>
  <si>
    <t>Angle plat lifea pour FB99230 h 230mm x p 100mm 4 agrafes RAL 9016 Pure</t>
  </si>
  <si>
    <t>229.578€</t>
  </si>
  <si>
    <t>FB9923069016</t>
  </si>
  <si>
    <t>Embout lifea pour FB99230 RAL 9016 Pure</t>
  </si>
  <si>
    <t>29.01€</t>
  </si>
  <si>
    <t>LF1501569016</t>
  </si>
  <si>
    <t>Embout lifea pour LF15015 RAL 9016 Pure</t>
  </si>
  <si>
    <t>1.308€</t>
  </si>
  <si>
    <t>LF2002069016</t>
  </si>
  <si>
    <t>Embout lifea pour LF20020 RAL 9016 Pure</t>
  </si>
  <si>
    <t>1.98€</t>
  </si>
  <si>
    <t>LF3003039016</t>
  </si>
  <si>
    <t>Angle extérieur lifea pour LF30030 RAL 9016 Pure</t>
  </si>
  <si>
    <t>LF3003049016</t>
  </si>
  <si>
    <t>Angle intérieur lifea pour LF30030 RAL 9016 Pure</t>
  </si>
  <si>
    <t>5.484€</t>
  </si>
  <si>
    <t>LF3003059016</t>
  </si>
  <si>
    <t>Angle plat lifea pour LF30030 RAL 9016 Pure</t>
  </si>
  <si>
    <t>5.724€</t>
  </si>
  <si>
    <t>LF3003069016</t>
  </si>
  <si>
    <t>Embout lifea pour LF30030 RAL 9016 Pure</t>
  </si>
  <si>
    <t>2.076€</t>
  </si>
  <si>
    <t>LF3003089016</t>
  </si>
  <si>
    <t>Té et croix lifea pour LF30030 RAL 9016 Pure</t>
  </si>
  <si>
    <t>LF3004539016</t>
  </si>
  <si>
    <t>Angle extérieur lifea pour LF30045 RAL 9016 Pure</t>
  </si>
  <si>
    <t>6.672€</t>
  </si>
  <si>
    <t>LF3004549016</t>
  </si>
  <si>
    <t>Angle intérieur lifea pour LF30045 RAL 9016 Pure</t>
  </si>
  <si>
    <t>LF3004559016</t>
  </si>
  <si>
    <t>Angle plat lifea pour LF30045 RAL 9016 Pure</t>
  </si>
  <si>
    <t>6.528€</t>
  </si>
  <si>
    <t>LF3004569016</t>
  </si>
  <si>
    <t>Embout lifea pour LF30045 RAL 9016 Pure</t>
  </si>
  <si>
    <t>LF3004589016</t>
  </si>
  <si>
    <t>Té et croix lifea pour LF30045 RAL 9016 Pure</t>
  </si>
  <si>
    <t>5.652€</t>
  </si>
  <si>
    <t>LF3006089016</t>
  </si>
  <si>
    <t>Té et croix lifea pour LF30060 RAL 9016 Pure</t>
  </si>
  <si>
    <t>26.826€</t>
  </si>
  <si>
    <t>LF4004037030</t>
  </si>
  <si>
    <t>Angle extérieur lifea pour LF40040 RAL 7030 gris</t>
  </si>
  <si>
    <t>8.412€</t>
  </si>
  <si>
    <t>LF4004039016</t>
  </si>
  <si>
    <t>Angle extérieur lifea pour LF40040 RAL 9016 Pure</t>
  </si>
  <si>
    <t>LF4004047030</t>
  </si>
  <si>
    <t>Angle intérieur lifea pour LF40040 RAL 7030 gris</t>
  </si>
  <si>
    <t>7.896€</t>
  </si>
  <si>
    <t>LF4004049016</t>
  </si>
  <si>
    <t>Angle intérieur lifea pour LF40040 RAL 9016 Pure</t>
  </si>
  <si>
    <t>LF4004057030</t>
  </si>
  <si>
    <t>Angle plat lifea pour LF40040 RAL 7030 gris</t>
  </si>
  <si>
    <t>7.26€</t>
  </si>
  <si>
    <t>LF4004059016</t>
  </si>
  <si>
    <t>Angle plat lifea pour LF40040 RAL 9016 Pure</t>
  </si>
  <si>
    <t>8.184€</t>
  </si>
  <si>
    <t>LF4004067030</t>
  </si>
  <si>
    <t>Embout lifea pour LF40040 RAL 7030 gris</t>
  </si>
  <si>
    <t>2.946€</t>
  </si>
  <si>
    <t>LF4004069016</t>
  </si>
  <si>
    <t>Embout lifea pour LF40040 RAL 9016 Pure</t>
  </si>
  <si>
    <t>LF4004087030</t>
  </si>
  <si>
    <t>Té et Croix lifea pour LF40040 RAL 7030 gris</t>
  </si>
  <si>
    <t>7.92€</t>
  </si>
  <si>
    <t>LF4004089016</t>
  </si>
  <si>
    <t>Té et Croix lifea pour LF40040 RAL 9016 Pure</t>
  </si>
  <si>
    <t>LF4006087030</t>
  </si>
  <si>
    <t>Té et croix lifea pour LF40060/61 RAL 7030 gris</t>
  </si>
  <si>
    <t>28.788€</t>
  </si>
  <si>
    <t>LF4006089016</t>
  </si>
  <si>
    <t>Té et croix lifea pour LF40060/61 RAL 9016 Pure</t>
  </si>
  <si>
    <t>LF4009087030</t>
  </si>
  <si>
    <t>Té et croix lifea pour LF40090/91 RAL 7030 gris</t>
  </si>
  <si>
    <t>32.562€</t>
  </si>
  <si>
    <t>LF4009089016</t>
  </si>
  <si>
    <t>Té et croix lifea pour LF40090/91 RAL 9016 Pure</t>
  </si>
  <si>
    <t>32.07€</t>
  </si>
  <si>
    <t>LF4011089016</t>
  </si>
  <si>
    <t>Té et croix lifea pour LF40110 RAL 9016 Pure</t>
  </si>
  <si>
    <t>35.034€</t>
  </si>
  <si>
    <t>LF6006087030</t>
  </si>
  <si>
    <t>Té et croix lifea pour LF60060 RAL 7030 gris</t>
  </si>
  <si>
    <t>30.24€</t>
  </si>
  <si>
    <t>LF6006089016</t>
  </si>
  <si>
    <t>Té et croix lifea pour LF 60060 RAL 9016 Pure</t>
  </si>
  <si>
    <t>LF6009087030</t>
  </si>
  <si>
    <t>Té et croix lifea pour LF60090 RAL 7030 gris</t>
  </si>
  <si>
    <t>33.648€</t>
  </si>
  <si>
    <t>LF6009089016</t>
  </si>
  <si>
    <t>Té et croix lifea pour LF60090 RAL 9016 Pure</t>
  </si>
  <si>
    <t>LF6011039016</t>
  </si>
  <si>
    <t>Angle extérieur lifea pour LF/FB60110 RAL 9016 Pure</t>
  </si>
  <si>
    <t>35.778€</t>
  </si>
  <si>
    <t>LF6011049016</t>
  </si>
  <si>
    <t>Angle intérieur lifea pour LF/FB60110 RAL 9016 Pure</t>
  </si>
  <si>
    <t>33.6€</t>
  </si>
  <si>
    <t>LF6011059016</t>
  </si>
  <si>
    <t>Angle plat lifea pour LF/FB60110 RAL 9016 Pure</t>
  </si>
  <si>
    <t>34.812€</t>
  </si>
  <si>
    <t>LF6011069016</t>
  </si>
  <si>
    <t>Embout lifea pour LF60110/111 RAL 9016 Pure</t>
  </si>
  <si>
    <t>11.514€</t>
  </si>
  <si>
    <t>LF6011087030</t>
  </si>
  <si>
    <t>Té et croix lifea pour LF/FB60110 RAL 7030 gris</t>
  </si>
  <si>
    <t>34.866€</t>
  </si>
  <si>
    <t>LF6011089016</t>
  </si>
  <si>
    <t>Té et croix lifea pour LF/FB60110 RAL 9016 Pure</t>
  </si>
  <si>
    <t>LF6015037030</t>
  </si>
  <si>
    <t>Angle extérieur lifea pour LF/FB60150 RAL 7030 gris</t>
  </si>
  <si>
    <t>44.874€</t>
  </si>
  <si>
    <t>LF6015039016</t>
  </si>
  <si>
    <t>Angle extérieur lifea pour LF/FB60150 RAL 9016 Pure</t>
  </si>
  <si>
    <t>LF6015047030</t>
  </si>
  <si>
    <t>Angle intérieur lifea pour LF/FB60150 RAL 7030 gris</t>
  </si>
  <si>
    <t>42.054€</t>
  </si>
  <si>
    <t>LF6015049016</t>
  </si>
  <si>
    <t>Angle intérieur lifea pour LF/FB60150 RAL 9016 Pure</t>
  </si>
  <si>
    <t>LF6015057030</t>
  </si>
  <si>
    <t>Angle plat lifea pour LF/FB60150 RAL 7030 gris</t>
  </si>
  <si>
    <t>43.794€</t>
  </si>
  <si>
    <t>LF6015059016</t>
  </si>
  <si>
    <t>Angle plat lifea pour LF/FB60150 RAL 9016 Pure</t>
  </si>
  <si>
    <t>LF6015067030</t>
  </si>
  <si>
    <t>Embout lifea pour LF/FB60150 RAL 7030 gris</t>
  </si>
  <si>
    <t>13.134€</t>
  </si>
  <si>
    <t>LF6015069016</t>
  </si>
  <si>
    <t>Embout lifea pour LF/FB60150 RAL 9016 Pure</t>
  </si>
  <si>
    <t>LF6015087030</t>
  </si>
  <si>
    <t>Té et croix lifea pour LF/FB60150 RAL 7030 gris</t>
  </si>
  <si>
    <t>44.286€</t>
  </si>
  <si>
    <t>LF6015089016</t>
  </si>
  <si>
    <t>Té et croix lifea pour LF/FB60150 RAL 9016 Pure</t>
  </si>
  <si>
    <t>LF6019039016</t>
  </si>
  <si>
    <t>Angle extérieur lifea pour LF/FB60190 RAL 9016 Pure</t>
  </si>
  <si>
    <t>60.402€</t>
  </si>
  <si>
    <t>LF6019049016</t>
  </si>
  <si>
    <t>Angle intérieur lifea pour LF/FB60190 RAL 9016 Pure</t>
  </si>
  <si>
    <t>56.622€</t>
  </si>
  <si>
    <t>LF6019059016</t>
  </si>
  <si>
    <t>Angle plat lifea pour LF/FB60190 RAL 9016 Pure</t>
  </si>
  <si>
    <t>59.01€</t>
  </si>
  <si>
    <t>LF6019069016</t>
  </si>
  <si>
    <t>Embout lifea pour LF/FB60190 RAL 9016 Pure</t>
  </si>
  <si>
    <t>14.142€</t>
  </si>
  <si>
    <t>LF6019089016</t>
  </si>
  <si>
    <t>Té et croix lifea pour LF/FB60190 RAL 9016 Pure</t>
  </si>
  <si>
    <t>59.556€</t>
  </si>
  <si>
    <t>LF6023039016</t>
  </si>
  <si>
    <t>Angle extérieur lifea pour LF/FB60230 RAL 9016 Pure</t>
  </si>
  <si>
    <t>73.506€</t>
  </si>
  <si>
    <t>LF6023049016</t>
  </si>
  <si>
    <t>Angle intérieur lifea pour LF/FB60230 RAL 9016 Pure</t>
  </si>
  <si>
    <t>68.946€</t>
  </si>
  <si>
    <t>LF6023059016</t>
  </si>
  <si>
    <t>Angle plat lifea pour LF/FB60230 RAL 9016 Pure</t>
  </si>
  <si>
    <t>71.73€</t>
  </si>
  <si>
    <t>LF6023069016</t>
  </si>
  <si>
    <t>Embout lifea pour LF/FB60230 RAL 9016 Pure</t>
  </si>
  <si>
    <t>17.592€</t>
  </si>
  <si>
    <t>LF6023089016</t>
  </si>
  <si>
    <t>Té et croix lifea pour LF/FB60230 RAL 9016 Pure</t>
  </si>
  <si>
    <t>72.336€</t>
  </si>
  <si>
    <t>LFF06079016</t>
  </si>
  <si>
    <t>Joint de couvercle lifea pour LF/LFF leur 60 RAL 9016 Pure</t>
  </si>
  <si>
    <t>3.894€</t>
  </si>
  <si>
    <t>LFF09079016</t>
  </si>
  <si>
    <t>Joint de couvercle lifea pour LF/LFF leur 90 RAL 9016 Pure</t>
  </si>
  <si>
    <t>7.332€</t>
  </si>
  <si>
    <t>LFF11079016</t>
  </si>
  <si>
    <t>Joint de couvercle lifea pour LF/LFF leur 110 RAL 9016 Pure</t>
  </si>
  <si>
    <t>7.308€</t>
  </si>
  <si>
    <t>LFF2003539016</t>
  </si>
  <si>
    <t>Angle extérieur lifea pour LF20035/36 RAL 9016 Pure</t>
  </si>
  <si>
    <t>LFF2003549016</t>
  </si>
  <si>
    <t>Angle intérieur lifea pour LF20035/36 RAL 9016 Pure</t>
  </si>
  <si>
    <t>4.806€</t>
  </si>
  <si>
    <t>LFF2003559016</t>
  </si>
  <si>
    <t>Angle plat lifea pour LF20035/36 RAL 9016 Pure</t>
  </si>
  <si>
    <t>4.992€</t>
  </si>
  <si>
    <t>LFF2003569016</t>
  </si>
  <si>
    <t>Embout lifea pour LF20035/36 RAL 9016 Pure</t>
  </si>
  <si>
    <t>2.4€</t>
  </si>
  <si>
    <t>LFF2003579016</t>
  </si>
  <si>
    <t>Couvercle de jonction LF 20035/36 RAL 9</t>
  </si>
  <si>
    <t>2.466€</t>
  </si>
  <si>
    <t>LFF2003589016</t>
  </si>
  <si>
    <t>Té et croix lifea pour LF20035/36 RAL 9016 Pure</t>
  </si>
  <si>
    <t>5.988€</t>
  </si>
  <si>
    <t>LFF3006039016</t>
  </si>
  <si>
    <t>Angle extérieur variable lifea pour LF/LFF30060 h57mmxp30mm RAL9016 Pure</t>
  </si>
  <si>
    <t>27.012€</t>
  </si>
  <si>
    <t>LFF3006049016</t>
  </si>
  <si>
    <t>Angle intérieur variable lifea p LF/LFF30060 h57mm x p30mm RAL 9016 Pure</t>
  </si>
  <si>
    <t>26.88€</t>
  </si>
  <si>
    <t>LFF3006059016</t>
  </si>
  <si>
    <t>Angle plat variable lifea pour LF/LFF30060 h 57mm x p 30mm RAL 9016 Pure</t>
  </si>
  <si>
    <t>LFF4006039016</t>
  </si>
  <si>
    <t>Angle extérieur variable lifea p LF/LFF40060 h57mmxp40mm RAL 9016 Pure</t>
  </si>
  <si>
    <t>28.398€</t>
  </si>
  <si>
    <t>LFF4006049016</t>
  </si>
  <si>
    <t>Angle intérieur variable lifea p LF/LFF40060 h57mm x p40mm RAL 9016 Pure</t>
  </si>
  <si>
    <t>28.248€</t>
  </si>
  <si>
    <t>LFF4006059016</t>
  </si>
  <si>
    <t>Angle plat variable lifea pour LF/LFF40060 h57mm x p40mm RAL 9016 Pure</t>
  </si>
  <si>
    <t>29.136€</t>
  </si>
  <si>
    <t>LFF4009039016</t>
  </si>
  <si>
    <t>Angle extérieur variable lifea p LF/LFF40090 h90mm x p40mm RAL 9016 Pure</t>
  </si>
  <si>
    <t>30.804€</t>
  </si>
  <si>
    <t>LFF4009049016</t>
  </si>
  <si>
    <t>Angle intérieur variable lifea p LF/LFF40090 h90mm x p40mm RAL 9016 Pure</t>
  </si>
  <si>
    <t>LFF4009059016</t>
  </si>
  <si>
    <t>Angle plat variable lifea pour LF/LFF40090 h 90mm x p 40mm RAL 9016 Pure</t>
  </si>
  <si>
    <t>31.626€</t>
  </si>
  <si>
    <t>LFF4011039016</t>
  </si>
  <si>
    <t>Angle extérieur variable lifea p LF/LFF40110 h110mmxp40mm RAL 9016 Pure</t>
  </si>
  <si>
    <t>33.516€</t>
  </si>
  <si>
    <t>LFF4011049016</t>
  </si>
  <si>
    <t>Angle intérieur variable lifea p LF/LFF40110 h110mmxp40mm RAL 9016 Pure</t>
  </si>
  <si>
    <t>33.336€</t>
  </si>
  <si>
    <t>LFF4011059016</t>
  </si>
  <si>
    <t>Angle plat variable lifea pour LF/LFF40110 h110mm x p40mm RAL 9016 Pure</t>
  </si>
  <si>
    <t>34.416€</t>
  </si>
  <si>
    <t>LFF6006039016</t>
  </si>
  <si>
    <t>Angle extérieur variable lifea p LF/LFF60060 h60mmxp60mm RAL 9016 Pure</t>
  </si>
  <si>
    <t>28.962€</t>
  </si>
  <si>
    <t>LFF6006049016</t>
  </si>
  <si>
    <t>Angle intérieur variable lifea p LF/LFF60060 h60mm x p60mm RAL 9016 Pure</t>
  </si>
  <si>
    <t>LFF6006059016</t>
  </si>
  <si>
    <t>Angle plat variable lifea pour LF/LFF60060 h 60mm x p 60mm RAL 9016 Pure</t>
  </si>
  <si>
    <t>29.688€</t>
  </si>
  <si>
    <t>LFF6006069016</t>
  </si>
  <si>
    <t>Embout lifea pour LF/LFF30060.40060.60060 RAL 9016 Pure</t>
  </si>
  <si>
    <t>3.876€</t>
  </si>
  <si>
    <t>LFF6009039016</t>
  </si>
  <si>
    <t>Angle extérieur variable pour LF/LFF60090 h 90mm x p 60mm RAL 9016 Pure</t>
  </si>
  <si>
    <t>31.728€</t>
  </si>
  <si>
    <t>LFF6009049016</t>
  </si>
  <si>
    <t>Angle intérieur variable pour LF/LFF60090 h 90mm x p 60mm RAL 9016 Pure</t>
  </si>
  <si>
    <t>31.608€</t>
  </si>
  <si>
    <t>LFF6009059016</t>
  </si>
  <si>
    <t>Angle plat variable pour LF/LFF60090 h 90mm x p 60mm RAL 9016 Pure</t>
  </si>
  <si>
    <t>32.598€</t>
  </si>
  <si>
    <t>LFF6009069016</t>
  </si>
  <si>
    <t>Embout lifea pour LF/LFF60090 et LF/LFF40090 RAL 9016 Pure</t>
  </si>
  <si>
    <t>8.682€</t>
  </si>
  <si>
    <t>LFF6011039016</t>
  </si>
  <si>
    <t>Angle extérieur variable lifea pour LF/LFF60110 h110xp60mm RAL 9016 Pure</t>
  </si>
  <si>
    <t>33.582€</t>
  </si>
  <si>
    <t>LFF6011049016</t>
  </si>
  <si>
    <t>Angle intérieur variable lifea pour LF/LFF60110 h110xp60mm RAL 9016 Pure</t>
  </si>
  <si>
    <t>33.426€</t>
  </si>
  <si>
    <t>LFF6011059016</t>
  </si>
  <si>
    <t>Angle plat variable lifea pour LF/LFF60110 h110mm x p60mm RAL 9016 Pure</t>
  </si>
  <si>
    <t>34.47€</t>
  </si>
  <si>
    <t>LFF6011069016</t>
  </si>
  <si>
    <t>Embout lifea pour LF/LFF60110 et LF/LFF40110 RAL 9016 Pure</t>
  </si>
  <si>
    <t>LFF60J9016</t>
  </si>
  <si>
    <t>Joint de fond lifea pour LF/LFF profondeur 30/40/60 RAL 9016 Pure</t>
  </si>
  <si>
    <t>5.736€</t>
  </si>
  <si>
    <t>LF1501568014</t>
  </si>
  <si>
    <t>Embout lifea pour LF15015 RAL 8014 marron</t>
  </si>
  <si>
    <t>1.548€</t>
  </si>
  <si>
    <t>LFF4006037030</t>
  </si>
  <si>
    <t>Angle extérieur variable lifea pour LF/LFF40060 h 57mm x p 40mm gris</t>
  </si>
  <si>
    <t>LFF4006047030</t>
  </si>
  <si>
    <t>Angle intérieur variable lifea pour LF/LFF40060 h 57mm x p 40mm RAL 7030gris</t>
  </si>
  <si>
    <t>LFF4006057030</t>
  </si>
  <si>
    <t>Angle plat variable lifea pour LF/LFF40060 h 57mm x p 40mm gris</t>
  </si>
  <si>
    <t>LFF4009037030</t>
  </si>
  <si>
    <t>Angle extérieur variable lifea pour LF/LFF40090 h 90mm x p 40mm RAL 7030 gris</t>
  </si>
  <si>
    <t>LFF4009047030</t>
  </si>
  <si>
    <t>Angle intérieur variable lifea pour LF/LFF40090 h 90mm x p 40mm RAL 7030 gris</t>
  </si>
  <si>
    <t>LFF4009057030</t>
  </si>
  <si>
    <t>Angle plat variable lifea pour LF/LFF40090 h 90mm x p 40mm RAL 7030 gris</t>
  </si>
  <si>
    <t>LFF6006037030</t>
  </si>
  <si>
    <t>Angle extérieur variable lifea pour LF/LFF60060 h 60mm x p 60mm RAL 7030 gris</t>
  </si>
  <si>
    <t>LFF6006047030</t>
  </si>
  <si>
    <t>Angle intérieur variable lifea pour LF/LFF60060 h 60mm x p 60mm RAL 7030 gris</t>
  </si>
  <si>
    <t>LFF6006057030</t>
  </si>
  <si>
    <t>Angle plat variable lifea pour LF/LFF60060 h 60mm x p 60mm RAL 7030 gris</t>
  </si>
  <si>
    <t>LFF6006067030</t>
  </si>
  <si>
    <t>Embout lifea pour LF/LFF30060.40060.60060 RAL 7030 gris</t>
  </si>
  <si>
    <t>LFF6009037030</t>
  </si>
  <si>
    <t>Angle extérieur variable pour LF/LFF60090 h 90mm x p 60mm gris</t>
  </si>
  <si>
    <t>LFF6009047030</t>
  </si>
  <si>
    <t>Angle intérieur variable pour LF/LFF60090 h 90mm x p 60mm gris</t>
  </si>
  <si>
    <t>LFF6009057030</t>
  </si>
  <si>
    <t>Angle plat variable pour LF/LFF60090 h 90mm x p 60mm gris</t>
  </si>
  <si>
    <t>LFF6009067030</t>
  </si>
  <si>
    <t>Embout lifea pour LF/LFF60090 et LF/LFF40090 gris</t>
  </si>
  <si>
    <t>LFF6011037030</t>
  </si>
  <si>
    <t>Angle extérieur variable lifea pour LF/LFF60110 h 110mm x p 60mm gris</t>
  </si>
  <si>
    <t>LFF6011047030</t>
  </si>
  <si>
    <t>Angle intérieur variable lifea pour LF/LFF60110 h110xp60mm gris</t>
  </si>
  <si>
    <t>LFF6011057030</t>
  </si>
  <si>
    <t>Angle plat variable lifea pour LF/LFF60110 h 110mm x p 60mm gris</t>
  </si>
  <si>
    <t>LFF6011067030</t>
  </si>
  <si>
    <t>LF2002068014</t>
  </si>
  <si>
    <t>Embout lifea pour LF20020 RAL 8014 marron</t>
  </si>
  <si>
    <t>2.364€</t>
  </si>
  <si>
    <t>LFF2003538014</t>
  </si>
  <si>
    <t>Angle extérieur lifea pour LF20035/36 RAL 8014 marron</t>
  </si>
  <si>
    <t>5.91€</t>
  </si>
  <si>
    <t>LFF2003548014</t>
  </si>
  <si>
    <t>Angle intérieur lifea pour LF20035/36 RAL 8014 marron</t>
  </si>
  <si>
    <t>5.532€</t>
  </si>
  <si>
    <t>LFF2003558014</t>
  </si>
  <si>
    <t>Angle plat lifea pour LF20035/36 RAL 8014 marron</t>
  </si>
  <si>
    <t>LFF2003568014</t>
  </si>
  <si>
    <t>Embout lifea pour LF20035/36 RAL 8014 marron</t>
  </si>
  <si>
    <t>2.862€</t>
  </si>
  <si>
    <t>LFF2003578014</t>
  </si>
  <si>
    <t>Couvercle de jonction LF 20035/36 RAL 8</t>
  </si>
  <si>
    <t>2.772€</t>
  </si>
  <si>
    <t>LFF2003588014</t>
  </si>
  <si>
    <t>Té et croix lifea pour LF20035/36 RAL 8014 marron</t>
  </si>
  <si>
    <t>6.954€</t>
  </si>
  <si>
    <t>L5412</t>
  </si>
  <si>
    <t>Goupille Jonction GBA/BRA/BRAN</t>
  </si>
  <si>
    <t xml:space="preserve">HAGACM15 </t>
  </si>
  <si>
    <t>PDF BRA BR</t>
  </si>
  <si>
    <t>0.6215€</t>
  </si>
  <si>
    <t>L5802</t>
  </si>
  <si>
    <t>Sachet de bornes de masse BRA (25xFond, 25xCouv.)</t>
  </si>
  <si>
    <t xml:space="preserve">HAGILM03 </t>
  </si>
  <si>
    <t>ACCESSOIRE APP BR/BR</t>
  </si>
  <si>
    <t>118.5184€</t>
  </si>
  <si>
    <t>LFF79H</t>
  </si>
  <si>
    <t>boîtier isolation lifea pour support 45x45mm pour LFF71H/N/S090/110</t>
  </si>
  <si>
    <t xml:space="preserve">HAGISM03 </t>
  </si>
  <si>
    <t>SUPPORTS APPAREILL.LINEA</t>
  </si>
  <si>
    <t>4.6332€</t>
  </si>
  <si>
    <t>LFF79U</t>
  </si>
  <si>
    <t>boîtier isolation lifea pour support entraxe 60mm pour LFF71U090/110</t>
  </si>
  <si>
    <t>LFF71H0909016</t>
  </si>
  <si>
    <t>Support appareillage lifea simple entraxe 45x45mm pour LFF40/60090 RAL9016 Pure</t>
  </si>
  <si>
    <t>4.2172€</t>
  </si>
  <si>
    <t>LFF71H0999016</t>
  </si>
  <si>
    <t>10 extensions pour support appareillage lifea LFF71H090Pure RAL 9016 Pure</t>
  </si>
  <si>
    <t>14.6224€</t>
  </si>
  <si>
    <t>LFF71H1109016</t>
  </si>
  <si>
    <t>Support appareillage lifea simple entraxe 45x45mm pour LFF40/60110 RAL9016 Pure</t>
  </si>
  <si>
    <t>4.8776€</t>
  </si>
  <si>
    <t>LFF71H1199016</t>
  </si>
  <si>
    <t>10 extensions pour support appareillage lifea LFF71H110 RAL 9016 Pure</t>
  </si>
  <si>
    <t>30.3€</t>
  </si>
  <si>
    <t>15.2828€</t>
  </si>
  <si>
    <t>LFF71U0909016</t>
  </si>
  <si>
    <t>Support appareillage lifea entraxe 60mm pour LFF40/60090 RAL 9016 Pure</t>
  </si>
  <si>
    <t>6.9212€</t>
  </si>
  <si>
    <t>LFF71U1109016</t>
  </si>
  <si>
    <t>Support appareillage lifea entraxe 60mm pour LFF40/60110 RAL 9016 Pure</t>
  </si>
  <si>
    <t>8.0288€</t>
  </si>
  <si>
    <t>LFF71Z1109016</t>
  </si>
  <si>
    <t>Support prise lifea CEE pour LFF60110Pure RAL 9016 Pure</t>
  </si>
  <si>
    <t>36.036€</t>
  </si>
  <si>
    <t>LFS200200VERZ</t>
  </si>
  <si>
    <t>Goulotte camelea h19mm x p18mm (VERZ) acier galvanisé</t>
  </si>
  <si>
    <t xml:space="preserve">HAGDEM05 </t>
  </si>
  <si>
    <t>GOULOTTES LFS</t>
  </si>
  <si>
    <t>19.87€</t>
  </si>
  <si>
    <t>LFS300450VERZ</t>
  </si>
  <si>
    <t>Goulotte 30045.acier.galvanisé</t>
  </si>
  <si>
    <t>26.975€</t>
  </si>
  <si>
    <t>LFS400600VERZ</t>
  </si>
  <si>
    <t>Goulotte camelea h40mm x p60mm + 4 agrafes M6290 (VERZ) acier galvanisé</t>
  </si>
  <si>
    <t>49.37€</t>
  </si>
  <si>
    <t>LFS600600VERZ</t>
  </si>
  <si>
    <t>Goulotte camelea h60mm x p60mm + 4 agrafes M6290 (VERZ) acier galvanisé</t>
  </si>
  <si>
    <t>53.285€</t>
  </si>
  <si>
    <t>LFS601000VERZ</t>
  </si>
  <si>
    <t>Goulotte camelea h100mm x p60mm + 4 agrafes M6291 (VERZ) acier galvanisé</t>
  </si>
  <si>
    <t>61.455€</t>
  </si>
  <si>
    <t>LFS601500VERZ</t>
  </si>
  <si>
    <t>Goulotte camelea h150mm x p60mm + 4 agrafes M6292 (VERZ) acier galvanisé</t>
  </si>
  <si>
    <t>75.765€</t>
  </si>
  <si>
    <t>LFS602000VERZ</t>
  </si>
  <si>
    <t>Goulotte camelea h200mm x p60mm + 4 agrafes M6293 (VERZ) acier galvanisé</t>
  </si>
  <si>
    <t>44.25€</t>
  </si>
  <si>
    <t>NRF0008A00</t>
  </si>
  <si>
    <t>Nourrice officea vide 8 modules de 22.5</t>
  </si>
  <si>
    <t xml:space="preserve">HAGPTM15 </t>
  </si>
  <si>
    <t>NOURRICE INSTALLATION</t>
  </si>
  <si>
    <t>34.7325€</t>
  </si>
  <si>
    <t>NRF0012A00</t>
  </si>
  <si>
    <t>Nourrice officea vide 12 modules de 22.5</t>
  </si>
  <si>
    <t>54.362€</t>
  </si>
  <si>
    <t>NRF0016A00</t>
  </si>
  <si>
    <t>Nourrice officea vide 16 modules de 22.5</t>
  </si>
  <si>
    <t>61.5175€</t>
  </si>
  <si>
    <t>NRF0020A00</t>
  </si>
  <si>
    <t>Nourrice officea vide 20 modules de 22.5</t>
  </si>
  <si>
    <t>86.6855€</t>
  </si>
  <si>
    <t>NRF0024A00</t>
  </si>
  <si>
    <t>Nourrice officea vide 24 modules de 22.5</t>
  </si>
  <si>
    <t>93.8905€</t>
  </si>
  <si>
    <t>SL151001</t>
  </si>
  <si>
    <t>Socle de plinthe en PVC SL 15x100</t>
  </si>
  <si>
    <t xml:space="preserve">HAGMDM03 </t>
  </si>
  <si>
    <t>PLINTHES SL</t>
  </si>
  <si>
    <t>SL1510029011</t>
  </si>
  <si>
    <t>Couvercle pour plinthe SL15100 noir</t>
  </si>
  <si>
    <t>12.915€</t>
  </si>
  <si>
    <t>SL151002D1</t>
  </si>
  <si>
    <t>Couvercle pour plinthe SL15100 alu</t>
  </si>
  <si>
    <t>SL151002D5</t>
  </si>
  <si>
    <t>Couvercle pour plinthe SL15100 chêne</t>
  </si>
  <si>
    <t>12.415€</t>
  </si>
  <si>
    <t>SL200551</t>
  </si>
  <si>
    <t>Socle plinthe SL20055 noir</t>
  </si>
  <si>
    <t>5.94€</t>
  </si>
  <si>
    <t>SL20055219011</t>
  </si>
  <si>
    <t>Couvercle pour plinthe SL20055 joint de mur, noir</t>
  </si>
  <si>
    <t>9.745€</t>
  </si>
  <si>
    <t>SL2005529011</t>
  </si>
  <si>
    <t>Couvercle pour plinthe SL20055 graphite noir</t>
  </si>
  <si>
    <t>7.61€</t>
  </si>
  <si>
    <t>SL200552D1</t>
  </si>
  <si>
    <t>Couvercle pour plinthe SL20055 alu</t>
  </si>
  <si>
    <t>8.52€</t>
  </si>
  <si>
    <t>SL200552D2</t>
  </si>
  <si>
    <t>Couvercle pour plinthe SL20055 hêtre</t>
  </si>
  <si>
    <t>8.525€</t>
  </si>
  <si>
    <t>SL200552D3</t>
  </si>
  <si>
    <t>Couvercle pour plinthe SL20055 érable</t>
  </si>
  <si>
    <t>SL200552D5</t>
  </si>
  <si>
    <t>Couvercle pour plinthe SL20055 chêne</t>
  </si>
  <si>
    <t>SL200801</t>
  </si>
  <si>
    <t>Socle pour plinthe SL20080 noir</t>
  </si>
  <si>
    <t>7.1€</t>
  </si>
  <si>
    <t>SL20080219011</t>
  </si>
  <si>
    <t>Couvercle pour plinthe SL20080 joint de mur, noir</t>
  </si>
  <si>
    <t>13.035€</t>
  </si>
  <si>
    <t>SL2008029011</t>
  </si>
  <si>
    <t>Couvercle pour plinthe SL20080 graphite noir</t>
  </si>
  <si>
    <t>10.155€</t>
  </si>
  <si>
    <t>SL200802D1</t>
  </si>
  <si>
    <t>Couvercle pour plinthe SL20080 alu</t>
  </si>
  <si>
    <t>11.455€</t>
  </si>
  <si>
    <t>SL200802D2</t>
  </si>
  <si>
    <t>Couvercle pour plinthe SL20080 hêtre</t>
  </si>
  <si>
    <t>SL200802D3</t>
  </si>
  <si>
    <t>Couvercle pour plinthe SL20080 érable</t>
  </si>
  <si>
    <t>SL200802D5</t>
  </si>
  <si>
    <t>Couvercle pour plinthe SL20080 chêne</t>
  </si>
  <si>
    <t>SL201151</t>
  </si>
  <si>
    <t>Socle plinthe SL20115 noir</t>
  </si>
  <si>
    <t>SL2011529011</t>
  </si>
  <si>
    <t>Couvercle pour plinthe SL20115 graphite noir</t>
  </si>
  <si>
    <t>SL200801LED</t>
  </si>
  <si>
    <t>Socle pour plinthe LED SL20080</t>
  </si>
  <si>
    <t>SL20080259011</t>
  </si>
  <si>
    <t>Couvercle pour plinthe LED SL20080 Noir</t>
  </si>
  <si>
    <t>SL2008025D1</t>
  </si>
  <si>
    <t>Couvercle pour plinthe LED SL20080 Alu</t>
  </si>
  <si>
    <t>SL151002F9016</t>
  </si>
  <si>
    <t>Couvercle pour plinthe SL15100 Pure</t>
  </si>
  <si>
    <t>SL20055219016</t>
  </si>
  <si>
    <t>Couvercle pour plinthe SL avec joint de mur 20x55mm Blanc. Se monte sur le socle de plinthe SL200551.</t>
  </si>
  <si>
    <t>SL20055229016</t>
  </si>
  <si>
    <t>Plinthe avec moquette SL20055 Pure</t>
  </si>
  <si>
    <t>SL200552F9016</t>
  </si>
  <si>
    <t>Couvercle pour plinthe SL20055 Pure</t>
  </si>
  <si>
    <t>8.245€</t>
  </si>
  <si>
    <t>SL20080219016</t>
  </si>
  <si>
    <t>Couvercle pour plinthe SL20080 joint de mur. Pure</t>
  </si>
  <si>
    <t>13.04€</t>
  </si>
  <si>
    <t>SL20080229016</t>
  </si>
  <si>
    <t>Plinthe avec moquette SL20080 Pure</t>
  </si>
  <si>
    <t>SL200802F9016</t>
  </si>
  <si>
    <t>Couvercle pour plinthe SL20080 Pure</t>
  </si>
  <si>
    <t>6.585€</t>
  </si>
  <si>
    <t>SL201152F9016</t>
  </si>
  <si>
    <t>Couvercle pour plinthe SL20115 Pure</t>
  </si>
  <si>
    <t>20.97€</t>
  </si>
  <si>
    <t>10.17€</t>
  </si>
  <si>
    <t>SL1510039011</t>
  </si>
  <si>
    <t>Angle extérieur pour plinthe SL15100 noir</t>
  </si>
  <si>
    <t xml:space="preserve">HAGMEM03 </t>
  </si>
  <si>
    <t>PDF SL</t>
  </si>
  <si>
    <t>8.935€</t>
  </si>
  <si>
    <t>SL151003D1</t>
  </si>
  <si>
    <t>Angle extérieur pour plinthe SL15100 alu</t>
  </si>
  <si>
    <t>SL151003D5</t>
  </si>
  <si>
    <t>Angle extérieur pour plinthe SL15100 chêne</t>
  </si>
  <si>
    <t>SL1510049011</t>
  </si>
  <si>
    <t>Angle intérieur pour plinthe SL15100 noir</t>
  </si>
  <si>
    <t>SL151004D1</t>
  </si>
  <si>
    <t>Angle intérieur pour plinthe SL15100 alu</t>
  </si>
  <si>
    <t>SL151004D5</t>
  </si>
  <si>
    <t>Angle intérieur pour plinthe SL15100 chêne</t>
  </si>
  <si>
    <t>SL1510069011</t>
  </si>
  <si>
    <t>Embout pour plinthe SL15100 noir</t>
  </si>
  <si>
    <t>SL151006D1</t>
  </si>
  <si>
    <t>Embout pour plinthe SL15100 alu</t>
  </si>
  <si>
    <t>SL151006D5</t>
  </si>
  <si>
    <t>Embout pour plinthe SL15100 chêne</t>
  </si>
  <si>
    <t>SL1510079011</t>
  </si>
  <si>
    <t>Joint couvercle pour plinthe SL15100 noir</t>
  </si>
  <si>
    <t>SL151007D1</t>
  </si>
  <si>
    <t>Joint couvercle pour plinthe SL15100 alu</t>
  </si>
  <si>
    <t>SL151007D5</t>
  </si>
  <si>
    <t>Joint couvercle pour plinthe SL15100 chêne</t>
  </si>
  <si>
    <t>SL15100AF9011</t>
  </si>
  <si>
    <t>Pièce recouvrement support d'appareillage pour plinthe SL15100 noir</t>
  </si>
  <si>
    <t>5.68€</t>
  </si>
  <si>
    <t>SL15100AFD1</t>
  </si>
  <si>
    <t>Pièce recouvrement support d'appareillage pour plinthe SL15100 alu</t>
  </si>
  <si>
    <t>SL15100AFD5</t>
  </si>
  <si>
    <t>Pièce recouvrement support d'appareillage pour plinthe SL15100 chêne</t>
  </si>
  <si>
    <t>SL2005539011</t>
  </si>
  <si>
    <t>Angle extérieur variable pour plinthe SL20055 graphite noir</t>
  </si>
  <si>
    <t>7.635€</t>
  </si>
  <si>
    <t>SL200553D1</t>
  </si>
  <si>
    <t>Angle extérieur variable pour plinthe SL20055 alu</t>
  </si>
  <si>
    <t>13.645€</t>
  </si>
  <si>
    <t>SL200553D2</t>
  </si>
  <si>
    <t>Angle extérieur variable pour plinthe SL20055 hêtre</t>
  </si>
  <si>
    <t>13.63€</t>
  </si>
  <si>
    <t>SL200553D3</t>
  </si>
  <si>
    <t>Angle extérieur variable pour plinthe SL20055 érable</t>
  </si>
  <si>
    <t>SL200553D5</t>
  </si>
  <si>
    <t>Angle extérieur variable pour plinthe SL20055 chêne</t>
  </si>
  <si>
    <t>SL2005549011</t>
  </si>
  <si>
    <t>Angle intérieur variable pour plinthe SL20055 graphite noir</t>
  </si>
  <si>
    <t>SL200554D1</t>
  </si>
  <si>
    <t>Angle intérieur variable pour plinthe SL20055 alu</t>
  </si>
  <si>
    <t>SL200554D2</t>
  </si>
  <si>
    <t>Angle intérieur variable pour plinthe SL20055 hêtre</t>
  </si>
  <si>
    <t>SL200554D3</t>
  </si>
  <si>
    <t>Angle intérieur variable pour plinthe SL20055 érable</t>
  </si>
  <si>
    <t>SL200554D5</t>
  </si>
  <si>
    <t>Angle intérieur variable pour plinthe SL20055 chêne</t>
  </si>
  <si>
    <t>SL2005569011</t>
  </si>
  <si>
    <t>Embout pour plinthe SL20055 graphite noir</t>
  </si>
  <si>
    <t>SL200556D1</t>
  </si>
  <si>
    <t>Embout pour plinthe SL20055 alu</t>
  </si>
  <si>
    <t>12.24€</t>
  </si>
  <si>
    <t>SL200556D2</t>
  </si>
  <si>
    <t>Embout pour plinthe SL20055 hêtre</t>
  </si>
  <si>
    <t>12.215€</t>
  </si>
  <si>
    <t>SL200556D3</t>
  </si>
  <si>
    <t>Embout pour plinthe SL20055 érable</t>
  </si>
  <si>
    <t>SL200556D5</t>
  </si>
  <si>
    <t>Embout pour plinthe SL20055 chêne</t>
  </si>
  <si>
    <t>SL2005579011</t>
  </si>
  <si>
    <t>Jonction pour plinthe SL20055 graphite noir</t>
  </si>
  <si>
    <t>4.61€</t>
  </si>
  <si>
    <t>SL200557D1</t>
  </si>
  <si>
    <t>Jonction pour plinthe SL20055 alu</t>
  </si>
  <si>
    <t>8.225€</t>
  </si>
  <si>
    <t>SL200557D2</t>
  </si>
  <si>
    <t>Jonction pour plinthe SL20055 hêtre</t>
  </si>
  <si>
    <t>8.2€</t>
  </si>
  <si>
    <t>SL200557D3</t>
  </si>
  <si>
    <t>Jonction pour plinthe SL20055 érable</t>
  </si>
  <si>
    <t>SL200557D5</t>
  </si>
  <si>
    <t>Jonction pour plinthe SL20055 chêne</t>
  </si>
  <si>
    <t>SL20055819011</t>
  </si>
  <si>
    <t>Adapteur. SL20055/EK 40040. noir</t>
  </si>
  <si>
    <t>16.83€</t>
  </si>
  <si>
    <t>SL2005581D1</t>
  </si>
  <si>
    <t>Adapteur. SL20055/EK 40040. alu</t>
  </si>
  <si>
    <t>30.195€</t>
  </si>
  <si>
    <t>SL2005589011</t>
  </si>
  <si>
    <t>Té. Dérivation. SL20055 graphite noir</t>
  </si>
  <si>
    <t>30.395€</t>
  </si>
  <si>
    <t>SL200558D1</t>
  </si>
  <si>
    <t>Té. Dérivation. SL20055 alu</t>
  </si>
  <si>
    <t>54.28€</t>
  </si>
  <si>
    <t>SL20055A9011</t>
  </si>
  <si>
    <t>Support pièce de recouvrement pour plinthe SL20055 noir</t>
  </si>
  <si>
    <t>4.575€</t>
  </si>
  <si>
    <t>SL20055AD1</t>
  </si>
  <si>
    <t>Support pièce de recouvrement pour plinthe SL20055 alu</t>
  </si>
  <si>
    <t>8.135€</t>
  </si>
  <si>
    <t>SL20055AD2</t>
  </si>
  <si>
    <t>Support pièce de recouvrement pour plinthe SL20055 hêtre</t>
  </si>
  <si>
    <t>8.125€</t>
  </si>
  <si>
    <t>SL20055AD3</t>
  </si>
  <si>
    <t>Support pièce de recouvrement pour plinthe SL20055 érable</t>
  </si>
  <si>
    <t>SL20055AD5</t>
  </si>
  <si>
    <t>Support pièce de recouvrement pour plinthe SL20055 chêne</t>
  </si>
  <si>
    <t>SL20055AF9011</t>
  </si>
  <si>
    <t>Pièce de recouvrement de support d'appareillage pour plinthe SL20055 noir</t>
  </si>
  <si>
    <t>8.28€</t>
  </si>
  <si>
    <t>SL20055AFD1</t>
  </si>
  <si>
    <t>Pièce de recouvrement de support d'appareillage pour plinthe SL20055 alu</t>
  </si>
  <si>
    <t>SL2008039011</t>
  </si>
  <si>
    <t>Angle extérieur variable pour plinthe SL20080 graphite noir</t>
  </si>
  <si>
    <t>8.44€</t>
  </si>
  <si>
    <t>SL200803D1</t>
  </si>
  <si>
    <t>Angle extérieur variable pour plinthe SL20080 alu</t>
  </si>
  <si>
    <t>SL200803D2</t>
  </si>
  <si>
    <t>Angle extérieur variable pour plinthe SL20080 hêtre</t>
  </si>
  <si>
    <t>SL200803D3</t>
  </si>
  <si>
    <t>Angle extérieur variable pour plinthe SL20080 érable</t>
  </si>
  <si>
    <t>SL200803D5</t>
  </si>
  <si>
    <t>Angle extérieur variable pour plinthe SL20080 chêne</t>
  </si>
  <si>
    <t>SL2008049011</t>
  </si>
  <si>
    <t>Angle intérieur variable pour plinthe SL20080 graphite noir</t>
  </si>
  <si>
    <t>SL200804D1</t>
  </si>
  <si>
    <t>Angle intérieur variable pour plinthe SL20080 alu</t>
  </si>
  <si>
    <t>SL200804D2</t>
  </si>
  <si>
    <t>Angle intérieur variable pour plinthe SL20080 hêtre</t>
  </si>
  <si>
    <t>SL200804D3</t>
  </si>
  <si>
    <t>Angle intérieur variable pour plinthe SL20080 érable</t>
  </si>
  <si>
    <t>SL200804D5</t>
  </si>
  <si>
    <t>Angle intérieur variable pour plinthe SL20080 chêne</t>
  </si>
  <si>
    <t>SL2008069011</t>
  </si>
  <si>
    <t>Embout pour plinthe SL20080 graphite noir</t>
  </si>
  <si>
    <t>7.62€</t>
  </si>
  <si>
    <t>SL200806D1</t>
  </si>
  <si>
    <t>Embout pour plinthe SL20080 alu</t>
  </si>
  <si>
    <t>13.53€</t>
  </si>
  <si>
    <t>SL200806D2</t>
  </si>
  <si>
    <t>Embout pour plinthe SL20080 hêtre</t>
  </si>
  <si>
    <t>13.485€</t>
  </si>
  <si>
    <t>SL200806D3</t>
  </si>
  <si>
    <t>Embout pour plinthe SL20080 érable</t>
  </si>
  <si>
    <t>SL200806D5</t>
  </si>
  <si>
    <t>Embout pour plinthe SL20080 chêne</t>
  </si>
  <si>
    <t>SL2008079011</t>
  </si>
  <si>
    <t>Jonction pour plinthe SL20080 graphite noir</t>
  </si>
  <si>
    <t>5.115€</t>
  </si>
  <si>
    <t>SL200807D1</t>
  </si>
  <si>
    <t>Jonction pour plinthe SL20080 alu</t>
  </si>
  <si>
    <t>9.07€</t>
  </si>
  <si>
    <t>SL200807D2</t>
  </si>
  <si>
    <t>Jonction pour plinthe SL20080 hêtre</t>
  </si>
  <si>
    <t>9.065€</t>
  </si>
  <si>
    <t>SL200807D3</t>
  </si>
  <si>
    <t>Jonction pour plinthe SL20080 érable</t>
  </si>
  <si>
    <t>SL200807D5</t>
  </si>
  <si>
    <t>Jonction pour plinthe SL20080 chêne</t>
  </si>
  <si>
    <t>SL20080819011</t>
  </si>
  <si>
    <t>Adapteur. SL20080/EK 40040. noir</t>
  </si>
  <si>
    <t>18.515€</t>
  </si>
  <si>
    <t>SL2008081D1</t>
  </si>
  <si>
    <t>Adapteur. SL20080EK 40040. alu</t>
  </si>
  <si>
    <t>33.1€</t>
  </si>
  <si>
    <t>SL2008089011</t>
  </si>
  <si>
    <t>Té. Dérivation. SL20080 graphite noir</t>
  </si>
  <si>
    <t>33.615€</t>
  </si>
  <si>
    <t>SL200808D1</t>
  </si>
  <si>
    <t>Té. Dérivation. SL20080 alu</t>
  </si>
  <si>
    <t>SL20080AF9011</t>
  </si>
  <si>
    <t>Pièce de recouvrement de support d'appareillage pour plinthe SL20080 noir</t>
  </si>
  <si>
    <t>5.01€</t>
  </si>
  <si>
    <t>SL20080AFD1</t>
  </si>
  <si>
    <t>Pièce de recouvrement de support d'appareillage pour plinthe SL20080 alu</t>
  </si>
  <si>
    <t>SL2011539011</t>
  </si>
  <si>
    <t>Angle Extérieur variable pour plinthe SL20115 graphite noir</t>
  </si>
  <si>
    <t>SL2011549011</t>
  </si>
  <si>
    <t>Angle Intérieur variable pour plinthe SL20115 graphite noir</t>
  </si>
  <si>
    <t>SL2011569011</t>
  </si>
  <si>
    <t>Embout pour plinthe SL20115 graphite noir</t>
  </si>
  <si>
    <t>SL2011579011</t>
  </si>
  <si>
    <t>Jonction pour plinthe SL20115 graphite noir</t>
  </si>
  <si>
    <t>5.73€</t>
  </si>
  <si>
    <t>SL20115819011</t>
  </si>
  <si>
    <t>Adapteur. SL20115/EK 40040. noir</t>
  </si>
  <si>
    <t>18.5€</t>
  </si>
  <si>
    <t>SL2011589011</t>
  </si>
  <si>
    <t>Té. Dérivation. SL20115 graphite noir</t>
  </si>
  <si>
    <t>37.82€</t>
  </si>
  <si>
    <t>SL20115AF9011</t>
  </si>
  <si>
    <t>Pièce de recouvrement de support d'appareillage pour plinthe SL20115 noir</t>
  </si>
  <si>
    <t>5.84€</t>
  </si>
  <si>
    <t>LED06WEISS</t>
  </si>
  <si>
    <t>Bande LED-flex. 6 metres blanc 24V 28.8W IP68</t>
  </si>
  <si>
    <t>208.105€</t>
  </si>
  <si>
    <t>LEDTR030</t>
  </si>
  <si>
    <t>Transformateur 30W/24V pour LED bande pour plinthe SL</t>
  </si>
  <si>
    <t>82.425€</t>
  </si>
  <si>
    <t>LEDTR100</t>
  </si>
  <si>
    <t>Transformateur 100W/24V pour LED bande pour plinthe SL</t>
  </si>
  <si>
    <t>184.68€</t>
  </si>
  <si>
    <t>SL1510039016</t>
  </si>
  <si>
    <t>Angle extérieur pour plinthe SL15100 Pure</t>
  </si>
  <si>
    <t>SL1510049016</t>
  </si>
  <si>
    <t>Angle intérieur pour plinthe SL15100 Pure</t>
  </si>
  <si>
    <t>SL1510069016</t>
  </si>
  <si>
    <t>Embout pour plinthe SL15100 Pure</t>
  </si>
  <si>
    <t>SL1510079016</t>
  </si>
  <si>
    <t>Joint couvercle pour plinthe SL15100 Pure</t>
  </si>
  <si>
    <t>SL15100AF9016</t>
  </si>
  <si>
    <t>Pièce recouvrement support d\'appareillage pour plinthe SL15100 Pure</t>
  </si>
  <si>
    <t>SL2005539016</t>
  </si>
  <si>
    <t>Angle extérieur variable pour plinthe SL20055 Pure</t>
  </si>
  <si>
    <t>SL2005549016</t>
  </si>
  <si>
    <t>Angle intérieur variable pour plinthe SL20055 Pure</t>
  </si>
  <si>
    <t>SL2005569016</t>
  </si>
  <si>
    <t>Embout pour plinthe SL20055 Pure</t>
  </si>
  <si>
    <t>SL2005579016</t>
  </si>
  <si>
    <t>Jonction pour plinthe SL20055 Pure</t>
  </si>
  <si>
    <t>SL20055819016</t>
  </si>
  <si>
    <t>Adapteur. SL20055/EK 40040.Pure</t>
  </si>
  <si>
    <t>SL2005589016</t>
  </si>
  <si>
    <t>Té Dérivation SL20055 blanc</t>
  </si>
  <si>
    <t>SL20055A9016</t>
  </si>
  <si>
    <t>Support pièce de recouvrement pour plinthe SL20055 Pure</t>
  </si>
  <si>
    <t>SL20055AF9016</t>
  </si>
  <si>
    <t>Pièce de recouvrement de support d\'appareillage pour plintheSL20055 Pure</t>
  </si>
  <si>
    <t>SL2008039016</t>
  </si>
  <si>
    <t>Angle extérieur variable pour plinthe SL20080 Pure</t>
  </si>
  <si>
    <t>SL2008049016</t>
  </si>
  <si>
    <t>Angle intérieur variable pour plinthe SL20080 Pure</t>
  </si>
  <si>
    <t>SL2008069016</t>
  </si>
  <si>
    <t>Embout pour plinthe SL20080 Pure</t>
  </si>
  <si>
    <t>SL2008079016</t>
  </si>
  <si>
    <t>Jonction pour plinthe SL20080 Pure</t>
  </si>
  <si>
    <t>SL20080819016</t>
  </si>
  <si>
    <t>Adapteur. SL20080/EK 40040.Pure</t>
  </si>
  <si>
    <t>SL2008089016</t>
  </si>
  <si>
    <t>Té Dérivation SL20080 blanc</t>
  </si>
  <si>
    <t>SL20080AF9016</t>
  </si>
  <si>
    <t>Pièce de recouvrement de support d\'appareillage pour plintheSL20080 Pure</t>
  </si>
  <si>
    <t>SL2011539016</t>
  </si>
  <si>
    <t>Angle Extérieur variable pour plinthe SL20115 Pure</t>
  </si>
  <si>
    <t>SL2011549016</t>
  </si>
  <si>
    <t>Angle Intérieur variable pour plinthe SL20115 Pure</t>
  </si>
  <si>
    <t>SL2011569016</t>
  </si>
  <si>
    <t>Embout pour plinthe SL20115 Pure</t>
  </si>
  <si>
    <t>SL2011579016</t>
  </si>
  <si>
    <t>Jonction pour plinthe SL20115 Pure</t>
  </si>
  <si>
    <t>SL20115819016</t>
  </si>
  <si>
    <t>Adapteur. SL20115/EK 40040.Pure</t>
  </si>
  <si>
    <t>SL2011589016</t>
  </si>
  <si>
    <t>Té Dérivation SL20115 blanc</t>
  </si>
  <si>
    <t>SL20115AF9016</t>
  </si>
  <si>
    <t>Pièce de recouvrement de support d\'appareillage pour plintheSL20115 Pure</t>
  </si>
  <si>
    <t>SL151009709011</t>
  </si>
  <si>
    <t>Support d'appareillage 45x45 pour plinthe SL15100 noir</t>
  </si>
  <si>
    <t xml:space="preserve">HAGMFM03 </t>
  </si>
  <si>
    <t>CAPOTS POUR APP SL</t>
  </si>
  <si>
    <t>19.23€</t>
  </si>
  <si>
    <t>SL15100970D1</t>
  </si>
  <si>
    <t>Support d'appareillage 45x45 pour plinthe SL15100 alu</t>
  </si>
  <si>
    <t>SL15100970D5</t>
  </si>
  <si>
    <t>Support d'appareillage 45x45 pour plinthe SL15100 chêne</t>
  </si>
  <si>
    <t>SL200559039011</t>
  </si>
  <si>
    <t>Support SL20055 nu noir</t>
  </si>
  <si>
    <t>20.06€</t>
  </si>
  <si>
    <t>SL20055903D1</t>
  </si>
  <si>
    <t>Support SL20055 nu alu</t>
  </si>
  <si>
    <t>34.375€</t>
  </si>
  <si>
    <t>SL200559119011</t>
  </si>
  <si>
    <t>Support universel SL20055 noir</t>
  </si>
  <si>
    <t>15.89€</t>
  </si>
  <si>
    <t>SL20055911D1</t>
  </si>
  <si>
    <t>Support universel SL20055 alu</t>
  </si>
  <si>
    <t>27.16€</t>
  </si>
  <si>
    <t>SL200559709011</t>
  </si>
  <si>
    <t>Support d'appareillage 45x45 pour plinthe SL20055 noir</t>
  </si>
  <si>
    <t>15.1€</t>
  </si>
  <si>
    <t>SL20055970D1</t>
  </si>
  <si>
    <t>Support d'appareillage 45x45 pour plinthe SL20055 alu</t>
  </si>
  <si>
    <t>SL200809039011</t>
  </si>
  <si>
    <t>Support SL20080 nu noir</t>
  </si>
  <si>
    <t>22.54€</t>
  </si>
  <si>
    <t>SL20080903D1</t>
  </si>
  <si>
    <t>Support SL20080 nu alu</t>
  </si>
  <si>
    <t>38.61€</t>
  </si>
  <si>
    <t>SL200809119011</t>
  </si>
  <si>
    <t>Support universel SL20080 noir</t>
  </si>
  <si>
    <t>17.77€</t>
  </si>
  <si>
    <t>SL20080911D1</t>
  </si>
  <si>
    <t>Support universel SL20080 alu</t>
  </si>
  <si>
    <t>SL200809709011</t>
  </si>
  <si>
    <t>Support d'appareillage 45x45 pour plinthe SL20080 noir</t>
  </si>
  <si>
    <t>SL20080970D1</t>
  </si>
  <si>
    <t>Support d'appareillage 45x45 pour plinthe SL20080 alu</t>
  </si>
  <si>
    <t>SL20080A9011</t>
  </si>
  <si>
    <t>Support pièce de recouvrement pour plinthe SL20080 noir</t>
  </si>
  <si>
    <t>5.36€</t>
  </si>
  <si>
    <t>SL20080AD1</t>
  </si>
  <si>
    <t>Support pièce de recouvrement pour plinthe SL20080 alu</t>
  </si>
  <si>
    <t>9.15€</t>
  </si>
  <si>
    <t>SL20080AD2</t>
  </si>
  <si>
    <t>Support pièce de recouvrement pour plinthe SL20080 hêtre</t>
  </si>
  <si>
    <t>SL20080AD3</t>
  </si>
  <si>
    <t>Support pièce de recouvrement pour plinthe SL20080 érable</t>
  </si>
  <si>
    <t>SL20080AD5</t>
  </si>
  <si>
    <t>Support pièce de recouvrement pour plinthe SL20080 chêne</t>
  </si>
  <si>
    <t>SL201159039011</t>
  </si>
  <si>
    <t>Support SL20115 nu noir</t>
  </si>
  <si>
    <t>25.99€</t>
  </si>
  <si>
    <t>SL201159119011</t>
  </si>
  <si>
    <t>Support universel SL20115 noir</t>
  </si>
  <si>
    <t>SL201159709011</t>
  </si>
  <si>
    <t>Support d'appareillage 45x45 pour plinthe SL20115 noir</t>
  </si>
  <si>
    <t>SL20115A9011</t>
  </si>
  <si>
    <t>Support pièce de recouvrement pour plinthe SL20115 noir</t>
  </si>
  <si>
    <t>SL200809LED9011</t>
  </si>
  <si>
    <t>Support d'appareillage équipé d'un tranfo LED 30W Noir</t>
  </si>
  <si>
    <t>94.875€</t>
  </si>
  <si>
    <t>SL200809LEDD1</t>
  </si>
  <si>
    <t>Support d'appareillage équipé d'un tranfo LED 30W Alu</t>
  </si>
  <si>
    <t>122.705€</t>
  </si>
  <si>
    <t>SL151009709016</t>
  </si>
  <si>
    <t>Support d\'appareillage 45x45 pour plinthe SL15100 Pure</t>
  </si>
  <si>
    <t>SL200559039016</t>
  </si>
  <si>
    <t>Support SL20055 nu blanc</t>
  </si>
  <si>
    <t>SL200559119016</t>
  </si>
  <si>
    <t>Support universel SL20055 Pure</t>
  </si>
  <si>
    <t>SL200559709016</t>
  </si>
  <si>
    <t>Support d\'appareillage 45x45 pour plinthe SL20055 Pure</t>
  </si>
  <si>
    <t>SL200809039016</t>
  </si>
  <si>
    <t>Support SL20080 nu blanc</t>
  </si>
  <si>
    <t>SL200809119016</t>
  </si>
  <si>
    <t>Support universel SL20080 Pure</t>
  </si>
  <si>
    <t>SL200809709016</t>
  </si>
  <si>
    <t>Support d\'appareillage 45x45 pour plinthe SL20080 Pure</t>
  </si>
  <si>
    <t>SL20080A9016</t>
  </si>
  <si>
    <t>Support pièce de recouvrement pour plinthe SL20080 Pure</t>
  </si>
  <si>
    <t>SL201159039016</t>
  </si>
  <si>
    <t>Support SL20115 nu blanc</t>
  </si>
  <si>
    <t>SL201159119016</t>
  </si>
  <si>
    <t>Support universel SL20115 Pure</t>
  </si>
  <si>
    <t>SL201159709016</t>
  </si>
  <si>
    <t>Support d\'appareillage 45x45 pour plinthe SL20115 Pure</t>
  </si>
  <si>
    <t>SL20115A9016</t>
  </si>
  <si>
    <t>Support pièce de recouvrement pour plinthe SL20115 Pure</t>
  </si>
  <si>
    <t>TN305</t>
  </si>
  <si>
    <t>Coffret de communication éco 4xRJ45 Grade 2TV</t>
  </si>
  <si>
    <t xml:space="preserve">HAHNCM10 </t>
  </si>
  <si>
    <t>COFFRETS DE COM BASIQUES</t>
  </si>
  <si>
    <t>91.0755€</t>
  </si>
  <si>
    <t>TN306</t>
  </si>
  <si>
    <t>Coffret de communication éco 8xRJ45 Grade 2TV</t>
  </si>
  <si>
    <t>121.041€</t>
  </si>
  <si>
    <t>TN405</t>
  </si>
  <si>
    <t>Coffret de communication semi-équipé 4xRJ45 Grade 2TV</t>
  </si>
  <si>
    <t>140.0985€</t>
  </si>
  <si>
    <t>TN415</t>
  </si>
  <si>
    <t>Coffret VDI 2 rangées 26 modules Grade 3TV</t>
  </si>
  <si>
    <t xml:space="preserve">HAHNDM10 </t>
  </si>
  <si>
    <t>COFFRETS VDI EVO</t>
  </si>
  <si>
    <t>325.024€</t>
  </si>
  <si>
    <t>TN425</t>
  </si>
  <si>
    <t>Coffret VDI 2 rangées 26 modules + platine Grade 3TV</t>
  </si>
  <si>
    <t>456.036€</t>
  </si>
  <si>
    <t>TN435</t>
  </si>
  <si>
    <t>Coffret VDI 2 rangées 36 modules + platine Grade 3TV</t>
  </si>
  <si>
    <t>843.913€</t>
  </si>
  <si>
    <t>TRK150M</t>
  </si>
  <si>
    <t>Kit va et vient toutes charges KNX radio</t>
  </si>
  <si>
    <t xml:space="preserve">HADTNM05 </t>
  </si>
  <si>
    <t>KITS MICROMODULE</t>
  </si>
  <si>
    <t>80.1198€</t>
  </si>
  <si>
    <t>TRK151M</t>
  </si>
  <si>
    <t>Kit va et vient variateur toutes charges KNX radio</t>
  </si>
  <si>
    <t>101.8386€</t>
  </si>
  <si>
    <t>TRK152M</t>
  </si>
  <si>
    <t>Kit double va et vient KNX radio</t>
  </si>
  <si>
    <t>124.1784€</t>
  </si>
  <si>
    <t>TRK153M</t>
  </si>
  <si>
    <t>Kit centralisation 3 volets roulant KNX radio</t>
  </si>
  <si>
    <t>165.6612€</t>
  </si>
  <si>
    <t>TRM600</t>
  </si>
  <si>
    <t>Commande pour télérupteur et minuterie KNX Radio</t>
  </si>
  <si>
    <t xml:space="preserve">HADTOM05 </t>
  </si>
  <si>
    <t>VRAC MICROMODULE</t>
  </si>
  <si>
    <t>49.79€</t>
  </si>
  <si>
    <t>TRM690G</t>
  </si>
  <si>
    <t>1 sortie éclairage toutes charges 2 fils + 2 entrées KNX Radio</t>
  </si>
  <si>
    <t>47.5956€</t>
  </si>
  <si>
    <t>TRM691E</t>
  </si>
  <si>
    <t>1 sortie éclairage variateur toutes charges 2 fils + 2 entrées KNX radio</t>
  </si>
  <si>
    <t>69.5448€</t>
  </si>
  <si>
    <t>TRM692G</t>
  </si>
  <si>
    <t>1 sortie volet roulant + 2 entrées KNX radio</t>
  </si>
  <si>
    <t>44.6784€</t>
  </si>
  <si>
    <t>TRM693G</t>
  </si>
  <si>
    <t>Module 1 sortie 3A 230V + 2 entrées, à encastrer, KNX radio</t>
  </si>
  <si>
    <t>TRM694G</t>
  </si>
  <si>
    <t>Module 1 sortie libre de potentiel 4A + 2 entrées, à encastrer, KNX radio</t>
  </si>
  <si>
    <t>49.0412€</t>
  </si>
  <si>
    <t>TRM702A</t>
  </si>
  <si>
    <t>Module 2 entrées à encastrer alimentation pile KNX radio</t>
  </si>
  <si>
    <t>33.7012€</t>
  </si>
  <si>
    <t>XEV200</t>
  </si>
  <si>
    <t>Witty borne de charge IP54 11-22kW M3T2S RFID pour 1 VE</t>
  </si>
  <si>
    <t xml:space="preserve">HAEAFM15 </t>
  </si>
  <si>
    <t>E MOBILITE RESIDENTIEL WITTY PREMIUM</t>
  </si>
  <si>
    <t>1613.184€</t>
  </si>
  <si>
    <t>XEV201C</t>
  </si>
  <si>
    <t>Witty borne de charge IP54 4-7kW M3T2S M2TE RFID IP pour 1 VE</t>
  </si>
  <si>
    <t>2261.79€</t>
  </si>
  <si>
    <t>XEV202</t>
  </si>
  <si>
    <t>Witty borne de charge IP54 11-22kW M3T2S M2TE RFID pour 1 VE</t>
  </si>
  <si>
    <t>1721.88€</t>
  </si>
  <si>
    <t>XEV202C</t>
  </si>
  <si>
    <t>Witty borne de charge IP54 11-22kW M3T2S M2TE RFID IP pour 1 VE</t>
  </si>
  <si>
    <t>2542.506€</t>
  </si>
  <si>
    <t>XEV304</t>
  </si>
  <si>
    <t>Borne de charge VE accessoire Simulateur TIC 1P</t>
  </si>
  <si>
    <t xml:space="preserve">HAECAM15 </t>
  </si>
  <si>
    <t>E MOBILITE ACCESSOIRE WITTY</t>
  </si>
  <si>
    <t>182.4€</t>
  </si>
  <si>
    <t>XEV418</t>
  </si>
  <si>
    <t>Borne de charge VE accessoire Pied de fixation simple XEV1xx XEV2xx</t>
  </si>
  <si>
    <t>452.892€</t>
  </si>
  <si>
    <t>XEV419</t>
  </si>
  <si>
    <t>Borne de charge VE accessoire Pied de fixation double XEV1xx XEV2xx</t>
  </si>
  <si>
    <t>513.258€</t>
  </si>
  <si>
    <t>XEV428</t>
  </si>
  <si>
    <t>Borne de charge VE accessoire Socle à encastrer XEV426</t>
  </si>
  <si>
    <t>116.508€</t>
  </si>
  <si>
    <t>XEV305</t>
  </si>
  <si>
    <t>Borne de charge VE accessoire Simulateur TIC Pour installation triphasée</t>
  </si>
  <si>
    <t>218.49€</t>
  </si>
  <si>
    <t>TRPS120</t>
  </si>
  <si>
    <t>Le Hager TRPS120 est un émetteur-récepteur radio-fréquence pour la télé-information client (TIC). Transmettant de manière sécurisée les informations du compteur Linky vers les bornes équipées de carte TIC radio.</t>
  </si>
  <si>
    <t>140.958€</t>
  </si>
  <si>
    <t>XEVA100</t>
  </si>
  <si>
    <t>Witty accessoire Support de câble pour witty start ou witty share anthracite. Le support peut être posé au mur ou sur la borne de recharge.</t>
  </si>
  <si>
    <t>48.768€</t>
  </si>
  <si>
    <t>XEVA110</t>
  </si>
  <si>
    <t>witty accessoire Pied rectangle design en acier inoxydable pour une borne de recharge witty start ou witty share.</t>
  </si>
  <si>
    <t>446.406€</t>
  </si>
  <si>
    <t>XEVA115</t>
  </si>
  <si>
    <t>witty accessoire Pied rectangle design en acier inoxydable pour deux bornes de recharge witty start ou witty share.</t>
  </si>
  <si>
    <t>505.938€</t>
  </si>
  <si>
    <t>XEVA140</t>
  </si>
  <si>
    <t>Witty accessoire socle pour scellement des pieds XEVA11x (borne  de recharge witty start XEV1Kxx et share XEV1Rxx) et XVA13x (borne de racharge witty one XVR1xx)</t>
  </si>
  <si>
    <t>75.366€</t>
  </si>
  <si>
    <t>XEVA220</t>
  </si>
  <si>
    <t>Witty accessoire Carte Wi-Fi pour borne XEV1K. permet la communication avec l\'application Hager witty pour la visualisation des consommations des recharges VE et le paramétrage au travers d\'un accés Web</t>
  </si>
  <si>
    <t>174.456€</t>
  </si>
  <si>
    <t>XEVA300</t>
  </si>
  <si>
    <t>Witty accessoire lot stickers IOT (face avant) (libre. à clé)</t>
  </si>
  <si>
    <t>27.654€</t>
  </si>
  <si>
    <t>XEVA130</t>
  </si>
  <si>
    <t>Pied tubulaire pour 1 borne de recharge référence XEV1K. XEV1R. RAL7021. compatible avec le kit de scellement XEVA150 et le kit de mise à la terre XEVA116</t>
  </si>
  <si>
    <t>281.874€</t>
  </si>
  <si>
    <t>XEVA135</t>
  </si>
  <si>
    <t>Pied tubulaire pour 2 bornes de recharge référence XEV1K. XEV1R RAL7021. compatible avec le kit de scellement XEVA150 et le kit de mise à la terre XEVA116</t>
  </si>
  <si>
    <t>299.028€</t>
  </si>
  <si>
    <t>XEVA116</t>
  </si>
  <si>
    <t>Witty accessoire kit de mise à la terre des pied rectangles XEVA11x et XVA13x</t>
  </si>
  <si>
    <t>224.556€</t>
  </si>
  <si>
    <t>XEVA150</t>
  </si>
  <si>
    <t>Witty accessoire Socle de scellement pour pied XEVA13x (borne  de recharge witty start XEV1Kxx et share XEV1Rxx)</t>
  </si>
  <si>
    <t>166.134€</t>
  </si>
  <si>
    <t>XEVA160</t>
  </si>
  <si>
    <t>Witty accessoire Gabarit de perçage pour pied XEVA13x</t>
  </si>
  <si>
    <t>57.084€</t>
  </si>
  <si>
    <t>XEVA431</t>
  </si>
  <si>
    <t>witty accessoire Kit de comptage MID pour les bornes de recharge XEV1R en configuration monophasé. livré avec les connecteurs. se pose directement dans la borne</t>
  </si>
  <si>
    <t>128.712€</t>
  </si>
  <si>
    <t>XEVA433</t>
  </si>
  <si>
    <t>witty accessoire Kit de comptage MID pour les bornes de recharge XEV1R en configuration triphasé. livré avec les connecteurs. se pose directement dans la borne</t>
  </si>
  <si>
    <t>256.224€</t>
  </si>
  <si>
    <t>XEVA205</t>
  </si>
  <si>
    <t>Witty accessoire Carte TIC (Télé-Information-Client) Filaire et Radio avec l\'usage du TRPS120 pour borne XEV1K. permet la liaison entre le compteur Linky et la borne witty pour la gestion dynamique de la puissance et la gestion des tarifs.</t>
  </si>
  <si>
    <t>127.266€</t>
  </si>
  <si>
    <t>XEVA240</t>
  </si>
  <si>
    <t>Witty accessoire Carte Ethernet RJ45 pour borne XEV1K équipé de la carte électronique avec roue codeuse. permet la communication avec l\'application Hager witty pour la visualisation des consommations des recharges VE et le paramétrage</t>
  </si>
  <si>
    <t>161.796€</t>
  </si>
  <si>
    <t>XEVA280</t>
  </si>
  <si>
    <t>witty accessoire carte Modem intégrable directement sur la carte électronique de la borne de recharge XEV1R permettant une communication sur un réseau de donnée mobile.</t>
  </si>
  <si>
    <t>184.434€</t>
  </si>
  <si>
    <t>XEVA713</t>
  </si>
  <si>
    <t>Witty accessoire Câble de recharge Mode 3 T2/T2 32A 1P 5m</t>
  </si>
  <si>
    <t>291.48€</t>
  </si>
  <si>
    <t>XEVA714</t>
  </si>
  <si>
    <t>Witty accessoire Câble de recharge Mode 3 T2/T2 32A 1P 7.5m</t>
  </si>
  <si>
    <t>356.25€</t>
  </si>
  <si>
    <t>XEVA733</t>
  </si>
  <si>
    <t>Witty accessoire Câble de recharge Mode 3 T2/T2 32A 3P 5m</t>
  </si>
  <si>
    <t>388.638€</t>
  </si>
  <si>
    <t>XEVA734</t>
  </si>
  <si>
    <t>Witty accessoire Câble de recharge Mode 3 T2/T2 32A 3P 7.5m</t>
  </si>
  <si>
    <t>453.414€</t>
  </si>
  <si>
    <t>XEVA260</t>
  </si>
  <si>
    <t>Carte communicat. witty solar pour XEV1K</t>
  </si>
  <si>
    <t>537.168€</t>
  </si>
  <si>
    <t>XEVA265</t>
  </si>
  <si>
    <t>witty solar Kit lecteur RFID pour borne de recharge XEV1K. nécessite le gestionnaire de supervision et d\'autoconsommation flow pour la gestion des badges.</t>
  </si>
  <si>
    <t>155.502€</t>
  </si>
  <si>
    <t>XVA200</t>
  </si>
  <si>
    <t>Witty one pièce détachée-carte TIC (Télé-Information-Client) Filaire pour XVR1xx</t>
  </si>
  <si>
    <t>64.776€</t>
  </si>
  <si>
    <t>XVA130</t>
  </si>
  <si>
    <t>Pied permettant le montage d\'une borne witty one</t>
  </si>
  <si>
    <t>XVA135</t>
  </si>
  <si>
    <t>Pied permettant le montage de 2 bornes witty one</t>
  </si>
  <si>
    <t>304.434€</t>
  </si>
  <si>
    <t>XVA137</t>
  </si>
  <si>
    <t>L\'accessoire extension pour pieds witty one est une extension se fixant sur la partie supérieure des pieds dans le cadre d\'installation de signalisation.</t>
  </si>
  <si>
    <t>103.638€</t>
  </si>
  <si>
    <t>XVA245</t>
  </si>
  <si>
    <t>La carte de communication XVA245 permet une connexion de la borne de recharge witty one aux opérateurs de points de charge via OCPP dédié à la fonction de chargement des véhicules de flotte à domicile. l\'ajout du compteur MID est conseillé</t>
  </si>
  <si>
    <t>102.108€</t>
  </si>
  <si>
    <t>XVA205</t>
  </si>
  <si>
    <t>Witty one pièce détachée-Carte TIC (Télé-Information-Client) radio pour borne XVR1xx. permet la liaison radio entre le compteur Linky via l\'émetteur TRPS120 et la borne pour la gestion dynamique de la puissance et la gestion des tarifs.</t>
  </si>
  <si>
    <t>XVA610</t>
  </si>
  <si>
    <t>Le compteur monophasé fournit à la bornes de recharge les données énergétiques importées et exportées. elle peut alors réguler sa puissance afin de ne pas dépasser la limite de l\'abonnement et optimiser l\'autoconsommation photovoltaïque.</t>
  </si>
  <si>
    <t>96.504€</t>
  </si>
  <si>
    <t>XVA630</t>
  </si>
  <si>
    <t>Le compteur triphasé fournit à la bornes de recharge les données énergétiques importées et exportées. elle peut alors réguler sa puissance afin de ne pas dépasser la limite de l\'abonnement et optimiser l\'autoconsommation photovoltaïque.</t>
  </si>
  <si>
    <t>115.806€</t>
  </si>
  <si>
    <t>XVA400</t>
  </si>
  <si>
    <t>Lot de 3 badges RFID. de couleur noire ces tags sont au format porteclef pratique pour les accrocher n\'importe ou !</t>
  </si>
  <si>
    <t>19.146€</t>
  </si>
  <si>
    <t>XVA410</t>
  </si>
  <si>
    <t>Lot de 3 badges RFID. de couleur blanche avec impression au recto. ces tags sont faciles à identifier et pratique avec leur format carte de crédit.</t>
  </si>
  <si>
    <t>9.576€</t>
  </si>
  <si>
    <t>XVA420</t>
  </si>
  <si>
    <t>Lot de 10 badges RFID de couleur blanche avec impression au recto. ces tags sont faciles à identifier et pratique avec leur format carte de crédit.</t>
  </si>
  <si>
    <t>XVA285</t>
  </si>
  <si>
    <t>Carte 4G pour borne de recharge</t>
  </si>
  <si>
    <t>99.618€</t>
  </si>
  <si>
    <t>XVA310</t>
  </si>
  <si>
    <t>Carte de comptage avec TC 1 ph</t>
  </si>
  <si>
    <t>87.162€</t>
  </si>
  <si>
    <t>XVA330</t>
  </si>
  <si>
    <t>Carte de comptage avec TC 3ph</t>
  </si>
  <si>
    <t>105.84€</t>
  </si>
  <si>
    <t>XEV904</t>
  </si>
  <si>
    <t>Witty pièce détachée - Prise TE + couvercle + contact XEV1xx. XEV2xx ou XEV6xx</t>
  </si>
  <si>
    <t xml:space="preserve">HAECBM15 </t>
  </si>
  <si>
    <t>E MOBILITE PIECES DETACHEES WITTY</t>
  </si>
  <si>
    <t>86.916€</t>
  </si>
  <si>
    <t>XEV925</t>
  </si>
  <si>
    <t>Witty pièce détachée - Kit complet prise T2S pour XEV2xx</t>
  </si>
  <si>
    <t>358.53€</t>
  </si>
  <si>
    <t>XEV926</t>
  </si>
  <si>
    <t>Witty pièce détachée - Kit complet prises T2S+TE pour XEV2xx</t>
  </si>
  <si>
    <t>XEV928</t>
  </si>
  <si>
    <t>Witty pièce détachée - Carte contrôleur 4 prises pour XEV6xx</t>
  </si>
  <si>
    <t>427.332€</t>
  </si>
  <si>
    <t>XEV936</t>
  </si>
  <si>
    <t>Witty pièce détachée - Carte detection contact collé XEV1xx. XEV2xx et XEV6xx</t>
  </si>
  <si>
    <t>127.2€</t>
  </si>
  <si>
    <t>XEV952</t>
  </si>
  <si>
    <t>Witty pièce détachée - Coiffe Blanche avec autocollant pour XEV6xx</t>
  </si>
  <si>
    <t>228.174€</t>
  </si>
  <si>
    <t>XEV953</t>
  </si>
  <si>
    <t>Witty pièce détachée - Bandeau led pour XEV6xx</t>
  </si>
  <si>
    <t>81.168€</t>
  </si>
  <si>
    <t>XEVS020</t>
  </si>
  <si>
    <t>Witty pièce détachée -  carte LED pour borne witty XEV1Kxx</t>
  </si>
  <si>
    <t>63.414€</t>
  </si>
  <si>
    <t>XEVS030</t>
  </si>
  <si>
    <t>witty pièce détachée -  carte LED IHM pour borne witty XEV1Rxx</t>
  </si>
  <si>
    <t>116.184€</t>
  </si>
  <si>
    <t>XEVS100</t>
  </si>
  <si>
    <t>Witty pièce détachée -  kit couvercle prise gris pour borne witty XEV1K ou XEV1R</t>
  </si>
  <si>
    <t>50.226€</t>
  </si>
  <si>
    <t>XEVS110</t>
  </si>
  <si>
    <t>Witty pièce détachée -  support de prise M3 gris pour borne witty XEV1Kxx</t>
  </si>
  <si>
    <t>43.602€</t>
  </si>
  <si>
    <t>XEVS111</t>
  </si>
  <si>
    <t>Witty pièce détachée -  support de prise M3M2 gris pour borne witty XEV1Kxx</t>
  </si>
  <si>
    <t>XEVS116</t>
  </si>
  <si>
    <t>witty pièce détachée -  support prise M3 gris pour borne witty XEV1Rxx</t>
  </si>
  <si>
    <t>42.96€</t>
  </si>
  <si>
    <t>XEVS117</t>
  </si>
  <si>
    <t>witty pièce détachée -  support prise M3M2 gris pour borne witty XEV1Rxx</t>
  </si>
  <si>
    <t>XEVS120</t>
  </si>
  <si>
    <t>Witty pièce détachée -  couvercle gris pour borne witty XEV1K ou XEV1R</t>
  </si>
  <si>
    <t>103.098€</t>
  </si>
  <si>
    <t>XEVS140</t>
  </si>
  <si>
    <t>Witty pièce détachée -  boîtier gris pour borne witty  XEV1K ou XEV1R</t>
  </si>
  <si>
    <t>78.27€</t>
  </si>
  <si>
    <t>XEVS150</t>
  </si>
  <si>
    <t>Witty pièce détachée -  passe-câble pour borne witty XEV1K ou XEV1R</t>
  </si>
  <si>
    <t>27.048€</t>
  </si>
  <si>
    <t>XEVS200</t>
  </si>
  <si>
    <t>Witty pièce détachée -  prise M3T2S avec verrou 3P pour borne XEV1Kxx</t>
  </si>
  <si>
    <t>339.438€</t>
  </si>
  <si>
    <t>XEVS201</t>
  </si>
  <si>
    <t>Witty pièce détachée -  prise M3T2S avec verrou 1P pour borne XEV1Kxx</t>
  </si>
  <si>
    <t>350.556€</t>
  </si>
  <si>
    <t>XEVS205</t>
  </si>
  <si>
    <t>witty pièce détachée -  prise M3T2S avec verrou 3P pour borne XEV1Rxx</t>
  </si>
  <si>
    <t>338.31€</t>
  </si>
  <si>
    <t>XEVS206</t>
  </si>
  <si>
    <t>witty pièce détachée -  prise M3T2S avec verrou 1P pour borne XEV1Rxx</t>
  </si>
  <si>
    <t>347.664€</t>
  </si>
  <si>
    <t>XEVS210</t>
  </si>
  <si>
    <t>Witty pièce détachée -  prise M2TE  pour borne witty XEV1K ou XEV1R</t>
  </si>
  <si>
    <t>XEVS215</t>
  </si>
  <si>
    <t>Witty pièce détachée -  moteur Prise T2 pour borne witty XEV1K ou XEV1R</t>
  </si>
  <si>
    <t>81.516€</t>
  </si>
  <si>
    <t>XEVS400</t>
  </si>
  <si>
    <t>Witty pièce détachée -  bornier alimentation 1P+N+PE pour borne witty XEV1Kxx</t>
  </si>
  <si>
    <t>XEVS410</t>
  </si>
  <si>
    <t>Witty pièce détachée -  bornier alimentation 3P+N+PE pour borne witty XEV1Kxx</t>
  </si>
  <si>
    <t>45.474€</t>
  </si>
  <si>
    <t>XEVS500</t>
  </si>
  <si>
    <t>Witty pièce détachée -  verrou à clé pour borne witty XEV1Kxx</t>
  </si>
  <si>
    <t>30.612€</t>
  </si>
  <si>
    <t>XEVS060</t>
  </si>
  <si>
    <t>Borne de charge VE accessoire Kit retrofit pour le passage de la communication 1.6soap vers 1.6json pour borne witty park XEV6xxC</t>
  </si>
  <si>
    <t>357.366€</t>
  </si>
  <si>
    <t>XVS000</t>
  </si>
  <si>
    <t>Witty one pièce détachée-Kit accessoires pour borne witty XVR1xx</t>
  </si>
  <si>
    <t>34.182€</t>
  </si>
  <si>
    <t>XVS110</t>
  </si>
  <si>
    <t>Witty one pièce détachée-Couvercle interne d\'étanchéité pour borne witty XVR1xx</t>
  </si>
  <si>
    <t>XVS115</t>
  </si>
  <si>
    <t>Witty one pièce détachée-Carte interface LED pour witty one XVR1xx</t>
  </si>
  <si>
    <t>38.85€</t>
  </si>
  <si>
    <t>XVS120</t>
  </si>
  <si>
    <t>Le couvercle de finition noir graphite RAL 9011 permet le remplacement de la pièce d\'origine de la borne de recharge witty one XVR1xx.</t>
  </si>
  <si>
    <t>56.1€</t>
  </si>
  <si>
    <t>XVS130</t>
  </si>
  <si>
    <t>Plaque de finition Blanc sign. [prise]</t>
  </si>
  <si>
    <t>62.448€</t>
  </si>
  <si>
    <t>XVS140</t>
  </si>
  <si>
    <t>Witty one pièce détachée-Support de fixation pour borne witty XVR1xx</t>
  </si>
  <si>
    <t>39.228€</t>
  </si>
  <si>
    <t>XVS200</t>
  </si>
  <si>
    <t>Witty one pièce détachée-Prise M3 T2S pour borne witty XVR1xx mono et tri</t>
  </si>
  <si>
    <t>127.632€</t>
  </si>
  <si>
    <t>XVS002</t>
  </si>
  <si>
    <t>Kit d'accessoires witty plus/pro</t>
  </si>
  <si>
    <t>51.054€</t>
  </si>
  <si>
    <t>XVS116</t>
  </si>
  <si>
    <t>Carte d'interface HMI witty plus/pro</t>
  </si>
  <si>
    <t>121.254€</t>
  </si>
  <si>
    <t>XVS300</t>
  </si>
  <si>
    <t>Carte de comptage 1-ph/3-ph</t>
  </si>
  <si>
    <t>XVS301</t>
  </si>
  <si>
    <t>Pince TC ouvrante 100A</t>
  </si>
  <si>
    <t>WNT302</t>
  </si>
  <si>
    <t>Cubyko interrupteur KNX filaire 2 entrées, associable, IP55</t>
  </si>
  <si>
    <t xml:space="preserve">HADTCM05 </t>
  </si>
  <si>
    <t>CUBYKO TEBIS</t>
  </si>
  <si>
    <t>76.7232€</t>
  </si>
  <si>
    <t>WNT304</t>
  </si>
  <si>
    <t>Cubyko double interrupteur KNX filaire 4 entrées, associable, IP55</t>
  </si>
  <si>
    <t>92.2266€</t>
  </si>
  <si>
    <t>WNT331</t>
  </si>
  <si>
    <t>Cubyko poussoir KNX filaire 1 entrée, associable, IP55</t>
  </si>
  <si>
    <t>68.985€</t>
  </si>
  <si>
    <t>WNT332</t>
  </si>
  <si>
    <t>Cubyko double poussoir KNX filaire 2 entrées, associable, IP55</t>
  </si>
  <si>
    <t>84.4776€</t>
  </si>
  <si>
    <t>WNT902</t>
  </si>
  <si>
    <t>Cubyko 1 touche KNX coloris gris</t>
  </si>
  <si>
    <t xml:space="preserve">HADTSM05 </t>
  </si>
  <si>
    <t>PALAZZO TEBIS</t>
  </si>
  <si>
    <t>6.8472€</t>
  </si>
  <si>
    <t>WNT902B</t>
  </si>
  <si>
    <t>Cubyko 1 touche KNX coloris blanc</t>
  </si>
  <si>
    <t>7.533€</t>
  </si>
  <si>
    <t>WNT912</t>
  </si>
  <si>
    <t>Cubyko 1 touche KNX à voyant coloris gris</t>
  </si>
  <si>
    <t>10.3086€</t>
  </si>
  <si>
    <t>WNT912B</t>
  </si>
  <si>
    <t>Cubyko 1 touche KNX à voyant coloris blanc</t>
  </si>
  <si>
    <t>11.2914€</t>
  </si>
  <si>
    <t>WNT922</t>
  </si>
  <si>
    <t>Cubyko 1 touche KNX porte-étiquette coloris gris</t>
  </si>
  <si>
    <t>15.4332€</t>
  </si>
  <si>
    <t>WNT922B</t>
  </si>
  <si>
    <t>Cubyko 1 touche KNX porte-étiquette coloris blanc</t>
  </si>
  <si>
    <t>16.5564€</t>
  </si>
  <si>
    <t>WNT932</t>
  </si>
  <si>
    <t>Cubyko 1 touche KNX pour éclairage coloris gris</t>
  </si>
  <si>
    <t>8.397€</t>
  </si>
  <si>
    <t>WNT932B</t>
  </si>
  <si>
    <t>Cubyko 1 touche KNX pour éclairage coloris blanc</t>
  </si>
  <si>
    <t>9.4554€</t>
  </si>
  <si>
    <t>WNT942</t>
  </si>
  <si>
    <t>Cubyko 1 touche KNX pour volet roulant coloris gris</t>
  </si>
  <si>
    <t>WNT942B</t>
  </si>
  <si>
    <t>Cubyko 1 touche KNX pour volet roulant coloris blanc</t>
  </si>
  <si>
    <t>9.2232€</t>
  </si>
  <si>
    <t>WNT944</t>
  </si>
  <si>
    <t>WNT944B</t>
  </si>
  <si>
    <t>Cubyko 2 touches KNX coloris blanc</t>
  </si>
  <si>
    <t>WNT954</t>
  </si>
  <si>
    <t>Cubyko 2 touches KNX à voyants coloris gris</t>
  </si>
  <si>
    <t>WNT954B</t>
  </si>
  <si>
    <t>Cubyko 2 touches KNX à voyants coloris blanc</t>
  </si>
  <si>
    <t>WNT964</t>
  </si>
  <si>
    <t>Cubyko 2 touches KNX pour 2 éclairages coloris gris</t>
  </si>
  <si>
    <t>12.825€</t>
  </si>
  <si>
    <t>WNT964B</t>
  </si>
  <si>
    <t>Cubyko 2 touches KNX pour 2 éclairages coloris blanc</t>
  </si>
  <si>
    <t>14.148€</t>
  </si>
  <si>
    <t>WNT974</t>
  </si>
  <si>
    <t>Cubyko 2 touches KNX pour 2 volets roulants coloris gris</t>
  </si>
  <si>
    <t>12.5172€</t>
  </si>
  <si>
    <t>WNT974B</t>
  </si>
  <si>
    <t>Cubyko 2 touches KNX pour 2 volets roulants coloris blanc</t>
  </si>
  <si>
    <t>14.1534€</t>
  </si>
  <si>
    <t>WNT982</t>
  </si>
  <si>
    <t>Cubyko 2 touches KNX pour 1 volet roulant coloris gris</t>
  </si>
  <si>
    <t>12.5226€</t>
  </si>
  <si>
    <t>WNT982B</t>
  </si>
  <si>
    <t>Cubyko 2 touches KNX pour 1 volet roulant coloris blanc</t>
  </si>
  <si>
    <t>GM113A</t>
  </si>
  <si>
    <t>Coffret Gamma+ 13 pré-équipé SanVis 1 rangée</t>
  </si>
  <si>
    <t xml:space="preserve">HAHBEM15 </t>
  </si>
  <si>
    <t>GAMMA - EQUIPES</t>
  </si>
  <si>
    <t>313.789€</t>
  </si>
  <si>
    <t>GM213A</t>
  </si>
  <si>
    <t>Coffret Gamma+ 13 pré-équipé SanVis 2 rangées</t>
  </si>
  <si>
    <t>245.917€</t>
  </si>
  <si>
    <t>GM313A</t>
  </si>
  <si>
    <t>Coffret Gamma+ 13 pré-équipé SanVis 3 rangées</t>
  </si>
  <si>
    <t>616.546€</t>
  </si>
  <si>
    <t>GM413A</t>
  </si>
  <si>
    <t>Coffret Gamma+ 13 pré-équipé SanVis 4 rangées</t>
  </si>
  <si>
    <t>742.014€</t>
  </si>
  <si>
    <t>GDM113A</t>
  </si>
  <si>
    <t>Tableau électrique gamma+ 13. pré-équipé 1 rangées. 13 Modules. Quickfix</t>
  </si>
  <si>
    <t>262.612€</t>
  </si>
  <si>
    <t>GDM213A</t>
  </si>
  <si>
    <t>Tableau électrique gamma+ 13. pré-équipé 2 rangées. 13 Modules. Quickfix</t>
  </si>
  <si>
    <t>400.624€</t>
  </si>
  <si>
    <t>GDM313A</t>
  </si>
  <si>
    <t>Tableau électrique gamma+ 13. pré-équipé 3 rangées. 13 Modules. Quickfix</t>
  </si>
  <si>
    <t>590.051€</t>
  </si>
  <si>
    <t>GDM413A</t>
  </si>
  <si>
    <t>Tableau électrique gamma+ 13. pré-équipé 4 rangées. 13 Modules. Quickfix</t>
  </si>
  <si>
    <t>724.234€</t>
  </si>
  <si>
    <t>HTG411H</t>
  </si>
  <si>
    <t>Serveur de données multi-énergies + carte micro SD</t>
  </si>
  <si>
    <t xml:space="preserve">HACFTM15 </t>
  </si>
  <si>
    <t>GESTIONNAIRE ENERGIE</t>
  </si>
  <si>
    <t>4364.087€</t>
  </si>
  <si>
    <t>HTG411L</t>
  </si>
  <si>
    <t>serveur de données multi-énergies light</t>
  </si>
  <si>
    <t>3288.621€</t>
  </si>
  <si>
    <t>EE631</t>
  </si>
  <si>
    <t>Projecteur LED 7W blanc detecteur 140°</t>
  </si>
  <si>
    <t xml:space="preserve">HACLEM10 </t>
  </si>
  <si>
    <t>LUMINAIRE LED</t>
  </si>
  <si>
    <t>78.384€</t>
  </si>
  <si>
    <t>EE632</t>
  </si>
  <si>
    <t>Projecteur LED 12W blanc detecteur 140°</t>
  </si>
  <si>
    <t>94.344€</t>
  </si>
  <si>
    <t>EE633</t>
  </si>
  <si>
    <t>Projecteur LED 20W blanc detecteur 140°</t>
  </si>
  <si>
    <t>124.446€</t>
  </si>
  <si>
    <t>EE634</t>
  </si>
  <si>
    <t>Projecteur LED 30W blanc detecteur 140°</t>
  </si>
  <si>
    <t>149.814€</t>
  </si>
  <si>
    <t>EE635</t>
  </si>
  <si>
    <t>Projecteur LED 7W blanc</t>
  </si>
  <si>
    <t>61.632€</t>
  </si>
  <si>
    <t>EE636</t>
  </si>
  <si>
    <t>Projecteur LED 12W blanc</t>
  </si>
  <si>
    <t>81.756€</t>
  </si>
  <si>
    <t>EE637</t>
  </si>
  <si>
    <t>Projecteur LED 20W blanc</t>
  </si>
  <si>
    <t>110.652€</t>
  </si>
  <si>
    <t>EE638</t>
  </si>
  <si>
    <t>Projecteur LED 30W blanc</t>
  </si>
  <si>
    <t>133.704€</t>
  </si>
  <si>
    <t>ECA180D</t>
  </si>
  <si>
    <t>1 Phase kWhmeter direct 80A 2M AGARDIO MID</t>
  </si>
  <si>
    <t xml:space="preserve">HACFSM15 </t>
  </si>
  <si>
    <t>COMPTAGE</t>
  </si>
  <si>
    <t>211.302€</t>
  </si>
  <si>
    <t>ECA300C</t>
  </si>
  <si>
    <t>3 Phase kWhmeter via CT 1A or 5A 4M AGARDIO MID</t>
  </si>
  <si>
    <t>443.184€</t>
  </si>
  <si>
    <t>ECA310D</t>
  </si>
  <si>
    <t>3 Phase kWhmeter direct 125A 6M AGARDIO MID</t>
  </si>
  <si>
    <t>425.145€</t>
  </si>
  <si>
    <t>ECA380D</t>
  </si>
  <si>
    <t>3 Phase kWhmeter direct 80A 4M AGARDIO MID</t>
  </si>
  <si>
    <t>386.498€</t>
  </si>
  <si>
    <t>ECM140D</t>
  </si>
  <si>
    <t>Compteur monophasé direct 40A 1M MBUS MID</t>
  </si>
  <si>
    <t>164.927€</t>
  </si>
  <si>
    <t>ECM180D</t>
  </si>
  <si>
    <t>Compteur monophasé direct 80A 2M MBUS MID</t>
  </si>
  <si>
    <t>188.111€</t>
  </si>
  <si>
    <t>ECM300C</t>
  </si>
  <si>
    <t>3 Phase kWhmeter via CT 1A or 5A 4M MBUS MID</t>
  </si>
  <si>
    <t>419.993€</t>
  </si>
  <si>
    <t>ECM310D</t>
  </si>
  <si>
    <t>Compteur triphasé direct 125A 6M MBUS MID</t>
  </si>
  <si>
    <t>401.961€</t>
  </si>
  <si>
    <t>ECM380D</t>
  </si>
  <si>
    <t>Compteur triphasé direct 80A 4M MBUS MID</t>
  </si>
  <si>
    <t>324.66€</t>
  </si>
  <si>
    <t>ECN140D</t>
  </si>
  <si>
    <t>Compteur monophasé direct 40A 1M</t>
  </si>
  <si>
    <t>90.209€</t>
  </si>
  <si>
    <t>ECP140D</t>
  </si>
  <si>
    <t>Compteur monophasé direct 40A 1M S0 MID</t>
  </si>
  <si>
    <t>128.849€</t>
  </si>
  <si>
    <t>ECP180D</t>
  </si>
  <si>
    <t>Compteur monophasé direct 80A 2M S0 MID</t>
  </si>
  <si>
    <t>167.496€</t>
  </si>
  <si>
    <t>ECP300C</t>
  </si>
  <si>
    <t>3 Phase kWhmeter via CT 1A or 5A 4M S0 MID</t>
  </si>
  <si>
    <t>ECP310D</t>
  </si>
  <si>
    <t>Compteur triphasé direct 125A 6M S0 MID</t>
  </si>
  <si>
    <t>345.289€</t>
  </si>
  <si>
    <t>ECP380D</t>
  </si>
  <si>
    <t>Compteur triphasé à raccordement direct 80A 4 Modules MID</t>
  </si>
  <si>
    <t>244.79€</t>
  </si>
  <si>
    <t>ECR140D</t>
  </si>
  <si>
    <t>1 Phase kWhmeter direct 40A 1M MODBUS MID</t>
  </si>
  <si>
    <t>ECR180D</t>
  </si>
  <si>
    <t>1 Phase kWhmeter direct 80A 2M MODBUS MID</t>
  </si>
  <si>
    <t>ECR300C</t>
  </si>
  <si>
    <t>3 Phase kWhmeter via CT 1A or 5A 4M MODBUS MID</t>
  </si>
  <si>
    <t>ECR310D</t>
  </si>
  <si>
    <t>3 Phase kWhmeter direct 125A 6M MODBUS MID</t>
  </si>
  <si>
    <t>ECR380D</t>
  </si>
  <si>
    <t>3 Phase kWhmeter direct 80A 4M MODBUS MID</t>
  </si>
  <si>
    <t>TXF121</t>
  </si>
  <si>
    <t>Interface KNX compteurs Hager</t>
  </si>
  <si>
    <t>206.78€</t>
  </si>
  <si>
    <t>TMF100</t>
  </si>
  <si>
    <t>Transceiver sans fil Modbus RTU/Ethernet</t>
  </si>
  <si>
    <t>WXA001</t>
  </si>
  <si>
    <t>Detrompeur gallery</t>
  </si>
  <si>
    <t xml:space="preserve">HAMGLM10 </t>
  </si>
  <si>
    <t>GALLERY ACCESSOIRES</t>
  </si>
  <si>
    <t>3.372€</t>
  </si>
  <si>
    <t>WXA010</t>
  </si>
  <si>
    <t>Bande lumineuse gallery pour plaque 1 simple 230V couleur pure</t>
  </si>
  <si>
    <t>8.598€</t>
  </si>
  <si>
    <t>WXA011</t>
  </si>
  <si>
    <t>Bande lumineuse gallery pour plaque 1 simple 12/24V couleur pure</t>
  </si>
  <si>
    <t>WXA012</t>
  </si>
  <si>
    <t>Bande lumineuse gallery pour plaque 2 double 230V couleur pure</t>
  </si>
  <si>
    <t>17.148€</t>
  </si>
  <si>
    <t>WXA601</t>
  </si>
  <si>
    <t>Etiquette pour voyant gallery 2 modules blanche</t>
  </si>
  <si>
    <t>10.044€</t>
  </si>
  <si>
    <t>WXA602</t>
  </si>
  <si>
    <t>Etiquette pour voyant gallery 2 modules escalier</t>
  </si>
  <si>
    <t>WXA603</t>
  </si>
  <si>
    <t>Etiquette pour voyant gallery 2 modules ascenceur</t>
  </si>
  <si>
    <t>WXA604</t>
  </si>
  <si>
    <t>Etiquette pour voyant gallery 2 modules WC</t>
  </si>
  <si>
    <t>20.046€</t>
  </si>
  <si>
    <t>WXA605</t>
  </si>
  <si>
    <t>Etiquette pour voyant gallery 2 modules salle (libre/occupe)</t>
  </si>
  <si>
    <t>35.316€</t>
  </si>
  <si>
    <t>WXA606</t>
  </si>
  <si>
    <t>Etiquette pour voyant gallery 2 modules hotel</t>
  </si>
  <si>
    <t>WXA690</t>
  </si>
  <si>
    <t>Voyant universel à clipser pour interrupteur gallery essensya 230V bleu</t>
  </si>
  <si>
    <t>WXA691</t>
  </si>
  <si>
    <t>Voyant universel à clipser pour interrupteur gallery essensya 230V rouge</t>
  </si>
  <si>
    <t>WXA692</t>
  </si>
  <si>
    <t>Voyant universel à clipser pour interrupteur gallery essensya 230V blanc</t>
  </si>
  <si>
    <t>WXA693</t>
  </si>
  <si>
    <t>Voyant universel à clipser pour interrupteur gallery essensya 230V vert</t>
  </si>
  <si>
    <t>WXA695</t>
  </si>
  <si>
    <t>Voyant universel à clipser pour interrupteur gallery 12/24V blanc</t>
  </si>
  <si>
    <t>WXA696</t>
  </si>
  <si>
    <t>Voyant universel à clipser pour interrupteur gallery 12/24V rouge</t>
  </si>
  <si>
    <t>WXA699</t>
  </si>
  <si>
    <t>Voyant pour prise de courant gallery 250V blanc</t>
  </si>
  <si>
    <t>WXF155</t>
  </si>
  <si>
    <t>Sortie de cable gallery 2 modules</t>
  </si>
  <si>
    <t>7.572€</t>
  </si>
  <si>
    <t>WXF202</t>
  </si>
  <si>
    <t>Adaptateur RJ45 gallery keystone 2 modules</t>
  </si>
  <si>
    <t>WXF601</t>
  </si>
  <si>
    <t>Voyant lumineux gallery rouge et vert 2 modules</t>
  </si>
  <si>
    <t>69.522€</t>
  </si>
  <si>
    <t>WXF602</t>
  </si>
  <si>
    <t>Voyant lumineux Gallery . 2 modules bleu</t>
  </si>
  <si>
    <t>42.906€</t>
  </si>
  <si>
    <t>WXF603</t>
  </si>
  <si>
    <t>Voyant lumineux Gallery . 2 modules blanc</t>
  </si>
  <si>
    <t>41.574€</t>
  </si>
  <si>
    <t>WXF687B</t>
  </si>
  <si>
    <t>Sortie de fil gallery 1 module pure</t>
  </si>
  <si>
    <t>WXF687D</t>
  </si>
  <si>
    <t>Sortie de fil gallery 1 module dune</t>
  </si>
  <si>
    <t>12.426€</t>
  </si>
  <si>
    <t>WXF687N</t>
  </si>
  <si>
    <t>Sortie de fil gallery 1 module night</t>
  </si>
  <si>
    <t>WXF687T</t>
  </si>
  <si>
    <t>Sortie de fil gallery 1 module titane</t>
  </si>
  <si>
    <t>WXF688B</t>
  </si>
  <si>
    <t>Obturateur gallery 1 module Pure</t>
  </si>
  <si>
    <t>2.238€</t>
  </si>
  <si>
    <t>WXF688D</t>
  </si>
  <si>
    <t>Obturateur gallery 1 module Dune</t>
  </si>
  <si>
    <t>WXF688N</t>
  </si>
  <si>
    <t>Obturateur gallery 1 module Night</t>
  </si>
  <si>
    <t>3.132€</t>
  </si>
  <si>
    <t>WXF688T</t>
  </si>
  <si>
    <t>Obturateur gallery 1 module Titane</t>
  </si>
  <si>
    <t>WXF689B</t>
  </si>
  <si>
    <t>Obturateur gallery 2 modules pure</t>
  </si>
  <si>
    <t>2.952€</t>
  </si>
  <si>
    <t>WXF689D</t>
  </si>
  <si>
    <t>Obturateur gallery 2 modules dune</t>
  </si>
  <si>
    <t>WXF689N</t>
  </si>
  <si>
    <t>Obturateur gallery 2 modules night</t>
  </si>
  <si>
    <t>WXF689T</t>
  </si>
  <si>
    <t>Obturateur gallery 2 modules titane</t>
  </si>
  <si>
    <t>WXA450R</t>
  </si>
  <si>
    <t>Support Gallery radio murale en sailllie</t>
  </si>
  <si>
    <t>1.632€</t>
  </si>
  <si>
    <t>WXA005</t>
  </si>
  <si>
    <t>Protection peinture gallery</t>
  </si>
  <si>
    <t>1.176€</t>
  </si>
  <si>
    <t>WXA466</t>
  </si>
  <si>
    <t>Support gallery 16 modules pour mécanismes gallery</t>
  </si>
  <si>
    <t>16.314€</t>
  </si>
  <si>
    <t>WXF010</t>
  </si>
  <si>
    <t>Permutateur gallery 2 modules pure</t>
  </si>
  <si>
    <t>23.388€</t>
  </si>
  <si>
    <t>WXF687S</t>
  </si>
  <si>
    <t>Sortie de fil  gallery 1M sand</t>
  </si>
  <si>
    <t>WXF688S</t>
  </si>
  <si>
    <t>Obturateur  gallery 1M sand</t>
  </si>
  <si>
    <t>WXF689S</t>
  </si>
  <si>
    <t>Obturateur  gallery 2M sand</t>
  </si>
  <si>
    <t>WXA450</t>
  </si>
  <si>
    <t>Support gallery 2 modules pour mécanismes gallery</t>
  </si>
  <si>
    <t xml:space="preserve">HAMGGM10 </t>
  </si>
  <si>
    <t>GALLERY SUPPORTS ET BOITES</t>
  </si>
  <si>
    <t>1.5235€</t>
  </si>
  <si>
    <t>WXA450G</t>
  </si>
  <si>
    <t>Support gallery 2 modules a griffes pour mécanismes gallery</t>
  </si>
  <si>
    <t>3.1955€</t>
  </si>
  <si>
    <t>WXA451</t>
  </si>
  <si>
    <t>Support gallery 1 module pour mécanismes gallery</t>
  </si>
  <si>
    <t>4.8565€</t>
  </si>
  <si>
    <t>WXA454</t>
  </si>
  <si>
    <t>Support gallery 4 modules entraxe 57mm pour mécanismes gallery</t>
  </si>
  <si>
    <t>3.52€</t>
  </si>
  <si>
    <t>WXA455</t>
  </si>
  <si>
    <t>Support gallery 5 modules entraxe 71mm pour mécanismes gallery</t>
  </si>
  <si>
    <t>WXA456</t>
  </si>
  <si>
    <t>Support gallery 6 modules entraxe 57mm pour mécanismes gallery</t>
  </si>
  <si>
    <t>7.4525€</t>
  </si>
  <si>
    <t>WXA458</t>
  </si>
  <si>
    <t>Support gallery 8 modules entraxe 71 mm pour mécanismes gallery</t>
  </si>
  <si>
    <t>WXA460</t>
  </si>
  <si>
    <t>Support gallery 2 modules pour autres mécanismes 45x45</t>
  </si>
  <si>
    <t>3.685€</t>
  </si>
  <si>
    <t>WXA462B</t>
  </si>
  <si>
    <t>Support gallery 2 modules compatible kallysta plaque pure</t>
  </si>
  <si>
    <t>WXA462C</t>
  </si>
  <si>
    <t>Support gallery 2 modules compatible kallysta plaque night</t>
  </si>
  <si>
    <t>4.598€</t>
  </si>
  <si>
    <t>WXA462D</t>
  </si>
  <si>
    <t>Support gallery 2 modules compatible kallysta plaque dune</t>
  </si>
  <si>
    <t>WXA462T</t>
  </si>
  <si>
    <t>Support gallery 2 modules compatible kallysta plaque titane</t>
  </si>
  <si>
    <t>WXA681B</t>
  </si>
  <si>
    <t>Boite saillie simple gallery pure</t>
  </si>
  <si>
    <t>3.641€</t>
  </si>
  <si>
    <t>WXA681N</t>
  </si>
  <si>
    <t>Boite saillie simple gallery night</t>
  </si>
  <si>
    <t>5.775€</t>
  </si>
  <si>
    <t>WXA681T</t>
  </si>
  <si>
    <t>Boite saillie simple gallery titane</t>
  </si>
  <si>
    <t>WXA682B</t>
  </si>
  <si>
    <t>Boite saillie double gallery pure</t>
  </si>
  <si>
    <t>6.589€</t>
  </si>
  <si>
    <t>WXA682N</t>
  </si>
  <si>
    <t>Boite saillie double gallery night</t>
  </si>
  <si>
    <t>13.2€</t>
  </si>
  <si>
    <t>WXA682T</t>
  </si>
  <si>
    <t>Boite saillie double gallery titane</t>
  </si>
  <si>
    <t>WXA683B</t>
  </si>
  <si>
    <t>Boite saillie triple gallery pure</t>
  </si>
  <si>
    <t>WXA683N</t>
  </si>
  <si>
    <t>Boite saillie triple gallery night</t>
  </si>
  <si>
    <t>15.807€</t>
  </si>
  <si>
    <t>WXA683T</t>
  </si>
  <si>
    <t>Boite saillie triple gallery titane</t>
  </si>
  <si>
    <t>WXA686B</t>
  </si>
  <si>
    <t>Boite saillie gallery 16 modules pure</t>
  </si>
  <si>
    <t>25.96€</t>
  </si>
  <si>
    <t>WXA686T</t>
  </si>
  <si>
    <t>Boite saillie gallery 16 modules titane</t>
  </si>
  <si>
    <t>28.457€</t>
  </si>
  <si>
    <t>WXA686N</t>
  </si>
  <si>
    <t>Boite saillie gallery 16 modules night</t>
  </si>
  <si>
    <t>WXA464</t>
  </si>
  <si>
    <t>Le support double WXA464 fait partie de la gamme Gallery. Il permet un montage horizontal ou vertical de la solution. Sa matière renforcée permet une grande rigidité.</t>
  </si>
  <si>
    <t>3.553€</t>
  </si>
  <si>
    <t>WXA465</t>
  </si>
  <si>
    <t>Le support triple WXA465 fait partie de la gamme Gallery. Il permet un montage horizontal ou vertical de a solution. Sa matière renforcée permet une grande rigidité.</t>
  </si>
  <si>
    <t>7.5295€</t>
  </si>
  <si>
    <t>WXA467</t>
  </si>
  <si>
    <t>Le support WXA467. 2x3x2 fait partie de la gamme Gallery. A compléter de mécanismes. d\'enjoliveurs et d\'une plaque Gallery pour une solution complète.</t>
  </si>
  <si>
    <t>14.4375€</t>
  </si>
  <si>
    <t>WXD000B</t>
  </si>
  <si>
    <t>Enjoliveur pour interrupteur gallery 2 modules couleur pure</t>
  </si>
  <si>
    <t xml:space="preserve">HAMGFM10 </t>
  </si>
  <si>
    <t>GALLERY ENJOLIVEURS</t>
  </si>
  <si>
    <t>1.078€</t>
  </si>
  <si>
    <t>WXD000D</t>
  </si>
  <si>
    <t>Enjoliveur pour interrupteur gallery 2 modules couleur dune</t>
  </si>
  <si>
    <t>WXD000N</t>
  </si>
  <si>
    <t>Enjoliveur pour interrupteur gallery 2 modules couleur night</t>
  </si>
  <si>
    <t>2.739€</t>
  </si>
  <si>
    <t>WXD000T</t>
  </si>
  <si>
    <t>Enjoliveur pour interrupteur gallery 2 module couleur titane</t>
  </si>
  <si>
    <t>WXD001B</t>
  </si>
  <si>
    <t>Enjoliveur pour interrupteur à voyant gallery 2 modules pure</t>
  </si>
  <si>
    <t>6.3305€</t>
  </si>
  <si>
    <t>WXD001D</t>
  </si>
  <si>
    <t>Enjoliveur pour interrupteur à voyant gallery 2 modules dune</t>
  </si>
  <si>
    <t>WXD001N</t>
  </si>
  <si>
    <t>Enjoliveur pour interrupteur à voyant gallery 2 modules night</t>
  </si>
  <si>
    <t>7.909€</t>
  </si>
  <si>
    <t>WXD001T</t>
  </si>
  <si>
    <t>Enjoliveur pour interrupteur à voyant gallery  2 modules titane</t>
  </si>
  <si>
    <t>WXD002B</t>
  </si>
  <si>
    <t>Enjoliveur pour interrupteur gallery avec porte-étiquette 2 modules pure</t>
  </si>
  <si>
    <t>12.5125€</t>
  </si>
  <si>
    <t>WXD002D</t>
  </si>
  <si>
    <t>Enjoliveur pour interrupteur gallery avec porte-étiquette 2 modules dune</t>
  </si>
  <si>
    <t>WXD002N</t>
  </si>
  <si>
    <t>Enjoliveur pour interrupteur gallery avec porte-étiquette 2 modules night</t>
  </si>
  <si>
    <t>14.1735€</t>
  </si>
  <si>
    <t>WXD002T</t>
  </si>
  <si>
    <t>Enjoliveur pour interrupteur gallery avec porte-étiquette 2 modules titane</t>
  </si>
  <si>
    <t>WXD003B</t>
  </si>
  <si>
    <t>Enjoliveur Gallery VMC 2 modules . finition Pure</t>
  </si>
  <si>
    <t>2.706€</t>
  </si>
  <si>
    <t>WXD003D</t>
  </si>
  <si>
    <t>Enjoliveur Gallery VMC 2 modules . finition Dune</t>
  </si>
  <si>
    <t>WXD003N</t>
  </si>
  <si>
    <t>Enjoliveur Gallery VMC 2 modules . finition Night</t>
  </si>
  <si>
    <t>4.3615€</t>
  </si>
  <si>
    <t>WXD003T</t>
  </si>
  <si>
    <t>Enjoliveur Gallery VMC 2 modules . finition Titane</t>
  </si>
  <si>
    <t>WXD004B</t>
  </si>
  <si>
    <t>Enjoliveur interrupteur gallery avec marquage 0-1 2 modules pure</t>
  </si>
  <si>
    <t>4.6035€</t>
  </si>
  <si>
    <t>WXD004D</t>
  </si>
  <si>
    <t>Enjoliveur interrupteur gallery avec marquage 0-1 2 modules dune</t>
  </si>
  <si>
    <t>WXD004N</t>
  </si>
  <si>
    <t>Enjoliveur interrupteur gallery avec marquage 0-1 2 modules night</t>
  </si>
  <si>
    <t>WXD004T</t>
  </si>
  <si>
    <t>Enjoliveur interrupteur gallery avec marquage 0-1 2 modules titane</t>
  </si>
  <si>
    <t>WXD005B</t>
  </si>
  <si>
    <t>Enjoliveur interrupteur gallery à tirage pure</t>
  </si>
  <si>
    <t>WXD005D</t>
  </si>
  <si>
    <t>Enjoliveur interrupteur gallery à tirage dune</t>
  </si>
  <si>
    <t>WXD005N</t>
  </si>
  <si>
    <t>Enjoliveur interrupteur gallery à tirage night</t>
  </si>
  <si>
    <t>WXD005T</t>
  </si>
  <si>
    <t>Enjoliveur interrupteur gallery à tirage titàne</t>
  </si>
  <si>
    <t>WXD010B</t>
  </si>
  <si>
    <t>Enjoliveur interrupteur gallery 1 module pure</t>
  </si>
  <si>
    <t>3.99€</t>
  </si>
  <si>
    <t>1.9745€</t>
  </si>
  <si>
    <t>WXD010D</t>
  </si>
  <si>
    <t>Enjoliveur interrupteur gallery 1 module dune</t>
  </si>
  <si>
    <t>WXD010N</t>
  </si>
  <si>
    <t>Enjoliveur interrupteur gallery 1 module night</t>
  </si>
  <si>
    <t>2.8105€</t>
  </si>
  <si>
    <t>WXD010T</t>
  </si>
  <si>
    <t>Enjoliveur interrupteur gallery 1 module titane</t>
  </si>
  <si>
    <t>WXD011B</t>
  </si>
  <si>
    <t>Enjoliveur interrupteur a voyant gallery 1 module pure</t>
  </si>
  <si>
    <t>3.5475€</t>
  </si>
  <si>
    <t>WXD011D</t>
  </si>
  <si>
    <t>Enjoliveur interrupteur a voyant gallery 1 module dune</t>
  </si>
  <si>
    <t>WXD011N</t>
  </si>
  <si>
    <t>Enjoliveur interrupteur a voyant gallery 1 module night</t>
  </si>
  <si>
    <t>4.334€</t>
  </si>
  <si>
    <t>WXD011T</t>
  </si>
  <si>
    <t>Enjoliveur interrupteur a voyant gallery 1 module titane</t>
  </si>
  <si>
    <t>WXD012B</t>
  </si>
  <si>
    <t>Enjoliveur interrupteur gallery avec porte-étiquette 1 module pure</t>
  </si>
  <si>
    <t>WXD012D</t>
  </si>
  <si>
    <t>Enjoliveur interrupteur gallery avec porte-étiquette 1 module dune</t>
  </si>
  <si>
    <t>WXD012N</t>
  </si>
  <si>
    <t>Enjoliveur interrupteur gallery avec porte-étiquette 1 module night</t>
  </si>
  <si>
    <t>7.1005€</t>
  </si>
  <si>
    <t>WXD012T</t>
  </si>
  <si>
    <t>Enjoliveur interrupteur gallery avec porte-étiquette 1 module titane</t>
  </si>
  <si>
    <t>WXD013B</t>
  </si>
  <si>
    <t>Enjoliveur interrupteur gallery marquage 0-1 a voyant 2 modules pure</t>
  </si>
  <si>
    <t>7.4085€</t>
  </si>
  <si>
    <t>WXD013D</t>
  </si>
  <si>
    <t>Enjoliveur interrupteur gallery marquage 0-1 a voyant 2 modules dune</t>
  </si>
  <si>
    <t>WXD013N</t>
  </si>
  <si>
    <t>Enjoliveur interrupteur gallery marquage 0-1 a voyant 2 modules night</t>
  </si>
  <si>
    <t>WXD013T</t>
  </si>
  <si>
    <t>Enjoliveur interrupteur gallery marquage 0-1 a voyant 2 modules titane</t>
  </si>
  <si>
    <t>WXD050B</t>
  </si>
  <si>
    <t>Enjoliveur interrupteur automatique gallery pure</t>
  </si>
  <si>
    <t>WXD050D</t>
  </si>
  <si>
    <t>Enjoliveur interrupteur automatique gallery dune</t>
  </si>
  <si>
    <t>WXD050N</t>
  </si>
  <si>
    <t>Enjoliveur interrupteur automatique gallery night</t>
  </si>
  <si>
    <t>4.433€</t>
  </si>
  <si>
    <t>WXD050T</t>
  </si>
  <si>
    <t>Enjoliveur interrupteur automatique gallery titane</t>
  </si>
  <si>
    <t>WXD055B</t>
  </si>
  <si>
    <t>Enjoliveur interrupteur a carte hotel gallery pure</t>
  </si>
  <si>
    <t>WXD055D</t>
  </si>
  <si>
    <t>Enjoliveur interrupteur a carte hotel gallery dune</t>
  </si>
  <si>
    <t>WXD055N</t>
  </si>
  <si>
    <t>Enjoliveur interrupteur a carte hotel gallery night</t>
  </si>
  <si>
    <t>WXD055T</t>
  </si>
  <si>
    <t>Enjoliveur interrupteur a carte hotel gallery titane</t>
  </si>
  <si>
    <t>WXD070B</t>
  </si>
  <si>
    <t>Enjoliveur variateur connecte gallery pure</t>
  </si>
  <si>
    <t>7.293€</t>
  </si>
  <si>
    <t>WXD070N</t>
  </si>
  <si>
    <t>Enjoliveur variateur connecte gallery night</t>
  </si>
  <si>
    <t>WXD070T</t>
  </si>
  <si>
    <t>Enjoliveur variateur connecte gallery titane</t>
  </si>
  <si>
    <t>WXD080B</t>
  </si>
  <si>
    <t>Enjoliveur volet roulant connecte gallery pure</t>
  </si>
  <si>
    <t>6.7925€</t>
  </si>
  <si>
    <t>WXD080N</t>
  </si>
  <si>
    <t>Enjoliveur volet roulant connecte gallery night</t>
  </si>
  <si>
    <t>8.426€</t>
  </si>
  <si>
    <t>WXD080T</t>
  </si>
  <si>
    <t>Enjoliveur volet roulant connecte gallery titane</t>
  </si>
  <si>
    <t>WXD100B</t>
  </si>
  <si>
    <t>Enjoliveur prise de courant 2 pôles + terre gallery pure</t>
  </si>
  <si>
    <t>1.0615€</t>
  </si>
  <si>
    <t>WXD100D</t>
  </si>
  <si>
    <t>Enjoliveur prise de courant 2 pôles + terre gallery dune</t>
  </si>
  <si>
    <t>WXD100E</t>
  </si>
  <si>
    <t>Enjoliveur prise de courant 2 pôles + terre gallery orange</t>
  </si>
  <si>
    <t>2.717€</t>
  </si>
  <si>
    <t>WXD100N</t>
  </si>
  <si>
    <t>Enjoliveur prise de courant 2 pôles + terre gallery night</t>
  </si>
  <si>
    <t>WXD100R</t>
  </si>
  <si>
    <t>Enjoliveur prise de courant 2 pôles + terre gallery rouge</t>
  </si>
  <si>
    <t>WXD100T</t>
  </si>
  <si>
    <t>Enjoliveur prise de courant 2 pôles + terre gallery titane</t>
  </si>
  <si>
    <t>WXD100V</t>
  </si>
  <si>
    <t>Enjoliveur prise de courant 2 pôles + terre gallery vert</t>
  </si>
  <si>
    <t>WXD101B</t>
  </si>
  <si>
    <t>Enjoliveur prise de courant 2P+T gallery avec couvercle pure</t>
  </si>
  <si>
    <t>8.558€</t>
  </si>
  <si>
    <t>WXD101D</t>
  </si>
  <si>
    <t>Enjoliveur prise de courant 2P+T gallery avec couvercle dune</t>
  </si>
  <si>
    <t>WXD101N</t>
  </si>
  <si>
    <t>Enjoliveur prise de courant 2P+T gallery avec couvercle night</t>
  </si>
  <si>
    <t>10.593€</t>
  </si>
  <si>
    <t>WXD101T</t>
  </si>
  <si>
    <t>Enjoliveur prise de courant 2P+T gallery avec couvercle titane</t>
  </si>
  <si>
    <t>9.9715€</t>
  </si>
  <si>
    <t>WXD102B</t>
  </si>
  <si>
    <t>Enjoliveur prise de courant 2P gallery pure</t>
  </si>
  <si>
    <t>2.0515€</t>
  </si>
  <si>
    <t>WXD102D</t>
  </si>
  <si>
    <t>Enjoliveur prise de courant 2P gallery dune</t>
  </si>
  <si>
    <t>WXD102N</t>
  </si>
  <si>
    <t>Enjoliveur prise de courant 2P gallery night</t>
  </si>
  <si>
    <t>3.5035€</t>
  </si>
  <si>
    <t>WXD102T</t>
  </si>
  <si>
    <t>Enjoliveur prise de courant 2P gallery titane</t>
  </si>
  <si>
    <t>WXD103B</t>
  </si>
  <si>
    <t>Enjoliveur prise de courant 2P+T gallery à voyant pure</t>
  </si>
  <si>
    <t>WXD103D</t>
  </si>
  <si>
    <t>Enjoliveur prise de courant 2P+T gallery à voyant dune</t>
  </si>
  <si>
    <t>WXD103N</t>
  </si>
  <si>
    <t>Enjoliveur prise de courant 2P+T gallery à voyant night</t>
  </si>
  <si>
    <t>WXD103T</t>
  </si>
  <si>
    <t>Enjoliveur prise de courant 2P+T gallery à voyant titane</t>
  </si>
  <si>
    <t>WXD105B</t>
  </si>
  <si>
    <t>Enjoliveur prise de courant renovation gallery pure</t>
  </si>
  <si>
    <t>WXD105D</t>
  </si>
  <si>
    <t>Enjoliveur prise de courant renovation gallery dune</t>
  </si>
  <si>
    <t>WXD105N</t>
  </si>
  <si>
    <t>Enjoliveur prise de courant renovation gallery night</t>
  </si>
  <si>
    <t>WXD105T</t>
  </si>
  <si>
    <t>Enjoliveur prise de courant renovation gallery titane</t>
  </si>
  <si>
    <t>WXD112B</t>
  </si>
  <si>
    <t>Enjoliveur Gallery prise double USB. finition Pure</t>
  </si>
  <si>
    <t>WXD112D</t>
  </si>
  <si>
    <t>Enjoliveur Gallery prise double USB. finition Dune</t>
  </si>
  <si>
    <t>WXD112N</t>
  </si>
  <si>
    <t>Enjoliveur Gallery prise double USB. finition Night</t>
  </si>
  <si>
    <t>WXD112T</t>
  </si>
  <si>
    <t>Enjoliveur Gallery prise double USB. finition Titane</t>
  </si>
  <si>
    <t>WXD155B</t>
  </si>
  <si>
    <t>Enjoliveur Gallery sortie de câble. finition Pure</t>
  </si>
  <si>
    <t>WXD155D</t>
  </si>
  <si>
    <t>Enjoliveur Gallery sortie de câble. finition Dune</t>
  </si>
  <si>
    <t>WXD155N</t>
  </si>
  <si>
    <t>Enjoliveur Gallery sortie de câble. finition Night</t>
  </si>
  <si>
    <t>WXD155T</t>
  </si>
  <si>
    <t>Enjoliveur sortie de cable gallery titane</t>
  </si>
  <si>
    <t>WXD200B</t>
  </si>
  <si>
    <t>Enjoliveur prise telephone T gallery 2 modules pure</t>
  </si>
  <si>
    <t>0.9405€</t>
  </si>
  <si>
    <t>WXD200D</t>
  </si>
  <si>
    <t>Enjoliveur prise telephone T gallery 2 modules dune</t>
  </si>
  <si>
    <t>0.957€</t>
  </si>
  <si>
    <t>WXD200N</t>
  </si>
  <si>
    <t>Enjoliveur prise telephone T gallery 2 modules night</t>
  </si>
  <si>
    <t>2.5135€</t>
  </si>
  <si>
    <t>WXD200T</t>
  </si>
  <si>
    <t>Enjoliveur prise telephone T gallery 2 modules titane</t>
  </si>
  <si>
    <t>WXD201B</t>
  </si>
  <si>
    <t>Enjoliveur prise RJ45 gallery sans porte-étiquette 1 module pure</t>
  </si>
  <si>
    <t>1.364€</t>
  </si>
  <si>
    <t>WXD201D</t>
  </si>
  <si>
    <t>Enjoliveur prise RJ45 gallery sans porte-étiquette 1 module dune</t>
  </si>
  <si>
    <t>WXD201N</t>
  </si>
  <si>
    <t>Enjoliveur prise RJ45 gallery sans porte-étiquette 1 module night</t>
  </si>
  <si>
    <t>2.2€</t>
  </si>
  <si>
    <t>WXD201T</t>
  </si>
  <si>
    <t>Enjoliveur prise RJ45 gallery sans porte-étiquette 1 module titane</t>
  </si>
  <si>
    <t>WXD202B</t>
  </si>
  <si>
    <t>Enjoliveur prise RJ45 gallery sans porte-étiquette 2 modules pure</t>
  </si>
  <si>
    <t>WXD202D</t>
  </si>
  <si>
    <t>Enjoliveur prise RJ45 gallery sans porte-étiquette 2 modules dune</t>
  </si>
  <si>
    <t>WXD202N</t>
  </si>
  <si>
    <t>Enjoliveur prise RJ45 gallery sans porte-étiquette 2 modules night</t>
  </si>
  <si>
    <t>WXD202T</t>
  </si>
  <si>
    <t>Enjoliveur prise RJ45 gallery sans porte-étiquette 2 modules titane</t>
  </si>
  <si>
    <t>WXD205B</t>
  </si>
  <si>
    <t>Enjoliveur prise RJ45 gallery avec porte-étiquette 1 module pure</t>
  </si>
  <si>
    <t>WXD205D</t>
  </si>
  <si>
    <t>Enjoliveur prise RJ45 gallery avec porte-étiquette 1 module dune</t>
  </si>
  <si>
    <t>2.1065€</t>
  </si>
  <si>
    <t>WXD205N</t>
  </si>
  <si>
    <t>Enjoliveur prise RJ45 gallery avec porte-étiquette 1 module night</t>
  </si>
  <si>
    <t>2.6895€</t>
  </si>
  <si>
    <t>WXD205T</t>
  </si>
  <si>
    <t>Enjoliveur prise RJ45 gallery avec porte-étiquette 1 module titane</t>
  </si>
  <si>
    <t>WXD206B</t>
  </si>
  <si>
    <t>Enjoliveur prise RJ45 gallery avec porte-étiquette 2 modules pure</t>
  </si>
  <si>
    <t>3.707€</t>
  </si>
  <si>
    <t>WXD206D</t>
  </si>
  <si>
    <t>Enjoliveur prise RJ45 gallery avec porte-étiquette 2 modules dune</t>
  </si>
  <si>
    <t>WXD206N</t>
  </si>
  <si>
    <t>Enjoliveur prise RJ45 gallery avec porte-étiquette 2 modules night</t>
  </si>
  <si>
    <t>5.335€</t>
  </si>
  <si>
    <t>WXD206T</t>
  </si>
  <si>
    <t>Enjoliveur prise RJ45 gallery avec porte-étiquette 2 modules titane</t>
  </si>
  <si>
    <t>WXD230B</t>
  </si>
  <si>
    <t>Enjoliveur prise RJ45 gallery 45° 2 modules pure</t>
  </si>
  <si>
    <t>WXD230D</t>
  </si>
  <si>
    <t>Enjoliveur prise RJ45 gallery 45° 2 modules dune</t>
  </si>
  <si>
    <t>WXD230N</t>
  </si>
  <si>
    <t>Enjoliveur prise RJ45 gallery 45° 2 modules night</t>
  </si>
  <si>
    <t>WXD230T</t>
  </si>
  <si>
    <t>Enjoliveur prise RJ45 gallery 45° 2 modules titane</t>
  </si>
  <si>
    <t>WXD251B</t>
  </si>
  <si>
    <t>Enjoliveur prise TV gallery 2 modules pure</t>
  </si>
  <si>
    <t>1.1€</t>
  </si>
  <si>
    <t>WXD251D</t>
  </si>
  <si>
    <t>Enjoliveur prise TV gallery 2 modules dune</t>
  </si>
  <si>
    <t>WXD251N</t>
  </si>
  <si>
    <t>Enjoliveur prise TV gallery 2 modules night</t>
  </si>
  <si>
    <t>2.761€</t>
  </si>
  <si>
    <t>WXD251T</t>
  </si>
  <si>
    <t>Enjoliveur prise TV gallery 2 modules titane</t>
  </si>
  <si>
    <t>WXD253B</t>
  </si>
  <si>
    <t>Enjoliveur prise TV+FM gallery 2 modules pure</t>
  </si>
  <si>
    <t>WXD253D</t>
  </si>
  <si>
    <t>Enjoliveur prise TV+FM gallery 2 modules dune</t>
  </si>
  <si>
    <t>WXD253N</t>
  </si>
  <si>
    <t>Enjoliveur prise TV+FM gallery 2 modules night</t>
  </si>
  <si>
    <t>WXD253T</t>
  </si>
  <si>
    <t>Enjoliveur prise TV+FM gallery 2 modules titane</t>
  </si>
  <si>
    <t>WXD256B</t>
  </si>
  <si>
    <t>Enjoliveur prise TV+FM+SAT gallery 2 modules pure</t>
  </si>
  <si>
    <t>WXD256D</t>
  </si>
  <si>
    <t>Enjoliveur prise TV+FM+SAT gallery 2 modules dune</t>
  </si>
  <si>
    <t>WXD256N</t>
  </si>
  <si>
    <t>Enjoliveur prise TV+FM+SAT gallery 2 modules night</t>
  </si>
  <si>
    <t>WXD256T</t>
  </si>
  <si>
    <t>Enjoliveur prise TV+FM+SAT gallery 2 modules titane</t>
  </si>
  <si>
    <t>WXD259B</t>
  </si>
  <si>
    <t>Enjoliveur prise double F gallery 2 modules pure</t>
  </si>
  <si>
    <t>WXD259D</t>
  </si>
  <si>
    <t>Enjoliveur prise double F gallery 2 modules dune</t>
  </si>
  <si>
    <t>WXD259N</t>
  </si>
  <si>
    <t>Enjoliveur prise double F gallery 2 modules night</t>
  </si>
  <si>
    <t>WXD259T</t>
  </si>
  <si>
    <t>Enjoliveur prise double F gallery 2 modules titane</t>
  </si>
  <si>
    <t>WXD300B</t>
  </si>
  <si>
    <t>Enjoliveur interrupteur volet roulant gallery pure</t>
  </si>
  <si>
    <t>6.897€</t>
  </si>
  <si>
    <t>WXD300D</t>
  </si>
  <si>
    <t>Enjoliveur interrupteur volet roulant gallery dune</t>
  </si>
  <si>
    <t>WXD300N</t>
  </si>
  <si>
    <t>Enjoliveur interrupteur volet roulant gallery night</t>
  </si>
  <si>
    <t>8.5525€</t>
  </si>
  <si>
    <t>WXD300T</t>
  </si>
  <si>
    <t>Enjoliveur interrupteur volet roulant gallery titane</t>
  </si>
  <si>
    <t>WXD301B</t>
  </si>
  <si>
    <t>Enjoliveur bouton-poussoir volet roulant gallery pure</t>
  </si>
  <si>
    <t>WXD301D</t>
  </si>
  <si>
    <t>Enjoliveur bouton-poussoir volet roulant gallery dune</t>
  </si>
  <si>
    <t>WXD301N</t>
  </si>
  <si>
    <t>Enjoliveur bouton-poussoir volet roulant gallery night</t>
  </si>
  <si>
    <t>WXD301T</t>
  </si>
  <si>
    <t>Enjoliveur bouton-poussoir volet roulant gallery titane</t>
  </si>
  <si>
    <t>WXD315B</t>
  </si>
  <si>
    <t>Enjoliveur Gallery thermostat 2 modules . finition Pure</t>
  </si>
  <si>
    <t>WXD315D</t>
  </si>
  <si>
    <t>Enjoliveur Gallery thermostat 2 modules . finition Dune</t>
  </si>
  <si>
    <t>WXD315N</t>
  </si>
  <si>
    <t>Enjoliveur Gallery thermostat 2 modules . finition Night</t>
  </si>
  <si>
    <t>WXD315T</t>
  </si>
  <si>
    <t>Enjoliveur Gallery thermostat 2 modules . finition Titane</t>
  </si>
  <si>
    <t>WXD316B</t>
  </si>
  <si>
    <t>Enjoliveur thermostat fil pilote gallery pure</t>
  </si>
  <si>
    <t>5.533€</t>
  </si>
  <si>
    <t>WXD316D</t>
  </si>
  <si>
    <t>Enjoliveur thermostat fil pilote gallery dune</t>
  </si>
  <si>
    <t>WXD316N</t>
  </si>
  <si>
    <t>Enjoliveur thermostat fil pilote gallery night</t>
  </si>
  <si>
    <t>WXD316T</t>
  </si>
  <si>
    <t>Enjoliveur thermostat fil pilote gallery titane</t>
  </si>
  <si>
    <t>WXD744B</t>
  </si>
  <si>
    <t>Enjoliveur Gallery VDI 2 modules . finition Pure</t>
  </si>
  <si>
    <t>3.696€</t>
  </si>
  <si>
    <t>WXD744D</t>
  </si>
  <si>
    <t>Enjoliveur Gallery VDI 2 modules . finition Dune</t>
  </si>
  <si>
    <t>WXD744N</t>
  </si>
  <si>
    <t>Enjoliveur Gallery VDI 2 modules . finition Night</t>
  </si>
  <si>
    <t>7.5075€</t>
  </si>
  <si>
    <t>WXD744T</t>
  </si>
  <si>
    <t>Enjoliveur Gallery VDI 2 modules . finition Titane</t>
  </si>
  <si>
    <t>WXD240B</t>
  </si>
  <si>
    <t>Enjoliveur prise TV+RJ45 gallery 2 modules pure</t>
  </si>
  <si>
    <t>WXD240D</t>
  </si>
  <si>
    <t>Enjoliveur prise TV+RJ45 gallery 2 modules dune</t>
  </si>
  <si>
    <t>WXD240N</t>
  </si>
  <si>
    <t>Enjoliveur prise TV+RJ45 gallery 2 modules night</t>
  </si>
  <si>
    <t>WXD240T</t>
  </si>
  <si>
    <t>Enjoliveur prise TV+RJ45 gallery 2 modules titane</t>
  </si>
  <si>
    <t>WXD062B</t>
  </si>
  <si>
    <t>Enjoliveur variateur rotatif gallery pure</t>
  </si>
  <si>
    <t>WXD062D</t>
  </si>
  <si>
    <t>Enjoliveur gallery variateur rotatif. finition Dune</t>
  </si>
  <si>
    <t>WXD062N</t>
  </si>
  <si>
    <t>Enjoliveur variateur rotatif gallery night</t>
  </si>
  <si>
    <t>WXD062T</t>
  </si>
  <si>
    <t>Enjoliveur variateur rotatif gallery titane</t>
  </si>
  <si>
    <t>WXD063B</t>
  </si>
  <si>
    <t>Enjoliveur variateur poussoir gallery pure</t>
  </si>
  <si>
    <t>WXD063D</t>
  </si>
  <si>
    <t>Enjoliveur variateur poussoir gallery dune</t>
  </si>
  <si>
    <t>WXD063N</t>
  </si>
  <si>
    <t>Enjoliveur variateur poussoir gallery night</t>
  </si>
  <si>
    <t>WXD063T</t>
  </si>
  <si>
    <t>Enjoliveur variateur poussoir gallery titane</t>
  </si>
  <si>
    <t>WXD510B</t>
  </si>
  <si>
    <t>Enjoliveur pour thermostat KNX WKT510 et WKT511 gallery couleur pure</t>
  </si>
  <si>
    <t>36.5805€</t>
  </si>
  <si>
    <t>WXD510N</t>
  </si>
  <si>
    <t>Enjo. TAP Gallery ecran TFT Night</t>
  </si>
  <si>
    <t>WXD510T</t>
  </si>
  <si>
    <t>Enjoliveur pour thermostat KNX WKT510 et WKT511 gallery couleur titane</t>
  </si>
  <si>
    <t>WXD115B</t>
  </si>
  <si>
    <t>Enjoliveur pour chargeur USB-C pure</t>
  </si>
  <si>
    <t>2.6235€</t>
  </si>
  <si>
    <t>WXD115N</t>
  </si>
  <si>
    <t>Enjoliveur pour chargeur USB-C noir</t>
  </si>
  <si>
    <t>4.2295€</t>
  </si>
  <si>
    <t>WXD115T</t>
  </si>
  <si>
    <t>Enjoliveur pour chargeur USB-C titane</t>
  </si>
  <si>
    <t>WXD106B</t>
  </si>
  <si>
    <t>Enjo PC affleurante 2P+T gallery pure</t>
  </si>
  <si>
    <t>1.045€</t>
  </si>
  <si>
    <t>WXD106D</t>
  </si>
  <si>
    <t>Enjoliveur Gallery prise de courant affleurante 2P+T. finition Dune</t>
  </si>
  <si>
    <t>WXD106E</t>
  </si>
  <si>
    <t>Enjoliveur PC affleurante 2P+T - orange</t>
  </si>
  <si>
    <t>2.6785€</t>
  </si>
  <si>
    <t>WXD106N</t>
  </si>
  <si>
    <t>Enjoliveur Gallery prise de courant affleurante 2P+T. finition Night</t>
  </si>
  <si>
    <t>WXD106R</t>
  </si>
  <si>
    <t>Enjoliveur PC affleurante 2P+T - rouge</t>
  </si>
  <si>
    <t>WXD106T</t>
  </si>
  <si>
    <t>Enjoliveur PC affleurante 2P+T - titane</t>
  </si>
  <si>
    <t>WXD106V</t>
  </si>
  <si>
    <t>Enjoliveur Gallery prise de courant affleurante 2P+T. finition Vert</t>
  </si>
  <si>
    <t>WXD000S</t>
  </si>
  <si>
    <t>Enjo inter gallery 2M sand</t>
  </si>
  <si>
    <t>WXD001S</t>
  </si>
  <si>
    <t>Enjo inter à voyant gallery 2M sand</t>
  </si>
  <si>
    <t>WXD003S</t>
  </si>
  <si>
    <t>Enjo VMC gallery 2M sand</t>
  </si>
  <si>
    <t>WXD005S</t>
  </si>
  <si>
    <t>Enjo inter à tirage gallery sand</t>
  </si>
  <si>
    <t>WXD010S</t>
  </si>
  <si>
    <t>Enjo inter gallery 1M sand</t>
  </si>
  <si>
    <t>WXD011S</t>
  </si>
  <si>
    <t>Enjo inter à voyant gallery 1M sand</t>
  </si>
  <si>
    <t>WXD050S</t>
  </si>
  <si>
    <t>Enjo inter auto gallery sand</t>
  </si>
  <si>
    <t>WXD100S</t>
  </si>
  <si>
    <t>Enjo PC 2P+T gallery sand</t>
  </si>
  <si>
    <t>WXD102S</t>
  </si>
  <si>
    <t>Enjo PC 2P gallery sand</t>
  </si>
  <si>
    <t>WXD103S</t>
  </si>
  <si>
    <t>Enjo PC 2P+T à voyant gallery sand</t>
  </si>
  <si>
    <t>WXD105S</t>
  </si>
  <si>
    <t>Enjo PC réno gallery sand</t>
  </si>
  <si>
    <t>WXD106S</t>
  </si>
  <si>
    <t>Enjo PC affleurante gallery sand</t>
  </si>
  <si>
    <t>WXD112S</t>
  </si>
  <si>
    <t>Enjo chargeur USB gallery sand</t>
  </si>
  <si>
    <t>WXD155S</t>
  </si>
  <si>
    <t>Enjo sortie de câbles gallery sand</t>
  </si>
  <si>
    <t>WXD200S</t>
  </si>
  <si>
    <t>Enjo prise téléphone T gallery sand</t>
  </si>
  <si>
    <t>WXD201S</t>
  </si>
  <si>
    <t>Enjo RJ45 gallery 1M sand</t>
  </si>
  <si>
    <t>WXD202S</t>
  </si>
  <si>
    <t>Enjo RJ45 gallery 2M sand</t>
  </si>
  <si>
    <t>WXD205S</t>
  </si>
  <si>
    <t>Enjo RJ45 avec PE gallery 1M sand</t>
  </si>
  <si>
    <t>WXD206S</t>
  </si>
  <si>
    <t>Enjo RJ45 avec PE gallery 2M sand</t>
  </si>
  <si>
    <t>WXD240S</t>
  </si>
  <si>
    <t>Enjo TV+RJ gallery 2M sand</t>
  </si>
  <si>
    <t>WXD251S</t>
  </si>
  <si>
    <t>Enjo TV gallery 2M sand</t>
  </si>
  <si>
    <t>WXD256S</t>
  </si>
  <si>
    <t>Enjo TV+FM+SAT gallery 2M sand</t>
  </si>
  <si>
    <t>WXD300S</t>
  </si>
  <si>
    <t>Enjo inter VR gallery sand</t>
  </si>
  <si>
    <t>WXD301S</t>
  </si>
  <si>
    <t>Enjo BP VR gallery sand</t>
  </si>
  <si>
    <t>WXE302B</t>
  </si>
  <si>
    <t>Enjoliveur 2 boutons poussoirs KNX gallery pure</t>
  </si>
  <si>
    <t xml:space="preserve">HADTVM05 </t>
  </si>
  <si>
    <t>TEBIS GALLERY ENJO</t>
  </si>
  <si>
    <t>7.4466€</t>
  </si>
  <si>
    <t>WXE302D</t>
  </si>
  <si>
    <t>Enjoliveur 2 boutons poussoirs KNX gallery dune</t>
  </si>
  <si>
    <t>WXE302N</t>
  </si>
  <si>
    <t>Enjoliveur 2 boutons poussoirs KNX gallery night</t>
  </si>
  <si>
    <t>8.8884€</t>
  </si>
  <si>
    <t>WXE302T</t>
  </si>
  <si>
    <t>Enjoliveur 2 boutons poussoirs KNX gallery titane</t>
  </si>
  <si>
    <t>WXE304B</t>
  </si>
  <si>
    <t>Enjoliveur 4 boutons poussoirs KNX gallery pure</t>
  </si>
  <si>
    <t>10.773€</t>
  </si>
  <si>
    <t>WXE304D</t>
  </si>
  <si>
    <t>Enjoliveur 4 boutons poussoirs KNX gallery dune</t>
  </si>
  <si>
    <t>WXE304N</t>
  </si>
  <si>
    <t>Enjoliveur 4 boutons poussoirs KNX gallery night</t>
  </si>
  <si>
    <t>12.9276€</t>
  </si>
  <si>
    <t>WXE304T</t>
  </si>
  <si>
    <t>Enjoliveur 4 boutons poussoirs KNX gallery titane</t>
  </si>
  <si>
    <t>WXE306B</t>
  </si>
  <si>
    <t>Enjoliveur 6 boutons poussoirs KNX gallery pure</t>
  </si>
  <si>
    <t>13.4298€</t>
  </si>
  <si>
    <t>WXE306D</t>
  </si>
  <si>
    <t>Enjoliveur 6 boutons poussoirs KNX gallery dune</t>
  </si>
  <si>
    <t>WXE306N</t>
  </si>
  <si>
    <t>Enjoliveur 6 boutons poussoirs KNX gallery night</t>
  </si>
  <si>
    <t>16.1406€</t>
  </si>
  <si>
    <t>WXE306T</t>
  </si>
  <si>
    <t>Enjoliveur 6 boutons poussoirs KNX gallery titane</t>
  </si>
  <si>
    <t>WXE312B</t>
  </si>
  <si>
    <t>Enjoliveur 2 boutons poussoirs KNX gallery LED pure</t>
  </si>
  <si>
    <t>8.9586€</t>
  </si>
  <si>
    <t>WXE312D</t>
  </si>
  <si>
    <t>Enjoliveur 2 boutons poussoirs KNX gallery LED dune</t>
  </si>
  <si>
    <t>WXE312N</t>
  </si>
  <si>
    <t>Enjoliveur 2 boutons poussoirs KNX gallery LED night</t>
  </si>
  <si>
    <t>10.7352€</t>
  </si>
  <si>
    <t>WXE312T</t>
  </si>
  <si>
    <t>Enjoliveur 2 boutons poussoirs KNX gallery LED titane</t>
  </si>
  <si>
    <t>WXE314B</t>
  </si>
  <si>
    <t>Enjoliveur 4 boutons poussoirs KNX gallery LED pure</t>
  </si>
  <si>
    <t>13.0464€</t>
  </si>
  <si>
    <t>WXE314D</t>
  </si>
  <si>
    <t>Enjoliveur 4 boutons poussoirs KNX gallery LED dune</t>
  </si>
  <si>
    <t>WXE314N</t>
  </si>
  <si>
    <t>Enjoliveur 4 boutons poussoirs KNX gallery LED night</t>
  </si>
  <si>
    <t>15.6492€</t>
  </si>
  <si>
    <t>WXE314T</t>
  </si>
  <si>
    <t>Enjoliveur 4 boutons poussoirs KNX gallery LED titane</t>
  </si>
  <si>
    <t>WXE316B</t>
  </si>
  <si>
    <t>Enjoliveur 6 boutons poussoirs KNX gallery LED pure</t>
  </si>
  <si>
    <t>16.2756€</t>
  </si>
  <si>
    <t>WXE316D</t>
  </si>
  <si>
    <t>Enjoliveur 6 boutons poussoirs KNX gallery LED dune</t>
  </si>
  <si>
    <t>WXE316N</t>
  </si>
  <si>
    <t>Enjoliveur 6 boutons poussoirs KNX gallery LED night</t>
  </si>
  <si>
    <t>19.5804€</t>
  </si>
  <si>
    <t>WXE316T</t>
  </si>
  <si>
    <t>Enjoliveur 6 boutons poussoirs KNX gallery LED titane</t>
  </si>
  <si>
    <t>WXE302S</t>
  </si>
  <si>
    <t>Enjo 2BP KNX gallery sand</t>
  </si>
  <si>
    <t>WXE304S</t>
  </si>
  <si>
    <t>Enjo 4BP KNX gallery sand</t>
  </si>
  <si>
    <t>WXE306S</t>
  </si>
  <si>
    <t>Enjo 6BP KNX gallery sand</t>
  </si>
  <si>
    <t>WXE312S</t>
  </si>
  <si>
    <t>Enjo 2BP KNX gallery LED sand</t>
  </si>
  <si>
    <t>WXE314S</t>
  </si>
  <si>
    <t>Enjo 4BP KNX gallery LED sand</t>
  </si>
  <si>
    <t>WXE316S</t>
  </si>
  <si>
    <t>Enjo 6BP KNX gallery LED sand</t>
  </si>
  <si>
    <t>WXF001</t>
  </si>
  <si>
    <t>Interrupteur Gallery va et vient 2 modules</t>
  </si>
  <si>
    <t xml:space="preserve">HAMGAM10 </t>
  </si>
  <si>
    <t>GALLERY MECAS STANDARDS</t>
  </si>
  <si>
    <t>5.2305€</t>
  </si>
  <si>
    <t>WXF005</t>
  </si>
  <si>
    <t>Interrupteur va&amp;vient gallery a tirage 2 modules</t>
  </si>
  <si>
    <t>24.0185€</t>
  </si>
  <si>
    <t>WXF008</t>
  </si>
  <si>
    <t>Interrupteur gallery 2 modules 2 poles 10A</t>
  </si>
  <si>
    <t>14.74€</t>
  </si>
  <si>
    <t>WXF024</t>
  </si>
  <si>
    <t>Bouton poussoir gallery a tirage 2 modules</t>
  </si>
  <si>
    <t>24.519€</t>
  </si>
  <si>
    <t>WXF102</t>
  </si>
  <si>
    <t>Prise de courant Gallery 2P</t>
  </si>
  <si>
    <t>4.4935€</t>
  </si>
  <si>
    <t>WXF105</t>
  </si>
  <si>
    <t>Prise de courant Gallery rénovation 2P+T</t>
  </si>
  <si>
    <t>5.6925€</t>
  </si>
  <si>
    <t>WXF122</t>
  </si>
  <si>
    <t>Prise de courant gallery 2P+T double</t>
  </si>
  <si>
    <t>10.736€</t>
  </si>
  <si>
    <t>WXF123</t>
  </si>
  <si>
    <t>Prise de courant gallery 2P+T triple</t>
  </si>
  <si>
    <t>16.0985€</t>
  </si>
  <si>
    <t>WXF160B</t>
  </si>
  <si>
    <t>Prise de courant Schuko gallery 2P+T pure</t>
  </si>
  <si>
    <t>5.8795€</t>
  </si>
  <si>
    <t>WXF160D</t>
  </si>
  <si>
    <t>Prise de courant Schuko gallery 2P+T dune</t>
  </si>
  <si>
    <t>WXF160E</t>
  </si>
  <si>
    <t>Prise de courant Schuko gallery 2P+T orange</t>
  </si>
  <si>
    <t>12.342€</t>
  </si>
  <si>
    <t>WXF160N</t>
  </si>
  <si>
    <t>Prise de courant Schuko gallery 2P+T night</t>
  </si>
  <si>
    <t>WXF160R</t>
  </si>
  <si>
    <t>Prise de courant Schuko gallery 2P+T rouge</t>
  </si>
  <si>
    <t>WXF160T</t>
  </si>
  <si>
    <t>Prise de courant Schuko gallery 2P+T titane</t>
  </si>
  <si>
    <t>WXF160V</t>
  </si>
  <si>
    <t>Prise de courant Schuko gallery 2P+T vert</t>
  </si>
  <si>
    <t>WXF165B</t>
  </si>
  <si>
    <t>Prise de courant Schuko gallery a couvercle 2P+T pure</t>
  </si>
  <si>
    <t>10.3015€</t>
  </si>
  <si>
    <t>WXF165N</t>
  </si>
  <si>
    <t>Prise de courant Schuko gallery a couvercle 2P+T night</t>
  </si>
  <si>
    <t>WXF165T</t>
  </si>
  <si>
    <t>Prise de courant Schuko gallery a couvercle 2P+T titane</t>
  </si>
  <si>
    <t>WXF200</t>
  </si>
  <si>
    <t>Prise téléphoneT  Gallery 2 modules</t>
  </si>
  <si>
    <t>11.693€</t>
  </si>
  <si>
    <t>WXF250</t>
  </si>
  <si>
    <t>Prise Gallery TV direct 2 modules</t>
  </si>
  <si>
    <t>WXF251</t>
  </si>
  <si>
    <t>Prise TV gallery  BNC traversante 10 db 2 modules</t>
  </si>
  <si>
    <t>9.6745€</t>
  </si>
  <si>
    <t>WXF253</t>
  </si>
  <si>
    <t>Prise Gallery TV + FM direct 2 modules</t>
  </si>
  <si>
    <t>18.0675€</t>
  </si>
  <si>
    <t>WXF254</t>
  </si>
  <si>
    <t>Prise TV + FM gallery BNC traversante 10 db 2 modules</t>
  </si>
  <si>
    <t>25.0305€</t>
  </si>
  <si>
    <t>WXF256</t>
  </si>
  <si>
    <t>Prise  TV + FM + SAT gallery  triple directe 1 entrée 2 modules</t>
  </si>
  <si>
    <t>25.3165€</t>
  </si>
  <si>
    <t>WXF257</t>
  </si>
  <si>
    <t>Prise TV + FM + SAT gallery triple directe 2 entrées 2 modules</t>
  </si>
  <si>
    <t>WXF258</t>
  </si>
  <si>
    <t>Prise Gallery TV type F 2 modules</t>
  </si>
  <si>
    <t>9.4545€</t>
  </si>
  <si>
    <t>WXF259</t>
  </si>
  <si>
    <t>Prise  TV + FM gallery double type F 2 modules</t>
  </si>
  <si>
    <t>28.314€</t>
  </si>
  <si>
    <t>WXF300</t>
  </si>
  <si>
    <t>Interrupteur pour volet roulant gallery inverseur 2 modules</t>
  </si>
  <si>
    <t>22.3905€</t>
  </si>
  <si>
    <t>WXF301</t>
  </si>
  <si>
    <t>Bouton-poussoir pour volet roulant gallery 2 modules</t>
  </si>
  <si>
    <t>24.112€</t>
  </si>
  <si>
    <t>WXF191B</t>
  </si>
  <si>
    <t>Prise de courant gallery 2P+T standard britannique pure. livrée avec support</t>
  </si>
  <si>
    <t>12.738€</t>
  </si>
  <si>
    <t>WXF191N</t>
  </si>
  <si>
    <t>Prise de courant gallery 2P+T standard britannique night. livrée avec support</t>
  </si>
  <si>
    <t>13.4585€</t>
  </si>
  <si>
    <t>WXF191T</t>
  </si>
  <si>
    <t>Prise de courant gallery 2P+T standard britannique titane. livrée avec support</t>
  </si>
  <si>
    <t>WXF106</t>
  </si>
  <si>
    <t>Prise de courant Gallery 2P+T. mécanisme pour prise à puits et prise affleurante</t>
  </si>
  <si>
    <t>7.68€</t>
  </si>
  <si>
    <t>3.8005€</t>
  </si>
  <si>
    <t>WXF104R</t>
  </si>
  <si>
    <t>Prise de courant  2P+T detrompage rouge (mécanisme et enjoliveur)</t>
  </si>
  <si>
    <t>7.5845€</t>
  </si>
  <si>
    <t>WXA022</t>
  </si>
  <si>
    <t>Peigne double PC précab.Gallery Essensya</t>
  </si>
  <si>
    <t>3.2065€</t>
  </si>
  <si>
    <t>WXA023</t>
  </si>
  <si>
    <t>Peigne triple PC précab.Gallery Essensya</t>
  </si>
  <si>
    <t>6.413€</t>
  </si>
  <si>
    <t>WXF003</t>
  </si>
  <si>
    <t>Interrupteur va&amp;vient gallery InterBP avec neutre 2 modules</t>
  </si>
  <si>
    <t xml:space="preserve">HAMGBM10 </t>
  </si>
  <si>
    <t>GALLERY MECAS EVOL ELECTRO</t>
  </si>
  <si>
    <t>WXF023</t>
  </si>
  <si>
    <t>Interrupteur gallery inverseur InterBP 2 modules signal exterieur</t>
  </si>
  <si>
    <t>10.2795€</t>
  </si>
  <si>
    <t>WXF052</t>
  </si>
  <si>
    <t>Interrupteur automatique gallery 2 fils sans neutre</t>
  </si>
  <si>
    <t>69.1295€</t>
  </si>
  <si>
    <t>WXF054</t>
  </si>
  <si>
    <t>Interrupteur automatique gallery cage d'escalier</t>
  </si>
  <si>
    <t>64.229€</t>
  </si>
  <si>
    <t>WXF055</t>
  </si>
  <si>
    <t>Interrupteur Gallery carte d\'hôtel</t>
  </si>
  <si>
    <t>51.711€</t>
  </si>
  <si>
    <t>WXF112</t>
  </si>
  <si>
    <t>Chargeur double USB A+A  gallery</t>
  </si>
  <si>
    <t>26.356€</t>
  </si>
  <si>
    <t>WXF315</t>
  </si>
  <si>
    <t>Thermostat electronique gallery</t>
  </si>
  <si>
    <t>92.708€</t>
  </si>
  <si>
    <t>WXF316</t>
  </si>
  <si>
    <t>Thermostat fil pilote gallery</t>
  </si>
  <si>
    <t>91.7785€</t>
  </si>
  <si>
    <t>WXF610</t>
  </si>
  <si>
    <t>Arrêt d\'urgence gallery à clé 2 modules</t>
  </si>
  <si>
    <t>86.988€</t>
  </si>
  <si>
    <t>WXF611</t>
  </si>
  <si>
    <t>Arret d'urgence gallery 1/4 de tour 2 modules</t>
  </si>
  <si>
    <t>75.3885€</t>
  </si>
  <si>
    <t>WXF615B</t>
  </si>
  <si>
    <t>Interrupteur a clefs gallery 2 positions 2 modules pure</t>
  </si>
  <si>
    <t>102.663€</t>
  </si>
  <si>
    <t>WXF615D</t>
  </si>
  <si>
    <t>Interrupteur a clefs gallery 2 positions 2 modules dune</t>
  </si>
  <si>
    <t>WXF615N</t>
  </si>
  <si>
    <t>Interrupteur a clefs gallery 2 positions 2 modules night</t>
  </si>
  <si>
    <t>112.9315€</t>
  </si>
  <si>
    <t>WXF615T</t>
  </si>
  <si>
    <t>Interrupteur a clefs gallery 2 positions 2 modules titane</t>
  </si>
  <si>
    <t>WXF616B</t>
  </si>
  <si>
    <t>Interrupteur a clefs gallery 3 positions 2 modules pure</t>
  </si>
  <si>
    <t>120.054€</t>
  </si>
  <si>
    <t>WXF616D</t>
  </si>
  <si>
    <t>Interrupteur a clefs gallery 3 positions 2 modules dune</t>
  </si>
  <si>
    <t>WXF616N</t>
  </si>
  <si>
    <t>Interrupteur a clefs gallery 3 positions 2 modules night</t>
  </si>
  <si>
    <t>153.989€</t>
  </si>
  <si>
    <t>WXF616T</t>
  </si>
  <si>
    <t>Interrupteur a clefs gallery 3 positions 2 modules titane</t>
  </si>
  <si>
    <t>WXF617B</t>
  </si>
  <si>
    <t>Interrupteur a clefs gallery 3 positions extraction en position 0 pure</t>
  </si>
  <si>
    <t>WXF617D</t>
  </si>
  <si>
    <t>Interrupteur a clefs gallery 3 positions extraction en position 0 dune</t>
  </si>
  <si>
    <t>WXF617N</t>
  </si>
  <si>
    <t>Interrupteur a clefs gallery 3 positions extraction en position 0 night</t>
  </si>
  <si>
    <t>128.623€</t>
  </si>
  <si>
    <t>WXF617T</t>
  </si>
  <si>
    <t>Interrupteur a clefs gallery 3 positions extraction en position 0 titane</t>
  </si>
  <si>
    <t>WXF621</t>
  </si>
  <si>
    <t>RCA audio gallery bornier a vis</t>
  </si>
  <si>
    <t>60.9015€</t>
  </si>
  <si>
    <t>WXF622</t>
  </si>
  <si>
    <t>Prise Gallery jack audio keystone</t>
  </si>
  <si>
    <t>75.537€</t>
  </si>
  <si>
    <t>WXF623</t>
  </si>
  <si>
    <t>XLR femelle gallery neutre bornier a vis</t>
  </si>
  <si>
    <t>45.991€</t>
  </si>
  <si>
    <t>WXF624</t>
  </si>
  <si>
    <t>XLR mâle gallery neutre bornier a vis</t>
  </si>
  <si>
    <t>WXF625</t>
  </si>
  <si>
    <t>Prise Gallery haut parleur</t>
  </si>
  <si>
    <t>12.628€</t>
  </si>
  <si>
    <t>WXF631</t>
  </si>
  <si>
    <t>RCA audio/video bornier à vis 2 modules</t>
  </si>
  <si>
    <t>WXF632</t>
  </si>
  <si>
    <t>Prise HDMI gallery bornier à vis 2 modules</t>
  </si>
  <si>
    <t>60.412€</t>
  </si>
  <si>
    <t>WXF633</t>
  </si>
  <si>
    <t>Prise HDMI gallery prise traversante keystone</t>
  </si>
  <si>
    <t>36.553€</t>
  </si>
  <si>
    <t>WXF641</t>
  </si>
  <si>
    <t>SUB-D15 (VGA+minijack) gallery à vis</t>
  </si>
  <si>
    <t>69.641€</t>
  </si>
  <si>
    <t>WXF642</t>
  </si>
  <si>
    <t>Prise Gallery USB 2.0 bornier à vis</t>
  </si>
  <si>
    <t>51.9365€</t>
  </si>
  <si>
    <t>WXF644</t>
  </si>
  <si>
    <t>Prise Gallery traversante USB 3.0</t>
  </si>
  <si>
    <t>54.9725€</t>
  </si>
  <si>
    <t>WXF645</t>
  </si>
  <si>
    <t>Prise optique gallery prise traversante SC 2 modules</t>
  </si>
  <si>
    <t>24.5575€</t>
  </si>
  <si>
    <t>WXF646</t>
  </si>
  <si>
    <t>Prise optique gallery prise traversante LC 2 modules</t>
  </si>
  <si>
    <t>26.3945€</t>
  </si>
  <si>
    <t>WXF051</t>
  </si>
  <si>
    <t>Interrupteur automatique Gallery 3 fils</t>
  </si>
  <si>
    <t>78.331€</t>
  </si>
  <si>
    <t>WXF062</t>
  </si>
  <si>
    <t>Le Variateur rotatif WXF062 fait partie de la gamme Gallery. A compléter d\'un enjoliveur. d\'un support et d\'une plaque de finition pour une solution complète Gallery.</t>
  </si>
  <si>
    <t>66.869€</t>
  </si>
  <si>
    <t>WXF063</t>
  </si>
  <si>
    <t>Le Variateur à touches WXF063 fait partie de la gamme Gallery. A compléter d\'un enjoliveur. d\'un support et d\'une plaque de finition pour une solution complète Gallery.</t>
  </si>
  <si>
    <t>WXF113</t>
  </si>
  <si>
    <t>USB A+C chargeur gallery</t>
  </si>
  <si>
    <t>29.249€</t>
  </si>
  <si>
    <t>WXF115</t>
  </si>
  <si>
    <t>Chargeur USB-C 65W</t>
  </si>
  <si>
    <t>62.766€</t>
  </si>
  <si>
    <t>WXF114B</t>
  </si>
  <si>
    <t>Prise de courant affleurante + USB-C - blanc</t>
  </si>
  <si>
    <t>33.9955€</t>
  </si>
  <si>
    <t>WXF114D</t>
  </si>
  <si>
    <t>Prise de courant affleurante + USB-C - dune</t>
  </si>
  <si>
    <t>WXF114N</t>
  </si>
  <si>
    <t>Prise de courant affleurante + USB-C - noir</t>
  </si>
  <si>
    <t>35.6345€</t>
  </si>
  <si>
    <t>WXF114T</t>
  </si>
  <si>
    <t>Prise de courant affleurante + USB-C - titane</t>
  </si>
  <si>
    <t>WXF116</t>
  </si>
  <si>
    <t>Le chargeur USB C+C WXF116 fait partie de la gamme Gallery. Permet de brancher deux produits USB de type C sur le même appareillage mural de puissance 20w chacun.</t>
  </si>
  <si>
    <t>26.2075€</t>
  </si>
  <si>
    <t>WXF114S</t>
  </si>
  <si>
    <t>PC 2P+T USB-C gallery sand</t>
  </si>
  <si>
    <t>WXF221</t>
  </si>
  <si>
    <t>Prise Gallery RJ45 cat.5E UTP</t>
  </si>
  <si>
    <t xml:space="preserve">HAMGCM10 </t>
  </si>
  <si>
    <t>GALLERY MECAS COMMUNICATION</t>
  </si>
  <si>
    <t>10.9395€</t>
  </si>
  <si>
    <t>WXF222</t>
  </si>
  <si>
    <t>Prise Gallery RJ45 cat.5E FTP</t>
  </si>
  <si>
    <t>12.694€</t>
  </si>
  <si>
    <t>WXF224</t>
  </si>
  <si>
    <t>Prise Gallery RJ45 cat.6 FTP</t>
  </si>
  <si>
    <t>WXF225</t>
  </si>
  <si>
    <t>Prise Gallery RJ45 cat.6 UTP</t>
  </si>
  <si>
    <t>9.5755€</t>
  </si>
  <si>
    <t>WXF226</t>
  </si>
  <si>
    <t>Prise Gallery RJ45 cat.6 STP pour Grade 2TV</t>
  </si>
  <si>
    <t>14.4705€</t>
  </si>
  <si>
    <t>WXF228</t>
  </si>
  <si>
    <t>Prise Gallery RJ45 cat.6A STP pour Grade 3TV</t>
  </si>
  <si>
    <t>15.2735€</t>
  </si>
  <si>
    <t>WXF230</t>
  </si>
  <si>
    <t>Prise RJ45 gallery cat.6 UTP 2 modules incliné a 45°</t>
  </si>
  <si>
    <t>15.026€</t>
  </si>
  <si>
    <t>WXF231</t>
  </si>
  <si>
    <t>Prise RJ45 gallery cat.6 FTP 2 modules incliné a 45°</t>
  </si>
  <si>
    <t>13.5135€</t>
  </si>
  <si>
    <t>WXF232</t>
  </si>
  <si>
    <t>Prise RJ45 gallery cat.6 STP 2 modules incliné a 45°</t>
  </si>
  <si>
    <t>18.337€</t>
  </si>
  <si>
    <t>WXF233</t>
  </si>
  <si>
    <t>Prise RJ45 gallery cat.6A STP 2 modules incliné a 45°</t>
  </si>
  <si>
    <t>17.7595€</t>
  </si>
  <si>
    <t>WXF240</t>
  </si>
  <si>
    <t>Prise Gallery TV + RJ45 2 modules</t>
  </si>
  <si>
    <t>WXF421B</t>
  </si>
  <si>
    <t>Prise de courant speciale goulotte gallery 2P+T 16A pure</t>
  </si>
  <si>
    <t xml:space="preserve">HAMGEM10 </t>
  </si>
  <si>
    <t>GALLERY MECAS SPE GOULOTTE</t>
  </si>
  <si>
    <t>7.284€</t>
  </si>
  <si>
    <t>WXF421E</t>
  </si>
  <si>
    <t>Prise de courant speciale goulotte gallery 2P+T 16A orange</t>
  </si>
  <si>
    <t>7.122€</t>
  </si>
  <si>
    <t>WXF421N</t>
  </si>
  <si>
    <t>Prise de courant speciale goulotte gallery 2P+T 16A night</t>
  </si>
  <si>
    <t>WXF421R</t>
  </si>
  <si>
    <t>Prise de courant speciale goulotte gallery 2P+T 16A rouge</t>
  </si>
  <si>
    <t>WXF421T</t>
  </si>
  <si>
    <t>Prise de courant speciale goulotte gallery 2P+T 16A titane</t>
  </si>
  <si>
    <t>WXF421V</t>
  </si>
  <si>
    <t>Prise de courant speciale goulotte gallery 2P+T 16A vert</t>
  </si>
  <si>
    <t>WXF422B</t>
  </si>
  <si>
    <t>Prise de courant double speciale goulotte gallery 2P+T 16A pure</t>
  </si>
  <si>
    <t>16.848€</t>
  </si>
  <si>
    <t>WXF422E</t>
  </si>
  <si>
    <t>Prise de courant double speciale goulotte gallery 2P+T 16A orange</t>
  </si>
  <si>
    <t>17.034€</t>
  </si>
  <si>
    <t>WXF422N</t>
  </si>
  <si>
    <t>Prise de courant double speciale goulotte gallery 2P+T 16A night</t>
  </si>
  <si>
    <t>WXF422R</t>
  </si>
  <si>
    <t>Prise de courant double speciale goulotte gallery 2P+T 16A rouge</t>
  </si>
  <si>
    <t>WXF422T</t>
  </si>
  <si>
    <t>Prise de courant double speciale goulotte gallery 2P+T 16A titane</t>
  </si>
  <si>
    <t>WXF422V</t>
  </si>
  <si>
    <t>Prise de courant double speciale goulotte gallery 2P+T 16A vert</t>
  </si>
  <si>
    <t>WXF423B</t>
  </si>
  <si>
    <t>Prise de courant triple speciale goulotte gallery 2P+T 16A pure</t>
  </si>
  <si>
    <t>WXF423E</t>
  </si>
  <si>
    <t>Prise de courant triple speciale goulotte gallery 2P+T 16A orange</t>
  </si>
  <si>
    <t>24.852€</t>
  </si>
  <si>
    <t>WXF423N</t>
  </si>
  <si>
    <t>Prise de courant triple speciale goulotte gallery 2P+T 16A night</t>
  </si>
  <si>
    <t>WXF423R</t>
  </si>
  <si>
    <t>Prise de courant triple speciale goulotte gallery 2P+T 16A rouge</t>
  </si>
  <si>
    <t>WXF423T</t>
  </si>
  <si>
    <t>Prise de courant triple speciale goulotte gallery 2P+T 16A titane</t>
  </si>
  <si>
    <t>WXF423V</t>
  </si>
  <si>
    <t>Prise de courant triple speciale goulotte gallery 2P+T 16A vert</t>
  </si>
  <si>
    <t>WXF431</t>
  </si>
  <si>
    <t>Prise de courant detrompee speciale goulotte gallery 2P+T 16A</t>
  </si>
  <si>
    <t>9.33€</t>
  </si>
  <si>
    <t>WXF432</t>
  </si>
  <si>
    <t>Prise de courant double detrompee speciale goulotte gallery 2P+T 16A</t>
  </si>
  <si>
    <t>WXF433</t>
  </si>
  <si>
    <t>Prise de courant triple detrompee speciale goulotte gallery 2P+T 16A</t>
  </si>
  <si>
    <t>WXF436B</t>
  </si>
  <si>
    <t>Interrupteur 16AX pour multi-prises gallery 2P+T pure</t>
  </si>
  <si>
    <t>14.298€</t>
  </si>
  <si>
    <t>WXF436N</t>
  </si>
  <si>
    <t>Interrupteur 16AX pour multi-prises gallery night</t>
  </si>
  <si>
    <t>14.994€</t>
  </si>
  <si>
    <t>WXF436T</t>
  </si>
  <si>
    <t>Interrupteur 16AX pour multi-prises gallery 2P+T titane</t>
  </si>
  <si>
    <t>14.772€</t>
  </si>
  <si>
    <t>WXP0001</t>
  </si>
  <si>
    <t>Plaque gallery plastique injecté 1 module  pure</t>
  </si>
  <si>
    <t xml:space="preserve">HAMGHM10 </t>
  </si>
  <si>
    <t>GALLERY PLAQUES PLASTIQUES</t>
  </si>
  <si>
    <t>3.773€</t>
  </si>
  <si>
    <t>WXP0002</t>
  </si>
  <si>
    <t>Plaque gallery plastique injecté 1 poste pure</t>
  </si>
  <si>
    <t>1.694€</t>
  </si>
  <si>
    <t>WXP0004</t>
  </si>
  <si>
    <t>Plaque gallery plastique injecté 4 modules entraxe 71mm pure</t>
  </si>
  <si>
    <t>4.587€</t>
  </si>
  <si>
    <t>WXP0005</t>
  </si>
  <si>
    <t>Plaque gallery plastique injecté 5 modules entraxe 71mm pure</t>
  </si>
  <si>
    <t>WXP0006</t>
  </si>
  <si>
    <t>Plaque gallery plastique injecté 6 modules entraxe 57mm pure</t>
  </si>
  <si>
    <t>6.1105€</t>
  </si>
  <si>
    <t>WXP0008</t>
  </si>
  <si>
    <t>Plaque gallery plastique injecté 8 modules entraxe 71mm pure</t>
  </si>
  <si>
    <t>WXP0012</t>
  </si>
  <si>
    <t>Plaque gallery plastique injecté 2 postes horizontale 71mm pure</t>
  </si>
  <si>
    <t>3.355€</t>
  </si>
  <si>
    <t>WXP0013</t>
  </si>
  <si>
    <t>Plaque gallery plastique injecté 3 postes horizontale 71mm pure</t>
  </si>
  <si>
    <t>5.0215€</t>
  </si>
  <si>
    <t>WXP0014</t>
  </si>
  <si>
    <t>Plaque gallery plastique injecté 4 postes horizontale 71mm pure</t>
  </si>
  <si>
    <t>6.6935€</t>
  </si>
  <si>
    <t>WXP0022</t>
  </si>
  <si>
    <t>Plaque gallery plastique injecté 2 postes verticale 57mm pure</t>
  </si>
  <si>
    <t>WXP0023</t>
  </si>
  <si>
    <t>Plaque gallery plastique injecté 3 postes verticale 57mm pure</t>
  </si>
  <si>
    <t>5.049€</t>
  </si>
  <si>
    <t>WXP0034</t>
  </si>
  <si>
    <t>Plaque gallery plastique injecté 4 modules entraxe 57mm pure</t>
  </si>
  <si>
    <t>WXP0042</t>
  </si>
  <si>
    <t>Plaque gallery plastique injecté 2 postes verticale 71mm pure</t>
  </si>
  <si>
    <t>WXP0043</t>
  </si>
  <si>
    <t>Plaque gallery plastique injecté 3 postes verticale 71mm pure</t>
  </si>
  <si>
    <t>WXP0086</t>
  </si>
  <si>
    <t>Plaque gallery plastique injecté 2x3x2 modules pure</t>
  </si>
  <si>
    <t>25.9655€</t>
  </si>
  <si>
    <t>WXP0096</t>
  </si>
  <si>
    <t>Plaque gallery plastique injecté 8 modules + 8 modules pure</t>
  </si>
  <si>
    <t>WXP0101</t>
  </si>
  <si>
    <t>Plaque gallery plastique peint 1 module titane</t>
  </si>
  <si>
    <t>4.9445€</t>
  </si>
  <si>
    <t>WXP0102</t>
  </si>
  <si>
    <t>Plaque gallery plastique peint 1 poste titane</t>
  </si>
  <si>
    <t>4.477€</t>
  </si>
  <si>
    <t>WXP0104</t>
  </si>
  <si>
    <t>Plaque gallery plastique peint 4 modules entraxe 71mm titane</t>
  </si>
  <si>
    <t>13.387€</t>
  </si>
  <si>
    <t>WXP0105</t>
  </si>
  <si>
    <t>Plaque gallery plastique peint 5 modules entraxe 71mm titane</t>
  </si>
  <si>
    <t>WXP0106</t>
  </si>
  <si>
    <t>Plaque gallery plastique peint 6 modules entraxe 57mm titane</t>
  </si>
  <si>
    <t>19.217€</t>
  </si>
  <si>
    <t>WXP0108</t>
  </si>
  <si>
    <t>Plaque gallery plastique peint 8 modules entraxe 71mm titane</t>
  </si>
  <si>
    <t>17.842€</t>
  </si>
  <si>
    <t>WXP0112</t>
  </si>
  <si>
    <t>Plaque gallery plastique peint 2 postes horizontale 71mm titane</t>
  </si>
  <si>
    <t>WXP0113</t>
  </si>
  <si>
    <t>Plaque gallery plastique peint 3 postes horizontale 71mm titane</t>
  </si>
  <si>
    <t>WXP0114</t>
  </si>
  <si>
    <t>Plaque gallery plastique peint 4 postes horizontale 71mm titane</t>
  </si>
  <si>
    <t>WXP0122</t>
  </si>
  <si>
    <t>Plaque gallery plastique peint 2 postes verticale 57mm titane</t>
  </si>
  <si>
    <t>9.812€</t>
  </si>
  <si>
    <t>WXP0123</t>
  </si>
  <si>
    <t>Plaque gallery plastique peint 3 postes verticale 57mm titane</t>
  </si>
  <si>
    <t>WXP0134</t>
  </si>
  <si>
    <t>Plaque gallery plastique peint 4 modules entraxe 57mm titane</t>
  </si>
  <si>
    <t>14.421€</t>
  </si>
  <si>
    <t>WXP0142</t>
  </si>
  <si>
    <t>Plaque gallery plastique peint 2 postes verticale 71mm titane</t>
  </si>
  <si>
    <t>WXP0143</t>
  </si>
  <si>
    <t>Plaque gallery plastique peint 3 postes verticale 71mm titane</t>
  </si>
  <si>
    <t>WXP0186</t>
  </si>
  <si>
    <t>Plaque gallery plastique peint 2x3x2 modules titane</t>
  </si>
  <si>
    <t>54.5325€</t>
  </si>
  <si>
    <t>WXP0196</t>
  </si>
  <si>
    <t>Plaque gallery plastique peint 8 modules + 8 modules titane</t>
  </si>
  <si>
    <t>35.9205€</t>
  </si>
  <si>
    <t>WXP0202</t>
  </si>
  <si>
    <t>Plaque gallery plastique peint 1 poste night</t>
  </si>
  <si>
    <t>WXP0204</t>
  </si>
  <si>
    <t>Plaque gallery plastique peint 4 modules entraxe 71mm night</t>
  </si>
  <si>
    <t>WXP0205</t>
  </si>
  <si>
    <t>Plaque gallery plastique peint 5 modules entraxe 71mm night</t>
  </si>
  <si>
    <t>WXP0206</t>
  </si>
  <si>
    <t>Plaque galleryplastique peint 6 modules entraxe 57mm night</t>
  </si>
  <si>
    <t>WXP0208</t>
  </si>
  <si>
    <t>Plaque gallery plastique peint 8 modules entraxe 71mm night</t>
  </si>
  <si>
    <t>WXP0212</t>
  </si>
  <si>
    <t>Plaque gallery plastique peint 2 postes horizontale 71mm night</t>
  </si>
  <si>
    <t>WXP0213</t>
  </si>
  <si>
    <t>Plaque gallery plastique peint 3 postes horizontale 71mm night</t>
  </si>
  <si>
    <t>WXP0214</t>
  </si>
  <si>
    <t>Plaque gallery plastique peint 4 postes horizontale 71mm night</t>
  </si>
  <si>
    <t>WXP0222</t>
  </si>
  <si>
    <t>Plaque gallery plastique peint 2 postes verticale 57mm night</t>
  </si>
  <si>
    <t>WXP0223</t>
  </si>
  <si>
    <t>Plaque gallery plastique peint 3 postes verticale 57mm night</t>
  </si>
  <si>
    <t>WXP0234</t>
  </si>
  <si>
    <t>Plaque gallery plastique peint 4 modules entraxe 57mm night</t>
  </si>
  <si>
    <t>WXP0242</t>
  </si>
  <si>
    <t>Plaque gallery plastique peint 2 postes verticale 71mm night</t>
  </si>
  <si>
    <t>WXP0243</t>
  </si>
  <si>
    <t>Plaque gallery plastique peint 3 postes verticale 71mm night</t>
  </si>
  <si>
    <t>WXP0302</t>
  </si>
  <si>
    <t>Plaque gallery plastique peint 1 poste dune</t>
  </si>
  <si>
    <t>1.826€</t>
  </si>
  <si>
    <t>WXP0304</t>
  </si>
  <si>
    <t>Plaque gallery plastique peint 4 modules entraxe 71mm dune</t>
  </si>
  <si>
    <t>WXP0305</t>
  </si>
  <si>
    <t>Plaque gallery plastique peint 5 modules entraxe 71mm dune</t>
  </si>
  <si>
    <t>WXP0306</t>
  </si>
  <si>
    <t>Plaque gallery plastique peint 6 modules entraxe 57mm dune</t>
  </si>
  <si>
    <t>WXP0308</t>
  </si>
  <si>
    <t>Plaque gallery plastique peint 8 modules entraxe 71mm dune</t>
  </si>
  <si>
    <t>WXP0312</t>
  </si>
  <si>
    <t>Plaque gallery plastique peint 2 postes horizontale 71mm dune</t>
  </si>
  <si>
    <t>3.6135€</t>
  </si>
  <si>
    <t>WXP0313</t>
  </si>
  <si>
    <t>Plaque gallery plastique peint 3 postes horizontale 71mm dune</t>
  </si>
  <si>
    <t>5.412€</t>
  </si>
  <si>
    <t>WXP0314</t>
  </si>
  <si>
    <t>Plaque galleryplastique peint 4 postes horizontale 71mm dune</t>
  </si>
  <si>
    <t>7.216€</t>
  </si>
  <si>
    <t>WXP0322</t>
  </si>
  <si>
    <t>Plaque gallery plastique peint 2 postes verticale 57mm dune</t>
  </si>
  <si>
    <t>3.619€</t>
  </si>
  <si>
    <t>WXP0323</t>
  </si>
  <si>
    <t>Plaque gallery plastique peint 3 postes verticale 57mm dune</t>
  </si>
  <si>
    <t>5.445€</t>
  </si>
  <si>
    <t>WXP0334</t>
  </si>
  <si>
    <t>Plaque gallery plastique peint 4 modules entraxe 57mm dune</t>
  </si>
  <si>
    <t>WXP0342</t>
  </si>
  <si>
    <t>Plaque gallery plastique peint 2 postes verticale 71mm dune</t>
  </si>
  <si>
    <t>WXP0343</t>
  </si>
  <si>
    <t>Plaque gallery plastique peint 3 postes verticale 71mm dune</t>
  </si>
  <si>
    <t>WXP0296</t>
  </si>
  <si>
    <t>Plaque gallery plastique peint 8 modules + 8 modules night</t>
  </si>
  <si>
    <t>WXP0201</t>
  </si>
  <si>
    <t>Plaque de finition gallery 1 module Nuit entraxe 71 mm</t>
  </si>
  <si>
    <t>WXP0286</t>
  </si>
  <si>
    <t>Plaque gallery 1K2x3x2M night</t>
  </si>
  <si>
    <t>WXP0009</t>
  </si>
  <si>
    <t>Plaque gallery plastique pour thermostat KNX WKT510 et WKT511 gallery  pure</t>
  </si>
  <si>
    <t>25.9105€</t>
  </si>
  <si>
    <t>WXP0109</t>
  </si>
  <si>
    <t>Plaque gallery plastique pour thermostat KNX WKT510 et WKT511 gallery  titane</t>
  </si>
  <si>
    <t>26.4385€</t>
  </si>
  <si>
    <t>WXP0209</t>
  </si>
  <si>
    <t>Plaque gallery plastique pour thermostat KNX WKT510 et WKT511 gallery  night</t>
  </si>
  <si>
    <t>WXP1104</t>
  </si>
  <si>
    <t>Plaque gallery 4M E71mm pure infini</t>
  </si>
  <si>
    <t>WXP1105</t>
  </si>
  <si>
    <t>Plaque gallery 5M E71mm pure infini</t>
  </si>
  <si>
    <t>WXP1106</t>
  </si>
  <si>
    <t>Plaque gallery 6M E57mm pure infini</t>
  </si>
  <si>
    <t>WXP1108</t>
  </si>
  <si>
    <t>Plaque gallery 8M E71mm pure infini</t>
  </si>
  <si>
    <t>WXP1112</t>
  </si>
  <si>
    <t>Plaque gallery 2P H71mm pure infini</t>
  </si>
  <si>
    <t>WXP1113</t>
  </si>
  <si>
    <t>Plaque gallery 3P H71mm pure infini</t>
  </si>
  <si>
    <t>WXP1114</t>
  </si>
  <si>
    <t>Plaque gallery 4P H71mm pure infini</t>
  </si>
  <si>
    <t>WXP1122</t>
  </si>
  <si>
    <t>Plaque gallery 2P V57mm pure infini</t>
  </si>
  <si>
    <t>WXP1123</t>
  </si>
  <si>
    <t>Plaque gallery 3P V57mm pure infini</t>
  </si>
  <si>
    <t>WXP1134</t>
  </si>
  <si>
    <t>Plaque gallery 4M E57mm pure infini</t>
  </si>
  <si>
    <t>WXP1142</t>
  </si>
  <si>
    <t>Plaque gallery 2P V71mm pure infini</t>
  </si>
  <si>
    <t>WXP1143</t>
  </si>
  <si>
    <t>Plaque gallery 3P V71mm pure infini</t>
  </si>
  <si>
    <t>WXP1304</t>
  </si>
  <si>
    <t>Plaque gallery 4M E71mm sand</t>
  </si>
  <si>
    <t>WXP1305</t>
  </si>
  <si>
    <t>Plaque gallery 5M E71mm sand</t>
  </si>
  <si>
    <t>WXP1308</t>
  </si>
  <si>
    <t>Plaque gallery 8M E71mm sand</t>
  </si>
  <si>
    <t>WXP1312</t>
  </si>
  <si>
    <t>Plaque gallery 2P H71mm sand</t>
  </si>
  <si>
    <t>WXP1313</t>
  </si>
  <si>
    <t>Plaque gallery 3P H71mm sand</t>
  </si>
  <si>
    <t>WXP1314</t>
  </si>
  <si>
    <t>Plaque gallery 4P H71mm sand</t>
  </si>
  <si>
    <t>WXP1322</t>
  </si>
  <si>
    <t>Plaque gallery 2P V57mm sand</t>
  </si>
  <si>
    <t>WXP1323</t>
  </si>
  <si>
    <t>Plaque gallery 3P V57mm sand</t>
  </si>
  <si>
    <t>WXP1342</t>
  </si>
  <si>
    <t>Plaque gallery 2P V71mm sand</t>
  </si>
  <si>
    <t>WXP1343</t>
  </si>
  <si>
    <t>Plaque gallery 3P V71mm sand</t>
  </si>
  <si>
    <t>WXP0402</t>
  </si>
  <si>
    <t>Plaque gallery plastique peint 1 poste champagne</t>
  </si>
  <si>
    <t xml:space="preserve">HAMGIM10 </t>
  </si>
  <si>
    <t>GALLERY PLAQUES PEINTES</t>
  </si>
  <si>
    <t>4.884€</t>
  </si>
  <si>
    <t>WXP0404</t>
  </si>
  <si>
    <t>Plaque gallery plastique peint 4 modules entraxe 71mm champagne</t>
  </si>
  <si>
    <t>14.604€</t>
  </si>
  <si>
    <t>WXP0405</t>
  </si>
  <si>
    <t>Plaque gallery plastique peint 5 modules entraxe 71mm champagne</t>
  </si>
  <si>
    <t>WXP0406</t>
  </si>
  <si>
    <t>Plaque gallery plastique peint 6 modules entraxe 57mm champagne</t>
  </si>
  <si>
    <t>20.964€</t>
  </si>
  <si>
    <t>WXP0408</t>
  </si>
  <si>
    <t>Plaque gallery plastique peint 8 modules entraxe 71mm champagne</t>
  </si>
  <si>
    <t>19.464€</t>
  </si>
  <si>
    <t>WXP0412</t>
  </si>
  <si>
    <t>Plaque gallery plastique peint 2 postes horizontale 71mm champagne</t>
  </si>
  <si>
    <t>9.744€</t>
  </si>
  <si>
    <t>WXP0413</t>
  </si>
  <si>
    <t>Plaque gallery plastique peint 3 postes horizontale 71mm champagne</t>
  </si>
  <si>
    <t>WXP0414</t>
  </si>
  <si>
    <t>Plaque gallery plastique peint 4 postes horizontale 71mm champagne</t>
  </si>
  <si>
    <t>WXP0422</t>
  </si>
  <si>
    <t>Plaque gallery plastique peint 2 postes verticale 57mm champagne</t>
  </si>
  <si>
    <t>10.704€</t>
  </si>
  <si>
    <t>WXP0423</t>
  </si>
  <si>
    <t>Plaque gallery plastique peint 3 postes verticale 57mm champagne</t>
  </si>
  <si>
    <t>16.05€</t>
  </si>
  <si>
    <t>WXP0434</t>
  </si>
  <si>
    <t>Plaque gallery plastique peint 4 modules entraxe 57mm champagne</t>
  </si>
  <si>
    <t>15.732€</t>
  </si>
  <si>
    <t>WXP0442</t>
  </si>
  <si>
    <t>Plaque gallery plastique peint 2 postes verticale 71mm champagne</t>
  </si>
  <si>
    <t>WXP0443</t>
  </si>
  <si>
    <t>Plaque gallery plastique peint 3 postes verticale 71mm champagne</t>
  </si>
  <si>
    <t>WXP0502</t>
  </si>
  <si>
    <t>Plaque de finition Gallery 2 modules Rosé entraxe 71 mm</t>
  </si>
  <si>
    <t>WXP0504</t>
  </si>
  <si>
    <t>Plaque gallery plastique peint 4 modules entraxe 71mm rosé</t>
  </si>
  <si>
    <t>WXP0505</t>
  </si>
  <si>
    <t>Plaque gallery plastique peint 5 modules entraxe 71mm rosé</t>
  </si>
  <si>
    <t>WXP0506</t>
  </si>
  <si>
    <t>Plaque gallery plastique peint 6 modules entraxe 57mm rosé</t>
  </si>
  <si>
    <t>WXP0508</t>
  </si>
  <si>
    <t>Plaque gallery plastique peint 8 modules entraxe 71mm rosé</t>
  </si>
  <si>
    <t>WXP0512</t>
  </si>
  <si>
    <t>Plaque gallery plastique peint 2 postes horizontale 71mm rosé</t>
  </si>
  <si>
    <t>10.506€</t>
  </si>
  <si>
    <t>WXP0513</t>
  </si>
  <si>
    <t>Plaque gallery plastique peint 3 postes horizontale 71mm rosé</t>
  </si>
  <si>
    <t>15.738€</t>
  </si>
  <si>
    <t>WXP0514</t>
  </si>
  <si>
    <t>Plaque gallery plastique peint 4 postes horizontale 71mm rosé</t>
  </si>
  <si>
    <t>WXP0522</t>
  </si>
  <si>
    <t>Plaque gallery plastique peint 2 postes verticale 57mm rosé</t>
  </si>
  <si>
    <t>11.544€</t>
  </si>
  <si>
    <t>WXP0523</t>
  </si>
  <si>
    <t>Plaque gallery plastique peint 3 postes verticale 57mm rosé</t>
  </si>
  <si>
    <t>17.298€</t>
  </si>
  <si>
    <t>WXP0534</t>
  </si>
  <si>
    <t>Plaque gallery plastique peint 4 modules entraxe 57mm rosé</t>
  </si>
  <si>
    <t>WXP0542</t>
  </si>
  <si>
    <t>Plaque gallery plastique peint 2 postes verticale 71mm rosé</t>
  </si>
  <si>
    <t>WXP0543</t>
  </si>
  <si>
    <t>Plaque gallery plastique peint 3 postes verticale 71mm rosé</t>
  </si>
  <si>
    <t>WXP0602</t>
  </si>
  <si>
    <t>Plaque gallery plastique peint 1 poste eglantine</t>
  </si>
  <si>
    <t>WXP0604</t>
  </si>
  <si>
    <t>Plaque galleryplastique peint 4 modules entraxe 71mm eglantine</t>
  </si>
  <si>
    <t>WXP0605</t>
  </si>
  <si>
    <t>Plaque gallery plastique peint 5 modules entraxe 71mm eglantine</t>
  </si>
  <si>
    <t>WXP0608</t>
  </si>
  <si>
    <t>Plaque gallery plastique peint 8 modules entraxe 71mm eglantine</t>
  </si>
  <si>
    <t>WXP0612</t>
  </si>
  <si>
    <t>Plaque gallery plastique peint 2 postes horizontale 71mm eglantine</t>
  </si>
  <si>
    <t>WXP0613</t>
  </si>
  <si>
    <t>Plaque gallery plastique peint 3 postes horizontale 71mm eglantine</t>
  </si>
  <si>
    <t>WXP0614</t>
  </si>
  <si>
    <t>Plaque gallery plastique peint 4 postes horizontale 71mm eglantine</t>
  </si>
  <si>
    <t>WXP0622</t>
  </si>
  <si>
    <t>Plaque gallery plastique peint 2 postes verticale 57mm eglantine</t>
  </si>
  <si>
    <t>WXP0623</t>
  </si>
  <si>
    <t>Plaque gallery plastique peint 3 postes verticale 57mm eglantine</t>
  </si>
  <si>
    <t>WXP0642</t>
  </si>
  <si>
    <t>Plaque gallery plastique peint 2 postes verticale 71mm eglantine</t>
  </si>
  <si>
    <t>WXP0643</t>
  </si>
  <si>
    <t>Plaque gallery plastique peint 3 postes verticale 71mm eglantine</t>
  </si>
  <si>
    <t>WXP0702</t>
  </si>
  <si>
    <t>Plaque gallery plastique peint 1 poste river</t>
  </si>
  <si>
    <t>WXP0704</t>
  </si>
  <si>
    <t>Plaque gallery plastique peint 4 modules entraxe 71mm river</t>
  </si>
  <si>
    <t>WXP0705</t>
  </si>
  <si>
    <t>Plaque gallery plastique peint 5 modules entraxe 71mm river</t>
  </si>
  <si>
    <t>WXP0708</t>
  </si>
  <si>
    <t>Plaque gallery plastique peint 8 modules entraxe 71mm river</t>
  </si>
  <si>
    <t>WXP0712</t>
  </si>
  <si>
    <t>Plaque gallery plastique peint 2 postes horizontale 71mm river</t>
  </si>
  <si>
    <t>WXP0713</t>
  </si>
  <si>
    <t>Plaque gallery plastique peint 3 postes horizontale 71mm river</t>
  </si>
  <si>
    <t>WXP0714</t>
  </si>
  <si>
    <t>Plaque gallery plastique peint 4 postes horizontale 71mm river</t>
  </si>
  <si>
    <t>WXP0722</t>
  </si>
  <si>
    <t>Plaque gallery plastique peint 2 postes verticale 57mm river</t>
  </si>
  <si>
    <t>WXP0723</t>
  </si>
  <si>
    <t>Plaque gallery plastique peint 3 postes verticale 57mm river</t>
  </si>
  <si>
    <t>WXP0734</t>
  </si>
  <si>
    <t>Plaque gallery plastique peint 4 modules entraxe 57mm river</t>
  </si>
  <si>
    <t>WXP0742</t>
  </si>
  <si>
    <t>Plaque gallery plastique peint 2 postes verticale 71mm river</t>
  </si>
  <si>
    <t>WXP0743</t>
  </si>
  <si>
    <t>Plaque gallery plastique peint 3 postes verticale 71mm river</t>
  </si>
  <si>
    <t>WXP0802</t>
  </si>
  <si>
    <t>Plaque gallery 1 poste plastique peint peacock</t>
  </si>
  <si>
    <t>WXP0804</t>
  </si>
  <si>
    <t>Plaque gallery plastique peint 4 modules entraxe 71mm peacock</t>
  </si>
  <si>
    <t>WXP0805</t>
  </si>
  <si>
    <t>Plaque gallery plastique peint 5 modules entraxe 71mm peacock</t>
  </si>
  <si>
    <t>WXP0806</t>
  </si>
  <si>
    <t>Plaque gallery plastique peint 6 modules entraxe 57mm peacock</t>
  </si>
  <si>
    <t>WXP0808</t>
  </si>
  <si>
    <t>Plaque gallery plastique peint 8 modules entraxe 71mm peacock</t>
  </si>
  <si>
    <t>WXP0812</t>
  </si>
  <si>
    <t>Plaque gallery plastique peint 2 postes horizontale 71mm peacock</t>
  </si>
  <si>
    <t>WXP0813</t>
  </si>
  <si>
    <t>Plaque gallery plastique peint 3 postes horizontale 71mm peacock</t>
  </si>
  <si>
    <t>WXP0814</t>
  </si>
  <si>
    <t>Plaque gallery plastique peint 4 postes horizontale 71mm peacock</t>
  </si>
  <si>
    <t>WXP0822</t>
  </si>
  <si>
    <t>Plaque gallery plastique peint 2 postes verticale 57mm peacock</t>
  </si>
  <si>
    <t>WXP0823</t>
  </si>
  <si>
    <t>Plaque gallery plastique peint 3 postes verticale 57mm peacock</t>
  </si>
  <si>
    <t>WXP0842</t>
  </si>
  <si>
    <t>Plaque gallery plastique peint 2 postes verticale 71mm peacock</t>
  </si>
  <si>
    <t>WXP0843</t>
  </si>
  <si>
    <t>Plaque gallery plastique peint 3 postes verticale 71mm peacock</t>
  </si>
  <si>
    <t>WXP0902</t>
  </si>
  <si>
    <t>Plaque gallery plastique peint 1 poste taupe</t>
  </si>
  <si>
    <t>5.316€</t>
  </si>
  <si>
    <t>WXP0904</t>
  </si>
  <si>
    <t>Plaque gallery plastique peint 4 modules entraxe 71mm taupe</t>
  </si>
  <si>
    <t>15.882€</t>
  </si>
  <si>
    <t>WXP0905</t>
  </si>
  <si>
    <t>Plaque gallery plastique peint 5 modules entraxe 71mm taupe</t>
  </si>
  <si>
    <t>WXP0908</t>
  </si>
  <si>
    <t>Plaque gallery plastique peint 8 modules entraxe 71mm taupe</t>
  </si>
  <si>
    <t>21.174€</t>
  </si>
  <si>
    <t>WXP0912</t>
  </si>
  <si>
    <t>Plaque gallery plastique peint 2 postes horizontale 71mm taupe</t>
  </si>
  <si>
    <t>10.614€</t>
  </si>
  <si>
    <t>WXP0913</t>
  </si>
  <si>
    <t>Plaque gallery plastique peint 3 postes horizontale 71mm taupe</t>
  </si>
  <si>
    <t>15.888€</t>
  </si>
  <si>
    <t>WXP0914</t>
  </si>
  <si>
    <t>Plaque gallery plastique peint 4 postes horizontale 71mm taupe</t>
  </si>
  <si>
    <t>WXP0922</t>
  </si>
  <si>
    <t>Plaque gallery plastique peint 2 postes verticale 57mm taupe</t>
  </si>
  <si>
    <t>11.652€</t>
  </si>
  <si>
    <t>WXP0923</t>
  </si>
  <si>
    <t>Plaque gallery plastique peint 3 postes verticale 57mm taupe</t>
  </si>
  <si>
    <t>17.472€</t>
  </si>
  <si>
    <t>WXP0934</t>
  </si>
  <si>
    <t>Plaque gallery plastique peint 4 modules entraxe 57mm taupe</t>
  </si>
  <si>
    <t>WXP0942</t>
  </si>
  <si>
    <t>Plaque gallery plastique peint 2 postes verticale 71mm taupe</t>
  </si>
  <si>
    <t>WXP0943</t>
  </si>
  <si>
    <t>Plaque gallery plastique peint 3 postes verticale 71mm taupe</t>
  </si>
  <si>
    <t>WXP1002</t>
  </si>
  <si>
    <t>Plaque gallery plastique peint 1 poste anthracite</t>
  </si>
  <si>
    <t>WXP1004</t>
  </si>
  <si>
    <t>Plaque gallery plastique peint 4 modules entraxe 71mm anthracite</t>
  </si>
  <si>
    <t>WXP1005</t>
  </si>
  <si>
    <t>Plaque gallery plastique peint 5 modules entraxe 71mm anthracite</t>
  </si>
  <si>
    <t>WXP1006</t>
  </si>
  <si>
    <t>Plaque gallery plastique peint 6 modules entraxe 57mm anthracite</t>
  </si>
  <si>
    <t>WXP1008</t>
  </si>
  <si>
    <t>Plaque gallery plastique peint 8 modules entraxe 71mm anthracite</t>
  </si>
  <si>
    <t>WXP1012</t>
  </si>
  <si>
    <t>Plaque gallery plastique peint 2 postes horizontale 71mm anthracite</t>
  </si>
  <si>
    <t>WXP1013</t>
  </si>
  <si>
    <t>Plaque gallery plastique peint 3 postes horizontale 71mm anthracite</t>
  </si>
  <si>
    <t>WXP1014</t>
  </si>
  <si>
    <t>Plaque gallery plastique peint 4 postes horizontale 71mm anthracite</t>
  </si>
  <si>
    <t>WXP1022</t>
  </si>
  <si>
    <t>Plaque gallery plastique peint 2 postes verticale 57mm anthracite</t>
  </si>
  <si>
    <t>WXP1023</t>
  </si>
  <si>
    <t>Plaque gallery plastique peint 3 postes verticale 57mm anthracite</t>
  </si>
  <si>
    <t>WXP1034</t>
  </si>
  <si>
    <t>Plaque gallery plastique peint 4 modules entraxe 57mm anthracite</t>
  </si>
  <si>
    <t>WXP1042</t>
  </si>
  <si>
    <t>Plaque gallery plastique peint 2 postes verticale 71mm anthracite</t>
  </si>
  <si>
    <t>WXP1043</t>
  </si>
  <si>
    <t>Plaque gallery plastique peint 3 postes verticale 71mm anthracite</t>
  </si>
  <si>
    <t>WXP1009</t>
  </si>
  <si>
    <t>Plaque gallery plastique pour thermostat KNX WKT510 et WKT511 gallery  anthracite</t>
  </si>
  <si>
    <t>28.842€</t>
  </si>
  <si>
    <t>WXP1102</t>
  </si>
  <si>
    <t>Plaque gallery 1P pure infini</t>
  </si>
  <si>
    <t>1.848€</t>
  </si>
  <si>
    <t>WXP1302</t>
  </si>
  <si>
    <t>Plaque gallery 1P sand</t>
  </si>
  <si>
    <t>WXP1402</t>
  </si>
  <si>
    <t>Plaque gallery 1P taupe</t>
  </si>
  <si>
    <t>WXP1404</t>
  </si>
  <si>
    <t>Plaque gallery 4M E71mm taupe</t>
  </si>
  <si>
    <t>WXP1405</t>
  </si>
  <si>
    <t>Plaque gallery 5M E71mm taupe</t>
  </si>
  <si>
    <t>WXP1408</t>
  </si>
  <si>
    <t>Plaque gallery 8M E71mm taupe</t>
  </si>
  <si>
    <t>WXP1412</t>
  </si>
  <si>
    <t>Plaque gallery 2P H71mm taupe</t>
  </si>
  <si>
    <t>WXP1413</t>
  </si>
  <si>
    <t>Plaque gallery 3P H71mm taupe</t>
  </si>
  <si>
    <t>WXP1414</t>
  </si>
  <si>
    <t>Plaque gallery 4P H71mm taupe</t>
  </si>
  <si>
    <t>WXP1422</t>
  </si>
  <si>
    <t>Plaque gallery 2P V57mm taupe</t>
  </si>
  <si>
    <t>WXP1423</t>
  </si>
  <si>
    <t>Plaque gallery 3P V57mm taupe</t>
  </si>
  <si>
    <t>WXP1442</t>
  </si>
  <si>
    <t>Plaque gallery 2P V71mm taupe</t>
  </si>
  <si>
    <t>WXP1443</t>
  </si>
  <si>
    <t>Plaque gallery 3P V71mm taupe</t>
  </si>
  <si>
    <t>WXP2002</t>
  </si>
  <si>
    <t>Plaque de finition Gallery 1 poste Aluminium</t>
  </si>
  <si>
    <t xml:space="preserve">HAMGJM10 </t>
  </si>
  <si>
    <t>GALLERY PLAQUES LAYER</t>
  </si>
  <si>
    <t>9.726€</t>
  </si>
  <si>
    <t>WXP2004</t>
  </si>
  <si>
    <t>Plaque gallery 4 modules entraxe 71mm placage aluminium</t>
  </si>
  <si>
    <t>29.094€</t>
  </si>
  <si>
    <t>WXP2005</t>
  </si>
  <si>
    <t>Plaque gallery 5 modules entraxe 71mm placage aluminium</t>
  </si>
  <si>
    <t>WXP2008</t>
  </si>
  <si>
    <t>Plaque gallery 8 modules entraxe 71mm placage aluminium</t>
  </si>
  <si>
    <t>38.826€</t>
  </si>
  <si>
    <t>WXP2012</t>
  </si>
  <si>
    <t>Plaque gallery 2 postes horizontale 71mm placage aluminium</t>
  </si>
  <si>
    <t>19.416€</t>
  </si>
  <si>
    <t>WXP2013</t>
  </si>
  <si>
    <t>Plaque gallery 3 postes horizontale 71mm placage aluminium</t>
  </si>
  <si>
    <t>29.124€</t>
  </si>
  <si>
    <t>WXP2014</t>
  </si>
  <si>
    <t>Plaque gallery 4 postes horizontale 71mm placage aluminium</t>
  </si>
  <si>
    <t>38.802€</t>
  </si>
  <si>
    <t>WXP2022</t>
  </si>
  <si>
    <t>Plaque gallery 2 postes verticale 57mm placage aluminium</t>
  </si>
  <si>
    <t>21.336€</t>
  </si>
  <si>
    <t>WXP2042</t>
  </si>
  <si>
    <t>Plaque gallery 2 postes verticale 71 mm placage aluminium</t>
  </si>
  <si>
    <t>WXP2043</t>
  </si>
  <si>
    <t>Plaque gallery 3 postes verticale 71mm placage aluminium</t>
  </si>
  <si>
    <t>WXP2102</t>
  </si>
  <si>
    <t>Plaque de finition Gallery 1 poste placage Acier</t>
  </si>
  <si>
    <t>10.488€</t>
  </si>
  <si>
    <t>WXP2104</t>
  </si>
  <si>
    <t>Plaque gallery 4 modules entraxe 71mm placage steel</t>
  </si>
  <si>
    <t>31.362€</t>
  </si>
  <si>
    <t>WXP2105</t>
  </si>
  <si>
    <t>Plaque gallery 5 modules entraxe 71mm placage steel</t>
  </si>
  <si>
    <t>WXP2106</t>
  </si>
  <si>
    <t>Plaque gallery 6 modules entraxe 71mm placage steel</t>
  </si>
  <si>
    <t>41.856€</t>
  </si>
  <si>
    <t>WXP2108</t>
  </si>
  <si>
    <t>Plaque gallery 8 modules entraxe 71mm placage steel</t>
  </si>
  <si>
    <t>WXP2112</t>
  </si>
  <si>
    <t>Plaque gallery 2 postes horizontale 71mm placage steel</t>
  </si>
  <si>
    <t>20.928€</t>
  </si>
  <si>
    <t>WXP2113</t>
  </si>
  <si>
    <t>Plaque gallery 3 postes horizontale 71mm placage steel</t>
  </si>
  <si>
    <t>31.392€</t>
  </si>
  <si>
    <t>WXP2114</t>
  </si>
  <si>
    <t>Plaque gallery 4 postes horizontale 71mm placage steel</t>
  </si>
  <si>
    <t>41.832€</t>
  </si>
  <si>
    <t>WXP2122</t>
  </si>
  <si>
    <t>Plaque gallery 2 postes verticale 57mm placage steel</t>
  </si>
  <si>
    <t>23.004€</t>
  </si>
  <si>
    <t>WXP2134</t>
  </si>
  <si>
    <t>Plaque gallery 4 modules entraxe 57mm placage steel</t>
  </si>
  <si>
    <t>WXP2142</t>
  </si>
  <si>
    <t>Plaque gallery 2 postes verticale 71 mm placage steel</t>
  </si>
  <si>
    <t>WXP2143</t>
  </si>
  <si>
    <t>Plaque gallery 3 postes verticale 71mm placage steel</t>
  </si>
  <si>
    <t>WXP2202</t>
  </si>
  <si>
    <t>Plaque de finition Gallery 1 poste Bronze</t>
  </si>
  <si>
    <t>WXP2204</t>
  </si>
  <si>
    <t>Plaque gallery 4 modules entraxe 71mm placage bronze</t>
  </si>
  <si>
    <t>WXP2205</t>
  </si>
  <si>
    <t>Plaque gallery 5 modules entraxe 71mm placage bronze</t>
  </si>
  <si>
    <t>WXP2208</t>
  </si>
  <si>
    <t>Plaque gallery 8 modules entraxe 71mm placage bronze</t>
  </si>
  <si>
    <t>WXP2212</t>
  </si>
  <si>
    <t>Plaque gallery 2 postes horizontale 71mm placage bronze</t>
  </si>
  <si>
    <t>WXP2213</t>
  </si>
  <si>
    <t>Plaque gallery 3 postes horizontale 71mm placage bronze</t>
  </si>
  <si>
    <t>WXP2214</t>
  </si>
  <si>
    <t>Plaque gallery 4 postes horizontale 71mm placage bronze</t>
  </si>
  <si>
    <t>WXP2222</t>
  </si>
  <si>
    <t>Plaque gallery 2 postes verticale 57mm placage bronze</t>
  </si>
  <si>
    <t>WXP2242</t>
  </si>
  <si>
    <t>Plaque gallery 2 postes verticale 71 mm placage bronze</t>
  </si>
  <si>
    <t>WXP2243</t>
  </si>
  <si>
    <t>Plaque gallery 3 postes verticale 71mm placage bronze</t>
  </si>
  <si>
    <t>WXP2402</t>
  </si>
  <si>
    <t>Plaque de finition Gallery 1 poste Pecan</t>
  </si>
  <si>
    <t>WXP2404</t>
  </si>
  <si>
    <t>Plaque gallery 4 modules entraxe 71mm pecan</t>
  </si>
  <si>
    <t>WXP2405</t>
  </si>
  <si>
    <t>Plaque gallery 5 modules entraxe 71mm pecan</t>
  </si>
  <si>
    <t>WXP2408</t>
  </si>
  <si>
    <t>Plaque gallery 8 modules entraxe 71mm pecan</t>
  </si>
  <si>
    <t>WXP2412</t>
  </si>
  <si>
    <t>Plaque gallery 2 postes horizontale 71mm pecan</t>
  </si>
  <si>
    <t>WXP2413</t>
  </si>
  <si>
    <t>Plaque gallery 3 postes horizontale 71mm pecan</t>
  </si>
  <si>
    <t>WXP2414</t>
  </si>
  <si>
    <t>Plaque gallery 4 postes horizontale 71mm pecan</t>
  </si>
  <si>
    <t>WXP2422</t>
  </si>
  <si>
    <t>Plaque gallery 2 postes verticale 57mm pecan</t>
  </si>
  <si>
    <t>WXP2442</t>
  </si>
  <si>
    <t>Plaque gallery 2 postes verticale 71 mm pecan</t>
  </si>
  <si>
    <t>WXP2443</t>
  </si>
  <si>
    <t>Plaque gallery 3 postes verticale 71mm pecan</t>
  </si>
  <si>
    <t>WXP2502</t>
  </si>
  <si>
    <t>Plaque de finition Gallery 1 poste Latté</t>
  </si>
  <si>
    <t>WXP2504</t>
  </si>
  <si>
    <t>Plaque gallery 4 modules entraxe 71mm latté</t>
  </si>
  <si>
    <t>WXP2505</t>
  </si>
  <si>
    <t>Plaque gallery 5 modules entraxe 71mm latté</t>
  </si>
  <si>
    <t>WXP2506</t>
  </si>
  <si>
    <t>Plaque gallery 6 modules entraxe 71mm latté</t>
  </si>
  <si>
    <t>WXP2508</t>
  </si>
  <si>
    <t>Plaque gallery 8 modules entraxe 71mm latté</t>
  </si>
  <si>
    <t>WXP2512</t>
  </si>
  <si>
    <t>Plaque gallery 2 postes horizontale 71mm latté</t>
  </si>
  <si>
    <t>WXP2513</t>
  </si>
  <si>
    <t>Plaque gallery 3 postes horizontale 71mm latté</t>
  </si>
  <si>
    <t>WXP2514</t>
  </si>
  <si>
    <t>Plaque gallery 4 postes horizontale 71mm latté</t>
  </si>
  <si>
    <t>WXP2522</t>
  </si>
  <si>
    <t>Plaque gallery 2 postes verticale 57mm latté</t>
  </si>
  <si>
    <t>WXP2542</t>
  </si>
  <si>
    <t>Plaque gallery 2 postes verticale 71 mm latté</t>
  </si>
  <si>
    <t>WXP2543</t>
  </si>
  <si>
    <t>Plaque gallery 3 postes verticale 71mm latté</t>
  </si>
  <si>
    <t>WXP3002</t>
  </si>
  <si>
    <t>Plaque gallery 1P bronze</t>
  </si>
  <si>
    <t>WXP3012</t>
  </si>
  <si>
    <t>Plaque gallery 2P H71mm bronze</t>
  </si>
  <si>
    <t>WXP3013</t>
  </si>
  <si>
    <t>Plaque gallery 3P H71mm bronze</t>
  </si>
  <si>
    <t>WXP3014</t>
  </si>
  <si>
    <t>Plaque gallery 4P H71mm bronze</t>
  </si>
  <si>
    <t>WXP3042</t>
  </si>
  <si>
    <t>Plaque gallery 2P V71mm bronze</t>
  </si>
  <si>
    <t>WXP3043</t>
  </si>
  <si>
    <t>Plaque gallery 3P V71mm bronze</t>
  </si>
  <si>
    <t>WXP3102</t>
  </si>
  <si>
    <t>Plaque gallery 1P aluminium</t>
  </si>
  <si>
    <t>WXP3112</t>
  </si>
  <si>
    <t>Plaque gallery 2P H71mm aluminium</t>
  </si>
  <si>
    <t>WXP3113</t>
  </si>
  <si>
    <t>Plaque gallery 3P H71mm aluminium</t>
  </si>
  <si>
    <t>WXP3114</t>
  </si>
  <si>
    <t>Plaque gallery 4P H71mm aluminium</t>
  </si>
  <si>
    <t>WXP3142</t>
  </si>
  <si>
    <t>Plaque gallery 2P V71mm aluminium</t>
  </si>
  <si>
    <t>WXP3143</t>
  </si>
  <si>
    <t>Plaque gallery 3P V71mm aluminium</t>
  </si>
  <si>
    <t>WXP3202</t>
  </si>
  <si>
    <t>Plaque gallery 1P steel</t>
  </si>
  <si>
    <t>WXP3204</t>
  </si>
  <si>
    <t>Plaque gallery 4M E71mm steel</t>
  </si>
  <si>
    <t>24.696€</t>
  </si>
  <si>
    <t>WXP3212</t>
  </si>
  <si>
    <t>Plaque gallery 2P H71mm steel</t>
  </si>
  <si>
    <t>WXP3213</t>
  </si>
  <si>
    <t>Plaque gallery 3P H71mm steel</t>
  </si>
  <si>
    <t>WXP3214</t>
  </si>
  <si>
    <t>Plaque gallery 4P H71mm steel</t>
  </si>
  <si>
    <t>WXP3242</t>
  </si>
  <si>
    <t>Plaque gallery 2P V71mm steel</t>
  </si>
  <si>
    <t>WXP3243</t>
  </si>
  <si>
    <t>Plaque gallery 3P V71mm steel</t>
  </si>
  <si>
    <t>WXP3302</t>
  </si>
  <si>
    <t>Plaque gallery 1P platinum</t>
  </si>
  <si>
    <t>WXP3312</t>
  </si>
  <si>
    <t>Plaque gallery 2P H71mm platinum</t>
  </si>
  <si>
    <t>WXP3313</t>
  </si>
  <si>
    <t>Plaque gallery 3P H71mm platinum</t>
  </si>
  <si>
    <t>WXP3314</t>
  </si>
  <si>
    <t>Plaque gallery 4P H71mm platinum</t>
  </si>
  <si>
    <t>WXP3342</t>
  </si>
  <si>
    <t>Plaque gallery 2P V71mm platinum</t>
  </si>
  <si>
    <t>WXP3343</t>
  </si>
  <si>
    <t>Plaque gallery 3P V71mm platinum</t>
  </si>
  <si>
    <t>WXP3402</t>
  </si>
  <si>
    <t>Plaque gallery 1P coal</t>
  </si>
  <si>
    <t>WXP3412</t>
  </si>
  <si>
    <t>Plaque gallery 2P H71mm coal</t>
  </si>
  <si>
    <t>WXP3413</t>
  </si>
  <si>
    <t>Plaque gallery 3P H71mm coal</t>
  </si>
  <si>
    <t>WXP3414</t>
  </si>
  <si>
    <t>Plaque gallery 4P H71mm coal</t>
  </si>
  <si>
    <t>WXP3442</t>
  </si>
  <si>
    <t>Plaque gallery 2P V71mm coal</t>
  </si>
  <si>
    <t>WXP3443</t>
  </si>
  <si>
    <t>Plaque gallery 3P V71mm coal</t>
  </si>
  <si>
    <t>WXP3502</t>
  </si>
  <si>
    <t>Plaque gallery 1P latté</t>
  </si>
  <si>
    <t>WXP3512</t>
  </si>
  <si>
    <t>Plaque gallery 2P H71mm latté</t>
  </si>
  <si>
    <t>WXP3513</t>
  </si>
  <si>
    <t>Plaque gallery 3P H71mm latté</t>
  </si>
  <si>
    <t>WXP3514</t>
  </si>
  <si>
    <t>Plaque gallery 4P H71mm latté</t>
  </si>
  <si>
    <t>WXP3542</t>
  </si>
  <si>
    <t>Plaque gallery 2P V71mm latté</t>
  </si>
  <si>
    <t>WXP3543</t>
  </si>
  <si>
    <t>Plaque gallery 3P V71mm latté</t>
  </si>
  <si>
    <t>WXP4002</t>
  </si>
  <si>
    <t>Plaque gallery 1 poste matiere moon glass</t>
  </si>
  <si>
    <t xml:space="preserve">HAMGKM10 </t>
  </si>
  <si>
    <t>GALLERY PLAQUES MASSIVES</t>
  </si>
  <si>
    <t>39.162€</t>
  </si>
  <si>
    <t>WXP4004</t>
  </si>
  <si>
    <t>Plaque gallery 4 modules entraxe 71mm matiere moon glass</t>
  </si>
  <si>
    <t>117.438€</t>
  </si>
  <si>
    <t>WXP4005</t>
  </si>
  <si>
    <t>Plaque gallery 5 modules entraxe 71mm matiere moon glass</t>
  </si>
  <si>
    <t>220.722€</t>
  </si>
  <si>
    <t>WXP4008</t>
  </si>
  <si>
    <t>Plaque gallery 8 modules entraxe 71mm matiere moon glass</t>
  </si>
  <si>
    <t>267.684€</t>
  </si>
  <si>
    <t>WXP4012</t>
  </si>
  <si>
    <t>Plaque gallery 2 postes horizontale 71mm matiere moon glass</t>
  </si>
  <si>
    <t>78.282€</t>
  </si>
  <si>
    <t>WXP4013</t>
  </si>
  <si>
    <t>Plaque gallery 3 postes horizontale 71mm matiere moon glass</t>
  </si>
  <si>
    <t>117.39€</t>
  </si>
  <si>
    <t>WXP4014</t>
  </si>
  <si>
    <t>Plaque gallery 4 postes horizontale 71mm matiere moon glass</t>
  </si>
  <si>
    <t>156.516€</t>
  </si>
  <si>
    <t>WXP4022</t>
  </si>
  <si>
    <t>Plaque gallery 2 postes verticale 57mm matiere moon glass</t>
  </si>
  <si>
    <t>79.746€</t>
  </si>
  <si>
    <t>WXP4042</t>
  </si>
  <si>
    <t>Plaque gallery 2 postes verticale 71mm matiere moon glass</t>
  </si>
  <si>
    <t>WXP4043</t>
  </si>
  <si>
    <t>Plaque gallery 3 postes verticale 71mm matiere moon glass</t>
  </si>
  <si>
    <t>WXP4102</t>
  </si>
  <si>
    <t>Plaque gallery 1 poste matiere midnight glass</t>
  </si>
  <si>
    <t>38.046€</t>
  </si>
  <si>
    <t>WXP4104</t>
  </si>
  <si>
    <t>Plaque gallery 4 modules entraxe 71mm matiere midnight glass</t>
  </si>
  <si>
    <t>114.096€</t>
  </si>
  <si>
    <t>WXP4105</t>
  </si>
  <si>
    <t>Plaque gallery 5 modules entraxe 71mm matiere midnight glass</t>
  </si>
  <si>
    <t>214.446€</t>
  </si>
  <si>
    <t>WXP4108</t>
  </si>
  <si>
    <t>Plaque gallery 8 modules entraxe 71mm matiere midnight glass</t>
  </si>
  <si>
    <t>260.064€</t>
  </si>
  <si>
    <t>WXP4112</t>
  </si>
  <si>
    <t>Plaque gallery 2 postes horizontale 71mm matiere midnight glass</t>
  </si>
  <si>
    <t>76.05€</t>
  </si>
  <si>
    <t>WXP4113</t>
  </si>
  <si>
    <t>Plaque gallery 3 postes horizontale 71mm matiere midnight glass</t>
  </si>
  <si>
    <t>114.054€</t>
  </si>
  <si>
    <t>WXP4114</t>
  </si>
  <si>
    <t>Plaque gallery 4 postes horizontale 71mm matiere midnight glass</t>
  </si>
  <si>
    <t>152.07€</t>
  </si>
  <si>
    <t>WXP4122</t>
  </si>
  <si>
    <t>Plaque gallery 2 postes verticale 57mm matiere midnight glass</t>
  </si>
  <si>
    <t>77.484€</t>
  </si>
  <si>
    <t>WXP4142</t>
  </si>
  <si>
    <t>Plaque gallery 2 postes verticale 71mm matiere midnight glass</t>
  </si>
  <si>
    <t>WXP4143</t>
  </si>
  <si>
    <t>Plaque gallery 3 postes verticale 71mm matiere midnight glass</t>
  </si>
  <si>
    <t>WXP4202</t>
  </si>
  <si>
    <t>Plaque gallery 1 poste matiere bright inox</t>
  </si>
  <si>
    <t>WXP4204</t>
  </si>
  <si>
    <t>Plaque gallery 4 modules entraxe 71mm matiere bright inox</t>
  </si>
  <si>
    <t>WXP4205</t>
  </si>
  <si>
    <t>Plaque gallery 5 modules entraxe 71mm matiere bright inox</t>
  </si>
  <si>
    <t>WXP4208</t>
  </si>
  <si>
    <t>Plaque gallery 8 modules entraxe 71mm matiere bright inox</t>
  </si>
  <si>
    <t>WXP4212</t>
  </si>
  <si>
    <t>Plaque gallery 2 postes horizontale 71mm matiere bright inox</t>
  </si>
  <si>
    <t>WXP4213</t>
  </si>
  <si>
    <t>Plaque gallery 3 postes horizontale 71mm matiere bright inox</t>
  </si>
  <si>
    <t>WXP4214</t>
  </si>
  <si>
    <t>Plaque gallery 4 postes horizontale 71mm matiere bright inox</t>
  </si>
  <si>
    <t>WXP4222</t>
  </si>
  <si>
    <t>Plaque gallery 2 postes verticale 57mm matiere bright inox</t>
  </si>
  <si>
    <t>WXP4242</t>
  </si>
  <si>
    <t>Plaque gallery 2 postes verticale 71mm matiere bright inox</t>
  </si>
  <si>
    <t>WXP4243</t>
  </si>
  <si>
    <t>Plaque gallery 3 postes verticale 71mm matiere bright inox</t>
  </si>
  <si>
    <t>WXP4302</t>
  </si>
  <si>
    <t>Plaque gallery 1 poste matiere natural alu</t>
  </si>
  <si>
    <t>28.452€</t>
  </si>
  <si>
    <t>WXP4304</t>
  </si>
  <si>
    <t>Plaque gallery 4 modules entraxe 71mm matiere natural alu</t>
  </si>
  <si>
    <t>85.854€</t>
  </si>
  <si>
    <t>WXP4305</t>
  </si>
  <si>
    <t>Plaque gallery 5 modules entraxe 71mm matiere natural alu</t>
  </si>
  <si>
    <t>WXP4306</t>
  </si>
  <si>
    <t>Plaque gallery 6 modules entraxe 57mm matiere natural alu</t>
  </si>
  <si>
    <t>114.456€</t>
  </si>
  <si>
    <t>WXP4308</t>
  </si>
  <si>
    <t>Plaque gallery 8 modules entraxe 71mm matiere natural alu</t>
  </si>
  <si>
    <t>WXP4312</t>
  </si>
  <si>
    <t>Plaque gallery 2 postes horizontale 71mm matiere natural alu</t>
  </si>
  <si>
    <t>56.874€</t>
  </si>
  <si>
    <t>WXP4313</t>
  </si>
  <si>
    <t>Plaque gallery 3 postes horizontale 71mm matiere natural alu</t>
  </si>
  <si>
    <t>85.29€</t>
  </si>
  <si>
    <t>WXP4314</t>
  </si>
  <si>
    <t>Plaque gallery 4 postes horizontale 71mm matiere natural alu</t>
  </si>
  <si>
    <t>113.706€</t>
  </si>
  <si>
    <t>WXP4322</t>
  </si>
  <si>
    <t>Plaque gallery 2 postes verticale 57mm matiere natural alu</t>
  </si>
  <si>
    <t>62.61€</t>
  </si>
  <si>
    <t>WXP4342</t>
  </si>
  <si>
    <t>Plaque gallery 2 postes verticale 71mm matiere natural alu</t>
  </si>
  <si>
    <t>WXP4343</t>
  </si>
  <si>
    <t>Plaque gallery 3 postes verticale 71mm matiere natural alu</t>
  </si>
  <si>
    <t>WXP4402</t>
  </si>
  <si>
    <t>Plaque de finition Gallery 1 poste Dark rock</t>
  </si>
  <si>
    <t>53.328€</t>
  </si>
  <si>
    <t>WXP4404</t>
  </si>
  <si>
    <t>Plaque gallery 4 modules entraxe 71mm matiere dark rock</t>
  </si>
  <si>
    <t>160.944€</t>
  </si>
  <si>
    <t>WXP4405</t>
  </si>
  <si>
    <t>Plaque gallery 5 modules entraxe 71mm matiere dark rock</t>
  </si>
  <si>
    <t>189.45€</t>
  </si>
  <si>
    <t>WXP4408</t>
  </si>
  <si>
    <t>Plaque gallery 8 modules entraxe 71mm matiere dark rock</t>
  </si>
  <si>
    <t>415.59€</t>
  </si>
  <si>
    <t>WXP4412</t>
  </si>
  <si>
    <t>Plaque gallery 2 postes horizontale 71mm matiere dark rock</t>
  </si>
  <si>
    <t>106.614€</t>
  </si>
  <si>
    <t>WXP4413</t>
  </si>
  <si>
    <t>Plaque gallery 3 postes horizontale 71mm matiere dark rock</t>
  </si>
  <si>
    <t>159.9€</t>
  </si>
  <si>
    <t>WXP4414</t>
  </si>
  <si>
    <t>Plaque gallery 4 postes horizontale 71mm matiere dark rock</t>
  </si>
  <si>
    <t>213.174€</t>
  </si>
  <si>
    <t>WXP4422</t>
  </si>
  <si>
    <t>Plaque gallery 2 postes verticale 57mm matiere dark rock</t>
  </si>
  <si>
    <t>108.6€</t>
  </si>
  <si>
    <t>WXP4442</t>
  </si>
  <si>
    <t>Plaque gallery 2 postes verticale 71mm matiere dark rock</t>
  </si>
  <si>
    <t>WXP4443</t>
  </si>
  <si>
    <t>Plaque gallery 3 postes verticale 71mm matiere dark rock</t>
  </si>
  <si>
    <t>WXP4502</t>
  </si>
  <si>
    <t>Plaque gallery 1 poste matiere antique alu</t>
  </si>
  <si>
    <t>32.058€</t>
  </si>
  <si>
    <t>WXP4504</t>
  </si>
  <si>
    <t>Plaque gallery 4 modules entraxe 71mm matiere antique alu</t>
  </si>
  <si>
    <t>96.744€</t>
  </si>
  <si>
    <t>WXP4505</t>
  </si>
  <si>
    <t>Plaque gallery 5 modules entraxe 71mm matiere antique alu</t>
  </si>
  <si>
    <t>WXP4508</t>
  </si>
  <si>
    <t>Plaque gallery 8 modules entraxe 71mm matiere antique alu</t>
  </si>
  <si>
    <t>128.976€</t>
  </si>
  <si>
    <t>WXP4512</t>
  </si>
  <si>
    <t>Plaque gallery 2 postes horizontale 71mm matiere antique alu</t>
  </si>
  <si>
    <t>WXP4513</t>
  </si>
  <si>
    <t>Plaque gallery 3 postes horizontale 71mm matiere antique alu</t>
  </si>
  <si>
    <t>96.102€</t>
  </si>
  <si>
    <t>WXP4514</t>
  </si>
  <si>
    <t>Plaque gallery 4 postes horizontale 71mm matiere antique alu</t>
  </si>
  <si>
    <t>128.13€</t>
  </si>
  <si>
    <t>WXP4522</t>
  </si>
  <si>
    <t>Plaque gallery 2 postes verticale 57mm matiere antique alu</t>
  </si>
  <si>
    <t>70.548€</t>
  </si>
  <si>
    <t>WXP4542</t>
  </si>
  <si>
    <t>Plaque gallery 2 postes verticale 71mm matiere antique alu</t>
  </si>
  <si>
    <t>WXP4543</t>
  </si>
  <si>
    <t>Plaque gallery 3 postes verticale 71mm matiere antique alu</t>
  </si>
  <si>
    <t>WXP4602</t>
  </si>
  <si>
    <t>Plaque gallery 1 poste matiere copper alu</t>
  </si>
  <si>
    <t>WXP4604</t>
  </si>
  <si>
    <t>Plaque gallery 4 modules entraxe 71mm matiere copper alu</t>
  </si>
  <si>
    <t>WXP4605</t>
  </si>
  <si>
    <t>Plaque gallery 5 modules entraxe 71mm matiere copper alu</t>
  </si>
  <si>
    <t>WXP4608</t>
  </si>
  <si>
    <t>Plaque gallery 8 modules entraxe 71mm matiere copper alu</t>
  </si>
  <si>
    <t>WXP4612</t>
  </si>
  <si>
    <t>Plaque gallery 2 postes horizontale 71mm matiere copper alu</t>
  </si>
  <si>
    <t>WXP4613</t>
  </si>
  <si>
    <t>Plaque gallery 3 postes horizontale 71mm matiere copper alu</t>
  </si>
  <si>
    <t>WXP4614</t>
  </si>
  <si>
    <t>Plaque gallery 4 postes horizontale 71mm matiere copper alu</t>
  </si>
  <si>
    <t>WXP4622</t>
  </si>
  <si>
    <t>Plaque gallery 2 postes verticale 57mm matiere copper alu</t>
  </si>
  <si>
    <t>WXP4634</t>
  </si>
  <si>
    <t>Plaque gallery 4 modules entraxe 57mm matiere copper alu</t>
  </si>
  <si>
    <t>WXP4642</t>
  </si>
  <si>
    <t>Plaque gallery 2 postes verticale 71mm matiere copper alu</t>
  </si>
  <si>
    <t>WXP4643</t>
  </si>
  <si>
    <t>Plaque gallery 3 postes verticale 71mm matiere copper alu</t>
  </si>
  <si>
    <t>WXP4702</t>
  </si>
  <si>
    <t>Plaque de finition Gallery 1 poste Oak wood</t>
  </si>
  <si>
    <t>WXP4704</t>
  </si>
  <si>
    <t>Plaque gallery 4 modules entraxe 71mm matiere oak wood</t>
  </si>
  <si>
    <t>WXP4705</t>
  </si>
  <si>
    <t>Plaque gallery 5 modules entraxe 71mm matiere oak wood</t>
  </si>
  <si>
    <t>WXP4706</t>
  </si>
  <si>
    <t>Plaque gallery 6 modules entraxe 57mm matiere oak wood</t>
  </si>
  <si>
    <t>WXP4708</t>
  </si>
  <si>
    <t>Plaque gallery 8 modules entraxe 71mm matiere oak wood</t>
  </si>
  <si>
    <t>WXP4712</t>
  </si>
  <si>
    <t>Plaque gallery 2 postes horizontale 71mm matiere oak wood</t>
  </si>
  <si>
    <t>WXP4713</t>
  </si>
  <si>
    <t>Plaque gallery 3 postes horizontale 71mm matiere oak wood</t>
  </si>
  <si>
    <t>WXP4714</t>
  </si>
  <si>
    <t>Plaque gallery 4 postes horizontale 71mm matiere oak wood</t>
  </si>
  <si>
    <t>WXP4722</t>
  </si>
  <si>
    <t>Plaque gallery 2 postes verticale 57mm matiere oak wood</t>
  </si>
  <si>
    <t>WXP4742</t>
  </si>
  <si>
    <t>Plaque gallery 2 postes verticale 71mm matiere oak wood</t>
  </si>
  <si>
    <t>WXP4743</t>
  </si>
  <si>
    <t>Plaque gallery 3 postes verticale 71mm matiere oak wood</t>
  </si>
  <si>
    <t>WXP4802</t>
  </si>
  <si>
    <t>Plaque gallery 1 poste materiel grey wood</t>
  </si>
  <si>
    <t>WXP4804</t>
  </si>
  <si>
    <t>Plaque gallery 4 modules entraxe 71mm matiere grey wood</t>
  </si>
  <si>
    <t>WXP4805</t>
  </si>
  <si>
    <t>Plaque gallery 5 modules entraxe 71mm matiere grey wood</t>
  </si>
  <si>
    <t>WXP4808</t>
  </si>
  <si>
    <t>Plaque gallery 8 modules entraxe 71mm matiere grey wood</t>
  </si>
  <si>
    <t>WXP4812</t>
  </si>
  <si>
    <t>Plaque gallery 2 postes horizontale 71mm matiere grey wood</t>
  </si>
  <si>
    <t>WXP4813</t>
  </si>
  <si>
    <t>Plaque gallery 3 postes horizontale 71mm matiere grey wood</t>
  </si>
  <si>
    <t>WXP4814</t>
  </si>
  <si>
    <t>Plaque gallery 4 postes horizontale 71mm matiere grey wood</t>
  </si>
  <si>
    <t>WXP4822</t>
  </si>
  <si>
    <t>Plaque gallery 2 postes verticale 57mm matiere grey wood</t>
  </si>
  <si>
    <t>WXP4842</t>
  </si>
  <si>
    <t>Plaque gallery 2 postes verticale 71mm matiere grey wood</t>
  </si>
  <si>
    <t>WXP4843</t>
  </si>
  <si>
    <t>Plaque gallery 3 postes verticale 71mm matiere grey wood</t>
  </si>
  <si>
    <t>WXP5002</t>
  </si>
  <si>
    <t>Plaque gallery 1 poste matiere mirror glass</t>
  </si>
  <si>
    <t>WXP5004</t>
  </si>
  <si>
    <t>Plaque gallery 4 modules entraxe 71mm matiere mirror glass</t>
  </si>
  <si>
    <t>WXP5005</t>
  </si>
  <si>
    <t>Plaque gallery 5 modules entraxe 71mm matiere mirror glass</t>
  </si>
  <si>
    <t>WXP5008</t>
  </si>
  <si>
    <t>Plaque gallery 8 modules entraxe 71mm matiere mirror glass</t>
  </si>
  <si>
    <t>WXP5012</t>
  </si>
  <si>
    <t>Plaque gallery 2 postes horizontale 71mm matiere mirror glass</t>
  </si>
  <si>
    <t>WXP5013</t>
  </si>
  <si>
    <t>Plaque gallery 3 postes horizontale 71mm matiere mirror glass</t>
  </si>
  <si>
    <t>WXP5014</t>
  </si>
  <si>
    <t>Plaque gallery 4 postes horizontale 71mm matiere mirror glass</t>
  </si>
  <si>
    <t>WXP5022</t>
  </si>
  <si>
    <t>Plaque gallery 2 postes verticale 57mm matiere mirror glass</t>
  </si>
  <si>
    <t>WXP5042</t>
  </si>
  <si>
    <t>Plaque gallery 2 postes verticale 71mm matiere mirror glass</t>
  </si>
  <si>
    <t>WXP5043</t>
  </si>
  <si>
    <t>Plaque gallery 3 postes verticale 71mm matiere mirror glass</t>
  </si>
  <si>
    <t>WXP7002</t>
  </si>
  <si>
    <t>Plaque gallery 1P slate stone</t>
  </si>
  <si>
    <t>55.416€</t>
  </si>
  <si>
    <t>WXP7012</t>
  </si>
  <si>
    <t>Plaque gallery 2P H71mm slate stone</t>
  </si>
  <si>
    <t>WXP7013</t>
  </si>
  <si>
    <t>Plaque gallery 3P H71mm slate stone</t>
  </si>
  <si>
    <t>163.98€</t>
  </si>
  <si>
    <t>WXP7042</t>
  </si>
  <si>
    <t>Plaque gallery 2P V71mm slate stone</t>
  </si>
  <si>
    <t>WXP7043</t>
  </si>
  <si>
    <t>Plaque gallery 3P V71mm slate stone</t>
  </si>
  <si>
    <t>WXP7102</t>
  </si>
  <si>
    <t>Plaque gallery 1P cloud stone</t>
  </si>
  <si>
    <t>71.874€</t>
  </si>
  <si>
    <t>WXP7112</t>
  </si>
  <si>
    <t>Plaque gallery 2P H71mm cloud stone</t>
  </si>
  <si>
    <t>119.796€</t>
  </si>
  <si>
    <t>WXP7113</t>
  </si>
  <si>
    <t>Plaque gallery 3P H71mm cloud stone</t>
  </si>
  <si>
    <t>162.828€</t>
  </si>
  <si>
    <t>WXP7142</t>
  </si>
  <si>
    <t>Plaque gallery 2P V71mm cloud stone</t>
  </si>
  <si>
    <t>WXP7143</t>
  </si>
  <si>
    <t>Plaque gallery 3P V71mm cloud stone</t>
  </si>
  <si>
    <t>WXP7202</t>
  </si>
  <si>
    <t>Plaque gallery 1P solar alu</t>
  </si>
  <si>
    <t>WXP7212</t>
  </si>
  <si>
    <t>Plaque gallery 2P H71mm solar alu</t>
  </si>
  <si>
    <t>WXP7213</t>
  </si>
  <si>
    <t>Plaque gallery 3P H71mm solar alu</t>
  </si>
  <si>
    <t>WXP7242</t>
  </si>
  <si>
    <t>Plaque gallery 2P V71mm solar alu</t>
  </si>
  <si>
    <t>WXP7243</t>
  </si>
  <si>
    <t>Plaque gallery 3P V71mm solar alu</t>
  </si>
  <si>
    <t>WXP7302</t>
  </si>
  <si>
    <t>Plaque gallery 1P antique alu</t>
  </si>
  <si>
    <t>WXP7312</t>
  </si>
  <si>
    <t>Plaque gallery 2P H71mm antique alu</t>
  </si>
  <si>
    <t>WXP7313</t>
  </si>
  <si>
    <t>Plaque gallery 3P H71mm antique alu</t>
  </si>
  <si>
    <t>WXP7342</t>
  </si>
  <si>
    <t>Plaque gallery 2P V71mm antique alu</t>
  </si>
  <si>
    <t>WXP7343</t>
  </si>
  <si>
    <t>Plaque gallery 3P V71mm antique alu</t>
  </si>
  <si>
    <t>WXP7402</t>
  </si>
  <si>
    <t>Plaque gallery 1P natural wood</t>
  </si>
  <si>
    <t>37.326€</t>
  </si>
  <si>
    <t>WXP7412</t>
  </si>
  <si>
    <t>Plaque gallery 2P H71mm natural wood</t>
  </si>
  <si>
    <t>65.658€</t>
  </si>
  <si>
    <t>WXP7413</t>
  </si>
  <si>
    <t>Plaque gallery 3P H71mm natural wood</t>
  </si>
  <si>
    <t>WXP7442</t>
  </si>
  <si>
    <t>Plaque gallery 2P V71mm natural wood</t>
  </si>
  <si>
    <t>WXP7443</t>
  </si>
  <si>
    <t>Plaque gallery 3P V71mm natural wood</t>
  </si>
  <si>
    <t>WXT302</t>
  </si>
  <si>
    <t>2 boutons poussoirs KNX gallery</t>
  </si>
  <si>
    <t xml:space="preserve">HADTXM05 </t>
  </si>
  <si>
    <t>GALLERY KNX</t>
  </si>
  <si>
    <t>54.4374€</t>
  </si>
  <si>
    <t>WXT304</t>
  </si>
  <si>
    <t>4 boutons poussoirs KNX gallery</t>
  </si>
  <si>
    <t>58.32€</t>
  </si>
  <si>
    <t>WXT306</t>
  </si>
  <si>
    <t>6 boutons poussoirs KNX gallery</t>
  </si>
  <si>
    <t>72.3114€</t>
  </si>
  <si>
    <t>WXT312</t>
  </si>
  <si>
    <t>2 boutons poussoirs KNX LED gallery</t>
  </si>
  <si>
    <t>69.984€</t>
  </si>
  <si>
    <t>WXT314</t>
  </si>
  <si>
    <t>4 boutons poussoirs KNX LED gallery</t>
  </si>
  <si>
    <t>85.5252€</t>
  </si>
  <si>
    <t>WXT316</t>
  </si>
  <si>
    <t>6 boutons poussoirs KNX LED gallery</t>
  </si>
  <si>
    <t>116.6238€</t>
  </si>
  <si>
    <t>WXT322</t>
  </si>
  <si>
    <t>2PB KNX LED+IR gallery</t>
  </si>
  <si>
    <t>73.251€</t>
  </si>
  <si>
    <t>WXT324</t>
  </si>
  <si>
    <t>4PB KNX LED+IR gallery</t>
  </si>
  <si>
    <t>87.8958€</t>
  </si>
  <si>
    <t>WXT501</t>
  </si>
  <si>
    <t>Interrupteur automatique bus KNX 1.10m</t>
  </si>
  <si>
    <t>132.1596€</t>
  </si>
  <si>
    <t>WXT505</t>
  </si>
  <si>
    <t>Interrupteur automatique bus KNX 2.20m</t>
  </si>
  <si>
    <t>171.0234€</t>
  </si>
  <si>
    <t>HDA245</t>
  </si>
  <si>
    <t>Disjoncteur de branchement différentiel 2P 15/45A 500mA instantané</t>
  </si>
  <si>
    <t xml:space="preserve">HAHDBM03 </t>
  </si>
  <si>
    <t>DISJ BRANCH TARIF BLEU</t>
  </si>
  <si>
    <t>92.3535€</t>
  </si>
  <si>
    <t>HDA245S</t>
  </si>
  <si>
    <t>Disjoncteur de branchement différentiel 2P 15/45A 500mA sélectif</t>
  </si>
  <si>
    <t>142.3395€</t>
  </si>
  <si>
    <t>HDA430</t>
  </si>
  <si>
    <t>Disjoncteur de branchement différentiel 4P 10/30A 500mA instantané</t>
  </si>
  <si>
    <t>191.5605€</t>
  </si>
  <si>
    <t>HDA430S</t>
  </si>
  <si>
    <t>Disjoncteur de branchement différentiel 4P 10/30A 500mA sélectif</t>
  </si>
  <si>
    <t>284.5755€</t>
  </si>
  <si>
    <t>HDA460</t>
  </si>
  <si>
    <t>Disjoncteur de branchement différentiel 4P 30/60A 500mA instantané</t>
  </si>
  <si>
    <t>257.8185€</t>
  </si>
  <si>
    <t>HDA460S</t>
  </si>
  <si>
    <t>Disjoncteur de branchement différentiel 4P 30/60A 500mA sélectif</t>
  </si>
  <si>
    <t>396.1935€</t>
  </si>
  <si>
    <t>HDA260F</t>
  </si>
  <si>
    <t>Disjoncteur de branchement différentiel 2P 60A 500mA instantané</t>
  </si>
  <si>
    <t>147.105€</t>
  </si>
  <si>
    <t>HDA260SF</t>
  </si>
  <si>
    <t>Disjoncteur de branchement différentiel 2P 60A 500mA selectif</t>
  </si>
  <si>
    <t>226.359€</t>
  </si>
  <si>
    <t>WXF092</t>
  </si>
  <si>
    <t>Emetteur radio mural, gallery, quicklink, plat, pile plate, 2 postes</t>
  </si>
  <si>
    <t xml:space="preserve">HAMGDM10 </t>
  </si>
  <si>
    <t>GALLERY MECAS CONNECTES</t>
  </si>
  <si>
    <t>44.7425€</t>
  </si>
  <si>
    <t>WXF094</t>
  </si>
  <si>
    <t>Emetteur radio mural, gallery, quicklink, plat, pile plate, 4 postes</t>
  </si>
  <si>
    <t>56.936€</t>
  </si>
  <si>
    <t>WXF096</t>
  </si>
  <si>
    <t>Emetteur radio mural, gallery, quicklink, plat, pile plate, 6 postes</t>
  </si>
  <si>
    <t>70.752€</t>
  </si>
  <si>
    <t>L4777</t>
  </si>
  <si>
    <t>Support pour apparareillage modulaire</t>
  </si>
  <si>
    <t xml:space="preserve">HAGIQM03 </t>
  </si>
  <si>
    <t>ZENITH</t>
  </si>
  <si>
    <t>14.874€</t>
  </si>
  <si>
    <t>WXA45050</t>
  </si>
  <si>
    <t>Support gallery 2 modules carton de 50 pour mécanismes gallery</t>
  </si>
  <si>
    <t xml:space="preserve">HAMGMM10 </t>
  </si>
  <si>
    <t>GALLERY PACKAGING CHANTIERS</t>
  </si>
  <si>
    <t>76.47€</t>
  </si>
  <si>
    <t>WXF001B50</t>
  </si>
  <si>
    <t>Interrupteur va&amp;vient gallery avec enjoliveur blanc 2 modules carton de 50</t>
  </si>
  <si>
    <t>324.81€</t>
  </si>
  <si>
    <t>WXF100B50</t>
  </si>
  <si>
    <t>Prise de courant gallery 2P+T carton de 50</t>
  </si>
  <si>
    <t>252.582€</t>
  </si>
  <si>
    <t>WXF228B50</t>
  </si>
  <si>
    <t>Prise RJ45 gallery cat.6A STP carton de 50</t>
  </si>
  <si>
    <t>930.852€</t>
  </si>
  <si>
    <t>WXF421B50</t>
  </si>
  <si>
    <t>Prise de courant speciale goulotte gallery 2P+T 16A pure carton de 50</t>
  </si>
  <si>
    <t>321.9€</t>
  </si>
  <si>
    <t>WXF422B50</t>
  </si>
  <si>
    <t>Prise de courant double speciale goulotte gallery 2P+T 16A pure carton de 50</t>
  </si>
  <si>
    <t>739.776€</t>
  </si>
  <si>
    <t>WXF423B50</t>
  </si>
  <si>
    <t>Prise de courant triple speciale goulotte gallery 2P+T 16A pure carton de 50</t>
  </si>
  <si>
    <t>946.974€</t>
  </si>
  <si>
    <t>WXP000250</t>
  </si>
  <si>
    <t>Plaque gallery plastique injecté 1 poste pure carton de 50</t>
  </si>
  <si>
    <t>80.268€</t>
  </si>
  <si>
    <t>WXF106B50</t>
  </si>
  <si>
    <t>248.85€</t>
  </si>
  <si>
    <t>WXP110250</t>
  </si>
  <si>
    <t>Plaque gallery 1P x50 pure infini</t>
  </si>
  <si>
    <t>EGN100</t>
  </si>
  <si>
    <t>Interrupteur horaire électronique 1 voie annuelle. astronomique. crépusculaire</t>
  </si>
  <si>
    <t xml:space="preserve">HACHDM15 </t>
  </si>
  <si>
    <t>IH MODUL DIGIT</t>
  </si>
  <si>
    <t>189.996€</t>
  </si>
  <si>
    <t>EGN103</t>
  </si>
  <si>
    <t>Interrupteur horaire électronique 1 voie hebdomadaire basique</t>
  </si>
  <si>
    <t>162.522€</t>
  </si>
  <si>
    <t>EGN200</t>
  </si>
  <si>
    <t>Interrupteur horaire électronique 2 voies annuelle. astronomique. crépusculaire</t>
  </si>
  <si>
    <t>223.506€</t>
  </si>
  <si>
    <t>EGN400</t>
  </si>
  <si>
    <t>Interrupteur horaire électronique 4 voies annuelle. astronomique. crépusculaire</t>
  </si>
  <si>
    <t>379.926€</t>
  </si>
  <si>
    <t>EEN003W</t>
  </si>
  <si>
    <t>sonde de luminosité sans fil pour horloge crépusculaire EGN100/EGN200/EGN400</t>
  </si>
  <si>
    <t>85.584€</t>
  </si>
  <si>
    <t>EK4004009016</t>
  </si>
  <si>
    <t>Moulure d\'angle EK40040 H=40mm l=40mm L=2500mm Pure</t>
  </si>
  <si>
    <t xml:space="preserve">HAGMHM03 </t>
  </si>
  <si>
    <t>MOULURE EK</t>
  </si>
  <si>
    <t>10.01€</t>
  </si>
  <si>
    <t>EK4004039016</t>
  </si>
  <si>
    <t>Angle extérieur EK 40040 RAL 9016</t>
  </si>
  <si>
    <t xml:space="preserve">HAGMJM03 </t>
  </si>
  <si>
    <t>PDF EK</t>
  </si>
  <si>
    <t>EK4004059016</t>
  </si>
  <si>
    <t>Angle intérieur plat pour moulure d\'angle EK40040 H=40mm l=40mm Pure</t>
  </si>
  <si>
    <t>EK4004069016</t>
  </si>
  <si>
    <t>Embout pour EK 40040 blanc</t>
  </si>
  <si>
    <t>EK40040829016</t>
  </si>
  <si>
    <t>Dérivation EK sur ATA</t>
  </si>
  <si>
    <t>12.895€</t>
  </si>
  <si>
    <t>EK40040839016</t>
  </si>
  <si>
    <t>Adapteur EK-ATEHA blanc</t>
  </si>
  <si>
    <t>19.97€</t>
  </si>
  <si>
    <t>EK4004089016</t>
  </si>
  <si>
    <t>Té dérivation EK 40x40mm blanc</t>
  </si>
  <si>
    <t>18.17€</t>
  </si>
  <si>
    <t>EK4004079016</t>
  </si>
  <si>
    <t>Joint de fond et couvercle pour moulure EK 40040 Pure</t>
  </si>
  <si>
    <t>GBD5005069011</t>
  </si>
  <si>
    <t>Embout queraz enclipsage direct pour GBD(A)50050 RAL 9011 noir</t>
  </si>
  <si>
    <t xml:space="preserve">HAGIEM03 </t>
  </si>
  <si>
    <t>PDT GBD</t>
  </si>
  <si>
    <t>3.26879€</t>
  </si>
  <si>
    <t>GBD5005069016</t>
  </si>
  <si>
    <t>Embout queraz enclipsage direct pour GBD(A)50050 RAL 9016 Pure</t>
  </si>
  <si>
    <t>3.19676€</t>
  </si>
  <si>
    <t>GBD500506ALU</t>
  </si>
  <si>
    <t>Embout queraz enclipsage direct pour GBD(A)50050 alu</t>
  </si>
  <si>
    <t>3.28594€</t>
  </si>
  <si>
    <t>GBD5008539011</t>
  </si>
  <si>
    <t>Angle extérieur queraz enclipsage direct pour GBD(A)50085 RAL 9011 noir</t>
  </si>
  <si>
    <t>15.42128€</t>
  </si>
  <si>
    <t>GBD5008539016</t>
  </si>
  <si>
    <t>Angle extérieur queraz enclipsage direct pour GBD(A)50085 RAL 9016 Pure</t>
  </si>
  <si>
    <t>15.03369€</t>
  </si>
  <si>
    <t>GBD500853ALU</t>
  </si>
  <si>
    <t>Angle extérieur queraz enclipsage direct pour GBD(A)50085 alu</t>
  </si>
  <si>
    <t>15.41785€</t>
  </si>
  <si>
    <t>GBD5008549011</t>
  </si>
  <si>
    <t>Angle intérieur queraz enclipsage direct pour GBD(A)50085 RAL 9011 noir</t>
  </si>
  <si>
    <t>GBD5008549016</t>
  </si>
  <si>
    <t>Angle intérieur queraz enclipsage direct pour GBD(A)50085 RAL 9016 Pure</t>
  </si>
  <si>
    <t>GBD500854ALU</t>
  </si>
  <si>
    <t>Angle intérieur queraz enclipsage direct pour GBD(A)50085 alu</t>
  </si>
  <si>
    <t>GBD5008559011</t>
  </si>
  <si>
    <t>Angle plat queraz enclipsage direct pour GBD(A)50085 RAL 9011 noir</t>
  </si>
  <si>
    <t>17.96291€</t>
  </si>
  <si>
    <t>GBD5008559016</t>
  </si>
  <si>
    <t>Angle plat queraz enclipsage direct pour GBD(A)50085 RAL 9016 Pure</t>
  </si>
  <si>
    <t>17.48271€</t>
  </si>
  <si>
    <t>GBD500855ALU</t>
  </si>
  <si>
    <t>Angle plat queraz enclipsage direct pour GBD(A)50085 alu</t>
  </si>
  <si>
    <t>17.95262€</t>
  </si>
  <si>
    <t>GBD5008569011</t>
  </si>
  <si>
    <t>Embout queraz enclipsage direct pour GBD(A)50085 RAL 9011 noir</t>
  </si>
  <si>
    <t>3.36483€</t>
  </si>
  <si>
    <t>GBD5008569016</t>
  </si>
  <si>
    <t>Embout queraz enclipsage direct pour GBD(A)50085 RAL 9016 Pure</t>
  </si>
  <si>
    <t>3.28937€</t>
  </si>
  <si>
    <t>GBD500856ALU</t>
  </si>
  <si>
    <t>Embout queraz enclipsage direct pour GBD(A)50085 alu</t>
  </si>
  <si>
    <t>3.38541€</t>
  </si>
  <si>
    <t>GBD5008589011</t>
  </si>
  <si>
    <t>Té queraz enclipsage direct pour GBD(A)50085 RAL 9011 noir</t>
  </si>
  <si>
    <t>17.6988€</t>
  </si>
  <si>
    <t>GBD5008589016</t>
  </si>
  <si>
    <t>Té. GBD(A)50085. Pure</t>
  </si>
  <si>
    <t>17.65078€</t>
  </si>
  <si>
    <t>GBD500859</t>
  </si>
  <si>
    <t>Jeu d\'éclisses queraz pour GBD50085 RAL 9016 Pure</t>
  </si>
  <si>
    <t>2.66511€</t>
  </si>
  <si>
    <t>GBD5010039016</t>
  </si>
  <si>
    <t>Angle extérieur queraz enclipsage direct pour GBD50100 RAL 9016 Pure</t>
  </si>
  <si>
    <t>16.38511€</t>
  </si>
  <si>
    <t>GBD5010049016</t>
  </si>
  <si>
    <t>Angle intérieur queraz enclipsage direct pour GBD50100 RAL 9016 Pure</t>
  </si>
  <si>
    <t>GBD501004E9016</t>
  </si>
  <si>
    <t>Extension angle intérieur queraz enclipsage direct pour GBD50100 RAL 9016 Pure</t>
  </si>
  <si>
    <t>10.44435€</t>
  </si>
  <si>
    <t>GBD501004J9016</t>
  </si>
  <si>
    <t>Angle intérieur 3D queraz enclipsage direct pour GBD50100 RAL 9016 Pure</t>
  </si>
  <si>
    <t>21.00532€</t>
  </si>
  <si>
    <t>GBD5010059016</t>
  </si>
  <si>
    <t>Angle plat et dérivation queraz enclipsage direct pour BD50100 RAL 9016 Pure</t>
  </si>
  <si>
    <t>18.73466€</t>
  </si>
  <si>
    <t>GBD5010069016</t>
  </si>
  <si>
    <t>Embout queraz enclipsage direct pour GBD50100 RAL 9016 Pure</t>
  </si>
  <si>
    <t>4.02339€</t>
  </si>
  <si>
    <t>GBD5010089016</t>
  </si>
  <si>
    <t>Té queraz enclipsage direct pour GBD50100 RAL 9016 Pure</t>
  </si>
  <si>
    <t>19.25945€</t>
  </si>
  <si>
    <t>GBD501009</t>
  </si>
  <si>
    <t>Jeu d\'éclisses queraz pour GBD50100 RAL 9016 Pure</t>
  </si>
  <si>
    <t>3.46087€</t>
  </si>
  <si>
    <t>GBD5013139011</t>
  </si>
  <si>
    <t>Angle extérieur queraz enclipsage direct pour GBD50131 RAL 9011 noir</t>
  </si>
  <si>
    <t>19.52699€</t>
  </si>
  <si>
    <t>GBD5013139016</t>
  </si>
  <si>
    <t>Angle extérieur queraz enclipsage direct pour GBD50131 RAL 9016 Pure</t>
  </si>
  <si>
    <t>58.51€</t>
  </si>
  <si>
    <t>19.46868€</t>
  </si>
  <si>
    <t>GBD501313ALU</t>
  </si>
  <si>
    <t>Angle extérieur queraz enclipsage direct pour GBD(A)50131 alu</t>
  </si>
  <si>
    <t>20.01748€</t>
  </si>
  <si>
    <t>GBD5013149011</t>
  </si>
  <si>
    <t>Angle intérieur queraz enclipsage direct pour GBD50131 RAL 9011 noir</t>
  </si>
  <si>
    <t>19.15998€</t>
  </si>
  <si>
    <t>GBD5013149016</t>
  </si>
  <si>
    <t>Angle intérieur queraz enclipsage direct pour GBD50131 RAL 9016 Pure</t>
  </si>
  <si>
    <t>19.4824€</t>
  </si>
  <si>
    <t>GBD501314ALU</t>
  </si>
  <si>
    <t>Angle intérieur queraz enclipsage direct pour GBD(A)50131 alu</t>
  </si>
  <si>
    <t>20.0312€</t>
  </si>
  <si>
    <t>GBD501314E9016</t>
  </si>
  <si>
    <t>Extension angle intérieur queraz enclipsage direct pour GBD50131 RAL 9016 Pure</t>
  </si>
  <si>
    <t>12.8282€</t>
  </si>
  <si>
    <t>GBD501314J9016</t>
  </si>
  <si>
    <t>Angle intérieur 3D queraz enclipsage direct pour GBD50130/50131 RAL 9016 Pure</t>
  </si>
  <si>
    <t>24.55194€</t>
  </si>
  <si>
    <t>GBD5013159011</t>
  </si>
  <si>
    <t>Angle plat queraz enclipsage direct pour GBD50131 RAL 9011 noir</t>
  </si>
  <si>
    <t>22.76148€</t>
  </si>
  <si>
    <t>GBD5013159016</t>
  </si>
  <si>
    <t>Angle plat queraz enclipsage direct pour GBD50131 RAL 9016 Pure</t>
  </si>
  <si>
    <t>22.61399€</t>
  </si>
  <si>
    <t>GBD501315ALU</t>
  </si>
  <si>
    <t>Angle plat queraz enclipsage direct pour GBD(A)50131 alu</t>
  </si>
  <si>
    <t>GBD5013169011</t>
  </si>
  <si>
    <t>Embout queraz enclipsage direct pour GBD50131 RAL 9011 noir</t>
  </si>
  <si>
    <t>5.14157€</t>
  </si>
  <si>
    <t>GBD5013169016</t>
  </si>
  <si>
    <t>Embout queraz enclipsage direct pour GBD50131 RAL 9016 Pure</t>
  </si>
  <si>
    <t>5.06954€</t>
  </si>
  <si>
    <t>GBD501316ALU</t>
  </si>
  <si>
    <t>Embout queraz enclipsage direct pour GBD(A)50131 alu</t>
  </si>
  <si>
    <t>5.16558€</t>
  </si>
  <si>
    <t>GBD5013189011</t>
  </si>
  <si>
    <t>Té queraz enclipsage direct pour GBD50131 RAL 9011 noir</t>
  </si>
  <si>
    <t>23.13192€</t>
  </si>
  <si>
    <t>GBD5013189016</t>
  </si>
  <si>
    <t>Té queraz enclipsage direct pour GBD50131 RAL 9016 Pure</t>
  </si>
  <si>
    <t>22.91583€</t>
  </si>
  <si>
    <t>GBD501319</t>
  </si>
  <si>
    <t>Jeu d\'éclisses queraz pour GBD50131 RAL 9016 Pure</t>
  </si>
  <si>
    <t>4.13658€</t>
  </si>
  <si>
    <t>GBD5016139011</t>
  </si>
  <si>
    <t>Angle extérieur queraz enclipsage direct p GBD50161 RAL 9011 noir</t>
  </si>
  <si>
    <t>20.70691€</t>
  </si>
  <si>
    <t>GBD5016139016</t>
  </si>
  <si>
    <t>Angle extérieur queraz enclipsage direct p GBD50161 RAL 9016 Pure</t>
  </si>
  <si>
    <t>20.54913€</t>
  </si>
  <si>
    <t>GBD501613ALU</t>
  </si>
  <si>
    <t>Angle extérieur queraz enclipsage direct p GBD(A)50161 alu</t>
  </si>
  <si>
    <t>21.11851€</t>
  </si>
  <si>
    <t>GBD5016149011</t>
  </si>
  <si>
    <t>Angle intérieur queraz enclipsage direct p GBD50161 RAL 9011 noir</t>
  </si>
  <si>
    <t>GBD5016149016</t>
  </si>
  <si>
    <t>Angle intérieur queraz enclipsage direct p GBD50161 RAL 9016 Pure</t>
  </si>
  <si>
    <t>GBD501614ALU</t>
  </si>
  <si>
    <t>Angle intérieur queraz enclipsage direct p GBD(A)50161 alu</t>
  </si>
  <si>
    <t>GBD501614E9016</t>
  </si>
  <si>
    <t>Extension angle intérieur queraz enclipsage direct pour GBD50161 RAL 9016 Pure</t>
  </si>
  <si>
    <t>14.20363€</t>
  </si>
  <si>
    <t>GBD501614J9016</t>
  </si>
  <si>
    <t>Angle intérieur 3D queraz enclipsage direct pour GBD50160/161 RAL 9016 Pure</t>
  </si>
  <si>
    <t>26.52076€</t>
  </si>
  <si>
    <t>GBD5016159011</t>
  </si>
  <si>
    <t>Angle plat queraz enclipsage direct pour GBD50161 RAL 9011 noir</t>
  </si>
  <si>
    <t>23.98256€</t>
  </si>
  <si>
    <t>GBD5016159016</t>
  </si>
  <si>
    <t>Angle plat queraz enclipsage direct pour GBD50161 RAL 9016 Pure</t>
  </si>
  <si>
    <t>23.8728€</t>
  </si>
  <si>
    <t>GBD501615ALU</t>
  </si>
  <si>
    <t>Angle plat queraz enclipsage direct pour GBD(A)50161 alu</t>
  </si>
  <si>
    <t>24.51764€</t>
  </si>
  <si>
    <t>GBD5016169011</t>
  </si>
  <si>
    <t>Embout queraz enclipsage direct p GBD50161 RAL 9011 noir</t>
  </si>
  <si>
    <t>4.59963€</t>
  </si>
  <si>
    <t>GBD5016169016</t>
  </si>
  <si>
    <t>Embout queraz enclipsage direct p GBD50161 RAL 9016 Pure</t>
  </si>
  <si>
    <t>4.50359€</t>
  </si>
  <si>
    <t>GBD501616ALU</t>
  </si>
  <si>
    <t>Embout queraz enclipsage direct p GBD(A)50161 alu</t>
  </si>
  <si>
    <t>4.79857€</t>
  </si>
  <si>
    <t>GBD5016189011</t>
  </si>
  <si>
    <t>Té queraz enclipsage direct pour GBD50161 RAL 9011 noir</t>
  </si>
  <si>
    <t>24.44904€</t>
  </si>
  <si>
    <t>GBD5016189016</t>
  </si>
  <si>
    <t>Té queraz enclipsage direct pour GBD50161 RAL 9016 Pure</t>
  </si>
  <si>
    <t>24.22609€</t>
  </si>
  <si>
    <t>GBD501619</t>
  </si>
  <si>
    <t>Jeu d\'éclisses queraz pour GBD50161 RAL 9016 Pure</t>
  </si>
  <si>
    <t>4.10571€</t>
  </si>
  <si>
    <t>GBD5019039016</t>
  </si>
  <si>
    <t>Angle extérieur queraz enclipsage direct pour GBD50190 RAL 9016 Pure</t>
  </si>
  <si>
    <t>23.96884€</t>
  </si>
  <si>
    <t>GBD5019049016</t>
  </si>
  <si>
    <t>Angle intérieur queraz enclipsage direct pour GBD50190 RAL 9016 Pure</t>
  </si>
  <si>
    <t>GBD5019059016</t>
  </si>
  <si>
    <t>Angle plat queraz enclipsage direct pour GBD50190 RAL 9016 Pure</t>
  </si>
  <si>
    <t>27.82073€</t>
  </si>
  <si>
    <t>GBD5019069016</t>
  </si>
  <si>
    <t>Embout queraz enclipsage direct pour GBD50190 RAL 9016 Pure</t>
  </si>
  <si>
    <t>6.0711€</t>
  </si>
  <si>
    <t>GBD5019089016</t>
  </si>
  <si>
    <t>Té queraz enclipsage direct pour GBD50190 RAL 9016 Pure</t>
  </si>
  <si>
    <t>28.2289€</t>
  </si>
  <si>
    <t>GBD501909</t>
  </si>
  <si>
    <t>Jeu d\'éclisses queraz pour GBD50190 RAL 9016 Pure</t>
  </si>
  <si>
    <t>5.47085€</t>
  </si>
  <si>
    <t>GBD50P</t>
  </si>
  <si>
    <t>Cloison/séparation pour queraz GBD/GBA</t>
  </si>
  <si>
    <t>4.17088€</t>
  </si>
  <si>
    <t>GBDCLIP9011</t>
  </si>
  <si>
    <t>Clip verrouillage joint de couvercle queraz p GBD RAL 9011 noir</t>
  </si>
  <si>
    <t>1.38915€</t>
  </si>
  <si>
    <t>GBDCLIP9016</t>
  </si>
  <si>
    <t>Clip verrouillage joint de couvercle queraz p GBD RAL 9016 Pure</t>
  </si>
  <si>
    <t>1.38572€</t>
  </si>
  <si>
    <t>GBDCLIPALU</t>
  </si>
  <si>
    <t>Clip verrouillage joint de couvercle couleur alu</t>
  </si>
  <si>
    <t>LFR0701209016A</t>
  </si>
  <si>
    <t>Goulotte flexible lifea PVC h12mm x p7mm RAL 9016 Pure</t>
  </si>
  <si>
    <t xml:space="preserve">HAGDLM05 </t>
  </si>
  <si>
    <t>CACHE CABLE LFR</t>
  </si>
  <si>
    <t>6.462€</t>
  </si>
  <si>
    <t>LFR1501509016A</t>
  </si>
  <si>
    <t>Goulotte flexible lifea PVC h15mm x p15mm RAL 9016 Pure</t>
  </si>
  <si>
    <t>LFR2003509016A</t>
  </si>
  <si>
    <t>Goulotte flexible lifea PVC h35mm x p20mm RAL 9016 Pure</t>
  </si>
  <si>
    <t>WJA000B</t>
  </si>
  <si>
    <t>ateha Interrupteur ou poussoir associable</t>
  </si>
  <si>
    <t xml:space="preserve">HAMAMM15 </t>
  </si>
  <si>
    <t>ATEHA ASSOCIABLE</t>
  </si>
  <si>
    <t>6.726€</t>
  </si>
  <si>
    <t>WJA001B</t>
  </si>
  <si>
    <t>ateha InterPure V&amp;V associable</t>
  </si>
  <si>
    <t>7.074€</t>
  </si>
  <si>
    <t>WJA003B</t>
  </si>
  <si>
    <t>ateha Interrupteur Va et Vient ou poussoir avec neutre associable</t>
  </si>
  <si>
    <t>8.04€</t>
  </si>
  <si>
    <t>WJA008B</t>
  </si>
  <si>
    <t>ateha Interrupteur bipolaire  associable</t>
  </si>
  <si>
    <t>15.39€</t>
  </si>
  <si>
    <t>WJA010B</t>
  </si>
  <si>
    <t>ateha Permutateur associable</t>
  </si>
  <si>
    <t>20.676€</t>
  </si>
  <si>
    <t>WJA025B</t>
  </si>
  <si>
    <t>ateha Interrupteur ou poussoir à fermeture 1F porte-étiquette 1F associable</t>
  </si>
  <si>
    <t>17.892€</t>
  </si>
  <si>
    <t>WJA040B</t>
  </si>
  <si>
    <t>ateha double InterPu V&amp;V assoc</t>
  </si>
  <si>
    <t>16.908€</t>
  </si>
  <si>
    <t>WJA048B</t>
  </si>
  <si>
    <t>ateha Interrupteur Va et Vient ou poussoir VMC  associable</t>
  </si>
  <si>
    <t>9.516€</t>
  </si>
  <si>
    <t>WJA100B</t>
  </si>
  <si>
    <t>ateha prise associable 2P+T. finition blanc</t>
  </si>
  <si>
    <t>WJA102B</t>
  </si>
  <si>
    <t>ateha prise de courant 2P associable</t>
  </si>
  <si>
    <t>5.574€</t>
  </si>
  <si>
    <t>WJA122B</t>
  </si>
  <si>
    <t>ateha prise de courant double horizontale 2P+T  précablée associable</t>
  </si>
  <si>
    <t>22.164€</t>
  </si>
  <si>
    <t>WJA155B</t>
  </si>
  <si>
    <t>ateha Sortie de câble associable</t>
  </si>
  <si>
    <t>6.45€</t>
  </si>
  <si>
    <t>WJA157B</t>
  </si>
  <si>
    <t>ateha Obturateur associable</t>
  </si>
  <si>
    <t>5.79€</t>
  </si>
  <si>
    <t>WJA220B</t>
  </si>
  <si>
    <t>ateha prise RJ45 catégorie 6 UTP pour Grade 1 associable</t>
  </si>
  <si>
    <t>16.656€</t>
  </si>
  <si>
    <t>WJA223B</t>
  </si>
  <si>
    <t>ateha prise RJ45 catégorie 6 FTP pour Grade 2 associable</t>
  </si>
  <si>
    <t>17.964€</t>
  </si>
  <si>
    <t>WJA226B</t>
  </si>
  <si>
    <t>ateha prise RJ45 catégorie 6 STP pour Grade 3 associable</t>
  </si>
  <si>
    <t>WJA228B</t>
  </si>
  <si>
    <t>ateha prise RJ45 catégorie 6a pour Grade 3 TV associable</t>
  </si>
  <si>
    <t>WJA250B</t>
  </si>
  <si>
    <t>ateha Prise TV directe associable</t>
  </si>
  <si>
    <t>14.598€</t>
  </si>
  <si>
    <t>WJA253B</t>
  </si>
  <si>
    <t>ateha Prise TV + FM directe associable</t>
  </si>
  <si>
    <t>32.622€</t>
  </si>
  <si>
    <t>WJA256B</t>
  </si>
  <si>
    <t>ateha Prise TV + FM + SAT 1 câble associable</t>
  </si>
  <si>
    <t>33.222€</t>
  </si>
  <si>
    <t>WJA257B</t>
  </si>
  <si>
    <t>ateha Prise TV + FM + SAT 2 câbles associable</t>
  </si>
  <si>
    <t>WJA258B</t>
  </si>
  <si>
    <t>ateha Prise TV double type F  associable pour réseaux câblés</t>
  </si>
  <si>
    <t>34.11€</t>
  </si>
  <si>
    <t>WJA259B</t>
  </si>
  <si>
    <t>ateha Prise TV type F  associable</t>
  </si>
  <si>
    <t>13.698€</t>
  </si>
  <si>
    <t>WJA291B</t>
  </si>
  <si>
    <t>ateha Prise HP simple associable</t>
  </si>
  <si>
    <t>10.002€</t>
  </si>
  <si>
    <t>WJA300B</t>
  </si>
  <si>
    <t>ateha Inter volet-roulant ass.</t>
  </si>
  <si>
    <t>32.736€</t>
  </si>
  <si>
    <t>WJA301B</t>
  </si>
  <si>
    <t>ateha Pur volet-roulant assoc.</t>
  </si>
  <si>
    <t>28.848€</t>
  </si>
  <si>
    <t>WJA450B</t>
  </si>
  <si>
    <t>ateha support d\'adaptation pour mécanisme systo associable</t>
  </si>
  <si>
    <t>WJA230B</t>
  </si>
  <si>
    <t>ateha prise RJ45 Catégorie 6 STP pour Grade 2TV associable</t>
  </si>
  <si>
    <t xml:space="preserve">HAMACM15 </t>
  </si>
  <si>
    <t>ATEHA COMPLET</t>
  </si>
  <si>
    <t>20.526€</t>
  </si>
  <si>
    <t>WJC000B</t>
  </si>
  <si>
    <t>ateha Interrupteur ou poussoir complet</t>
  </si>
  <si>
    <t>WJC001B</t>
  </si>
  <si>
    <t>ateha Interrupteur Va et Vient  ou poussoir complet</t>
  </si>
  <si>
    <t>9.438€</t>
  </si>
  <si>
    <t>WJC003B</t>
  </si>
  <si>
    <t>ateha Interrupteur va-et-vient ou poussoir avec neutre complet</t>
  </si>
  <si>
    <t>9.708€</t>
  </si>
  <si>
    <t>WJC005B</t>
  </si>
  <si>
    <t>ateha  va-et-vient à tirage complet</t>
  </si>
  <si>
    <t>33.732€</t>
  </si>
  <si>
    <t>WJC008B</t>
  </si>
  <si>
    <t>ateha Interrupteur bipolaire  complet</t>
  </si>
  <si>
    <t>16.524€</t>
  </si>
  <si>
    <t>WJC010B</t>
  </si>
  <si>
    <t>ateha Permutateur complet</t>
  </si>
  <si>
    <t>22.854€</t>
  </si>
  <si>
    <t>WJC012B</t>
  </si>
  <si>
    <t>ateha interrupteur interBP étroit va-et-vient ou poussoir complet</t>
  </si>
  <si>
    <t>23.064€</t>
  </si>
  <si>
    <t>WJC013B</t>
  </si>
  <si>
    <t>ateha interrupteur interBP étroit lumineux va-et-vient ou poussoir complet</t>
  </si>
  <si>
    <t>17.982€</t>
  </si>
  <si>
    <t>WJC025B</t>
  </si>
  <si>
    <t>ateha Interrupteur ou poussoir à fermeture porte-étiquette complet</t>
  </si>
  <si>
    <t>WJC040B</t>
  </si>
  <si>
    <t>ateha double InterPu V&amp;V compl</t>
  </si>
  <si>
    <t>19.872€</t>
  </si>
  <si>
    <t>WJC048B</t>
  </si>
  <si>
    <t>ateha interrupteur va-et-vient ou poussoir VMC  complet</t>
  </si>
  <si>
    <t>12.078€</t>
  </si>
  <si>
    <t>WJC051B</t>
  </si>
  <si>
    <t>ateha interrupteur automatique infra-rouge 3 fils</t>
  </si>
  <si>
    <t>78.528€</t>
  </si>
  <si>
    <t>WJC061B</t>
  </si>
  <si>
    <t>ateha Variateur toute charge complet</t>
  </si>
  <si>
    <t>47.46€</t>
  </si>
  <si>
    <t>WJC100B</t>
  </si>
  <si>
    <t>ateha prise complète 2P+T. finition blanc</t>
  </si>
  <si>
    <t>7.818€</t>
  </si>
  <si>
    <t>WJC102B</t>
  </si>
  <si>
    <t>ateha prise de courant 2 pôles complet</t>
  </si>
  <si>
    <t>8.1€</t>
  </si>
  <si>
    <t>WJC122B</t>
  </si>
  <si>
    <t>ateha prise de courant double horizontale précâblée complet</t>
  </si>
  <si>
    <t>26.412€</t>
  </si>
  <si>
    <t>WJC132B</t>
  </si>
  <si>
    <t>ateha prise de courant double horizontale ou verticale 2P+T  complet</t>
  </si>
  <si>
    <t>20.268€</t>
  </si>
  <si>
    <t>WJC142B</t>
  </si>
  <si>
    <t>ateha prise de courant double horizontale 2P complet</t>
  </si>
  <si>
    <t>20.262€</t>
  </si>
  <si>
    <t>WJC155B</t>
  </si>
  <si>
    <t>La sortie de câble WJC155B est un accessoire blanc de la gamme d\'appareillage en saillie ateha. Cette sortie de câble est livré complet. déjà monté dans un boitier saillie simple.</t>
  </si>
  <si>
    <t>7.794€</t>
  </si>
  <si>
    <t>WJC157B</t>
  </si>
  <si>
    <t>ateha Obturateur complet</t>
  </si>
  <si>
    <t>6.942€</t>
  </si>
  <si>
    <t>WJC160B</t>
  </si>
  <si>
    <t>ateha Prise Schuko complet</t>
  </si>
  <si>
    <t>WJC200B</t>
  </si>
  <si>
    <t>ateha Prise Téléphone  complet</t>
  </si>
  <si>
    <t>17.424€</t>
  </si>
  <si>
    <t>WJC220B</t>
  </si>
  <si>
    <t>ateha prise RJ45 catégorie 6 UTP pour Grade 1 complet</t>
  </si>
  <si>
    <t>20.7€</t>
  </si>
  <si>
    <t>WJC223B</t>
  </si>
  <si>
    <t>ateha prise RJ45 catégorie 6 FTP pour Grade 2 complet</t>
  </si>
  <si>
    <t>21.294€</t>
  </si>
  <si>
    <t>WJC226B</t>
  </si>
  <si>
    <t>ateha prise RJ45 catégorie 6 STP pour Grade 3 complet</t>
  </si>
  <si>
    <t>WJC228B</t>
  </si>
  <si>
    <t>ateha prise RJ45 catégorie 6a pour Grade 3 TV complet</t>
  </si>
  <si>
    <t>25.02€</t>
  </si>
  <si>
    <t>WJC230B</t>
  </si>
  <si>
    <t>ateha prise RJ45 cat6 STP pour Grade 3 TV complet</t>
  </si>
  <si>
    <t>24.024€</t>
  </si>
  <si>
    <t>WJC250B</t>
  </si>
  <si>
    <t>ateha Prise TV complet</t>
  </si>
  <si>
    <t>13.968€</t>
  </si>
  <si>
    <t>WJC253B</t>
  </si>
  <si>
    <t>ateha Prise TV + FM directe complet</t>
  </si>
  <si>
    <t>40.986€</t>
  </si>
  <si>
    <t>WJC256B</t>
  </si>
  <si>
    <t>ateha prise TV FM SAT  1 câble complet</t>
  </si>
  <si>
    <t>42.318€</t>
  </si>
  <si>
    <t>WJC257B</t>
  </si>
  <si>
    <t>ateha prise TV FM SAT  2 câble complet</t>
  </si>
  <si>
    <t>42.312€</t>
  </si>
  <si>
    <t>WJC258B</t>
  </si>
  <si>
    <t>ateha Prise TV double type F  complet pour réseaux câblés</t>
  </si>
  <si>
    <t>37.578€</t>
  </si>
  <si>
    <t>WJC259B</t>
  </si>
  <si>
    <t>ateha Prise TV type F  complet</t>
  </si>
  <si>
    <t>16.32€</t>
  </si>
  <si>
    <t>WJC291B</t>
  </si>
  <si>
    <t>ateha Prise HP simple complet</t>
  </si>
  <si>
    <t>18.708€</t>
  </si>
  <si>
    <t>WJC300B</t>
  </si>
  <si>
    <t>ateha interrupteur volet-roulant complet</t>
  </si>
  <si>
    <t>36.426€</t>
  </si>
  <si>
    <t>WJC301B</t>
  </si>
  <si>
    <t>ateha bouton poussoir  volet-roulant complet</t>
  </si>
  <si>
    <t>WJC603B</t>
  </si>
  <si>
    <t>ateha Lampe pour signalisation complet</t>
  </si>
  <si>
    <t>18.468€</t>
  </si>
  <si>
    <t>XEV1K07T2</t>
  </si>
  <si>
    <t>EVCS witty 1x7kW 1P T2+clé</t>
  </si>
  <si>
    <t xml:space="preserve">HAEABM15 </t>
  </si>
  <si>
    <t>E MOBILITE RESIDENTIEL WITTY START</t>
  </si>
  <si>
    <t>776.61€</t>
  </si>
  <si>
    <t>XEV1K07T2TPFR</t>
  </si>
  <si>
    <t>EVCS witty 1x7kW T2+TIC+PR+clé</t>
  </si>
  <si>
    <t>1057.494€</t>
  </si>
  <si>
    <t>XEV1K22T2</t>
  </si>
  <si>
    <t>EVCS witty 1x22kW 3P T2+clé</t>
  </si>
  <si>
    <t>953.076€</t>
  </si>
  <si>
    <t>XEV1K22T2TE</t>
  </si>
  <si>
    <t>EVCS witty 1x22kW 3P T2+TE+clé</t>
  </si>
  <si>
    <t>1089.228€</t>
  </si>
  <si>
    <t>HYS257H</t>
  </si>
  <si>
    <t>Déclencheur de sécurité h3+ P160 for QuadroSX/Unimes H Combiway</t>
  </si>
  <si>
    <t xml:space="preserve">HATBAM15 </t>
  </si>
  <si>
    <t>KITS D'EQUIPEMENTS COMMUN ET IS223</t>
  </si>
  <si>
    <t>31.495€</t>
  </si>
  <si>
    <t>HYT257H</t>
  </si>
  <si>
    <t>Déclencheur de sécurité h3+ P250 for QuadroSX/Unimes H Combiway</t>
  </si>
  <si>
    <t>HYW257H</t>
  </si>
  <si>
    <t>Déclencheur de sécurité h3 x630/h3+ P630 for QuadroSX/Unimes H Combiway</t>
  </si>
  <si>
    <t>39.925€</t>
  </si>
  <si>
    <t>UCSX150FL</t>
  </si>
  <si>
    <t>Kit Sx sortie de câbles IS223 pour cloisonnement vertical unité fonction P160</t>
  </si>
  <si>
    <t>87.01€</t>
  </si>
  <si>
    <t>UCSX1560BK</t>
  </si>
  <si>
    <t>Kit Sx châssis fixe H150 pour unité fonctionnelle P160</t>
  </si>
  <si>
    <t>407.16€</t>
  </si>
  <si>
    <t>UCSX161A3</t>
  </si>
  <si>
    <t>Kit Sx unité fonctionnelle mobile pour P160 3P IS223</t>
  </si>
  <si>
    <t>610.355€</t>
  </si>
  <si>
    <t>UCSX161A4</t>
  </si>
  <si>
    <t>Kit Sx unité fonctionnelle mobile pour P160 4P IS223</t>
  </si>
  <si>
    <t>656.09€</t>
  </si>
  <si>
    <t>UCSX161D</t>
  </si>
  <si>
    <t>Plastron Sx L600 pour unité fonctionnelle P160 commande directe</t>
  </si>
  <si>
    <t>95.245€</t>
  </si>
  <si>
    <t>UCSX161R</t>
  </si>
  <si>
    <t>Plastron Sx L600 pour unité fonctionnelle P160 commande rotative</t>
  </si>
  <si>
    <t>UCSX1860ST</t>
  </si>
  <si>
    <t>Kit Sx jeu de barre de distribution vertical isolé H1800 L600</t>
  </si>
  <si>
    <t>2217.15€</t>
  </si>
  <si>
    <t>UCSX200FL</t>
  </si>
  <si>
    <t>Kit Sx sortie de câbles IS223 pour cloisonnement vertical unité fonction P250</t>
  </si>
  <si>
    <t>88.485€</t>
  </si>
  <si>
    <t>UCSX2060BK</t>
  </si>
  <si>
    <t>Kit Sx châssis fixe H200 pour unité fonctionnelle P250</t>
  </si>
  <si>
    <t>431.9€</t>
  </si>
  <si>
    <t>UCSX2060ST</t>
  </si>
  <si>
    <t>Kit Sx jeu de barre de distribution vertical isolé H2000 L600</t>
  </si>
  <si>
    <t>2526.06€</t>
  </si>
  <si>
    <t>UCSX262A3</t>
  </si>
  <si>
    <t>Kit Sx unité fonctionnelle mobile pour P250 3P IS223</t>
  </si>
  <si>
    <t>714.585€</t>
  </si>
  <si>
    <t>UCSX262A4</t>
  </si>
  <si>
    <t>Kit Sx unité fonctionnelle mobile pour P250 4P IS223</t>
  </si>
  <si>
    <t>829.29€</t>
  </si>
  <si>
    <t>UCSX262DR</t>
  </si>
  <si>
    <t>Plastron Sx L600 pour unité fonctionnelle P250 cde directe a/s bloc diff</t>
  </si>
  <si>
    <t>101.24€</t>
  </si>
  <si>
    <t>UCSX262MR</t>
  </si>
  <si>
    <t>Plastron Sx L600 pour unité fonctionnelle P250 cde motorisée a/s bloc diff</t>
  </si>
  <si>
    <t>UCSX262RR</t>
  </si>
  <si>
    <t>Plastron Sx L600 pour unité fonctionnelle P250 cde rotative a/s bloc diff</t>
  </si>
  <si>
    <t>UCSX300FL</t>
  </si>
  <si>
    <t>Kit Sx sortie de câbles IS223 pour cloisonnement vert unité fonction x630 P630</t>
  </si>
  <si>
    <t>123.74€</t>
  </si>
  <si>
    <t>UCSX3060BK</t>
  </si>
  <si>
    <t>Kit Sx châssis fixe H250 pour unité fonctionnelle x630 et P630</t>
  </si>
  <si>
    <t>518.125€</t>
  </si>
  <si>
    <t>UCSX463A3</t>
  </si>
  <si>
    <t>Kit Sx unité fonctionnelle mobile pour x630 et P630 3P IS223</t>
  </si>
  <si>
    <t>982.255€</t>
  </si>
  <si>
    <t>UCSX463A4</t>
  </si>
  <si>
    <t>Kit Sx unité fonctionnelle mobile pour x630 et P630 4P IS223</t>
  </si>
  <si>
    <t>1130.705€</t>
  </si>
  <si>
    <t>UCSX463DR</t>
  </si>
  <si>
    <t>Plastron Sx L600 pour unité fonctionnelle x630 et P630 cde directe a/s bloc diff</t>
  </si>
  <si>
    <t>110.995€</t>
  </si>
  <si>
    <t>UCSX463MR</t>
  </si>
  <si>
    <t>Plastron Sx L600 pour unité fonctionnelle x630 et P630 cde motor a/s bloc diff</t>
  </si>
  <si>
    <t>UCSX463RR</t>
  </si>
  <si>
    <t>Plastron Sx L600 pour unité fonctionnelle x630 et P630 cde rot a/s bloc diff</t>
  </si>
  <si>
    <t>UCSX600BB</t>
  </si>
  <si>
    <t>Kit Sx support de jeu de barre de distribution L600</t>
  </si>
  <si>
    <t>110.245€</t>
  </si>
  <si>
    <t>UCSX600FH</t>
  </si>
  <si>
    <t>Kit Sx cloisonnement horizontal L600 pour unité fonctionnelle</t>
  </si>
  <si>
    <t>194.21€</t>
  </si>
  <si>
    <t>UCSX600PL</t>
  </si>
  <si>
    <t>Kit Sx cloisonnement horizontal latéral entre zone équipée et jdb distribution</t>
  </si>
  <si>
    <t>UCSX6060FT</t>
  </si>
  <si>
    <t>Kit Sx cloisonnement horizontal pour jeu de barre de distribution L600 P600</t>
  </si>
  <si>
    <t>466.395€</t>
  </si>
  <si>
    <t>UCSX6060FV</t>
  </si>
  <si>
    <t>Kit Sx cloisonnement vertical arrière jeu de barre gaine et distribution P600</t>
  </si>
  <si>
    <t>67.505€</t>
  </si>
  <si>
    <t>UCSX6080FT</t>
  </si>
  <si>
    <t>Kit Sx cloisonnement horizontal pour jeu de barre de distribution L600 P800</t>
  </si>
  <si>
    <t>440.145€</t>
  </si>
  <si>
    <t>UCSX6080FV</t>
  </si>
  <si>
    <t>Kit Sx cloisonnement vertical arrière jeu de barre gaine et distribution P800</t>
  </si>
  <si>
    <t>UCSXMT</t>
  </si>
  <si>
    <t>Kit Sx support + DIN rail 6M pour compteur et auxiliaires</t>
  </si>
  <si>
    <t>UCSX150B3P</t>
  </si>
  <si>
    <t>Kit Sx bloc de connection aval IS233 pour unité fonctionnelle pour P160 3P</t>
  </si>
  <si>
    <t xml:space="preserve">HATBBM15 </t>
  </si>
  <si>
    <t>KITS D'EQUIPEMENTS IS233</t>
  </si>
  <si>
    <t>777.55€</t>
  </si>
  <si>
    <t>UCSX150B4P</t>
  </si>
  <si>
    <t>Kit Sx bloc de connection aval IS233 pour unité fonctionnelle pour P160 4P</t>
  </si>
  <si>
    <t>UCSX161B3</t>
  </si>
  <si>
    <t>Kit Sx unité fonctionnelle mobile pour P160 3P IS233</t>
  </si>
  <si>
    <t>869.785€</t>
  </si>
  <si>
    <t>UCSX161B4</t>
  </si>
  <si>
    <t>Kit Sx unité fonctionnelle mobile pour P160 4P IS233</t>
  </si>
  <si>
    <t>1083.47€</t>
  </si>
  <si>
    <t>UCSX200B3P</t>
  </si>
  <si>
    <t>Kit Sx bloc de connection aval IS233 pour unité fonctionnelle pour P250 3P</t>
  </si>
  <si>
    <t>851.03€</t>
  </si>
  <si>
    <t>UCSX200B4P</t>
  </si>
  <si>
    <t>Kit Sx bloc de connection aval IS233 pour unité fonctionnelle pour P250 4P</t>
  </si>
  <si>
    <t>1072.97€</t>
  </si>
  <si>
    <t>UCSX262B3</t>
  </si>
  <si>
    <t>Kit Sx unité fonctionnelle mobile pour P250 3P IS233</t>
  </si>
  <si>
    <t>1060.98€</t>
  </si>
  <si>
    <t>UCSX262B4</t>
  </si>
  <si>
    <t>Kit Sx unité fonctionnelle mobile pour P250 4P IS233</t>
  </si>
  <si>
    <t>1303.155€</t>
  </si>
  <si>
    <t>UCSX262B4R</t>
  </si>
  <si>
    <t>Kit Sx unité fonctionnelle mobile pour P250 4P IS233 avec bloc différentiel</t>
  </si>
  <si>
    <t>UCSX300B3P</t>
  </si>
  <si>
    <t>Kit Sx bloc de connection aval IS233 pour unité fonctionnelle pour x630 P630 3P</t>
  </si>
  <si>
    <t>1182.44€</t>
  </si>
  <si>
    <t>UCSX300B4P</t>
  </si>
  <si>
    <t>Kit Sx bloc de connection aval IS233 pour unité fonctionnelle pour x630 P630 4P</t>
  </si>
  <si>
    <t>1497.355€</t>
  </si>
  <si>
    <t>UCSX463B3</t>
  </si>
  <si>
    <t>Kit Sx unité fonctionnelle mobile pour x630 et P630 3P IS233</t>
  </si>
  <si>
    <t>1459.86€</t>
  </si>
  <si>
    <t>UCSX463B4</t>
  </si>
  <si>
    <t>Kit Sx unité fonctionnelle mobile pour x630 et P630 4P IS233</t>
  </si>
  <si>
    <t>1765.77€</t>
  </si>
  <si>
    <t>UCSX463B4R</t>
  </si>
  <si>
    <t>Kit Sx unité fonctionnelle mobile pour x630 et P630 4P IS233 avec bloc diff</t>
  </si>
  <si>
    <t>WXD000H</t>
  </si>
  <si>
    <t>Enjoliveur inter ou BP 2M gallery antibacterien</t>
  </si>
  <si>
    <t xml:space="preserve">HAMGNM10 </t>
  </si>
  <si>
    <t>GALLERY ENJOLIVEURS ANTIBACTERIEN</t>
  </si>
  <si>
    <t>2.676€</t>
  </si>
  <si>
    <t>WXD001H</t>
  </si>
  <si>
    <t>Enjoliveur inter ou BP voyant 2M gallery antibacterien</t>
  </si>
  <si>
    <t>8.118€</t>
  </si>
  <si>
    <t>WXD010H</t>
  </si>
  <si>
    <t>Enjoliveur inter ou BP 1M gallery antibacterien</t>
  </si>
  <si>
    <t>2.724€</t>
  </si>
  <si>
    <t>WXD011H</t>
  </si>
  <si>
    <t>Enjoliveur inter ou BP voyant 1M gallery antibacterien</t>
  </si>
  <si>
    <t>4.434€</t>
  </si>
  <si>
    <t>WXD100H</t>
  </si>
  <si>
    <t>Enjoliveur PC 2P+T gallery antibacterien</t>
  </si>
  <si>
    <t>2.664€</t>
  </si>
  <si>
    <t>WXD103H</t>
  </si>
  <si>
    <t>Enjoliveur PC 2P+T voyant gallery antibacterien</t>
  </si>
  <si>
    <t>6.12€</t>
  </si>
  <si>
    <t>WXD201H</t>
  </si>
  <si>
    <t>Enjoliveur prise RJ45 1M gallery antibacterien</t>
  </si>
  <si>
    <t>2.154€</t>
  </si>
  <si>
    <t>WXD202H</t>
  </si>
  <si>
    <t>Enjoliveur prise RJ45 2M gallery antibacterien</t>
  </si>
  <si>
    <t>WXD251H</t>
  </si>
  <si>
    <t>Enjoliveur prise TV 2M gallery antibacterien</t>
  </si>
  <si>
    <t>2.712€</t>
  </si>
  <si>
    <t>WXD259H</t>
  </si>
  <si>
    <t>Enjoliveur prise double F 2M gallery antibactérien</t>
  </si>
  <si>
    <t>WXD300H</t>
  </si>
  <si>
    <t>Enjoliveur inter volet roulant gallery antibacterien</t>
  </si>
  <si>
    <t>8.346€</t>
  </si>
  <si>
    <t>WXD301H</t>
  </si>
  <si>
    <t>Enjoliveur BP volet roulant gallery antibacterien</t>
  </si>
  <si>
    <t>WXF688H</t>
  </si>
  <si>
    <t>Obturateur gallery 1 module pure antibacterien</t>
  </si>
  <si>
    <t>WXF689H</t>
  </si>
  <si>
    <t>Obturateur gallery 2 modules pure antibacterien</t>
  </si>
  <si>
    <t>4.476€</t>
  </si>
  <si>
    <t>WXP9902</t>
  </si>
  <si>
    <t>Plaque gallery plastique injecté 1 poste pure antibacterien</t>
  </si>
  <si>
    <t xml:space="preserve">HAMGOM10 </t>
  </si>
  <si>
    <t>GALLERY PLAQUES ANTIBACTERIEN</t>
  </si>
  <si>
    <t>4.974€</t>
  </si>
  <si>
    <t>WXP9904</t>
  </si>
  <si>
    <t>Plaque gallery plastique injecté 4 modules entraxe 71mm pure antibacterien</t>
  </si>
  <si>
    <t>14.844€</t>
  </si>
  <si>
    <t>WXP9908</t>
  </si>
  <si>
    <t>Plaque gallery plastique injecté 8 modules entraxe 71mm pure antibacterien</t>
  </si>
  <si>
    <t>19.794€</t>
  </si>
  <si>
    <t>WXP9912</t>
  </si>
  <si>
    <t>Plaque gallery plastique injecté 2 postes horizontale 71mm pure antibacterien</t>
  </si>
  <si>
    <t>9.912€</t>
  </si>
  <si>
    <t>WXP9913</t>
  </si>
  <si>
    <t>Plaque gallery plastique injecté 3 postes horizontale 71mm pure antibacterien</t>
  </si>
  <si>
    <t>WXP9914</t>
  </si>
  <si>
    <t>Plaque gallery plastique injecté 4 postes horizontale 71mm pure antibacterien</t>
  </si>
  <si>
    <t>WXP9986</t>
  </si>
  <si>
    <t>Plaque gallery plastique injecté 2x3x2 modules pure antibacterien</t>
  </si>
  <si>
    <t>60.468€</t>
  </si>
  <si>
    <t>WXP9996</t>
  </si>
  <si>
    <t>Plaque gallery plastique injecté 8 modules + 8 modules pure antibacterien</t>
  </si>
  <si>
    <t>82.08€</t>
  </si>
  <si>
    <t>XEV1R22T2</t>
  </si>
  <si>
    <t>La borne de recharge witty share IP55 IK10 OCPP d\'une puissance maximale de 22kW (32A) est équipée d\'une prise T2S et d\'un lecteur RFID. Elle communique en Ethernet ou en WiFi. Elle peut être complétée avec compteur MID et modem.</t>
  </si>
  <si>
    <t xml:space="preserve">HAEBAM15 </t>
  </si>
  <si>
    <t>E MOBILITE TERTIAIRE WITTY SHARE</t>
  </si>
  <si>
    <t>1232.718€</t>
  </si>
  <si>
    <t>XEV1R22T2TE</t>
  </si>
  <si>
    <t>La borne de recharge witty share IP55 IK10 OCPP d\'une puissance maximale de 22kW (32A) est équipée d\'une prise T2S. TE et d\'un lecteur RFID. Elle communique en Ethernet ou en WiFi. Elle peut être complétée avec compteur MID et modem.</t>
  </si>
  <si>
    <t>1310.544€</t>
  </si>
  <si>
    <t>XEV1R07T2M1</t>
  </si>
  <si>
    <t>Witty share borne de charge IP55 1x7kW 1P T2+RFID+OCPP+MID</t>
  </si>
  <si>
    <t>1245.174€</t>
  </si>
  <si>
    <t>XEV1R22T2M3</t>
  </si>
  <si>
    <t>EVCS witty 1x22kW 3P T2 MID 3P</t>
  </si>
  <si>
    <t>1270.074€</t>
  </si>
  <si>
    <t>SPB008D</t>
  </si>
  <si>
    <t>Cartouche L-N Uc 275 In 2kA Imax 8kA Up 1kV</t>
  </si>
  <si>
    <t xml:space="preserve">HATPFM03 </t>
  </si>
  <si>
    <t>PARAFOUDRES</t>
  </si>
  <si>
    <t>78.1052€</t>
  </si>
  <si>
    <t>SPB013</t>
  </si>
  <si>
    <t>Cartouches pour parafoudre de type 2 Imax 40Ka. La cartouche permet un remplacement aisé si nécessaire notamment avec sa fenêtre de visualisation et son détrompage évitant les erreurs lors d\'un remplacement.</t>
  </si>
  <si>
    <t>103.3204€</t>
  </si>
  <si>
    <t>SPB015D</t>
  </si>
  <si>
    <t>Cartouche L-N Uc 275V In 5kA Imax 15kA Up 1kV</t>
  </si>
  <si>
    <t>85.9914€</t>
  </si>
  <si>
    <t>SPB040D</t>
  </si>
  <si>
    <t>Cartouche L-N Uc 275V In 20kA Imax 40kA Up 1.35kV</t>
  </si>
  <si>
    <t>108.9835€</t>
  </si>
  <si>
    <t>SPB040N</t>
  </si>
  <si>
    <t>Cartouche N-PE In 20kA Imax 40kA</t>
  </si>
  <si>
    <t>86.6278€</t>
  </si>
  <si>
    <t>SPB065N</t>
  </si>
  <si>
    <t>Cartouche N-PE In 20kA Imax 65kA</t>
  </si>
  <si>
    <t>113.5501€</t>
  </si>
  <si>
    <t>SPB065R</t>
  </si>
  <si>
    <t>Cartouche L-N Uc 320V In 20kA Imax 65kA Up 1.35kV</t>
  </si>
  <si>
    <t>219.3559€</t>
  </si>
  <si>
    <t>SPB113</t>
  </si>
  <si>
    <t>Parafoudre 1P débrochable 40kA voy.</t>
  </si>
  <si>
    <t>113.3738€</t>
  </si>
  <si>
    <t>SPB208D</t>
  </si>
  <si>
    <t>Parafoudre 2P TNS/TT Uc 275V In 2 kA Imax 8 kA Up 1kV</t>
  </si>
  <si>
    <t>157.0532€</t>
  </si>
  <si>
    <t>SPB215R</t>
  </si>
  <si>
    <t>Parafoudre 2P T2 TNS/TT Uc 275V In 5kA Imax 15kA telesignalisation</t>
  </si>
  <si>
    <t>192.0251€</t>
  </si>
  <si>
    <t>SPB240R</t>
  </si>
  <si>
    <t>Parafoudre 2P T2 TNS/TT Uc 275V In 20kA Imax 40kA telesignalisation</t>
  </si>
  <si>
    <t>219.257€</t>
  </si>
  <si>
    <t>SPB265R</t>
  </si>
  <si>
    <t>Parafoudre 2P T2 TNS/TT Uc 320V In 20kA Imax 65kA telesignalisation</t>
  </si>
  <si>
    <t>512.6804€</t>
  </si>
  <si>
    <t>SPB408D</t>
  </si>
  <si>
    <t>Parafoudre 4P TNS/TT Uc 275V In 2 kA Imax 8 kA Up 1kV</t>
  </si>
  <si>
    <t>256.7358€</t>
  </si>
  <si>
    <t>SPB415R</t>
  </si>
  <si>
    <t>Parafoudre 4P T2 TNS/TT Uc 275V In 5kA Imax 15kA telesignalisation</t>
  </si>
  <si>
    <t>369.0518€</t>
  </si>
  <si>
    <t>SPB440R</t>
  </si>
  <si>
    <t>Parafoudre 4P T2 TNS/TT Uc 275V In 20kA Imax 40kA telesignalisation</t>
  </si>
  <si>
    <t>462.7703€</t>
  </si>
  <si>
    <t>SPB465R</t>
  </si>
  <si>
    <t>Parafoudre 4P T2 TNS/TT Uc 320V In 20kA Imax 65kA telesignalisation</t>
  </si>
  <si>
    <t>785.4122€</t>
  </si>
  <si>
    <t>SPV040</t>
  </si>
  <si>
    <t>Cartouche T2 1P photovoltaïque +/ - pour SPV340</t>
  </si>
  <si>
    <t>84.3746€</t>
  </si>
  <si>
    <t>SPV340</t>
  </si>
  <si>
    <t>Parafoudre T2 3P 40kA photovoltaïque</t>
  </si>
  <si>
    <t>254.5772€</t>
  </si>
  <si>
    <t>SPA001N</t>
  </si>
  <si>
    <t>Cartouche N-PE Uc 350V Iimp 100kA Up 1.5kV</t>
  </si>
  <si>
    <t>339.8935€</t>
  </si>
  <si>
    <t>SPA081</t>
  </si>
  <si>
    <t>Cartouche L-N/PEN Uc 350V Iimp 25kA Up 1.5kV pour SPA80x</t>
  </si>
  <si>
    <t>308.9851€</t>
  </si>
  <si>
    <t>SPA800</t>
  </si>
  <si>
    <t>Parafoudre T1+T2 3P 25kA TNC contact</t>
  </si>
  <si>
    <t>1081.4414€</t>
  </si>
  <si>
    <t>SPA801</t>
  </si>
  <si>
    <t>Parafoudre T1+T2 4P 25kA TNS/TT contact</t>
  </si>
  <si>
    <t>1390.4179€</t>
  </si>
  <si>
    <t>KBN380</t>
  </si>
  <si>
    <t>Barre de pontage 3P pour SPA180</t>
  </si>
  <si>
    <t>12.9086€</t>
  </si>
  <si>
    <t>KBN381</t>
  </si>
  <si>
    <t>Barre de pontage 3P+N 35mm² 90° SPA180N</t>
  </si>
  <si>
    <t>28.3843€</t>
  </si>
  <si>
    <t>KBN480</t>
  </si>
  <si>
    <t>Barre de pontage 4P pour SPA180</t>
  </si>
  <si>
    <t>18.0643€</t>
  </si>
  <si>
    <t>SPA080</t>
  </si>
  <si>
    <t>Cartouche T1+T2 Iimp 25kA Up 1.5kV</t>
  </si>
  <si>
    <t>361.0882€</t>
  </si>
  <si>
    <t>SPA180</t>
  </si>
  <si>
    <t>Parafoudre T1+T2 1P 25kA contact+fusible</t>
  </si>
  <si>
    <t>490.0495€</t>
  </si>
  <si>
    <t>SPA180N</t>
  </si>
  <si>
    <t>Parafoudre T1+T2 1P N-PE 100kA cont+fus</t>
  </si>
  <si>
    <t>386.8839€</t>
  </si>
  <si>
    <t>SPA212</t>
  </si>
  <si>
    <t>Parafoudre T1+T2+T3 2P 12.5kA TNS/TT</t>
  </si>
  <si>
    <t>283.7183€</t>
  </si>
  <si>
    <t>SPA312</t>
  </si>
  <si>
    <t>Parafoudre T1+T2+T3 3P 12.5kA TN-C</t>
  </si>
  <si>
    <t>438.4667€</t>
  </si>
  <si>
    <t>SPA412</t>
  </si>
  <si>
    <t>Parafoudre T1+T2+T3 4P 12.5kA TNS/TT</t>
  </si>
  <si>
    <t>541.6366€</t>
  </si>
  <si>
    <t>SPB715D</t>
  </si>
  <si>
    <t>Parafoudre T2 2P auto-protégé 15KA voy</t>
  </si>
  <si>
    <t>128.9656€</t>
  </si>
  <si>
    <t>SPB815D</t>
  </si>
  <si>
    <t>Paraf T2  4P auto-protégé 15KA voy</t>
  </si>
  <si>
    <t>216.6598€</t>
  </si>
  <si>
    <t>WE521</t>
  </si>
  <si>
    <t>La plaque de finition WE521. 1 poste Anthracite fait partie de la gamme Essensya. Cette plaque mesure 80 x 80 mm. Elle permet une finition et une couverture parfaite sur le mur.</t>
  </si>
  <si>
    <t xml:space="preserve">HAMDPM15 </t>
  </si>
  <si>
    <t>APPAREILLAGE MURAL ESSENSYA</t>
  </si>
  <si>
    <t>3.642€</t>
  </si>
  <si>
    <t>WE522</t>
  </si>
  <si>
    <t>La plaque de finition WE522. 2 postes Anthracite fait partie de la gamme Essensya. Cette plaque mesure 80 x 150 mm. Elle permet une finition et une couverture parfaite sur le mur.</t>
  </si>
  <si>
    <t>7.104€</t>
  </si>
  <si>
    <t>WE523</t>
  </si>
  <si>
    <t>La plaque de finition WE523. 3 postes Anthracite fait partie de la gamme Essensya. Cette plaque mesure 80 x 220 mm. Elle permet une finition et une couverture parfaite sur le mur.</t>
  </si>
  <si>
    <t>10.566€</t>
  </si>
  <si>
    <t>WE524</t>
  </si>
  <si>
    <t>La plaque de finition WE524. 4 postes Anthracite fait partie de la gamme Essensya. Cette plaque mesure 80 x 295 mm. Elle permet une finition et une couverture parfaite sur le mur.</t>
  </si>
  <si>
    <t>14.076€</t>
  </si>
  <si>
    <t>WE526</t>
  </si>
  <si>
    <t>Plaque 2 postes Essensya E57 Anthracite</t>
  </si>
  <si>
    <t>9.57€</t>
  </si>
  <si>
    <t>WE527</t>
  </si>
  <si>
    <t>Plaque 3 postes Essensya E57 Anthracite</t>
  </si>
  <si>
    <t>17.076€</t>
  </si>
  <si>
    <t>WE531</t>
  </si>
  <si>
    <t>Plaque 1 poste essensya Riviera</t>
  </si>
  <si>
    <t>WE532</t>
  </si>
  <si>
    <t>Plaque 2 postes essensya réversible entraxe 71 Riviera</t>
  </si>
  <si>
    <t>9.822€</t>
  </si>
  <si>
    <t>WE533</t>
  </si>
  <si>
    <t>Plaque 3 postes essensya réversible entraxe 71 Riviera</t>
  </si>
  <si>
    <t>WE534</t>
  </si>
  <si>
    <t>Plaque 4 postes essensya réversible entraxe 71 Riviera</t>
  </si>
  <si>
    <t>23.448€</t>
  </si>
  <si>
    <t>WE536</t>
  </si>
  <si>
    <t>Plaque 2 postes essensya réversible entraxe 57 Riviera</t>
  </si>
  <si>
    <t>11.142€</t>
  </si>
  <si>
    <t>WE537</t>
  </si>
  <si>
    <t>Plaque 3 postes essensya réversible entraxe 57 Riviera</t>
  </si>
  <si>
    <t>19.884€</t>
  </si>
  <si>
    <t>WE541</t>
  </si>
  <si>
    <t>Plaque 1 poste essensya Botanic</t>
  </si>
  <si>
    <t>WE542</t>
  </si>
  <si>
    <t>Plaque 2 postes essensya réversible entraxe 71 Botanic</t>
  </si>
  <si>
    <t>WE543</t>
  </si>
  <si>
    <t>Plaque 3 postes essensya réversible entraxe 71 Botanic</t>
  </si>
  <si>
    <t>WE544</t>
  </si>
  <si>
    <t>Plaque 4 postes essensya réversible entraxe 71 Botanic</t>
  </si>
  <si>
    <t>WE546</t>
  </si>
  <si>
    <t>Plaque 2 postes essensya réversible entraxe 57 Botanic</t>
  </si>
  <si>
    <t>WE547</t>
  </si>
  <si>
    <t>Plaque 3 postes essensya réversible entraxe 57 Botanic</t>
  </si>
  <si>
    <t>WE551</t>
  </si>
  <si>
    <t>Plaque 1 poste essensya Coral</t>
  </si>
  <si>
    <t>WE552</t>
  </si>
  <si>
    <t>Plaque 2 postes essensya réversible entraxe 71 Coral</t>
  </si>
  <si>
    <t>WE553</t>
  </si>
  <si>
    <t>Plaque 3 postes essensya réversible entraxe 71 Coral</t>
  </si>
  <si>
    <t>WE554</t>
  </si>
  <si>
    <t>Plaque 4 postes essensya réversible entraxe 71 Coral</t>
  </si>
  <si>
    <t>WE556</t>
  </si>
  <si>
    <t>Plaque 2 postes essensya réversible entraxe 57 Coral</t>
  </si>
  <si>
    <t>WE557</t>
  </si>
  <si>
    <t>Plaque 3 postes essensya réversible entraxe 57 Coral</t>
  </si>
  <si>
    <t>WE561</t>
  </si>
  <si>
    <t>Plaque 1 poste essensya Sierra</t>
  </si>
  <si>
    <t>WE562</t>
  </si>
  <si>
    <t>Plaque 2 postes essensya réversible entraxe 71 Sierra</t>
  </si>
  <si>
    <t>WE563</t>
  </si>
  <si>
    <t>Plaque 3 postes essensya réversible entraxe 71 Sierra</t>
  </si>
  <si>
    <t>WE564</t>
  </si>
  <si>
    <t>Plaque 4 postes essensya réversible entraxe 71 Sierra</t>
  </si>
  <si>
    <t>WE566</t>
  </si>
  <si>
    <t>Plaque 2 postes essensya réversible entraxe 57 Sierra</t>
  </si>
  <si>
    <t>WE567</t>
  </si>
  <si>
    <t>Plaque 3 postes essensya réversible entraxe 57 Sierra</t>
  </si>
  <si>
    <t>WE571</t>
  </si>
  <si>
    <t>Plaque 1 poste essensya Terra</t>
  </si>
  <si>
    <t>WE572</t>
  </si>
  <si>
    <t>Plaque 2 postes essensya réversible entraxe 71 Terra</t>
  </si>
  <si>
    <t>WE573</t>
  </si>
  <si>
    <t>Plaque 3 postes essensya réversible entraxe 71 Terra</t>
  </si>
  <si>
    <t>WE574</t>
  </si>
  <si>
    <t>Plaque 4 postes essensya réversible entraxe 71 Terra</t>
  </si>
  <si>
    <t>WE576</t>
  </si>
  <si>
    <t>Plaque 2 postes essensya réversible entraxe 57 Terra</t>
  </si>
  <si>
    <t>WE577</t>
  </si>
  <si>
    <t>Plaque 3 postes essensya réversible entraxe 57 Terra</t>
  </si>
  <si>
    <t>HW1C3EH</t>
  </si>
  <si>
    <t>Châssis HW1 3P (CHA)</t>
  </si>
  <si>
    <t xml:space="preserve">HATREM15 </t>
  </si>
  <si>
    <t>DISJONCTEURS OUVERTS ACCESSOIRE HW+</t>
  </si>
  <si>
    <t>811.2208€</t>
  </si>
  <si>
    <t>HW1C4EH</t>
  </si>
  <si>
    <t>Châssis HW1 4P (CHA)</t>
  </si>
  <si>
    <t>963.3247€</t>
  </si>
  <si>
    <t>HWW451H</t>
  </si>
  <si>
    <t>Déclencheur électronique version Sentinel LSI pour disjoncteur de la gamme HW+</t>
  </si>
  <si>
    <t>1216.8269€</t>
  </si>
  <si>
    <t>HWW466H</t>
  </si>
  <si>
    <t>Calibreur In= 800A</t>
  </si>
  <si>
    <t>25.3528€</t>
  </si>
  <si>
    <t>HWW467H</t>
  </si>
  <si>
    <t>Calibreur In= 1000A</t>
  </si>
  <si>
    <t>HWW468H</t>
  </si>
  <si>
    <t>Calibreur In= 1250A</t>
  </si>
  <si>
    <t>HWW469H</t>
  </si>
  <si>
    <t>Calibreur In= 1600A</t>
  </si>
  <si>
    <t>HWX001H</t>
  </si>
  <si>
    <t>Moteur de rechargement des ressorts 24V AC 50/60Hz pour disjoncteur ou interrupteur HW1 de la gamme HW+</t>
  </si>
  <si>
    <t>912.6234€</t>
  </si>
  <si>
    <t>HWX002H</t>
  </si>
  <si>
    <t>Moteur de rechargement des ressorts 48-60V AC 50/60Hz pour disjoncteur ou interrupteur HW1 de la gamme HW+</t>
  </si>
  <si>
    <t>HWX004H</t>
  </si>
  <si>
    <t>Moteur de rechargement des ressorts 200-250V AC 50/60Hz pour disjoncteur ou interrupteur HW1 de la gamme HW+</t>
  </si>
  <si>
    <t>HWX020H</t>
  </si>
  <si>
    <t>Bobine à émission 24-30V AC/DC pour disjoncteur ou interrupteur de la gamme HW+</t>
  </si>
  <si>
    <t>218.0229€</t>
  </si>
  <si>
    <t>HWX021H</t>
  </si>
  <si>
    <t>Bobine à émission 48-60V AC/DC pour disjoncteur ou interrupteur de la gamme HW+</t>
  </si>
  <si>
    <t>HWX023H</t>
  </si>
  <si>
    <t>Bobine à émission 200-250V AC/DC pour disjoncteur ou interrupteur de la gamme HW+</t>
  </si>
  <si>
    <t>HWX025H</t>
  </si>
  <si>
    <t>Bobine à fermeture 24-30V AC/DC pour disjoncteur ou interrupteur de la gamme HW+</t>
  </si>
  <si>
    <t>HWX026H</t>
  </si>
  <si>
    <t>Bobine à fermeture 48-60V AC/DC pour disjoncteur ou interrupteur de la gamme HW+</t>
  </si>
  <si>
    <t>HWX028H</t>
  </si>
  <si>
    <t>Bobine à fermeture 200-250V AC/DC pour disjoncteur ou interrupteur de la gamme HW+</t>
  </si>
  <si>
    <t>HWX030H</t>
  </si>
  <si>
    <t>Bobine à manque de tension 24-30V AC/DC pour disjoncteur ou interrupteur de la gamme HW+</t>
  </si>
  <si>
    <t>HWX031H</t>
  </si>
  <si>
    <t>Bobine à manque de tension 48-60V AC/DC pour disjoncteur ou interrupteur de la gamme HW+</t>
  </si>
  <si>
    <t>HWX033H</t>
  </si>
  <si>
    <t>Bobine à manque de tension 200-250V AC/DC pour disjoncteur ou interrupteur de la gamme HW+</t>
  </si>
  <si>
    <t>HWX040H</t>
  </si>
  <si>
    <t>Contact auxiliaire HW1 (AX)</t>
  </si>
  <si>
    <t>38.0335€</t>
  </si>
  <si>
    <t>HWX041H</t>
  </si>
  <si>
    <t>Contact auxiliaire bas niveau pour disjoncteur ou interrupteur HW1 de la gamme HW+</t>
  </si>
  <si>
    <t>50.7056€</t>
  </si>
  <si>
    <t>HWX047H</t>
  </si>
  <si>
    <t>Contact Défaut Déclenchement pour disjoncteur ou interrupteur de la gamme HW+</t>
  </si>
  <si>
    <t>40.5619€</t>
  </si>
  <si>
    <t>HWX050H</t>
  </si>
  <si>
    <t>Contact de position (PS)</t>
  </si>
  <si>
    <t>36.2232€</t>
  </si>
  <si>
    <t>HWX051H</t>
  </si>
  <si>
    <t>Contact de position bas niveau pour disjoncteur ou interrupteur de la gamme HW+</t>
  </si>
  <si>
    <t>202.8095€</t>
  </si>
  <si>
    <t>HWX057H</t>
  </si>
  <si>
    <t>Capteur de position communiquant  pour disjoncteur ou interrupteur HW1 de la gamme HW+  en version Débrochable</t>
  </si>
  <si>
    <t>304.2121€</t>
  </si>
  <si>
    <t>HWX070H</t>
  </si>
  <si>
    <t>Compteur de cycles ON/OFF HW1 pour disjoncteur ou interrupteur HW1 de la gamme HW+</t>
  </si>
  <si>
    <t>228.1623€</t>
  </si>
  <si>
    <t>HWX090H</t>
  </si>
  <si>
    <t>OAC pour HW+</t>
  </si>
  <si>
    <t>HWX091H</t>
  </si>
  <si>
    <t>Contact prêt à fermer HW1 pour disjoncteur ou interrupteur HW1 de la gamme HW+</t>
  </si>
  <si>
    <t>126.7554€</t>
  </si>
  <si>
    <t>HWX190H</t>
  </si>
  <si>
    <t>Aucun OAC factice</t>
  </si>
  <si>
    <t>0.5117€</t>
  </si>
  <si>
    <t>HWX701H</t>
  </si>
  <si>
    <t>Moteur de rechargement des ressorts 24V DC pour disjoncteur ou interrupteur HW1 de la gamme HW+</t>
  </si>
  <si>
    <t>HWX702H</t>
  </si>
  <si>
    <t>Moteur de rechargement des ressorts 48-60V DC pour disjoncteur ou interrupteur HW1 de la gamme HW+</t>
  </si>
  <si>
    <t>HWY040H</t>
  </si>
  <si>
    <t>Prises Avant - haut/bas - pour disjoncteur ou interrupteur HW1 de la gamme HW+ en version 3 Pôles Fixe</t>
  </si>
  <si>
    <t>190.1331€</t>
  </si>
  <si>
    <t>HWY041H</t>
  </si>
  <si>
    <t>Prises Avant - haut/bas - pour disjoncteur ou interrupteur HW1 de la gamme HW+ en version 4 Pôles Fixe</t>
  </si>
  <si>
    <t>253.5108€</t>
  </si>
  <si>
    <t>HWY044H</t>
  </si>
  <si>
    <t>Prises Avant - haut/bas - pour disjoncteur ou interrupteur HW1 de la gamme HW+ en version 3 Pôles Débrochable</t>
  </si>
  <si>
    <t>HWY045H</t>
  </si>
  <si>
    <t>Prises Avant - haut/bas - pour disjoncteur ou interrupteur HW1 de la gamme HW+ en version 4 Pôles Débrochable</t>
  </si>
  <si>
    <t>HWY046H</t>
  </si>
  <si>
    <t>Prises Avant - bas.court - pour disjoncteur ou interrupteur HW1 de la gamme HW+ en version 3 Pôles Débrochable</t>
  </si>
  <si>
    <t>HWY047H</t>
  </si>
  <si>
    <t>Prises Avant - bas.court - pour disjoncteur ou interrupteur HW1 de la gamme HW+ en version 4 Pôles Débrochable</t>
  </si>
  <si>
    <t>HWY048H</t>
  </si>
  <si>
    <t>Prises Arrière - haut/bas - pour disjoncteur ou interrupteur HW1 de la gamme HW+ en version 3 Pôles</t>
  </si>
  <si>
    <t>HWY049H</t>
  </si>
  <si>
    <t>Prises Arrière - haut/bas - pour disjoncteur ou interrupteur HW1 de la gamme HW+ en version 4 Pôles</t>
  </si>
  <si>
    <t>HWY089H</t>
  </si>
  <si>
    <t>Capot Bouton Poussoir pour condanation par cadenas pour disjoncteur ou interrupteur HW1 de la gamme HW+</t>
  </si>
  <si>
    <t>177.461€</t>
  </si>
  <si>
    <t>HWY095H</t>
  </si>
  <si>
    <t>Capot Bornier de Commande pour disjoncteur ou interrupteur HW1 de la gamme HW+ en version 3 Pôles Débrochable</t>
  </si>
  <si>
    <t>70.9887€</t>
  </si>
  <si>
    <t>HWY096H</t>
  </si>
  <si>
    <t>Capot Bornier de Commande pour disjoncteur ou interrupteur HW1 de la gamme HW+  en version 4 Pôles Débrochable</t>
  </si>
  <si>
    <t>101.4069€</t>
  </si>
  <si>
    <t>HWY260H</t>
  </si>
  <si>
    <t>Adaptateur verrouillage en position OFF par clé  Ronis ou Profalux ou Kirk pour disjoncteur ou interrupteur HW1 de la gamme HW+</t>
  </si>
  <si>
    <t>HWY269H</t>
  </si>
  <si>
    <t>Verrouillage en position OFF pour cadenas pour disjoncteur ou interrupteur HW1 de la gamme HW+</t>
  </si>
  <si>
    <t>HWY270H</t>
  </si>
  <si>
    <t>Adaptateur verrouillage châssis pour serrure Ronis pour disjoncteur ou interrupteur HW1 de la gamme HW+</t>
  </si>
  <si>
    <t>38.6312€</t>
  </si>
  <si>
    <t>HWY360H</t>
  </si>
  <si>
    <t>Sans verrouillage bouton OFF</t>
  </si>
  <si>
    <t>3.5604€</t>
  </si>
  <si>
    <t>HWY370H</t>
  </si>
  <si>
    <t>Verrouillage en position débroché pour disjoncteur ou interrupteur HW1 de la gamme HW+</t>
  </si>
  <si>
    <t>12.6807€</t>
  </si>
  <si>
    <t>HWY950H</t>
  </si>
  <si>
    <t>Connecteur type A pour les contacts auxilliaires. la motorisation. les contacts de défaut. le contact \Prêt à fermer\". la bobine à manque. la bobine à émission ou la bobine à fermeture pour disjoncteur ou interrupteur HW1 de la gamme HW+"</t>
  </si>
  <si>
    <t>HWY951H</t>
  </si>
  <si>
    <t>Connecteur type B pour déclencheur Sentinel LSI et Sentinel Energy pour disjoncteur ou interrupteur HW1 de la gamme HW+</t>
  </si>
  <si>
    <t>20.2831€</t>
  </si>
  <si>
    <t>HWY952H</t>
  </si>
  <si>
    <t>Connecteur type C  pour ZSI. OAC pour disjoncteur ou interrupteur HW1 de la gamme HW+</t>
  </si>
  <si>
    <t>HWY958H</t>
  </si>
  <si>
    <t>Écran chambre de coupure 3P</t>
  </si>
  <si>
    <t>60.845€</t>
  </si>
  <si>
    <t>HWY959H</t>
  </si>
  <si>
    <t>Écran chambre de coupure 4P</t>
  </si>
  <si>
    <t>81.1238€</t>
  </si>
  <si>
    <t>HWY965H</t>
  </si>
  <si>
    <t>Module de communication Modbus RTU pour disjoncteur sentinel Energy de la gamme HW+</t>
  </si>
  <si>
    <t>HWY966H</t>
  </si>
  <si>
    <t>Module de communication Modbus TCP/IP pour disjoncteur sentinel Energy de la gamme HW+</t>
  </si>
  <si>
    <t>507.013€</t>
  </si>
  <si>
    <t>HW2C3SH</t>
  </si>
  <si>
    <t>Châssis HW2 3 Pôles (CHA)</t>
  </si>
  <si>
    <t>HW2C4SH</t>
  </si>
  <si>
    <t>Châssis HW2 4 Pôles (CHA)</t>
  </si>
  <si>
    <t>1622.4373€</t>
  </si>
  <si>
    <t>HWW470H</t>
  </si>
  <si>
    <t>Calibreur In= 2000A</t>
  </si>
  <si>
    <t>HWW471H</t>
  </si>
  <si>
    <t>Calibreur In= 2500A</t>
  </si>
  <si>
    <t>HWX011H</t>
  </si>
  <si>
    <t>Moteur de rechargement 24V AC 50/60Hz pour disjoncteur ou interrupteur HW2 ou HW4 de la gamme HW+</t>
  </si>
  <si>
    <t>1014.026€</t>
  </si>
  <si>
    <t>HWX012H</t>
  </si>
  <si>
    <t>Moteur de rechargement 48V AC 50/60Hz pour disjoncteur ou interrupteur HW2 ou HW4 de la gamme HW+</t>
  </si>
  <si>
    <t>HWX014H</t>
  </si>
  <si>
    <t>Moteur de rechargement 200-250V AC 50/60Hz pour disjoncteur ou interrupteur HW2 ou HW4 de la gamme HW+</t>
  </si>
  <si>
    <t>HWX015H</t>
  </si>
  <si>
    <t>Moteur de rechargement 380-400V AC 50/60Hz pour disjoncteur ou interrupteur HW2 ou HW4 de la gamme HW+</t>
  </si>
  <si>
    <t>HWX042H</t>
  </si>
  <si>
    <t>Contact auxiliaire HW2/4 (AX)</t>
  </si>
  <si>
    <t>HWX043H</t>
  </si>
  <si>
    <t>Contact auxiliaire bas niveau pour disjoncteur ou interrupteur HW2 ou HW4 de la gamme HW+</t>
  </si>
  <si>
    <t>HWX048H</t>
  </si>
  <si>
    <t>Contact Défaut Déclenchement pour disjoncteur ou interrupteur HW2 ou HW4 de la gamme HW+</t>
  </si>
  <si>
    <t>HWX071H</t>
  </si>
  <si>
    <t>Compteur de cycles ON/OFF HW2/4 pour disjoncteur ou interrupteur HW2 ou HW4 de la gamme HW+</t>
  </si>
  <si>
    <t>HWX092H</t>
  </si>
  <si>
    <t>Contact prêt à fermer pour disjoncteur ou interrupteur HW2 ou HW4 de la gamme HW+</t>
  </si>
  <si>
    <t>HWX711H</t>
  </si>
  <si>
    <t>Moteur de rechargement 24V DC pour disjoncteur ou interrupteur HW2 ou HW4 de la gamme HW+</t>
  </si>
  <si>
    <t>HWX712H</t>
  </si>
  <si>
    <t>Moteur de rechargement 48V DC pour disjoncteur ou interrupteur HW2 ou HW4 de la gamme HW+</t>
  </si>
  <si>
    <t>HWX714H</t>
  </si>
  <si>
    <t>Moteur de rechargement 200-250V DC pour disjoncteur ou interrupteur HW2 ou HW4 de la gamme HW+</t>
  </si>
  <si>
    <t>HWY090H</t>
  </si>
  <si>
    <t>Capot Bouton Poussoir pour condanation par cadenas pour disjoncteur ou interrupteur HW2-HW4 de la gamme HW+</t>
  </si>
  <si>
    <t>HWY097H</t>
  </si>
  <si>
    <t>Capot Bornier de Commande pour disjoncteur ou interrupteur HW2 de la gamme HW+ en version Fixe</t>
  </si>
  <si>
    <t>HWY098H</t>
  </si>
  <si>
    <t>Capot Bornier de Commande pour disjoncteur ou interrupteur HW2 de la gamme HW+ en version Débrochable</t>
  </si>
  <si>
    <t>HWY160H</t>
  </si>
  <si>
    <t>Prises Arrière - haut/bas - 66/100kA pour disjoncteur ou interrupteur HW2 3 pôles de la gamme HW+</t>
  </si>
  <si>
    <t>HWY161H</t>
  </si>
  <si>
    <t>Prises Arrière - haut/bas - 66/100kA pour disjoncteur ou interrupteur HW2 4 pôles de la gamme HW+</t>
  </si>
  <si>
    <t>405.6104€</t>
  </si>
  <si>
    <t>HWY261H</t>
  </si>
  <si>
    <t>Adaptateur verrouillage en position OFF par clé  Ronis ou Profalux ou Kirk pour disjoncteur ou interrupteur HW2 de la gamme HW+</t>
  </si>
  <si>
    <t>HWY265H</t>
  </si>
  <si>
    <t>Verrouillage en position OFF pour cadenas pour disjoncteur ou interrupteur HW2 ou HW4 de la gamme HW+</t>
  </si>
  <si>
    <t>HWY271H</t>
  </si>
  <si>
    <t>Adaptateur verrouillage châssis pour serrure Ronis pour disjoncteur ou interrupteur HW2 de la gamme HW+</t>
  </si>
  <si>
    <t>HWY362H</t>
  </si>
  <si>
    <t>Sans verrouillage bouton OFF pour disjoncteur ou interrupteur ouvert HW2 ou HW4 de la gamme HW+</t>
  </si>
  <si>
    <t>HWY371H</t>
  </si>
  <si>
    <t>Verrouillage en position débroché pour disjoncteur ou interrupteur HW2 ou HW4 de la gamme HW+</t>
  </si>
  <si>
    <t>12.5603€</t>
  </si>
  <si>
    <t>HWW453H</t>
  </si>
  <si>
    <t>Déclencheur électronique version sentinel Energy LSI pour disjoncteur de la gamme HW+</t>
  </si>
  <si>
    <t>1921.8119€</t>
  </si>
  <si>
    <t>HWW472H</t>
  </si>
  <si>
    <t>Calibreur In= 3200A</t>
  </si>
  <si>
    <t>HWW473H</t>
  </si>
  <si>
    <t>Calibreur In= 4000A</t>
  </si>
  <si>
    <t>HWW686H</t>
  </si>
  <si>
    <t>Calibreur In=  800A Harmonic</t>
  </si>
  <si>
    <t>352.4968€</t>
  </si>
  <si>
    <t>HWW687H</t>
  </si>
  <si>
    <t>Calibreur In=  1000A Harmonic</t>
  </si>
  <si>
    <t>HWW688H</t>
  </si>
  <si>
    <t>Calibreur In=  1250A Harmonic</t>
  </si>
  <si>
    <t>HWW689H</t>
  </si>
  <si>
    <t>Calibreur In=  1600A Harmonic</t>
  </si>
  <si>
    <t>HWW690H</t>
  </si>
  <si>
    <t>Calibreur In=  2000A Harmonic</t>
  </si>
  <si>
    <t>HWW691H</t>
  </si>
  <si>
    <t>Calibreur In=  2500A Harmonic</t>
  </si>
  <si>
    <t>HWW692H</t>
  </si>
  <si>
    <t>Calibreur In=  3200A Harmonic</t>
  </si>
  <si>
    <t>HWW693H</t>
  </si>
  <si>
    <t>Calibreur In=  4000A Harmonic</t>
  </si>
  <si>
    <t>HWW726H</t>
  </si>
  <si>
    <t>Calibreur In=  800A Ultimate</t>
  </si>
  <si>
    <t>883.65€</t>
  </si>
  <si>
    <t>HWW727H</t>
  </si>
  <si>
    <t>Calibreur In=  1000A Ultimate</t>
  </si>
  <si>
    <t>HWW728H</t>
  </si>
  <si>
    <t>Calibreur In=  1250A Ultimate</t>
  </si>
  <si>
    <t>HWW729H</t>
  </si>
  <si>
    <t>Calibreur In=  1600A Ultimate</t>
  </si>
  <si>
    <t>HWW730H</t>
  </si>
  <si>
    <t>Calibreur In=  2000A Ultimate</t>
  </si>
  <si>
    <t>HWW731H</t>
  </si>
  <si>
    <t>Calibreur In=  2500A Ultimate</t>
  </si>
  <si>
    <t>HWW732H</t>
  </si>
  <si>
    <t>Calibreur In=  3200A Ultimate</t>
  </si>
  <si>
    <t>HWW733H</t>
  </si>
  <si>
    <t>Calibreur In=  4000A Ultimate</t>
  </si>
  <si>
    <t>HWX058H</t>
  </si>
  <si>
    <t>Capteur de position communiquant pour disjoncteur ou interrupteur HW2 ou HW4 de la gamme HW+ en version Débrochable</t>
  </si>
  <si>
    <t>HWX060H</t>
  </si>
  <si>
    <t>Module d\'isolation (INS)</t>
  </si>
  <si>
    <t>76.2992€</t>
  </si>
  <si>
    <t>HWX062H</t>
  </si>
  <si>
    <t>Câble bobine pour communication pour disjoncteur équipé d\'un déclencheur sentinel Energy de la gamme HW+</t>
  </si>
  <si>
    <t>30.4268€</t>
  </si>
  <si>
    <t>HWY068H</t>
  </si>
  <si>
    <t>Prises Arrières - haut/bas - 85/120kA - 1000-2500A pour disjoncteur ou interrupteur HW4 3 pôles de la gamme HW+</t>
  </si>
  <si>
    <t>362.1546€</t>
  </si>
  <si>
    <t>HWY069H</t>
  </si>
  <si>
    <t>Prises Arrières - haut/bas - 85/120kA - 1000-2500A pour disjoncteur ou interrupteur HW4 4 pôles de la gamme HW+</t>
  </si>
  <si>
    <t>482.8728€</t>
  </si>
  <si>
    <t>HWY168H</t>
  </si>
  <si>
    <t>Prises Arrières - haut/bas - 85/120kA - 3200-4000A pour disjoncteur ou interrupteur HW4 3 pôles de la gamme HW+</t>
  </si>
  <si>
    <t>HWY169H</t>
  </si>
  <si>
    <t>Prises Arrières - haut/bas - 85/120kA - 3200-4000A pour disjoncteur ou interrupteur HW4 4 pôles de la gamme HW+</t>
  </si>
  <si>
    <t>HW4C3PH</t>
  </si>
  <si>
    <t>Châssis HW4 3 Pôles (CHA)</t>
  </si>
  <si>
    <t>1352.0275€</t>
  </si>
  <si>
    <t>HW4C4PH</t>
  </si>
  <si>
    <t>Châssis HW4 4 Pôles (CHA)</t>
  </si>
  <si>
    <t>1786.6113€</t>
  </si>
  <si>
    <t>HWX044H</t>
  </si>
  <si>
    <t>Contact auxiliaire HW+ fourni en standard HW2/4 (AX)</t>
  </si>
  <si>
    <t>HWX045H</t>
  </si>
  <si>
    <t>Contact auxiliaire bas niveau  pour disjoncteur ou interrupteur ouvert de la gamme HW+ fourni en standard HW2/4 (AX)</t>
  </si>
  <si>
    <t>HWX059H</t>
  </si>
  <si>
    <t>Capteur de position disjoncteur pour communication HW4/HW6 (PSE)</t>
  </si>
  <si>
    <t>96.578€</t>
  </si>
  <si>
    <t>HWY099H</t>
  </si>
  <si>
    <t>Capot protection Bornier HW4 Fixe (TBC)</t>
  </si>
  <si>
    <t>HWY100H</t>
  </si>
  <si>
    <t>Capot protection Bornier HW4 Débrochable (TBC)</t>
  </si>
  <si>
    <t>120.7225€</t>
  </si>
  <si>
    <t>HW1E308DB</t>
  </si>
  <si>
    <t>Disjoncteur Ouvert HW1 de la gamme HW+ avec un pouvoir de coupure de 66 kA et une intensité nominale de 800 A en version 3 Pôles Débrochable pour déclencheur Sentinel LSI</t>
  </si>
  <si>
    <t xml:space="preserve">HATRAM15 </t>
  </si>
  <si>
    <t>DISJONCTEURS OUVERTS HW1</t>
  </si>
  <si>
    <t>3480.7855€</t>
  </si>
  <si>
    <t>HW1E308FB</t>
  </si>
  <si>
    <t>Disjoncteur Ouvert HW1 de la gamme HW+ avec un pouvoir de coupure de 66 kA et une intensité nominale de 800 A en version 3 Pôles Fixe pour déclencheur Sentinel LSI</t>
  </si>
  <si>
    <t>HW1E310DB</t>
  </si>
  <si>
    <t>Disjoncteur Ouvert HW1 de la gamme HW+ avec un pouvoir de coupure de 66 kA et une intensité nominale de 1000A en version 3 Pôles Débrochable pour Déclencheur Sentinel LSI</t>
  </si>
  <si>
    <t>3955.4367€</t>
  </si>
  <si>
    <t>HW1E310FB</t>
  </si>
  <si>
    <t>Disjoncteur Ouvert HW1 de la gamme HW+ avec un pouvoir de coupure de 66 kA et une intensité nominale de 1000A en version 3 Pôles Fixe pour Déclencheur Sentinel LSI</t>
  </si>
  <si>
    <t>HW1E312DB</t>
  </si>
  <si>
    <t>Disjoncteur Ouvert HW1 de la gamme HW+ avec un pouvoir de coupure de 66 kA et une intensité nominale de 1250A en version 3 Pôles Débrochable pour Déclencheur Sentinel LSI</t>
  </si>
  <si>
    <t>4535.5669€</t>
  </si>
  <si>
    <t>HW1E312FB</t>
  </si>
  <si>
    <t>Disjoncteur Ouvert HW1 de la gamme HW+ avec un pouvoir de coupure de 66 kA et une intensité nominale de 1250A en version 3 Pôles Fixe pour Déclencheur Sentinel LSI</t>
  </si>
  <si>
    <t>HW1E316DB</t>
  </si>
  <si>
    <t>Disjoncteur Ouvert HW1 de la gamme HW+ avec un pouvoir de coupure de 66 kA et une intensité nominale de 1600A en version 3 Pôles Débrochable pour Déclencheur Sentinel LSI</t>
  </si>
  <si>
    <t>5379.3903€</t>
  </si>
  <si>
    <t>HW1E316FB</t>
  </si>
  <si>
    <t>Disjoncteur Ouvert HW1 de la gamme HW+ avec un pouvoir de coupure de 66 kA et une intensité nominale de 1600A en version 3 Pôles Fixe pour Déclencheur Sentinel LSI</t>
  </si>
  <si>
    <t>HW1E408DB</t>
  </si>
  <si>
    <t>Disjoncteur Ouvert HW1 de la gamme HW+ avec un pouvoir de coupure de 66 kA et une intensité nominale de 800 A en version 4 Pôles Débrochable pour Déclencheur Sentinel LSI</t>
  </si>
  <si>
    <t>4482.8274€</t>
  </si>
  <si>
    <t>HW1E408FB</t>
  </si>
  <si>
    <t>Disjoncteur Ouvert HW1 de la gamme HW+ avec un pouvoir de coupure de 66 kA et une intensité nominale de 800 A en version 4 Pôles Fixe pour Déclencheur Sentinel LSI</t>
  </si>
  <si>
    <t>HW1E410DB</t>
  </si>
  <si>
    <t>Disjoncteur Ouvert HW1 de la gamme HW+ avec un pouvoir de coupure de 66 kA et une intensité nominale de 1000A en version 4 Pôles Débrochable pour Déclencheur Sentinel LSI</t>
  </si>
  <si>
    <t>5115.6971€</t>
  </si>
  <si>
    <t>HW1E410FB</t>
  </si>
  <si>
    <t>Disjoncteur Ouvert HW1 de la gamme HW+ avec un pouvoir de coupure de 66 kA et une intensité nominale de 1000A en version 4 Pôles Fixe pour Déclencheur Sentinel LSI</t>
  </si>
  <si>
    <t>HW1E412DB</t>
  </si>
  <si>
    <t>Disjoncteur Ouvert HW1 de la gamme HW+ avec un pouvoir de coupure de 66 kA et une intensité nominale de 1250A en version 4 Pôles Débrochable pour Déclencheur Sentinel LSI</t>
  </si>
  <si>
    <t>5854.0415€</t>
  </si>
  <si>
    <t>HW1E412FB</t>
  </si>
  <si>
    <t>Disjoncteur Ouvert HW1 de la gamme HW+ avec un pouvoir de coupure de 66 kA et une intensité nominale de 1250A en version 4 Pôles Fixe pour Déclencheur Sentinel LSI</t>
  </si>
  <si>
    <t>HW1E416DB</t>
  </si>
  <si>
    <t>Disjoncteur Ouvert HW1 de la gamme HW+ avec un pouvoir de coupure de 66 kA et une intensité nominale de 1600A en version 4 Pôles Débrochable pour Déclencheur Sentinel LSI</t>
  </si>
  <si>
    <t>6908.8229€</t>
  </si>
  <si>
    <t>HW1E416FB</t>
  </si>
  <si>
    <t>Disjoncteur Ouvert HW1 de la gamme HW+ avec un pouvoir de coupure de 66 kA et une intensité nominale de 1600A en version 4 Pôles Fixe pour Déclencheur Sentinel LSI</t>
  </si>
  <si>
    <t>HW1M308DB</t>
  </si>
  <si>
    <t>Disjoncteur Ouvert HW1 de la gamme HW+ avec un pouvoir de coupure de 55 kA et une intensité nominale de 800 A en version 3 Pôles Débrochable pour Déclencheur Sentinel LSI</t>
  </si>
  <si>
    <t>2900.6553€</t>
  </si>
  <si>
    <t>HW1M308FB</t>
  </si>
  <si>
    <t>Disjoncteur Ouvert HW1 de la gamme HW+ avec un pouvoir de coupure de 55 kA et une intensité nominale de 800 A en version 3 Pôles Fixe pour Déclencheur Sentinel LSI</t>
  </si>
  <si>
    <t>HW1M310DB</t>
  </si>
  <si>
    <t>Disjoncteur Ouvert HW1 de la gamme HW+ avec un pouvoir de coupure de 55 kA et une intensité nominale de 1000A en version 3 Pôles Débrochable pour Déclencheur Sentinel LSI</t>
  </si>
  <si>
    <t>3322.567€</t>
  </si>
  <si>
    <t>HW1M310FB</t>
  </si>
  <si>
    <t>Disjoncteur Ouvert HW1 de la gamme HW+ avec un pouvoir de coupure de 55 kA et une intensité nominale de 1000A en version 3 Pôles Fixe pour Déclencheur Sentinel LSI</t>
  </si>
  <si>
    <t>HW1M312DB</t>
  </si>
  <si>
    <t>Disjoncteur Ouvert HW1 de la gamme HW+ avec un pouvoir de coupure de 55 kA et une intensité nominale de 1250A en version 3 Pôles Débrochable pour Déclencheur Sentinel LSI</t>
  </si>
  <si>
    <t>3797.2139€</t>
  </si>
  <si>
    <t>HW1M312FB</t>
  </si>
  <si>
    <t>Disjoncteur Ouvert HW1 de la gamme HW+ avec un pouvoir de coupure de 55 kA et une intensité nominale de 1250A en version 3 Pôles Fixe pour Déclencheur Sentinel LSI</t>
  </si>
  <si>
    <t>HW1M316DB</t>
  </si>
  <si>
    <t>Disjoncteur Ouvert HW1 de la gamme HW+ avec un pouvoir de coupure de 55 kA et une intensité nominale de 1600A en version 3 Pôles Débrochable pour Déclencheur Sentinel LSI</t>
  </si>
  <si>
    <t>HW1M316FB</t>
  </si>
  <si>
    <t>Disjoncteur Ouvert HW1 de la gamme HW+ avec un pouvoir de coupure de 55 kA et une intensité nominale de 1600A en version 3 Pôles Fixe pour Déclencheur Sentinel LSI</t>
  </si>
  <si>
    <t>HW1M408DB</t>
  </si>
  <si>
    <t>Disjoncteur Ouvert HW1 de la gamme HW+ avec un pouvoir de coupure de 55 kA et une intensité nominale de 800 A en version 4 Pôles Débrochable pour Déclencheur Sentinel LSI</t>
  </si>
  <si>
    <t>3744.4787€</t>
  </si>
  <si>
    <t>HW1M408FB</t>
  </si>
  <si>
    <t>Disjoncteur Ouvert HW1 de la gamme HW+ avec un pouvoir de coupure de 55 kA et une intensité nominale de 800 A en version 4 Pôles Fixe pour Déclencheur Sentinel LSI</t>
  </si>
  <si>
    <t>HW1M410DB</t>
  </si>
  <si>
    <t>Disjoncteur Ouvert HW1 de la gamme HW+ avec un pouvoir de coupure de 55 kA et une intensité nominale de 1000A en version 4 Pôles Débrochable pour Déclencheur Sentinel LSI</t>
  </si>
  <si>
    <t>4271.8694€</t>
  </si>
  <si>
    <t>HW1M410FB</t>
  </si>
  <si>
    <t>Disjoncteur Ouvert HW1 de la gamme HW+ avec un pouvoir de coupure de 55 kA et une intensité nominale de 1000A en version 4 Pôles Fixe pour Déclencheur Sentinel LSI</t>
  </si>
  <si>
    <t>HW1M412DB</t>
  </si>
  <si>
    <t>Disjoncteur Ouvert HW1 de la gamme HW+ avec un pouvoir de coupure de 55 kA et une intensité nominale de 1250A en version 4 Pôles Débrochable pour Déclencheur Sentinel LSI</t>
  </si>
  <si>
    <t>4904.7434€</t>
  </si>
  <si>
    <t>HW1M412FB</t>
  </si>
  <si>
    <t>Disjoncteur Ouvert HW1 de la gamme HW+ avec un pouvoir de coupure de 55 kA et une intensité nominale de 1250A en version 4 Pôles Fixe pour Déclencheur Sentinel LSI</t>
  </si>
  <si>
    <t>HW1M416DB</t>
  </si>
  <si>
    <t>Disjoncteur Ouvert HW1 de la gamme HW+ avec un pouvoir de coupure de 55 kA et une intensité nominale de 1600A en version 4 Pôles Débrochable pour Déclencheur Sentinel LSI</t>
  </si>
  <si>
    <t>5801.2977€</t>
  </si>
  <si>
    <t>HW1M416FB</t>
  </si>
  <si>
    <t>Disjoncteur Ouvert HW1 de la gamme HW+ avec un pouvoir de coupure de 55 kA et une intensité nominale de 1600A en version 4 Pôles Fixe pour Déclencheur Sentinel LSI</t>
  </si>
  <si>
    <t>HW1W308DS</t>
  </si>
  <si>
    <t>Interrupteur Ouvert HW1 de la gamme HW+ avec une intensité nominale de 800A en version 3 Pôles Débrochable</t>
  </si>
  <si>
    <t>2215.0461€</t>
  </si>
  <si>
    <t>HW1W308FS</t>
  </si>
  <si>
    <t>Interrupteur Ouvert HW1 de la gamme HW+ avec une intensité nominale de 800A en version 3 Pôles Fixe</t>
  </si>
  <si>
    <t>HW1W310DS</t>
  </si>
  <si>
    <t>Interrupteur Ouvert HW1 de la gamme HW+ avec une intensité nominale de 1000A en version 3 Pôles Débrochable</t>
  </si>
  <si>
    <t>2531.4788€</t>
  </si>
  <si>
    <t>HW1W310FS</t>
  </si>
  <si>
    <t>Interrupteur Ouvert HW1 de la gamme HW+ avec une intensité nominale de 1000A en version 3 Pôles Fixe</t>
  </si>
  <si>
    <t>HW1W312DS</t>
  </si>
  <si>
    <t>Interrupteur Ouvert HW1 de la gamme HW+ avec une intensité nominale de 1250A en version 3 Pôles Débrochable</t>
  </si>
  <si>
    <t>2584.2226€</t>
  </si>
  <si>
    <t>HW1W312FS</t>
  </si>
  <si>
    <t>Interrupteur Ouvert HW1 de la gamme HW+ avec une intensité nominale de 1250A en version 3 Pôles Fixe</t>
  </si>
  <si>
    <t>HW1W316DS</t>
  </si>
  <si>
    <t>Interrupteur Ouvert HW1 de la gamme HW+ avec une intensité nominale de 1600A en version 3 Pôles Débrochable</t>
  </si>
  <si>
    <t>3058.8695€</t>
  </si>
  <si>
    <t>HW1W316FS</t>
  </si>
  <si>
    <t>Interrupteur Ouvert HW1 de la gamme HW+ avec une intensité nominale de 1600A en version 3 Pôles Fixe</t>
  </si>
  <si>
    <t>HW1W408DS</t>
  </si>
  <si>
    <t>Interrupteur Ouvert HW1 de la gamme HW+ avec une intensité nominale de 800A en version 4 Pôles Débrochable</t>
  </si>
  <si>
    <t>2953.3905€</t>
  </si>
  <si>
    <t>HW1W408FS</t>
  </si>
  <si>
    <t>Interrupteur Ouvert HW1 de la gamme HW+ avec une intensité nominale de 800A en version 4 Pôles Fixe</t>
  </si>
  <si>
    <t>HW1W410DS</t>
  </si>
  <si>
    <t>Interrupteur Ouvert HW1 de la gamme HW+ avec une intensité nominale de 1000A en version 4 Pôles Débrochable</t>
  </si>
  <si>
    <t>3269.8275€</t>
  </si>
  <si>
    <t>HW1W410FS</t>
  </si>
  <si>
    <t>Interrupteur Ouvert HW1 de la gamme HW+ avec une intensité nominale de 1000A en version 4 Pôles Fixe</t>
  </si>
  <si>
    <t>HW1W412DS</t>
  </si>
  <si>
    <t>Interrupteur Ouvert HW1 de la gamme HW+ avec une intensité nominale de 1250A en version 4 Pôles Débrochable</t>
  </si>
  <si>
    <t>3375.3022€</t>
  </si>
  <si>
    <t>HW1W412FS</t>
  </si>
  <si>
    <t>Interrupteur Ouvert HW1 de la gamme HW+ avec une intensité nominale de 1250A en version 4 Pôles Fixe</t>
  </si>
  <si>
    <t>HW1W416DS</t>
  </si>
  <si>
    <t>Interrupteur Ouvert HW1 de la gamme HW+ avec une intensité nominale de 1600A en version 4 Pôles Débrochable</t>
  </si>
  <si>
    <t>HW1W416FS</t>
  </si>
  <si>
    <t>Interrupteur Ouvert HW1 de la gamme HW+ avec une intensité nominale de 1600A en version 4 Pôles Fixe</t>
  </si>
  <si>
    <t>HW1E308DE</t>
  </si>
  <si>
    <t>Disjoncteur Ouvert HW1 de la gamme HW+ avec un pouvoir de coupure de 66kA et une intensité nominale de 800A en version 3 Pôles Débrochablerochable pour déclencheur sentinel Energy</t>
  </si>
  <si>
    <t>HW1E308FE</t>
  </si>
  <si>
    <t>Disjoncteur Ouvert HW1 de la gamme HW+ avec un pouvoir de coupure de 66kA et une intensité nominale de 800A en version 3 Pôles Fixee pour déclencheur sentinel Energy</t>
  </si>
  <si>
    <t>HW1E310DE</t>
  </si>
  <si>
    <t>Disjoncteur Ouvert HW1 de la gamme HW+ avec un pouvoir de coupure de 66kA et une intensité nominale de 1000A en version 3 Pôles Débrochable pour déclencheur sentinel Energy</t>
  </si>
  <si>
    <t>HW1E310FE</t>
  </si>
  <si>
    <t>Disjoncteur Ouvert HW1 de la gamme HW+ avec un pouvoir de coupure de 66kA et une intensité nominale de 1000A en version 3 Pôles Fixe pour déclencheur sentinel Energy</t>
  </si>
  <si>
    <t>HW1E312DE</t>
  </si>
  <si>
    <t>Disjoncteur Ouvert HW1 de la gamme HW+ avec un pouvoir de coupure de 66kA et une intensité nominale de 1250A en version 3 Pôles Débrochable pour déclencheur sentinel Energy</t>
  </si>
  <si>
    <t>HW1E312FE</t>
  </si>
  <si>
    <t>Disjoncteur Ouvert HW1 de la gamme HW+ avec un pouvoir de coupure de 66kA et une intensité nominale de 1250A en version 3 Pôles Fixe pour déclencheur sentinel Energy</t>
  </si>
  <si>
    <t>HW1E316DE</t>
  </si>
  <si>
    <t>Disjoncteur Ouvert HW1 de la gamme HW+ avec un pouvoir de coupure de 66kA et une intensité nominale de 1600A en version 3 Pôles Débrochable pour déclencheur sentinel Energy</t>
  </si>
  <si>
    <t>HW1E316FE</t>
  </si>
  <si>
    <t>Disjoncteur Ouvert HW1 de la gamme HW+ avec un pouvoir de coupure de 66kA et une intensité nominale de 1600A en version 3 Pôles Fixe pour déclencheur sentinel Energy</t>
  </si>
  <si>
    <t>HW1E408DE</t>
  </si>
  <si>
    <t>Disjoncteur Ouvert HW1 de la gamme HW+ avec un pouvoir de coupure de 66kA et une intensité nominale de 800A en version 4 Pôles Débrochablerochable pour déclencheur sentinel Energy</t>
  </si>
  <si>
    <t>HW1E408FE</t>
  </si>
  <si>
    <t>Disjoncteur Ouvert HW1 de la gamme HW+ avec un pouvoir de coupure de 66kA et une intensité nominale de 800A en version 4 Pôles Fixee pour déclencheur sentinel Energy</t>
  </si>
  <si>
    <t>HW1E410DE</t>
  </si>
  <si>
    <t>Disjoncteur Ouvert HW1 de la gamme HW+ avec un pouvoir de coupure de 66kA et une intensité nominale de 1000A en version 4 Pôles Débrochable pour déclencheur sentinel Energy</t>
  </si>
  <si>
    <t>HW1E410FE</t>
  </si>
  <si>
    <t>Disjoncteur Ouvert HW1 de la gamme HW+ avec un pouvoir de coupure de 66kA et une intensité nominale de 1000A en version 4 Pôles Fixe pour déclencheur sentinel Energy</t>
  </si>
  <si>
    <t>HW1E412DE</t>
  </si>
  <si>
    <t>Disjoncteur Ouvert HW1 de la gamme HW+ avec un pouvoir de coupure de 66kA et une intensité nominale de 1250A en version 4 Pôles Débrochable pour déclencheur sentinel Energy</t>
  </si>
  <si>
    <t>HW1E412FE</t>
  </si>
  <si>
    <t>Disjoncteur Ouvert HW1 de la gamme HW+ avec un pouvoir de coupure de 66kA et une intensité nominale de 1250A en version 4 Pôles Fixe pour déclencheur sentinel Energy</t>
  </si>
  <si>
    <t>HW1E416DE</t>
  </si>
  <si>
    <t>Disjoncteur Ouvert HW1 de la gamme HW+ avec un pouvoir de coupure de 66kA et une intensité nominale de 1600A en version 4 Pôles Débrochable pour déclencheur sentinel Energy</t>
  </si>
  <si>
    <t>HW1E416FE</t>
  </si>
  <si>
    <t>Disjoncteur Ouvert HW1 de la gamme HW+ avec un pouvoir de coupure de 66kA et une intensité nominale de 1600A en version 4 Pôles Fixe pour déclencheur sentinel Energy</t>
  </si>
  <si>
    <t>HW1M308DE</t>
  </si>
  <si>
    <t>Disjoncteur Ouvert HW1 de la gamme HW+ avec un pouvoir de coupure de 55kA et une intensité nominale de 800A en version 3 Pôles Débrochablerochable pour déclencheur sentinel Energy</t>
  </si>
  <si>
    <t>HW1M308FE</t>
  </si>
  <si>
    <t>Disjoncteur Ouvert HW1 de la gamme HW+ avec un pouvoir de coupure de 55kA et une intensité nominale de 800A en version 3 Pôles Fixee pour déclencheur sentinel Energy</t>
  </si>
  <si>
    <t>HW1M310DE</t>
  </si>
  <si>
    <t>Disjoncteur Ouvert HW1 de la gamme HW+ avec un pouvoir de coupure de 55kA et une intensité nominale de 1000A en version 3 Pôles Débrochable pour déclencheur sentinel Energy</t>
  </si>
  <si>
    <t>HW1M310FE</t>
  </si>
  <si>
    <t>Disjoncteur Ouvert HW1 de la gamme HW+ avec un pouvoir de coupure de 55kA et une intensité nominale de 1000A en version 3 Pôles Fixe pour déclencheur sentinel Energy</t>
  </si>
  <si>
    <t>HW1M312DE</t>
  </si>
  <si>
    <t>Disjoncteur Ouvert HW1 de la gamme HW+ avec un pouvoir de coupure de 55kA et une intensité nominale de 1250A en version 3 Pôles Débrochable pour déclencheur sentinel Energy</t>
  </si>
  <si>
    <t>HW1M312FE</t>
  </si>
  <si>
    <t>Disjoncteur Ouvert HW1 de la gamme HW+ avec un pouvoir de coupure de 55kA et une intensité nominale de 1250A en version 3 Pôles Fixe pour déclencheur sentinel Energy</t>
  </si>
  <si>
    <t>HW1M316DE</t>
  </si>
  <si>
    <t>Disjoncteur Ouvert HW1 de la gamme HW+ avec un pouvoir de coupure de 55kA et une intensité nominale de 1600A en version 3 Pôles Débrochable pour déclencheur sentinel Energy</t>
  </si>
  <si>
    <t>HW1M316FE</t>
  </si>
  <si>
    <t>Disjoncteur Ouvert HW1 de la gamme HW+ avec un pouvoir de coupure de 55kA et une intensité nominale de 1600A en version 3 Pôles Fixe pour déclencheur sentinel Energy</t>
  </si>
  <si>
    <t>HW1M408DE</t>
  </si>
  <si>
    <t>Disjoncteur Ouvert HW1 de la gamme HW+ avec un pouvoir de coupure de 55kA et une intensité nominale de 800A en version 4 Pôles Débrochablerochable pour déclencheur sentinel Energy</t>
  </si>
  <si>
    <t>HW1M408FE</t>
  </si>
  <si>
    <t>Disjoncteur Ouvert HW1 de la gamme HW+ avec un pouvoir de coupure de 55kA et une intensité nominale de 800A en version 4 Pôles Fixee pour déclencheur sentinel Energy</t>
  </si>
  <si>
    <t>HW1M410DE</t>
  </si>
  <si>
    <t>Disjoncteur Ouvert HW1 de la gamme HW+ avec un pouvoir de coupure de 55kA et une intensité nominale de 1000A en version 4 Pôles Débrochable pour déclencheur sentinel Energy</t>
  </si>
  <si>
    <t>HW1M410FE</t>
  </si>
  <si>
    <t>Disjoncteur Ouvert HW1 de la gamme HW+ avec un pouvoir de coupure de 55kA et une intensité nominale de 1000A en version 4 Pôles Fixe pour déclencheur sentinel Energy</t>
  </si>
  <si>
    <t>HW1M412DE</t>
  </si>
  <si>
    <t>Disjoncteur Ouvert HW1 de la gamme HW+ avec un pouvoir de coupure de 55kA et une intensité nominale de 1250A en version 4 Pôles Débrochable pour déclencheur sentinel Energy</t>
  </si>
  <si>
    <t>HW1M412FE</t>
  </si>
  <si>
    <t>Disjoncteur Ouvert HW1 de la gamme HW+ avec un pouvoir de coupure de 55kA et une intensité nominale de 1250A en version 4 Pôles Fixe pour déclencheur sentinel Energy</t>
  </si>
  <si>
    <t>HW1M416DE</t>
  </si>
  <si>
    <t>Disjoncteur Ouvert HW1 de la gamme HW+ avec un pouvoir de coupure de 55kA et une intensité nominale de 1600A en version 4 Pôles Débrochable pour déclencheur sentinel Energy</t>
  </si>
  <si>
    <t>HW1M416FE</t>
  </si>
  <si>
    <t>Disjoncteur Ouvert HW1 de la gamme HW+ avec un pouvoir de coupure de 55kA et une intensité nominale de 1600A en version 4 Pôles Fixe pour déclencheur sentinel Energy</t>
  </si>
  <si>
    <t>HF1E316DEGH-MTS</t>
  </si>
  <si>
    <t>Disjoncteur Ouvert complet HW1 de la gamme HW+ avec un pouvoir de coupure de 66kA et une intensité nominale de 1600A en version 3 Pôles Débrochable pour déclencheur sentinel Energy</t>
  </si>
  <si>
    <t>9608.35€</t>
  </si>
  <si>
    <t>HF1E416DEGH-MTS</t>
  </si>
  <si>
    <t>Disjoncteur Ouvert complet HW1 de la gamme HW+ avec un pouvoir de coupure de 66kA et une intensité nominale de 1600A en version 4 Pôles Débrochable pour déclencheur sentinel Energy</t>
  </si>
  <si>
    <t>11530.02€</t>
  </si>
  <si>
    <t>HW1E308ZB</t>
  </si>
  <si>
    <t>Disjoncteur Ouvert HW1 de la gamme HW+ avec un pouvoir de coupure de 66 kA et une intensité nominale de 800 A en version 3 Pôles Débrochable sans chassis pour déclencheur Sentinel LSI</t>
  </si>
  <si>
    <t>3412.5316€</t>
  </si>
  <si>
    <t>HW1E308ZE</t>
  </si>
  <si>
    <t>Disjoncteur Ouvert HW1 de la gamme HW+ avec un pouvoir de coupure de 66 kA et une intensité nominale de 800 A en version 3 Pôles Débrochable sans chassis pour déclencheur Sentinel Energy</t>
  </si>
  <si>
    <t>HW1E310ZB</t>
  </si>
  <si>
    <t>Disjoncteur Ouvert HW1 de la gamme HW+ avec un pouvoir de coupure de 66 kA et une intensité nominale de 1000A en version 3 Pôles Débrochable sans chassis pour Déclencheur Sentinel LSI</t>
  </si>
  <si>
    <t>3877.8776€</t>
  </si>
  <si>
    <t>HW1E310ZE</t>
  </si>
  <si>
    <t>Disjoncteur Ouvert HW1 de la gamme HW+ avec un pouvoir de coupure de 66 kA et une intensité nominale de 1000A en version 3 Pôles Débrochable sans chassis pour Déclencheur Sentinel Energy</t>
  </si>
  <si>
    <t>HW1E312ZB</t>
  </si>
  <si>
    <t>Disjoncteur Ouvert HW1 de la gamme HW+ avec un pouvoir de coupure de 66 kA et une intensité nominale de 1250A en version 3 Pôles Débrochable sans chassis pour Déclencheur Sentinel LSI</t>
  </si>
  <si>
    <t>4446.63€</t>
  </si>
  <si>
    <t>HW1E312ZE</t>
  </si>
  <si>
    <t>Disjoncteur Ouvert HW1 de la gamme HW+ avec un pouvoir de coupure de 66 kA et une intensité nominale de 1250A en version 3 Pôles Débrochable sans chassis pour Déclencheur Sentinel Energy</t>
  </si>
  <si>
    <t>HW1E316ZB</t>
  </si>
  <si>
    <t>Disjoncteur Ouvert HW1 de la gamme HW+ avec un pouvoir de coupure de 66 kA et une intensité nominale de 1600A en version 3 Pôles Débrochable sans chassis pour Déclencheur Sentinel LSI</t>
  </si>
  <si>
    <t>5273.907€</t>
  </si>
  <si>
    <t>HW1E316ZE</t>
  </si>
  <si>
    <t>Disjoncteur Ouvert HW1 de la gamme HW+ avec un pouvoir de coupure de 66 kA et une intensité nominale de 1600A en version 3 Pôles Débrochable sans chassis pour Déclencheur Sentinel Energy</t>
  </si>
  <si>
    <t>HW1E408ZB</t>
  </si>
  <si>
    <t>Disjoncteur Ouvert HW1 de la gamme HW+ avec un pouvoir de coupure de 66 kA et une intensité nominale de 800 A en version 4 Pôles Débrochable sans chassis pour Déclencheur Sentinel LSI</t>
  </si>
  <si>
    <t>4394.9268€</t>
  </si>
  <si>
    <t>HW1E408ZE</t>
  </si>
  <si>
    <t>Disjoncteur Ouvert HW1 de la gamme HW+ avec un pouvoir de coupure de 66 kA et une intensité nominale de 800 A en version 4 Pôles Débrochable sans chassis pour Déclencheur Sentinel Energy</t>
  </si>
  <si>
    <t>HW1E410ZB</t>
  </si>
  <si>
    <t>Disjoncteur Ouvert HW1 de la gamme HW+ avec un pouvoir de coupure de 66 kA et une intensité nominale de 1000A en version 4 Pôles Débrochable sans chassis pour Déclencheur Sentinel LSI</t>
  </si>
  <si>
    <t>5015.3867€</t>
  </si>
  <si>
    <t>HW1E410ZE</t>
  </si>
  <si>
    <t>Disjoncteur Ouvert HW1 de la gamme HW+ avec un pouvoir de coupure de 66 kA et une intensité nominale de 1000A en version 4 Pôles Débrochable sans chassis pour Déclencheur Sentinel Energy</t>
  </si>
  <si>
    <t>HW1E412ZB</t>
  </si>
  <si>
    <t>Disjoncteur Ouvert HW1 de la gamme HW+ avec un pouvoir de coupure de 66 kA et une intensité nominale de 1250A en version 4 Pôles Débrochable sans chassis pour Déclencheur Sentinel LSI</t>
  </si>
  <si>
    <t>5739.253€</t>
  </si>
  <si>
    <t>HW1E412ZE</t>
  </si>
  <si>
    <t>Disjoncteur Ouvert HW1 de la gamme HW+ avec un pouvoir de coupure de 66 kA et une intensité nominale de 1250A en version 4 Pôles Débrochable sans chassis pour Déclencheur Sentinel Energy</t>
  </si>
  <si>
    <t>HW1E416ZB</t>
  </si>
  <si>
    <t>Disjoncteur Ouvert HW1 de la gamme HW+ avec un pouvoir de coupure de 66 kA et une intensité nominale de 1600A en version 4 Pôles Débrochable sans chassis pour Déclencheur Sentinel LSI</t>
  </si>
  <si>
    <t>6773.3557€</t>
  </si>
  <si>
    <t>HW1E416ZE</t>
  </si>
  <si>
    <t>Disjoncteur Ouvert HW1 de la gamme HW+ avec un pouvoir de coupure de 66 kA et une intensité nominale de 1600A en version 4 Pôles Débrochable sans chassis pour Déclencheur Sentinel Energy</t>
  </si>
  <si>
    <t>HW1M308ZB</t>
  </si>
  <si>
    <t>Disjoncteur Ouvert HW1 de la gamme HW+ avec un pouvoir de coupure de 55 kA et une intensité nominale de 800 A en version 3 Pôles Débrochable sans chassis pour Déclencheur Sentinel LSI</t>
  </si>
  <si>
    <t>2843.7792€</t>
  </si>
  <si>
    <t>HW1M308ZE</t>
  </si>
  <si>
    <t>Disjoncteur Ouvert HW1 de la gamme HW+ avec un pouvoir de coupure de 55 kA et une intensité nominale de 800 A en version 3 Pôles Débrochable sans chassis pour Déclencheur Sentinel Energy</t>
  </si>
  <si>
    <t>HW1M310ZB</t>
  </si>
  <si>
    <t>Disjoncteur Ouvert HW1 de la gamme HW+ avec un pouvoir de coupure de 55 kA et une intensité nominale de 1000A en version 3 Pôles Débrochable sans chassis pour Déclencheur Sentinel LSI</t>
  </si>
  <si>
    <t>3257.4177€</t>
  </si>
  <si>
    <t>HW1M310ZE</t>
  </si>
  <si>
    <t>Disjoncteur Ouvert HW1 de la gamme HW+ avec un pouvoir de coupure de 55 kA et une intensité nominale de 1000A en version 3 Pôles Débrochable sans chassis pour Déclencheur Sentinel Energy</t>
  </si>
  <si>
    <t>HW1M312ZB</t>
  </si>
  <si>
    <t>Disjoncteur Ouvert HW1 de la gamme HW+ avec un pouvoir de coupure de 55 kA et une intensité nominale de 1250A en version 3 Pôles Débrochable sans chassis pour Déclencheur Sentinel LSI</t>
  </si>
  <si>
    <t>3722.7594€</t>
  </si>
  <si>
    <t>HW1M312ZE</t>
  </si>
  <si>
    <t>Disjoncteur Ouvert HW1 de la gamme HW+ avec un pouvoir de coupure de 55 kA et une intensité nominale de 1250A en version 3 Pôles Débrochable sans chassis pour Déclencheur Sentinel Energy</t>
  </si>
  <si>
    <t>HW1M316ZB</t>
  </si>
  <si>
    <t>Disjoncteur Ouvert HW1 de la gamme HW+ avec un pouvoir de coupure de 55 kA et une intensité nominale de 1600A en version 3 Pôles Débrochable sans chassis pour Déclencheur Sentinel LSI</t>
  </si>
  <si>
    <t>HW1M316ZE</t>
  </si>
  <si>
    <t>Disjoncteur Ouvert HW1 de la gamme HW+ avec un pouvoir de coupure de 55 kA et une intensité nominale de 1600A en version 3 Pôles Débrochable sans chassis pour Déclencheur Sentinel Energy</t>
  </si>
  <si>
    <t>HW1M408ZB</t>
  </si>
  <si>
    <t>Disjoncteur Ouvert HW1 de la gamme HW+ avec un pouvoir de coupure de 55 kA et une intensité nominale de 800 A en version 4 Pôles Débrochable sans chassis pour Déclencheur Sentinel LSI</t>
  </si>
  <si>
    <t>3671.0562€</t>
  </si>
  <si>
    <t>HW1M408ZE</t>
  </si>
  <si>
    <t>Disjoncteur Ouvert HW1 de la gamme HW+ avec un pouvoir de coupure de 55 kA et une intensité nominale de 800 A en version 4 Pôles Débrochable sans chassis pour Déclencheur Sentinel Energy</t>
  </si>
  <si>
    <t>HW1M410ZB</t>
  </si>
  <si>
    <t>Disjoncteur Ouvert HW1 de la gamme HW+ avec un pouvoir de coupure de 55 kA et une intensité nominale de 1000A en version 4 Pôles Débrochable sans chassis pour Déclencheur Sentinel LSI</t>
  </si>
  <si>
    <t>4188.1097€</t>
  </si>
  <si>
    <t>HW1M410ZE</t>
  </si>
  <si>
    <t>Disjoncteur Ouvert HW1 de la gamme HW+ avec un pouvoir de coupure de 55 kA et une intensité nominale de 1000A en version 4 Pôles Débrochable sans chassis pour Déclencheur Sentinel Energy</t>
  </si>
  <si>
    <t>HW1M412ZB</t>
  </si>
  <si>
    <t>Disjoncteur Ouvert HW1 de la gamme HW+ avec un pouvoir de coupure de 55 kA et une intensité nominale de 1250A en version 4 Pôles Débrochable sans chassis pour Déclencheur Sentinel LSI</t>
  </si>
  <si>
    <t>4808.5653€</t>
  </si>
  <si>
    <t>HW1M412ZE</t>
  </si>
  <si>
    <t>Disjoncteur Ouvert HW1 de la gamme HW+ avec un pouvoir de coupure de 55 kA et une intensité nominale de 1250A en version 4 Pôles Débrochable sans chassis pour Déclencheur Sentinel Energy</t>
  </si>
  <si>
    <t>HW1M416ZB</t>
  </si>
  <si>
    <t>Disjoncteur Ouvert HW1 de la gamme HW+ avec un pouvoir de coupure de 55 kA et une intensité nominale de 1600A en version 4 Pôles Débrochable sans chassis pour Déclencheur Sentinel LSI</t>
  </si>
  <si>
    <t>5687.5455€</t>
  </si>
  <si>
    <t>HW1M416ZE</t>
  </si>
  <si>
    <t>Disjoncteur Ouvert HW1 de la gamme HW+ avec un pouvoir de coupure de 55 kA et une intensité nominale de 1600A en version 4 Pôles Débrochable sans chassis pour Déclencheur Sentinel Energy</t>
  </si>
  <si>
    <t>HW1W308ZS</t>
  </si>
  <si>
    <t>Interrupteur Ouvert HW1 de la gamme HW+ avec une intensité nominale de 800A en version 3 Pôles Débrochable sans chassis</t>
  </si>
  <si>
    <t>2171.6118€</t>
  </si>
  <si>
    <t>HW1W310ZS</t>
  </si>
  <si>
    <t>Interrupteur Ouvert HW1 de la gamme HW+ avec une intensité nominale de 1000A en version 3 Pôles Débrochable sans chassis</t>
  </si>
  <si>
    <t>2481.8396€</t>
  </si>
  <si>
    <t>HW1W312ZS</t>
  </si>
  <si>
    <t>Interrupteur Ouvert HW1 de la gamme HW+ avec une intensité nominale de 1250A en version 3 Pôles Débrochable sans chassis</t>
  </si>
  <si>
    <t>2533.5514€</t>
  </si>
  <si>
    <t>HW1W316ZS</t>
  </si>
  <si>
    <t>Interrupteur Ouvert HW1 de la gamme HW+ avec une intensité nominale de 1600A en version 3 Pôles Débrochable sans chassis</t>
  </si>
  <si>
    <t>2998.8888€</t>
  </si>
  <si>
    <t>HW1W408ZS</t>
  </si>
  <si>
    <t>Interrupteur Ouvert HW1 de la gamme HW+ avec une intensité nominale de 800A en version 4 Pôles Débrochable sans chassis</t>
  </si>
  <si>
    <t>2895.4824€</t>
  </si>
  <si>
    <t>HW1W410ZS</t>
  </si>
  <si>
    <t>Interrupteur Ouvert HW1 de la gamme HW+ avec une intensité nominale de 1000A en version 4 Pôles Débrochable sans chassis</t>
  </si>
  <si>
    <t>3205.7102€</t>
  </si>
  <si>
    <t>HW1W412ZS</t>
  </si>
  <si>
    <t>Interrupteur Ouvert HW1 de la gamme HW+ avec une intensité nominale de 1250A en version 4 Pôles Débrochable sans chassis</t>
  </si>
  <si>
    <t>3309.1166€</t>
  </si>
  <si>
    <t>HW1W416ZS</t>
  </si>
  <si>
    <t>Interrupteur Ouvert HW1 de la gamme HW+ avec une intensité nominale de 1600A en version 4 Pôles Débrochable sans chassis</t>
  </si>
  <si>
    <t>HWY001H</t>
  </si>
  <si>
    <t>Épanouisseurs 3P HW1 (SP)</t>
  </si>
  <si>
    <t xml:space="preserve">HATRFM15 </t>
  </si>
  <si>
    <t>ACCESSOIRE SEUL HW+</t>
  </si>
  <si>
    <t>456.316€</t>
  </si>
  <si>
    <t>HWY002H</t>
  </si>
  <si>
    <t>Épanouisseurs 4P HW1 (SP)</t>
  </si>
  <si>
    <t>608.4156€</t>
  </si>
  <si>
    <t>HWY005H</t>
  </si>
  <si>
    <t>Adaptateurs de Connexion Verticale en version 3 Pôles pour disjoncteur ou interrupteur HW1 de la gamme HW+</t>
  </si>
  <si>
    <t>HWY006H</t>
  </si>
  <si>
    <t>Adaptateurs de Connexion Verticale en version 4 Pôles pour disjoncteur ou interrupteur HW1 de la gamme HW+</t>
  </si>
  <si>
    <t>HWY030H</t>
  </si>
  <si>
    <t>Retardateur pour bobine à manque de tension 24-30V AC/DC</t>
  </si>
  <si>
    <t>HWY031H</t>
  </si>
  <si>
    <t>Retardateur pour bobine à manque de tension 48-60V AC/DC</t>
  </si>
  <si>
    <t>HWY033H</t>
  </si>
  <si>
    <t>Retardateur pour bobine à manque de tension 200-250V AC</t>
  </si>
  <si>
    <t>HWY034H</t>
  </si>
  <si>
    <t>Retardateur pour bobine à manque de tension 380-480V AC</t>
  </si>
  <si>
    <t>HWY218H</t>
  </si>
  <si>
    <t>Set câble 1.5m pour interverrouillage mécanique pour disjoncteur ou interrupteur de la gamme HW+</t>
  </si>
  <si>
    <t>HWY224H</t>
  </si>
  <si>
    <t>Plat.Interv.Méca.HW1 Fixe 2-Secours(MI)</t>
  </si>
  <si>
    <t>545.0422€</t>
  </si>
  <si>
    <t>HWY225H</t>
  </si>
  <si>
    <t>Plat.Interv.Méca.HW1 DO 2-Secours(MI)</t>
  </si>
  <si>
    <t>HWY228H</t>
  </si>
  <si>
    <t>Set câble 3m pour interverrouillage mécanique pour disjoncteur ou interrupteur de la gamme HW+</t>
  </si>
  <si>
    <t>152.1082€</t>
  </si>
  <si>
    <t>HWY229H</t>
  </si>
  <si>
    <t>Set câble 5m pour interverrouillage mécanique pour disjoncteur ou interrupteur de la gamme HW+</t>
  </si>
  <si>
    <t>HWY276H</t>
  </si>
  <si>
    <t>Détrompeur pour produit débrochable pour disjoncteur ou interrupteur HW1 de la gamme HW+</t>
  </si>
  <si>
    <t>65.9147€</t>
  </si>
  <si>
    <t>HWY280H</t>
  </si>
  <si>
    <t>Cadre de porte fine pour disjoncteur ou interrupteur HW1 de la gamme HW+ en version Fixe</t>
  </si>
  <si>
    <t>76.0584€</t>
  </si>
  <si>
    <t>HWY281H</t>
  </si>
  <si>
    <t>Cadre de porte fine pour disjoncteur ou interrupteur HW1 de la gamme HW+ en version Débrochable</t>
  </si>
  <si>
    <t>HWY701</t>
  </si>
  <si>
    <t>Serrure à came Ronis pour disjoncteur ou interrupteur ouvert de la gamme HW+ de Type 1 - K1L1/L4</t>
  </si>
  <si>
    <t>157.1822€</t>
  </si>
  <si>
    <t>HWY702</t>
  </si>
  <si>
    <t>Serrure à came Ronis pour disjoncteur ou interrupteur ouvert de la gamme HW+ de Type 2 - K2L2/L4/L5</t>
  </si>
  <si>
    <t>HWY703</t>
  </si>
  <si>
    <t>Serrure à came Ronis pour disjoncteur ou interrupteur ouvert de la gamme HW+ de Type 3 - K3L3/L5</t>
  </si>
  <si>
    <t>HWY704</t>
  </si>
  <si>
    <t>Serrure à came Ronis pour disjoncteur ou interrupteur ouvert de la gamme HW+ de Type 4 - K4L4</t>
  </si>
  <si>
    <t>HWY705</t>
  </si>
  <si>
    <t>Serrure à came Ronis pour disjoncteur ou interrupteur ouvert de la gamme HW+ de Type 5 - K5L5</t>
  </si>
  <si>
    <t>HWW466HSA</t>
  </si>
  <si>
    <t>Calibreur In= 800A pour disjoncteur de la gamme HW+ (pièce détachée)</t>
  </si>
  <si>
    <t>HWW467HSA</t>
  </si>
  <si>
    <t>Calibreur In= 1000A pour disjoncteur de la gamme HW+ (pièce détachée)</t>
  </si>
  <si>
    <t>HWW468HSA</t>
  </si>
  <si>
    <t>Calibreur In= 1250A pour disjoncteur de la gamme HW+ (pièce détachée)</t>
  </si>
  <si>
    <t>HWW469HSA</t>
  </si>
  <si>
    <t>Calibreur In= 1600A pour disjoncteur de la gamme HW+ (pièce détachée)</t>
  </si>
  <si>
    <t>HWX001HSA</t>
  </si>
  <si>
    <t>Moteur de rechargement des ressorts 24V AC 50/60Hz pour disjoncteur ou interrupteur HW1 de la gamme HW+  (pièce détachée)</t>
  </si>
  <si>
    <t>HWX002HSA</t>
  </si>
  <si>
    <t>Moteur de rechargement des ressorts 48-60V AC 50/60Hz pour disjoncteur ou interrupteur HW1 de la gamme HW+  (pièce détachée)</t>
  </si>
  <si>
    <t>HWX004HSA</t>
  </si>
  <si>
    <t>Moteur de rechargement des ressorts 200-250V AC 50/60Hz pour disjoncteur ou interrupteur HW1 de la gamme HW+  (pièce détachée)</t>
  </si>
  <si>
    <t>HWX020HSA</t>
  </si>
  <si>
    <t>Bobine à émission 24-30V AC/DC pour disjoncteur ou interrupteur de la gamme HW+ (pièce détachée)</t>
  </si>
  <si>
    <t>HWX021HSA</t>
  </si>
  <si>
    <t>Bobine à émission 48-60V AC/DC pour disjoncteur ou interrupteur de la gamme HW+ (pièce détachée)</t>
  </si>
  <si>
    <t>HWX023HSA</t>
  </si>
  <si>
    <t>Bobine à émission 200-250V AC/DC pour disjoncteur ou interrupteur de la gamme HW+ (pièce détachée)</t>
  </si>
  <si>
    <t>HWX025HSA</t>
  </si>
  <si>
    <t>Bobine à fermeture 24-30V AC/DC pour disjoncteur ou interrupteur de la gamme HW+ (pièce détachée)</t>
  </si>
  <si>
    <t>HWX026HSA</t>
  </si>
  <si>
    <t>Bobine à fermeture 48-60V AC/DC pour disjoncteur ou interrupteur de la gamme HW+ (pièce détachée)</t>
  </si>
  <si>
    <t>HWX028HSA</t>
  </si>
  <si>
    <t>Bobine à fermeture 200-250V AC/DC pour disjoncteur ou interrupteur de la gamme HW+ (pièce détachée)</t>
  </si>
  <si>
    <t>HWX030HSA</t>
  </si>
  <si>
    <t>Bobine à manque de tension 24-30V AC/DC pour disjoncteur ou interrupteur de la gamme HW+ (pièce détachée)</t>
  </si>
  <si>
    <t>HWX031HSA</t>
  </si>
  <si>
    <t>Bobine à manque de tension 48-60V AC/DC pour disjoncteur ou interrupteur de la gamme HW+ (pièce détachée)</t>
  </si>
  <si>
    <t>HWX033HSA</t>
  </si>
  <si>
    <t>Bobine à manque de tension 200-250V AC/DC pour disjoncteur ou interrupteur de la gamme HW+ (pièce détachée)</t>
  </si>
  <si>
    <t>HWX040HSA</t>
  </si>
  <si>
    <t>Contact auxiliaire pour disjoncteur ou interrupteur HW1 de la gamme HW+ (pièce détachée)</t>
  </si>
  <si>
    <t>HWX041HSA</t>
  </si>
  <si>
    <t>Contact auxiliaire bas niveau pour disjoncteur ou interrupteur HW1 de la gamme HW+ (pièce détachée)</t>
  </si>
  <si>
    <t>HWX047HSA</t>
  </si>
  <si>
    <t>Contact Défaut Déclenchement pour disjoncteur ou interrupteur de la gamme HW+ (pièce détachée)</t>
  </si>
  <si>
    <t>HWX050HSA</t>
  </si>
  <si>
    <t>Contact de position pour disjoncteur ou interrupteur de la gamme HW+ (pièce détachée)</t>
  </si>
  <si>
    <t>HWX051HSA</t>
  </si>
  <si>
    <t>Contact de position bas niveau pour disjoncteur ou interrupteur de la gamme HW+ (pièce détachée)</t>
  </si>
  <si>
    <t>HWX070HSA</t>
  </si>
  <si>
    <t>Compteur de cycles ON/OFF HW1 pour disjoncteur ou interrupteur HW1 de la gamme HW+ (pièce détachée)</t>
  </si>
  <si>
    <t>HWX090HSA</t>
  </si>
  <si>
    <t>OAC pour HW+ (pièce détachée)</t>
  </si>
  <si>
    <t>HWX091HSA</t>
  </si>
  <si>
    <t>Contact prêt à fermer HW1 pour disjoncteur ou interrupteur HW1 de la gamme HW+ (pièce détachée)</t>
  </si>
  <si>
    <t>HWX701HSA</t>
  </si>
  <si>
    <t>Moteur de rechargement des ressorts 24V DC pour disjoncteur ou interrupteur HW1 de la gamme HW+ (pièce détachée)</t>
  </si>
  <si>
    <t>HWX702HSA</t>
  </si>
  <si>
    <t>Moteur de rechargement des ressorts 48-60V DC pour disjoncteur ou interrupteur HW1 de la gamme HW+ (pièce détachée)</t>
  </si>
  <si>
    <t>HWY040HSA</t>
  </si>
  <si>
    <t>Prises Avant - haut/bas - pour disjoncteur ou interrupteur HW1 de la gamme HW+ en version 3 Pôles Fixe (pièce détachée)</t>
  </si>
  <si>
    <t>HWY041HSA</t>
  </si>
  <si>
    <t>Prises Avant - haut/bas - pour disjoncteur ou interrupteur HW1 de la gamme HW+ en version 4 Pôles Fixe (pièce détachée)</t>
  </si>
  <si>
    <t>HWY044HSA</t>
  </si>
  <si>
    <t>Prises Avant - haut/bas - pour disjoncteur ou interrupteur HW1 de la gamme HW+ en version 3 Pôles Débrochable  (pièce détachée)</t>
  </si>
  <si>
    <t>HWY045HSA</t>
  </si>
  <si>
    <t>Prises Avant - haut/bas - pour disjoncteur ou interrupteur HW1 de la gamme HW+ en version 4 Pôles Débrochable (pièce détachée)</t>
  </si>
  <si>
    <t>HWY046HSA</t>
  </si>
  <si>
    <t>Prises Avant - bas.court - pour disjoncteur ou interrupteur HW1 de la gamme HW+ en version 3 Pôles Débrochable (pièce détachée)</t>
  </si>
  <si>
    <t>HWY047HSA</t>
  </si>
  <si>
    <t>Prises Avant - bas.court - pour disjoncteur ou interrupteur HW1 de la gamme HW+ en version 4 Pôles Débrochable  (pièce détachée)</t>
  </si>
  <si>
    <t>HWY048HSA</t>
  </si>
  <si>
    <t>Prises Arrière - haut/bas - pour disjoncteur ou interrupteur HW1 de la gamme HW+ en version 3 Pôles  (pièce détachée)</t>
  </si>
  <si>
    <t>HWY049HSA</t>
  </si>
  <si>
    <t>Prises Arrière - haut/bas - pour disjoncteur ou interrupteur HW1 de la gamme HW+ en version 4 Pôles  (pièce détachée)</t>
  </si>
  <si>
    <t>HWY089HSA</t>
  </si>
  <si>
    <t>Capot Bouton Poussoir pour condanation par cadenas pour disjoncteur ou interrupteur HW1 de la gamme HW+ (pièce détachée)</t>
  </si>
  <si>
    <t>HWY095HSA</t>
  </si>
  <si>
    <t>Capot Bornier de Commande pour disjoncteur ou interrupteur HW1 de la gamme HW+ en version 3 Pôles Débrochable  (pièce détachée)</t>
  </si>
  <si>
    <t>HWY096HSA</t>
  </si>
  <si>
    <t>Capot Bornier de Commande pour disjoncteur ou interrupteur HW1 de la gamme HW+  en version 4 Pôles Débrochable  (pièce détachée)</t>
  </si>
  <si>
    <t>HWY260HSA</t>
  </si>
  <si>
    <t>Adaptateur verrouillage en position OFF par clé  Ronis ou Profalux ou Kirk pour disjoncteur ou interrupteur HW1 de la gamme HW+ (pièce détachée)</t>
  </si>
  <si>
    <t>HWY269HSA</t>
  </si>
  <si>
    <t>Verrouillage en position OFF pour cadenas pour disjoncteur ou interrupteur HW1 de la gamme HW+ (pièce détachée)</t>
  </si>
  <si>
    <t>HWY270HSA</t>
  </si>
  <si>
    <t>Adaptateur verrouillage châssis pour serrure Ronis pour disjoncteur ou interrupteur HW1 de la gamme HW+ (pièce détachée)</t>
  </si>
  <si>
    <t>HWY360HSA</t>
  </si>
  <si>
    <t>Sans verrouillage bouton OFF pour disjoncteur de la gamme HW+ (pièce détachée)</t>
  </si>
  <si>
    <t>HWY950HSA</t>
  </si>
  <si>
    <t>Connecteur d'auxiliaire type A 6/3</t>
  </si>
  <si>
    <t>HWY951HSA</t>
  </si>
  <si>
    <t>Connecteur type B pour déclencheur Sentinel LSI et Sentinel Energy pour disjoncteur ou interrupteur HW1 de la gamme HW+ (pièce détachée)</t>
  </si>
  <si>
    <t>HWY952HSA</t>
  </si>
  <si>
    <t>Connecteur type C  pour ZSI. OAC pour disjoncteur ou interrupteur HW1 de la gamme HW+ (pièce détachée)</t>
  </si>
  <si>
    <t>HWW470HSA</t>
  </si>
  <si>
    <t>Calibreur In= 2000A pour disjoncteur de la gamme HW+ (pièce détachée)</t>
  </si>
  <si>
    <t>HWW471HSA</t>
  </si>
  <si>
    <t>Calibreur In= 2500A pour disjoncteur de la gamme HW+ (pièce détachée)</t>
  </si>
  <si>
    <t>HWX011HSA</t>
  </si>
  <si>
    <t>Moteur de rechargement 24V AC 50/60Hz pour disjoncteur ou interrupteur HW2 ou HW4 de la gamme HW+ (pièce détachée)</t>
  </si>
  <si>
    <t>HWX012HSA</t>
  </si>
  <si>
    <t>Moteur de rechargement 48V AC 50/60Hz pour disjoncteur ou interrupteur HW2 ou HW4 de la gamme HW+ (pièce détachée)</t>
  </si>
  <si>
    <t>HWX014HSA</t>
  </si>
  <si>
    <t>Moteur de rechargement 200-250V AC 50/60Hz pour disjoncteur ou interrupteur HW2 ou HW4 de la gamme HW+ (pièce détachée)</t>
  </si>
  <si>
    <t>HWX015HSA</t>
  </si>
  <si>
    <t>Moteur de rechargement 380-400V AC 50/60Hz pour disjoncteur ou interrupteur HW2 ou HW4 de la gamme HW+ (pièce détachée)</t>
  </si>
  <si>
    <t>HWX042HSA</t>
  </si>
  <si>
    <t>Contact auxiliaire pour disjoncteur ou interrupteur HW2 ou HW4 de la gamme HW+ (pièce détachée)</t>
  </si>
  <si>
    <t>HWX043HSA</t>
  </si>
  <si>
    <t>Contact auxiliaire bas niveau pour disjoncteur ou interrupteur HW2 ou HW4 de la gamme HW+ (pièce détachée)</t>
  </si>
  <si>
    <t>HWX048HSA</t>
  </si>
  <si>
    <t>Contact Défaut Déclenchement pour disjoncteur ou interrupteur HW2 ou HW4 de la gamme HW+ (pièce détachée)</t>
  </si>
  <si>
    <t>HWX071HSA</t>
  </si>
  <si>
    <t>Compteur de cycles ON/OFF HW2/4 pour disjoncteur ou interrupteur HW2 ou HW4 de la gamme HW+ (pièce détachée)</t>
  </si>
  <si>
    <t>HWX092HSA</t>
  </si>
  <si>
    <t>Contact prêt à fermer pour disjoncteur ou interrupteur HW2 ou HW4 de la gamme HW+ (pièce détachée)</t>
  </si>
  <si>
    <t>HWX711HSA</t>
  </si>
  <si>
    <t>Moteur de rechargement 24V DC pour disjoncteur ou interrupteur HW2 ou HW4 de la gamme HW+ (pièce détachée)</t>
  </si>
  <si>
    <t>HWX712HSA</t>
  </si>
  <si>
    <t>Moteur de rechargement 48V DC pour disjoncteur ou interrupteur HW2 ou HW4 de la gamme HW+ (pièce détachée)</t>
  </si>
  <si>
    <t>HWX714HSA</t>
  </si>
  <si>
    <t>Moteur de rechargement 200-250V DC pour disjoncteur ou interrupteur HW2 ou HW4 de la gamme HW+ (pièce détachée)</t>
  </si>
  <si>
    <t>HWY090HSA</t>
  </si>
  <si>
    <t>Capot Bouton Poussoir pour condanation par cadenas pour disjoncteur ou interrupteur HW2-HW4 de la gamme HW+ (pièce détachée)</t>
  </si>
  <si>
    <t>HWY097HSA</t>
  </si>
  <si>
    <t>Capot Bornier de Commande pour disjoncteur ou interrupteur HW2 de la gamme HW+ en version Fixe  (pièce détachée)</t>
  </si>
  <si>
    <t>HWY098HSA</t>
  </si>
  <si>
    <t>Capot Bornier de Commande pour disjoncteur ou interrupteur HW2 de la gamme HW+ en version Débrochable  (pièce détachée)</t>
  </si>
  <si>
    <t>HWY160HSA</t>
  </si>
  <si>
    <t>Prises Arrière - haut/bas - 66/100kA pour disjoncteur ou interrupteur HW2 3 pôles de la gamme HW+ (pièce détachée)</t>
  </si>
  <si>
    <t>HWY161HSA</t>
  </si>
  <si>
    <t>Prises Arrière - haut/bas - 66/100kA pour disjoncteur ou interrupteur HW2 4 pôles de la gamme HW+ (pièce détachée)</t>
  </si>
  <si>
    <t>HWY261HSA</t>
  </si>
  <si>
    <t>Adaptateur verrouillage en position OFF par clé  Ronis ou Profalux ou Kirk pour disjoncteur ou interrupteur HW2 de la gamme HW+ (pièce détachée)</t>
  </si>
  <si>
    <t>HWY265HSA</t>
  </si>
  <si>
    <t>Verrouillage en position OFF pour cadenas pour disjoncteur ou interrupteur HW2 ou HW4 de la gamme HW+ (pièce détachée)</t>
  </si>
  <si>
    <t>HWY271HSA</t>
  </si>
  <si>
    <t>Adaptateur verrouillage châssis pour serrure Ronis pour disjoncteur ou interrupteur HW2 de la gamme HW+ (pièce détachée)</t>
  </si>
  <si>
    <t>HWY277H</t>
  </si>
  <si>
    <t>Détrompeur pour disjoncteur ou interrupteur débrochable HW2 ou HW4 de la gamme HW+</t>
  </si>
  <si>
    <t>HWY284H</t>
  </si>
  <si>
    <t>Cadre de porte fine pour disjoncteur ou interrupteur HW2 de la gamme HW+ en version Fixe</t>
  </si>
  <si>
    <t>HWY285H</t>
  </si>
  <si>
    <t>Cadre de porte fine pour disjoncteur ou interrupteur HW2 de la gamme HW+ en version Débrochable</t>
  </si>
  <si>
    <t>HWY362HSA</t>
  </si>
  <si>
    <t>Sans verrouillage bouton OFF pour disjoncteur ou interrupteur ouvert HW2 ou HW4 de la gamme HW+ (pièce détachée)</t>
  </si>
  <si>
    <t>35.2557€</t>
  </si>
  <si>
    <t>HWW472HSA</t>
  </si>
  <si>
    <t>Calibreur In= 3200A pour disjoncteur de la gamme HW+ (pièce détachée)</t>
  </si>
  <si>
    <t>HWW473HSA</t>
  </si>
  <si>
    <t>Calibreur In= 4000A pour disjoncteur de la gamme HW+ (pièce détachée)</t>
  </si>
  <si>
    <t>HWW686HSA</t>
  </si>
  <si>
    <t>Calibreur In= 800A Harmonic pour disjoncteur équipé d\'un déclencheur sentinel Energy de la gamme HW+ (pièce détachée)</t>
  </si>
  <si>
    <t>HWW687HSA</t>
  </si>
  <si>
    <t>Calibreur In= 1000A Harmonic pour disjoncteur équipé d\'un déclencheur sentinel Energy de la gamme HW+ (pièce détachée)</t>
  </si>
  <si>
    <t>HWW688HSA</t>
  </si>
  <si>
    <t>Calibreur In= 1250A Harmonic pour disjoncteur équipé d\'un déclencheur sentinel Energy de la gamme HW+ (pièce détachée)</t>
  </si>
  <si>
    <t>HWW689HSA</t>
  </si>
  <si>
    <t>Calibreur In= 1600A Harmonic pour disjoncteur équipé d\'un déclencheur sentinel Energy de la gamme HW+ (pièce détachée)</t>
  </si>
  <si>
    <t>HWW690HSA</t>
  </si>
  <si>
    <t>Calibreur In= 2000A Harmonic pour disjoncteur équipé d\'un déclencheur sentinel Energy de la gamme HW+ (pièce détachée)</t>
  </si>
  <si>
    <t>HWW691HSA</t>
  </si>
  <si>
    <t>Calibreur In= 2500A Harmonic pour disjoncteur équipé d\'un déclencheur sentinel Energy de la gamme HW+ (pièce détachée)</t>
  </si>
  <si>
    <t>HWW692HSA</t>
  </si>
  <si>
    <t>Calibreur In= 3200A Harmonic pour disjoncteur équipé d\'un déclencheur sentinel Energy de la gamme HW+ (pièce détachée)</t>
  </si>
  <si>
    <t>HWW693HSA</t>
  </si>
  <si>
    <t>Calibreur In= 4000A Harmonic pour disjoncteur équipé d\'un déclencheur sentinel Energy de la gamme HW+ (pièce détachée)</t>
  </si>
  <si>
    <t>HWW726HSA</t>
  </si>
  <si>
    <t>Calibreur In= 800A Ultimate pour disjoncteur équipé d\'un déclencheur sentinel Energy de la gamme HW+ (pièce détachée)</t>
  </si>
  <si>
    <t>HWW727HSA</t>
  </si>
  <si>
    <t>Calibreur In= 1000A Ultimate pour disjoncteur équipé d\'un déclencheur sentinel Energy de la gamme HW+ (pièce détachée)</t>
  </si>
  <si>
    <t>HWW728HSA</t>
  </si>
  <si>
    <t>Calibreur In= 1250A Ultimate pour disjoncteur équipé d\'un déclencheur sentinel Energy de la gamme HW+ (pièce détachée)</t>
  </si>
  <si>
    <t>HWW729HSA</t>
  </si>
  <si>
    <t>Calibreur In= 1600A Ultimate pour disjoncteur équipé d\'un déclencheur sentinel Energy de la gamme HW+ (pièce détachée)</t>
  </si>
  <si>
    <t>HWW730HSA</t>
  </si>
  <si>
    <t>Calibreur In= 2000A Ultimate pour disjoncteur équipé d\'un déclencheur sentinel Energy de la gamme HW+ (pièce détachée)</t>
  </si>
  <si>
    <t>HWW731HSA</t>
  </si>
  <si>
    <t>Calibreur In= 2500A Ultimate pour disjoncteur équipé d\'un déclencheur sentinel Energy de la gamme HW+ (pièce détachée)</t>
  </si>
  <si>
    <t>HWW732HSA</t>
  </si>
  <si>
    <t>Calibreur In= 3200A Ultimate pour disjoncteur équipé d\'un déclencheur sentinel Energy de la gamme HW+ (pièce détachée)</t>
  </si>
  <si>
    <t>HWW733HSA</t>
  </si>
  <si>
    <t>Calibreur In= 4000A Ultimate pour disjoncteur équipé d\'un déclencheur sentinel Energy de la gamme HW+ (pièce détachée)</t>
  </si>
  <si>
    <t>HWY210H</t>
  </si>
  <si>
    <t>Adaptateur ACB pour écran déporté HTD210H pour disjoncteur équipé d\'un déclencheur sentinel Energy de la gamme HW+</t>
  </si>
  <si>
    <t>70.5028€</t>
  </si>
  <si>
    <t>HWX060HSA</t>
  </si>
  <si>
    <t>Module d\'isolation (INS) disjoncteur sentinel Energy gamme HW+ (pièce détachée)</t>
  </si>
  <si>
    <t>HWY068HSA</t>
  </si>
  <si>
    <t>Prises Arrières - haut/bas - 85/120kA - 1000-2500A pour disjoncteur ou interrupteur HW4 3 pôles de la gamme HW+ (pièce détachée)</t>
  </si>
  <si>
    <t>HWY069HSA</t>
  </si>
  <si>
    <t>Prises Arrières - haut/bas - 85/120kA - 1000-2500A pour disjoncteur ou interrupteur HW4 4 pôles de la gamme HW+ (pièce détachée)</t>
  </si>
  <si>
    <t>HWY099HSA</t>
  </si>
  <si>
    <t>Capot Bornier de commande pour disjoncteur ou interrupteur HW4 de la gamme HW+ en version Fixe  (pièce détachée)</t>
  </si>
  <si>
    <t>HWY100HSA</t>
  </si>
  <si>
    <t>Capot Bornier de commande pour disjoncteur ou interrupteur HW4 de la gamme HW+ en version Débrochable  (pièce détachée)</t>
  </si>
  <si>
    <t>HWY168HSA</t>
  </si>
  <si>
    <t>Prises Arrières - haut/bas - 85/120kA - 3200-4000A pour disjoncteur ou interrupteur HW4 3 pôles de la gamme HW+ (pièce détachée)</t>
  </si>
  <si>
    <t>HWY169HSA</t>
  </si>
  <si>
    <t>Prises Arrières - haut/bas - 85/120kA - 3200-4000A pour disjoncteur ou interrupteur HW4 4 pôles de la gamme HW+ (pièce détachée)</t>
  </si>
  <si>
    <t>HWY288H</t>
  </si>
  <si>
    <t>Cadre de porte fine pour HW4 Fixe (DF)</t>
  </si>
  <si>
    <t>HWY289H</t>
  </si>
  <si>
    <t>Cadre de porte fine pour HW4 Débro (DF)</t>
  </si>
  <si>
    <t>HWY965HSA</t>
  </si>
  <si>
    <t>Module de communication Modbus RTU pour disjoncteur sentinel Energy de la gamme HW+ (pièce détachée)</t>
  </si>
  <si>
    <t>HWY966HSA</t>
  </si>
  <si>
    <t>Module de communication Modbus TCP/IP pour disjoncteur sentinel Energy de la gamme HW+ (pièce détachée)</t>
  </si>
  <si>
    <t>HWY226H</t>
  </si>
  <si>
    <t>Plat.Interv.Méca.HW2/4 Fix 2-Secours(MI)</t>
  </si>
  <si>
    <t>HWY227H</t>
  </si>
  <si>
    <t>Plat.Interv.Méca.HW2/4 DO 2-Secours(MI)</t>
  </si>
  <si>
    <t>HWY230H</t>
  </si>
  <si>
    <t>Platine pour interverr.méca. HW1 Fixe Couplage (type 3C) - 1 platine/ACB (MI)</t>
  </si>
  <si>
    <t>HWY231H</t>
  </si>
  <si>
    <t>Platine pour interverr.méca. HW1 Débro Couplage (type 3C) - 1 platine/ACB (MI)</t>
  </si>
  <si>
    <t>HWY232H</t>
  </si>
  <si>
    <t>Plat.Interv.Méca.HW2/4 Fixe 3-Coupl.(MI)</t>
  </si>
  <si>
    <t>HWY233H</t>
  </si>
  <si>
    <t>Plat.Interv.Méca.HW2/4 DO 3-Couplage(MI)</t>
  </si>
  <si>
    <t>HWY234H</t>
  </si>
  <si>
    <t>Platine pour interverr.méca. HW1 Fixe Secours (type 3S) - 1 platine/ACB (MI)</t>
  </si>
  <si>
    <t>HWY235H</t>
  </si>
  <si>
    <t>Platine pour interverr.méca. HW1 Débro Secours (type 3S) - 1 platine/ACB (MI)</t>
  </si>
  <si>
    <t>HWY236H</t>
  </si>
  <si>
    <t>Plat.Interv.Méca.HW2/4 Fix 3-Secours(MI)</t>
  </si>
  <si>
    <t>HWY237H</t>
  </si>
  <si>
    <t>Plat.Interv.Méca.HW2/4 DO 3-Secours(MI)</t>
  </si>
  <si>
    <t>HE1E316CA0AA-MTS</t>
  </si>
  <si>
    <t>Châssis seul pour disjoncteur ou interrupteur ouvert HW1 de la gamme HW+ en version 3 pôles</t>
  </si>
  <si>
    <t>799.2281€</t>
  </si>
  <si>
    <t>HE1E416CA0AA-MTS</t>
  </si>
  <si>
    <t>Châssis seul pour disjoncteur ou interrupteur ouvert HW1 de la gamme HW+ en version 4 pôles</t>
  </si>
  <si>
    <t>949.0874€</t>
  </si>
  <si>
    <t>HE2E325CA0AA-MTS</t>
  </si>
  <si>
    <t>Châssis seul pour disjoncteur ou interrupteur ouvert HW2 de la gamme HW+ en version 3 pôles</t>
  </si>
  <si>
    <t>1198.8443€</t>
  </si>
  <si>
    <t>HE2E425CA0AA-MTS</t>
  </si>
  <si>
    <t>Châssis seul pour disjoncteur ou interrupteur ouvert HW2 de la gamme HW+ en version 4 pôles</t>
  </si>
  <si>
    <t>1598.4562€</t>
  </si>
  <si>
    <t>HE4E340CA0AA-MTS</t>
  </si>
  <si>
    <t>Châssis seul pour disjoncteur ou interrupteur ouvert HW3 de la gamme HW+ en version 3 pôles</t>
  </si>
  <si>
    <t>1332.0454€</t>
  </si>
  <si>
    <t>HE4E440CA0AA-MTS</t>
  </si>
  <si>
    <t>Châssis seul pour disjoncteur ou interrupteur ouvert HW4 de la gamme HW+ en version 4 pôles</t>
  </si>
  <si>
    <t>1760.205€</t>
  </si>
  <si>
    <t>HWX057HSA</t>
  </si>
  <si>
    <t>Capteur de position communiquant  pour disjoncteur ou interrupteur HW1 de la gamme HW+  en version Débrochable (pièce détachée)</t>
  </si>
  <si>
    <t>299.7143€</t>
  </si>
  <si>
    <t>HWX058HSA</t>
  </si>
  <si>
    <t>Capteur de position communiquant pour disjoncteur ou interrupteur HW2 de la gamme HW+ en version Débrochable (pièce détachée)</t>
  </si>
  <si>
    <t>HWX059HSA</t>
  </si>
  <si>
    <t>Capteur de position communiquant pour disjoncteur ou interrupteur HW4 OU HW6 de la gamme HW+ en version Débrochable (pièce détachée)</t>
  </si>
  <si>
    <t>HWY282H</t>
  </si>
  <si>
    <t>Cadre de porte pour disjoncteur ou interrupteur HW1 de la gamme HW+ en version Fixe</t>
  </si>
  <si>
    <t>HWY283H</t>
  </si>
  <si>
    <t>Cadre de porte pour disjoncteur ou interrupteur HW1 de la gamme HW+ en version Débrochable</t>
  </si>
  <si>
    <t>HWY286H</t>
  </si>
  <si>
    <t>Cadre de porte pour disjoncteur ou interrupteur HW2 de la gamme HW+ en version Fixe</t>
  </si>
  <si>
    <t>HWY287H</t>
  </si>
  <si>
    <t>Cadre de porte pour disjoncteur ou interrupteur HW2 de la gamme HW+ en version Débrochable</t>
  </si>
  <si>
    <t>HWY290H</t>
  </si>
  <si>
    <t>Cadre de porte pour disjoncteur ou interrupteur HW4 de la gamme HW+ en version Fixe</t>
  </si>
  <si>
    <t>HWY291H</t>
  </si>
  <si>
    <t>Cadre de porte pour disjoncteur ou interrupteur HW4 de la gamme HW+ en version Débrochable</t>
  </si>
  <si>
    <t>HWW464HSA</t>
  </si>
  <si>
    <t>Calibreur 400A</t>
  </si>
  <si>
    <t>23.2587€</t>
  </si>
  <si>
    <t>HWW465HSA</t>
  </si>
  <si>
    <t>Calibreur 630A</t>
  </si>
  <si>
    <t>HWW474HSA</t>
  </si>
  <si>
    <t>Calibreur 5000A</t>
  </si>
  <si>
    <t>HWW475HSA</t>
  </si>
  <si>
    <t>Calibreur 6300A</t>
  </si>
  <si>
    <t>HWW684HSA</t>
  </si>
  <si>
    <t>Calibreur 400A Harmonic</t>
  </si>
  <si>
    <t>323.3901€</t>
  </si>
  <si>
    <t>HWW685HSA</t>
  </si>
  <si>
    <t>Calibreur 630A Harmonic</t>
  </si>
  <si>
    <t>HWW694HSA</t>
  </si>
  <si>
    <t>Calibreur 5000A Harmonic</t>
  </si>
  <si>
    <t>HWW695HSA</t>
  </si>
  <si>
    <t>Calibreur 6300A Harmonic</t>
  </si>
  <si>
    <t>HWW724HSA</t>
  </si>
  <si>
    <t>Calibreur 400A Ultimate</t>
  </si>
  <si>
    <t>810.6876€</t>
  </si>
  <si>
    <t>HWW725HSA</t>
  </si>
  <si>
    <t>Calibreur 630A Ultimate</t>
  </si>
  <si>
    <t>HWW734HSA</t>
  </si>
  <si>
    <t>Calibreur 5000A Ultimate</t>
  </si>
  <si>
    <t>HWW735HSA</t>
  </si>
  <si>
    <t>Calibreur 6300A Ultimate</t>
  </si>
  <si>
    <t>HWY170HSA</t>
  </si>
  <si>
    <t>Prises Arrière horiz. HW6 NRT 1xunit(RC)</t>
  </si>
  <si>
    <t>494.5€</t>
  </si>
  <si>
    <t>HWY171HSA</t>
  </si>
  <si>
    <t>Prises Arrière horiz. HW6 S 1xunit (RC)</t>
  </si>
  <si>
    <t>HWY172HSA</t>
  </si>
  <si>
    <t>Prises Arrière vertic. HW6 1xunit (RC)</t>
  </si>
  <si>
    <t>HWY240HSA</t>
  </si>
  <si>
    <t>Séparateurs de phases HW1 3P (IB)</t>
  </si>
  <si>
    <t>80.84€</t>
  </si>
  <si>
    <t>HWY241HSA</t>
  </si>
  <si>
    <t>Séparateurs de phases HW1 4P (IB)</t>
  </si>
  <si>
    <t>107.5€</t>
  </si>
  <si>
    <t>HWY246HSA</t>
  </si>
  <si>
    <t>Séparat.phase 3P HW2 HW4 Fixe (IB)</t>
  </si>
  <si>
    <t>HWY247HSA</t>
  </si>
  <si>
    <t>Séparat.phase 4P HW2 HW4 Fixe (IB)</t>
  </si>
  <si>
    <t>HWY248HSA</t>
  </si>
  <si>
    <t>Séparat. phase 3P HW2 HW4 Débro (IB)</t>
  </si>
  <si>
    <t>HWY249HSA</t>
  </si>
  <si>
    <t>Séparat. phase 4P HW2 HW4 Débro (IB)</t>
  </si>
  <si>
    <t>XEM510</t>
  </si>
  <si>
    <t>Gestionnaire de puissance 10 bornes</t>
  </si>
  <si>
    <t xml:space="preserve">HAECCM15 </t>
  </si>
  <si>
    <t>E MOBILITE ACCESSOIRE GESTION ENERGIE</t>
  </si>
  <si>
    <t>927.654€</t>
  </si>
  <si>
    <t>XEM520</t>
  </si>
  <si>
    <t>Gestionnaire 40 bornes avec backend</t>
  </si>
  <si>
    <t>1612.5€</t>
  </si>
  <si>
    <t>XEM470</t>
  </si>
  <si>
    <t>Energy Management Controller flow</t>
  </si>
  <si>
    <t>322.668€</t>
  </si>
  <si>
    <t>EHN010</t>
  </si>
  <si>
    <t>Interrupteur horaire électromécanique compact 1 voie sur 24 heures sans réserve</t>
  </si>
  <si>
    <t xml:space="preserve">HACHAM15 </t>
  </si>
  <si>
    <t>IH MODUL ANALOGIQUE</t>
  </si>
  <si>
    <t>93.654€</t>
  </si>
  <si>
    <t>EHN011</t>
  </si>
  <si>
    <t>Interrupteur horaire électromécanique compact 1 voie sur 24 heures avec réserve</t>
  </si>
  <si>
    <t>136.032€</t>
  </si>
  <si>
    <t>EHN110</t>
  </si>
  <si>
    <t>Interrupteur horaire électromécanique 1 voie sur 24 heures sans réserve</t>
  </si>
  <si>
    <t>97.08€</t>
  </si>
  <si>
    <t>EHN111</t>
  </si>
  <si>
    <t>Interrupteur horaire électromécanique 1 voie sur 24 heures avec réserve</t>
  </si>
  <si>
    <t>133.98€</t>
  </si>
  <si>
    <t>EHN171</t>
  </si>
  <si>
    <t>Interrupteur horaire électromécanique 1 voie sur 7 jours avec réserve</t>
  </si>
  <si>
    <t>155.172€</t>
  </si>
  <si>
    <t>XEV1K07T2S</t>
  </si>
  <si>
    <t>witty solar borne de recharge IP55 1x7kW M3T2S avec accès RFID pour 1 VE. fonctionne avec le gestionnaire d\'optimisation de l\'autoconsommation flow</t>
  </si>
  <si>
    <t xml:space="preserve">HAEADM15 </t>
  </si>
  <si>
    <t>E MOBILITE RESIDENTIEL WITTY SOLAR</t>
  </si>
  <si>
    <t>777.312€</t>
  </si>
  <si>
    <t>XEV1K07T2SEMC</t>
  </si>
  <si>
    <t>Witty solar Kit borne 1x7kW M3T2S RFID + Gestionnaire flow + Compteur PV 230V</t>
  </si>
  <si>
    <t>1156.008€</t>
  </si>
  <si>
    <t>XEV1K22T2S</t>
  </si>
  <si>
    <t>witty solar borne de recharge IP55 1x22kW M3T2S avec accès RFID pour 1 VE. fonctionne avec le gestionnaire d\'optimisation de l\'autoconsommation flow</t>
  </si>
  <si>
    <t>920.766€</t>
  </si>
  <si>
    <t>XEV1K22T2SEMC</t>
  </si>
  <si>
    <t>Witty solar Kit borne 1x22kW M3T2S RFID + Gestionnaire flow + Compteur PV 400V</t>
  </si>
  <si>
    <t>1249.02€</t>
  </si>
  <si>
    <t>XVL122SFL</t>
  </si>
  <si>
    <t>Witty plus borne de recharge. IP54 1x 7.4 ou 22kW 1Ph/3Ph avec prise T2S. équipée de la carte TIC Filaire. accès par RFID. application bluetooth. carte de com. OCPP. compteur MID intégré à la borne. compatible SOLAR avec XEV6xx ou XEM470</t>
  </si>
  <si>
    <t>1152.948€</t>
  </si>
  <si>
    <t>EZD100</t>
  </si>
  <si>
    <t>Relais temporisé à la mise sous tension 24-240V AC/DC</t>
  </si>
  <si>
    <t xml:space="preserve">HATARM03 </t>
  </si>
  <si>
    <t>RELAIS TEMPORISES</t>
  </si>
  <si>
    <t>157.491€</t>
  </si>
  <si>
    <t>EZF100</t>
  </si>
  <si>
    <t>Relais temporisé à la mise hors tension avec contact d\'entrée 24-240V AC/DC</t>
  </si>
  <si>
    <t>172.2555€</t>
  </si>
  <si>
    <t>EZM100</t>
  </si>
  <si>
    <t>Relais temporisé multifonction 12-240V AC/DC</t>
  </si>
  <si>
    <t>182.1015€</t>
  </si>
  <si>
    <t>HW2E316DB</t>
  </si>
  <si>
    <t>Disjoncteur Ouvert HW2 de la gamme HW+ avec un pouvoir de coupure de 66 kA et une intensité nominale de 1600A en version 3 Pôles Débrochable pour Déclencheur sentinel LSI</t>
  </si>
  <si>
    <t xml:space="preserve">HATRBM15 </t>
  </si>
  <si>
    <t>DISJONCTEURS OUVERTS HW2</t>
  </si>
  <si>
    <t>5716.5404€</t>
  </si>
  <si>
    <t>HW2E316FB</t>
  </si>
  <si>
    <t>Disjoncteur Ouvert HW2 de la gamme HW+ avec un pouvoir de coupure de 66 kA et une intensité nominale de 1600A en version 3 Pôles Fixe pour Déclencheur sentinel LSI</t>
  </si>
  <si>
    <t>HW2E320DB</t>
  </si>
  <si>
    <t>Disjoncteur Ouvert HW2 de la gamme HW+ avec un pouvoir de coupure de 66 kA et une intensité nominale de 2000A en version 3 Pôles Débrochable pour Déclencheur sentinel LSI</t>
  </si>
  <si>
    <t>6755.9149€</t>
  </si>
  <si>
    <t>HW2E320FB</t>
  </si>
  <si>
    <t>Disjoncteur Ouvert HW2 de la gamme HW+ avec un pouvoir de coupure de 66 kA et une intensité nominale de 2000A en version 3 Pôles Fixe pour Déclencheur sentinel LSI</t>
  </si>
  <si>
    <t>HW2E325DB</t>
  </si>
  <si>
    <t>Disjoncteur Ouvert HW2 de la gamme HW+ avec un pouvoir de coupure de 66 kA et une intensité nominale de 2500A en version 3 Pôles Débrochable pour Déclencheur sentinel LSI</t>
  </si>
  <si>
    <t>8834.651€</t>
  </si>
  <si>
    <t>HW2E325FB</t>
  </si>
  <si>
    <t>Disjoncteur Ouvert HW2 de la gamme HW+ avec un pouvoir de coupure de 66 kA et une intensité nominale de 2500A en version 3 Pôles Fixe pour Déclencheur sentinel LSI</t>
  </si>
  <si>
    <t>HW2E416DB</t>
  </si>
  <si>
    <t>Disjoncteur Ouvert HW2 de la gamme HW+ avec un pouvoir de coupure de 66 kA et une intensité nominale de 1600A en version 4 Pôles Débrochable pour Déclencheur sentinel LSI</t>
  </si>
  <si>
    <t>HW2E416FB</t>
  </si>
  <si>
    <t>Disjoncteur Ouvert HW2 de la gamme HW+ avec un pouvoir de coupure de 66 kA et une intensité nominale de 1600A en version 4 Pôles Fixe pour Déclencheur sentinel LSI</t>
  </si>
  <si>
    <t>HW2E420DB</t>
  </si>
  <si>
    <t>Disjoncteur Ouvert HW2 de la gamme HW+ avec un pouvoir de coupure de 66 kA et une intensité nominale de 2000A en version 4 Pôles Débrochable pour Déclencheur sentinel LSI</t>
  </si>
  <si>
    <t>7275.5957€</t>
  </si>
  <si>
    <t>HW2E420FB</t>
  </si>
  <si>
    <t>Disjoncteur Ouvert HW2 de la gamme HW+ avec un pouvoir de coupure de 66 kA et une intensité nominale de 2000A en version 4 Pôles Fixe pour Déclencheur sentinel LSI</t>
  </si>
  <si>
    <t>HW2E425DB</t>
  </si>
  <si>
    <t>Disjoncteur Ouvert HW2 de la gamme HW+ avec un pouvoir de coupure de 66 kA et une intensité nominale de 2500A en version 4 Pôles Débrochable pour Déclencheur sentinel LSI</t>
  </si>
  <si>
    <t>11433.0765€</t>
  </si>
  <si>
    <t>HW2E425FB</t>
  </si>
  <si>
    <t>Disjoncteur Ouvert HW2 de la gamme HW+ avec un pouvoir de coupure de 66 kA et une intensité nominale de 2500A en version 4 Pôles Fixe pour Déclencheur sentinel LSI</t>
  </si>
  <si>
    <t>HW2S316DB</t>
  </si>
  <si>
    <t>Disjoncteur Ouvert HW2 de la gamme HW+ avec un pouvoir de coupure de 100 kA et une intensité nominale de 1600A en version 3 Pôles Débrochable pour Déclencheur sentinel LSI</t>
  </si>
  <si>
    <t>6236.2298€</t>
  </si>
  <si>
    <t>HW2S316FB</t>
  </si>
  <si>
    <t>Disjoncteur Ouvert HW2 de la gamme HW+ avec un pouvoir de coupure de 100 kA et une intensité nominale de 1600A en version 3 Pôles Fixe pour Déclencheur sentinel LSI</t>
  </si>
  <si>
    <t>HW2S320DB</t>
  </si>
  <si>
    <t>Disjoncteur Ouvert HW2 de la gamme HW+ avec un pouvoir de coupure de 100 kA et une intensité nominale de 2000A en version 3 Pôles Débrochable pour Déclencheur sentinel LSI</t>
  </si>
  <si>
    <t>7795.2851€</t>
  </si>
  <si>
    <t>HW2S320FB</t>
  </si>
  <si>
    <t>Disjoncteur Ouvert HW2 de la gamme HW+ avec un pouvoir de coupure de 100 kA et une intensité nominale de 2000A en version 3 Pôles Fixe pour Déclencheur sentinel LSI</t>
  </si>
  <si>
    <t>HW2S325DB</t>
  </si>
  <si>
    <t>Disjoncteur Ouvert HW2 de la gamme HW+ avec un pouvoir de coupure de 100 kA et une intensité nominale de 2500A en version 3 Pôles Débrochable pour Déclencheur sentinel LSI</t>
  </si>
  <si>
    <t>10393.7063€</t>
  </si>
  <si>
    <t>HW2S325FB</t>
  </si>
  <si>
    <t>Disjoncteur Ouvert HW2 de la gamme HW+ avec un pouvoir de coupure de 100 kA et une intensité nominale de 2500A en version 3 Pôles Fixe pour Déclencheur sentinel LSI</t>
  </si>
  <si>
    <t>HW2S416DB</t>
  </si>
  <si>
    <t>Disjoncteur Ouvert HW2 de la gamme HW+ avec un pouvoir de coupure de 100 kA et une intensité nominale de 1600A en version 4 Pôles Débrochable pour Déclencheur sentinel LSI</t>
  </si>
  <si>
    <t>HW2S416FB</t>
  </si>
  <si>
    <t>Disjoncteur Ouvert HW2 de la gamme HW+ avec un pouvoir de coupure de 100 kA et une intensité nominale de 1600A en version 4 Pôles Fixe pour Déclencheur sentinel LSI</t>
  </si>
  <si>
    <t>HW2S420DB</t>
  </si>
  <si>
    <t>Disjoncteur Ouvert HW2 de la gamme HW+ avec un pouvoir de coupure de 100 kA et une intensité nominale de 2000A en version 4 Pôles Débrochable pour Déclencheur sentinel LSI</t>
  </si>
  <si>
    <t>HW2S420FB</t>
  </si>
  <si>
    <t>Disjoncteur Ouvert HW2 de la gamme HW+ avec un pouvoir de coupure de 100 kA et une intensité nominale de 2000A en version 4 Pôles Fixe pour Déclencheur sentinel LSI</t>
  </si>
  <si>
    <t>HW2S425DB</t>
  </si>
  <si>
    <t>Disjoncteur Ouvert HW2 de la gamme HW+ avec un pouvoir de coupure de 100 kA et une intensité nominale de 2500A en version 4 Pôles Débrochable pour Déclencheur sentinel LSI</t>
  </si>
  <si>
    <t>14551.1871€</t>
  </si>
  <si>
    <t>HW2S425FB</t>
  </si>
  <si>
    <t>Disjoncteur Ouvert HW2 de la gamme HW+ avec un pouvoir de coupure de 100 kA et une intensité nominale de 2500A en version 4 Pôles Fixe pour Déclencheur sentinel LSI</t>
  </si>
  <si>
    <t>HW2W316DS</t>
  </si>
  <si>
    <t>Interrupteur Ouvert HW2 de la gamme HW+ avec une intensité nominale de 1600A en version 3 Pôles Débrochable</t>
  </si>
  <si>
    <t>3118.1192€</t>
  </si>
  <si>
    <t>HW2W316FS</t>
  </si>
  <si>
    <t>Interrupteur Ouvert HW2 de la gamme HW+ avec une intensité nominale de 1600A en version 3 Pôles Fixe</t>
  </si>
  <si>
    <t>HW2W320DS</t>
  </si>
  <si>
    <t>Interrupteur Ouvert HW2 de la gamme HW+ avec une intensité nominale de 2000A en version 3 Pôles Débrochable</t>
  </si>
  <si>
    <t>4677.1745€</t>
  </si>
  <si>
    <t>HW2W320FS</t>
  </si>
  <si>
    <t>Interrupteur Ouvert HW2 de la gamme HW+ avec une intensité nominale de 2000A en version 3 Pôles Fixe</t>
  </si>
  <si>
    <t>HW2W325DS</t>
  </si>
  <si>
    <t>Interrupteur Ouvert HW2 de la gamme HW+ avec une intensité nominale de 2500A en version 3 Pôles Débrochable</t>
  </si>
  <si>
    <t>HW2W325FS</t>
  </si>
  <si>
    <t>Interrupteur Ouvert HW2 de la gamme HW+ avec une intensité nominale de 2500A en version 3 Pôles Fixe</t>
  </si>
  <si>
    <t>HW2W416DS</t>
  </si>
  <si>
    <t>Interrupteur Ouvert HW2 de la gamme HW+ avec une intensité nominale de 1600A en version 4 Pôles Débrochable</t>
  </si>
  <si>
    <t>4157.4851€</t>
  </si>
  <si>
    <t>HW2W416FS</t>
  </si>
  <si>
    <t>Interrupteur Ouvert HW2 de la gamme HW+ avec une intensité nominale de 1600A en version 4 Pôles Fixe</t>
  </si>
  <si>
    <t>HW2W420DS</t>
  </si>
  <si>
    <t>Interrupteur Ouvert HW2 de la gamme HW+ avec une intensité nominale de 2000A en version 4 Pôles Débrochable</t>
  </si>
  <si>
    <t>HW2W420FS</t>
  </si>
  <si>
    <t>Interrupteur Ouvert HW2 de la gamme HW+ avec une intensité nominale de 2000A en version 4 Pôles Fixe</t>
  </si>
  <si>
    <t>HW2W425DS</t>
  </si>
  <si>
    <t>Interrupteur Ouvert HW2 de la gamme HW+ avec une intensité nominale de 2500A en version 4 Pôles Débrochable</t>
  </si>
  <si>
    <t>8314.9659€</t>
  </si>
  <si>
    <t>HW2W425FS</t>
  </si>
  <si>
    <t>Interrupteur Ouvert HW2 de la gamme HW+ avec une intensité nominale de 2500A en version 4 Pôles Fixe</t>
  </si>
  <si>
    <t>HW2E316DE</t>
  </si>
  <si>
    <t>Disjoncteur Ouvert HW2 de la gamme HW+ avec un pouvoir de coupure de 66kA et une intensité nominale de 1600A en version 3 Pôles Débrochable pour déclencheur sentinel Energy</t>
  </si>
  <si>
    <t>HW2E316FE</t>
  </si>
  <si>
    <t>Disjoncteur Ouvert HW2 de la gamme HW+ avec un pouvoir de coupure de 66kA et une intensité nominale de 1600A en version 3 Pôles Fixe pour déclencheur sentinel Energy</t>
  </si>
  <si>
    <t>HW2E320DE</t>
  </si>
  <si>
    <t>Disjoncteur Ouvert HW2 de la gamme HW+ avec un pouvoir de coupure de 66kA et une intensité nominale de 2000A en version 3 Pôles Débrochable pour déclencheur sentinel Energy</t>
  </si>
  <si>
    <t>HW2E320FE</t>
  </si>
  <si>
    <t>Disjoncteur Ouvert HW2 de la gamme HW+ avec un pouvoir de coupure de 66kA et une intensité nominale de 2000A en version 3 Pôles Fixe pour déclencheur sentinel Energy</t>
  </si>
  <si>
    <t>HW2E325DE</t>
  </si>
  <si>
    <t>Disjoncteur Ouvert HW2 de la gamme HW+ avec un pouvoir de coupure de 66kA et une intensité nominale de 2500A en version 3 Pôles Débrochable pour déclencheur sentinel Energy</t>
  </si>
  <si>
    <t>HW2E325FE</t>
  </si>
  <si>
    <t>Disjoncteur Ouvert HW2 de la gamme HW+ avec un pouvoir de coupure de 66kA et une intensité nominale de 2500A en version 3 Pôles Fixe pour déclencheur sentinel Energy</t>
  </si>
  <si>
    <t>HW2E416DE</t>
  </si>
  <si>
    <t>Disjoncteur Ouvert HW2 de la gamme HW+ avec un pouvoir de coupure de 66kA et une intensité nominale de 1600A en version 4 Pôles Débrochable pour déclencheur sentinel Energy</t>
  </si>
  <si>
    <t>HW2E416FE</t>
  </si>
  <si>
    <t>Disjoncteur Ouvert HW2 de la gamme HW+ avec un pouvoir de coupure de 66kA et une intensité nominale de 1600A en version 4 Pôles Fixe pour déclencheur sentinel Energy</t>
  </si>
  <si>
    <t>HW2E420DE</t>
  </si>
  <si>
    <t>Disjoncteur Ouvert HW2 de la gamme HW+ avec un pouvoir de coupure de 66kA et une intensité nominale de 2000A en version 4 Pôles Débrochable pour déclencheur sentinel Energy</t>
  </si>
  <si>
    <t>HW2E420FE</t>
  </si>
  <si>
    <t>Disjoncteur Ouvert HW2 de la gamme HW+ avec un pouvoir de coupure de 66kA et une intensité nominale de 2000A en version 4 Pôles Fixe pour déclencheur sentinel Energy</t>
  </si>
  <si>
    <t>HW2E425DE</t>
  </si>
  <si>
    <t>Disjoncteur Ouvert HW2 de la gamme HW+ avec un pouvoir de coupure de 66kA et une intensité nominale de 2500A en version 4 Pôles Débrochable pour déclencheur sentinel Energy</t>
  </si>
  <si>
    <t>HW2E425FE</t>
  </si>
  <si>
    <t>Disjoncteur Ouvert HW2 de la gamme HW+ avec un pouvoir de coupure de 66kA et une intensité nominale de 2500A en version 4 Pôles Fixe pour déclencheur sentinel Energy</t>
  </si>
  <si>
    <t>HW2S316DE</t>
  </si>
  <si>
    <t>Disjoncteur Ouvert HW2 de la gamme HW+ avec un pouvoir de coupure de 100kA et une intensité nominale de 1600A en version 3 Pôles Débrochable pour déclencheur sentinel Energy</t>
  </si>
  <si>
    <t>HW2S316FE</t>
  </si>
  <si>
    <t>Disjoncteur Ouvert HW2 de la gamme HW+ avec un pouvoir de coupure de 100kA et une intensité nominale de 1600A en version 3 Pôles Fixe pour déclencheur sentinel Energy</t>
  </si>
  <si>
    <t>HW2S320DE</t>
  </si>
  <si>
    <t>Disjoncteur Ouvert HW2 de la gamme HW+ avec un pouvoir de coupure de 100kA et une intensité nominale de 2000A en version 3 Pôles Débrochable pour déclencheur sentinel Energy</t>
  </si>
  <si>
    <t>HW2S320FE</t>
  </si>
  <si>
    <t>Disjoncteur Ouvert HW2 de la gamme HW+ avec un pouvoir de coupure de 100kA et une intensité nominale de 2000A en version 3 Pôles Fixe pour déclencheur sentinel Energy</t>
  </si>
  <si>
    <t>HW2S325DE</t>
  </si>
  <si>
    <t>Disjoncteur Ouvert HW2 de la gamme HW+ avec un pouvoir de coupure de 100kA et une intensité nominale de 2500A en version 3 Pôles Débrochable pour déclencheur sentinel Energy</t>
  </si>
  <si>
    <t>HW2S325FE</t>
  </si>
  <si>
    <t>Disjoncteur Ouvert HW2 de la gamme HW+ avec un pouvoir de coupure de 100kA et une intensité nominale de 2500A en version 3 Pôles Fixe pour déclencheur sentinel Energy</t>
  </si>
  <si>
    <t>HW2S416DE</t>
  </si>
  <si>
    <t>Disjoncteur Ouvert HW2 de la gamme HW+ avec un pouvoir de coupure de 100kA et une intensité nominale de 1600A en version 4 Pôles Débrochable pour déclencheur sentinel Energy</t>
  </si>
  <si>
    <t>HW2S416FE</t>
  </si>
  <si>
    <t>Disjoncteur Ouvert HW2 de la gamme HW+ avec un pouvoir de coupure de 100kA et une intensité nominale de 1600A en version 4 Pôles Fixe pour déclencheur sentinel Energy</t>
  </si>
  <si>
    <t>HW2S420DE</t>
  </si>
  <si>
    <t>Disjoncteur Ouvert HW2 de la gamme HW+ avec un pouvoir de coupure de 100kA et une intensité nominale de 2000A en version 4 Pôles Débrochable pour déclencheur sentinel Energy</t>
  </si>
  <si>
    <t>HW2S420FE</t>
  </si>
  <si>
    <t>Disjoncteur Ouvert HW2 de la gamme HW+ avec un pouvoir de coupure de 100kA et une intensité nominale de 2000A en version 4 Pôles Fixe pour déclencheur sentinel Energy</t>
  </si>
  <si>
    <t>HW2S425DE</t>
  </si>
  <si>
    <t>Disjoncteur Ouvert HW2 de la gamme HW+ avec un pouvoir de coupure de 100kA et une intensité nominale de 2500A en version 4 Pôles Débrochable pour déclencheur sentinel Energy</t>
  </si>
  <si>
    <t>HW2S425FE</t>
  </si>
  <si>
    <t>Disjoncteur Ouvert HW2 de la gamme HW+ avec un pouvoir de coupure de 100kA et une intensité nominale de 2500A en version 4 Pôles Fixe pour déclencheur sentinel Energy</t>
  </si>
  <si>
    <t>HF2S325DEIH-MTS</t>
  </si>
  <si>
    <t>Disj.Ouv. HW2 100kA 2500A 3P Débro TU E</t>
  </si>
  <si>
    <t>15373.36€</t>
  </si>
  <si>
    <t>HF2S425DEIH-MTS</t>
  </si>
  <si>
    <t>Disj.Ouv. HW2 100kA 2500A 4P Débro TU E</t>
  </si>
  <si>
    <t>20177.535€</t>
  </si>
  <si>
    <t>HW2E316ZB</t>
  </si>
  <si>
    <t>Disjoncteur Ouvert HW2 de la gamme HW+ avec un pouvoir de coupure de 66 kA et une intensité nominale de 1600A en version 3 Pôles Débrochable sans chassis pour Déclencheur sentinel LSI</t>
  </si>
  <si>
    <t>5632.0626€</t>
  </si>
  <si>
    <t>HW2E316ZE</t>
  </si>
  <si>
    <t>Disjoncteur Ouvert HW2 de la gamme HW+ avec un pouvoir de coupure de 66 kA et une intensité nominale de 1600A en version 3 Pôles Débrochable sans chassis pour Déclencheur sentinel Energy</t>
  </si>
  <si>
    <t>HW2E320ZB</t>
  </si>
  <si>
    <t>Disjoncteur Ouvert HW2 de la gamme HW+ avec un pouvoir de coupure de 66 kA et une intensité nominale de 2000A en version 3 Pôles Débrochable sans chassis pour Déclencheur sentinel LSI</t>
  </si>
  <si>
    <t>6656.0689€</t>
  </si>
  <si>
    <t>HW2E320ZE</t>
  </si>
  <si>
    <t>Disjoncteur Ouvert HW2 de la gamme HW+ avec un pouvoir de coupure de 66 kA et une intensité nominale de 2000A en version 3 Pôles Débrochable sans chassis pour Déclencheur sentinel Energy</t>
  </si>
  <si>
    <t>HW2E325ZB</t>
  </si>
  <si>
    <t>Disjoncteur Ouvert HW2 de la gamme HW+ avec un pouvoir de coupure de 66 kA et une intensité nominale de 2500A en version 3 Pôles Débrochable sans chassis pour Déclencheur sentinel LSI</t>
  </si>
  <si>
    <t>8704.0901€</t>
  </si>
  <si>
    <t>HW2E325ZE</t>
  </si>
  <si>
    <t>Disjoncteur Ouvert HW2 de la gamme HW+ avec un pouvoir de coupure de 66 kA et une intensité nominale de 2500A en version 3 Pôles Débrochable sans chassis pour Déclencheur sentinel Energy</t>
  </si>
  <si>
    <t>HW2E416ZB</t>
  </si>
  <si>
    <t>Disjoncteur Ouvert HW2 de la gamme HW+ avec un pouvoir de coupure de 66 kA et une intensité nominale de 1600A en version 4 Pôles Débrochable sans chassis pour Déclencheur sentinel LSI</t>
  </si>
  <si>
    <t>HW2E416ZE</t>
  </si>
  <si>
    <t>Disjoncteur Ouvert HW2 de la gamme HW+ avec un pouvoir de coupure de 66 kA et une intensité nominale de 1600A en version 4 Pôles Débrochable sans chassis pour Déclencheur sentinel Energy</t>
  </si>
  <si>
    <t>HW2E420ZB</t>
  </si>
  <si>
    <t>Disjoncteur Ouvert HW2 de la gamme HW+ avec un pouvoir de coupure de 66 kA et une intensité nominale de 2000A en version 4 Pôles Débrochable sans chassis pour Déclencheur sentinel LSI</t>
  </si>
  <si>
    <t>7168.0742€</t>
  </si>
  <si>
    <t>HW2E420ZE</t>
  </si>
  <si>
    <t>Disjoncteur Ouvert HW2 de la gamme HW+ avec un pouvoir de coupure de 66 kA et une intensité nominale de 2000A en version 4 Pôles Débrochable sans chassis pour Déclencheur sentinel Energy</t>
  </si>
  <si>
    <t>HW2E425ZB</t>
  </si>
  <si>
    <t>Disjoncteur Ouvert HW2 de la gamme HW+ avec un pouvoir de coupure de 66 kA et une intensité nominale de 2500A en version 4 Pôles Débrochable sans chassis pour Déclencheur sentinel LSI</t>
  </si>
  <si>
    <t>11264.1166€</t>
  </si>
  <si>
    <t>HW2E425ZE</t>
  </si>
  <si>
    <t>Disjoncteur Ouvert HW2 de la gamme HW+ avec un pouvoir de coupure de 66 kA et une intensité nominale de 2500A en version 4 Pôles Débrochable sans chassis pour Déclencheur sentinel Energy</t>
  </si>
  <si>
    <t>HW2S316ZB</t>
  </si>
  <si>
    <t>Disjoncteur Ouvert HW2 de la gamme HW+ avec un pouvoir de coupure de 100 kA et une intensité nominale de 1600A en version 3 Pôles Débrochable sans chassis pour Déclencheur sentinel LSI</t>
  </si>
  <si>
    <t>6144.0636€</t>
  </si>
  <si>
    <t>HW2S316ZE</t>
  </si>
  <si>
    <t>Disj.Ouv. HW2 100kA 1600A 3P Débro TU E</t>
  </si>
  <si>
    <t>HW2S320ZB</t>
  </si>
  <si>
    <t>Disjoncteur Ouvert HW2 de la gamme HW+ avec un pouvoir de coupure de 100 kA et une intensité nominale de 2000A en version 3 Pôles Débrochable sans chassis pour Déclencheur sentinel LSI</t>
  </si>
  <si>
    <t>7680.0795€</t>
  </si>
  <si>
    <t>HW2S320ZE</t>
  </si>
  <si>
    <t>Disj.Ouv. HW2 100kA 2000A 3P Débro TU E</t>
  </si>
  <si>
    <t>HW2S325ZB</t>
  </si>
  <si>
    <t>Disjoncteur Ouvert HW2 de la gamme HW+ avec un pouvoir de coupure de 100 kA et une intensité nominale de 2500A en version 3 Pôles Débrochable sans chassis pour Déclencheur sentinel LSI</t>
  </si>
  <si>
    <t>10240.1017€</t>
  </si>
  <si>
    <t>HW2S325ZE</t>
  </si>
  <si>
    <t>HW2S416ZB</t>
  </si>
  <si>
    <t>Disjoncteur Ouvert HW2 de la gamme HW+ avec un pouvoir de coupure de 100 kA et une intensité nominale de 1600A en version 4 Pôles Débrochable sans chassis pour Déclencheur sentinel LSI</t>
  </si>
  <si>
    <t>HW2S416ZE</t>
  </si>
  <si>
    <t>Disj.Ouv. HW2 100kA 1600A 4P Débro TU E</t>
  </si>
  <si>
    <t>HW2S420ZB</t>
  </si>
  <si>
    <t>Disjoncteur Ouvert HW2 de la gamme HW+ avec un pouvoir de coupure de 100 kA et une intensité nominale de 2000A en version 4 Pôles Débrochable sans chassis pour Déclencheur sentinel LSI</t>
  </si>
  <si>
    <t>HW2S420ZE</t>
  </si>
  <si>
    <t>Disj.Ouv. HW2 100kA 2000A 4P Débro TU E</t>
  </si>
  <si>
    <t>HW2S425ZB</t>
  </si>
  <si>
    <t>Disjoncteur Ouvert HW2 de la gamme HW+ avec un pouvoir de coupure de 100 kA et une intensité nominale de 2500A en version 4 Pôles Débrochable sans chassis pour Déclencheur sentinel LSI</t>
  </si>
  <si>
    <t>14336.1441€</t>
  </si>
  <si>
    <t>HW2S425ZE</t>
  </si>
  <si>
    <t>HW2W316ZS</t>
  </si>
  <si>
    <t>Interrupteur Ouvert HW2 de la gamme HW+ avec une intensité nominale de 1600A en version 3 Pôles Débrochable sans chassis</t>
  </si>
  <si>
    <t>3072.0361€</t>
  </si>
  <si>
    <t>HW2W320ZS</t>
  </si>
  <si>
    <t>Interrupteur Ouvert HW2 de la gamme HW+ avec une intensité nominale de 2000A en version 3 Pôles Débrochable sans chassis</t>
  </si>
  <si>
    <t>4608.0477€</t>
  </si>
  <si>
    <t>HW2W325ZS</t>
  </si>
  <si>
    <t>Interrupteur Ouvert HW2 de la gamme HW+ avec une intensité nominale de 2500A en version 3 Pôles Débrochable sans chassis</t>
  </si>
  <si>
    <t>HW2W416ZS</t>
  </si>
  <si>
    <t>Interrupteur Ouvert HW2 de la gamme HW+ avec une intensité nominale de 1600A en version 4 Pôles Débrochable sans chassis</t>
  </si>
  <si>
    <t>4096.0424€</t>
  </si>
  <si>
    <t>HW2W420ZS</t>
  </si>
  <si>
    <t>Interrupteur Ouvert HW2 de la gamme HW+ avec une intensité nominale de 2000A en version 4 Pôles Débrochable sans chassis</t>
  </si>
  <si>
    <t>HW2W425ZS</t>
  </si>
  <si>
    <t>Interrupteur Ouvert HW2 de la gamme HW+ avec une intensité nominale de 2500A en version 4 Pôles Débrochable sans chassis</t>
  </si>
  <si>
    <t>8192.0805€</t>
  </si>
  <si>
    <t>WE001A</t>
  </si>
  <si>
    <t>Interrupteur va-et-vient anthracite</t>
  </si>
  <si>
    <t xml:space="preserve">HAMDMM15 </t>
  </si>
  <si>
    <t>ESS.MECAS COULEUR</t>
  </si>
  <si>
    <t>WE010A</t>
  </si>
  <si>
    <t>Le permutateur WE010A fait partie de la gamme Essensya. Couleur : Anthracite. A compléter d\'une plaque de finition Essensya pour une solution complète. Livré avec une protection de chantier.</t>
  </si>
  <si>
    <t>WE022A</t>
  </si>
  <si>
    <t>L\'interBP Duo va et vient ou bouton poussoir WE022A fait partie de la gamme Essensya. Couleur : Anthracite. A compléter d\'une plaque de finition Essensya pour une solution complète.</t>
  </si>
  <si>
    <t>6.396€</t>
  </si>
  <si>
    <t>WE023A</t>
  </si>
  <si>
    <t>L\'interBP Duo Essensya va et vient ou bouton poussoir à voyant WE023A fait partie de la gamme Essensya. Couleur : Anthracite. A compléter d\'une plaque de finition Essensya pour une solution complète.</t>
  </si>
  <si>
    <t>11.922€</t>
  </si>
  <si>
    <t>WE040A</t>
  </si>
  <si>
    <t>Le double Interrupteur 10A va et vient WE040A fait partie de la gamme Essensya. Anthracite. A compléter d\'une plaque de finition Essensya pour une solution complète. Livré avec une protection de chantier.</t>
  </si>
  <si>
    <t>12.144€</t>
  </si>
  <si>
    <t>WE044A</t>
  </si>
  <si>
    <t>Le double interBP Duo va et vient ou bouton poussoir WE044A fait partie de la gamme Essensya. Couleur : Anthracite. A compléter d\'une plaque de finition Essensya pour une solution complète.</t>
  </si>
  <si>
    <t>13.356€</t>
  </si>
  <si>
    <t>WE045A</t>
  </si>
  <si>
    <t>Dble InterBP voyant anthracite</t>
  </si>
  <si>
    <t>23.256€</t>
  </si>
  <si>
    <t>WE049A</t>
  </si>
  <si>
    <t>L\'interBP Duo va et vient ou bouton poussoir VMC WE049A fait partie de la gamme Essensya. Couleur : Anthracite. A compléter d\'une plaque de finition Essensya pour une solution complète. Livré avec une protection de chantier.</t>
  </si>
  <si>
    <t>10.032€</t>
  </si>
  <si>
    <t>WE052A</t>
  </si>
  <si>
    <t>L\'interrupteur automatique 2 fils WE052A fait partie de la gamme Essensya. Anthracite. A compléter d\'une plaque de finition Essensya pour une solution complète.</t>
  </si>
  <si>
    <t>75.048€</t>
  </si>
  <si>
    <t>WE053A</t>
  </si>
  <si>
    <t>L\'interrupteur automatique 3 fils WE053A fait partie de la gamme Essensya. Anthracite. A compléter d\'une plaque de finition Essensya pour une solution complète.</t>
  </si>
  <si>
    <t>90.966€</t>
  </si>
  <si>
    <t>WE062A</t>
  </si>
  <si>
    <t>Le variateur rotatif WE062A fait partie de la gamme Essensya. Anthracite. A compléter d\'une plaque de finition Essensya pour une solution complète.</t>
  </si>
  <si>
    <t>70.164€</t>
  </si>
  <si>
    <t>WE100A</t>
  </si>
  <si>
    <t>La prise de courant 2 P+T 16A. 250V WE100A fait partie de la gamme Essensya. Anthracite. A compléter d\'une plaque de finition Essensya pour une solution complète.</t>
  </si>
  <si>
    <t>WE102A</t>
  </si>
  <si>
    <t>La prise de courant spéciale rénovation 2 P WE102A fait partie de la gamme Essensya. Anthracite. A compléter d\'une plaque de finition Essensya pour une solution complète.</t>
  </si>
  <si>
    <t>8.004€</t>
  </si>
  <si>
    <t>WE113A</t>
  </si>
  <si>
    <t>Chargeur Dble USB A+C anthracite</t>
  </si>
  <si>
    <t>31.302€</t>
  </si>
  <si>
    <t>WE115A</t>
  </si>
  <si>
    <t>Chargeur USB-C 65W anthracite</t>
  </si>
  <si>
    <t>73.704€</t>
  </si>
  <si>
    <t>WE122A</t>
  </si>
  <si>
    <t>La prise double pré-cablées 2P+T WE122A fait partie de la gamme Essensya. Anthracite. A compléter d\'une plaque de finition Essensya pour une solution complète.</t>
  </si>
  <si>
    <t>17.862€</t>
  </si>
  <si>
    <t>WE123A</t>
  </si>
  <si>
    <t>La prise triple pré-cablées 2P+T WE123A fait partie de la gamme Essensya. Anthracite. A compléter d\'une plaque de finition Essensya pour une solution complète.</t>
  </si>
  <si>
    <t>25.116€</t>
  </si>
  <si>
    <t>WE154A</t>
  </si>
  <si>
    <t>Sortie de câble IP44 anthracite</t>
  </si>
  <si>
    <t>7.848€</t>
  </si>
  <si>
    <t>WE155A</t>
  </si>
  <si>
    <t>La sortie de câble monobloc WE155A fait partie de la gamme Essensya. Anthracite. A compléter d\'une plaque de finition Essensya pour une solution complète.</t>
  </si>
  <si>
    <t>3.33€</t>
  </si>
  <si>
    <t>WE156A</t>
  </si>
  <si>
    <t>La sortie de câble WE156A fait partie de la gamme Essensya. Anthracite. A compléter d\'une plaque de finition Essensya pour une solution complète.</t>
  </si>
  <si>
    <t>5.952€</t>
  </si>
  <si>
    <t>WE157A</t>
  </si>
  <si>
    <t>L\'obturateur WE157A fait partie de la gamme Essensya. Anthracite. A compléter d\'une plaque de finition Essensya pour une solution complète.</t>
  </si>
  <si>
    <t>WE200A</t>
  </si>
  <si>
    <t>La prise téléphone WE200A fait partie de la gamme Essensya. Finition Anthracite. A compléter d\'une plaque de finition Essensya pour une solution complète.</t>
  </si>
  <si>
    <t>10.974€</t>
  </si>
  <si>
    <t>WE224A</t>
  </si>
  <si>
    <t>La prise RJ45 cat 6 FTP WE224A fait partie de la gamme Essensya. Anthracite. A compléter d\'une plaque de finition Essensya pour une solution complète.</t>
  </si>
  <si>
    <t>WE225A</t>
  </si>
  <si>
    <t>La prise RJ45 cat 6 UTP WE225A fait partie de la gamme Essensya. Anthracite. A compléter d\'une plaque de finition Essensya pour une solution complète.</t>
  </si>
  <si>
    <t>15.594€</t>
  </si>
  <si>
    <t>WE226A</t>
  </si>
  <si>
    <t>La prise RJ45 cat 6 STP WE226A fait partie de la gamme Essensya. Anthracite. A compléter d\'une plaque de finition Essensya pour une solution complète.</t>
  </si>
  <si>
    <t>20.394€</t>
  </si>
  <si>
    <t>WE228A</t>
  </si>
  <si>
    <t>RJ45 CAT.6A STP Gr3TV anthracite</t>
  </si>
  <si>
    <t>21.702€</t>
  </si>
  <si>
    <t>WE250A</t>
  </si>
  <si>
    <t>La prise TV directe WE250A fait partie de la gamme Essensya. Anthracite. A compléter d\'une plaque de finition Essensya pour une solution complète.</t>
  </si>
  <si>
    <t>WE253A</t>
  </si>
  <si>
    <t>La prise TV + FM double WE253A fait partie de la gamme Essensya. Anthracite. A compléter d\'une plaque de finition Essensya pour une solution complète.</t>
  </si>
  <si>
    <t>23.994€</t>
  </si>
  <si>
    <t>WE256A</t>
  </si>
  <si>
    <t>La prise TV + FM + SAT directe WE256A fait partie de la gamme Essensya. Anthracite. A compléter d\'une plaque de finition Essensya pour une solution complète.</t>
  </si>
  <si>
    <t>22.716€</t>
  </si>
  <si>
    <t>WE290A</t>
  </si>
  <si>
    <t>La prise haut parleur WE290A fait partie de la gamme Essensya. Anthracite. A compléter d\'une plaque de finition Essensya pour une solution complète.</t>
  </si>
  <si>
    <t>11.742€</t>
  </si>
  <si>
    <t>WE300A</t>
  </si>
  <si>
    <t>La prise double va et vient pour volet roulant WE300A fait partie de la gamme Essensya. Anthracite. A compléter d\'une plaque de finition Essensya pour une solution complète.</t>
  </si>
  <si>
    <t>WE106A</t>
  </si>
  <si>
    <t>La prise de courant affleurante 2P+T 16A WE106A finition Anthracite fait partie de la gamme Essensya. Cette référence regroupe le support. le mécanisme et l\'enjoliveur.</t>
  </si>
  <si>
    <t>WE114A</t>
  </si>
  <si>
    <t>Prise de courant affleurante + USB-C anthracite</t>
  </si>
  <si>
    <t>35.814€</t>
  </si>
  <si>
    <t>WE132A</t>
  </si>
  <si>
    <t>Double PC affleurantes pré-montées anthr</t>
  </si>
  <si>
    <t>13.842€</t>
  </si>
  <si>
    <t>WE133A</t>
  </si>
  <si>
    <t>Triple PC affleurantes pré-montées anthr</t>
  </si>
  <si>
    <t>19.308€</t>
  </si>
  <si>
    <t>HW4P325DB</t>
  </si>
  <si>
    <t>Disjoncteur Ouvert HW4 de la gamme HW+ avec un pouvoir de coupure de 120kA et une intensité nominale de 2500A en version 3 Pôles Débrochable pour Déclencheur sentinel LSI</t>
  </si>
  <si>
    <t xml:space="preserve">HATRCM15 </t>
  </si>
  <si>
    <t>DISJONCTEURS OUVERTS HW4</t>
  </si>
  <si>
    <t>13352.9448€</t>
  </si>
  <si>
    <t>HW4P325DE</t>
  </si>
  <si>
    <t>Disjoncteur Ouvert HW4 de la gamme HW+ avec un pouvoir de coupure de 120kA et une intensité nominale de 2500A en version 3 Pôles Débrochable pour Déclencheur sentinel Energy</t>
  </si>
  <si>
    <t>HW4P325FB</t>
  </si>
  <si>
    <t>Disjoncteur Ouvert HW4 de la gamme HW+ avec un pouvoir de coupure de 120kA et une intensité nominale de 2500A en version 3 Pôles Fixe pour Déclencheur sentinel LSI</t>
  </si>
  <si>
    <t>HW4P325FE</t>
  </si>
  <si>
    <t>Disjoncteur Ouvert HW4 de la gamme HW+ avec un pouvoir de coupure de 120kA et une intensité nominale de 2500A en version 3 Pôles Fixe pour Déclencheur sentinel Energy</t>
  </si>
  <si>
    <t>HW4P332DB</t>
  </si>
  <si>
    <t>Disjoncteur Ouvert HW4 de la gamme HW+ avec un pouvoir de coupure de 120kA et une intensité nominale de 3200A en version 3 Pôles Débrochable pour Déclencheur sentinel LSI</t>
  </si>
  <si>
    <t>16690.8069€</t>
  </si>
  <si>
    <t>HW4P332DE</t>
  </si>
  <si>
    <t>Disjoncteur Ouvert HW4 de la gamme HW+ avec un pouvoir de coupure de 120kA et une intensité nominale de 3200A en version 3 Pôles Débrochable pour Déclencheur sentinel Energy</t>
  </si>
  <si>
    <t>HW4P332FB</t>
  </si>
  <si>
    <t>Disjoncteur Ouvert HW4 de la gamme HW+ avec un pouvoir de coupure de 120kA et une intensité nominale de 3200A en version 3 Pôles Fixe pour Déclencheur sentinel LSI</t>
  </si>
  <si>
    <t>HW4P332FE</t>
  </si>
  <si>
    <t>Disjoncteur Ouvert HW4 de la gamme HW+ avec un pouvoir de coupure de 120kA et une intensité nominale de 3200A en version 3 Pôles Fixe pour Déclencheur sentinel Energy</t>
  </si>
  <si>
    <t>HW4P340DB</t>
  </si>
  <si>
    <t>Disjoncteur Ouvert HW4 de la gamme HW+ avec un pouvoir de coupure de 120kA et une intensité nominale de 4000A en version 3 Pôles Débrochable pour Déclencheur sentinel LSI</t>
  </si>
  <si>
    <t>20814.6316€</t>
  </si>
  <si>
    <t>HW4P340DE</t>
  </si>
  <si>
    <t>Disjoncteur Ouvert HW4 de la gamme HW+ avec un pouvoir de coupure de 120kA et une intensité nominale de 4000A en version 3 Pôles Débrochable pour Déclencheur sentinel Energy</t>
  </si>
  <si>
    <t>HW4P340FB</t>
  </si>
  <si>
    <t>Disjoncteur Ouvert HW4 de la gamme HW+ avec un pouvoir de coupure de 120kA et une intensité nominale de 4000A en version 3 Pôles Fixe pour Déclencheur sentinel LSI</t>
  </si>
  <si>
    <t>HW4P340FE</t>
  </si>
  <si>
    <t>Disjoncteur Ouvert HW4 de la gamme HW+ avec un pouvoir de coupure de 120kA et une intensité nominale de 4000A en version 3 Pôles Fixe pour Déclencheur sentinel Energy</t>
  </si>
  <si>
    <t>HW4P425DB</t>
  </si>
  <si>
    <t>Disjoncteur Ouvert HW4 de la gamme HW+ avec un pouvoir de coupure de 120kA et une intensité nominale de 2500A en version 4 Pôles Débrochable pour Déclencheur sentinel LSI</t>
  </si>
  <si>
    <t>17358.971€</t>
  </si>
  <si>
    <t>HW4P425DE</t>
  </si>
  <si>
    <t>Disjoncteur Ouvert HW4 de la gamme HW+ avec un pouvoir de coupure de 120kA et une intensité nominale de 2500A en version 4 Pôles Débrochable pour Déclencheur sentinel Energy</t>
  </si>
  <si>
    <t>HW4P425FB</t>
  </si>
  <si>
    <t>Disjoncteur Ouvert HW4 de la gamme HW+ avec un pouvoir de coupure de 120kA et une intensité nominale de 2500A en version 4 Pôles Fixe pour Déclencheur sentinel LSI</t>
  </si>
  <si>
    <t>HW4P425FE</t>
  </si>
  <si>
    <t>Disjoncteur Ouvert HW4 de la gamme HW+ avec un pouvoir de coupure de 120kA et une intensité nominale de 2500A en version 4 Pôles Fixe pour Déclencheur sentinel Energy</t>
  </si>
  <si>
    <t>HW4P432DB</t>
  </si>
  <si>
    <t>Disjoncteur Ouvert HW4 de la gamme HW+ avec un pouvoir de coupure de 120kA et une intensité nominale de 3200A en version 4 Pôles Débrochable pour Déclencheur sentinel LSI</t>
  </si>
  <si>
    <t>21678.7983€</t>
  </si>
  <si>
    <t>HW4P432DE</t>
  </si>
  <si>
    <t>Disjoncteur Ouvert HW4 de la gamme HW+ avec un pouvoir de coupure de 120kA et une intensité nominale de 3200A en version 4 Pôles Débrochable pour Déclencheur sentinel Energy</t>
  </si>
  <si>
    <t>HW4P432FB</t>
  </si>
  <si>
    <t>Disjoncteur Ouvert HW4 de la gamme HW+ avec un pouvoir de coupure de 120kA et une intensité nominale de 3200A en version 4 Pôles Fixe pour Déclencheur sentinel LSI</t>
  </si>
  <si>
    <t>HW4P432FE</t>
  </si>
  <si>
    <t>Disjoncteur Ouvert HW4 de la gamme HW+ avec un pouvoir de coupure de 120kA et une intensité nominale de 3200A en version 4 Pôles Fixe pour Déclencheur sentinel Energy</t>
  </si>
  <si>
    <t>HW4P440DB</t>
  </si>
  <si>
    <t>Disjoncteur Ouvert HW4 de la gamme HW+ avec un pouvoir de coupure de 120kA et une intensité nominale de 4000A en version 4 Pôles Débrochable pour Déclencheur sentinel LSI</t>
  </si>
  <si>
    <t>27059.7581€</t>
  </si>
  <si>
    <t>HW4P440DE</t>
  </si>
  <si>
    <t>Disjoncteur Ouvert HW4 de la gamme HW+ avec un pouvoir de coupure de 120kA et une intensité nominale de 4000A en version 4 Pôles Débrochable pour Déclencheur sentinel Energy</t>
  </si>
  <si>
    <t>HW4P440FB</t>
  </si>
  <si>
    <t>Disjoncteur Ouvert HW4 de la gamme HW+ avec un pouvoir de coupure de 120kA et une intensité nominale de 4000A en version 4 Pôles Fixe pour Déclencheur sentinel LSI</t>
  </si>
  <si>
    <t>HW4P440FE</t>
  </si>
  <si>
    <t>Disjoncteur Ouvert HW4 de la gamme HW+ avec un pouvoir de coupure de 120kA et une intensité nominale de 4000A en version 4 Pôles Fixe pour Déclencheur sentinel Energy</t>
  </si>
  <si>
    <t>HW4S325DB</t>
  </si>
  <si>
    <t>Disjoncteur Ouvert HW4 de la gamme HW+ avec un pouvoir de coupure de 85kA et une intensité nominale de 2500A en version 3 Pôles Débrochable pour Déclencheur sentinel LSI</t>
  </si>
  <si>
    <t>9676.0449€</t>
  </si>
  <si>
    <t>HW4S325DE</t>
  </si>
  <si>
    <t>Disjoncteur Ouvert HW4 de la gamme HW+ avec un pouvoir de coupure de 85kA et une intensité nominale de 2500A en version 3 Pôles Débrochable pour Déclencheur sentinel Energy</t>
  </si>
  <si>
    <t>HW4S325FB</t>
  </si>
  <si>
    <t>Disjoncteur Ouvert HW4 de la gamme HW+ avec un pouvoir de coupure de 85kA et une intensité nominale de 2500A en version 3 Pôles Fixe pour Déclencheur sentinel LSI</t>
  </si>
  <si>
    <t>HW4S325FE</t>
  </si>
  <si>
    <t>Disjoncteur Ouvert HW4 de la gamme HW+ avec un pouvoir de coupure de 85kA et une intensité nominale de 2500A en version 3 Pôles Fixe pour Déclencheur sentinel Energy</t>
  </si>
  <si>
    <t>HW4S332DB</t>
  </si>
  <si>
    <t>Disjoncteur Ouvert HW4 de la gamme HW+ avec un pouvoir de coupure de 85kA et une intensité nominale de 3200A en version 3 Pôles Débrochable pour Déclencheur sentinel LSI</t>
  </si>
  <si>
    <t>12094.8164€</t>
  </si>
  <si>
    <t>HW4S332DE</t>
  </si>
  <si>
    <t>Disjoncteur Ouvert HW4 de la gamme HW+ avec un pouvoir de coupure de 85kA et une intensité nominale de 3200A en version 3 Pôles Débrochable pour Déclencheur sentinel Energy</t>
  </si>
  <si>
    <t>HW4S332FB</t>
  </si>
  <si>
    <t>Disjoncteur Ouvert HW4 de la gamme HW+ avec un pouvoir de coupure de 85kA et une intensité nominale de 3200A en version 3 Pôles Fixe pour Déclencheur sentinel LSI</t>
  </si>
  <si>
    <t>HW4S332FE</t>
  </si>
  <si>
    <t>Disjoncteur Ouvert HW4 de la gamme HW+ avec un pouvoir de coupure de 85kA et une intensité nominale de 3200A en version 3 Pôles Fixe pour Déclencheur sentinel Energy</t>
  </si>
  <si>
    <t>HW4S340DB</t>
  </si>
  <si>
    <t>Disjoncteur Ouvert HW4 de la gamme HW+ avec un pouvoir de coupure de 85kA et une intensité nominale de 4000A en version 3 Pôles Débrochable pour Déclencheur sentinel LSI</t>
  </si>
  <si>
    <t>15083.2519€</t>
  </si>
  <si>
    <t>HW4S340DE</t>
  </si>
  <si>
    <t>Disjoncteur Ouvert HW4 de la gamme HW+ avec un pouvoir de coupure de 85kA et une intensité nominale de 4000A en version 3 Pôles Débrochable pour Déclencheur sentinel Energy</t>
  </si>
  <si>
    <t>HW4S340FB</t>
  </si>
  <si>
    <t>Disjoncteur Ouvert HW4 de la gamme HW+ avec un pouvoir de coupure de 85kA et une intensité nominale de 4000A en version 3 Pôles Fixe pour Déclencheur sentinel LSI</t>
  </si>
  <si>
    <t>HW4S340FE</t>
  </si>
  <si>
    <t>Disjoncteur Ouvert HW4 de la gamme HW+ avec un pouvoir de coupure de 85kA et une intensité nominale de 4000A en version 3 Pôles Fixe pour Déclencheur sentinel Energy</t>
  </si>
  <si>
    <t>HW4S425DB</t>
  </si>
  <si>
    <t>Disjoncteur Ouvert HW4 de la gamme HW+ avec un pouvoir de coupure de 85kA et une intensité nominale de 2500A en version 4 Pôles Débrochable pour Déclencheur sentinel LSI</t>
  </si>
  <si>
    <t>12578.8588€</t>
  </si>
  <si>
    <t>HW4S425DE</t>
  </si>
  <si>
    <t>Disjoncteur Ouvert HW4 de la gamme HW+ avec un pouvoir de coupure de 85kA et une intensité nominale de 2500A en version 4 Pôles Débrochable pour Déclencheur sentinel Energy</t>
  </si>
  <si>
    <t>HW4S425FB</t>
  </si>
  <si>
    <t>Disjoncteur Ouvert HW4 de la gamme HW+ avec un pouvoir de coupure de 85kA et une intensité nominale de 2500A en version 4 Pôles Fixe pour Déclencheur sentinel LSI</t>
  </si>
  <si>
    <t>HW4S425FE</t>
  </si>
  <si>
    <t>Disjoncteur Ouvert HW4 de la gamme HW+ avec un pouvoir de coupure de 85kA et une intensité nominale de 2500A en version 4 Pôles Fixe pour Déclencheur sentinel Energy</t>
  </si>
  <si>
    <t>HW4S432DB</t>
  </si>
  <si>
    <t>Disjoncteur Ouvert HW4 de la gamme HW+ avec un pouvoir de coupure de 85kA et une intensité nominale de 3200A en version 4 Pôles Débrochable pour Déclencheur sentinel LSI</t>
  </si>
  <si>
    <t>15709.3448€</t>
  </si>
  <si>
    <t>HW4S432DE</t>
  </si>
  <si>
    <t>Disjoncteur Ouvert HW4 de la gamme HW+ avec un pouvoir de coupure de 85kA et une intensité nominale de 3200A en version 4 Pôles Débrochable pour Déclencheur sentinel Energy</t>
  </si>
  <si>
    <t>HW4S432FB</t>
  </si>
  <si>
    <t>Disjoncteur Ouvert HW4 de la gamme HW+ avec un pouvoir de coupure de 85kA et une intensité nominale de 3200A en version 4 Pôles Fixe pour Déclencheur sentinel LSI</t>
  </si>
  <si>
    <t>HW4S432FE</t>
  </si>
  <si>
    <t>Disjoncteur Ouvert HW4 de la gamme HW+ avec un pouvoir de coupure de 85kA et une intensité nominale de 3200A en version 4 Pôles Fixe pour Déclencheur sentinel Energy</t>
  </si>
  <si>
    <t>HW4S440DB</t>
  </si>
  <si>
    <t>Disjoncteur Ouvert HW4 de la gamme HW+ avec un pouvoir de coupure de 85kA et une intensité nominale de 4000A en version 4 Pôles Débrochable pour Déclencheur sentinel LSI</t>
  </si>
  <si>
    <t>19608.4644€</t>
  </si>
  <si>
    <t>HW4S440DE</t>
  </si>
  <si>
    <t>Disjoncteur Ouvert HW4 de la gamme HW+ avec un pouvoir de coupure de 85kA et une intensité nominale de 4000A en version 4 Pôles Débrochable pour Déclencheur sentinel Energy</t>
  </si>
  <si>
    <t>HW4S440FB</t>
  </si>
  <si>
    <t>Disjoncteur Ouvert HW4 de la gamme HW+ avec un pouvoir de coupure de 85kA et une intensité nominale de 4000A en version 4 Pôles Fixe pour Déclencheur sentinel LSI</t>
  </si>
  <si>
    <t>HW4S440FE</t>
  </si>
  <si>
    <t>Disjoncteur Ouvert HW4 de la gamme HW+ avec un pouvoir de coupure de 85kA et une intensité nominale de 4000A en version 4 Pôles Fixe pour Déclencheur sentinel Energy</t>
  </si>
  <si>
    <t>HW4W325DS</t>
  </si>
  <si>
    <t>Interrupteur Ouvert HW4 de la gamme HW+ avec une intensité nominale de 2500A en version 3 Pôles Débrochable</t>
  </si>
  <si>
    <t>7399.3325€</t>
  </si>
  <si>
    <t>HW4W325FS</t>
  </si>
  <si>
    <t>Interrupteur Ouvert HW4 de la gamme HW+ avec une intensité nominale de 2500A en version 3 Pôles Fixe</t>
  </si>
  <si>
    <t>HW4W332DS</t>
  </si>
  <si>
    <t>Interrupteur Ouvert HW4 de la gamme HW+ avec une intensité nominale de 3200A en version 3 Pôles Débrochable</t>
  </si>
  <si>
    <t>9249.4118€</t>
  </si>
  <si>
    <t>HW4W332FS</t>
  </si>
  <si>
    <t>Interrupteur Ouvert HW4 de la gamme HW+ avec une intensité nominale de 3200A en version 3 Pôles Fixe</t>
  </si>
  <si>
    <t>HW4W340DS</t>
  </si>
  <si>
    <t>Interrupteur Ouvert HW4 de la gamme HW+ avec une intensité nominale de 4000A en version 3 Pôles Débrochable</t>
  </si>
  <si>
    <t>11554.3365€</t>
  </si>
  <si>
    <t>HW4W340FS</t>
  </si>
  <si>
    <t>Interrupteur Ouvert HW4 de la gamme HW+ avec une intensité nominale de 4000A en version 3 Pôles Fixe</t>
  </si>
  <si>
    <t>HW4W425DS</t>
  </si>
  <si>
    <t>Interrupteur Ouvert HW4 de la gamme HW+ avec une intensité nominale de 2500A en version 4 Pôles Débrochable</t>
  </si>
  <si>
    <t>HW4W425FS</t>
  </si>
  <si>
    <t>Interrupteur Ouvert HW4 de la gamme HW+ avec une intensité nominale de 2500A en version 4 Pôles Fixe</t>
  </si>
  <si>
    <t>HW4W432DS</t>
  </si>
  <si>
    <t>Interrupteur Ouvert HW4 de la gamme HW+ avec une intensité nominale de 3200A en version 4 Pôles Débrochable</t>
  </si>
  <si>
    <t>HW4W432FS</t>
  </si>
  <si>
    <t>Interrupteur Ouvert HW4 de la gamme HW+ avec une intensité nominale de 3200A en version 4 Pôles Fixe</t>
  </si>
  <si>
    <t>HW4W440DS</t>
  </si>
  <si>
    <t>Interrupteur Ouvert HW4 de la gamme HW+ avec une intensité nominale de 4000A en version 4 Pôles Débrochable</t>
  </si>
  <si>
    <t>HW4W440FS</t>
  </si>
  <si>
    <t>Interrupteur Ouvert HW4 de la gamme HW+ avec une intensité nominale de 4000A en version 4 Pôles Fixe</t>
  </si>
  <si>
    <t>HF4P340DEKH-MTS</t>
  </si>
  <si>
    <t>Disj.Ouv. HW4 120kA 4000A 3P Débr TU EN</t>
  </si>
  <si>
    <t>25942.545€</t>
  </si>
  <si>
    <t>HF4P440DEKH-MTS</t>
  </si>
  <si>
    <t>Disj.Ouv. HW4 120kA 4000A 4P Débr TU EN</t>
  </si>
  <si>
    <t>32668.39€</t>
  </si>
  <si>
    <t>HW4P325ZB</t>
  </si>
  <si>
    <t>Disjoncteur Ouvert HW4 de la gamme HW+ avec un pouvoir de coupure de 120kA et une intensité nominale de 2500A en version 3 Pôles Débrochable sans chassis pour Déclencheur sentinel LSI</t>
  </si>
  <si>
    <t>13155.6092€</t>
  </si>
  <si>
    <t>HW4P325ZE</t>
  </si>
  <si>
    <t>Disj.Ouv. HW4 120kA 2500A 3P Débr TU EN</t>
  </si>
  <si>
    <t>HW4P332ZB</t>
  </si>
  <si>
    <t>Disjoncteur Ouvert HW4 de la gamme HW+ avec un pouvoir de coupure de 120kA et une intensité nominale de 3200A en version 3 Pôles Débrochable sans chassis pour Déclencheur sentinel LSI</t>
  </si>
  <si>
    <t>16444.146€</t>
  </si>
  <si>
    <t>HW4P332ZE</t>
  </si>
  <si>
    <t>Disj.Ouv. HW4 120kA 3200A 3P Débr TU EN</t>
  </si>
  <si>
    <t>HW4P340ZB</t>
  </si>
  <si>
    <t>Disjoncteur Ouvert HW4 de la gamme HW+ avec un pouvoir de coupure de 120kA et une intensité nominale de 4000A en version 3 Pôles Débrochable sans chassis pour Déclencheur sentinel LSI</t>
  </si>
  <si>
    <t>20507.0225€</t>
  </si>
  <si>
    <t>HW4P340ZE</t>
  </si>
  <si>
    <t>HW4P425ZB</t>
  </si>
  <si>
    <t>Disjoncteur Ouvert HW4 de la gamme HW+ avec un pouvoir de coupure de 120kA et une intensité nominale de 2500A en version 4 Pôles Débrochable sans chassis pour Déclencheur sentinel LSI</t>
  </si>
  <si>
    <t>17102.433€</t>
  </si>
  <si>
    <t>HW4P425ZE</t>
  </si>
  <si>
    <t>Disj.Ouv. HW4 120kA 2500A 4P Débr TU EN</t>
  </si>
  <si>
    <t>HW4P432ZB</t>
  </si>
  <si>
    <t>Disjoncteur Ouvert HW4 de la gamme HW+ avec un pouvoir de coupure de 120kA et une intensité nominale de 3200A en version 4 Pôles Débrochable sans chassis pour Déclencheur sentinel LSI</t>
  </si>
  <si>
    <t>21358.4182€</t>
  </si>
  <si>
    <t>HW4P432ZE</t>
  </si>
  <si>
    <t>Disj.Ouv. HW4 120kA 3200A 4P Débr TU EN</t>
  </si>
  <si>
    <t>HW4P440ZB</t>
  </si>
  <si>
    <t>Disjoncteur Ouvert HW4 de la gamme HW+ avec un pouvoir de coupure de 120kA et une intensité nominale de 4000A en version 4 Pôles Débrochable sans chassis pour Déclencheur sentinel LSI</t>
  </si>
  <si>
    <t>26659.8581€</t>
  </si>
  <si>
    <t>HW4P440ZE</t>
  </si>
  <si>
    <t>HW4S325ZB</t>
  </si>
  <si>
    <t>Disjoncteur Ouvert HW4 de la gamme HW+ avec un pouvoir de coupure de 85kA et une intensité nominale de 2500A en version 3 Pôles Débrochable sans chassis pour Déclencheur sentinel LSI</t>
  </si>
  <si>
    <t>9533.0527€</t>
  </si>
  <si>
    <t>HW4S325ZE</t>
  </si>
  <si>
    <t>Disjoncteur Ouvert HW4 de la gamme HW+ avec un pouvoir de coupure de 85kA et une intensité nominale de 2500A en version 3 Pôles Débrochable sans chassis pour Déclencheur sentinel Energy</t>
  </si>
  <si>
    <t>HW4S332ZB</t>
  </si>
  <si>
    <t>Disjoncteur Ouvert HW4 de la gamme HW+ avec un pouvoir de coupure de 85kA et une intensité nominale de 3200A en version 3 Pôles Débrochable sans chassis pour Déclencheur sentinel LSI</t>
  </si>
  <si>
    <t>11916.0654€</t>
  </si>
  <si>
    <t>HW4S332ZE</t>
  </si>
  <si>
    <t>Disjoncteur Ouvert HW4 de la gamme HW+ avec un pouvoir de coupure de 85kA et une intensité nominale de 3200A en version 3 Pôles Débrochable sans chassis pour Déclencheur sentinel Energy</t>
  </si>
  <si>
    <t>HW4S340ZB</t>
  </si>
  <si>
    <t>Disjoncteur Ouvert HW4 de la gamme HW+ avec un pouvoir de coupure de 85kA et une intensité nominale de 4000A en version 3 Pôles Débrochable sans chassis pour Déclencheur sentinel LSI</t>
  </si>
  <si>
    <t>14860.3399€</t>
  </si>
  <si>
    <t>HW4S340ZE</t>
  </si>
  <si>
    <t>Disjoncteur Ouvert HW4 de la gamme HW+ avec un pouvoir de coupure de 85kA et une intensité nominale de 4000A en version 3 Pôles Débrochable sans chassis pour Déclencheur sentinel Energy</t>
  </si>
  <si>
    <t>HW4S425ZB</t>
  </si>
  <si>
    <t>Disjoncteur Ouvert HW4 de la gamme HW+ avec un pouvoir de coupure de 85kA et une intensité nominale de 2500A en version 4 Pôles Débrochable sans chassis pour Déclencheur sentinel LSI</t>
  </si>
  <si>
    <t>12392.9655€</t>
  </si>
  <si>
    <t>HW4S425ZE</t>
  </si>
  <si>
    <t>Disjoncteur Ouvert HW4 de la gamme HW+ avec un pouvoir de coupure de 85kA et une intensité nominale de 2500A en version 4 Pôles Débrochable sans chassis pour Déclencheur sentinel Energy</t>
  </si>
  <si>
    <t>HW4S432ZB</t>
  </si>
  <si>
    <t>Disjoncteur Ouvert HW4 de la gamme HW+ avec un pouvoir de coupure de 85kA et une intensité nominale de 3200A en version 4 Pôles Débrochable sans chassis pour Déclencheur sentinel LSI</t>
  </si>
  <si>
    <t>15477.1835€</t>
  </si>
  <si>
    <t>HW4S432ZE</t>
  </si>
  <si>
    <t>Disjoncteur Ouvert HW4 de la gamme HW+ avec un pouvoir de coupure de 85kA et une intensité nominale de 3200A en version 4 Pôles Débrochable sans chassis pour Déclencheur sentinel Energy</t>
  </si>
  <si>
    <t>HW4S440ZB</t>
  </si>
  <si>
    <t>Disjoncteur Ouvert HW4 de la gamme HW+ avec un pouvoir de coupure de 85kA et une intensité nominale de 4000A en version 4 Pôles Débrochable sans chassis pour Déclencheur sentinel LSI</t>
  </si>
  <si>
    <t>19318.6831€</t>
  </si>
  <si>
    <t>HW4S440ZE</t>
  </si>
  <si>
    <t>Disjoncteur Ouvert HW4 de la gamme HW+ avec un pouvoir de coupure de 85kA et une intensité nominale de 4000A en version 4 Pôles Débrochable sans chassis pour Déclencheur sentinel Energy</t>
  </si>
  <si>
    <t>HW4W325ZS</t>
  </si>
  <si>
    <t>Interrupteur Ouvert HW4 de la gamme HW+ avec une intensité nominale de 2500A en version 3 Pôles Débrochable sans chassis</t>
  </si>
  <si>
    <t>7289.9792€</t>
  </si>
  <si>
    <t>HW4W332ZS</t>
  </si>
  <si>
    <t>Interrupteur Ouvert HW4 de la gamme HW+ avec une intensité nominale de 3200A en version 3 Pôles Débrochable sans chassis</t>
  </si>
  <si>
    <t>9112.7148€</t>
  </si>
  <si>
    <t>HW4W340ZS</t>
  </si>
  <si>
    <t>Interrupteur Ouvert HW4 de la gamme HW+ avec une intensité nominale de 4000A en version 3 Pôles Débrochable sans chassis</t>
  </si>
  <si>
    <t>11383.5835€</t>
  </si>
  <si>
    <t>HW4W425ZS</t>
  </si>
  <si>
    <t>Interrupteur Ouvert HW4 de la gamme HW+ avec une intensité nominale de 2500A en version 4 Pôles Débrochable sans chassis</t>
  </si>
  <si>
    <t>HW4W432ZS</t>
  </si>
  <si>
    <t>Interrupteur Ouvert HW4 de la gamme HW+ avec une intensité nominale de 3200A en version 4 Pôles Débrochable sans chassis</t>
  </si>
  <si>
    <t>HW4W440ZS</t>
  </si>
  <si>
    <t>Interrupteur Ouvert HW4 de la gamme HW+ avec une intensité nominale de 4000A en version 4 Pôles Débrochable sans chassis</t>
  </si>
  <si>
    <t>WNC001EC</t>
  </si>
  <si>
    <t>cubyko leaf interrupteur va-et-vient saillie gris IP55</t>
  </si>
  <si>
    <t xml:space="preserve">HAMPEM15 </t>
  </si>
  <si>
    <t>CUBYKO LEAF</t>
  </si>
  <si>
    <t>WNC002EC</t>
  </si>
  <si>
    <t>cubyko leaf va-et-vient lumineux saillie gris IP55</t>
  </si>
  <si>
    <t>17.2645€</t>
  </si>
  <si>
    <t>WNC020EC</t>
  </si>
  <si>
    <t>cubyko leaf BP à fermeture 1F saillie gris IP55</t>
  </si>
  <si>
    <t>WNC040EC</t>
  </si>
  <si>
    <t>cubyko leaf double va-et-vient saillie gris IP55</t>
  </si>
  <si>
    <t>18.535€</t>
  </si>
  <si>
    <t>WNC100EC</t>
  </si>
  <si>
    <t>cubyko leaf prise 2P+T saillie gris IP55</t>
  </si>
  <si>
    <t>8.393€</t>
  </si>
  <si>
    <t>ARC240F</t>
  </si>
  <si>
    <t>Bloc détect.arcs dangereux.40A disj 1PN</t>
  </si>
  <si>
    <t xml:space="preserve">HATPXM03 </t>
  </si>
  <si>
    <t>DETECTEURS D'ARCS</t>
  </si>
  <si>
    <t>182.3114€</t>
  </si>
  <si>
    <t>ARC241F</t>
  </si>
  <si>
    <t>Bloc détecteur d\'arcs 40A pour disjoncteur 2P</t>
  </si>
  <si>
    <t>184.3066€</t>
  </si>
  <si>
    <t>ARC706F</t>
  </si>
  <si>
    <t>Disjoncteur détecteur d\'arcs 1P+N 3kA C-6A 1 Module</t>
  </si>
  <si>
    <t xml:space="preserve">HAHPXM03 </t>
  </si>
  <si>
    <t>113.58941€</t>
  </si>
  <si>
    <t>ARC710F</t>
  </si>
  <si>
    <t>Disjoncteur détecteur d\'arcs 1P+N 3kA C-10A 2 Modules</t>
  </si>
  <si>
    <t>103.30832€</t>
  </si>
  <si>
    <t>ARC716F</t>
  </si>
  <si>
    <t>Disjoncteur détecteur d\'arcs 1P+N 3kA C-16A 2 Modules</t>
  </si>
  <si>
    <t>ARC720F</t>
  </si>
  <si>
    <t>Disjoncteur détecteur d\'arcs 1P+N 3kA C-20A 2 Modules</t>
  </si>
  <si>
    <t>ARC725F</t>
  </si>
  <si>
    <t>Disjoncteur détecteur d\'arcs 1P+N 3kA C-25A 2 Modules</t>
  </si>
  <si>
    <t>107.59453€</t>
  </si>
  <si>
    <t>ARC732F</t>
  </si>
  <si>
    <t>Disjoncteur détecteur d\'arcs 1P+N 3kA C-32A 2 Modules</t>
  </si>
  <si>
    <t>109.65204€</t>
  </si>
  <si>
    <t>BDD240F</t>
  </si>
  <si>
    <t>Bloc différentiel détecteur d\'arcs 1P+N 40A 30mA type F</t>
  </si>
  <si>
    <t xml:space="preserve">HATDXM03 </t>
  </si>
  <si>
    <t>261.0014€</t>
  </si>
  <si>
    <t>BDD241F</t>
  </si>
  <si>
    <t>Bloc différentiel détecteur d\'arcs 2P 40A 30mA type F</t>
  </si>
  <si>
    <t>250.5481€</t>
  </si>
  <si>
    <t>BFD240F</t>
  </si>
  <si>
    <t>Bloc différentiel détecteur d\'arcs 1P+N 40A 300mA type F</t>
  </si>
  <si>
    <t>294.9327€</t>
  </si>
  <si>
    <t>BFD241F</t>
  </si>
  <si>
    <t>Bloc différentiel détecteur d\'arcs 2P 40A 300mA type F</t>
  </si>
  <si>
    <t>283.1206€</t>
  </si>
  <si>
    <t>XVR107SCC</t>
  </si>
  <si>
    <t>Witty one borne de charge fleet IP54 1x7kW 1P T2+TIC+RFID+APP BLE+OCPP+MID</t>
  </si>
  <si>
    <t xml:space="preserve">HAEACM15 </t>
  </si>
  <si>
    <t>WITTY ONE</t>
  </si>
  <si>
    <t>767.556€</t>
  </si>
  <si>
    <t>XVR107STI</t>
  </si>
  <si>
    <t>Witty one borne de charge IP54 1x7kW 1P T2+TIC+RFID+APP BLE</t>
  </si>
  <si>
    <t>602.91€</t>
  </si>
  <si>
    <t>XVR107STP</t>
  </si>
  <si>
    <t>Witty one borne de charge IP54 1x7kW 1P T2+TIC+RFID+APP BLE+PR</t>
  </si>
  <si>
    <t>740.808€</t>
  </si>
  <si>
    <t>XVR111SCC</t>
  </si>
  <si>
    <t>Borne witty one 11kW  prise T2S auto pro</t>
  </si>
  <si>
    <t>814.842€</t>
  </si>
  <si>
    <t>XVR111STI</t>
  </si>
  <si>
    <t>Witty one borne de charge IP54 1x11kW 3P T2+TIC+RFID+APP BLE</t>
  </si>
  <si>
    <t>609.318€</t>
  </si>
  <si>
    <t>XVR107S</t>
  </si>
  <si>
    <t>Borne witty one 7kW  prise T2S</t>
  </si>
  <si>
    <t>535.428€</t>
  </si>
  <si>
    <t>SRR00635A</t>
  </si>
  <si>
    <t>TC SC1 18mm 063/5A 0.6VA Cl.3</t>
  </si>
  <si>
    <t xml:space="preserve">HATAEM03 </t>
  </si>
  <si>
    <t>COMPTEURS ENER TERTIAIRE</t>
  </si>
  <si>
    <t>155.439€</t>
  </si>
  <si>
    <t>SRR00805A</t>
  </si>
  <si>
    <t>TC SC1 18mm 080/5A 0.6VA Cl.3</t>
  </si>
  <si>
    <t>186.507€</t>
  </si>
  <si>
    <t>SRR01005A</t>
  </si>
  <si>
    <t>TC SC1 18mm 100/5A 0.2VA Cl.1</t>
  </si>
  <si>
    <t>211.383€</t>
  </si>
  <si>
    <t>SRR01255A</t>
  </si>
  <si>
    <t>TC SC1 18mm 125/5A 0.2VA Cl.1</t>
  </si>
  <si>
    <t>SRR01605A</t>
  </si>
  <si>
    <t>TC SC1 18mm 160/5A 0.3VA Cl.1</t>
  </si>
  <si>
    <t>SRR02005A</t>
  </si>
  <si>
    <t>TC SC1 18mm 200/5A 0.6VA Cl.1</t>
  </si>
  <si>
    <t>SRR02505A</t>
  </si>
  <si>
    <t>TC SC1 18mm 250/5A 0.6VA Cl.1</t>
  </si>
  <si>
    <t>SRR04005B</t>
  </si>
  <si>
    <t>TC SC2 28mm 400/5A 2.2VA Cl.1</t>
  </si>
  <si>
    <t>SRR05005B</t>
  </si>
  <si>
    <t>TC SC2 28mm 500/5A 2.2VA Cl.1</t>
  </si>
  <si>
    <t>267.3315€</t>
  </si>
  <si>
    <t>ZAL53U</t>
  </si>
  <si>
    <t>Arm KVS kit univ h1005l780p315</t>
  </si>
  <si>
    <t xml:space="preserve">HATEXM03 </t>
  </si>
  <si>
    <t>ARMOIRES EXTERIEURES</t>
  </si>
  <si>
    <t>1211.4906€</t>
  </si>
  <si>
    <t>ZAL64U</t>
  </si>
  <si>
    <t>Arm KVS kit univ h1005l1110p315</t>
  </si>
  <si>
    <t>1570.4503€</t>
  </si>
  <si>
    <t>ZAL83U</t>
  </si>
  <si>
    <t>Arm KVS kit univ h1355l780p315</t>
  </si>
  <si>
    <t>1368.5352€</t>
  </si>
  <si>
    <t>ZAL84U</t>
  </si>
  <si>
    <t>Arm KVS kit univ h1355l1110p315</t>
  </si>
  <si>
    <t>1794.7985€</t>
  </si>
  <si>
    <t>ZAL85UE</t>
  </si>
  <si>
    <t>Arm KVS kit univ h1350l1445p320</t>
  </si>
  <si>
    <t>3572.3024€</t>
  </si>
  <si>
    <t>ZAX006</t>
  </si>
  <si>
    <t>Soc ent h900 pr arm KVS l780</t>
  </si>
  <si>
    <t>526.3716€</t>
  </si>
  <si>
    <t>ZAX007</t>
  </si>
  <si>
    <t>Soc ent h900 pr arm KVS l1110</t>
  </si>
  <si>
    <t>612.5651€</t>
  </si>
  <si>
    <t>ZAX012</t>
  </si>
  <si>
    <t>Kit support mural hauteur 640 mm pour armoire KVS largeur 780 mm</t>
  </si>
  <si>
    <t>807.6604€</t>
  </si>
  <si>
    <t>ZAX013</t>
  </si>
  <si>
    <t>Kit support mural hauteur 640 mm pour armoire KVS largeur 1110 mm</t>
  </si>
  <si>
    <t>840.0351€</t>
  </si>
  <si>
    <t>ZAX015</t>
  </si>
  <si>
    <t>Soc dal. h250 pr arm KVS l780</t>
  </si>
  <si>
    <t>403.8302€</t>
  </si>
  <si>
    <t>ZAX016</t>
  </si>
  <si>
    <t>Soc dal. h250 pr arm KVS l1110</t>
  </si>
  <si>
    <t>448.7007€</t>
  </si>
  <si>
    <t>ZAX103E</t>
  </si>
  <si>
    <t>Soc ent h950 pr arm KVS l1445</t>
  </si>
  <si>
    <t>721.9356€</t>
  </si>
  <si>
    <t>ZAY43902</t>
  </si>
  <si>
    <t>Capot serrure à levier. pièce de rechange. pour armoires KVS et colonnes ZAS</t>
  </si>
  <si>
    <t>13.0591€</t>
  </si>
  <si>
    <t>ZAY45072</t>
  </si>
  <si>
    <t>Lot de 10 leviers de montage rapide des portes pour armoires et colonne KVS</t>
  </si>
  <si>
    <t>15.9315€</t>
  </si>
  <si>
    <t>ZAY49468</t>
  </si>
  <si>
    <t>Profil semi-cylindre. Accessoire. à empreinte carré</t>
  </si>
  <si>
    <t>58.0844€</t>
  </si>
  <si>
    <t>ZAY49626</t>
  </si>
  <si>
    <t>Capot de protection. Connexion chantier. Accessoire. D55</t>
  </si>
  <si>
    <t>25.4904€</t>
  </si>
  <si>
    <t>ZAY50994</t>
  </si>
  <si>
    <t>Profil semi-cylindre. Accessoire. avec deux clés</t>
  </si>
  <si>
    <t>33.2046€</t>
  </si>
  <si>
    <t>ZAY50995</t>
  </si>
  <si>
    <t>Kit de 2 clés. Accessoire. pour profil semi cylindrique ZAY50994</t>
  </si>
  <si>
    <t>13.7084€</t>
  </si>
  <si>
    <t>ZAY55517</t>
  </si>
  <si>
    <t>Chauffage d\'armoire KVS. accessoire. 120 - 240 VAC. 50 W. thermostat inclus</t>
  </si>
  <si>
    <t>130.1266€</t>
  </si>
  <si>
    <t>ZAY69735</t>
  </si>
  <si>
    <t>Kit de montage du socle. pour armoires KVS. sans écrou serti montage standard</t>
  </si>
  <si>
    <t>28.9218€</t>
  </si>
  <si>
    <t>ZAY69846</t>
  </si>
  <si>
    <t>Accessoire limiteur d\'ouverture d\'angle de la porte armoire KVS</t>
  </si>
  <si>
    <t>29.1669€</t>
  </si>
  <si>
    <t>ZAY75535</t>
  </si>
  <si>
    <t>Porte avant gauche. Pièce de rechange. pour armoire KVS. taille2. hauteur 1005mm</t>
  </si>
  <si>
    <t>186.5942€</t>
  </si>
  <si>
    <t>ZAY75539</t>
  </si>
  <si>
    <t>Porte avant gauche. Pièce de rechange. pour armoire KVS. taille2. hauteur 1355mm</t>
  </si>
  <si>
    <t>246.6953€</t>
  </si>
  <si>
    <t>ZAY75546</t>
  </si>
  <si>
    <t>Porte avant droite. Pièce de rechange. pour armoire KVS. taille2. hauteur 1355mm</t>
  </si>
  <si>
    <t>347.2938€</t>
  </si>
  <si>
    <t>ZAY75547</t>
  </si>
  <si>
    <t>Porte avant droite. Pièce de rechange. pour armoire KVS. taille1. hauteur 1355mm</t>
  </si>
  <si>
    <t>391.5365€</t>
  </si>
  <si>
    <t>ZAY75549</t>
  </si>
  <si>
    <t>Porte avant droite. Pièce de rechange. pour armoire KVS. taille2. hauteur 1005mm</t>
  </si>
  <si>
    <t>266.4409€</t>
  </si>
  <si>
    <t>ZAY75571</t>
  </si>
  <si>
    <t>Porte avant droite. Pièce de rechange. pour armoire KVS. taille1. hauteur 1005mm</t>
  </si>
  <si>
    <t>332.691€</t>
  </si>
  <si>
    <t>ZAY77619</t>
  </si>
  <si>
    <t>Bandeau avant. Pièce de rechange. pour armoires KVS. taille 1</t>
  </si>
  <si>
    <t>60.0151€</t>
  </si>
  <si>
    <t>ZAY77620</t>
  </si>
  <si>
    <t>Bandeau avant. Pièce de rechange. pour armoires KVS. taille 2</t>
  </si>
  <si>
    <t>70.133€</t>
  </si>
  <si>
    <t>ZAY77627</t>
  </si>
  <si>
    <t>Panneau avant. Pièce de rechange. pour armoires de distribution KVS. taille 1</t>
  </si>
  <si>
    <t>55.0787€</t>
  </si>
  <si>
    <t>ZAY77628</t>
  </si>
  <si>
    <t>Panneau avant. Pièce de rechange. pour armoires de distribution KVS. taille 2</t>
  </si>
  <si>
    <t>107.6677€</t>
  </si>
  <si>
    <t>ZAY78842</t>
  </si>
  <si>
    <t>Fermeture double. Accessoire. complète. sans profil semi-cylindre</t>
  </si>
  <si>
    <t>ZAY90271</t>
  </si>
  <si>
    <t>Caillebotis en tôle d\'acier. accessoire. pour armoire KVS taille 1</t>
  </si>
  <si>
    <t>268.0792€</t>
  </si>
  <si>
    <t>ZAY90272</t>
  </si>
  <si>
    <t>Caillebotis en tôle d\'acier. accessoire. pour armoire KVS taille 2</t>
  </si>
  <si>
    <t>388.2169€</t>
  </si>
  <si>
    <t>ZAY95075</t>
  </si>
  <si>
    <t>Sac de remplissage pour socle enterré. 25 L. pour réduire la condensation</t>
  </si>
  <si>
    <t>35.002€</t>
  </si>
  <si>
    <t>ZAY98333</t>
  </si>
  <si>
    <t>Kit de montage du socle. pour armoires KVS. avec écrou serti montage accès haut</t>
  </si>
  <si>
    <t>75.6757€</t>
  </si>
  <si>
    <t>FZ818</t>
  </si>
  <si>
    <t>Porte-document.platique.DIN A4. adhéKVS</t>
  </si>
  <si>
    <t>8.5097€</t>
  </si>
  <si>
    <t>ZAX203E</t>
  </si>
  <si>
    <t>Socle dalle hauteur 250 mm pour armoire KVS largeur 1445 mm</t>
  </si>
  <si>
    <t>560.8748€</t>
  </si>
  <si>
    <t>HEQ630JR</t>
  </si>
  <si>
    <t>Disjoncteur boitier moulé Fixe h3+ PW1600 LSI 3 Poles 630A avec un pouvoir de coupure 70kA</t>
  </si>
  <si>
    <t xml:space="preserve">HATPVM03 </t>
  </si>
  <si>
    <t>APPAREILLAGE DE TETE &gt; 630A</t>
  </si>
  <si>
    <t>3985.2228€</t>
  </si>
  <si>
    <t>HEQ630NR</t>
  </si>
  <si>
    <t>Disjoncteur boitier moulé Fixe h3+ PW1600 Energy 3 Poles 630A avec un pouvoir de coupure 70kA</t>
  </si>
  <si>
    <t>4513.3832€</t>
  </si>
  <si>
    <t>HEQ631JR</t>
  </si>
  <si>
    <t>Disjoncteur boitier moulé Fixe h3+ PW1600 LSI 4 Poles 630A avec un pouvoir de coupure 70kA</t>
  </si>
  <si>
    <t>4609.4151€</t>
  </si>
  <si>
    <t>HEQ631NR</t>
  </si>
  <si>
    <t>Disjoncteur boitier moulé Fixe h3+ PW1600 Energy 4 Poles 630A avec un pouvoir de coupure 70kA</t>
  </si>
  <si>
    <t>5041.5479€</t>
  </si>
  <si>
    <t>HEQ800JR</t>
  </si>
  <si>
    <t>Disjoncteur boitier moulé Fixe h3+ PW1600 LSI 3 Poles 800A avec un pouvoir de coupure 70kA</t>
  </si>
  <si>
    <t>4321.3237€</t>
  </si>
  <si>
    <t>HEQ800NR</t>
  </si>
  <si>
    <t>Disjoncteur boitier moulé Fixe h3+ PW1600 Energy 3 Poles 800A avec un pouvoir de coupure 70kA</t>
  </si>
  <si>
    <t>5281.6212€</t>
  </si>
  <si>
    <t>HEQ801JR</t>
  </si>
  <si>
    <t>Disjoncteur boitier moulé Fixe h3+ PW1600 LSI 4 Poles 800A avec un pouvoir de coupure 70kA</t>
  </si>
  <si>
    <t>4897.5022€</t>
  </si>
  <si>
    <t>HEQ801NR</t>
  </si>
  <si>
    <t>Disjoncteur boitier moulé Fixe h3+ PW1600 Energy 4 Poles 800A avec un pouvoir de coupure 70kA</t>
  </si>
  <si>
    <t>6097.873€</t>
  </si>
  <si>
    <t>HEQ970JR</t>
  </si>
  <si>
    <t>Disjoncteur boitier moulé Fixe h3+ PW1600 LSI 3 Poles 1000A avec un pouvoir de coupure 70kA</t>
  </si>
  <si>
    <t>HEQ970NR</t>
  </si>
  <si>
    <t>Disjoncteur boitier moulé Fixe h3+ PW1600 Energy 3 Poles 1000A avec un pouvoir de coupure 70kA</t>
  </si>
  <si>
    <t>5713.754€</t>
  </si>
  <si>
    <t>HEQ971JR</t>
  </si>
  <si>
    <t>Disjoncteur boitier moulé Fixe h3+ PW1600 LSI 4 Poles 1000A avec un pouvoir de coupure 70kA</t>
  </si>
  <si>
    <t>5137.5798€</t>
  </si>
  <si>
    <t>HEQ971NR</t>
  </si>
  <si>
    <t>Disjoncteur boitier moulé Fixe h3+ PW1600 Energy 4 Poles 1000A avec un pouvoir de coupure 70kA</t>
  </si>
  <si>
    <t>6337.942€</t>
  </si>
  <si>
    <t>HEQ980JR</t>
  </si>
  <si>
    <t>Disjoncteur boitier moulé Fixe h3+ PW1600 LSI 3 Poles 1250A avec un pouvoir de coupure 70kA</t>
  </si>
  <si>
    <t>4993.5298€</t>
  </si>
  <si>
    <t>HEQ980NR</t>
  </si>
  <si>
    <t>Disjoncteur boitier moulé Fixe h3+ PW1600 Energy 3 Poles 1250A avec un pouvoir de coupure 70kA</t>
  </si>
  <si>
    <t>6193.9006€</t>
  </si>
  <si>
    <t>HEQ981JR</t>
  </si>
  <si>
    <t>Disjoncteur boitier moulé Fixe h3+ PW1600 LSI 4 Poles 1250A avec un pouvoir de coupure 70kA</t>
  </si>
  <si>
    <t>HEQ981NR</t>
  </si>
  <si>
    <t>Disjoncteur boitier moulé Fixe h3+ PW1600 Energy 4 Poles 1250A avec un pouvoir de coupure 70kA</t>
  </si>
  <si>
    <t>6914.1205€</t>
  </si>
  <si>
    <t>HEQ990JR</t>
  </si>
  <si>
    <t>Disjoncteur boitier moulé Fixe h3+ PW1600 LSI 3 Poles 1600A avec un pouvoir de coupure 70kA</t>
  </si>
  <si>
    <t>HEQ990NR</t>
  </si>
  <si>
    <t>Disjoncteur boitier moulé Fixe h3+ PW1600 Energy 3 Poles 1600A avec un pouvoir de coupure 70kA</t>
  </si>
  <si>
    <t>6481.9877€</t>
  </si>
  <si>
    <t>HEQ991JR</t>
  </si>
  <si>
    <t>Disjoncteur boitier moulé Fixe h3+ PW1600 LSI 4 Poles 1600A avec un pouvoir de coupure 70kA</t>
  </si>
  <si>
    <t>6001.8411€</t>
  </si>
  <si>
    <t>HEQ991NR</t>
  </si>
  <si>
    <t>Disjoncteur boitier moulé Fixe h3+ PW1600 Energy 4 Poles 1600A avec un pouvoir de coupure 70kA</t>
  </si>
  <si>
    <t>7202.2076€</t>
  </si>
  <si>
    <t>HMQ630AR</t>
  </si>
  <si>
    <t>Interrupteur boitier moulé Fixe h3+ PW1600  3 Poles 630A</t>
  </si>
  <si>
    <t>1728.5312€</t>
  </si>
  <si>
    <t>HMQ630JR</t>
  </si>
  <si>
    <t>Disjoncteur boitier moulé Fixe h3+ PW1600 LSI 3 Poles 630A avec un pouvoir de coupure 50kA</t>
  </si>
  <si>
    <t>3313.021€</t>
  </si>
  <si>
    <t>HMQ630NR</t>
  </si>
  <si>
    <t>Disjoncteur boitier moulé Fixe h3+ PW1600 Energy 3 Poles 630A avec un pouvoir de coupure 50kA</t>
  </si>
  <si>
    <t>4129.2685€</t>
  </si>
  <si>
    <t>HMQ631AR</t>
  </si>
  <si>
    <t>Interrupteur boitier moulé Fixe h3+ PW1600  4 Poles 630A</t>
  </si>
  <si>
    <t>2160.664€</t>
  </si>
  <si>
    <t>HMQ631JR</t>
  </si>
  <si>
    <t>Disjoncteur boitier moulé Fixe h3+ PW1600 LSI 4 Poles 630A avec un pouvoir de coupure 50kA</t>
  </si>
  <si>
    <t>3841.1771€</t>
  </si>
  <si>
    <t>HMQ631NR</t>
  </si>
  <si>
    <t>Disjoncteur boitier moulé Fixe h3+ PW1600 Energy 4 Poles 630A avec un pouvoir de coupure 50kA</t>
  </si>
  <si>
    <t>HMQ800AR</t>
  </si>
  <si>
    <t>Interrupteur boitier moulé Fixe h3+ PW1600  3 Poles 800A</t>
  </si>
  <si>
    <t>1776.5493€</t>
  </si>
  <si>
    <t>HMQ800JR</t>
  </si>
  <si>
    <t>Disjoncteur boitier moulé Fixe h3+ PW1600 LSI 3 Poles 800A avec un pouvoir de coupure 50kA</t>
  </si>
  <si>
    <t>3601.1081€</t>
  </si>
  <si>
    <t>HMQ800NR</t>
  </si>
  <si>
    <t>Disjoncteur boitier moulé Fixe h3+ PW1600 Energy 3 Poles 800A avec un pouvoir de coupure 50kA</t>
  </si>
  <si>
    <t>4801.4746€</t>
  </si>
  <si>
    <t>HMQ801AR</t>
  </si>
  <si>
    <t>Interrupteur boitier moulé Fixe h3+ PW1600  4 Poles 800A</t>
  </si>
  <si>
    <t>2208.6778€</t>
  </si>
  <si>
    <t>HMQ801JR</t>
  </si>
  <si>
    <t>Disjoncteur boitier moulé Fixe de la gamme h3+ PW1600 LSI 4 Poles 800A avec un pouvoir de coupure 50kA</t>
  </si>
  <si>
    <t>4081.2547€</t>
  </si>
  <si>
    <t>HMQ801NR</t>
  </si>
  <si>
    <t>Disjoncteur boitier moulé Fixe h3+ PW1600 Energy 4 Poles 800A avec un pouvoir de coupure 50kA</t>
  </si>
  <si>
    <t>HMQ970AR</t>
  </si>
  <si>
    <t>Interrupteur boitier moulé Fixe h3+ PW1600  3 Poles 1000A</t>
  </si>
  <si>
    <t>1872.5769€</t>
  </si>
  <si>
    <t>HMQ970JR</t>
  </si>
  <si>
    <t>Disjoncteur boitier moulé Fixe h3+ PW1600 LSI 3 Poles 1000A avec un pouvoir de coupure 50kA</t>
  </si>
  <si>
    <t>3745.1495€</t>
  </si>
  <si>
    <t>HMQ970NR</t>
  </si>
  <si>
    <t>Disjoncteur boitier moulé Fixe h3+ PW1600 Energy 3 Poles 1000A avec un pouvoir de coupure 50kA</t>
  </si>
  <si>
    <t>4945.5203€</t>
  </si>
  <si>
    <t>HMQ971AR</t>
  </si>
  <si>
    <t>Interrupteur boitier moulé Fixe h3+ PW1600  4 Poles 1000A</t>
  </si>
  <si>
    <t>2304.7097€</t>
  </si>
  <si>
    <t>HMQ971JR</t>
  </si>
  <si>
    <t>Disjoncteur boitier moulé Fixe h3+ PW1600 LSI 4 Poles 1000A avec un pouvoir de coupure 50kA</t>
  </si>
  <si>
    <t>4273.3142€</t>
  </si>
  <si>
    <t>HMQ971NR</t>
  </si>
  <si>
    <t>Disjoncteur boitier moulé Fixe h3+ PW1600 Energy 4 Poles 1000A avec un pouvoir de coupure 50kA</t>
  </si>
  <si>
    <t>5473.6764€</t>
  </si>
  <si>
    <t>HMQ980AR</t>
  </si>
  <si>
    <t>Interrupteur boitier moulé Fixe h3+ PW1600  3 Poles 1250A</t>
  </si>
  <si>
    <t>2016.6183€</t>
  </si>
  <si>
    <t>HMQ980JR</t>
  </si>
  <si>
    <t>Disjoncteur boitier moulé Fixe h3+ PW1600 LSI 3 Poles 1250A avec un pouvoir de coupure 50kA</t>
  </si>
  <si>
    <t>4177.2823€</t>
  </si>
  <si>
    <t>HMQ980NR</t>
  </si>
  <si>
    <t>Disjoncteur boitier moulé Fixe h3+ PW1600 Energy 3 Poles 1250A avec un pouvoir de coupure 50kA</t>
  </si>
  <si>
    <t>5377.6488€</t>
  </si>
  <si>
    <t>HMQ981AR</t>
  </si>
  <si>
    <t>Interrupteur boitier moulé Fixe h3+ PW1600  4 Poles 1250A</t>
  </si>
  <si>
    <t>2448.7554€</t>
  </si>
  <si>
    <t>HMQ981JR</t>
  </si>
  <si>
    <t>Disjoncteur boitier moulé Fixe h3+ PW1600 LSI 4 Poles 1250A avec un pouvoir de coupure 50kA</t>
  </si>
  <si>
    <t>4753.4608€</t>
  </si>
  <si>
    <t>HMQ981NR</t>
  </si>
  <si>
    <t>Disjoncteur boitier moulé Fixe h3+ PW1600 Energy 4 Poles 1250A avec un pouvoir de coupure 50kA</t>
  </si>
  <si>
    <t>5953.8273€</t>
  </si>
  <si>
    <t>HMQ990AR</t>
  </si>
  <si>
    <t>Interrupteur boitier moulé Fixe h3+ PW1600  3 Poles 1600A</t>
  </si>
  <si>
    <t>HMQ990JR</t>
  </si>
  <si>
    <t>Disjoncteur boitier moulé Fixe h3+ PW1600 LSI 3 Poles 1600A avec un pouvoir de coupure 50kA</t>
  </si>
  <si>
    <t>4417.3556€</t>
  </si>
  <si>
    <t>HMQ990NR</t>
  </si>
  <si>
    <t>Disjoncteur boitier moulé Fixe h3+ PW1600 Energy 3 Poles 1600A avec un pouvoir de coupure 50kA</t>
  </si>
  <si>
    <t>5617.7264€</t>
  </si>
  <si>
    <t>HMQ991AR</t>
  </si>
  <si>
    <t>Interrupteur boitier moulé Fixe h3+ PW1600  4 Poles 1600A</t>
  </si>
  <si>
    <t>2640.8149€</t>
  </si>
  <si>
    <t>HMQ991JR</t>
  </si>
  <si>
    <t>Disjoncteur boitier moulé Fixe h3+ PW1600 LSI 4 Poles 1600A avec un pouvoir de coupure 50kA</t>
  </si>
  <si>
    <t>HMQ991NR</t>
  </si>
  <si>
    <t>Disjoncteur boitier moulé Fixe h3+ PW1600 Energy 4 Poles 1600A avec un pouvoir de coupure 50kA</t>
  </si>
  <si>
    <t>HY1E306DB</t>
  </si>
  <si>
    <t>Disj.h3+PW1600 3x630A 70kA Débro TU st</t>
  </si>
  <si>
    <t>HY1E306DE</t>
  </si>
  <si>
    <t>Disj.h3+ PW1600 3x630A 70kA Débro TU EN</t>
  </si>
  <si>
    <t>HY1E306FB</t>
  </si>
  <si>
    <t>Disj. h3+ PW1600 3x630A 70kA Fixe TU st</t>
  </si>
  <si>
    <t>HY1E306FE</t>
  </si>
  <si>
    <t>Disj. h3+ PW1600 3x630A 70kA Fixe TU EN</t>
  </si>
  <si>
    <t>HY1E308DB</t>
  </si>
  <si>
    <t>Disj.h3+PW1600 3x800A 70kA Débro TU st</t>
  </si>
  <si>
    <t>HY1E308DE</t>
  </si>
  <si>
    <t>Disj.h3+ PW1600 3x800A 70kA Débro TU EN</t>
  </si>
  <si>
    <t>HY1E308FB</t>
  </si>
  <si>
    <t>Disj. h3+ PW1600 3x800A 70kA Fixe TU st</t>
  </si>
  <si>
    <t>HY1E308FE</t>
  </si>
  <si>
    <t>Disj. h3+ PW1600 3x800A 70kA Fixe TU EN</t>
  </si>
  <si>
    <t>HY1E310DB</t>
  </si>
  <si>
    <t>Disj.h3+ PW1600 3x1000A 70kA Débro TU st</t>
  </si>
  <si>
    <t>HY1E310DE</t>
  </si>
  <si>
    <t>Disj.h3+PW1600 3x1000A 70kA Débro TU EN</t>
  </si>
  <si>
    <t>HY1E310FB</t>
  </si>
  <si>
    <t>Disj. h3+ PW1600 3x1000A 70kA Fixe TU st</t>
  </si>
  <si>
    <t>HY1E310FE</t>
  </si>
  <si>
    <t>Disj.h3+ PW1600 3x1000A 70kA Fixe TU EN</t>
  </si>
  <si>
    <t>HY1E312DB</t>
  </si>
  <si>
    <t>Disj.h3+ PW1600 3x1250A 70kA Débro TU st</t>
  </si>
  <si>
    <t>HY1E312DE</t>
  </si>
  <si>
    <t>Disj.h3+PW1600 3x1250A 70kA Débro TU EN</t>
  </si>
  <si>
    <t>HY1E312FB</t>
  </si>
  <si>
    <t>Disj. h3+ PW1600 3x1250A 70kA Fixe TU st</t>
  </si>
  <si>
    <t>HY1E312FE</t>
  </si>
  <si>
    <t>Disj.h3+ PW1600 3x1250A 70kA Fixe TU EN</t>
  </si>
  <si>
    <t>HY1E316DB</t>
  </si>
  <si>
    <t>Disj.h3+ PW1600 3x1600A 70kA Débro TU st</t>
  </si>
  <si>
    <t>HY1E316DE</t>
  </si>
  <si>
    <t>Disj.h3+PW1600 3x1600A 70kA Débro TU EN</t>
  </si>
  <si>
    <t>HY1E316FB</t>
  </si>
  <si>
    <t>Disj. h3+ PW1600 3x1600A 70kA Fixe TU st</t>
  </si>
  <si>
    <t>HY1E316FE</t>
  </si>
  <si>
    <t>Disj.h3+ PW1600 3x1600A 70kA Fixe TU EN</t>
  </si>
  <si>
    <t>HY1E406DB</t>
  </si>
  <si>
    <t>Disj.h3+PW1600 4x630A 70kA Débro TU st</t>
  </si>
  <si>
    <t>HY1E406DE</t>
  </si>
  <si>
    <t>Disj.h3+ PW1600 4x630A 70kA Débro TU EN</t>
  </si>
  <si>
    <t>HY1E406FB</t>
  </si>
  <si>
    <t>Disj. h3+ PW1600 4x630A 70kA Fixe TU st</t>
  </si>
  <si>
    <t>HY1E406FE</t>
  </si>
  <si>
    <t>Disj. h3+ PW1600 4x630A 70kA Fixe TU EN</t>
  </si>
  <si>
    <t>HY1E408DB</t>
  </si>
  <si>
    <t>Disj.h3+PW1600 4x800A 70kA Débro TU st</t>
  </si>
  <si>
    <t>HY1E408DE</t>
  </si>
  <si>
    <t>Disj.h3+ PW1600 4x800A 70kA Débro TU EN</t>
  </si>
  <si>
    <t>HY1E408FB</t>
  </si>
  <si>
    <t>Disj. h3+ PW1600 4x800A 70kA Fixe TU st</t>
  </si>
  <si>
    <t>HY1E408FE</t>
  </si>
  <si>
    <t>Disj. h3+ PW1600 4x800A 70kA Fixe TU EN</t>
  </si>
  <si>
    <t>HY1E410DB</t>
  </si>
  <si>
    <t>Disj.h3+ PW1600 4x1000A 70kA Débro TU st</t>
  </si>
  <si>
    <t>HY1E410DE</t>
  </si>
  <si>
    <t>Disj.h3+PW1600 4x1000A 70kA Débro TU EN</t>
  </si>
  <si>
    <t>HY1E410FB</t>
  </si>
  <si>
    <t>Disj. h3+ PW1600 4x1000A 70kA Fixe TU st</t>
  </si>
  <si>
    <t>HY1E410FE</t>
  </si>
  <si>
    <t>Disj.h3+ PW1600 4x1000A 70kA Fixe TU EN</t>
  </si>
  <si>
    <t>HY1E412DB</t>
  </si>
  <si>
    <t>Disj.h3+ PW1600 4x1250A 70kA Débro TU st</t>
  </si>
  <si>
    <t>HY1E412DE</t>
  </si>
  <si>
    <t>Disj.h3+PW1600 4x1250A 70kA Débro TU EN</t>
  </si>
  <si>
    <t>HY1E412FB</t>
  </si>
  <si>
    <t>Disj. h3+ PW1600 4x1250A 70kA Fixe TU st</t>
  </si>
  <si>
    <t>HY1E412FE</t>
  </si>
  <si>
    <t>Disj.h3+ PW1600 4x1250A 70kA Fixe TU EN</t>
  </si>
  <si>
    <t>HY1E416DB</t>
  </si>
  <si>
    <t>Disj.h3+ PW1600 4x1600A 70kA Débro TU st</t>
  </si>
  <si>
    <t>HY1E416DE</t>
  </si>
  <si>
    <t>Disj.h3+PW1600 4x1600A 70kA Débro TU EN</t>
  </si>
  <si>
    <t>HY1E416FB</t>
  </si>
  <si>
    <t>Disj. h3+ PW1600 4x1600A 70kA Fixe TU st</t>
  </si>
  <si>
    <t>HY1E416FE</t>
  </si>
  <si>
    <t>Disj.h3+ PW1600 4x1600A 70kA Fixe TU EN</t>
  </si>
  <si>
    <t>HY1M306DB</t>
  </si>
  <si>
    <t>Disj.h3+PW1600 3x630A 50kA Débro TU st</t>
  </si>
  <si>
    <t>HY1M306DE</t>
  </si>
  <si>
    <t>Disj.h3+ PW1600 3x630A 50kA Débro TU EN</t>
  </si>
  <si>
    <t>HY1M306FB</t>
  </si>
  <si>
    <t>Disj. h3+ PW1600 3x630A 50kA Fixe TU st</t>
  </si>
  <si>
    <t>HY1M306FE</t>
  </si>
  <si>
    <t>Disj. h3+ PW1600 3x630A 50kA Fixe TU EN</t>
  </si>
  <si>
    <t>HY1M308DB</t>
  </si>
  <si>
    <t>Disj.h3+PW1600 3x800A 50kA Débro TU st</t>
  </si>
  <si>
    <t>HY1M308DE</t>
  </si>
  <si>
    <t>Disj.h3+ PW1600 3x800A 50kA Débro TU EN</t>
  </si>
  <si>
    <t>HY1M308FB</t>
  </si>
  <si>
    <t>Disj. h3+ PW1600 3x800A 50kA Fixe TU st</t>
  </si>
  <si>
    <t>HY1M308FE</t>
  </si>
  <si>
    <t>Disj. h3+ PW1600 3x800A 50kA Fixe TU EN</t>
  </si>
  <si>
    <t>HY1M310DB</t>
  </si>
  <si>
    <t>Disj.h3+ PW1600 3x1000A 50kA Débro TU st</t>
  </si>
  <si>
    <t>HY1M310DE</t>
  </si>
  <si>
    <t>Disj.h3+PW1600 3x1000A 50kA Débro TU EN</t>
  </si>
  <si>
    <t>HY1M310FB</t>
  </si>
  <si>
    <t>Disj. h3+ PW1600 3x1000A 50kA Fixe TU st</t>
  </si>
  <si>
    <t>HY1M310FE</t>
  </si>
  <si>
    <t>Disj.h3+ PW1600 3x1000A 50kA Fixe TU EN</t>
  </si>
  <si>
    <t>HY1M312DB</t>
  </si>
  <si>
    <t>Disj.h3+ PW1600 3x1250A 50kA Débro TU st</t>
  </si>
  <si>
    <t>HY1M312DE</t>
  </si>
  <si>
    <t>Disj.h3+PW1600 3x1250A 50kA Débro TU EN</t>
  </si>
  <si>
    <t>HY1M312FB</t>
  </si>
  <si>
    <t>Disj. h3+ PW1600 3x1250A 50kA Fixe TU st</t>
  </si>
  <si>
    <t>HY1M312FE</t>
  </si>
  <si>
    <t>Disj.h3+ PW1600 3x1250A 50kA Fixe TU EN</t>
  </si>
  <si>
    <t>HY1M316DB</t>
  </si>
  <si>
    <t>Disj.h3+ PW1600 3x1600A 50kA Débro TU st</t>
  </si>
  <si>
    <t>HY1M316DE</t>
  </si>
  <si>
    <t>Disj.h3+PW1600 3x1600A 50kA Débro TU EN</t>
  </si>
  <si>
    <t>HY1M316FB</t>
  </si>
  <si>
    <t>Disj. h3+ PW1600 3x1600A 50kA Fixe TU st</t>
  </si>
  <si>
    <t>HY1M316FE</t>
  </si>
  <si>
    <t>Disj.h3+ PW1600 3x1600A 50kA Fixe TU EN</t>
  </si>
  <si>
    <t>HY1M406DB</t>
  </si>
  <si>
    <t>Disj.h3+PW1600 4x630A 50kA Débro TU st</t>
  </si>
  <si>
    <t>HY1M406DE</t>
  </si>
  <si>
    <t>Disj.h3+ PW1600 4x630A 50kA Débro TU EN</t>
  </si>
  <si>
    <t>HY1M406FB</t>
  </si>
  <si>
    <t>Disj. h3+ PW1600 4x630A 50kA Fixe TU st</t>
  </si>
  <si>
    <t>HY1M406FE</t>
  </si>
  <si>
    <t>Disj. h3+ PW1600 4x630A 50kA Fixe TU EN</t>
  </si>
  <si>
    <t>HY1M408DB</t>
  </si>
  <si>
    <t>Disj.h3+PW1600 4x800A 50kA Débro TU st</t>
  </si>
  <si>
    <t>HY1M408DE</t>
  </si>
  <si>
    <t>Disj.h3+ PW1600 4x800A 50kA Débro TU EN</t>
  </si>
  <si>
    <t>HY1M408FB</t>
  </si>
  <si>
    <t>Disj. h3+ PW1600 4x800A 50kA Fixe TU st</t>
  </si>
  <si>
    <t>HY1M408FE</t>
  </si>
  <si>
    <t>Disj. h3+ PW1600 4x800A 50kA Fixe TU EN</t>
  </si>
  <si>
    <t>HY1M410DB</t>
  </si>
  <si>
    <t>Disj.h3+ PW1600 4x1000A 50kA Débro TU st</t>
  </si>
  <si>
    <t>HY1M410DE</t>
  </si>
  <si>
    <t>Disj.h3+PW1600 4x1000A 50kA Débro TU EN</t>
  </si>
  <si>
    <t>HY1M410FB</t>
  </si>
  <si>
    <t>Disj. h3+ PW1600 4x1000A 50kA Fixe TU st</t>
  </si>
  <si>
    <t>HY1M410FE</t>
  </si>
  <si>
    <t>Disj.h3+ PW1600 4x1000A 50kA Fixe TU EN</t>
  </si>
  <si>
    <t>HY1M412DB</t>
  </si>
  <si>
    <t>Disj.h3+ PW1600 4x1250A 50kA Débro TU st</t>
  </si>
  <si>
    <t>HY1M412DE</t>
  </si>
  <si>
    <t>Disj.h3+PW1600 4x1250A 50kA Débro TU EN</t>
  </si>
  <si>
    <t>HY1M412FB</t>
  </si>
  <si>
    <t>Disj. h3+ PW1600 4x1250A 50kA Fixe TU st</t>
  </si>
  <si>
    <t>HY1M412FE</t>
  </si>
  <si>
    <t>Disj.h3+ PW1600 4x1250A 50kA Fixe TU EN</t>
  </si>
  <si>
    <t>HY1M416DB</t>
  </si>
  <si>
    <t>Disj.h3+ PW1600 4x1600A 50kA Débro TU st</t>
  </si>
  <si>
    <t>HY1M416DE</t>
  </si>
  <si>
    <t>Disj.h3+PW1600 4x1600A 50kA Débro TU EN</t>
  </si>
  <si>
    <t>HY1M416FB</t>
  </si>
  <si>
    <t>Disj. h3+ PW1600 4x1600A 50kA Fixe TU st</t>
  </si>
  <si>
    <t>HY1M416FE</t>
  </si>
  <si>
    <t>Disj.h3+ PW1600 4x1600A 50kA Fixe TU EN</t>
  </si>
  <si>
    <t>HY1W306DS</t>
  </si>
  <si>
    <t>Interrupteur h3+ PW1600 3x630A Débro</t>
  </si>
  <si>
    <t>HY1W306FS</t>
  </si>
  <si>
    <t>Interrupteur h3+ PW1600 3x630A Fixe</t>
  </si>
  <si>
    <t>HY1W308DS</t>
  </si>
  <si>
    <t>Interrupteur h3+ PW1600 3x800A Débro</t>
  </si>
  <si>
    <t>HY1W308FS</t>
  </si>
  <si>
    <t>Interrupteur h3+ PW1600 3x800AFixe</t>
  </si>
  <si>
    <t>HY1W310DS</t>
  </si>
  <si>
    <t>Interrupteur h3+ PW1600 3x1000A Débro</t>
  </si>
  <si>
    <t>HY1W310FS</t>
  </si>
  <si>
    <t>Interrupteur h3+ PW1600 3x1000A Fixe</t>
  </si>
  <si>
    <t>HY1W312DS</t>
  </si>
  <si>
    <t>Interrupteur h3+ PW1600 3x1250A Débro</t>
  </si>
  <si>
    <t>HY1W312FS</t>
  </si>
  <si>
    <t>Interrupteur h3+ PW1600 3x1250A Fixe</t>
  </si>
  <si>
    <t>HY1W316DS</t>
  </si>
  <si>
    <t>Interrupteur h3+ PW1600 3x1600A Débro</t>
  </si>
  <si>
    <t>HY1W316FS</t>
  </si>
  <si>
    <t>Interrupteur h3+ PW1600 3x1600A Fixe</t>
  </si>
  <si>
    <t>HY1W406DS</t>
  </si>
  <si>
    <t>Interrupteur h3+ PW1600 4x630A Débro</t>
  </si>
  <si>
    <t>HY1W406FS</t>
  </si>
  <si>
    <t>Interrupteur h3+ PW1600 4x630A Fixe</t>
  </si>
  <si>
    <t>HY1W408DS</t>
  </si>
  <si>
    <t>Interrupteur h3+ PW1600 4x800A Débro</t>
  </si>
  <si>
    <t>HY1W408FS</t>
  </si>
  <si>
    <t>Interrupteur h3+ PW1600 4x800A Fixe</t>
  </si>
  <si>
    <t>HY1W410DS</t>
  </si>
  <si>
    <t>Interrupteur h3+ PW1600 4x1000A Débro</t>
  </si>
  <si>
    <t>HY1W410FS</t>
  </si>
  <si>
    <t>Interrupteur h3+ PW1600 4x1000A Fixe</t>
  </si>
  <si>
    <t>HY1W412DS</t>
  </si>
  <si>
    <t>Interrupteur h3+ PW1600 4x1250A Débro</t>
  </si>
  <si>
    <t>HY1W412FS</t>
  </si>
  <si>
    <t>Interrupteur h3+ PW1600 4x1250A Fixe</t>
  </si>
  <si>
    <t>HY1W416DS</t>
  </si>
  <si>
    <t>Interrupteur h3+ PW1600 4x1600A Débro</t>
  </si>
  <si>
    <t>HY1W416FS</t>
  </si>
  <si>
    <t>Interrupteur h3+ PW1600 4x1600A Fixe</t>
  </si>
  <si>
    <t>XVL122STI</t>
  </si>
  <si>
    <t>Witty plus borne de recharge. IP55 1x 7.4 ou 22kW 1Ph/3Ph avec prise T2S. équipée de la carte TIC Filaire. accès par RFID. application bluetooth. carte de com. OCPP. compteur MID intégré à la borne. compatible SOLAR avec XVA6xx ou XEM470</t>
  </si>
  <si>
    <t xml:space="preserve">HAEAGM15 </t>
  </si>
  <si>
    <t>WITTY LINK</t>
  </si>
  <si>
    <t>906.816€</t>
  </si>
  <si>
    <t>XVL122S</t>
  </si>
  <si>
    <t>Borne witty plus 22kW  prise T2S</t>
  </si>
  <si>
    <t>854.814€</t>
  </si>
  <si>
    <t>HWW221HSP</t>
  </si>
  <si>
    <t>Prolongateur de levier de déclenchement HW1 (pour MI) + vis</t>
  </si>
  <si>
    <t xml:space="preserve">HATRGM15 </t>
  </si>
  <si>
    <t>ACCESSOIRE MAINTENANCE HW+</t>
  </si>
  <si>
    <t>23.435€</t>
  </si>
  <si>
    <t>HWW222HSP</t>
  </si>
  <si>
    <t>Pièces de remplacement pour platine d\'interverrouillage mécanique pour HW1 Débrochable</t>
  </si>
  <si>
    <t>105.4575€</t>
  </si>
  <si>
    <t>HWW223HSP</t>
  </si>
  <si>
    <t>Pièces de remplacement pour platine d\'interverrouillage mécanique pour HW1 Fix</t>
  </si>
  <si>
    <t>HWW224HSP</t>
  </si>
  <si>
    <t>Pièces de remplacement pour platine d\'interverrouillage mécanique pour HW2/HW4/HW6 Débrochable</t>
  </si>
  <si>
    <t>HWW225HSP</t>
  </si>
  <si>
    <t>Pièces de remplacement pour platine d\'interverrouillage mécanique pour HW2/HW4/HW6 Fix</t>
  </si>
  <si>
    <t>HWW451HSP</t>
  </si>
  <si>
    <t>Déclencheur électronique version sentinel LSI (avec vis)</t>
  </si>
  <si>
    <t>703.05€</t>
  </si>
  <si>
    <t>HWW453HSP</t>
  </si>
  <si>
    <t>Déclencheur électronique version sentinel Energy LSI (avec vis)</t>
  </si>
  <si>
    <t>1171.75€</t>
  </si>
  <si>
    <t>HWW459HSP</t>
  </si>
  <si>
    <t>Capot transparent déclencheur sentinel HW1 (avec charnière)</t>
  </si>
  <si>
    <t>70.305€</t>
  </si>
  <si>
    <t>HWW460HSP</t>
  </si>
  <si>
    <t>Capot transparent déclencheur sentinel Energy HW1</t>
  </si>
  <si>
    <t>HWW461HSP</t>
  </si>
  <si>
    <t>Kit de remplacement écran pour sentinel</t>
  </si>
  <si>
    <t>196.854€</t>
  </si>
  <si>
    <t>HWW462HSP</t>
  </si>
  <si>
    <t>Kit de remplacement écran pour sentinel Energy</t>
  </si>
  <si>
    <t>393.708€</t>
  </si>
  <si>
    <t>HWW480HSP</t>
  </si>
  <si>
    <t>Faisceau pour déclencheur sentinel HW1 (zsi. alimentation externe)</t>
  </si>
  <si>
    <t>182.793€</t>
  </si>
  <si>
    <t>HWW481HSP</t>
  </si>
  <si>
    <t>Faisceau pour déclencheur sentinel Energy HW1 (zsi. alimentation externe)</t>
  </si>
  <si>
    <t>262.472€</t>
  </si>
  <si>
    <t>HWW482HSP</t>
  </si>
  <si>
    <t>Capot transparent déclencheur sentinel HW2/4/6 (avec charnière)</t>
  </si>
  <si>
    <t>58.5875€</t>
  </si>
  <si>
    <t>HWW483HSP</t>
  </si>
  <si>
    <t>Capot transparent déclencheur sentinel Energy HW2/4/6 (avec charnière)</t>
  </si>
  <si>
    <t>HWW484HSP</t>
  </si>
  <si>
    <t>Faisceau pour déclencheur sentinel HW2/4/6</t>
  </si>
  <si>
    <t>140.61€</t>
  </si>
  <si>
    <t>HWW485HSP</t>
  </si>
  <si>
    <t>Faisceau pour déclencheur sentinel Energy HW2/4/6</t>
  </si>
  <si>
    <t>89.053€</t>
  </si>
  <si>
    <t>HWW486HSP</t>
  </si>
  <si>
    <t>Faisceau pour déclencheur sentinel TB/TU 3P pour HW2/4/6</t>
  </si>
  <si>
    <t>51.557€</t>
  </si>
  <si>
    <t>HWW487HSP</t>
  </si>
  <si>
    <t>Faisceau pour déclencheur sentinel Energy TB/Vn 3P pour HW2/4/6</t>
  </si>
  <si>
    <t>32.809€</t>
  </si>
  <si>
    <t>HWW500HSP</t>
  </si>
  <si>
    <t>Manivelle débro HW1</t>
  </si>
  <si>
    <t>93.74€</t>
  </si>
  <si>
    <t>HWW501HSP</t>
  </si>
  <si>
    <t>Manivelle de débrochage pour chassis HW2 / HW4 / HW6</t>
  </si>
  <si>
    <t>53.9005€</t>
  </si>
  <si>
    <t>HWW502HSP</t>
  </si>
  <si>
    <t>Poignée de charge HW1</t>
  </si>
  <si>
    <t>HWW503HSP</t>
  </si>
  <si>
    <t>Poignée de chargement des ressorts pour HW2 / HW4 / HW6</t>
  </si>
  <si>
    <t>HWW504HSP</t>
  </si>
  <si>
    <t>Couvercle frontal Neutre HW1 (avec vis)</t>
  </si>
  <si>
    <t>HWW505HSP</t>
  </si>
  <si>
    <t>Couvercle frontal du pole de  Neutre pour HW2</t>
  </si>
  <si>
    <t>192.167€</t>
  </si>
  <si>
    <t>HWW506HSP</t>
  </si>
  <si>
    <t>Couvercle frontal du pole de  Neutre pour HW4/6</t>
  </si>
  <si>
    <t>222.6325€</t>
  </si>
  <si>
    <t>HWW507HSP</t>
  </si>
  <si>
    <t xml:space="preserve">Couvercle frontal du pole de  Neutre pour HW6 </t>
  </si>
  <si>
    <t>HWW508HSP</t>
  </si>
  <si>
    <t>Boutons poussoirs On et Off HW1</t>
  </si>
  <si>
    <t>56.244€</t>
  </si>
  <si>
    <t>HWW509HSP</t>
  </si>
  <si>
    <t>Boutons poussoirs ON + OFF HW2 / HW4 / HW6</t>
  </si>
  <si>
    <t>91.3965€</t>
  </si>
  <si>
    <t>HWW510HSP</t>
  </si>
  <si>
    <t>Capot avant ACB HW1 (avec vis)</t>
  </si>
  <si>
    <t>210.915€</t>
  </si>
  <si>
    <t>HWW511HSP</t>
  </si>
  <si>
    <t>Capot avant ACB Inter HW1 (avec vis)</t>
  </si>
  <si>
    <t>HWW516HSP</t>
  </si>
  <si>
    <t>Couvercle de verrouillage du châssis HW1</t>
  </si>
  <si>
    <t>39.8395€</t>
  </si>
  <si>
    <t>HWW518HSP</t>
  </si>
  <si>
    <t>Couvercle de sécurité (devant les ressorts) HW1</t>
  </si>
  <si>
    <t>HWW520HSP</t>
  </si>
  <si>
    <t>Volet de cloisonnement 3P HW1 (avec vis)</t>
  </si>
  <si>
    <t>107.801€</t>
  </si>
  <si>
    <t>HWW521HSP</t>
  </si>
  <si>
    <t>Volet de cloisonnement 4P HW1 (avec vis)</t>
  </si>
  <si>
    <t>159.358€</t>
  </si>
  <si>
    <t>HWW522HSP</t>
  </si>
  <si>
    <t>Volet de cloisonnement pour chassis HW2 en version 3 poles</t>
  </si>
  <si>
    <t>HWW523HSP</t>
  </si>
  <si>
    <t>Volet de cloisonnement pour chassis HW2 en version 4 poles</t>
  </si>
  <si>
    <t>274.1895€</t>
  </si>
  <si>
    <t>HWW524HSP</t>
  </si>
  <si>
    <t>Volet de cloisonnement pour chassis HW4 en version 3 poles</t>
  </si>
  <si>
    <t>250.7545€</t>
  </si>
  <si>
    <t>HWW525HSP</t>
  </si>
  <si>
    <t>Volet de cloisonnement pour chassis HW4 en version 4 poles</t>
  </si>
  <si>
    <t>292.9375€</t>
  </si>
  <si>
    <t>HWW526HSP</t>
  </si>
  <si>
    <t>Volet de cloisonnement pour chassis HW6 en version 3 poles</t>
  </si>
  <si>
    <t>609.31€</t>
  </si>
  <si>
    <t>HWW527HSP</t>
  </si>
  <si>
    <t>Volet de cloisonnement pour chassis HW6 en version 4 poles</t>
  </si>
  <si>
    <t>HWW528HSP</t>
  </si>
  <si>
    <t>Adaptateur de cadenas pour volet de cloisonnement pour chassis HW2 / HW4 / HW6</t>
  </si>
  <si>
    <t>HWW530HSP</t>
  </si>
  <si>
    <t>Pinces d\'embrochage (3 pcs) HW1</t>
  </si>
  <si>
    <t>365.586€</t>
  </si>
  <si>
    <t>HWW532HSP</t>
  </si>
  <si>
    <t>Pinces d\'embrochage HW2 / HW4 / HW6</t>
  </si>
  <si>
    <t>157.0145€</t>
  </si>
  <si>
    <t>HWW534HSP</t>
  </si>
  <si>
    <t>Support pinces d\'embrochage HW2</t>
  </si>
  <si>
    <t>459.326€</t>
  </si>
  <si>
    <t>HWW535HSP</t>
  </si>
  <si>
    <t>Support pinces d\'embrochage HW4 / HW6</t>
  </si>
  <si>
    <t>557.753€</t>
  </si>
  <si>
    <t>HWW540HSP</t>
  </si>
  <si>
    <t>Chambre à arc HW1 (x1) (avec vis)</t>
  </si>
  <si>
    <t>HWW541HSP</t>
  </si>
  <si>
    <t>Chambre à arc HW2</t>
  </si>
  <si>
    <t>358.5555€</t>
  </si>
  <si>
    <t>HWW542HSP</t>
  </si>
  <si>
    <t>Chambre à arc HW4/6</t>
  </si>
  <si>
    <t>468.7€</t>
  </si>
  <si>
    <t>HWW543HSP</t>
  </si>
  <si>
    <t>Ecrous chambre de coupure HW2/4/6</t>
  </si>
  <si>
    <t>21.0915€</t>
  </si>
  <si>
    <t>HWW550HSP</t>
  </si>
  <si>
    <t>Capot avant HW2 Disjoncteur 3P (avec vis) + kit bouton reset</t>
  </si>
  <si>
    <t>295.281€</t>
  </si>
  <si>
    <t>HWW551HSP</t>
  </si>
  <si>
    <t>Capot avant HW2 Disjoncteur 4P (avec vis) + kit bouton reset</t>
  </si>
  <si>
    <t>356.212€</t>
  </si>
  <si>
    <t>HWW552HSP</t>
  </si>
  <si>
    <t>Capot avant ACB Interrupteur HW2 3P (avec vis) + bouton reset</t>
  </si>
  <si>
    <t>367.9295€</t>
  </si>
  <si>
    <t>HWW553HSP</t>
  </si>
  <si>
    <t>Capot avant ACB Inter HW2 4P (avec vis) + bouton reset</t>
  </si>
  <si>
    <t>389.021€</t>
  </si>
  <si>
    <t>HWW554HSP</t>
  </si>
  <si>
    <t>Kit adapateur pour capot avant HW2</t>
  </si>
  <si>
    <t>35.1525€</t>
  </si>
  <si>
    <t>HWW555HSP</t>
  </si>
  <si>
    <t>Capot avant supérieur HW2</t>
  </si>
  <si>
    <t>112.488€</t>
  </si>
  <si>
    <t>HWW556HSP</t>
  </si>
  <si>
    <t>Couvercle de verrouillage du châssis HW2 HW4 HW6</t>
  </si>
  <si>
    <t>HWW558HSP</t>
  </si>
  <si>
    <t>Couvercle de sécurité (devant les ressorts) HW2</t>
  </si>
  <si>
    <t>65.618€</t>
  </si>
  <si>
    <t>HWW560HSP</t>
  </si>
  <si>
    <t>Capot avant ACB HW4/6 3P + bouton reset</t>
  </si>
  <si>
    <t>407.769€</t>
  </si>
  <si>
    <t>HWW561HSP</t>
  </si>
  <si>
    <t>Capot avant ACB HW4/6 4P + bouton reset</t>
  </si>
  <si>
    <t>515.57€</t>
  </si>
  <si>
    <t>HWW562HSP</t>
  </si>
  <si>
    <t>Capot avant ACB Interrupteur HW4/6 3P + bouton reset</t>
  </si>
  <si>
    <t>417.143€</t>
  </si>
  <si>
    <t>HWW563HSP</t>
  </si>
  <si>
    <t>Capot avant ACB Interrupteur HW4/6 4P + bouton reset</t>
  </si>
  <si>
    <t>431.204€</t>
  </si>
  <si>
    <t>HWW565HSP</t>
  </si>
  <si>
    <t>Capot avant supérieur HW4/6</t>
  </si>
  <si>
    <t>117.175€</t>
  </si>
  <si>
    <t>HWW568HSP</t>
  </si>
  <si>
    <t>Couvercle de sécurité (devant les ressorts) HW4/6</t>
  </si>
  <si>
    <t>HWW570HSP</t>
  </si>
  <si>
    <t>Kit vis plastique 1/4 tour</t>
  </si>
  <si>
    <t>18.748€</t>
  </si>
  <si>
    <t>HWW571HSP</t>
  </si>
  <si>
    <t>Capot R1 HW6</t>
  </si>
  <si>
    <t>HWW572HSP</t>
  </si>
  <si>
    <t>Capot R2 HW6</t>
  </si>
  <si>
    <t>HWW573HSP</t>
  </si>
  <si>
    <t>Bouton Reset + ressort HW1</t>
  </si>
  <si>
    <t>28.122€</t>
  </si>
  <si>
    <t>HWW574HSP</t>
  </si>
  <si>
    <t>Bouton Reset + ressort HW2/4/6</t>
  </si>
  <si>
    <t>37.496€</t>
  </si>
  <si>
    <t>HWW580HSP</t>
  </si>
  <si>
    <t>Liaisons partie mobile 3P HW1 (avec vis)</t>
  </si>
  <si>
    <t>562.44€</t>
  </si>
  <si>
    <t>HWW581HSP</t>
  </si>
  <si>
    <t>Liaisons partie mobile 4P HW1 (avec vis)</t>
  </si>
  <si>
    <t>HWW583HSP</t>
  </si>
  <si>
    <t>Prises pour la partie mobile du disjoncteur ou interrupteur HW2 (avec vis)</t>
  </si>
  <si>
    <t>433.5475€</t>
  </si>
  <si>
    <t>HWW584HSP</t>
  </si>
  <si>
    <t>Prises pour la partie mobile du disjoncteur ou interrupteur HW4/ HW6 (avec vis)</t>
  </si>
  <si>
    <t>571.814€</t>
  </si>
  <si>
    <t>HWW590HSP</t>
  </si>
  <si>
    <t>Vis de connexion HW1 (x16)</t>
  </si>
  <si>
    <t>HWW591HSP</t>
  </si>
  <si>
    <t>Vis pour connexion HW2. HW4 &amp; HW6</t>
  </si>
  <si>
    <t>HWW592HSP</t>
  </si>
  <si>
    <t>Vis pour capot de neutre HW2. HW4 &amp; HW6</t>
  </si>
  <si>
    <t>HWW593HSP</t>
  </si>
  <si>
    <t>Vis du capot avant pour ACB HW1 (x4)</t>
  </si>
  <si>
    <t>HWW594HSP</t>
  </si>
  <si>
    <t>Vis du capot avant pour ACB HW2</t>
  </si>
  <si>
    <t>HWW595HSP</t>
  </si>
  <si>
    <t>Vis du capot avant pour ACB HW4/6</t>
  </si>
  <si>
    <t>HWW596HSP</t>
  </si>
  <si>
    <t>Vis de chambre d'arc HW1</t>
  </si>
  <si>
    <t>46.87€</t>
  </si>
  <si>
    <t>HWW598HSP</t>
  </si>
  <si>
    <t>Vis pour moteur HW1</t>
  </si>
  <si>
    <t>HWW599HSP</t>
  </si>
  <si>
    <t>Vis pour moteur HW2/4/6</t>
  </si>
  <si>
    <t>HWW600HSP</t>
  </si>
  <si>
    <t>Kit de vis démontage ACB HW2/4/6</t>
  </si>
  <si>
    <t>171.0755€</t>
  </si>
  <si>
    <t>HWW610HSP</t>
  </si>
  <si>
    <t>Interface de connexion coulissante pour partie mobile DO HW1</t>
  </si>
  <si>
    <t>HWW611HSP</t>
  </si>
  <si>
    <t>Interface de connexion coulissante pour partie mobile DO HW2</t>
  </si>
  <si>
    <t>HWW612HSP</t>
  </si>
  <si>
    <t>Interface de connexion coulissante pour partie mobile DO HW4/6</t>
  </si>
  <si>
    <t>HWW613HSP</t>
  </si>
  <si>
    <t>Capot avant pour connexion coulissante interface DO HW1</t>
  </si>
  <si>
    <t>HWW615HSP</t>
  </si>
  <si>
    <t>Kit ressort à lames</t>
  </si>
  <si>
    <t>11.7175€</t>
  </si>
  <si>
    <t>HWW616HSP</t>
  </si>
  <si>
    <t>Interface de connexion coulissante + couvercle pour FIX HW1</t>
  </si>
  <si>
    <t>HWW617HSP</t>
  </si>
  <si>
    <t>Interface de connexion coulissante pour partie fixe DO HW1</t>
  </si>
  <si>
    <t>149.984€</t>
  </si>
  <si>
    <t>HWW618HSP</t>
  </si>
  <si>
    <t>Interface de connexion coulissante pour partie fixe DO HW2</t>
  </si>
  <si>
    <t>HWW619HSP</t>
  </si>
  <si>
    <t>Interface de connexion coulissante pour partie fixe DO HW4/6</t>
  </si>
  <si>
    <t>164.045€</t>
  </si>
  <si>
    <t>HWW620HSP</t>
  </si>
  <si>
    <t>Support du bornier pour HW1 Fixe</t>
  </si>
  <si>
    <t>HWW621HSP</t>
  </si>
  <si>
    <t>Support du bornier pour HW2 Fixe</t>
  </si>
  <si>
    <t>HWW622HSP</t>
  </si>
  <si>
    <t>Support du bornier pour HW4/6 Fixe</t>
  </si>
  <si>
    <t>161.7015€</t>
  </si>
  <si>
    <t>HWW630HSP</t>
  </si>
  <si>
    <t>Support pour contacts AX HW2/4/6</t>
  </si>
  <si>
    <t>HWW640HSP</t>
  </si>
  <si>
    <t>Rails débrochables HW1 (avec vis)</t>
  </si>
  <si>
    <t>HWW641HSP</t>
  </si>
  <si>
    <t>Rails de gauche pour Débrochable HW2/4/6</t>
  </si>
  <si>
    <t>339.8075€</t>
  </si>
  <si>
    <t>HWW642HSP</t>
  </si>
  <si>
    <t>Rails de droite pour Débrochable HW2/4/6</t>
  </si>
  <si>
    <t>HWW650HSP</t>
  </si>
  <si>
    <t>Plaques latérales FIX HW1</t>
  </si>
  <si>
    <t>178.106€</t>
  </si>
  <si>
    <t>HWW652HSP</t>
  </si>
  <si>
    <t>Plaques latérales Fixe HW2/4/6</t>
  </si>
  <si>
    <t>625.7145€</t>
  </si>
  <si>
    <t>HWW662HSP</t>
  </si>
  <si>
    <t>Plaque latérale avec poignées en plastique HW2/4/6</t>
  </si>
  <si>
    <t>HWW671HSP</t>
  </si>
  <si>
    <t>T1 capot HW6</t>
  </si>
  <si>
    <t>HWW672HSP</t>
  </si>
  <si>
    <t>T2 capot HW6</t>
  </si>
  <si>
    <t>HWW705HSP</t>
  </si>
  <si>
    <t>Capot pare-gaz HW2 3P DO</t>
  </si>
  <si>
    <t>HWW706HSP</t>
  </si>
  <si>
    <t>Capot pare-gaz HW2 3P FIX</t>
  </si>
  <si>
    <t>229.663€</t>
  </si>
  <si>
    <t>HWW707HSP</t>
  </si>
  <si>
    <t>Capot pare-gaz HW2 4P DO</t>
  </si>
  <si>
    <t>318.716€</t>
  </si>
  <si>
    <t>HWW708HSP</t>
  </si>
  <si>
    <t>Capot pare-gaz HW2 4P FIX</t>
  </si>
  <si>
    <t>HWW709HSP</t>
  </si>
  <si>
    <t>Capot pare-gaz HW4 3P DO</t>
  </si>
  <si>
    <t>337.464€</t>
  </si>
  <si>
    <t>HWW710HSP</t>
  </si>
  <si>
    <t>Capot pare-gaz HW4 3P FIX</t>
  </si>
  <si>
    <t>HWW711HSP</t>
  </si>
  <si>
    <t>Capot pare-gaz HW4 4P DO</t>
  </si>
  <si>
    <t>374.96€</t>
  </si>
  <si>
    <t>HWW712HSP</t>
  </si>
  <si>
    <t>Capot pare-gaz HW4 4P FIX</t>
  </si>
  <si>
    <t>HWW850HSP</t>
  </si>
  <si>
    <t>Ressort T-LEVER/A SP (HW1) 1 kit = 2 pcs</t>
  </si>
  <si>
    <t>14.061€</t>
  </si>
  <si>
    <t>HWW851HSP</t>
  </si>
  <si>
    <t>Ressort T-LEVER/A SP HW2/4/6</t>
  </si>
  <si>
    <t>HWW852HSP</t>
  </si>
  <si>
    <t>Indicateur en plastique du statut de verrouillage HW1</t>
  </si>
  <si>
    <t>HWW853HSP</t>
  </si>
  <si>
    <t>Autocollants d\'indicateur de statut de verrouillage</t>
  </si>
  <si>
    <t>HWW888HSP</t>
  </si>
  <si>
    <t>Graisse ACB hw+</t>
  </si>
  <si>
    <t>HWW889HSP</t>
  </si>
  <si>
    <t>Outil réglage Interverrouillage Mécanique</t>
  </si>
  <si>
    <t>HWY370HSP</t>
  </si>
  <si>
    <t>Verrouillage position déconnectée (sectionnement)</t>
  </si>
  <si>
    <t>HWW651HSP</t>
  </si>
  <si>
    <t>Plaques latérales DO HW1</t>
  </si>
  <si>
    <t>XVG207SQF</t>
  </si>
  <si>
    <t>La borne de recharge witty park2 mural IP55 IK10 OCPP d\'une puissance maximale de 2x7.4kW (32A) est équipée de deux prises T2S. d\'une prise TE. d\'un lecteur RFID. d\'un modem 4G. de deux compteurs MID et d\'un écran. Protections intégrée</t>
  </si>
  <si>
    <t xml:space="preserve">HAEBDM15 </t>
  </si>
  <si>
    <t>WITTY PARK II</t>
  </si>
  <si>
    <t>4264.71€</t>
  </si>
  <si>
    <t>XVG222S</t>
  </si>
  <si>
    <t>La borne de recharge witty park2 mural IP55 IK10 OCPP d\'une puissance maximale de 2x22kW (32A) est équipée de deux prises T2S. d\'un lecteur RFID. d\'un modem 4G. de deux compteurs MID et d\'un écran. Protections intégrées</t>
  </si>
  <si>
    <t>4669.386€</t>
  </si>
  <si>
    <t>XVG222SQF</t>
  </si>
  <si>
    <t>Borne witty park 2 2x22kW T2S+TE+pied</t>
  </si>
  <si>
    <t>4887.294€</t>
  </si>
  <si>
    <t>XVP207SQF</t>
  </si>
  <si>
    <t>La borne de recharge witty park2 totem IP55 IK10 OCPP d\'une puissance maximale de 2x7.4kW (32A) est équipée de deux prises T2S. d\'une prise TE. d\'un lecteur RFID. d\'un modem 4G. de deux compteurs MID et d\'un écran. Protections intégrée</t>
  </si>
  <si>
    <t>4046.802€</t>
  </si>
  <si>
    <t>XVP222S</t>
  </si>
  <si>
    <t>La borne de recharge witty park2 totem IP55 IK10 OCPP d\'une puissance maximale de 2x22kW (32A) est équipée de deux prises T2S. d\'un lecteur RFID. d\'un modem 4G. de deux compteurs MID et d\'un écran. Protections intégrées</t>
  </si>
  <si>
    <t>4358.094€</t>
  </si>
  <si>
    <t>XVP222SQF</t>
  </si>
  <si>
    <t>Borne witty park 2 2x22kW T2S+TE</t>
  </si>
  <si>
    <t>4576.002€</t>
  </si>
  <si>
    <t>XVG222SYF</t>
  </si>
  <si>
    <t>Borne witty park 2 2x22kW T2S+TE+TPE+pie</t>
  </si>
  <si>
    <t>XVP222SYF</t>
  </si>
  <si>
    <t>Borne witty park 2 2x22kW T2S+TE+TPE</t>
  </si>
  <si>
    <t>XVG222SYO</t>
  </si>
  <si>
    <t>Borne witty park 2 2x22kW T2S+TPE+pied</t>
  </si>
  <si>
    <t>XVP222SYO</t>
  </si>
  <si>
    <t>Borne witty park 2 2x22kW T2S + TPE</t>
  </si>
  <si>
    <t>XVL122SLM</t>
  </si>
  <si>
    <t>Witty pro borne de recharge. IP55 1x 7.4 ou 22kW 1Ph/3Ph avec prise T2S. compatible avec les gestionnaires de puissance LLM XEM5xx. accès par RFID. Web app. carte de communication OCPP. compteur MID intégré à la borne.</t>
  </si>
  <si>
    <t xml:space="preserve">HAEBEM15 </t>
  </si>
  <si>
    <t>WITTY PRO</t>
  </si>
  <si>
    <t>965.01€</t>
  </si>
  <si>
    <t>EC150CS</t>
  </si>
  <si>
    <t>Compteur d’énergie 1M</t>
  </si>
  <si>
    <t xml:space="preserve">HACDAM10 </t>
  </si>
  <si>
    <t>COMPTEUR ENERGIE</t>
  </si>
  <si>
    <t>153.618€</t>
  </si>
  <si>
    <t>EC153CS</t>
  </si>
  <si>
    <t>Pack Compteur d’énergie 1M</t>
  </si>
  <si>
    <t>183.114€</t>
  </si>
  <si>
    <t>TN305N</t>
  </si>
  <si>
    <t>VDI TC Eco, 4xRJ45 Cat.6A STP Gr3TV</t>
  </si>
  <si>
    <t xml:space="preserve">HAHNEM10 </t>
  </si>
  <si>
    <t>COFFRETS VDI EVOLUTIFS</t>
  </si>
  <si>
    <t>110.145€</t>
  </si>
  <si>
    <t>TN306N</t>
  </si>
  <si>
    <t>VDI TC Eco, 8xRJ45 Cat.6A STP Gr3TV</t>
  </si>
  <si>
    <t>149.065€</t>
  </si>
  <si>
    <t>TN405N</t>
  </si>
  <si>
    <t>VDI TC Basic, 4xRJ45 Cat.6A STP Gr3TV</t>
  </si>
  <si>
    <t>179.641€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</si>
</sst>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6"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A7E6-8DD8-458E-9184-465D3E81F3F3}">
  <dimension ref="A1:J7478"/>
  <sheetViews>
    <sheetView tabSelected="1" workbookViewId="0">
      <selection activeCell="G1" sqref="G1:G1048576"/>
    </sheetView>
  </sheetViews>
  <sheetFormatPr baseColWidth="10" defaultRowHeight="15" x14ac:dyDescent="0.25"/>
  <cols>
    <col min="3" max="3" width="28.140625" customWidth="1"/>
    <col min="6" max="6" width="38.5703125" bestFit="1" customWidth="1"/>
    <col min="8" max="8" width="14" bestFit="1" customWidth="1"/>
  </cols>
  <sheetData>
    <row r="1" spans="1:10" x14ac:dyDescent="0.25">
      <c r="A1" t="s">
        <v>0</v>
      </c>
      <c r="B1" t="s">
        <v>1</v>
      </c>
      <c r="C1" t="s">
        <v>2</v>
      </c>
      <c r="D1" t="s">
        <v>3</v>
      </c>
      <c r="E1" t="s">
        <v>4</v>
      </c>
      <c r="F1" t="s">
        <v>5</v>
      </c>
      <c r="H1" t="s">
        <v>6</v>
      </c>
      <c r="J1" t="s">
        <v>7</v>
      </c>
    </row>
    <row r="2" spans="1:10" x14ac:dyDescent="0.25">
      <c r="A2" t="s">
        <v>8</v>
      </c>
      <c r="B2">
        <v>25620</v>
      </c>
      <c r="C2" t="s">
        <v>9</v>
      </c>
      <c r="D2">
        <v>1</v>
      </c>
      <c r="E2" t="s">
        <v>10</v>
      </c>
      <c r="F2" t="s">
        <v>11</v>
      </c>
      <c r="G2" s="1"/>
      <c r="H2" t="str">
        <f>"3542220256203"</f>
        <v>3542220256203</v>
      </c>
      <c r="J2" t="s">
        <v>12</v>
      </c>
    </row>
    <row r="3" spans="1:10" x14ac:dyDescent="0.25">
      <c r="A3" t="s">
        <v>8</v>
      </c>
      <c r="B3">
        <v>25615</v>
      </c>
      <c r="C3" t="s">
        <v>13</v>
      </c>
      <c r="D3">
        <v>1</v>
      </c>
      <c r="E3" t="s">
        <v>10</v>
      </c>
      <c r="F3" t="s">
        <v>11</v>
      </c>
      <c r="G3" s="1"/>
      <c r="H3" t="str">
        <f>"3542220256159"</f>
        <v>3542220256159</v>
      </c>
      <c r="J3" t="s">
        <v>14</v>
      </c>
    </row>
    <row r="4" spans="1:10" x14ac:dyDescent="0.25">
      <c r="A4" t="s">
        <v>8</v>
      </c>
      <c r="B4">
        <v>54185</v>
      </c>
      <c r="C4" t="s">
        <v>15</v>
      </c>
      <c r="D4">
        <v>1</v>
      </c>
      <c r="E4" t="s">
        <v>10</v>
      </c>
      <c r="F4" t="s">
        <v>11</v>
      </c>
      <c r="G4" s="1"/>
      <c r="H4" t="str">
        <f>"3542220541859"</f>
        <v>3542220541859</v>
      </c>
      <c r="J4" t="s">
        <v>16</v>
      </c>
    </row>
    <row r="5" spans="1:10" x14ac:dyDescent="0.25">
      <c r="A5" t="s">
        <v>8</v>
      </c>
      <c r="B5">
        <v>25614</v>
      </c>
      <c r="C5" t="s">
        <v>17</v>
      </c>
      <c r="D5">
        <v>1</v>
      </c>
      <c r="E5" t="s">
        <v>10</v>
      </c>
      <c r="F5" t="s">
        <v>11</v>
      </c>
      <c r="G5" s="1"/>
      <c r="H5" t="str">
        <f>"3542220256142"</f>
        <v>3542220256142</v>
      </c>
      <c r="J5" t="s">
        <v>18</v>
      </c>
    </row>
    <row r="6" spans="1:10" x14ac:dyDescent="0.25">
      <c r="A6" t="s">
        <v>8</v>
      </c>
      <c r="B6">
        <v>25513</v>
      </c>
      <c r="C6" t="s">
        <v>19</v>
      </c>
      <c r="D6">
        <v>1</v>
      </c>
      <c r="E6" t="s">
        <v>20</v>
      </c>
      <c r="F6" t="s">
        <v>11</v>
      </c>
      <c r="G6" s="1"/>
      <c r="H6" t="str">
        <f>"3542220255138"</f>
        <v>3542220255138</v>
      </c>
      <c r="J6" t="s">
        <v>21</v>
      </c>
    </row>
    <row r="7" spans="1:10" x14ac:dyDescent="0.25">
      <c r="A7" t="s">
        <v>8</v>
      </c>
      <c r="B7">
        <v>25809</v>
      </c>
      <c r="C7" t="s">
        <v>22</v>
      </c>
      <c r="D7">
        <v>1</v>
      </c>
      <c r="E7" t="s">
        <v>10</v>
      </c>
      <c r="F7" t="s">
        <v>11</v>
      </c>
      <c r="G7" s="1"/>
      <c r="H7" t="str">
        <f>"3542220258092"</f>
        <v>3542220258092</v>
      </c>
      <c r="J7" t="s">
        <v>23</v>
      </c>
    </row>
    <row r="8" spans="1:10" x14ac:dyDescent="0.25">
      <c r="A8" t="s">
        <v>8</v>
      </c>
      <c r="B8">
        <v>25805</v>
      </c>
      <c r="C8" t="s">
        <v>24</v>
      </c>
      <c r="D8">
        <v>1</v>
      </c>
      <c r="E8" t="s">
        <v>10</v>
      </c>
      <c r="F8" t="s">
        <v>11</v>
      </c>
      <c r="G8" s="1"/>
      <c r="H8" t="str">
        <f>"3542220258054"</f>
        <v>3542220258054</v>
      </c>
      <c r="J8" t="s">
        <v>25</v>
      </c>
    </row>
    <row r="9" spans="1:10" x14ac:dyDescent="0.25">
      <c r="A9" t="s">
        <v>8</v>
      </c>
      <c r="B9">
        <v>25800</v>
      </c>
      <c r="C9" t="s">
        <v>26</v>
      </c>
      <c r="D9">
        <v>1</v>
      </c>
      <c r="E9" t="s">
        <v>10</v>
      </c>
      <c r="F9" t="s">
        <v>11</v>
      </c>
      <c r="G9" s="1"/>
      <c r="H9" t="str">
        <f>"3542220258009"</f>
        <v>3542220258009</v>
      </c>
      <c r="J9" t="s">
        <v>27</v>
      </c>
    </row>
    <row r="10" spans="1:10" x14ac:dyDescent="0.25">
      <c r="A10" t="s">
        <v>8</v>
      </c>
      <c r="B10">
        <v>25111</v>
      </c>
      <c r="C10" t="s">
        <v>28</v>
      </c>
      <c r="D10">
        <v>1</v>
      </c>
      <c r="E10" t="s">
        <v>10</v>
      </c>
      <c r="F10" t="s">
        <v>11</v>
      </c>
      <c r="G10" s="1"/>
      <c r="H10" t="str">
        <f>"3542220251116"</f>
        <v>3542220251116</v>
      </c>
      <c r="J10" t="s">
        <v>29</v>
      </c>
    </row>
    <row r="11" spans="1:10" x14ac:dyDescent="0.25">
      <c r="A11" t="s">
        <v>8</v>
      </c>
      <c r="B11">
        <v>25503</v>
      </c>
      <c r="C11" t="s">
        <v>30</v>
      </c>
      <c r="D11">
        <v>1</v>
      </c>
      <c r="E11" t="s">
        <v>10</v>
      </c>
      <c r="F11" t="s">
        <v>11</v>
      </c>
      <c r="G11" s="1"/>
      <c r="H11" t="str">
        <f>"3542220255039"</f>
        <v>3542220255039</v>
      </c>
      <c r="J11" t="s">
        <v>31</v>
      </c>
    </row>
    <row r="12" spans="1:10" x14ac:dyDescent="0.25">
      <c r="A12" t="s">
        <v>8</v>
      </c>
      <c r="B12">
        <v>25110</v>
      </c>
      <c r="C12" t="s">
        <v>32</v>
      </c>
      <c r="D12">
        <v>1</v>
      </c>
      <c r="E12" t="s">
        <v>10</v>
      </c>
      <c r="F12" t="s">
        <v>11</v>
      </c>
      <c r="G12" s="1"/>
      <c r="H12" t="str">
        <f>"3542220251109"</f>
        <v>3542220251109</v>
      </c>
      <c r="J12" t="s">
        <v>33</v>
      </c>
    </row>
    <row r="13" spans="1:10" x14ac:dyDescent="0.25">
      <c r="A13" t="s">
        <v>8</v>
      </c>
      <c r="B13">
        <v>25501</v>
      </c>
      <c r="C13" t="s">
        <v>34</v>
      </c>
      <c r="D13">
        <v>1</v>
      </c>
      <c r="E13" t="s">
        <v>10</v>
      </c>
      <c r="F13" t="s">
        <v>11</v>
      </c>
      <c r="G13" s="1"/>
      <c r="H13" t="str">
        <f>"3542220255015"</f>
        <v>3542220255015</v>
      </c>
      <c r="J13" t="s">
        <v>35</v>
      </c>
    </row>
    <row r="14" spans="1:10" x14ac:dyDescent="0.25">
      <c r="A14" t="s">
        <v>8</v>
      </c>
      <c r="B14">
        <v>52321</v>
      </c>
      <c r="C14" t="s">
        <v>36</v>
      </c>
      <c r="D14">
        <v>1</v>
      </c>
      <c r="E14" t="s">
        <v>37</v>
      </c>
      <c r="F14" t="s">
        <v>38</v>
      </c>
      <c r="G14" s="1"/>
      <c r="H14" t="str">
        <f>"3542220523213"</f>
        <v>3542220523213</v>
      </c>
      <c r="J14" t="s">
        <v>39</v>
      </c>
    </row>
    <row r="15" spans="1:10" x14ac:dyDescent="0.25">
      <c r="A15" t="s">
        <v>8</v>
      </c>
      <c r="B15">
        <v>52221</v>
      </c>
      <c r="C15" t="s">
        <v>40</v>
      </c>
      <c r="D15">
        <v>1</v>
      </c>
      <c r="E15" t="s">
        <v>37</v>
      </c>
      <c r="F15" t="s">
        <v>38</v>
      </c>
      <c r="G15" s="1"/>
      <c r="H15" t="str">
        <f>"3542220522216"</f>
        <v>3542220522216</v>
      </c>
      <c r="J15" t="s">
        <v>41</v>
      </c>
    </row>
    <row r="16" spans="1:10" x14ac:dyDescent="0.25">
      <c r="A16" t="s">
        <v>8</v>
      </c>
      <c r="B16">
        <v>52320</v>
      </c>
      <c r="C16" t="s">
        <v>42</v>
      </c>
      <c r="D16">
        <v>1</v>
      </c>
      <c r="E16" t="s">
        <v>37</v>
      </c>
      <c r="F16" t="s">
        <v>38</v>
      </c>
      <c r="G16" s="1"/>
      <c r="H16" t="str">
        <f>"3542220523206"</f>
        <v>3542220523206</v>
      </c>
      <c r="J16" t="s">
        <v>39</v>
      </c>
    </row>
    <row r="17" spans="1:10" x14ac:dyDescent="0.25">
      <c r="A17" t="s">
        <v>8</v>
      </c>
      <c r="B17">
        <v>52121</v>
      </c>
      <c r="C17" t="s">
        <v>43</v>
      </c>
      <c r="D17">
        <v>1</v>
      </c>
      <c r="E17" t="s">
        <v>37</v>
      </c>
      <c r="F17" t="s">
        <v>38</v>
      </c>
      <c r="G17" s="1"/>
      <c r="H17" t="str">
        <f>"3542220521295"</f>
        <v>3542220521295</v>
      </c>
      <c r="J17" t="s">
        <v>44</v>
      </c>
    </row>
    <row r="18" spans="1:10" x14ac:dyDescent="0.25">
      <c r="A18" t="s">
        <v>8</v>
      </c>
      <c r="B18">
        <v>52220</v>
      </c>
      <c r="C18" t="s">
        <v>45</v>
      </c>
      <c r="D18">
        <v>1</v>
      </c>
      <c r="E18" t="s">
        <v>37</v>
      </c>
      <c r="F18" t="s">
        <v>38</v>
      </c>
      <c r="G18" s="1"/>
      <c r="H18" t="str">
        <f>"3542220522209"</f>
        <v>3542220522209</v>
      </c>
      <c r="J18" t="s">
        <v>41</v>
      </c>
    </row>
    <row r="19" spans="1:10" x14ac:dyDescent="0.25">
      <c r="A19" t="s">
        <v>8</v>
      </c>
      <c r="B19">
        <v>52111</v>
      </c>
      <c r="C19" t="s">
        <v>46</v>
      </c>
      <c r="D19">
        <v>1</v>
      </c>
      <c r="E19" t="s">
        <v>37</v>
      </c>
      <c r="F19" t="s">
        <v>38</v>
      </c>
      <c r="G19" s="1"/>
      <c r="H19" t="str">
        <f>"3542220521110"</f>
        <v>3542220521110</v>
      </c>
      <c r="J19" t="s">
        <v>47</v>
      </c>
    </row>
    <row r="20" spans="1:10" x14ac:dyDescent="0.25">
      <c r="A20" t="s">
        <v>8</v>
      </c>
      <c r="B20">
        <v>52211</v>
      </c>
      <c r="C20" t="s">
        <v>48</v>
      </c>
      <c r="D20">
        <v>1</v>
      </c>
      <c r="E20" t="s">
        <v>37</v>
      </c>
      <c r="F20" t="s">
        <v>38</v>
      </c>
      <c r="G20" s="1"/>
      <c r="H20" t="str">
        <f>"3542220522117"</f>
        <v>3542220522117</v>
      </c>
      <c r="J20" t="s">
        <v>49</v>
      </c>
    </row>
    <row r="21" spans="1:10" x14ac:dyDescent="0.25">
      <c r="A21" t="s">
        <v>8</v>
      </c>
      <c r="B21">
        <v>52110</v>
      </c>
      <c r="C21" t="s">
        <v>50</v>
      </c>
      <c r="D21">
        <v>1</v>
      </c>
      <c r="E21" t="s">
        <v>37</v>
      </c>
      <c r="F21" t="s">
        <v>38</v>
      </c>
      <c r="G21" s="1"/>
      <c r="H21" t="str">
        <f>"3542220521103"</f>
        <v>3542220521103</v>
      </c>
      <c r="J21" t="s">
        <v>51</v>
      </c>
    </row>
    <row r="22" spans="1:10" x14ac:dyDescent="0.25">
      <c r="A22" t="s">
        <v>8</v>
      </c>
      <c r="B22">
        <v>52210</v>
      </c>
      <c r="C22" t="s">
        <v>52</v>
      </c>
      <c r="D22">
        <v>1</v>
      </c>
      <c r="E22" t="s">
        <v>37</v>
      </c>
      <c r="F22" t="s">
        <v>38</v>
      </c>
      <c r="G22" s="1"/>
      <c r="H22" t="str">
        <f>"3542220522100"</f>
        <v>3542220522100</v>
      </c>
      <c r="J22" t="s">
        <v>49</v>
      </c>
    </row>
    <row r="23" spans="1:10" x14ac:dyDescent="0.25">
      <c r="A23" t="s">
        <v>8</v>
      </c>
      <c r="B23">
        <v>52311</v>
      </c>
      <c r="C23" t="s">
        <v>53</v>
      </c>
      <c r="D23">
        <v>1</v>
      </c>
      <c r="E23" t="s">
        <v>37</v>
      </c>
      <c r="F23" t="s">
        <v>38</v>
      </c>
      <c r="G23" s="1"/>
      <c r="H23" t="str">
        <f>"3542220523114"</f>
        <v>3542220523114</v>
      </c>
      <c r="J23" t="s">
        <v>54</v>
      </c>
    </row>
    <row r="24" spans="1:10" x14ac:dyDescent="0.25">
      <c r="A24" t="s">
        <v>8</v>
      </c>
      <c r="B24">
        <v>52120</v>
      </c>
      <c r="C24" t="s">
        <v>55</v>
      </c>
      <c r="D24">
        <v>1</v>
      </c>
      <c r="E24" t="s">
        <v>37</v>
      </c>
      <c r="F24" t="s">
        <v>38</v>
      </c>
      <c r="G24" s="1"/>
      <c r="H24" t="str">
        <f>"3542220521202"</f>
        <v>3542220521202</v>
      </c>
      <c r="J24" t="s">
        <v>44</v>
      </c>
    </row>
    <row r="25" spans="1:10" x14ac:dyDescent="0.25">
      <c r="A25" t="s">
        <v>8</v>
      </c>
      <c r="B25">
        <v>52310</v>
      </c>
      <c r="C25" t="s">
        <v>56</v>
      </c>
      <c r="D25">
        <v>1</v>
      </c>
      <c r="E25" t="s">
        <v>37</v>
      </c>
      <c r="F25" t="s">
        <v>38</v>
      </c>
      <c r="G25" s="1"/>
      <c r="H25" t="str">
        <f>"3542220523107"</f>
        <v>3542220523107</v>
      </c>
      <c r="J25" t="s">
        <v>54</v>
      </c>
    </row>
    <row r="26" spans="1:10" x14ac:dyDescent="0.25">
      <c r="A26" t="s">
        <v>8</v>
      </c>
      <c r="B26" t="s">
        <v>57</v>
      </c>
      <c r="C26" t="s">
        <v>58</v>
      </c>
      <c r="D26">
        <v>1</v>
      </c>
      <c r="E26" t="s">
        <v>37</v>
      </c>
      <c r="F26" t="s">
        <v>38</v>
      </c>
      <c r="G26" s="1"/>
      <c r="H26" t="str">
        <f>"3250617573382"</f>
        <v>3250617573382</v>
      </c>
      <c r="J26" t="s">
        <v>59</v>
      </c>
    </row>
    <row r="27" spans="1:10" x14ac:dyDescent="0.25">
      <c r="A27" t="s">
        <v>8</v>
      </c>
      <c r="B27" t="s">
        <v>60</v>
      </c>
      <c r="C27" t="s">
        <v>61</v>
      </c>
      <c r="D27">
        <v>1</v>
      </c>
      <c r="E27" t="s">
        <v>37</v>
      </c>
      <c r="F27" t="s">
        <v>38</v>
      </c>
      <c r="G27" s="1"/>
      <c r="H27" t="str">
        <f>"3250617573375"</f>
        <v>3250617573375</v>
      </c>
      <c r="J27" t="s">
        <v>62</v>
      </c>
    </row>
    <row r="28" spans="1:10" x14ac:dyDescent="0.25">
      <c r="A28" t="s">
        <v>8</v>
      </c>
      <c r="B28" t="s">
        <v>63</v>
      </c>
      <c r="C28" t="s">
        <v>64</v>
      </c>
      <c r="D28">
        <v>1</v>
      </c>
      <c r="E28" t="s">
        <v>37</v>
      </c>
      <c r="F28" t="s">
        <v>38</v>
      </c>
      <c r="G28" s="1"/>
      <c r="H28" t="str">
        <f>"3250617573399"</f>
        <v>3250617573399</v>
      </c>
      <c r="J28" t="s">
        <v>65</v>
      </c>
    </row>
    <row r="29" spans="1:10" x14ac:dyDescent="0.25">
      <c r="A29" t="s">
        <v>8</v>
      </c>
      <c r="B29" t="s">
        <v>66</v>
      </c>
      <c r="C29" t="s">
        <v>67</v>
      </c>
      <c r="D29">
        <v>1</v>
      </c>
      <c r="E29" t="s">
        <v>68</v>
      </c>
      <c r="F29" t="s">
        <v>69</v>
      </c>
      <c r="G29" s="1"/>
      <c r="H29" t="str">
        <f>"3250611062530"</f>
        <v>3250611062530</v>
      </c>
      <c r="J29" t="s">
        <v>70</v>
      </c>
    </row>
    <row r="30" spans="1:10" x14ac:dyDescent="0.25">
      <c r="A30" t="s">
        <v>8</v>
      </c>
      <c r="B30" t="s">
        <v>71</v>
      </c>
      <c r="C30" t="s">
        <v>72</v>
      </c>
      <c r="D30">
        <v>1</v>
      </c>
      <c r="E30" t="s">
        <v>68</v>
      </c>
      <c r="F30" t="s">
        <v>69</v>
      </c>
      <c r="G30" s="1"/>
      <c r="H30" t="str">
        <f>"3250611062653"</f>
        <v>3250611062653</v>
      </c>
      <c r="J30" t="s">
        <v>73</v>
      </c>
    </row>
    <row r="31" spans="1:10" x14ac:dyDescent="0.25">
      <c r="A31" t="s">
        <v>8</v>
      </c>
      <c r="B31" t="s">
        <v>74</v>
      </c>
      <c r="C31" t="s">
        <v>75</v>
      </c>
      <c r="D31">
        <v>1</v>
      </c>
      <c r="E31" t="s">
        <v>68</v>
      </c>
      <c r="F31" t="s">
        <v>69</v>
      </c>
      <c r="G31" s="1"/>
      <c r="H31" t="str">
        <f>"3250611062585"</f>
        <v>3250611062585</v>
      </c>
      <c r="J31" t="s">
        <v>76</v>
      </c>
    </row>
    <row r="32" spans="1:10" x14ac:dyDescent="0.25">
      <c r="A32" t="s">
        <v>8</v>
      </c>
      <c r="B32" t="s">
        <v>77</v>
      </c>
      <c r="C32" t="s">
        <v>78</v>
      </c>
      <c r="D32">
        <v>1</v>
      </c>
      <c r="E32" t="s">
        <v>68</v>
      </c>
      <c r="F32" t="s">
        <v>69</v>
      </c>
      <c r="G32" s="1"/>
      <c r="H32" t="str">
        <f>"3250611062578"</f>
        <v>3250611062578</v>
      </c>
      <c r="J32" t="s">
        <v>79</v>
      </c>
    </row>
    <row r="33" spans="1:10" x14ac:dyDescent="0.25">
      <c r="A33" t="s">
        <v>8</v>
      </c>
      <c r="B33" t="s">
        <v>80</v>
      </c>
      <c r="C33" t="s">
        <v>81</v>
      </c>
      <c r="D33">
        <v>1</v>
      </c>
      <c r="E33" t="s">
        <v>68</v>
      </c>
      <c r="F33" t="s">
        <v>69</v>
      </c>
      <c r="G33" s="1"/>
      <c r="H33" t="str">
        <f>"3250611062561"</f>
        <v>3250611062561</v>
      </c>
      <c r="J33" t="s">
        <v>82</v>
      </c>
    </row>
    <row r="34" spans="1:10" x14ac:dyDescent="0.25">
      <c r="A34" t="s">
        <v>8</v>
      </c>
      <c r="B34" t="s">
        <v>83</v>
      </c>
      <c r="C34" t="s">
        <v>84</v>
      </c>
      <c r="D34">
        <v>1</v>
      </c>
      <c r="E34" t="s">
        <v>68</v>
      </c>
      <c r="F34" t="s">
        <v>69</v>
      </c>
      <c r="G34" s="1"/>
      <c r="H34" t="str">
        <f>"3250611062660"</f>
        <v>3250611062660</v>
      </c>
      <c r="J34" t="s">
        <v>73</v>
      </c>
    </row>
    <row r="35" spans="1:10" x14ac:dyDescent="0.25">
      <c r="A35" t="s">
        <v>8</v>
      </c>
      <c r="B35" t="s">
        <v>85</v>
      </c>
      <c r="C35" t="s">
        <v>86</v>
      </c>
      <c r="D35">
        <v>1</v>
      </c>
      <c r="E35" t="s">
        <v>68</v>
      </c>
      <c r="F35" t="s">
        <v>69</v>
      </c>
      <c r="G35" s="1"/>
      <c r="H35" t="str">
        <f>"3250611062554"</f>
        <v>3250611062554</v>
      </c>
      <c r="J35" t="s">
        <v>82</v>
      </c>
    </row>
    <row r="36" spans="1:10" x14ac:dyDescent="0.25">
      <c r="A36" t="s">
        <v>8</v>
      </c>
      <c r="B36" t="s">
        <v>87</v>
      </c>
      <c r="C36" t="s">
        <v>88</v>
      </c>
      <c r="D36">
        <v>1</v>
      </c>
      <c r="E36" t="s">
        <v>68</v>
      </c>
      <c r="F36" t="s">
        <v>69</v>
      </c>
      <c r="G36" s="1"/>
      <c r="H36" t="str">
        <f>"3250611044826"</f>
        <v>3250611044826</v>
      </c>
      <c r="J36" t="s">
        <v>89</v>
      </c>
    </row>
    <row r="37" spans="1:10" x14ac:dyDescent="0.25">
      <c r="A37" t="s">
        <v>8</v>
      </c>
      <c r="B37" t="s">
        <v>90</v>
      </c>
      <c r="C37" t="s">
        <v>91</v>
      </c>
      <c r="D37">
        <v>1</v>
      </c>
      <c r="E37" t="s">
        <v>68</v>
      </c>
      <c r="F37" t="s">
        <v>69</v>
      </c>
      <c r="G37" s="1"/>
      <c r="H37" t="str">
        <f>"3250611044833"</f>
        <v>3250611044833</v>
      </c>
      <c r="J37" t="s">
        <v>89</v>
      </c>
    </row>
    <row r="38" spans="1:10" x14ac:dyDescent="0.25">
      <c r="A38" t="s">
        <v>8</v>
      </c>
      <c r="B38" t="s">
        <v>92</v>
      </c>
      <c r="C38" t="s">
        <v>93</v>
      </c>
      <c r="D38">
        <v>1</v>
      </c>
      <c r="E38" t="s">
        <v>94</v>
      </c>
      <c r="F38" t="s">
        <v>95</v>
      </c>
      <c r="G38" s="1"/>
      <c r="H38" t="str">
        <f>"3250611342410"</f>
        <v>3250611342410</v>
      </c>
      <c r="J38" t="s">
        <v>96</v>
      </c>
    </row>
    <row r="39" spans="1:10" x14ac:dyDescent="0.25">
      <c r="A39" t="s">
        <v>8</v>
      </c>
      <c r="B39" t="s">
        <v>97</v>
      </c>
      <c r="C39" t="s">
        <v>98</v>
      </c>
      <c r="D39">
        <v>1</v>
      </c>
      <c r="E39" t="s">
        <v>94</v>
      </c>
      <c r="F39" t="s">
        <v>95</v>
      </c>
      <c r="G39" s="1"/>
      <c r="H39" t="str">
        <f>"3250611340027"</f>
        <v>3250611340027</v>
      </c>
      <c r="J39" t="s">
        <v>99</v>
      </c>
    </row>
    <row r="40" spans="1:10" x14ac:dyDescent="0.25">
      <c r="A40" t="s">
        <v>8</v>
      </c>
      <c r="B40" t="s">
        <v>100</v>
      </c>
      <c r="C40" t="s">
        <v>101</v>
      </c>
      <c r="D40">
        <v>1</v>
      </c>
      <c r="E40" t="s">
        <v>94</v>
      </c>
      <c r="F40" t="s">
        <v>95</v>
      </c>
      <c r="G40" s="1"/>
      <c r="H40" t="str">
        <f>"3250611340058"</f>
        <v>3250611340058</v>
      </c>
      <c r="J40" t="s">
        <v>102</v>
      </c>
    </row>
    <row r="41" spans="1:10" x14ac:dyDescent="0.25">
      <c r="A41" t="s">
        <v>8</v>
      </c>
      <c r="B41" t="s">
        <v>103</v>
      </c>
      <c r="C41" t="s">
        <v>104</v>
      </c>
      <c r="D41">
        <v>1</v>
      </c>
      <c r="E41" t="s">
        <v>94</v>
      </c>
      <c r="F41" t="s">
        <v>95</v>
      </c>
      <c r="G41" s="1"/>
      <c r="H41" t="str">
        <f>"3250611363415"</f>
        <v>3250611363415</v>
      </c>
      <c r="J41" t="s">
        <v>105</v>
      </c>
    </row>
    <row r="42" spans="1:10" x14ac:dyDescent="0.25">
      <c r="A42" t="s">
        <v>8</v>
      </c>
      <c r="B42" t="s">
        <v>106</v>
      </c>
      <c r="C42" t="s">
        <v>107</v>
      </c>
      <c r="D42">
        <v>1</v>
      </c>
      <c r="E42" t="s">
        <v>94</v>
      </c>
      <c r="F42" t="s">
        <v>95</v>
      </c>
      <c r="G42" s="1"/>
      <c r="H42" t="str">
        <f>"3250611500049"</f>
        <v>3250611500049</v>
      </c>
      <c r="J42" t="s">
        <v>108</v>
      </c>
    </row>
    <row r="43" spans="1:10" x14ac:dyDescent="0.25">
      <c r="A43" t="s">
        <v>8</v>
      </c>
      <c r="B43" t="s">
        <v>109</v>
      </c>
      <c r="C43" t="s">
        <v>110</v>
      </c>
      <c r="D43">
        <v>1</v>
      </c>
      <c r="E43" t="s">
        <v>94</v>
      </c>
      <c r="F43" t="s">
        <v>95</v>
      </c>
      <c r="G43" s="1"/>
      <c r="H43" t="str">
        <f>"3250611340010"</f>
        <v>3250611340010</v>
      </c>
      <c r="J43" t="s">
        <v>111</v>
      </c>
    </row>
    <row r="44" spans="1:10" x14ac:dyDescent="0.25">
      <c r="A44" t="s">
        <v>8</v>
      </c>
      <c r="B44" t="s">
        <v>112</v>
      </c>
      <c r="C44" t="s">
        <v>113</v>
      </c>
      <c r="D44">
        <v>1</v>
      </c>
      <c r="E44" t="s">
        <v>94</v>
      </c>
      <c r="F44" t="s">
        <v>95</v>
      </c>
      <c r="G44" s="1"/>
      <c r="H44" t="str">
        <f>"3250611362418"</f>
        <v>3250611362418</v>
      </c>
      <c r="J44" t="s">
        <v>114</v>
      </c>
    </row>
    <row r="45" spans="1:10" x14ac:dyDescent="0.25">
      <c r="A45" t="s">
        <v>8</v>
      </c>
      <c r="B45" t="s">
        <v>115</v>
      </c>
      <c r="C45" t="s">
        <v>116</v>
      </c>
      <c r="D45">
        <v>1</v>
      </c>
      <c r="E45" t="s">
        <v>94</v>
      </c>
      <c r="F45" t="s">
        <v>95</v>
      </c>
      <c r="G45" s="1"/>
      <c r="H45" t="str">
        <f>"3250611462644"</f>
        <v>3250611462644</v>
      </c>
      <c r="J45" t="s">
        <v>117</v>
      </c>
    </row>
    <row r="46" spans="1:10" x14ac:dyDescent="0.25">
      <c r="A46" t="s">
        <v>8</v>
      </c>
      <c r="B46" t="s">
        <v>118</v>
      </c>
      <c r="C46" t="s">
        <v>119</v>
      </c>
      <c r="D46">
        <v>1</v>
      </c>
      <c r="E46" t="s">
        <v>94</v>
      </c>
      <c r="F46" t="s">
        <v>95</v>
      </c>
      <c r="G46" s="1"/>
      <c r="H46" t="str">
        <f>"3250611500032"</f>
        <v>3250611500032</v>
      </c>
      <c r="J46" t="s">
        <v>120</v>
      </c>
    </row>
    <row r="47" spans="1:10" x14ac:dyDescent="0.25">
      <c r="A47" t="s">
        <v>8</v>
      </c>
      <c r="B47" t="s">
        <v>121</v>
      </c>
      <c r="C47" t="s">
        <v>122</v>
      </c>
      <c r="D47">
        <v>1</v>
      </c>
      <c r="E47" t="s">
        <v>94</v>
      </c>
      <c r="F47" t="s">
        <v>95</v>
      </c>
      <c r="G47" s="1"/>
      <c r="H47" t="str">
        <f>"3250611342267"</f>
        <v>3250611342267</v>
      </c>
      <c r="J47" t="s">
        <v>123</v>
      </c>
    </row>
    <row r="48" spans="1:10" x14ac:dyDescent="0.25">
      <c r="A48" t="s">
        <v>8</v>
      </c>
      <c r="B48" t="s">
        <v>124</v>
      </c>
      <c r="C48" t="s">
        <v>125</v>
      </c>
      <c r="D48">
        <v>1</v>
      </c>
      <c r="E48" t="s">
        <v>94</v>
      </c>
      <c r="F48" t="s">
        <v>95</v>
      </c>
      <c r="G48" s="1"/>
      <c r="H48" t="str">
        <f>"3250611343660"</f>
        <v>3250611343660</v>
      </c>
      <c r="J48" t="s">
        <v>126</v>
      </c>
    </row>
    <row r="49" spans="1:10" x14ac:dyDescent="0.25">
      <c r="A49" t="s">
        <v>8</v>
      </c>
      <c r="B49" t="s">
        <v>127</v>
      </c>
      <c r="C49" t="s">
        <v>128</v>
      </c>
      <c r="D49">
        <v>1</v>
      </c>
      <c r="E49" t="s">
        <v>94</v>
      </c>
      <c r="F49" t="s">
        <v>95</v>
      </c>
      <c r="G49" s="1"/>
      <c r="H49" t="str">
        <f>"3250611340003"</f>
        <v>3250611340003</v>
      </c>
      <c r="J49" t="s">
        <v>129</v>
      </c>
    </row>
    <row r="50" spans="1:10" x14ac:dyDescent="0.25">
      <c r="A50" t="s">
        <v>8</v>
      </c>
      <c r="B50" t="s">
        <v>130</v>
      </c>
      <c r="C50" t="s">
        <v>131</v>
      </c>
      <c r="D50">
        <v>1</v>
      </c>
      <c r="E50" t="s">
        <v>94</v>
      </c>
      <c r="F50" t="s">
        <v>95</v>
      </c>
      <c r="G50" s="1"/>
      <c r="H50" t="str">
        <f>"3250611343646"</f>
        <v>3250611343646</v>
      </c>
      <c r="J50" t="s">
        <v>132</v>
      </c>
    </row>
    <row r="51" spans="1:10" x14ac:dyDescent="0.25">
      <c r="A51" t="s">
        <v>8</v>
      </c>
      <c r="B51" t="s">
        <v>133</v>
      </c>
      <c r="C51" t="s">
        <v>134</v>
      </c>
      <c r="D51">
        <v>1</v>
      </c>
      <c r="E51" t="s">
        <v>94</v>
      </c>
      <c r="F51" t="s">
        <v>95</v>
      </c>
      <c r="G51" s="1"/>
      <c r="H51" t="str">
        <f>"3250611340041"</f>
        <v>3250611340041</v>
      </c>
      <c r="J51" t="s">
        <v>135</v>
      </c>
    </row>
    <row r="52" spans="1:10" x14ac:dyDescent="0.25">
      <c r="A52" t="s">
        <v>8</v>
      </c>
      <c r="B52" t="s">
        <v>136</v>
      </c>
      <c r="C52" t="s">
        <v>137</v>
      </c>
      <c r="D52">
        <v>1</v>
      </c>
      <c r="E52" t="s">
        <v>94</v>
      </c>
      <c r="F52" t="s">
        <v>95</v>
      </c>
      <c r="G52" s="1"/>
      <c r="H52" t="str">
        <f>"3250611362265"</f>
        <v>3250611362265</v>
      </c>
      <c r="J52" t="s">
        <v>138</v>
      </c>
    </row>
    <row r="53" spans="1:10" x14ac:dyDescent="0.25">
      <c r="A53" t="s">
        <v>8</v>
      </c>
      <c r="B53" t="s">
        <v>139</v>
      </c>
      <c r="C53" t="s">
        <v>140</v>
      </c>
      <c r="D53">
        <v>1</v>
      </c>
      <c r="E53" t="s">
        <v>94</v>
      </c>
      <c r="F53" t="s">
        <v>95</v>
      </c>
      <c r="G53" s="1"/>
      <c r="H53" t="str">
        <f>"3250611310075"</f>
        <v>3250611310075</v>
      </c>
      <c r="J53" t="s">
        <v>141</v>
      </c>
    </row>
    <row r="54" spans="1:10" x14ac:dyDescent="0.25">
      <c r="A54" t="s">
        <v>8</v>
      </c>
      <c r="B54" t="s">
        <v>142</v>
      </c>
      <c r="C54" t="s">
        <v>143</v>
      </c>
      <c r="D54">
        <v>1</v>
      </c>
      <c r="E54" t="s">
        <v>94</v>
      </c>
      <c r="F54" t="s">
        <v>95</v>
      </c>
      <c r="G54" s="1"/>
      <c r="H54" t="str">
        <f>"3250611342663"</f>
        <v>3250611342663</v>
      </c>
      <c r="J54" t="s">
        <v>144</v>
      </c>
    </row>
    <row r="55" spans="1:10" x14ac:dyDescent="0.25">
      <c r="A55" t="s">
        <v>8</v>
      </c>
      <c r="B55" t="s">
        <v>145</v>
      </c>
      <c r="C55" t="s">
        <v>146</v>
      </c>
      <c r="D55">
        <v>1</v>
      </c>
      <c r="E55" t="s">
        <v>94</v>
      </c>
      <c r="F55" t="s">
        <v>95</v>
      </c>
      <c r="G55" s="1"/>
      <c r="H55" t="str">
        <f>"3250611340034"</f>
        <v>3250611340034</v>
      </c>
      <c r="J55" t="s">
        <v>147</v>
      </c>
    </row>
    <row r="56" spans="1:10" x14ac:dyDescent="0.25">
      <c r="A56" t="s">
        <v>8</v>
      </c>
      <c r="B56" t="s">
        <v>148</v>
      </c>
      <c r="C56" t="s">
        <v>149</v>
      </c>
      <c r="D56">
        <v>1</v>
      </c>
      <c r="E56" t="s">
        <v>94</v>
      </c>
      <c r="F56" t="s">
        <v>95</v>
      </c>
      <c r="G56" s="1"/>
      <c r="H56" t="str">
        <f>"3250611360001"</f>
        <v>3250611360001</v>
      </c>
      <c r="J56" t="s">
        <v>150</v>
      </c>
    </row>
    <row r="57" spans="1:10" x14ac:dyDescent="0.25">
      <c r="A57" t="s">
        <v>8</v>
      </c>
      <c r="B57" t="s">
        <v>151</v>
      </c>
      <c r="C57" t="s">
        <v>152</v>
      </c>
      <c r="D57">
        <v>1</v>
      </c>
      <c r="E57" t="s">
        <v>94</v>
      </c>
      <c r="F57" t="s">
        <v>95</v>
      </c>
      <c r="G57" s="1"/>
      <c r="H57" t="str">
        <f>"3250611310181"</f>
        <v>3250611310181</v>
      </c>
      <c r="J57" t="s">
        <v>153</v>
      </c>
    </row>
    <row r="58" spans="1:10" x14ac:dyDescent="0.25">
      <c r="A58" t="s">
        <v>8</v>
      </c>
      <c r="B58" t="s">
        <v>154</v>
      </c>
      <c r="C58" t="s">
        <v>155</v>
      </c>
      <c r="D58">
        <v>1</v>
      </c>
      <c r="E58" t="s">
        <v>94</v>
      </c>
      <c r="F58" t="s">
        <v>95</v>
      </c>
      <c r="G58" s="1"/>
      <c r="H58" t="str">
        <f>"3250611500087"</f>
        <v>3250611500087</v>
      </c>
      <c r="J58" t="s">
        <v>156</v>
      </c>
    </row>
    <row r="59" spans="1:10" x14ac:dyDescent="0.25">
      <c r="A59" t="s">
        <v>8</v>
      </c>
      <c r="B59" t="s">
        <v>157</v>
      </c>
      <c r="C59" t="s">
        <v>158</v>
      </c>
      <c r="D59">
        <v>1</v>
      </c>
      <c r="E59" t="s">
        <v>94</v>
      </c>
      <c r="F59" t="s">
        <v>95</v>
      </c>
      <c r="G59" s="1"/>
      <c r="H59" t="str">
        <f>"3250611342649"</f>
        <v>3250611342649</v>
      </c>
      <c r="J59" t="s">
        <v>159</v>
      </c>
    </row>
    <row r="60" spans="1:10" x14ac:dyDescent="0.25">
      <c r="A60" t="s">
        <v>8</v>
      </c>
      <c r="B60" t="s">
        <v>160</v>
      </c>
      <c r="C60" t="s">
        <v>161</v>
      </c>
      <c r="D60">
        <v>1</v>
      </c>
      <c r="E60" t="s">
        <v>94</v>
      </c>
      <c r="F60" t="s">
        <v>95</v>
      </c>
      <c r="G60" s="1"/>
      <c r="H60" t="str">
        <f>"3250611310037"</f>
        <v>3250611310037</v>
      </c>
      <c r="J60" t="s">
        <v>162</v>
      </c>
    </row>
    <row r="61" spans="1:10" x14ac:dyDescent="0.25">
      <c r="A61" t="s">
        <v>8</v>
      </c>
      <c r="B61" t="s">
        <v>163</v>
      </c>
      <c r="C61" t="s">
        <v>164</v>
      </c>
      <c r="D61">
        <v>1</v>
      </c>
      <c r="E61" t="s">
        <v>94</v>
      </c>
      <c r="F61" t="s">
        <v>95</v>
      </c>
      <c r="G61" s="1"/>
      <c r="H61" t="str">
        <f>"3250611363262"</f>
        <v>3250611363262</v>
      </c>
      <c r="J61" t="s">
        <v>165</v>
      </c>
    </row>
    <row r="62" spans="1:10" x14ac:dyDescent="0.25">
      <c r="A62" t="s">
        <v>8</v>
      </c>
      <c r="B62" t="s">
        <v>166</v>
      </c>
      <c r="C62" t="s">
        <v>167</v>
      </c>
      <c r="D62">
        <v>1</v>
      </c>
      <c r="E62" t="s">
        <v>94</v>
      </c>
      <c r="F62" t="s">
        <v>95</v>
      </c>
      <c r="G62" s="1"/>
      <c r="H62" t="str">
        <f>"3250611500070"</f>
        <v>3250611500070</v>
      </c>
      <c r="J62" t="s">
        <v>168</v>
      </c>
    </row>
    <row r="63" spans="1:10" x14ac:dyDescent="0.25">
      <c r="A63" t="s">
        <v>8</v>
      </c>
      <c r="B63" t="s">
        <v>169</v>
      </c>
      <c r="C63" t="s">
        <v>170</v>
      </c>
      <c r="D63">
        <v>1</v>
      </c>
      <c r="E63" t="s">
        <v>94</v>
      </c>
      <c r="F63" t="s">
        <v>95</v>
      </c>
      <c r="G63" s="1"/>
      <c r="H63" t="str">
        <f>"3250611344667"</f>
        <v>3250611344667</v>
      </c>
      <c r="J63" t="s">
        <v>171</v>
      </c>
    </row>
    <row r="64" spans="1:10" x14ac:dyDescent="0.25">
      <c r="A64" t="s">
        <v>8</v>
      </c>
      <c r="B64" t="s">
        <v>172</v>
      </c>
      <c r="C64" t="s">
        <v>173</v>
      </c>
      <c r="D64">
        <v>1</v>
      </c>
      <c r="E64" t="s">
        <v>94</v>
      </c>
      <c r="F64" t="s">
        <v>95</v>
      </c>
      <c r="G64" s="1"/>
      <c r="H64" t="str">
        <f>"3250611310020"</f>
        <v>3250611310020</v>
      </c>
      <c r="J64" t="s">
        <v>174</v>
      </c>
    </row>
    <row r="65" spans="1:10" x14ac:dyDescent="0.25">
      <c r="A65" t="s">
        <v>8</v>
      </c>
      <c r="B65" t="s">
        <v>175</v>
      </c>
      <c r="C65" t="s">
        <v>176</v>
      </c>
      <c r="D65">
        <v>1</v>
      </c>
      <c r="E65" t="s">
        <v>94</v>
      </c>
      <c r="F65" t="s">
        <v>95</v>
      </c>
      <c r="G65" s="1"/>
      <c r="H65" t="str">
        <f>"3250611332268"</f>
        <v>3250611332268</v>
      </c>
      <c r="J65" t="s">
        <v>177</v>
      </c>
    </row>
    <row r="66" spans="1:10" x14ac:dyDescent="0.25">
      <c r="A66" t="s">
        <v>8</v>
      </c>
      <c r="B66" t="s">
        <v>178</v>
      </c>
      <c r="C66" t="s">
        <v>179</v>
      </c>
      <c r="D66">
        <v>1</v>
      </c>
      <c r="E66" t="s">
        <v>94</v>
      </c>
      <c r="F66" t="s">
        <v>95</v>
      </c>
      <c r="G66" s="1"/>
      <c r="H66" t="str">
        <f>"3250611344469"</f>
        <v>3250611344469</v>
      </c>
      <c r="J66" t="s">
        <v>180</v>
      </c>
    </row>
    <row r="67" spans="1:10" x14ac:dyDescent="0.25">
      <c r="A67" t="s">
        <v>8</v>
      </c>
      <c r="B67" t="s">
        <v>181</v>
      </c>
      <c r="C67" t="s">
        <v>182</v>
      </c>
      <c r="D67">
        <v>1</v>
      </c>
      <c r="E67" t="s">
        <v>94</v>
      </c>
      <c r="F67" t="s">
        <v>95</v>
      </c>
      <c r="G67" s="1"/>
      <c r="H67" t="str">
        <f>"3250611362647"</f>
        <v>3250611362647</v>
      </c>
      <c r="J67" t="s">
        <v>183</v>
      </c>
    </row>
    <row r="68" spans="1:10" x14ac:dyDescent="0.25">
      <c r="A68" t="s">
        <v>8</v>
      </c>
      <c r="B68" t="s">
        <v>184</v>
      </c>
      <c r="C68" t="s">
        <v>185</v>
      </c>
      <c r="D68">
        <v>1</v>
      </c>
      <c r="E68" t="s">
        <v>94</v>
      </c>
      <c r="F68" t="s">
        <v>95</v>
      </c>
      <c r="G68" s="1"/>
      <c r="H68" t="str">
        <f>"3250611310150"</f>
        <v>3250611310150</v>
      </c>
      <c r="J68" t="s">
        <v>186</v>
      </c>
    </row>
    <row r="69" spans="1:10" x14ac:dyDescent="0.25">
      <c r="A69" t="s">
        <v>8</v>
      </c>
      <c r="B69" t="s">
        <v>187</v>
      </c>
      <c r="C69" t="s">
        <v>188</v>
      </c>
      <c r="D69">
        <v>1</v>
      </c>
      <c r="E69" t="s">
        <v>94</v>
      </c>
      <c r="F69" t="s">
        <v>95</v>
      </c>
      <c r="G69" s="1"/>
      <c r="H69" t="str">
        <f>"3250611343417"</f>
        <v>3250611343417</v>
      </c>
      <c r="J69" t="s">
        <v>189</v>
      </c>
    </row>
    <row r="70" spans="1:10" x14ac:dyDescent="0.25">
      <c r="A70" t="s">
        <v>8</v>
      </c>
      <c r="B70" t="s">
        <v>190</v>
      </c>
      <c r="C70" t="s">
        <v>191</v>
      </c>
      <c r="D70">
        <v>1</v>
      </c>
      <c r="E70" t="s">
        <v>94</v>
      </c>
      <c r="F70" t="s">
        <v>95</v>
      </c>
      <c r="G70" s="1"/>
      <c r="H70" t="str">
        <f>"3250611360018"</f>
        <v>3250611360018</v>
      </c>
      <c r="J70" t="s">
        <v>192</v>
      </c>
    </row>
    <row r="71" spans="1:10" x14ac:dyDescent="0.25">
      <c r="A71" t="s">
        <v>8</v>
      </c>
      <c r="B71" t="s">
        <v>193</v>
      </c>
      <c r="C71" t="s">
        <v>194</v>
      </c>
      <c r="D71">
        <v>1</v>
      </c>
      <c r="E71" t="s">
        <v>94</v>
      </c>
      <c r="F71" t="s">
        <v>95</v>
      </c>
      <c r="G71" s="1"/>
      <c r="H71" t="str">
        <f>"3250611363644"</f>
        <v>3250611363644</v>
      </c>
      <c r="J71" t="s">
        <v>195</v>
      </c>
    </row>
    <row r="72" spans="1:10" x14ac:dyDescent="0.25">
      <c r="A72" t="s">
        <v>8</v>
      </c>
      <c r="B72" t="s">
        <v>196</v>
      </c>
      <c r="C72" t="s">
        <v>197</v>
      </c>
      <c r="D72">
        <v>1</v>
      </c>
      <c r="E72" t="s">
        <v>94</v>
      </c>
      <c r="F72" t="s">
        <v>95</v>
      </c>
      <c r="G72" s="1"/>
      <c r="H72" t="str">
        <f>"3250611310099"</f>
        <v>3250611310099</v>
      </c>
      <c r="J72" t="s">
        <v>198</v>
      </c>
    </row>
    <row r="73" spans="1:10" x14ac:dyDescent="0.25">
      <c r="A73" t="s">
        <v>8</v>
      </c>
      <c r="B73" t="s">
        <v>199</v>
      </c>
      <c r="C73" t="s">
        <v>200</v>
      </c>
      <c r="D73">
        <v>1</v>
      </c>
      <c r="E73" t="s">
        <v>94</v>
      </c>
      <c r="F73" t="s">
        <v>95</v>
      </c>
      <c r="G73" s="1"/>
      <c r="H73" t="str">
        <f>"3250611500063"</f>
        <v>3250611500063</v>
      </c>
      <c r="J73" t="s">
        <v>201</v>
      </c>
    </row>
    <row r="74" spans="1:10" x14ac:dyDescent="0.25">
      <c r="A74" t="s">
        <v>8</v>
      </c>
      <c r="B74" t="s">
        <v>202</v>
      </c>
      <c r="C74" t="s">
        <v>203</v>
      </c>
      <c r="D74">
        <v>1</v>
      </c>
      <c r="E74" t="s">
        <v>94</v>
      </c>
      <c r="F74" t="s">
        <v>95</v>
      </c>
      <c r="G74" s="1"/>
      <c r="H74" t="str">
        <f>"3250611343264"</f>
        <v>3250611343264</v>
      </c>
      <c r="J74" t="s">
        <v>204</v>
      </c>
    </row>
    <row r="75" spans="1:10" x14ac:dyDescent="0.25">
      <c r="A75" t="s">
        <v>8</v>
      </c>
      <c r="B75" t="s">
        <v>205</v>
      </c>
      <c r="C75" t="s">
        <v>206</v>
      </c>
      <c r="D75">
        <v>1</v>
      </c>
      <c r="E75" t="s">
        <v>94</v>
      </c>
      <c r="F75" t="s">
        <v>95</v>
      </c>
      <c r="G75" s="1"/>
      <c r="H75" t="str">
        <f>"3250611310013"</f>
        <v>3250611310013</v>
      </c>
      <c r="J75" t="s">
        <v>207</v>
      </c>
    </row>
    <row r="76" spans="1:10" x14ac:dyDescent="0.25">
      <c r="A76" t="s">
        <v>8</v>
      </c>
      <c r="B76" t="s">
        <v>208</v>
      </c>
      <c r="C76" t="s">
        <v>209</v>
      </c>
      <c r="D76">
        <v>1</v>
      </c>
      <c r="E76" t="s">
        <v>94</v>
      </c>
      <c r="F76" t="s">
        <v>95</v>
      </c>
      <c r="G76" s="1"/>
      <c r="H76" t="str">
        <f>"3250611310082"</f>
        <v>3250611310082</v>
      </c>
      <c r="J76" t="s">
        <v>210</v>
      </c>
    </row>
    <row r="77" spans="1:10" x14ac:dyDescent="0.25">
      <c r="A77" t="s">
        <v>8</v>
      </c>
      <c r="B77" t="s">
        <v>211</v>
      </c>
      <c r="C77" t="s">
        <v>212</v>
      </c>
      <c r="D77">
        <v>1</v>
      </c>
      <c r="E77" t="s">
        <v>94</v>
      </c>
      <c r="F77" t="s">
        <v>95</v>
      </c>
      <c r="G77" s="1"/>
      <c r="H77" t="str">
        <f>"3250611500056"</f>
        <v>3250611500056</v>
      </c>
      <c r="J77" t="s">
        <v>213</v>
      </c>
    </row>
    <row r="78" spans="1:10" x14ac:dyDescent="0.25">
      <c r="A78" t="s">
        <v>8</v>
      </c>
      <c r="B78" t="s">
        <v>214</v>
      </c>
      <c r="C78" t="s">
        <v>188</v>
      </c>
      <c r="D78">
        <v>1</v>
      </c>
      <c r="E78" t="s">
        <v>94</v>
      </c>
      <c r="F78" t="s">
        <v>95</v>
      </c>
      <c r="G78" s="1"/>
      <c r="H78" t="str">
        <f>"3250611345794"</f>
        <v>3250611345794</v>
      </c>
      <c r="J78" t="s">
        <v>215</v>
      </c>
    </row>
    <row r="79" spans="1:10" x14ac:dyDescent="0.25">
      <c r="A79" t="s">
        <v>8</v>
      </c>
      <c r="B79" t="s">
        <v>216</v>
      </c>
      <c r="C79" t="s">
        <v>217</v>
      </c>
      <c r="D79">
        <v>1</v>
      </c>
      <c r="E79" t="s">
        <v>94</v>
      </c>
      <c r="F79" t="s">
        <v>95</v>
      </c>
      <c r="G79" s="1"/>
      <c r="H79" t="str">
        <f>"3250611345725"</f>
        <v>3250611345725</v>
      </c>
      <c r="J79" t="s">
        <v>218</v>
      </c>
    </row>
    <row r="80" spans="1:10" x14ac:dyDescent="0.25">
      <c r="A80" t="s">
        <v>8</v>
      </c>
      <c r="B80" t="s">
        <v>219</v>
      </c>
      <c r="C80" t="s">
        <v>220</v>
      </c>
      <c r="D80">
        <v>1</v>
      </c>
      <c r="E80" t="s">
        <v>94</v>
      </c>
      <c r="F80" t="s">
        <v>95</v>
      </c>
      <c r="G80" s="1"/>
      <c r="H80" t="str">
        <f>"3250611310525"</f>
        <v>3250611310525</v>
      </c>
      <c r="J80" t="s">
        <v>221</v>
      </c>
    </row>
    <row r="81" spans="1:10" x14ac:dyDescent="0.25">
      <c r="A81" t="s">
        <v>8</v>
      </c>
      <c r="B81" t="s">
        <v>222</v>
      </c>
      <c r="C81" t="s">
        <v>203</v>
      </c>
      <c r="D81">
        <v>1</v>
      </c>
      <c r="E81" t="s">
        <v>94</v>
      </c>
      <c r="F81" t="s">
        <v>95</v>
      </c>
      <c r="G81" s="1"/>
      <c r="H81" t="str">
        <f>"3250611345787"</f>
        <v>3250611345787</v>
      </c>
      <c r="J81" t="s">
        <v>223</v>
      </c>
    </row>
    <row r="82" spans="1:10" x14ac:dyDescent="0.25">
      <c r="A82" t="s">
        <v>8</v>
      </c>
      <c r="B82" t="s">
        <v>224</v>
      </c>
      <c r="C82" t="s">
        <v>225</v>
      </c>
      <c r="D82">
        <v>1</v>
      </c>
      <c r="E82" t="s">
        <v>94</v>
      </c>
      <c r="F82" t="s">
        <v>95</v>
      </c>
      <c r="G82" s="1"/>
      <c r="H82" t="str">
        <f>"3250611345893"</f>
        <v>3250611345893</v>
      </c>
      <c r="J82" t="s">
        <v>226</v>
      </c>
    </row>
    <row r="83" spans="1:10" x14ac:dyDescent="0.25">
      <c r="A83" t="s">
        <v>8</v>
      </c>
      <c r="B83" t="s">
        <v>227</v>
      </c>
      <c r="C83" t="s">
        <v>228</v>
      </c>
      <c r="D83">
        <v>1</v>
      </c>
      <c r="E83" t="s">
        <v>94</v>
      </c>
      <c r="F83" t="s">
        <v>95</v>
      </c>
      <c r="G83" s="1"/>
      <c r="H83" t="str">
        <f>"3250611345718"</f>
        <v>3250611345718</v>
      </c>
      <c r="J83" t="s">
        <v>229</v>
      </c>
    </row>
    <row r="84" spans="1:10" x14ac:dyDescent="0.25">
      <c r="A84" t="s">
        <v>8</v>
      </c>
      <c r="B84" t="s">
        <v>230</v>
      </c>
      <c r="C84" t="s">
        <v>231</v>
      </c>
      <c r="D84">
        <v>1</v>
      </c>
      <c r="E84" t="s">
        <v>94</v>
      </c>
      <c r="F84" t="s">
        <v>95</v>
      </c>
      <c r="G84" s="1"/>
      <c r="H84" t="str">
        <f>"3250611310495"</f>
        <v>3250611310495</v>
      </c>
      <c r="J84" t="s">
        <v>232</v>
      </c>
    </row>
    <row r="85" spans="1:10" x14ac:dyDescent="0.25">
      <c r="A85" t="s">
        <v>8</v>
      </c>
      <c r="B85" t="s">
        <v>233</v>
      </c>
      <c r="C85" t="s">
        <v>234</v>
      </c>
      <c r="D85">
        <v>1</v>
      </c>
      <c r="E85" t="s">
        <v>94</v>
      </c>
      <c r="F85" t="s">
        <v>95</v>
      </c>
      <c r="G85" s="1"/>
      <c r="H85" t="str">
        <f>"3250611345701"</f>
        <v>3250611345701</v>
      </c>
      <c r="J85" t="s">
        <v>235</v>
      </c>
    </row>
    <row r="86" spans="1:10" x14ac:dyDescent="0.25">
      <c r="A86" t="s">
        <v>8</v>
      </c>
      <c r="B86" t="s">
        <v>236</v>
      </c>
      <c r="C86" t="s">
        <v>237</v>
      </c>
      <c r="D86">
        <v>1</v>
      </c>
      <c r="E86" t="s">
        <v>94</v>
      </c>
      <c r="F86" t="s">
        <v>95</v>
      </c>
      <c r="G86" s="1"/>
      <c r="H86" t="str">
        <f>"3250611310501"</f>
        <v>3250611310501</v>
      </c>
      <c r="J86" t="s">
        <v>238</v>
      </c>
    </row>
    <row r="87" spans="1:10" x14ac:dyDescent="0.25">
      <c r="A87" t="s">
        <v>8</v>
      </c>
      <c r="B87" t="s">
        <v>239</v>
      </c>
      <c r="C87" t="s">
        <v>240</v>
      </c>
      <c r="D87">
        <v>1</v>
      </c>
      <c r="E87" t="s">
        <v>94</v>
      </c>
      <c r="F87" t="s">
        <v>95</v>
      </c>
      <c r="G87" s="1"/>
      <c r="H87" t="str">
        <f>"3250611345886"</f>
        <v>3250611345886</v>
      </c>
      <c r="J87" t="s">
        <v>241</v>
      </c>
    </row>
    <row r="88" spans="1:10" x14ac:dyDescent="0.25">
      <c r="A88" t="s">
        <v>8</v>
      </c>
      <c r="B88" t="s">
        <v>242</v>
      </c>
      <c r="C88" t="s">
        <v>243</v>
      </c>
      <c r="D88">
        <v>1</v>
      </c>
      <c r="E88" t="s">
        <v>94</v>
      </c>
      <c r="F88" t="s">
        <v>95</v>
      </c>
      <c r="G88" s="1"/>
      <c r="H88" t="str">
        <f>"3250611345879"</f>
        <v>3250611345879</v>
      </c>
      <c r="J88" t="s">
        <v>244</v>
      </c>
    </row>
    <row r="89" spans="1:10" x14ac:dyDescent="0.25">
      <c r="A89" t="s">
        <v>8</v>
      </c>
      <c r="B89" t="s">
        <v>245</v>
      </c>
      <c r="C89" t="s">
        <v>104</v>
      </c>
      <c r="D89">
        <v>1</v>
      </c>
      <c r="E89" t="s">
        <v>94</v>
      </c>
      <c r="F89" t="s">
        <v>95</v>
      </c>
      <c r="G89" s="1"/>
      <c r="H89" t="str">
        <f>"3250611345817"</f>
        <v>3250611345817</v>
      </c>
      <c r="J89" t="s">
        <v>246</v>
      </c>
    </row>
    <row r="90" spans="1:10" x14ac:dyDescent="0.25">
      <c r="A90" t="s">
        <v>8</v>
      </c>
      <c r="B90" t="s">
        <v>247</v>
      </c>
      <c r="C90" t="s">
        <v>164</v>
      </c>
      <c r="D90">
        <v>1</v>
      </c>
      <c r="E90" t="s">
        <v>94</v>
      </c>
      <c r="F90" t="s">
        <v>95</v>
      </c>
      <c r="G90" s="1"/>
      <c r="H90" t="str">
        <f>"3250611345800"</f>
        <v>3250611345800</v>
      </c>
      <c r="J90" t="s">
        <v>248</v>
      </c>
    </row>
    <row r="91" spans="1:10" x14ac:dyDescent="0.25">
      <c r="A91" t="s">
        <v>8</v>
      </c>
      <c r="B91" t="s">
        <v>249</v>
      </c>
      <c r="C91" t="s">
        <v>250</v>
      </c>
      <c r="D91">
        <v>1</v>
      </c>
      <c r="E91" t="s">
        <v>94</v>
      </c>
      <c r="F91" t="s">
        <v>95</v>
      </c>
      <c r="G91" s="1"/>
      <c r="H91" t="str">
        <f>"3250611345732"</f>
        <v>3250611345732</v>
      </c>
      <c r="J91" t="s">
        <v>251</v>
      </c>
    </row>
    <row r="92" spans="1:10" x14ac:dyDescent="0.25">
      <c r="A92" t="s">
        <v>8</v>
      </c>
      <c r="B92" t="s">
        <v>252</v>
      </c>
      <c r="C92" t="s">
        <v>253</v>
      </c>
      <c r="D92">
        <v>1</v>
      </c>
      <c r="E92" t="s">
        <v>94</v>
      </c>
      <c r="F92" t="s">
        <v>95</v>
      </c>
      <c r="G92" s="1"/>
      <c r="H92" t="str">
        <f>"3250611345862"</f>
        <v>3250611345862</v>
      </c>
      <c r="J92" t="s">
        <v>254</v>
      </c>
    </row>
    <row r="93" spans="1:10" x14ac:dyDescent="0.25">
      <c r="A93" t="s">
        <v>8</v>
      </c>
      <c r="B93" t="s">
        <v>255</v>
      </c>
      <c r="C93" t="s">
        <v>256</v>
      </c>
      <c r="D93">
        <v>1</v>
      </c>
      <c r="E93" t="s">
        <v>94</v>
      </c>
      <c r="F93" t="s">
        <v>95</v>
      </c>
      <c r="G93" s="1"/>
      <c r="H93" t="str">
        <f>"3250611310518"</f>
        <v>3250611310518</v>
      </c>
      <c r="J93" t="s">
        <v>257</v>
      </c>
    </row>
    <row r="94" spans="1:10" x14ac:dyDescent="0.25">
      <c r="A94" t="s">
        <v>8</v>
      </c>
      <c r="B94" t="s">
        <v>258</v>
      </c>
      <c r="C94" t="s">
        <v>259</v>
      </c>
      <c r="D94">
        <v>1</v>
      </c>
      <c r="E94" t="s">
        <v>94</v>
      </c>
      <c r="F94" t="s">
        <v>95</v>
      </c>
      <c r="G94" s="1"/>
      <c r="H94" t="str">
        <f>"3250611312154"</f>
        <v>3250611312154</v>
      </c>
      <c r="J94" t="s">
        <v>260</v>
      </c>
    </row>
    <row r="95" spans="1:10" x14ac:dyDescent="0.25">
      <c r="A95" t="s">
        <v>8</v>
      </c>
      <c r="B95" t="s">
        <v>261</v>
      </c>
      <c r="C95" t="s">
        <v>262</v>
      </c>
      <c r="D95">
        <v>1</v>
      </c>
      <c r="E95" t="s">
        <v>94</v>
      </c>
      <c r="F95" t="s">
        <v>95</v>
      </c>
      <c r="G95" s="1"/>
      <c r="H95" t="str">
        <f>"3250611312161"</f>
        <v>3250611312161</v>
      </c>
      <c r="J95" t="s">
        <v>263</v>
      </c>
    </row>
    <row r="96" spans="1:10" x14ac:dyDescent="0.25">
      <c r="A96" t="s">
        <v>8</v>
      </c>
      <c r="B96" t="s">
        <v>264</v>
      </c>
      <c r="C96" t="s">
        <v>265</v>
      </c>
      <c r="D96">
        <v>1</v>
      </c>
      <c r="E96" t="s">
        <v>94</v>
      </c>
      <c r="F96" t="s">
        <v>95</v>
      </c>
      <c r="G96" s="1"/>
      <c r="H96" t="str">
        <f>"3250611312185"</f>
        <v>3250611312185</v>
      </c>
      <c r="J96" t="s">
        <v>266</v>
      </c>
    </row>
    <row r="97" spans="1:10" x14ac:dyDescent="0.25">
      <c r="A97" t="s">
        <v>8</v>
      </c>
      <c r="B97" t="s">
        <v>267</v>
      </c>
      <c r="C97" t="s">
        <v>268</v>
      </c>
      <c r="D97">
        <v>1</v>
      </c>
      <c r="E97" t="s">
        <v>94</v>
      </c>
      <c r="F97" t="s">
        <v>95</v>
      </c>
      <c r="G97" s="1"/>
      <c r="H97" t="str">
        <f>"3250611312208"</f>
        <v>3250611312208</v>
      </c>
      <c r="J97" t="s">
        <v>269</v>
      </c>
    </row>
    <row r="98" spans="1:10" x14ac:dyDescent="0.25">
      <c r="A98" t="s">
        <v>8</v>
      </c>
      <c r="B98" t="s">
        <v>270</v>
      </c>
      <c r="C98" t="s">
        <v>271</v>
      </c>
      <c r="D98">
        <v>1</v>
      </c>
      <c r="E98" t="s">
        <v>94</v>
      </c>
      <c r="F98" t="s">
        <v>95</v>
      </c>
      <c r="G98" s="1"/>
      <c r="H98" t="str">
        <f>"3250611312222"</f>
        <v>3250611312222</v>
      </c>
      <c r="J98" t="s">
        <v>272</v>
      </c>
    </row>
    <row r="99" spans="1:10" x14ac:dyDescent="0.25">
      <c r="A99" t="s">
        <v>8</v>
      </c>
      <c r="B99" t="s">
        <v>273</v>
      </c>
      <c r="C99" t="s">
        <v>274</v>
      </c>
      <c r="D99">
        <v>1</v>
      </c>
      <c r="E99" t="s">
        <v>94</v>
      </c>
      <c r="F99" t="s">
        <v>95</v>
      </c>
      <c r="G99" s="1"/>
      <c r="H99" t="str">
        <f>"3250611312239"</f>
        <v>3250611312239</v>
      </c>
      <c r="J99" t="s">
        <v>275</v>
      </c>
    </row>
    <row r="100" spans="1:10" x14ac:dyDescent="0.25">
      <c r="A100" t="s">
        <v>8</v>
      </c>
      <c r="B100" t="s">
        <v>276</v>
      </c>
      <c r="C100" t="s">
        <v>277</v>
      </c>
      <c r="D100">
        <v>1</v>
      </c>
      <c r="E100" t="s">
        <v>94</v>
      </c>
      <c r="F100" t="s">
        <v>95</v>
      </c>
      <c r="G100" s="1"/>
      <c r="H100" t="str">
        <f>"3250611312253"</f>
        <v>3250611312253</v>
      </c>
      <c r="J100" t="s">
        <v>278</v>
      </c>
    </row>
    <row r="101" spans="1:10" x14ac:dyDescent="0.25">
      <c r="A101" t="s">
        <v>8</v>
      </c>
      <c r="B101" t="s">
        <v>279</v>
      </c>
      <c r="C101" t="s">
        <v>280</v>
      </c>
      <c r="D101">
        <v>1</v>
      </c>
      <c r="E101" t="s">
        <v>94</v>
      </c>
      <c r="F101" t="s">
        <v>95</v>
      </c>
      <c r="G101" s="1"/>
      <c r="H101" t="str">
        <f>"3250611312260"</f>
        <v>3250611312260</v>
      </c>
      <c r="J101" t="s">
        <v>281</v>
      </c>
    </row>
    <row r="102" spans="1:10" x14ac:dyDescent="0.25">
      <c r="A102" t="s">
        <v>8</v>
      </c>
      <c r="B102" t="s">
        <v>282</v>
      </c>
      <c r="C102" t="s">
        <v>283</v>
      </c>
      <c r="D102">
        <v>1</v>
      </c>
      <c r="E102" t="s">
        <v>94</v>
      </c>
      <c r="F102" t="s">
        <v>95</v>
      </c>
      <c r="G102" s="1"/>
      <c r="H102" t="str">
        <f>"3250611312284"</f>
        <v>3250611312284</v>
      </c>
      <c r="J102" t="s">
        <v>284</v>
      </c>
    </row>
    <row r="103" spans="1:10" x14ac:dyDescent="0.25">
      <c r="A103" t="s">
        <v>8</v>
      </c>
      <c r="B103" t="s">
        <v>285</v>
      </c>
      <c r="C103" t="s">
        <v>286</v>
      </c>
      <c r="D103">
        <v>1</v>
      </c>
      <c r="E103" t="s">
        <v>94</v>
      </c>
      <c r="F103" t="s">
        <v>95</v>
      </c>
      <c r="G103" s="1"/>
      <c r="H103" t="str">
        <f>"3250611312345"</f>
        <v>3250611312345</v>
      </c>
      <c r="J103" t="s">
        <v>287</v>
      </c>
    </row>
    <row r="104" spans="1:10" x14ac:dyDescent="0.25">
      <c r="A104" t="s">
        <v>8</v>
      </c>
      <c r="B104" t="s">
        <v>288</v>
      </c>
      <c r="C104" t="s">
        <v>289</v>
      </c>
      <c r="D104">
        <v>1</v>
      </c>
      <c r="E104" t="s">
        <v>94</v>
      </c>
      <c r="F104" t="s">
        <v>95</v>
      </c>
      <c r="G104" s="1"/>
      <c r="H104" t="str">
        <f>"3250611312642"</f>
        <v>3250611312642</v>
      </c>
      <c r="J104" t="s">
        <v>290</v>
      </c>
    </row>
    <row r="105" spans="1:10" x14ac:dyDescent="0.25">
      <c r="A105" t="s">
        <v>8</v>
      </c>
      <c r="B105" t="s">
        <v>291</v>
      </c>
      <c r="C105" t="s">
        <v>292</v>
      </c>
      <c r="D105">
        <v>1</v>
      </c>
      <c r="E105" t="s">
        <v>94</v>
      </c>
      <c r="F105" t="s">
        <v>95</v>
      </c>
      <c r="G105" s="1"/>
      <c r="H105" t="str">
        <f>"3250611312369"</f>
        <v>3250611312369</v>
      </c>
      <c r="J105" t="s">
        <v>293</v>
      </c>
    </row>
    <row r="106" spans="1:10" x14ac:dyDescent="0.25">
      <c r="A106" t="s">
        <v>8</v>
      </c>
      <c r="B106" t="s">
        <v>294</v>
      </c>
      <c r="C106" t="s">
        <v>295</v>
      </c>
      <c r="D106">
        <v>1</v>
      </c>
      <c r="E106" t="s">
        <v>94</v>
      </c>
      <c r="F106" t="s">
        <v>95</v>
      </c>
      <c r="G106" s="1"/>
      <c r="H106" t="str">
        <f>"3250611312659"</f>
        <v>3250611312659</v>
      </c>
      <c r="J106" t="s">
        <v>296</v>
      </c>
    </row>
    <row r="107" spans="1:10" x14ac:dyDescent="0.25">
      <c r="A107" t="s">
        <v>8</v>
      </c>
      <c r="B107" t="s">
        <v>297</v>
      </c>
      <c r="C107" t="s">
        <v>298</v>
      </c>
      <c r="D107">
        <v>1</v>
      </c>
      <c r="E107" t="s">
        <v>94</v>
      </c>
      <c r="F107" t="s">
        <v>95</v>
      </c>
      <c r="G107" s="1"/>
      <c r="H107" t="str">
        <f>"3250611312376"</f>
        <v>3250611312376</v>
      </c>
      <c r="J107" t="s">
        <v>299</v>
      </c>
    </row>
    <row r="108" spans="1:10" x14ac:dyDescent="0.25">
      <c r="A108" t="s">
        <v>8</v>
      </c>
      <c r="B108" t="s">
        <v>300</v>
      </c>
      <c r="C108" t="s">
        <v>301</v>
      </c>
      <c r="D108">
        <v>1</v>
      </c>
      <c r="E108" t="s">
        <v>94</v>
      </c>
      <c r="F108" t="s">
        <v>95</v>
      </c>
      <c r="G108" s="1"/>
      <c r="H108" t="str">
        <f>"3250611312390"</f>
        <v>3250611312390</v>
      </c>
      <c r="J108" t="s">
        <v>302</v>
      </c>
    </row>
    <row r="109" spans="1:10" x14ac:dyDescent="0.25">
      <c r="A109" t="s">
        <v>8</v>
      </c>
      <c r="B109" t="s">
        <v>303</v>
      </c>
      <c r="C109" t="s">
        <v>301</v>
      </c>
      <c r="D109">
        <v>1</v>
      </c>
      <c r="E109" t="s">
        <v>94</v>
      </c>
      <c r="F109" t="s">
        <v>95</v>
      </c>
      <c r="G109" s="1"/>
      <c r="H109" t="str">
        <f>"3250611312666"</f>
        <v>3250611312666</v>
      </c>
      <c r="J109" t="s">
        <v>304</v>
      </c>
    </row>
    <row r="110" spans="1:10" x14ac:dyDescent="0.25">
      <c r="A110" t="s">
        <v>8</v>
      </c>
      <c r="B110" t="s">
        <v>305</v>
      </c>
      <c r="C110" t="s">
        <v>306</v>
      </c>
      <c r="D110">
        <v>1</v>
      </c>
      <c r="E110" t="s">
        <v>94</v>
      </c>
      <c r="F110" t="s">
        <v>95</v>
      </c>
      <c r="G110" s="1"/>
      <c r="H110" t="str">
        <f>"3250611312406"</f>
        <v>3250611312406</v>
      </c>
      <c r="J110" t="s">
        <v>307</v>
      </c>
    </row>
    <row r="111" spans="1:10" x14ac:dyDescent="0.25">
      <c r="A111" t="s">
        <v>8</v>
      </c>
      <c r="B111" t="s">
        <v>308</v>
      </c>
      <c r="C111" t="s">
        <v>306</v>
      </c>
      <c r="D111">
        <v>1</v>
      </c>
      <c r="E111" t="s">
        <v>94</v>
      </c>
      <c r="F111" t="s">
        <v>95</v>
      </c>
      <c r="G111" s="1"/>
      <c r="H111" t="str">
        <f>"3250611312673"</f>
        <v>3250611312673</v>
      </c>
      <c r="J111" t="s">
        <v>309</v>
      </c>
    </row>
    <row r="112" spans="1:10" x14ac:dyDescent="0.25">
      <c r="A112" t="s">
        <v>8</v>
      </c>
      <c r="B112" t="s">
        <v>310</v>
      </c>
      <c r="C112" t="s">
        <v>311</v>
      </c>
      <c r="D112">
        <v>1</v>
      </c>
      <c r="E112" t="s">
        <v>94</v>
      </c>
      <c r="F112" t="s">
        <v>95</v>
      </c>
      <c r="G112" s="1"/>
      <c r="H112" t="str">
        <f>"3250611312413"</f>
        <v>3250611312413</v>
      </c>
      <c r="J112" t="s">
        <v>312</v>
      </c>
    </row>
    <row r="113" spans="1:10" x14ac:dyDescent="0.25">
      <c r="A113" t="s">
        <v>8</v>
      </c>
      <c r="B113" t="s">
        <v>313</v>
      </c>
      <c r="C113" t="s">
        <v>314</v>
      </c>
      <c r="D113">
        <v>1</v>
      </c>
      <c r="E113" t="s">
        <v>94</v>
      </c>
      <c r="F113" t="s">
        <v>95</v>
      </c>
      <c r="G113" s="1"/>
      <c r="H113" t="str">
        <f>"3250611312680"</f>
        <v>3250611312680</v>
      </c>
      <c r="J113" t="s">
        <v>315</v>
      </c>
    </row>
    <row r="114" spans="1:10" x14ac:dyDescent="0.25">
      <c r="A114" t="s">
        <v>8</v>
      </c>
      <c r="B114" t="s">
        <v>316</v>
      </c>
      <c r="C114" t="s">
        <v>317</v>
      </c>
      <c r="D114">
        <v>1</v>
      </c>
      <c r="E114" t="s">
        <v>94</v>
      </c>
      <c r="F114" t="s">
        <v>95</v>
      </c>
      <c r="G114" s="1"/>
      <c r="H114" t="str">
        <f>"3250611312697"</f>
        <v>3250611312697</v>
      </c>
      <c r="J114" t="s">
        <v>318</v>
      </c>
    </row>
    <row r="115" spans="1:10" x14ac:dyDescent="0.25">
      <c r="A115" t="s">
        <v>8</v>
      </c>
      <c r="B115" t="s">
        <v>319</v>
      </c>
      <c r="C115" t="s">
        <v>320</v>
      </c>
      <c r="D115">
        <v>1</v>
      </c>
      <c r="E115" t="s">
        <v>94</v>
      </c>
      <c r="F115" t="s">
        <v>95</v>
      </c>
      <c r="G115" s="1"/>
      <c r="H115" t="str">
        <f>"3250611312444"</f>
        <v>3250611312444</v>
      </c>
      <c r="J115" t="s">
        <v>321</v>
      </c>
    </row>
    <row r="116" spans="1:10" x14ac:dyDescent="0.25">
      <c r="A116" t="s">
        <v>8</v>
      </c>
      <c r="B116" t="s">
        <v>322</v>
      </c>
      <c r="C116" t="s">
        <v>323</v>
      </c>
      <c r="D116">
        <v>1</v>
      </c>
      <c r="E116" t="s">
        <v>94</v>
      </c>
      <c r="F116" t="s">
        <v>95</v>
      </c>
      <c r="G116" s="1"/>
      <c r="H116" t="str">
        <f>"3250611312451"</f>
        <v>3250611312451</v>
      </c>
      <c r="J116" t="s">
        <v>324</v>
      </c>
    </row>
    <row r="117" spans="1:10" x14ac:dyDescent="0.25">
      <c r="A117" t="s">
        <v>8</v>
      </c>
      <c r="B117" t="s">
        <v>325</v>
      </c>
      <c r="C117" t="s">
        <v>326</v>
      </c>
      <c r="D117">
        <v>1</v>
      </c>
      <c r="E117" t="s">
        <v>94</v>
      </c>
      <c r="F117" t="s">
        <v>95</v>
      </c>
      <c r="G117" s="1"/>
      <c r="H117" t="str">
        <f>"3250611312468"</f>
        <v>3250611312468</v>
      </c>
      <c r="J117" t="s">
        <v>327</v>
      </c>
    </row>
    <row r="118" spans="1:10" x14ac:dyDescent="0.25">
      <c r="A118" t="s">
        <v>8</v>
      </c>
      <c r="B118" t="s">
        <v>328</v>
      </c>
      <c r="C118" t="s">
        <v>329</v>
      </c>
      <c r="D118">
        <v>1</v>
      </c>
      <c r="E118" t="s">
        <v>94</v>
      </c>
      <c r="F118" t="s">
        <v>95</v>
      </c>
      <c r="G118" s="1"/>
      <c r="H118" t="str">
        <f>"3250611312604"</f>
        <v>3250611312604</v>
      </c>
      <c r="J118" t="s">
        <v>330</v>
      </c>
    </row>
    <row r="119" spans="1:10" x14ac:dyDescent="0.25">
      <c r="A119" t="s">
        <v>8</v>
      </c>
      <c r="B119" t="s">
        <v>331</v>
      </c>
      <c r="C119" t="s">
        <v>332</v>
      </c>
      <c r="D119">
        <v>1</v>
      </c>
      <c r="E119" t="s">
        <v>94</v>
      </c>
      <c r="F119" t="s">
        <v>95</v>
      </c>
      <c r="G119" s="1"/>
      <c r="H119" t="str">
        <f>"3250611312611"</f>
        <v>3250611312611</v>
      </c>
      <c r="J119" t="s">
        <v>333</v>
      </c>
    </row>
    <row r="120" spans="1:10" x14ac:dyDescent="0.25">
      <c r="A120" t="s">
        <v>8</v>
      </c>
      <c r="B120" t="s">
        <v>334</v>
      </c>
      <c r="C120" t="s">
        <v>335</v>
      </c>
      <c r="D120">
        <v>1</v>
      </c>
      <c r="E120" t="s">
        <v>94</v>
      </c>
      <c r="F120" t="s">
        <v>95</v>
      </c>
      <c r="G120" s="1"/>
      <c r="H120" t="str">
        <f>"3250611312475"</f>
        <v>3250611312475</v>
      </c>
      <c r="J120" t="s">
        <v>336</v>
      </c>
    </row>
    <row r="121" spans="1:10" x14ac:dyDescent="0.25">
      <c r="A121" t="s">
        <v>8</v>
      </c>
      <c r="B121" t="s">
        <v>337</v>
      </c>
      <c r="C121" t="s">
        <v>338</v>
      </c>
      <c r="D121">
        <v>1</v>
      </c>
      <c r="E121" t="s">
        <v>94</v>
      </c>
      <c r="F121" t="s">
        <v>95</v>
      </c>
      <c r="G121" s="1"/>
      <c r="H121" t="str">
        <f>"3250611312703"</f>
        <v>3250611312703</v>
      </c>
      <c r="J121" t="s">
        <v>339</v>
      </c>
    </row>
    <row r="122" spans="1:10" x14ac:dyDescent="0.25">
      <c r="A122" t="s">
        <v>8</v>
      </c>
      <c r="B122" t="s">
        <v>340</v>
      </c>
      <c r="C122" t="s">
        <v>341</v>
      </c>
      <c r="D122">
        <v>1</v>
      </c>
      <c r="E122" t="s">
        <v>94</v>
      </c>
      <c r="F122" t="s">
        <v>95</v>
      </c>
      <c r="G122" s="1"/>
      <c r="H122" t="str">
        <f>"3250611312499"</f>
        <v>3250611312499</v>
      </c>
      <c r="J122" t="s">
        <v>342</v>
      </c>
    </row>
    <row r="123" spans="1:10" x14ac:dyDescent="0.25">
      <c r="A123" t="s">
        <v>8</v>
      </c>
      <c r="B123" t="s">
        <v>343</v>
      </c>
      <c r="C123" t="s">
        <v>344</v>
      </c>
      <c r="D123">
        <v>1</v>
      </c>
      <c r="E123" t="s">
        <v>94</v>
      </c>
      <c r="F123" t="s">
        <v>95</v>
      </c>
      <c r="G123" s="1"/>
      <c r="H123" t="str">
        <f>"3250611312710"</f>
        <v>3250611312710</v>
      </c>
      <c r="J123" t="s">
        <v>345</v>
      </c>
    </row>
    <row r="124" spans="1:10" x14ac:dyDescent="0.25">
      <c r="A124" t="s">
        <v>8</v>
      </c>
      <c r="B124" t="s">
        <v>346</v>
      </c>
      <c r="C124" t="s">
        <v>347</v>
      </c>
      <c r="D124">
        <v>1</v>
      </c>
      <c r="E124" t="s">
        <v>94</v>
      </c>
      <c r="F124" t="s">
        <v>95</v>
      </c>
      <c r="G124" s="1"/>
      <c r="H124" t="str">
        <f>"3250611312505"</f>
        <v>3250611312505</v>
      </c>
      <c r="J124" t="s">
        <v>348</v>
      </c>
    </row>
    <row r="125" spans="1:10" x14ac:dyDescent="0.25">
      <c r="A125" t="s">
        <v>8</v>
      </c>
      <c r="B125" t="s">
        <v>349</v>
      </c>
      <c r="C125" t="s">
        <v>350</v>
      </c>
      <c r="D125">
        <v>1</v>
      </c>
      <c r="E125" t="s">
        <v>94</v>
      </c>
      <c r="F125" t="s">
        <v>95</v>
      </c>
      <c r="G125" s="1"/>
      <c r="H125" t="str">
        <f>"3250611312529"</f>
        <v>3250611312529</v>
      </c>
      <c r="J125" t="s">
        <v>351</v>
      </c>
    </row>
    <row r="126" spans="1:10" x14ac:dyDescent="0.25">
      <c r="A126" t="s">
        <v>8</v>
      </c>
      <c r="B126" t="s">
        <v>352</v>
      </c>
      <c r="C126" t="s">
        <v>350</v>
      </c>
      <c r="D126">
        <v>1</v>
      </c>
      <c r="E126" t="s">
        <v>94</v>
      </c>
      <c r="F126" t="s">
        <v>95</v>
      </c>
      <c r="G126" s="1"/>
      <c r="H126" t="str">
        <f>"3250611312727"</f>
        <v>3250611312727</v>
      </c>
      <c r="J126" t="s">
        <v>353</v>
      </c>
    </row>
    <row r="127" spans="1:10" x14ac:dyDescent="0.25">
      <c r="A127" t="s">
        <v>8</v>
      </c>
      <c r="B127" t="s">
        <v>354</v>
      </c>
      <c r="C127" t="s">
        <v>355</v>
      </c>
      <c r="D127">
        <v>1</v>
      </c>
      <c r="E127" t="s">
        <v>94</v>
      </c>
      <c r="F127" t="s">
        <v>95</v>
      </c>
      <c r="G127" s="1"/>
      <c r="H127" t="str">
        <f>"3250611312536"</f>
        <v>3250611312536</v>
      </c>
      <c r="J127" t="s">
        <v>356</v>
      </c>
    </row>
    <row r="128" spans="1:10" x14ac:dyDescent="0.25">
      <c r="A128" t="s">
        <v>8</v>
      </c>
      <c r="B128" t="s">
        <v>357</v>
      </c>
      <c r="C128" t="s">
        <v>355</v>
      </c>
      <c r="D128">
        <v>1</v>
      </c>
      <c r="E128" t="s">
        <v>94</v>
      </c>
      <c r="F128" t="s">
        <v>95</v>
      </c>
      <c r="G128" s="1"/>
      <c r="H128" t="str">
        <f>"3250611312734"</f>
        <v>3250611312734</v>
      </c>
      <c r="J128" t="s">
        <v>358</v>
      </c>
    </row>
    <row r="129" spans="1:10" x14ac:dyDescent="0.25">
      <c r="A129" t="s">
        <v>8</v>
      </c>
      <c r="B129" t="s">
        <v>359</v>
      </c>
      <c r="C129" t="s">
        <v>360</v>
      </c>
      <c r="D129">
        <v>1</v>
      </c>
      <c r="E129" t="s">
        <v>94</v>
      </c>
      <c r="F129" t="s">
        <v>95</v>
      </c>
      <c r="G129" s="1"/>
      <c r="H129" t="str">
        <f>"3250611312543"</f>
        <v>3250611312543</v>
      </c>
      <c r="J129" t="s">
        <v>361</v>
      </c>
    </row>
    <row r="130" spans="1:10" x14ac:dyDescent="0.25">
      <c r="A130" t="s">
        <v>8</v>
      </c>
      <c r="B130" t="s">
        <v>362</v>
      </c>
      <c r="C130" t="s">
        <v>363</v>
      </c>
      <c r="D130">
        <v>1</v>
      </c>
      <c r="E130" t="s">
        <v>94</v>
      </c>
      <c r="F130" t="s">
        <v>95</v>
      </c>
      <c r="G130" s="1"/>
      <c r="H130" t="str">
        <f>"3250611312741"</f>
        <v>3250611312741</v>
      </c>
      <c r="J130" t="s">
        <v>364</v>
      </c>
    </row>
    <row r="131" spans="1:10" x14ac:dyDescent="0.25">
      <c r="A131" t="s">
        <v>8</v>
      </c>
      <c r="B131" t="s">
        <v>365</v>
      </c>
      <c r="C131" t="s">
        <v>366</v>
      </c>
      <c r="D131">
        <v>1</v>
      </c>
      <c r="E131" t="s">
        <v>94</v>
      </c>
      <c r="F131" t="s">
        <v>95</v>
      </c>
      <c r="G131" s="1"/>
      <c r="H131" t="str">
        <f>"3250611312758"</f>
        <v>3250611312758</v>
      </c>
      <c r="J131" t="s">
        <v>321</v>
      </c>
    </row>
    <row r="132" spans="1:10" x14ac:dyDescent="0.25">
      <c r="A132" t="s">
        <v>8</v>
      </c>
      <c r="B132" t="s">
        <v>367</v>
      </c>
      <c r="C132" t="s">
        <v>368</v>
      </c>
      <c r="D132">
        <v>1</v>
      </c>
      <c r="E132" t="s">
        <v>94</v>
      </c>
      <c r="F132" t="s">
        <v>95</v>
      </c>
      <c r="G132" s="1"/>
      <c r="H132" t="str">
        <f>"3250611312574"</f>
        <v>3250611312574</v>
      </c>
      <c r="J132" t="s">
        <v>369</v>
      </c>
    </row>
    <row r="133" spans="1:10" x14ac:dyDescent="0.25">
      <c r="A133" t="s">
        <v>8</v>
      </c>
      <c r="B133" t="s">
        <v>370</v>
      </c>
      <c r="C133" t="s">
        <v>371</v>
      </c>
      <c r="D133">
        <v>1</v>
      </c>
      <c r="E133" t="s">
        <v>94</v>
      </c>
      <c r="F133" t="s">
        <v>95</v>
      </c>
      <c r="G133" s="1"/>
      <c r="H133" t="str">
        <f>"3250611312581"</f>
        <v>3250611312581</v>
      </c>
      <c r="J133" t="s">
        <v>372</v>
      </c>
    </row>
    <row r="134" spans="1:10" x14ac:dyDescent="0.25">
      <c r="A134" t="s">
        <v>8</v>
      </c>
      <c r="B134" t="s">
        <v>373</v>
      </c>
      <c r="C134" t="s">
        <v>374</v>
      </c>
      <c r="D134">
        <v>1</v>
      </c>
      <c r="E134" t="s">
        <v>94</v>
      </c>
      <c r="F134" t="s">
        <v>95</v>
      </c>
      <c r="G134" s="1"/>
      <c r="H134" t="str">
        <f>"3250611312598"</f>
        <v>3250611312598</v>
      </c>
      <c r="J134" t="s">
        <v>375</v>
      </c>
    </row>
    <row r="135" spans="1:10" x14ac:dyDescent="0.25">
      <c r="A135" t="s">
        <v>8</v>
      </c>
      <c r="B135" t="s">
        <v>376</v>
      </c>
      <c r="C135" t="s">
        <v>377</v>
      </c>
      <c r="D135">
        <v>1</v>
      </c>
      <c r="E135" t="s">
        <v>94</v>
      </c>
      <c r="F135" t="s">
        <v>95</v>
      </c>
      <c r="G135" s="1"/>
      <c r="H135" t="str">
        <f>"3250611312628"</f>
        <v>3250611312628</v>
      </c>
      <c r="J135" t="s">
        <v>378</v>
      </c>
    </row>
    <row r="136" spans="1:10" x14ac:dyDescent="0.25">
      <c r="A136" t="s">
        <v>8</v>
      </c>
      <c r="B136" t="s">
        <v>379</v>
      </c>
      <c r="C136" t="s">
        <v>380</v>
      </c>
      <c r="D136">
        <v>1</v>
      </c>
      <c r="E136" t="s">
        <v>94</v>
      </c>
      <c r="F136" t="s">
        <v>95</v>
      </c>
      <c r="G136" s="1"/>
      <c r="H136" t="str">
        <f>"3250611312635"</f>
        <v>3250611312635</v>
      </c>
      <c r="J136" t="s">
        <v>381</v>
      </c>
    </row>
    <row r="137" spans="1:10" x14ac:dyDescent="0.25">
      <c r="A137" t="s">
        <v>8</v>
      </c>
      <c r="B137" t="s">
        <v>382</v>
      </c>
      <c r="C137" t="s">
        <v>383</v>
      </c>
      <c r="D137">
        <v>1</v>
      </c>
      <c r="E137" t="s">
        <v>94</v>
      </c>
      <c r="F137" t="s">
        <v>95</v>
      </c>
      <c r="G137" s="1"/>
      <c r="H137" t="str">
        <f>"3250611312765"</f>
        <v>3250611312765</v>
      </c>
      <c r="J137" t="s">
        <v>147</v>
      </c>
    </row>
    <row r="138" spans="1:10" x14ac:dyDescent="0.25">
      <c r="A138" t="s">
        <v>8</v>
      </c>
      <c r="B138" t="s">
        <v>384</v>
      </c>
      <c r="C138" t="s">
        <v>385</v>
      </c>
      <c r="D138">
        <v>1</v>
      </c>
      <c r="E138" t="s">
        <v>94</v>
      </c>
      <c r="F138" t="s">
        <v>95</v>
      </c>
      <c r="G138" s="1"/>
      <c r="H138" t="str">
        <f>"3250611312772"</f>
        <v>3250611312772</v>
      </c>
      <c r="J138" t="s">
        <v>135</v>
      </c>
    </row>
    <row r="139" spans="1:10" x14ac:dyDescent="0.25">
      <c r="A139" t="s">
        <v>8</v>
      </c>
      <c r="B139" t="s">
        <v>386</v>
      </c>
      <c r="C139" t="s">
        <v>387</v>
      </c>
      <c r="D139">
        <v>1</v>
      </c>
      <c r="E139" t="s">
        <v>94</v>
      </c>
      <c r="F139" t="s">
        <v>95</v>
      </c>
      <c r="G139" s="1"/>
      <c r="H139" t="str">
        <f>"3250611312789"</f>
        <v>3250611312789</v>
      </c>
      <c r="J139" t="s">
        <v>102</v>
      </c>
    </row>
    <row r="140" spans="1:10" x14ac:dyDescent="0.25">
      <c r="A140" t="s">
        <v>8</v>
      </c>
      <c r="B140" t="s">
        <v>388</v>
      </c>
      <c r="C140" t="s">
        <v>389</v>
      </c>
      <c r="D140">
        <v>1</v>
      </c>
      <c r="E140" t="s">
        <v>94</v>
      </c>
      <c r="F140" t="s">
        <v>95</v>
      </c>
      <c r="G140" s="1"/>
      <c r="H140" t="str">
        <f>"3250611312796"</f>
        <v>3250611312796</v>
      </c>
      <c r="J140" t="s">
        <v>192</v>
      </c>
    </row>
    <row r="141" spans="1:10" x14ac:dyDescent="0.25">
      <c r="A141" t="s">
        <v>8</v>
      </c>
      <c r="B141" t="s">
        <v>390</v>
      </c>
      <c r="C141" t="s">
        <v>391</v>
      </c>
      <c r="D141">
        <v>1</v>
      </c>
      <c r="E141" t="s">
        <v>94</v>
      </c>
      <c r="F141" t="s">
        <v>95</v>
      </c>
      <c r="G141" s="1"/>
      <c r="H141" t="str">
        <f>"3250611312802"</f>
        <v>3250611312802</v>
      </c>
      <c r="J141" t="s">
        <v>201</v>
      </c>
    </row>
    <row r="142" spans="1:10" x14ac:dyDescent="0.25">
      <c r="A142" t="s">
        <v>8</v>
      </c>
      <c r="B142" t="s">
        <v>392</v>
      </c>
      <c r="C142" t="s">
        <v>393</v>
      </c>
      <c r="D142">
        <v>1</v>
      </c>
      <c r="E142" t="s">
        <v>94</v>
      </c>
      <c r="F142" t="s">
        <v>95</v>
      </c>
      <c r="G142" s="1"/>
      <c r="H142" t="str">
        <f>"3250611312819"</f>
        <v>3250611312819</v>
      </c>
      <c r="J142" t="s">
        <v>168</v>
      </c>
    </row>
    <row r="143" spans="1:10" x14ac:dyDescent="0.25">
      <c r="A143" t="s">
        <v>8</v>
      </c>
      <c r="B143" t="s">
        <v>394</v>
      </c>
      <c r="C143" t="s">
        <v>395</v>
      </c>
      <c r="D143">
        <v>1</v>
      </c>
      <c r="E143" t="s">
        <v>94</v>
      </c>
      <c r="F143" t="s">
        <v>95</v>
      </c>
      <c r="G143" s="1"/>
      <c r="H143" t="str">
        <f>"3250611312826"</f>
        <v>3250611312826</v>
      </c>
      <c r="J143" t="s">
        <v>156</v>
      </c>
    </row>
    <row r="144" spans="1:10" x14ac:dyDescent="0.25">
      <c r="A144" t="s">
        <v>8</v>
      </c>
      <c r="B144" t="s">
        <v>396</v>
      </c>
      <c r="C144" t="s">
        <v>397</v>
      </c>
      <c r="D144">
        <v>1</v>
      </c>
      <c r="E144" t="s">
        <v>398</v>
      </c>
      <c r="F144" t="s">
        <v>399</v>
      </c>
      <c r="G144" s="1"/>
      <c r="H144" t="str">
        <f>"3250611612698"</f>
        <v>3250611612698</v>
      </c>
      <c r="J144" t="s">
        <v>400</v>
      </c>
    </row>
    <row r="145" spans="1:10" x14ac:dyDescent="0.25">
      <c r="A145" t="s">
        <v>8</v>
      </c>
      <c r="B145" t="s">
        <v>401</v>
      </c>
      <c r="C145" t="s">
        <v>402</v>
      </c>
      <c r="D145">
        <v>1</v>
      </c>
      <c r="E145" t="s">
        <v>398</v>
      </c>
      <c r="F145" t="s">
        <v>399</v>
      </c>
      <c r="G145" s="1"/>
      <c r="H145" t="str">
        <f>"3250611612575"</f>
        <v>3250611612575</v>
      </c>
      <c r="J145" t="s">
        <v>403</v>
      </c>
    </row>
    <row r="146" spans="1:10" x14ac:dyDescent="0.25">
      <c r="A146" t="s">
        <v>8</v>
      </c>
      <c r="B146" t="s">
        <v>404</v>
      </c>
      <c r="C146" t="s">
        <v>405</v>
      </c>
      <c r="D146">
        <v>1</v>
      </c>
      <c r="E146" t="s">
        <v>398</v>
      </c>
      <c r="F146" t="s">
        <v>399</v>
      </c>
      <c r="G146" s="1"/>
      <c r="H146" t="str">
        <f>"3250611612971"</f>
        <v>3250611612971</v>
      </c>
      <c r="J146" t="s">
        <v>406</v>
      </c>
    </row>
    <row r="147" spans="1:10" x14ac:dyDescent="0.25">
      <c r="A147" t="s">
        <v>8</v>
      </c>
      <c r="B147" t="s">
        <v>407</v>
      </c>
      <c r="C147" t="s">
        <v>408</v>
      </c>
      <c r="D147">
        <v>1</v>
      </c>
      <c r="E147" t="s">
        <v>398</v>
      </c>
      <c r="F147" t="s">
        <v>399</v>
      </c>
      <c r="G147" s="1"/>
      <c r="H147" t="str">
        <f>"3250611612674"</f>
        <v>3250611612674</v>
      </c>
      <c r="J147" t="s">
        <v>409</v>
      </c>
    </row>
    <row r="148" spans="1:10" x14ac:dyDescent="0.25">
      <c r="A148" t="s">
        <v>8</v>
      </c>
      <c r="B148" t="s">
        <v>410</v>
      </c>
      <c r="C148" t="s">
        <v>411</v>
      </c>
      <c r="D148">
        <v>1</v>
      </c>
      <c r="E148" t="s">
        <v>398</v>
      </c>
      <c r="F148" t="s">
        <v>399</v>
      </c>
      <c r="G148" s="1"/>
      <c r="H148" t="str">
        <f>"3250611612964"</f>
        <v>3250611612964</v>
      </c>
      <c r="J148" t="s">
        <v>412</v>
      </c>
    </row>
    <row r="149" spans="1:10" x14ac:dyDescent="0.25">
      <c r="A149" t="s">
        <v>8</v>
      </c>
      <c r="B149" t="s">
        <v>413</v>
      </c>
      <c r="C149" t="s">
        <v>414</v>
      </c>
      <c r="D149">
        <v>1</v>
      </c>
      <c r="E149" t="s">
        <v>398</v>
      </c>
      <c r="F149" t="s">
        <v>399</v>
      </c>
      <c r="G149" s="1"/>
      <c r="H149" t="str">
        <f>"3250611612551"</f>
        <v>3250611612551</v>
      </c>
      <c r="J149" t="s">
        <v>415</v>
      </c>
    </row>
    <row r="150" spans="1:10" x14ac:dyDescent="0.25">
      <c r="A150" t="s">
        <v>8</v>
      </c>
      <c r="B150" t="s">
        <v>416</v>
      </c>
      <c r="C150" t="s">
        <v>417</v>
      </c>
      <c r="D150">
        <v>1</v>
      </c>
      <c r="E150" t="s">
        <v>398</v>
      </c>
      <c r="F150" t="s">
        <v>399</v>
      </c>
      <c r="G150" s="1"/>
      <c r="H150" t="str">
        <f>"3250611655138"</f>
        <v>3250611655138</v>
      </c>
      <c r="J150" t="s">
        <v>418</v>
      </c>
    </row>
    <row r="151" spans="1:10" x14ac:dyDescent="0.25">
      <c r="A151" t="s">
        <v>8</v>
      </c>
      <c r="B151" t="s">
        <v>419</v>
      </c>
      <c r="C151" t="s">
        <v>420</v>
      </c>
      <c r="D151">
        <v>1</v>
      </c>
      <c r="E151" t="s">
        <v>398</v>
      </c>
      <c r="F151" t="s">
        <v>399</v>
      </c>
      <c r="G151" s="1"/>
      <c r="H151" t="str">
        <f>"3250611655107"</f>
        <v>3250611655107</v>
      </c>
      <c r="J151" t="s">
        <v>421</v>
      </c>
    </row>
    <row r="152" spans="1:10" x14ac:dyDescent="0.25">
      <c r="A152" t="s">
        <v>8</v>
      </c>
      <c r="B152" t="s">
        <v>422</v>
      </c>
      <c r="C152" t="s">
        <v>423</v>
      </c>
      <c r="D152">
        <v>1</v>
      </c>
      <c r="E152" t="s">
        <v>398</v>
      </c>
      <c r="F152" t="s">
        <v>399</v>
      </c>
      <c r="G152" s="1"/>
      <c r="H152" t="str">
        <f>"3250611615620"</f>
        <v>3250611615620</v>
      </c>
      <c r="J152" t="s">
        <v>415</v>
      </c>
    </row>
    <row r="153" spans="1:10" x14ac:dyDescent="0.25">
      <c r="A153" t="s">
        <v>8</v>
      </c>
      <c r="B153" t="s">
        <v>424</v>
      </c>
      <c r="C153" t="s">
        <v>425</v>
      </c>
      <c r="D153">
        <v>1</v>
      </c>
      <c r="E153" t="s">
        <v>398</v>
      </c>
      <c r="F153" t="s">
        <v>399</v>
      </c>
      <c r="G153" s="1"/>
      <c r="H153" t="str">
        <f>"3250611630173"</f>
        <v>3250611630173</v>
      </c>
      <c r="J153" t="s">
        <v>426</v>
      </c>
    </row>
    <row r="154" spans="1:10" x14ac:dyDescent="0.25">
      <c r="A154" t="s">
        <v>8</v>
      </c>
      <c r="B154" t="s">
        <v>427</v>
      </c>
      <c r="C154" t="s">
        <v>428</v>
      </c>
      <c r="D154">
        <v>1</v>
      </c>
      <c r="E154" t="s">
        <v>398</v>
      </c>
      <c r="F154" t="s">
        <v>399</v>
      </c>
      <c r="G154" s="1"/>
      <c r="H154" t="str">
        <f>"3250611630364"</f>
        <v>3250611630364</v>
      </c>
      <c r="J154" t="s">
        <v>429</v>
      </c>
    </row>
    <row r="155" spans="1:10" x14ac:dyDescent="0.25">
      <c r="A155" t="s">
        <v>8</v>
      </c>
      <c r="B155" t="s">
        <v>430</v>
      </c>
      <c r="C155" t="s">
        <v>431</v>
      </c>
      <c r="D155">
        <v>1</v>
      </c>
      <c r="E155" t="s">
        <v>398</v>
      </c>
      <c r="F155" t="s">
        <v>399</v>
      </c>
      <c r="G155" s="1"/>
      <c r="H155" t="str">
        <f>"3250611630371"</f>
        <v>3250611630371</v>
      </c>
      <c r="J155" t="s">
        <v>429</v>
      </c>
    </row>
    <row r="156" spans="1:10" x14ac:dyDescent="0.25">
      <c r="A156" t="s">
        <v>8</v>
      </c>
      <c r="B156" t="s">
        <v>432</v>
      </c>
      <c r="C156" t="s">
        <v>433</v>
      </c>
      <c r="D156">
        <v>1</v>
      </c>
      <c r="E156" t="s">
        <v>398</v>
      </c>
      <c r="F156" t="s">
        <v>399</v>
      </c>
      <c r="G156" s="1"/>
      <c r="H156" t="str">
        <f>"3250611630395"</f>
        <v>3250611630395</v>
      </c>
      <c r="J156" t="s">
        <v>434</v>
      </c>
    </row>
    <row r="157" spans="1:10" x14ac:dyDescent="0.25">
      <c r="A157" t="s">
        <v>8</v>
      </c>
      <c r="B157" t="s">
        <v>435</v>
      </c>
      <c r="C157" t="s">
        <v>436</v>
      </c>
      <c r="D157">
        <v>1</v>
      </c>
      <c r="E157" t="s">
        <v>437</v>
      </c>
      <c r="F157" t="s">
        <v>438</v>
      </c>
      <c r="G157" s="1"/>
      <c r="H157" t="str">
        <f>"3250612360543"</f>
        <v>3250612360543</v>
      </c>
      <c r="J157" t="s">
        <v>439</v>
      </c>
    </row>
    <row r="158" spans="1:10" x14ac:dyDescent="0.25">
      <c r="A158" t="s">
        <v>8</v>
      </c>
      <c r="B158" t="s">
        <v>440</v>
      </c>
      <c r="C158" t="s">
        <v>441</v>
      </c>
      <c r="D158">
        <v>1</v>
      </c>
      <c r="E158" t="s">
        <v>437</v>
      </c>
      <c r="F158" t="s">
        <v>438</v>
      </c>
      <c r="G158" s="1"/>
      <c r="H158" t="str">
        <f>"3250612369522"</f>
        <v>3250612369522</v>
      </c>
      <c r="J158" t="s">
        <v>442</v>
      </c>
    </row>
    <row r="159" spans="1:10" x14ac:dyDescent="0.25">
      <c r="A159" t="s">
        <v>8</v>
      </c>
      <c r="B159" t="s">
        <v>443</v>
      </c>
      <c r="C159" t="s">
        <v>444</v>
      </c>
      <c r="D159">
        <v>1</v>
      </c>
      <c r="E159" t="s">
        <v>437</v>
      </c>
      <c r="F159" t="s">
        <v>438</v>
      </c>
      <c r="G159" s="1"/>
      <c r="H159" t="str">
        <f>"3250612369447"</f>
        <v>3250612369447</v>
      </c>
      <c r="J159" t="s">
        <v>445</v>
      </c>
    </row>
    <row r="160" spans="1:10" x14ac:dyDescent="0.25">
      <c r="A160" t="s">
        <v>8</v>
      </c>
      <c r="B160" t="s">
        <v>446</v>
      </c>
      <c r="C160" t="s">
        <v>447</v>
      </c>
      <c r="D160">
        <v>1</v>
      </c>
      <c r="E160" t="s">
        <v>437</v>
      </c>
      <c r="F160" t="s">
        <v>438</v>
      </c>
      <c r="G160" s="1"/>
      <c r="H160" t="str">
        <f>"3250612369539"</f>
        <v>3250612369539</v>
      </c>
      <c r="J160" t="s">
        <v>448</v>
      </c>
    </row>
    <row r="161" spans="1:10" x14ac:dyDescent="0.25">
      <c r="A161" t="s">
        <v>8</v>
      </c>
      <c r="B161" t="s">
        <v>449</v>
      </c>
      <c r="C161" t="s">
        <v>450</v>
      </c>
      <c r="D161">
        <v>1</v>
      </c>
      <c r="E161" t="s">
        <v>437</v>
      </c>
      <c r="F161" t="s">
        <v>438</v>
      </c>
      <c r="G161" s="1"/>
      <c r="H161" t="str">
        <f>"3250612369454"</f>
        <v>3250612369454</v>
      </c>
      <c r="J161" t="s">
        <v>451</v>
      </c>
    </row>
    <row r="162" spans="1:10" x14ac:dyDescent="0.25">
      <c r="A162" t="s">
        <v>8</v>
      </c>
      <c r="B162" t="s">
        <v>452</v>
      </c>
      <c r="C162" t="s">
        <v>453</v>
      </c>
      <c r="D162">
        <v>1</v>
      </c>
      <c r="E162" t="s">
        <v>437</v>
      </c>
      <c r="F162" t="s">
        <v>438</v>
      </c>
      <c r="G162" s="1"/>
      <c r="H162" t="str">
        <f>"3250612369553"</f>
        <v>3250612369553</v>
      </c>
      <c r="J162" t="s">
        <v>454</v>
      </c>
    </row>
    <row r="163" spans="1:10" x14ac:dyDescent="0.25">
      <c r="A163" t="s">
        <v>8</v>
      </c>
      <c r="B163" t="s">
        <v>455</v>
      </c>
      <c r="C163" t="s">
        <v>456</v>
      </c>
      <c r="D163">
        <v>1</v>
      </c>
      <c r="E163" t="s">
        <v>437</v>
      </c>
      <c r="F163" t="s">
        <v>438</v>
      </c>
      <c r="G163" s="1"/>
      <c r="H163" t="str">
        <f>"3250612364251"</f>
        <v>3250612364251</v>
      </c>
      <c r="J163" t="s">
        <v>457</v>
      </c>
    </row>
    <row r="164" spans="1:10" x14ac:dyDescent="0.25">
      <c r="A164" t="s">
        <v>8</v>
      </c>
      <c r="B164" t="s">
        <v>458</v>
      </c>
      <c r="C164" t="s">
        <v>459</v>
      </c>
      <c r="D164">
        <v>1</v>
      </c>
      <c r="E164" t="s">
        <v>437</v>
      </c>
      <c r="F164" t="s">
        <v>438</v>
      </c>
      <c r="G164" s="1"/>
      <c r="H164" t="str">
        <f>"3250612360574"</f>
        <v>3250612360574</v>
      </c>
      <c r="J164" t="s">
        <v>460</v>
      </c>
    </row>
    <row r="165" spans="1:10" x14ac:dyDescent="0.25">
      <c r="A165" t="s">
        <v>8</v>
      </c>
      <c r="B165" t="s">
        <v>461</v>
      </c>
      <c r="C165" t="s">
        <v>462</v>
      </c>
      <c r="D165">
        <v>1</v>
      </c>
      <c r="E165" t="s">
        <v>437</v>
      </c>
      <c r="F165" t="s">
        <v>438</v>
      </c>
      <c r="G165" s="1"/>
      <c r="H165" t="str">
        <f>"3250612364268"</f>
        <v>3250612364268</v>
      </c>
      <c r="J165" t="s">
        <v>463</v>
      </c>
    </row>
    <row r="166" spans="1:10" x14ac:dyDescent="0.25">
      <c r="A166" t="s">
        <v>8</v>
      </c>
      <c r="B166" t="s">
        <v>464</v>
      </c>
      <c r="C166" t="s">
        <v>465</v>
      </c>
      <c r="D166">
        <v>1</v>
      </c>
      <c r="E166" t="s">
        <v>437</v>
      </c>
      <c r="F166" t="s">
        <v>438</v>
      </c>
      <c r="G166" s="1"/>
      <c r="H166" t="str">
        <f>"3250612360567"</f>
        <v>3250612360567</v>
      </c>
      <c r="J166" t="s">
        <v>466</v>
      </c>
    </row>
    <row r="167" spans="1:10" x14ac:dyDescent="0.25">
      <c r="A167" t="s">
        <v>8</v>
      </c>
      <c r="B167" t="s">
        <v>467</v>
      </c>
      <c r="C167" t="s">
        <v>468</v>
      </c>
      <c r="D167">
        <v>1</v>
      </c>
      <c r="E167" t="s">
        <v>437</v>
      </c>
      <c r="F167" t="s">
        <v>438</v>
      </c>
      <c r="G167" s="1"/>
      <c r="H167" t="str">
        <f>"3250612369577"</f>
        <v>3250612369577</v>
      </c>
      <c r="J167" t="s">
        <v>469</v>
      </c>
    </row>
    <row r="168" spans="1:10" x14ac:dyDescent="0.25">
      <c r="A168" t="s">
        <v>8</v>
      </c>
      <c r="B168" t="s">
        <v>470</v>
      </c>
      <c r="C168" t="s">
        <v>471</v>
      </c>
      <c r="D168">
        <v>1</v>
      </c>
      <c r="E168" t="s">
        <v>437</v>
      </c>
      <c r="F168" t="s">
        <v>438</v>
      </c>
      <c r="G168" s="1"/>
      <c r="H168" t="str">
        <f>"3250612369485"</f>
        <v>3250612369485</v>
      </c>
      <c r="J168" t="s">
        <v>472</v>
      </c>
    </row>
    <row r="169" spans="1:10" x14ac:dyDescent="0.25">
      <c r="A169" t="s">
        <v>8</v>
      </c>
      <c r="B169" t="s">
        <v>473</v>
      </c>
      <c r="C169" t="s">
        <v>474</v>
      </c>
      <c r="D169">
        <v>1</v>
      </c>
      <c r="E169" t="s">
        <v>437</v>
      </c>
      <c r="F169" t="s">
        <v>438</v>
      </c>
      <c r="G169" s="1"/>
      <c r="H169" t="str">
        <f>"3250612369584"</f>
        <v>3250612369584</v>
      </c>
      <c r="J169" t="s">
        <v>475</v>
      </c>
    </row>
    <row r="170" spans="1:10" x14ac:dyDescent="0.25">
      <c r="A170" t="s">
        <v>8</v>
      </c>
      <c r="B170" t="s">
        <v>476</v>
      </c>
      <c r="C170" t="s">
        <v>477</v>
      </c>
      <c r="D170">
        <v>1</v>
      </c>
      <c r="E170" t="s">
        <v>437</v>
      </c>
      <c r="F170" t="s">
        <v>438</v>
      </c>
      <c r="G170" s="1"/>
      <c r="H170" t="str">
        <f>"3250612369492"</f>
        <v>3250612369492</v>
      </c>
      <c r="J170" t="s">
        <v>478</v>
      </c>
    </row>
    <row r="171" spans="1:10" x14ac:dyDescent="0.25">
      <c r="A171" t="s">
        <v>8</v>
      </c>
      <c r="B171" t="s">
        <v>479</v>
      </c>
      <c r="C171" t="s">
        <v>480</v>
      </c>
      <c r="D171">
        <v>1</v>
      </c>
      <c r="E171" t="s">
        <v>437</v>
      </c>
      <c r="F171" t="s">
        <v>438</v>
      </c>
      <c r="G171" s="1"/>
      <c r="H171" t="str">
        <f>"3250612369607"</f>
        <v>3250612369607</v>
      </c>
      <c r="J171" t="s">
        <v>481</v>
      </c>
    </row>
    <row r="172" spans="1:10" x14ac:dyDescent="0.25">
      <c r="A172" t="s">
        <v>8</v>
      </c>
      <c r="B172" t="s">
        <v>482</v>
      </c>
      <c r="C172" t="s">
        <v>483</v>
      </c>
      <c r="D172">
        <v>1</v>
      </c>
      <c r="E172" t="s">
        <v>437</v>
      </c>
      <c r="F172" t="s">
        <v>438</v>
      </c>
      <c r="G172" s="1"/>
      <c r="H172" t="str">
        <f>"3250612369270"</f>
        <v>3250612369270</v>
      </c>
      <c r="J172" t="s">
        <v>484</v>
      </c>
    </row>
    <row r="173" spans="1:10" x14ac:dyDescent="0.25">
      <c r="A173" t="s">
        <v>8</v>
      </c>
      <c r="B173" t="s">
        <v>485</v>
      </c>
      <c r="C173" t="s">
        <v>486</v>
      </c>
      <c r="D173">
        <v>1</v>
      </c>
      <c r="E173" t="s">
        <v>437</v>
      </c>
      <c r="F173" t="s">
        <v>438</v>
      </c>
      <c r="G173" s="1"/>
      <c r="H173" t="str">
        <f>"3250612360550"</f>
        <v>3250612360550</v>
      </c>
      <c r="J173" t="s">
        <v>487</v>
      </c>
    </row>
    <row r="174" spans="1:10" x14ac:dyDescent="0.25">
      <c r="A174" t="s">
        <v>8</v>
      </c>
      <c r="B174" t="s">
        <v>488</v>
      </c>
      <c r="C174" t="s">
        <v>489</v>
      </c>
      <c r="D174">
        <v>1</v>
      </c>
      <c r="E174" t="s">
        <v>437</v>
      </c>
      <c r="F174" t="s">
        <v>438</v>
      </c>
      <c r="G174" s="1"/>
      <c r="H174" t="str">
        <f>"3250612369614"</f>
        <v>3250612369614</v>
      </c>
      <c r="J174" s="1">
        <v>32</v>
      </c>
    </row>
    <row r="175" spans="1:10" x14ac:dyDescent="0.25">
      <c r="A175" t="s">
        <v>8</v>
      </c>
      <c r="B175" t="s">
        <v>490</v>
      </c>
      <c r="C175" t="s">
        <v>491</v>
      </c>
      <c r="D175">
        <v>1</v>
      </c>
      <c r="E175" t="s">
        <v>492</v>
      </c>
      <c r="F175" t="s">
        <v>493</v>
      </c>
      <c r="G175" s="1"/>
      <c r="H175" t="str">
        <f>"3250612398676"</f>
        <v>3250612398676</v>
      </c>
      <c r="J175" t="s">
        <v>494</v>
      </c>
    </row>
    <row r="176" spans="1:10" x14ac:dyDescent="0.25">
      <c r="A176" t="s">
        <v>8</v>
      </c>
      <c r="B176" t="s">
        <v>495</v>
      </c>
      <c r="C176" t="s">
        <v>496</v>
      </c>
      <c r="D176">
        <v>1</v>
      </c>
      <c r="E176" t="s">
        <v>492</v>
      </c>
      <c r="F176" t="s">
        <v>493</v>
      </c>
      <c r="G176" s="1"/>
      <c r="H176" t="str">
        <f>"3250612400676"</f>
        <v>3250612400676</v>
      </c>
      <c r="J176" t="s">
        <v>497</v>
      </c>
    </row>
    <row r="177" spans="1:10" x14ac:dyDescent="0.25">
      <c r="A177" t="s">
        <v>8</v>
      </c>
      <c r="B177" t="s">
        <v>498</v>
      </c>
      <c r="C177" t="s">
        <v>499</v>
      </c>
      <c r="D177">
        <v>1</v>
      </c>
      <c r="E177" t="s">
        <v>492</v>
      </c>
      <c r="F177" t="s">
        <v>493</v>
      </c>
      <c r="G177" s="1"/>
      <c r="H177" t="str">
        <f>"3250612400027"</f>
        <v>3250612400027</v>
      </c>
      <c r="J177" t="s">
        <v>500</v>
      </c>
    </row>
    <row r="178" spans="1:10" x14ac:dyDescent="0.25">
      <c r="A178" t="s">
        <v>8</v>
      </c>
      <c r="B178" t="s">
        <v>501</v>
      </c>
      <c r="C178" t="s">
        <v>502</v>
      </c>
      <c r="D178">
        <v>1</v>
      </c>
      <c r="E178" t="s">
        <v>492</v>
      </c>
      <c r="F178" t="s">
        <v>493</v>
      </c>
      <c r="G178" s="1"/>
      <c r="H178" t="str">
        <f>"3250612400720"</f>
        <v>3250612400720</v>
      </c>
      <c r="J178" t="s">
        <v>503</v>
      </c>
    </row>
    <row r="179" spans="1:10" x14ac:dyDescent="0.25">
      <c r="A179" t="s">
        <v>8</v>
      </c>
      <c r="B179" t="s">
        <v>504</v>
      </c>
      <c r="C179" t="s">
        <v>505</v>
      </c>
      <c r="D179">
        <v>1</v>
      </c>
      <c r="E179" t="s">
        <v>492</v>
      </c>
      <c r="F179" t="s">
        <v>493</v>
      </c>
      <c r="G179" s="1"/>
      <c r="H179" t="str">
        <f>"3250612400591"</f>
        <v>3250612400591</v>
      </c>
      <c r="J179" t="s">
        <v>506</v>
      </c>
    </row>
    <row r="180" spans="1:10" x14ac:dyDescent="0.25">
      <c r="A180" t="s">
        <v>8</v>
      </c>
      <c r="B180" t="s">
        <v>507</v>
      </c>
      <c r="C180" t="s">
        <v>508</v>
      </c>
      <c r="D180">
        <v>1</v>
      </c>
      <c r="E180" t="s">
        <v>492</v>
      </c>
      <c r="F180" t="s">
        <v>493</v>
      </c>
      <c r="G180" s="1"/>
      <c r="H180" t="str">
        <f>"3250612401895"</f>
        <v>3250612401895</v>
      </c>
      <c r="J180" t="s">
        <v>509</v>
      </c>
    </row>
    <row r="181" spans="1:10" x14ac:dyDescent="0.25">
      <c r="A181" t="s">
        <v>8</v>
      </c>
      <c r="B181" t="s">
        <v>510</v>
      </c>
      <c r="C181" t="s">
        <v>511</v>
      </c>
      <c r="D181">
        <v>1</v>
      </c>
      <c r="E181" t="s">
        <v>492</v>
      </c>
      <c r="F181" t="s">
        <v>493</v>
      </c>
      <c r="G181" s="1"/>
      <c r="H181" t="str">
        <f>"3250612400669"</f>
        <v>3250612400669</v>
      </c>
      <c r="J181" t="s">
        <v>512</v>
      </c>
    </row>
    <row r="182" spans="1:10" x14ac:dyDescent="0.25">
      <c r="A182" t="s">
        <v>8</v>
      </c>
      <c r="B182" t="s">
        <v>513</v>
      </c>
      <c r="C182" t="s">
        <v>514</v>
      </c>
      <c r="D182">
        <v>1</v>
      </c>
      <c r="E182" t="s">
        <v>492</v>
      </c>
      <c r="F182" t="s">
        <v>493</v>
      </c>
      <c r="G182" s="1"/>
      <c r="H182" t="str">
        <f>"3250612400034"</f>
        <v>3250612400034</v>
      </c>
      <c r="J182" t="s">
        <v>515</v>
      </c>
    </row>
    <row r="183" spans="1:10" x14ac:dyDescent="0.25">
      <c r="A183" t="s">
        <v>8</v>
      </c>
      <c r="B183" t="s">
        <v>516</v>
      </c>
      <c r="C183" t="s">
        <v>517</v>
      </c>
      <c r="D183">
        <v>1</v>
      </c>
      <c r="E183" t="s">
        <v>492</v>
      </c>
      <c r="F183" t="s">
        <v>493</v>
      </c>
      <c r="G183" s="1"/>
      <c r="H183" t="str">
        <f>"3250612400713"</f>
        <v>3250612400713</v>
      </c>
      <c r="J183" t="s">
        <v>518</v>
      </c>
    </row>
    <row r="184" spans="1:10" x14ac:dyDescent="0.25">
      <c r="A184" t="s">
        <v>8</v>
      </c>
      <c r="B184" t="s">
        <v>519</v>
      </c>
      <c r="C184" t="s">
        <v>520</v>
      </c>
      <c r="D184">
        <v>1</v>
      </c>
      <c r="E184" t="s">
        <v>492</v>
      </c>
      <c r="F184" t="s">
        <v>493</v>
      </c>
      <c r="G184" s="1"/>
      <c r="H184" t="str">
        <f>"3250612400621"</f>
        <v>3250612400621</v>
      </c>
      <c r="J184" t="s">
        <v>521</v>
      </c>
    </row>
    <row r="185" spans="1:10" x14ac:dyDescent="0.25">
      <c r="A185" t="s">
        <v>8</v>
      </c>
      <c r="B185" t="s">
        <v>522</v>
      </c>
      <c r="C185" t="s">
        <v>523</v>
      </c>
      <c r="D185">
        <v>1</v>
      </c>
      <c r="E185" t="s">
        <v>492</v>
      </c>
      <c r="F185" t="s">
        <v>493</v>
      </c>
      <c r="G185" s="1"/>
      <c r="H185" t="str">
        <f>"3250612400683"</f>
        <v>3250612400683</v>
      </c>
      <c r="J185" t="s">
        <v>524</v>
      </c>
    </row>
    <row r="186" spans="1:10" x14ac:dyDescent="0.25">
      <c r="A186" t="s">
        <v>8</v>
      </c>
      <c r="B186" t="s">
        <v>525</v>
      </c>
      <c r="C186" t="s">
        <v>526</v>
      </c>
      <c r="D186">
        <v>1</v>
      </c>
      <c r="E186" t="s">
        <v>492</v>
      </c>
      <c r="F186" t="s">
        <v>493</v>
      </c>
      <c r="G186" s="1"/>
      <c r="H186" t="str">
        <f>"3250612400737"</f>
        <v>3250612400737</v>
      </c>
      <c r="J186" t="s">
        <v>527</v>
      </c>
    </row>
    <row r="187" spans="1:10" x14ac:dyDescent="0.25">
      <c r="A187" t="s">
        <v>8</v>
      </c>
      <c r="B187" t="s">
        <v>528</v>
      </c>
      <c r="C187" t="s">
        <v>529</v>
      </c>
      <c r="D187">
        <v>1</v>
      </c>
      <c r="E187" t="s">
        <v>492</v>
      </c>
      <c r="F187" t="s">
        <v>493</v>
      </c>
      <c r="G187" s="1"/>
      <c r="H187" t="str">
        <f>"3250612230778"</f>
        <v>3250612230778</v>
      </c>
      <c r="J187" t="s">
        <v>530</v>
      </c>
    </row>
    <row r="188" spans="1:10" x14ac:dyDescent="0.25">
      <c r="A188" t="s">
        <v>8</v>
      </c>
      <c r="B188" t="s">
        <v>531</v>
      </c>
      <c r="C188" t="s">
        <v>532</v>
      </c>
      <c r="D188">
        <v>1</v>
      </c>
      <c r="E188" t="s">
        <v>492</v>
      </c>
      <c r="F188" t="s">
        <v>493</v>
      </c>
      <c r="G188" s="1"/>
      <c r="H188" t="str">
        <f>"3250612400003"</f>
        <v>3250612400003</v>
      </c>
      <c r="J188" t="s">
        <v>533</v>
      </c>
    </row>
    <row r="189" spans="1:10" x14ac:dyDescent="0.25">
      <c r="A189" t="s">
        <v>8</v>
      </c>
      <c r="B189" t="s">
        <v>534</v>
      </c>
      <c r="C189" t="s">
        <v>535</v>
      </c>
      <c r="D189">
        <v>1</v>
      </c>
      <c r="E189" t="s">
        <v>536</v>
      </c>
      <c r="F189" t="s">
        <v>537</v>
      </c>
      <c r="G189" s="1"/>
      <c r="H189" t="str">
        <f>"3250612530113"</f>
        <v>3250612530113</v>
      </c>
      <c r="J189" t="s">
        <v>538</v>
      </c>
    </row>
    <row r="190" spans="1:10" x14ac:dyDescent="0.25">
      <c r="A190" t="s">
        <v>8</v>
      </c>
      <c r="B190" t="s">
        <v>539</v>
      </c>
      <c r="C190" t="s">
        <v>540</v>
      </c>
      <c r="D190">
        <v>1</v>
      </c>
      <c r="E190" t="s">
        <v>536</v>
      </c>
      <c r="F190" t="s">
        <v>537</v>
      </c>
      <c r="G190" s="1"/>
      <c r="H190" t="str">
        <f>"3250612531196"</f>
        <v>3250612531196</v>
      </c>
      <c r="J190" t="s">
        <v>541</v>
      </c>
    </row>
    <row r="191" spans="1:10" x14ac:dyDescent="0.25">
      <c r="A191" t="s">
        <v>8</v>
      </c>
      <c r="B191" t="s">
        <v>542</v>
      </c>
      <c r="C191" t="s">
        <v>543</v>
      </c>
      <c r="D191">
        <v>1</v>
      </c>
      <c r="E191" t="s">
        <v>536</v>
      </c>
      <c r="F191" t="s">
        <v>537</v>
      </c>
      <c r="G191" s="1"/>
      <c r="H191" t="str">
        <f>"3250612534166"</f>
        <v>3250612534166</v>
      </c>
      <c r="J191" t="s">
        <v>544</v>
      </c>
    </row>
    <row r="192" spans="1:10" x14ac:dyDescent="0.25">
      <c r="A192" t="s">
        <v>8</v>
      </c>
      <c r="B192" t="s">
        <v>545</v>
      </c>
      <c r="C192" t="s">
        <v>546</v>
      </c>
      <c r="D192">
        <v>1</v>
      </c>
      <c r="E192" t="s">
        <v>536</v>
      </c>
      <c r="F192" t="s">
        <v>537</v>
      </c>
      <c r="G192" s="1"/>
      <c r="H192" t="str">
        <f>"3250612534463"</f>
        <v>3250612534463</v>
      </c>
      <c r="J192" t="s">
        <v>547</v>
      </c>
    </row>
    <row r="193" spans="1:10" x14ac:dyDescent="0.25">
      <c r="A193" t="s">
        <v>8</v>
      </c>
      <c r="B193" t="s">
        <v>548</v>
      </c>
      <c r="C193" t="s">
        <v>549</v>
      </c>
      <c r="D193">
        <v>1</v>
      </c>
      <c r="E193" t="s">
        <v>536</v>
      </c>
      <c r="F193" t="s">
        <v>537</v>
      </c>
      <c r="G193" s="1"/>
      <c r="H193" t="str">
        <f>"3250612632015"</f>
        <v>3250612632015</v>
      </c>
      <c r="J193" t="s">
        <v>550</v>
      </c>
    </row>
    <row r="194" spans="1:10" x14ac:dyDescent="0.25">
      <c r="A194" t="s">
        <v>8</v>
      </c>
      <c r="B194" t="s">
        <v>551</v>
      </c>
      <c r="C194" t="s">
        <v>552</v>
      </c>
      <c r="D194">
        <v>1</v>
      </c>
      <c r="E194" t="s">
        <v>536</v>
      </c>
      <c r="F194" t="s">
        <v>537</v>
      </c>
      <c r="G194" s="1"/>
      <c r="H194" t="str">
        <f>"3250612632077"</f>
        <v>3250612632077</v>
      </c>
      <c r="J194" t="s">
        <v>553</v>
      </c>
    </row>
    <row r="195" spans="1:10" x14ac:dyDescent="0.25">
      <c r="A195" t="s">
        <v>8</v>
      </c>
      <c r="B195" t="s">
        <v>554</v>
      </c>
      <c r="C195" t="s">
        <v>555</v>
      </c>
      <c r="D195">
        <v>1</v>
      </c>
      <c r="E195" t="s">
        <v>536</v>
      </c>
      <c r="F195" t="s">
        <v>537</v>
      </c>
      <c r="G195" s="1"/>
      <c r="H195" t="str">
        <f>"3250612530106"</f>
        <v>3250612530106</v>
      </c>
      <c r="J195" t="s">
        <v>556</v>
      </c>
    </row>
    <row r="196" spans="1:10" x14ac:dyDescent="0.25">
      <c r="A196" t="s">
        <v>8</v>
      </c>
      <c r="B196" t="s">
        <v>557</v>
      </c>
      <c r="C196" t="s">
        <v>558</v>
      </c>
      <c r="D196">
        <v>1</v>
      </c>
      <c r="E196" t="s">
        <v>536</v>
      </c>
      <c r="F196" t="s">
        <v>537</v>
      </c>
      <c r="G196" s="1"/>
      <c r="H196" t="str">
        <f>"3250612531189"</f>
        <v>3250612531189</v>
      </c>
      <c r="J196" t="s">
        <v>559</v>
      </c>
    </row>
    <row r="197" spans="1:10" x14ac:dyDescent="0.25">
      <c r="A197" t="s">
        <v>8</v>
      </c>
      <c r="B197" t="s">
        <v>560</v>
      </c>
      <c r="C197" t="s">
        <v>561</v>
      </c>
      <c r="D197">
        <v>1</v>
      </c>
      <c r="E197" t="s">
        <v>536</v>
      </c>
      <c r="F197" t="s">
        <v>537</v>
      </c>
      <c r="G197" s="1"/>
      <c r="H197" t="str">
        <f>"3250612532193"</f>
        <v>3250612532193</v>
      </c>
      <c r="I197" s="1"/>
      <c r="J197" t="s">
        <v>562</v>
      </c>
    </row>
    <row r="198" spans="1:10" x14ac:dyDescent="0.25">
      <c r="A198" t="s">
        <v>8</v>
      </c>
      <c r="B198" t="s">
        <v>563</v>
      </c>
      <c r="C198" t="s">
        <v>564</v>
      </c>
      <c r="D198">
        <v>1</v>
      </c>
      <c r="E198" t="s">
        <v>536</v>
      </c>
      <c r="F198" t="s">
        <v>537</v>
      </c>
      <c r="G198" s="1"/>
      <c r="H198" t="str">
        <f>"3250612534159"</f>
        <v>3250612534159</v>
      </c>
      <c r="J198" t="s">
        <v>565</v>
      </c>
    </row>
    <row r="199" spans="1:10" x14ac:dyDescent="0.25">
      <c r="A199" t="s">
        <v>8</v>
      </c>
      <c r="B199" t="s">
        <v>566</v>
      </c>
      <c r="C199" t="s">
        <v>567</v>
      </c>
      <c r="D199">
        <v>1</v>
      </c>
      <c r="E199" t="s">
        <v>536</v>
      </c>
      <c r="F199" t="s">
        <v>537</v>
      </c>
      <c r="G199" s="1"/>
      <c r="H199" t="str">
        <f>"3250612534456"</f>
        <v>3250612534456</v>
      </c>
      <c r="J199" t="s">
        <v>568</v>
      </c>
    </row>
    <row r="200" spans="1:10" x14ac:dyDescent="0.25">
      <c r="A200" t="s">
        <v>8</v>
      </c>
      <c r="B200" t="s">
        <v>569</v>
      </c>
      <c r="C200" t="s">
        <v>570</v>
      </c>
      <c r="D200">
        <v>1</v>
      </c>
      <c r="E200" t="s">
        <v>536</v>
      </c>
      <c r="F200" t="s">
        <v>537</v>
      </c>
      <c r="G200" s="1"/>
      <c r="H200" t="str">
        <f>"3250612632008"</f>
        <v>3250612632008</v>
      </c>
      <c r="J200" t="s">
        <v>571</v>
      </c>
    </row>
    <row r="201" spans="1:10" x14ac:dyDescent="0.25">
      <c r="A201" t="s">
        <v>8</v>
      </c>
      <c r="B201" t="s">
        <v>572</v>
      </c>
      <c r="C201" t="s">
        <v>573</v>
      </c>
      <c r="D201">
        <v>1</v>
      </c>
      <c r="E201" t="s">
        <v>536</v>
      </c>
      <c r="F201" t="s">
        <v>537</v>
      </c>
      <c r="G201" s="1"/>
      <c r="H201" t="str">
        <f>"3250612531288"</f>
        <v>3250612531288</v>
      </c>
      <c r="J201" t="s">
        <v>574</v>
      </c>
    </row>
    <row r="202" spans="1:10" x14ac:dyDescent="0.25">
      <c r="A202" t="s">
        <v>8</v>
      </c>
      <c r="B202" t="s">
        <v>575</v>
      </c>
      <c r="C202" t="s">
        <v>576</v>
      </c>
      <c r="D202">
        <v>1</v>
      </c>
      <c r="E202" t="s">
        <v>536</v>
      </c>
      <c r="F202" t="s">
        <v>537</v>
      </c>
      <c r="G202" s="1"/>
      <c r="H202" t="str">
        <f>"3250612532124"</f>
        <v>3250612532124</v>
      </c>
      <c r="J202" t="s">
        <v>577</v>
      </c>
    </row>
    <row r="203" spans="1:10" x14ac:dyDescent="0.25">
      <c r="A203" t="s">
        <v>8</v>
      </c>
      <c r="B203" t="s">
        <v>578</v>
      </c>
      <c r="C203" t="s">
        <v>579</v>
      </c>
      <c r="D203">
        <v>1</v>
      </c>
      <c r="E203" t="s">
        <v>536</v>
      </c>
      <c r="F203" t="s">
        <v>537</v>
      </c>
      <c r="G203" s="1"/>
      <c r="H203" t="str">
        <f>"3250612532186"</f>
        <v>3250612532186</v>
      </c>
      <c r="J203" t="s">
        <v>580</v>
      </c>
    </row>
    <row r="204" spans="1:10" x14ac:dyDescent="0.25">
      <c r="A204" t="s">
        <v>8</v>
      </c>
      <c r="B204" t="s">
        <v>581</v>
      </c>
      <c r="C204" t="s">
        <v>582</v>
      </c>
      <c r="D204">
        <v>1</v>
      </c>
      <c r="E204" t="s">
        <v>536</v>
      </c>
      <c r="F204" t="s">
        <v>537</v>
      </c>
      <c r="G204" s="1"/>
      <c r="H204" t="str">
        <f>"3250612631094"</f>
        <v>3250612631094</v>
      </c>
      <c r="J204" t="s">
        <v>583</v>
      </c>
    </row>
    <row r="205" spans="1:10" x14ac:dyDescent="0.25">
      <c r="A205" t="s">
        <v>8</v>
      </c>
      <c r="B205" t="s">
        <v>584</v>
      </c>
      <c r="C205" t="s">
        <v>585</v>
      </c>
      <c r="D205">
        <v>1</v>
      </c>
      <c r="E205" t="s">
        <v>536</v>
      </c>
      <c r="F205" t="s">
        <v>537</v>
      </c>
      <c r="G205" s="1"/>
      <c r="H205" t="str">
        <f>"3250612531103"</f>
        <v>3250612531103</v>
      </c>
      <c r="J205" t="s">
        <v>586</v>
      </c>
    </row>
    <row r="206" spans="1:10" x14ac:dyDescent="0.25">
      <c r="A206" t="s">
        <v>8</v>
      </c>
      <c r="B206" t="s">
        <v>587</v>
      </c>
      <c r="C206" t="s">
        <v>588</v>
      </c>
      <c r="D206">
        <v>1</v>
      </c>
      <c r="E206" t="s">
        <v>536</v>
      </c>
      <c r="F206" t="s">
        <v>537</v>
      </c>
      <c r="G206" s="1"/>
      <c r="H206" t="str">
        <f>"3250612531158"</f>
        <v>3250612531158</v>
      </c>
      <c r="J206" t="s">
        <v>589</v>
      </c>
    </row>
    <row r="207" spans="1:10" x14ac:dyDescent="0.25">
      <c r="A207" t="s">
        <v>8</v>
      </c>
      <c r="B207" t="s">
        <v>590</v>
      </c>
      <c r="C207" t="s">
        <v>591</v>
      </c>
      <c r="D207">
        <v>1</v>
      </c>
      <c r="E207" t="s">
        <v>536</v>
      </c>
      <c r="F207" t="s">
        <v>537</v>
      </c>
      <c r="G207" s="1"/>
      <c r="H207" t="str">
        <f>"3250612532117"</f>
        <v>3250612532117</v>
      </c>
      <c r="J207" t="s">
        <v>592</v>
      </c>
    </row>
    <row r="208" spans="1:10" x14ac:dyDescent="0.25">
      <c r="A208" t="s">
        <v>8</v>
      </c>
      <c r="B208" t="s">
        <v>593</v>
      </c>
      <c r="C208" t="s">
        <v>594</v>
      </c>
      <c r="D208">
        <v>1</v>
      </c>
      <c r="E208" t="s">
        <v>536</v>
      </c>
      <c r="F208" t="s">
        <v>537</v>
      </c>
      <c r="G208" s="1"/>
      <c r="H208" t="str">
        <f>"3250612633098"</f>
        <v>3250612633098</v>
      </c>
      <c r="J208" t="s">
        <v>595</v>
      </c>
    </row>
    <row r="209" spans="1:10" x14ac:dyDescent="0.25">
      <c r="A209" t="s">
        <v>8</v>
      </c>
      <c r="B209" t="s">
        <v>596</v>
      </c>
      <c r="C209" t="s">
        <v>597</v>
      </c>
      <c r="D209">
        <v>1</v>
      </c>
      <c r="E209" t="s">
        <v>536</v>
      </c>
      <c r="F209" t="s">
        <v>537</v>
      </c>
      <c r="G209" s="1"/>
      <c r="H209" t="str">
        <f>"3250612530168"</f>
        <v>3250612530168</v>
      </c>
      <c r="J209" t="s">
        <v>598</v>
      </c>
    </row>
    <row r="210" spans="1:10" x14ac:dyDescent="0.25">
      <c r="A210" t="s">
        <v>8</v>
      </c>
      <c r="B210" t="s">
        <v>599</v>
      </c>
      <c r="C210" t="s">
        <v>600</v>
      </c>
      <c r="D210">
        <v>1</v>
      </c>
      <c r="E210" t="s">
        <v>536</v>
      </c>
      <c r="F210" t="s">
        <v>537</v>
      </c>
      <c r="G210" s="1"/>
      <c r="H210" t="str">
        <f>"3250612532100"</f>
        <v>3250612532100</v>
      </c>
      <c r="J210" t="s">
        <v>601</v>
      </c>
    </row>
    <row r="211" spans="1:10" x14ac:dyDescent="0.25">
      <c r="A211" t="s">
        <v>8</v>
      </c>
      <c r="B211" t="s">
        <v>602</v>
      </c>
      <c r="C211" t="s">
        <v>603</v>
      </c>
      <c r="D211">
        <v>1</v>
      </c>
      <c r="E211" t="s">
        <v>536</v>
      </c>
      <c r="F211" t="s">
        <v>537</v>
      </c>
      <c r="G211" s="1"/>
      <c r="H211" t="str">
        <f>"3250612632060"</f>
        <v>3250612632060</v>
      </c>
      <c r="J211" t="s">
        <v>604</v>
      </c>
    </row>
    <row r="212" spans="1:10" x14ac:dyDescent="0.25">
      <c r="A212" t="s">
        <v>8</v>
      </c>
      <c r="B212" t="s">
        <v>605</v>
      </c>
      <c r="C212" t="s">
        <v>606</v>
      </c>
      <c r="D212">
        <v>1</v>
      </c>
      <c r="E212" t="s">
        <v>536</v>
      </c>
      <c r="F212" t="s">
        <v>537</v>
      </c>
      <c r="G212" s="1"/>
      <c r="H212" t="str">
        <f>"3250612633081"</f>
        <v>3250612633081</v>
      </c>
      <c r="J212" t="s">
        <v>607</v>
      </c>
    </row>
    <row r="213" spans="1:10" x14ac:dyDescent="0.25">
      <c r="A213" t="s">
        <v>8</v>
      </c>
      <c r="B213" t="s">
        <v>608</v>
      </c>
      <c r="C213" t="s">
        <v>609</v>
      </c>
      <c r="D213">
        <v>1</v>
      </c>
      <c r="E213" t="s">
        <v>536</v>
      </c>
      <c r="F213" t="s">
        <v>537</v>
      </c>
      <c r="G213" s="1"/>
      <c r="H213" t="str">
        <f>"3250612530151"</f>
        <v>3250612530151</v>
      </c>
      <c r="J213" t="s">
        <v>610</v>
      </c>
    </row>
    <row r="214" spans="1:10" x14ac:dyDescent="0.25">
      <c r="A214" t="s">
        <v>8</v>
      </c>
      <c r="B214" t="s">
        <v>611</v>
      </c>
      <c r="C214" t="s">
        <v>612</v>
      </c>
      <c r="D214">
        <v>1</v>
      </c>
      <c r="E214" t="s">
        <v>536</v>
      </c>
      <c r="F214" t="s">
        <v>537</v>
      </c>
      <c r="G214" s="1"/>
      <c r="H214" t="str">
        <f>"3250612632053"</f>
        <v>3250612632053</v>
      </c>
      <c r="J214" t="s">
        <v>613</v>
      </c>
    </row>
    <row r="215" spans="1:10" x14ac:dyDescent="0.25">
      <c r="A215" t="s">
        <v>8</v>
      </c>
      <c r="B215" t="s">
        <v>614</v>
      </c>
      <c r="C215" t="s">
        <v>615</v>
      </c>
      <c r="D215">
        <v>1</v>
      </c>
      <c r="E215" t="s">
        <v>536</v>
      </c>
      <c r="F215" t="s">
        <v>537</v>
      </c>
      <c r="G215" s="1"/>
      <c r="H215" t="str">
        <f>"3250612530144"</f>
        <v>3250612530144</v>
      </c>
      <c r="J215" t="s">
        <v>616</v>
      </c>
    </row>
    <row r="216" spans="1:10" x14ac:dyDescent="0.25">
      <c r="A216" t="s">
        <v>8</v>
      </c>
      <c r="B216" t="s">
        <v>617</v>
      </c>
      <c r="C216" t="s">
        <v>618</v>
      </c>
      <c r="D216">
        <v>1</v>
      </c>
      <c r="E216" t="s">
        <v>536</v>
      </c>
      <c r="F216" t="s">
        <v>537</v>
      </c>
      <c r="G216" s="1"/>
      <c r="H216" t="str">
        <f>"3250612532162"</f>
        <v>3250612532162</v>
      </c>
      <c r="J216" t="s">
        <v>619</v>
      </c>
    </row>
    <row r="217" spans="1:10" x14ac:dyDescent="0.25">
      <c r="A217" t="s">
        <v>8</v>
      </c>
      <c r="B217" t="s">
        <v>620</v>
      </c>
      <c r="C217" t="s">
        <v>621</v>
      </c>
      <c r="D217">
        <v>1</v>
      </c>
      <c r="E217" t="s">
        <v>536</v>
      </c>
      <c r="F217" t="s">
        <v>537</v>
      </c>
      <c r="G217" s="1"/>
      <c r="H217" t="str">
        <f>"3250612534265"</f>
        <v>3250612534265</v>
      </c>
      <c r="J217" t="s">
        <v>622</v>
      </c>
    </row>
    <row r="218" spans="1:10" x14ac:dyDescent="0.25">
      <c r="A218" t="s">
        <v>8</v>
      </c>
      <c r="B218" t="s">
        <v>623</v>
      </c>
      <c r="C218" t="s">
        <v>624</v>
      </c>
      <c r="D218">
        <v>1</v>
      </c>
      <c r="E218" t="s">
        <v>536</v>
      </c>
      <c r="F218" t="s">
        <v>537</v>
      </c>
      <c r="G218" s="1"/>
      <c r="H218" t="str">
        <f>"3250612631087"</f>
        <v>3250612631087</v>
      </c>
      <c r="J218" t="s">
        <v>625</v>
      </c>
    </row>
    <row r="219" spans="1:10" x14ac:dyDescent="0.25">
      <c r="A219" t="s">
        <v>8</v>
      </c>
      <c r="B219" t="s">
        <v>626</v>
      </c>
      <c r="C219" t="s">
        <v>627</v>
      </c>
      <c r="D219">
        <v>1</v>
      </c>
      <c r="E219" t="s">
        <v>536</v>
      </c>
      <c r="F219" t="s">
        <v>537</v>
      </c>
      <c r="G219" s="1"/>
      <c r="H219" t="str">
        <f>"3250612632046"</f>
        <v>3250612632046</v>
      </c>
      <c r="J219" t="s">
        <v>628</v>
      </c>
    </row>
    <row r="220" spans="1:10" x14ac:dyDescent="0.25">
      <c r="A220" t="s">
        <v>8</v>
      </c>
      <c r="B220" t="s">
        <v>629</v>
      </c>
      <c r="C220" t="s">
        <v>630</v>
      </c>
      <c r="D220">
        <v>1</v>
      </c>
      <c r="E220" t="s">
        <v>536</v>
      </c>
      <c r="F220" t="s">
        <v>537</v>
      </c>
      <c r="G220" s="1"/>
      <c r="H220" t="str">
        <f>"3250612531141"</f>
        <v>3250612531141</v>
      </c>
      <c r="J220" t="s">
        <v>631</v>
      </c>
    </row>
    <row r="221" spans="1:10" x14ac:dyDescent="0.25">
      <c r="A221" t="s">
        <v>8</v>
      </c>
      <c r="B221" t="s">
        <v>632</v>
      </c>
      <c r="C221" t="s">
        <v>633</v>
      </c>
      <c r="D221">
        <v>1</v>
      </c>
      <c r="E221" t="s">
        <v>536</v>
      </c>
      <c r="F221" t="s">
        <v>537</v>
      </c>
      <c r="G221" s="1"/>
      <c r="H221" t="str">
        <f>"3250612532179"</f>
        <v>3250612532179</v>
      </c>
      <c r="J221" t="s">
        <v>634</v>
      </c>
    </row>
    <row r="222" spans="1:10" x14ac:dyDescent="0.25">
      <c r="A222" t="s">
        <v>8</v>
      </c>
      <c r="B222" t="s">
        <v>635</v>
      </c>
      <c r="C222" t="s">
        <v>636</v>
      </c>
      <c r="D222">
        <v>1</v>
      </c>
      <c r="E222" t="s">
        <v>536</v>
      </c>
      <c r="F222" t="s">
        <v>537</v>
      </c>
      <c r="G222" s="1"/>
      <c r="H222" t="str">
        <f>"3250612534258"</f>
        <v>3250612534258</v>
      </c>
      <c r="J222" t="s">
        <v>637</v>
      </c>
    </row>
    <row r="223" spans="1:10" x14ac:dyDescent="0.25">
      <c r="A223" t="s">
        <v>8</v>
      </c>
      <c r="B223" t="s">
        <v>638</v>
      </c>
      <c r="C223" t="s">
        <v>639</v>
      </c>
      <c r="D223">
        <v>1</v>
      </c>
      <c r="E223" t="s">
        <v>536</v>
      </c>
      <c r="F223" t="s">
        <v>537</v>
      </c>
      <c r="G223" s="1"/>
      <c r="H223" t="str">
        <f>"3250612631070"</f>
        <v>3250612631070</v>
      </c>
      <c r="J223" t="s">
        <v>640</v>
      </c>
    </row>
    <row r="224" spans="1:10" x14ac:dyDescent="0.25">
      <c r="A224" t="s">
        <v>8</v>
      </c>
      <c r="B224" t="s">
        <v>641</v>
      </c>
      <c r="C224" t="s">
        <v>642</v>
      </c>
      <c r="D224">
        <v>1</v>
      </c>
      <c r="E224" t="s">
        <v>536</v>
      </c>
      <c r="F224" t="s">
        <v>537</v>
      </c>
      <c r="G224" s="1"/>
      <c r="H224" t="str">
        <f>"3250612632039"</f>
        <v>3250612632039</v>
      </c>
      <c r="J224" t="s">
        <v>643</v>
      </c>
    </row>
    <row r="225" spans="1:10" x14ac:dyDescent="0.25">
      <c r="A225" t="s">
        <v>8</v>
      </c>
      <c r="B225" t="s">
        <v>644</v>
      </c>
      <c r="C225" t="s">
        <v>645</v>
      </c>
      <c r="D225">
        <v>1</v>
      </c>
      <c r="E225" t="s">
        <v>536</v>
      </c>
      <c r="F225" t="s">
        <v>537</v>
      </c>
      <c r="G225" s="1"/>
      <c r="H225" t="str">
        <f>"3250612531134"</f>
        <v>3250612531134</v>
      </c>
      <c r="J225" t="s">
        <v>646</v>
      </c>
    </row>
    <row r="226" spans="1:10" x14ac:dyDescent="0.25">
      <c r="A226" t="s">
        <v>8</v>
      </c>
      <c r="B226" t="s">
        <v>647</v>
      </c>
      <c r="C226" t="s">
        <v>648</v>
      </c>
      <c r="D226">
        <v>1</v>
      </c>
      <c r="E226" t="s">
        <v>536</v>
      </c>
      <c r="F226" t="s">
        <v>537</v>
      </c>
      <c r="G226" s="1"/>
      <c r="H226" t="str">
        <f>"3250612532148"</f>
        <v>3250612532148</v>
      </c>
      <c r="J226" t="s">
        <v>649</v>
      </c>
    </row>
    <row r="227" spans="1:10" x14ac:dyDescent="0.25">
      <c r="A227" t="s">
        <v>8</v>
      </c>
      <c r="B227" t="s">
        <v>650</v>
      </c>
      <c r="C227" t="s">
        <v>651</v>
      </c>
      <c r="D227">
        <v>1</v>
      </c>
      <c r="E227" t="s">
        <v>536</v>
      </c>
      <c r="F227" t="s">
        <v>537</v>
      </c>
      <c r="G227" s="1"/>
      <c r="H227" t="str">
        <f>"3250612633074"</f>
        <v>3250612633074</v>
      </c>
      <c r="J227" t="s">
        <v>652</v>
      </c>
    </row>
    <row r="228" spans="1:10" x14ac:dyDescent="0.25">
      <c r="A228" t="s">
        <v>8</v>
      </c>
      <c r="B228" t="s">
        <v>653</v>
      </c>
      <c r="C228" t="s">
        <v>654</v>
      </c>
      <c r="D228">
        <v>1</v>
      </c>
      <c r="E228" t="s">
        <v>536</v>
      </c>
      <c r="F228" t="s">
        <v>537</v>
      </c>
      <c r="G228" s="1"/>
      <c r="H228" t="str">
        <f>"3250612530137"</f>
        <v>3250612530137</v>
      </c>
      <c r="J228" t="s">
        <v>655</v>
      </c>
    </row>
    <row r="229" spans="1:10" x14ac:dyDescent="0.25">
      <c r="A229" t="s">
        <v>8</v>
      </c>
      <c r="B229" t="s">
        <v>656</v>
      </c>
      <c r="C229" t="s">
        <v>657</v>
      </c>
      <c r="D229">
        <v>1</v>
      </c>
      <c r="E229" t="s">
        <v>536</v>
      </c>
      <c r="F229" t="s">
        <v>537</v>
      </c>
      <c r="G229" s="1"/>
      <c r="H229" t="str">
        <f>"3250612531127"</f>
        <v>3250612531127</v>
      </c>
      <c r="J229" t="s">
        <v>658</v>
      </c>
    </row>
    <row r="230" spans="1:10" x14ac:dyDescent="0.25">
      <c r="A230" t="s">
        <v>8</v>
      </c>
      <c r="B230" t="s">
        <v>659</v>
      </c>
      <c r="C230" t="s">
        <v>660</v>
      </c>
      <c r="D230">
        <v>1</v>
      </c>
      <c r="E230" t="s">
        <v>536</v>
      </c>
      <c r="F230" t="s">
        <v>537</v>
      </c>
      <c r="G230" s="1"/>
      <c r="H230" t="str">
        <f>"3250612532131"</f>
        <v>3250612532131</v>
      </c>
      <c r="J230" t="s">
        <v>661</v>
      </c>
    </row>
    <row r="231" spans="1:10" x14ac:dyDescent="0.25">
      <c r="A231" t="s">
        <v>8</v>
      </c>
      <c r="B231" t="s">
        <v>662</v>
      </c>
      <c r="C231" t="s">
        <v>663</v>
      </c>
      <c r="D231">
        <v>1</v>
      </c>
      <c r="E231" t="s">
        <v>536</v>
      </c>
      <c r="F231" t="s">
        <v>537</v>
      </c>
      <c r="G231" s="1"/>
      <c r="H231" t="str">
        <f>"3250612534562"</f>
        <v>3250612534562</v>
      </c>
      <c r="J231" t="s">
        <v>664</v>
      </c>
    </row>
    <row r="232" spans="1:10" x14ac:dyDescent="0.25">
      <c r="A232" t="s">
        <v>8</v>
      </c>
      <c r="B232" t="s">
        <v>665</v>
      </c>
      <c r="C232" t="s">
        <v>666</v>
      </c>
      <c r="D232">
        <v>1</v>
      </c>
      <c r="E232" t="s">
        <v>536</v>
      </c>
      <c r="F232" t="s">
        <v>537</v>
      </c>
      <c r="G232" s="1"/>
      <c r="H232" t="str">
        <f>"3250612632091"</f>
        <v>3250612632091</v>
      </c>
      <c r="J232" t="s">
        <v>667</v>
      </c>
    </row>
    <row r="233" spans="1:10" x14ac:dyDescent="0.25">
      <c r="A233" t="s">
        <v>8</v>
      </c>
      <c r="B233" t="s">
        <v>668</v>
      </c>
      <c r="C233" t="s">
        <v>669</v>
      </c>
      <c r="D233">
        <v>1</v>
      </c>
      <c r="E233" t="s">
        <v>536</v>
      </c>
      <c r="F233" t="s">
        <v>537</v>
      </c>
      <c r="G233" s="1"/>
      <c r="H233" t="str">
        <f>"3250612530120"</f>
        <v>3250612530120</v>
      </c>
      <c r="J233" t="s">
        <v>670</v>
      </c>
    </row>
    <row r="234" spans="1:10" x14ac:dyDescent="0.25">
      <c r="A234" t="s">
        <v>8</v>
      </c>
      <c r="B234" t="s">
        <v>671</v>
      </c>
      <c r="C234" t="s">
        <v>672</v>
      </c>
      <c r="D234">
        <v>1</v>
      </c>
      <c r="E234" t="s">
        <v>536</v>
      </c>
      <c r="F234" t="s">
        <v>537</v>
      </c>
      <c r="G234" s="1"/>
      <c r="H234" t="str">
        <f>"3250612531110"</f>
        <v>3250612531110</v>
      </c>
      <c r="J234" t="s">
        <v>673</v>
      </c>
    </row>
    <row r="235" spans="1:10" x14ac:dyDescent="0.25">
      <c r="A235" t="s">
        <v>8</v>
      </c>
      <c r="B235" t="s">
        <v>674</v>
      </c>
      <c r="C235" t="s">
        <v>675</v>
      </c>
      <c r="D235">
        <v>1</v>
      </c>
      <c r="E235" t="s">
        <v>536</v>
      </c>
      <c r="F235" t="s">
        <v>537</v>
      </c>
      <c r="G235" s="1"/>
      <c r="H235" t="str">
        <f>"3250612534555"</f>
        <v>3250612534555</v>
      </c>
      <c r="J235" t="s">
        <v>676</v>
      </c>
    </row>
    <row r="236" spans="1:10" x14ac:dyDescent="0.25">
      <c r="A236" t="s">
        <v>8</v>
      </c>
      <c r="B236" t="s">
        <v>677</v>
      </c>
      <c r="C236" t="s">
        <v>678</v>
      </c>
      <c r="D236">
        <v>1</v>
      </c>
      <c r="E236" t="s">
        <v>536</v>
      </c>
      <c r="F236" t="s">
        <v>537</v>
      </c>
      <c r="G236" s="1"/>
      <c r="H236" t="str">
        <f>"3250612632022"</f>
        <v>3250612632022</v>
      </c>
      <c r="J236" t="s">
        <v>679</v>
      </c>
    </row>
    <row r="237" spans="1:10" x14ac:dyDescent="0.25">
      <c r="A237" t="s">
        <v>8</v>
      </c>
      <c r="B237" t="s">
        <v>680</v>
      </c>
      <c r="C237" t="s">
        <v>681</v>
      </c>
      <c r="D237">
        <v>1</v>
      </c>
      <c r="E237" t="s">
        <v>536</v>
      </c>
      <c r="F237" t="s">
        <v>537</v>
      </c>
      <c r="G237" s="1"/>
      <c r="H237" t="str">
        <f>"3250612632084"</f>
        <v>3250612632084</v>
      </c>
      <c r="J237" t="s">
        <v>682</v>
      </c>
    </row>
    <row r="238" spans="1:10" x14ac:dyDescent="0.25">
      <c r="A238" t="s">
        <v>8</v>
      </c>
      <c r="B238" t="s">
        <v>683</v>
      </c>
      <c r="C238" t="s">
        <v>684</v>
      </c>
      <c r="D238">
        <v>1</v>
      </c>
      <c r="E238" t="s">
        <v>536</v>
      </c>
      <c r="F238" t="s">
        <v>537</v>
      </c>
      <c r="G238" s="1"/>
      <c r="H238" t="str">
        <f>"3250610190487"</f>
        <v>3250610190487</v>
      </c>
      <c r="J238" t="s">
        <v>685</v>
      </c>
    </row>
    <row r="239" spans="1:10" x14ac:dyDescent="0.25">
      <c r="A239" t="s">
        <v>8</v>
      </c>
      <c r="B239" t="s">
        <v>686</v>
      </c>
      <c r="C239" t="s">
        <v>687</v>
      </c>
      <c r="D239">
        <v>1</v>
      </c>
      <c r="E239" t="s">
        <v>536</v>
      </c>
      <c r="F239" t="s">
        <v>537</v>
      </c>
      <c r="G239" s="1"/>
      <c r="H239" t="str">
        <f>"3250610190548"</f>
        <v>3250610190548</v>
      </c>
      <c r="J239" t="s">
        <v>688</v>
      </c>
    </row>
    <row r="240" spans="1:10" x14ac:dyDescent="0.25">
      <c r="A240" t="s">
        <v>8</v>
      </c>
      <c r="B240" t="s">
        <v>689</v>
      </c>
      <c r="C240" t="s">
        <v>690</v>
      </c>
      <c r="D240">
        <v>1</v>
      </c>
      <c r="E240" t="s">
        <v>536</v>
      </c>
      <c r="F240" t="s">
        <v>537</v>
      </c>
      <c r="G240" s="1"/>
      <c r="H240" t="str">
        <f>"3250610190784"</f>
        <v>3250610190784</v>
      </c>
      <c r="J240" t="s">
        <v>691</v>
      </c>
    </row>
    <row r="241" spans="1:10" x14ac:dyDescent="0.25">
      <c r="A241" t="s">
        <v>8</v>
      </c>
      <c r="B241" t="s">
        <v>692</v>
      </c>
      <c r="C241" t="s">
        <v>693</v>
      </c>
      <c r="D241">
        <v>1</v>
      </c>
      <c r="E241" t="s">
        <v>536</v>
      </c>
      <c r="F241" t="s">
        <v>537</v>
      </c>
      <c r="G241" s="1"/>
      <c r="H241" t="str">
        <f>"3250610190470"</f>
        <v>3250610190470</v>
      </c>
      <c r="J241" t="s">
        <v>694</v>
      </c>
    </row>
    <row r="242" spans="1:10" x14ac:dyDescent="0.25">
      <c r="A242" t="s">
        <v>8</v>
      </c>
      <c r="B242" t="s">
        <v>695</v>
      </c>
      <c r="C242" t="s">
        <v>696</v>
      </c>
      <c r="D242">
        <v>1</v>
      </c>
      <c r="E242" t="s">
        <v>536</v>
      </c>
      <c r="F242" t="s">
        <v>537</v>
      </c>
      <c r="G242" s="1"/>
      <c r="H242" t="str">
        <f>"3250610190258"</f>
        <v>3250610190258</v>
      </c>
      <c r="J242" t="s">
        <v>697</v>
      </c>
    </row>
    <row r="243" spans="1:10" x14ac:dyDescent="0.25">
      <c r="A243" t="s">
        <v>8</v>
      </c>
      <c r="B243" t="s">
        <v>698</v>
      </c>
      <c r="C243" t="s">
        <v>699</v>
      </c>
      <c r="D243">
        <v>1</v>
      </c>
      <c r="E243" t="s">
        <v>536</v>
      </c>
      <c r="F243" t="s">
        <v>537</v>
      </c>
      <c r="G243" s="1"/>
      <c r="H243" t="str">
        <f>"3250610189795"</f>
        <v>3250610189795</v>
      </c>
      <c r="J243" t="s">
        <v>700</v>
      </c>
    </row>
    <row r="244" spans="1:10" x14ac:dyDescent="0.25">
      <c r="A244" t="s">
        <v>8</v>
      </c>
      <c r="B244" t="s">
        <v>701</v>
      </c>
      <c r="C244" t="s">
        <v>702</v>
      </c>
      <c r="D244">
        <v>1</v>
      </c>
      <c r="E244" t="s">
        <v>536</v>
      </c>
      <c r="F244" t="s">
        <v>537</v>
      </c>
      <c r="G244" s="1"/>
      <c r="H244" t="str">
        <f>"3250610190081"</f>
        <v>3250610190081</v>
      </c>
      <c r="J244" t="s">
        <v>703</v>
      </c>
    </row>
    <row r="245" spans="1:10" x14ac:dyDescent="0.25">
      <c r="A245" t="s">
        <v>8</v>
      </c>
      <c r="B245" t="s">
        <v>704</v>
      </c>
      <c r="C245" t="s">
        <v>705</v>
      </c>
      <c r="D245">
        <v>1</v>
      </c>
      <c r="E245" t="s">
        <v>536</v>
      </c>
      <c r="F245" t="s">
        <v>537</v>
      </c>
      <c r="G245" s="1"/>
      <c r="H245" t="str">
        <f>"3250610189771"</f>
        <v>3250610189771</v>
      </c>
      <c r="J245" t="s">
        <v>706</v>
      </c>
    </row>
    <row r="246" spans="1:10" x14ac:dyDescent="0.25">
      <c r="A246" t="s">
        <v>8</v>
      </c>
      <c r="B246" t="s">
        <v>707</v>
      </c>
      <c r="C246" t="s">
        <v>708</v>
      </c>
      <c r="D246">
        <v>1</v>
      </c>
      <c r="E246" t="s">
        <v>536</v>
      </c>
      <c r="F246" t="s">
        <v>537</v>
      </c>
      <c r="G246" s="1"/>
      <c r="H246" t="str">
        <f>"3250610190531"</f>
        <v>3250610190531</v>
      </c>
      <c r="J246" t="s">
        <v>709</v>
      </c>
    </row>
    <row r="247" spans="1:10" x14ac:dyDescent="0.25">
      <c r="A247" t="s">
        <v>8</v>
      </c>
      <c r="B247" t="s">
        <v>710</v>
      </c>
      <c r="C247" t="s">
        <v>711</v>
      </c>
      <c r="D247">
        <v>1</v>
      </c>
      <c r="E247" t="s">
        <v>536</v>
      </c>
      <c r="F247" t="s">
        <v>537</v>
      </c>
      <c r="G247" s="1"/>
      <c r="H247" t="str">
        <f>"3250610190586"</f>
        <v>3250610190586</v>
      </c>
      <c r="J247" t="s">
        <v>712</v>
      </c>
    </row>
    <row r="248" spans="1:10" x14ac:dyDescent="0.25">
      <c r="A248" t="s">
        <v>8</v>
      </c>
      <c r="B248" t="s">
        <v>713</v>
      </c>
      <c r="C248" t="s">
        <v>714</v>
      </c>
      <c r="D248">
        <v>1</v>
      </c>
      <c r="E248" t="s">
        <v>536</v>
      </c>
      <c r="F248" t="s">
        <v>537</v>
      </c>
      <c r="G248" s="1"/>
      <c r="H248" t="str">
        <f>"3250610190234"</f>
        <v>3250610190234</v>
      </c>
      <c r="J248" t="s">
        <v>715</v>
      </c>
    </row>
    <row r="249" spans="1:10" x14ac:dyDescent="0.25">
      <c r="A249" t="s">
        <v>8</v>
      </c>
      <c r="B249" t="s">
        <v>716</v>
      </c>
      <c r="C249" t="s">
        <v>717</v>
      </c>
      <c r="D249">
        <v>1</v>
      </c>
      <c r="E249" t="s">
        <v>536</v>
      </c>
      <c r="F249" t="s">
        <v>537</v>
      </c>
      <c r="G249" s="1"/>
      <c r="H249" t="str">
        <f>"3250610190524"</f>
        <v>3250610190524</v>
      </c>
      <c r="J249" t="s">
        <v>718</v>
      </c>
    </row>
    <row r="250" spans="1:10" x14ac:dyDescent="0.25">
      <c r="A250" t="s">
        <v>8</v>
      </c>
      <c r="B250" t="s">
        <v>719</v>
      </c>
      <c r="C250" t="s">
        <v>720</v>
      </c>
      <c r="D250">
        <v>1</v>
      </c>
      <c r="E250" t="s">
        <v>536</v>
      </c>
      <c r="F250" t="s">
        <v>537</v>
      </c>
      <c r="G250" s="1"/>
      <c r="H250" t="str">
        <f>"3250610190517"</f>
        <v>3250610190517</v>
      </c>
      <c r="J250" t="s">
        <v>721</v>
      </c>
    </row>
    <row r="251" spans="1:10" x14ac:dyDescent="0.25">
      <c r="A251" t="s">
        <v>8</v>
      </c>
      <c r="B251" t="s">
        <v>722</v>
      </c>
      <c r="C251" t="s">
        <v>723</v>
      </c>
      <c r="D251">
        <v>1</v>
      </c>
      <c r="E251" t="s">
        <v>536</v>
      </c>
      <c r="F251" t="s">
        <v>537</v>
      </c>
      <c r="G251" s="1"/>
      <c r="H251" t="str">
        <f>"3250610190456"</f>
        <v>3250610190456</v>
      </c>
      <c r="J251" t="s">
        <v>724</v>
      </c>
    </row>
    <row r="252" spans="1:10" x14ac:dyDescent="0.25">
      <c r="A252" t="s">
        <v>8</v>
      </c>
      <c r="B252" t="s">
        <v>725</v>
      </c>
      <c r="C252" t="s">
        <v>726</v>
      </c>
      <c r="D252">
        <v>1</v>
      </c>
      <c r="E252" t="s">
        <v>536</v>
      </c>
      <c r="F252" t="s">
        <v>537</v>
      </c>
      <c r="G252" s="1"/>
      <c r="H252" t="str">
        <f>"3250610190067"</f>
        <v>3250610190067</v>
      </c>
      <c r="J252" t="s">
        <v>727</v>
      </c>
    </row>
    <row r="253" spans="1:10" x14ac:dyDescent="0.25">
      <c r="A253" t="s">
        <v>8</v>
      </c>
      <c r="B253" t="s">
        <v>728</v>
      </c>
      <c r="C253" t="s">
        <v>729</v>
      </c>
      <c r="D253">
        <v>1</v>
      </c>
      <c r="E253" t="s">
        <v>536</v>
      </c>
      <c r="F253" t="s">
        <v>537</v>
      </c>
      <c r="G253" s="1"/>
      <c r="H253" t="str">
        <f>"3250610190500"</f>
        <v>3250610190500</v>
      </c>
      <c r="J253" t="s">
        <v>730</v>
      </c>
    </row>
    <row r="254" spans="1:10" x14ac:dyDescent="0.25">
      <c r="A254" t="s">
        <v>8</v>
      </c>
      <c r="B254" t="s">
        <v>731</v>
      </c>
      <c r="C254" t="s">
        <v>732</v>
      </c>
      <c r="D254">
        <v>1</v>
      </c>
      <c r="E254" t="s">
        <v>536</v>
      </c>
      <c r="F254" t="s">
        <v>537</v>
      </c>
      <c r="G254" s="1"/>
      <c r="H254" t="str">
        <f>"3250610190432"</f>
        <v>3250610190432</v>
      </c>
      <c r="J254" t="s">
        <v>733</v>
      </c>
    </row>
    <row r="255" spans="1:10" x14ac:dyDescent="0.25">
      <c r="A255" t="s">
        <v>8</v>
      </c>
      <c r="B255" t="s">
        <v>734</v>
      </c>
      <c r="C255" t="s">
        <v>735</v>
      </c>
      <c r="D255">
        <v>1</v>
      </c>
      <c r="E255" t="s">
        <v>536</v>
      </c>
      <c r="F255" t="s">
        <v>537</v>
      </c>
      <c r="G255" s="1"/>
      <c r="H255" t="str">
        <f>"3250610190036"</f>
        <v>3250610190036</v>
      </c>
      <c r="J255" t="s">
        <v>736</v>
      </c>
    </row>
    <row r="256" spans="1:10" x14ac:dyDescent="0.25">
      <c r="A256" t="s">
        <v>8</v>
      </c>
      <c r="B256" t="s">
        <v>737</v>
      </c>
      <c r="C256" t="s">
        <v>738</v>
      </c>
      <c r="D256">
        <v>1</v>
      </c>
      <c r="E256" t="s">
        <v>536</v>
      </c>
      <c r="F256" t="s">
        <v>537</v>
      </c>
      <c r="G256" s="1"/>
      <c r="H256" t="str">
        <f>"3250610190654"</f>
        <v>3250610190654</v>
      </c>
      <c r="J256" t="s">
        <v>739</v>
      </c>
    </row>
    <row r="257" spans="1:10" x14ac:dyDescent="0.25">
      <c r="A257" t="s">
        <v>8</v>
      </c>
      <c r="B257" t="s">
        <v>740</v>
      </c>
      <c r="C257" t="s">
        <v>741</v>
      </c>
      <c r="D257">
        <v>1</v>
      </c>
      <c r="E257" t="s">
        <v>536</v>
      </c>
      <c r="F257" t="s">
        <v>537</v>
      </c>
      <c r="G257" s="1"/>
      <c r="H257" t="str">
        <f>"3250610190579"</f>
        <v>3250610190579</v>
      </c>
      <c r="J257" t="s">
        <v>742</v>
      </c>
    </row>
    <row r="258" spans="1:10" x14ac:dyDescent="0.25">
      <c r="A258" t="s">
        <v>8</v>
      </c>
      <c r="B258" t="s">
        <v>743</v>
      </c>
      <c r="C258" t="s">
        <v>744</v>
      </c>
      <c r="D258">
        <v>1</v>
      </c>
      <c r="E258" t="s">
        <v>536</v>
      </c>
      <c r="F258" t="s">
        <v>537</v>
      </c>
      <c r="G258" s="1"/>
      <c r="H258" t="str">
        <f>"3250610190418"</f>
        <v>3250610190418</v>
      </c>
      <c r="J258" t="s">
        <v>745</v>
      </c>
    </row>
    <row r="259" spans="1:10" x14ac:dyDescent="0.25">
      <c r="A259" t="s">
        <v>8</v>
      </c>
      <c r="B259" t="s">
        <v>746</v>
      </c>
      <c r="C259" t="s">
        <v>747</v>
      </c>
      <c r="D259">
        <v>1</v>
      </c>
      <c r="E259" t="s">
        <v>536</v>
      </c>
      <c r="F259" t="s">
        <v>537</v>
      </c>
      <c r="G259" s="1"/>
      <c r="H259" t="str">
        <f>"3250610190012"</f>
        <v>3250610190012</v>
      </c>
      <c r="J259" t="s">
        <v>748</v>
      </c>
    </row>
    <row r="260" spans="1:10" x14ac:dyDescent="0.25">
      <c r="A260" t="s">
        <v>8</v>
      </c>
      <c r="B260" t="s">
        <v>749</v>
      </c>
      <c r="C260" t="s">
        <v>750</v>
      </c>
      <c r="D260">
        <v>1</v>
      </c>
      <c r="E260" t="s">
        <v>536</v>
      </c>
      <c r="F260" t="s">
        <v>537</v>
      </c>
      <c r="G260" s="1"/>
      <c r="H260" t="str">
        <f>"3250610190562"</f>
        <v>3250610190562</v>
      </c>
      <c r="J260" t="s">
        <v>751</v>
      </c>
    </row>
    <row r="261" spans="1:10" x14ac:dyDescent="0.25">
      <c r="A261" t="s">
        <v>8</v>
      </c>
      <c r="B261" t="s">
        <v>752</v>
      </c>
      <c r="C261" t="s">
        <v>753</v>
      </c>
      <c r="D261">
        <v>1</v>
      </c>
      <c r="E261" t="s">
        <v>536</v>
      </c>
      <c r="F261" t="s">
        <v>537</v>
      </c>
      <c r="G261" s="1"/>
      <c r="H261" t="str">
        <f>"3250610190272"</f>
        <v>3250610190272</v>
      </c>
      <c r="J261" t="s">
        <v>754</v>
      </c>
    </row>
    <row r="262" spans="1:10" x14ac:dyDescent="0.25">
      <c r="A262" t="s">
        <v>8</v>
      </c>
      <c r="B262" t="s">
        <v>755</v>
      </c>
      <c r="C262" t="s">
        <v>756</v>
      </c>
      <c r="D262">
        <v>1</v>
      </c>
      <c r="E262" t="s">
        <v>536</v>
      </c>
      <c r="F262" t="s">
        <v>537</v>
      </c>
      <c r="G262" s="1"/>
      <c r="H262" t="str">
        <f>"3250610190296"</f>
        <v>3250610190296</v>
      </c>
      <c r="J262" t="s">
        <v>757</v>
      </c>
    </row>
    <row r="263" spans="1:10" x14ac:dyDescent="0.25">
      <c r="A263" t="s">
        <v>8</v>
      </c>
      <c r="B263" t="s">
        <v>758</v>
      </c>
      <c r="C263" t="s">
        <v>759</v>
      </c>
      <c r="D263">
        <v>1</v>
      </c>
      <c r="E263" t="s">
        <v>536</v>
      </c>
      <c r="F263" t="s">
        <v>537</v>
      </c>
      <c r="G263" s="1"/>
      <c r="H263" t="str">
        <f>"3250610190494"</f>
        <v>3250610190494</v>
      </c>
      <c r="J263" t="s">
        <v>760</v>
      </c>
    </row>
    <row r="264" spans="1:10" x14ac:dyDescent="0.25">
      <c r="A264" t="s">
        <v>8</v>
      </c>
      <c r="B264" t="s">
        <v>761</v>
      </c>
      <c r="C264" t="s">
        <v>762</v>
      </c>
      <c r="D264">
        <v>1</v>
      </c>
      <c r="E264" t="s">
        <v>536</v>
      </c>
      <c r="F264" t="s">
        <v>537</v>
      </c>
      <c r="G264" s="1"/>
      <c r="H264" t="str">
        <f>"3250610190555"</f>
        <v>3250610190555</v>
      </c>
      <c r="J264" t="s">
        <v>763</v>
      </c>
    </row>
    <row r="265" spans="1:10" x14ac:dyDescent="0.25">
      <c r="A265" t="s">
        <v>8</v>
      </c>
      <c r="B265" t="s">
        <v>764</v>
      </c>
      <c r="C265" t="s">
        <v>765</v>
      </c>
      <c r="D265">
        <v>1</v>
      </c>
      <c r="E265" t="s">
        <v>536</v>
      </c>
      <c r="F265" t="s">
        <v>537</v>
      </c>
      <c r="G265" s="1"/>
      <c r="H265" t="str">
        <f>"3250610190326"</f>
        <v>3250610190326</v>
      </c>
      <c r="J265" t="s">
        <v>766</v>
      </c>
    </row>
    <row r="266" spans="1:10" x14ac:dyDescent="0.25">
      <c r="A266" t="s">
        <v>8</v>
      </c>
      <c r="B266" t="s">
        <v>767</v>
      </c>
      <c r="C266" t="s">
        <v>768</v>
      </c>
      <c r="D266">
        <v>1</v>
      </c>
      <c r="E266" t="s">
        <v>536</v>
      </c>
      <c r="F266" t="s">
        <v>537</v>
      </c>
      <c r="G266" s="1"/>
      <c r="H266" t="str">
        <f>"3250610190807"</f>
        <v>3250610190807</v>
      </c>
      <c r="J266" t="s">
        <v>769</v>
      </c>
    </row>
    <row r="267" spans="1:10" x14ac:dyDescent="0.25">
      <c r="A267" t="s">
        <v>8</v>
      </c>
      <c r="B267" t="s">
        <v>770</v>
      </c>
      <c r="C267" t="s">
        <v>771</v>
      </c>
      <c r="D267">
        <v>1</v>
      </c>
      <c r="E267" t="s">
        <v>536</v>
      </c>
      <c r="F267" t="s">
        <v>537</v>
      </c>
      <c r="G267" s="1"/>
      <c r="H267" t="str">
        <f>"3250610682326"</f>
        <v>3250610682326</v>
      </c>
      <c r="J267" t="s">
        <v>772</v>
      </c>
    </row>
    <row r="268" spans="1:10" x14ac:dyDescent="0.25">
      <c r="A268" t="s">
        <v>8</v>
      </c>
      <c r="B268" t="s">
        <v>773</v>
      </c>
      <c r="C268" t="s">
        <v>774</v>
      </c>
      <c r="D268">
        <v>1</v>
      </c>
      <c r="E268" t="s">
        <v>536</v>
      </c>
      <c r="F268" t="s">
        <v>537</v>
      </c>
      <c r="G268" s="1"/>
      <c r="H268" t="str">
        <f>"3250610682319"</f>
        <v>3250610682319</v>
      </c>
      <c r="J268" t="s">
        <v>775</v>
      </c>
    </row>
    <row r="269" spans="1:10" x14ac:dyDescent="0.25">
      <c r="A269" t="s">
        <v>8</v>
      </c>
      <c r="B269" t="s">
        <v>776</v>
      </c>
      <c r="C269" t="s">
        <v>777</v>
      </c>
      <c r="D269">
        <v>1</v>
      </c>
      <c r="E269" t="s">
        <v>536</v>
      </c>
      <c r="F269" t="s">
        <v>537</v>
      </c>
      <c r="G269" s="1"/>
      <c r="H269" t="str">
        <f>"3250610682302"</f>
        <v>3250610682302</v>
      </c>
      <c r="J269" t="s">
        <v>778</v>
      </c>
    </row>
    <row r="270" spans="1:10" x14ac:dyDescent="0.25">
      <c r="A270" t="s">
        <v>8</v>
      </c>
      <c r="B270" t="s">
        <v>779</v>
      </c>
      <c r="C270" t="s">
        <v>780</v>
      </c>
      <c r="D270">
        <v>1</v>
      </c>
      <c r="E270" t="s">
        <v>536</v>
      </c>
      <c r="F270" t="s">
        <v>537</v>
      </c>
      <c r="G270" s="1"/>
      <c r="H270" t="str">
        <f>"3250612770922"</f>
        <v>3250612770922</v>
      </c>
      <c r="J270" t="s">
        <v>781</v>
      </c>
    </row>
    <row r="271" spans="1:10" x14ac:dyDescent="0.25">
      <c r="A271" t="s">
        <v>8</v>
      </c>
      <c r="B271" t="s">
        <v>782</v>
      </c>
      <c r="C271" t="s">
        <v>783</v>
      </c>
      <c r="D271">
        <v>1</v>
      </c>
      <c r="E271" t="s">
        <v>536</v>
      </c>
      <c r="F271" t="s">
        <v>537</v>
      </c>
      <c r="G271" s="1"/>
      <c r="H271" t="str">
        <f>"3250612770939"</f>
        <v>3250612770939</v>
      </c>
      <c r="J271" t="s">
        <v>784</v>
      </c>
    </row>
    <row r="272" spans="1:10" x14ac:dyDescent="0.25">
      <c r="A272" t="s">
        <v>8</v>
      </c>
      <c r="B272" t="s">
        <v>785</v>
      </c>
      <c r="C272" t="s">
        <v>786</v>
      </c>
      <c r="D272">
        <v>1</v>
      </c>
      <c r="E272" t="s">
        <v>536</v>
      </c>
      <c r="F272" t="s">
        <v>537</v>
      </c>
      <c r="G272" s="1"/>
      <c r="H272" t="str">
        <f>"3250612770946"</f>
        <v>3250612770946</v>
      </c>
      <c r="J272" t="s">
        <v>787</v>
      </c>
    </row>
    <row r="273" spans="1:10" x14ac:dyDescent="0.25">
      <c r="A273" t="s">
        <v>8</v>
      </c>
      <c r="B273" t="s">
        <v>788</v>
      </c>
      <c r="C273" t="s">
        <v>789</v>
      </c>
      <c r="D273">
        <v>1</v>
      </c>
      <c r="E273" t="s">
        <v>536</v>
      </c>
      <c r="F273" t="s">
        <v>537</v>
      </c>
      <c r="G273" s="1"/>
      <c r="H273" t="str">
        <f>"3250612770953"</f>
        <v>3250612770953</v>
      </c>
      <c r="J273" t="s">
        <v>790</v>
      </c>
    </row>
    <row r="274" spans="1:10" x14ac:dyDescent="0.25">
      <c r="A274" t="s">
        <v>8</v>
      </c>
      <c r="B274" t="s">
        <v>791</v>
      </c>
      <c r="C274" t="s">
        <v>792</v>
      </c>
      <c r="D274">
        <v>1</v>
      </c>
      <c r="E274" t="s">
        <v>536</v>
      </c>
      <c r="F274" t="s">
        <v>537</v>
      </c>
      <c r="G274" s="1"/>
      <c r="H274" t="str">
        <f>"3250612770960"</f>
        <v>3250612770960</v>
      </c>
      <c r="J274" t="s">
        <v>793</v>
      </c>
    </row>
    <row r="275" spans="1:10" x14ac:dyDescent="0.25">
      <c r="A275" t="s">
        <v>8</v>
      </c>
      <c r="B275" t="s">
        <v>794</v>
      </c>
      <c r="C275" t="s">
        <v>795</v>
      </c>
      <c r="D275">
        <v>1</v>
      </c>
      <c r="E275" t="s">
        <v>536</v>
      </c>
      <c r="F275" t="s">
        <v>537</v>
      </c>
      <c r="G275" s="1"/>
      <c r="H275" t="str">
        <f>"3250612770977"</f>
        <v>3250612770977</v>
      </c>
      <c r="J275" t="s">
        <v>796</v>
      </c>
    </row>
    <row r="276" spans="1:10" x14ac:dyDescent="0.25">
      <c r="A276" t="s">
        <v>8</v>
      </c>
      <c r="B276" t="s">
        <v>797</v>
      </c>
      <c r="C276" t="s">
        <v>798</v>
      </c>
      <c r="D276">
        <v>1</v>
      </c>
      <c r="E276" t="s">
        <v>536</v>
      </c>
      <c r="F276" t="s">
        <v>537</v>
      </c>
      <c r="G276" s="1"/>
      <c r="H276" t="str">
        <f>"3250612511716"</f>
        <v>3250612511716</v>
      </c>
      <c r="J276" t="s">
        <v>799</v>
      </c>
    </row>
    <row r="277" spans="1:10" x14ac:dyDescent="0.25">
      <c r="A277" t="s">
        <v>8</v>
      </c>
      <c r="B277" t="s">
        <v>800</v>
      </c>
      <c r="C277" t="s">
        <v>801</v>
      </c>
      <c r="D277">
        <v>1</v>
      </c>
      <c r="E277" t="s">
        <v>536</v>
      </c>
      <c r="F277" t="s">
        <v>537</v>
      </c>
      <c r="G277" s="1"/>
      <c r="H277" t="str">
        <f>"3250612511723"</f>
        <v>3250612511723</v>
      </c>
      <c r="J277" t="s">
        <v>802</v>
      </c>
    </row>
    <row r="278" spans="1:10" x14ac:dyDescent="0.25">
      <c r="A278" t="s">
        <v>8</v>
      </c>
      <c r="B278" t="s">
        <v>803</v>
      </c>
      <c r="C278" t="s">
        <v>804</v>
      </c>
      <c r="D278">
        <v>1</v>
      </c>
      <c r="E278" t="s">
        <v>536</v>
      </c>
      <c r="F278" t="s">
        <v>537</v>
      </c>
      <c r="G278" s="1"/>
      <c r="H278" t="str">
        <f>"3250612511730"</f>
        <v>3250612511730</v>
      </c>
      <c r="J278" t="s">
        <v>805</v>
      </c>
    </row>
    <row r="279" spans="1:10" x14ac:dyDescent="0.25">
      <c r="A279" t="s">
        <v>8</v>
      </c>
      <c r="B279" t="s">
        <v>806</v>
      </c>
      <c r="C279" t="s">
        <v>807</v>
      </c>
      <c r="D279">
        <v>1</v>
      </c>
      <c r="E279" t="s">
        <v>536</v>
      </c>
      <c r="F279" t="s">
        <v>537</v>
      </c>
      <c r="G279" s="1"/>
      <c r="H279" t="str">
        <f>"3250612511747"</f>
        <v>3250612511747</v>
      </c>
      <c r="J279" t="s">
        <v>808</v>
      </c>
    </row>
    <row r="280" spans="1:10" x14ac:dyDescent="0.25">
      <c r="A280" t="s">
        <v>8</v>
      </c>
      <c r="B280" t="s">
        <v>809</v>
      </c>
      <c r="C280" t="s">
        <v>810</v>
      </c>
      <c r="D280">
        <v>1</v>
      </c>
      <c r="E280" t="s">
        <v>536</v>
      </c>
      <c r="F280" t="s">
        <v>537</v>
      </c>
      <c r="G280" s="1"/>
      <c r="H280" t="str">
        <f>"3250610190241"</f>
        <v>3250610190241</v>
      </c>
      <c r="J280" t="s">
        <v>811</v>
      </c>
    </row>
    <row r="281" spans="1:10" x14ac:dyDescent="0.25">
      <c r="A281" t="s">
        <v>8</v>
      </c>
      <c r="B281" t="s">
        <v>812</v>
      </c>
      <c r="C281" t="s">
        <v>813</v>
      </c>
      <c r="D281">
        <v>1</v>
      </c>
      <c r="E281" t="s">
        <v>536</v>
      </c>
      <c r="F281" t="s">
        <v>537</v>
      </c>
      <c r="G281" s="1"/>
      <c r="H281" t="str">
        <f>"3250610190265"</f>
        <v>3250610190265</v>
      </c>
      <c r="J281" t="s">
        <v>814</v>
      </c>
    </row>
    <row r="282" spans="1:10" x14ac:dyDescent="0.25">
      <c r="A282" t="s">
        <v>8</v>
      </c>
      <c r="B282" t="s">
        <v>815</v>
      </c>
      <c r="C282" t="s">
        <v>816</v>
      </c>
      <c r="D282">
        <v>1</v>
      </c>
      <c r="E282" t="s">
        <v>536</v>
      </c>
      <c r="F282" t="s">
        <v>537</v>
      </c>
      <c r="G282" s="1"/>
      <c r="H282" t="str">
        <f>"3250610190791"</f>
        <v>3250610190791</v>
      </c>
      <c r="J282" t="s">
        <v>817</v>
      </c>
    </row>
    <row r="283" spans="1:10" x14ac:dyDescent="0.25">
      <c r="A283" t="s">
        <v>8</v>
      </c>
      <c r="B283" t="s">
        <v>818</v>
      </c>
      <c r="C283" t="s">
        <v>819</v>
      </c>
      <c r="D283">
        <v>1</v>
      </c>
      <c r="E283" t="s">
        <v>536</v>
      </c>
      <c r="F283" t="s">
        <v>537</v>
      </c>
      <c r="G283" s="1"/>
      <c r="H283" t="str">
        <f>"3250610190333"</f>
        <v>3250610190333</v>
      </c>
      <c r="J283" t="s">
        <v>820</v>
      </c>
    </row>
    <row r="284" spans="1:10" x14ac:dyDescent="0.25">
      <c r="A284" t="s">
        <v>8</v>
      </c>
      <c r="B284" t="s">
        <v>821</v>
      </c>
      <c r="C284" t="s">
        <v>822</v>
      </c>
      <c r="D284">
        <v>1</v>
      </c>
      <c r="E284" t="s">
        <v>536</v>
      </c>
      <c r="F284" t="s">
        <v>537</v>
      </c>
      <c r="G284" s="1"/>
      <c r="H284" t="str">
        <f>"3250610190289"</f>
        <v>3250610190289</v>
      </c>
      <c r="J284" t="s">
        <v>823</v>
      </c>
    </row>
    <row r="285" spans="1:10" x14ac:dyDescent="0.25">
      <c r="A285" t="s">
        <v>8</v>
      </c>
      <c r="B285" t="s">
        <v>824</v>
      </c>
      <c r="C285" t="s">
        <v>825</v>
      </c>
      <c r="D285">
        <v>1</v>
      </c>
      <c r="E285" t="s">
        <v>536</v>
      </c>
      <c r="F285" t="s">
        <v>537</v>
      </c>
      <c r="G285" s="1"/>
      <c r="H285" t="str">
        <f>"3250610190319"</f>
        <v>3250610190319</v>
      </c>
      <c r="J285" t="s">
        <v>826</v>
      </c>
    </row>
    <row r="286" spans="1:10" x14ac:dyDescent="0.25">
      <c r="A286" t="s">
        <v>8</v>
      </c>
      <c r="B286" t="s">
        <v>827</v>
      </c>
      <c r="C286" t="s">
        <v>828</v>
      </c>
      <c r="D286">
        <v>1</v>
      </c>
      <c r="E286" t="s">
        <v>536</v>
      </c>
      <c r="F286" t="s">
        <v>537</v>
      </c>
      <c r="G286" s="1"/>
      <c r="H286" t="str">
        <f>"3250610190425"</f>
        <v>3250610190425</v>
      </c>
      <c r="J286" t="s">
        <v>829</v>
      </c>
    </row>
    <row r="287" spans="1:10" x14ac:dyDescent="0.25">
      <c r="A287" t="s">
        <v>8</v>
      </c>
      <c r="B287" t="s">
        <v>830</v>
      </c>
      <c r="C287" t="s">
        <v>831</v>
      </c>
      <c r="D287">
        <v>1</v>
      </c>
      <c r="E287" t="s">
        <v>536</v>
      </c>
      <c r="F287" t="s">
        <v>537</v>
      </c>
      <c r="G287" s="1"/>
      <c r="H287" t="str">
        <f>"3250610190449"</f>
        <v>3250610190449</v>
      </c>
      <c r="J287" t="s">
        <v>832</v>
      </c>
    </row>
    <row r="288" spans="1:10" x14ac:dyDescent="0.25">
      <c r="A288" t="s">
        <v>8</v>
      </c>
      <c r="B288" t="s">
        <v>833</v>
      </c>
      <c r="C288" t="s">
        <v>834</v>
      </c>
      <c r="D288">
        <v>1</v>
      </c>
      <c r="E288" t="s">
        <v>536</v>
      </c>
      <c r="F288" t="s">
        <v>537</v>
      </c>
      <c r="G288" s="1"/>
      <c r="H288" t="str">
        <f>"3250610190463"</f>
        <v>3250610190463</v>
      </c>
      <c r="J288" t="s">
        <v>835</v>
      </c>
    </row>
    <row r="289" spans="1:10" x14ac:dyDescent="0.25">
      <c r="A289" t="s">
        <v>8</v>
      </c>
      <c r="B289" t="s">
        <v>836</v>
      </c>
      <c r="C289" t="s">
        <v>837</v>
      </c>
      <c r="D289">
        <v>1</v>
      </c>
      <c r="E289" t="s">
        <v>536</v>
      </c>
      <c r="F289" t="s">
        <v>537</v>
      </c>
      <c r="G289" s="1"/>
      <c r="H289" t="str">
        <f>"3250610189788"</f>
        <v>3250610189788</v>
      </c>
      <c r="J289" t="s">
        <v>838</v>
      </c>
    </row>
    <row r="290" spans="1:10" x14ac:dyDescent="0.25">
      <c r="A290" t="s">
        <v>8</v>
      </c>
      <c r="B290" t="s">
        <v>839</v>
      </c>
      <c r="C290" t="s">
        <v>840</v>
      </c>
      <c r="D290">
        <v>1</v>
      </c>
      <c r="E290" t="s">
        <v>536</v>
      </c>
      <c r="F290" t="s">
        <v>537</v>
      </c>
      <c r="G290" s="1"/>
      <c r="H290" t="str">
        <f>"3250610190098"</f>
        <v>3250610190098</v>
      </c>
      <c r="J290" t="s">
        <v>841</v>
      </c>
    </row>
    <row r="291" spans="1:10" x14ac:dyDescent="0.25">
      <c r="A291" t="s">
        <v>8</v>
      </c>
      <c r="B291" t="s">
        <v>842</v>
      </c>
      <c r="C291" t="s">
        <v>843</v>
      </c>
      <c r="D291">
        <v>1</v>
      </c>
      <c r="E291" t="s">
        <v>536</v>
      </c>
      <c r="F291" t="s">
        <v>537</v>
      </c>
      <c r="G291" s="1"/>
      <c r="H291" t="str">
        <f>"3250610190005"</f>
        <v>3250610190005</v>
      </c>
      <c r="J291" t="s">
        <v>844</v>
      </c>
    </row>
    <row r="292" spans="1:10" x14ac:dyDescent="0.25">
      <c r="A292" t="s">
        <v>8</v>
      </c>
      <c r="B292" t="s">
        <v>845</v>
      </c>
      <c r="C292" t="s">
        <v>846</v>
      </c>
      <c r="D292">
        <v>1</v>
      </c>
      <c r="E292" t="s">
        <v>536</v>
      </c>
      <c r="F292" t="s">
        <v>537</v>
      </c>
      <c r="G292" s="1"/>
      <c r="H292" t="str">
        <f>"3250610190029"</f>
        <v>3250610190029</v>
      </c>
      <c r="J292" t="s">
        <v>847</v>
      </c>
    </row>
    <row r="293" spans="1:10" x14ac:dyDescent="0.25">
      <c r="A293" t="s">
        <v>8</v>
      </c>
      <c r="B293" t="s">
        <v>848</v>
      </c>
      <c r="C293" t="s">
        <v>849</v>
      </c>
      <c r="D293">
        <v>1</v>
      </c>
      <c r="E293" t="s">
        <v>536</v>
      </c>
      <c r="F293" t="s">
        <v>537</v>
      </c>
      <c r="G293" s="1"/>
      <c r="H293" t="str">
        <f>"3250610190043"</f>
        <v>3250610190043</v>
      </c>
      <c r="J293" t="s">
        <v>850</v>
      </c>
    </row>
    <row r="294" spans="1:10" x14ac:dyDescent="0.25">
      <c r="A294" t="s">
        <v>8</v>
      </c>
      <c r="B294" t="s">
        <v>851</v>
      </c>
      <c r="C294" t="s">
        <v>852</v>
      </c>
      <c r="D294">
        <v>1</v>
      </c>
      <c r="E294" t="s">
        <v>536</v>
      </c>
      <c r="F294" t="s">
        <v>537</v>
      </c>
      <c r="G294" s="1"/>
      <c r="H294" t="str">
        <f>"3250610190074"</f>
        <v>3250610190074</v>
      </c>
      <c r="J294" t="s">
        <v>853</v>
      </c>
    </row>
    <row r="295" spans="1:10" x14ac:dyDescent="0.25">
      <c r="A295" t="s">
        <v>8</v>
      </c>
      <c r="B295" t="s">
        <v>854</v>
      </c>
      <c r="C295" t="s">
        <v>855</v>
      </c>
      <c r="D295">
        <v>1</v>
      </c>
      <c r="E295" t="s">
        <v>536</v>
      </c>
      <c r="F295" t="s">
        <v>537</v>
      </c>
      <c r="G295" s="1"/>
      <c r="H295" t="str">
        <f>"3250612771998"</f>
        <v>3250612771998</v>
      </c>
      <c r="J295" t="s">
        <v>856</v>
      </c>
    </row>
    <row r="296" spans="1:10" x14ac:dyDescent="0.25">
      <c r="A296" t="s">
        <v>8</v>
      </c>
      <c r="B296" t="s">
        <v>857</v>
      </c>
      <c r="C296" t="s">
        <v>858</v>
      </c>
      <c r="D296">
        <v>1</v>
      </c>
      <c r="E296" t="s">
        <v>536</v>
      </c>
      <c r="F296" t="s">
        <v>537</v>
      </c>
      <c r="G296" s="1"/>
      <c r="H296" t="str">
        <f>"3250612772001"</f>
        <v>3250612772001</v>
      </c>
      <c r="J296" t="s">
        <v>859</v>
      </c>
    </row>
    <row r="297" spans="1:10" x14ac:dyDescent="0.25">
      <c r="A297" t="s">
        <v>8</v>
      </c>
      <c r="B297" t="s">
        <v>860</v>
      </c>
      <c r="C297" t="s">
        <v>861</v>
      </c>
      <c r="D297">
        <v>1</v>
      </c>
      <c r="E297" t="s">
        <v>536</v>
      </c>
      <c r="F297" t="s">
        <v>537</v>
      </c>
      <c r="G297" s="1"/>
      <c r="H297" t="str">
        <f>"3250612772018"</f>
        <v>3250612772018</v>
      </c>
      <c r="J297" t="s">
        <v>862</v>
      </c>
    </row>
    <row r="298" spans="1:10" x14ac:dyDescent="0.25">
      <c r="A298" t="s">
        <v>8</v>
      </c>
      <c r="B298" t="s">
        <v>863</v>
      </c>
      <c r="C298" t="s">
        <v>864</v>
      </c>
      <c r="D298">
        <v>1</v>
      </c>
      <c r="E298" t="s">
        <v>536</v>
      </c>
      <c r="F298" t="s">
        <v>537</v>
      </c>
      <c r="G298" s="1"/>
      <c r="H298" t="str">
        <f>"3250612772025"</f>
        <v>3250612772025</v>
      </c>
      <c r="J298" t="s">
        <v>865</v>
      </c>
    </row>
    <row r="299" spans="1:10" x14ac:dyDescent="0.25">
      <c r="A299" t="s">
        <v>8</v>
      </c>
      <c r="B299" t="s">
        <v>866</v>
      </c>
      <c r="C299" t="s">
        <v>867</v>
      </c>
      <c r="D299">
        <v>1</v>
      </c>
      <c r="E299" t="s">
        <v>536</v>
      </c>
      <c r="F299" t="s">
        <v>537</v>
      </c>
      <c r="G299" s="1"/>
      <c r="H299" t="str">
        <f>"3250612772032"</f>
        <v>3250612772032</v>
      </c>
      <c r="J299" t="s">
        <v>868</v>
      </c>
    </row>
    <row r="300" spans="1:10" x14ac:dyDescent="0.25">
      <c r="A300" t="s">
        <v>8</v>
      </c>
      <c r="B300" t="s">
        <v>869</v>
      </c>
      <c r="C300" t="s">
        <v>870</v>
      </c>
      <c r="D300">
        <v>1</v>
      </c>
      <c r="E300" t="s">
        <v>536</v>
      </c>
      <c r="F300" t="s">
        <v>537</v>
      </c>
      <c r="G300" s="1"/>
      <c r="H300" t="str">
        <f>"3250612772049"</f>
        <v>3250612772049</v>
      </c>
      <c r="J300" t="s">
        <v>871</v>
      </c>
    </row>
    <row r="301" spans="1:10" x14ac:dyDescent="0.25">
      <c r="A301" t="s">
        <v>8</v>
      </c>
      <c r="B301" t="s">
        <v>872</v>
      </c>
      <c r="C301" t="s">
        <v>873</v>
      </c>
      <c r="D301">
        <v>1</v>
      </c>
      <c r="E301" t="s">
        <v>536</v>
      </c>
      <c r="F301" t="s">
        <v>537</v>
      </c>
      <c r="G301" s="1"/>
      <c r="H301" t="str">
        <f>"3250612772056"</f>
        <v>3250612772056</v>
      </c>
      <c r="J301" t="s">
        <v>874</v>
      </c>
    </row>
    <row r="302" spans="1:10" x14ac:dyDescent="0.25">
      <c r="A302" t="s">
        <v>8</v>
      </c>
      <c r="B302" t="s">
        <v>875</v>
      </c>
      <c r="C302" t="s">
        <v>876</v>
      </c>
      <c r="D302">
        <v>1</v>
      </c>
      <c r="E302" t="s">
        <v>536</v>
      </c>
      <c r="F302" t="s">
        <v>537</v>
      </c>
      <c r="G302" s="1"/>
      <c r="H302" t="str">
        <f>"3250612772063"</f>
        <v>3250612772063</v>
      </c>
      <c r="J302" t="s">
        <v>877</v>
      </c>
    </row>
    <row r="303" spans="1:10" x14ac:dyDescent="0.25">
      <c r="A303" t="s">
        <v>8</v>
      </c>
      <c r="B303" t="s">
        <v>878</v>
      </c>
      <c r="C303" t="s">
        <v>879</v>
      </c>
      <c r="D303">
        <v>1</v>
      </c>
      <c r="E303" t="s">
        <v>536</v>
      </c>
      <c r="F303" t="s">
        <v>537</v>
      </c>
      <c r="G303" s="1"/>
      <c r="H303" t="str">
        <f>"3250612772070"</f>
        <v>3250612772070</v>
      </c>
      <c r="J303" t="s">
        <v>880</v>
      </c>
    </row>
    <row r="304" spans="1:10" x14ac:dyDescent="0.25">
      <c r="A304" t="s">
        <v>8</v>
      </c>
      <c r="B304" t="s">
        <v>881</v>
      </c>
      <c r="C304" t="s">
        <v>882</v>
      </c>
      <c r="D304">
        <v>1</v>
      </c>
      <c r="E304" t="s">
        <v>536</v>
      </c>
      <c r="F304" t="s">
        <v>537</v>
      </c>
      <c r="G304" s="1"/>
      <c r="H304" t="str">
        <f>"3250612772087"</f>
        <v>3250612772087</v>
      </c>
      <c r="J304" t="s">
        <v>883</v>
      </c>
    </row>
    <row r="305" spans="1:10" x14ac:dyDescent="0.25">
      <c r="A305" t="s">
        <v>8</v>
      </c>
      <c r="B305" t="s">
        <v>884</v>
      </c>
      <c r="C305" t="s">
        <v>885</v>
      </c>
      <c r="D305">
        <v>1</v>
      </c>
      <c r="E305" t="s">
        <v>536</v>
      </c>
      <c r="F305" t="s">
        <v>537</v>
      </c>
      <c r="G305" s="1"/>
      <c r="H305" t="str">
        <f>"3250612772094"</f>
        <v>3250612772094</v>
      </c>
      <c r="J305" t="s">
        <v>886</v>
      </c>
    </row>
    <row r="306" spans="1:10" x14ac:dyDescent="0.25">
      <c r="A306" t="s">
        <v>8</v>
      </c>
      <c r="B306" t="s">
        <v>887</v>
      </c>
      <c r="C306" t="s">
        <v>888</v>
      </c>
      <c r="D306">
        <v>1</v>
      </c>
      <c r="E306" t="s">
        <v>536</v>
      </c>
      <c r="F306" t="s">
        <v>537</v>
      </c>
      <c r="G306" s="1"/>
      <c r="H306" t="str">
        <f>"3250612772100"</f>
        <v>3250612772100</v>
      </c>
      <c r="J306" t="s">
        <v>889</v>
      </c>
    </row>
    <row r="307" spans="1:10" x14ac:dyDescent="0.25">
      <c r="A307" t="s">
        <v>8</v>
      </c>
      <c r="B307" t="s">
        <v>890</v>
      </c>
      <c r="C307" t="s">
        <v>891</v>
      </c>
      <c r="D307">
        <v>1</v>
      </c>
      <c r="E307" t="s">
        <v>536</v>
      </c>
      <c r="F307" t="s">
        <v>537</v>
      </c>
      <c r="G307" s="1"/>
      <c r="H307" t="str">
        <f>"3250612772117"</f>
        <v>3250612772117</v>
      </c>
      <c r="J307" t="s">
        <v>892</v>
      </c>
    </row>
    <row r="308" spans="1:10" x14ac:dyDescent="0.25">
      <c r="A308" t="s">
        <v>8</v>
      </c>
      <c r="B308" t="s">
        <v>893</v>
      </c>
      <c r="C308" t="s">
        <v>894</v>
      </c>
      <c r="D308">
        <v>1</v>
      </c>
      <c r="E308" t="s">
        <v>536</v>
      </c>
      <c r="F308" t="s">
        <v>537</v>
      </c>
      <c r="G308" s="1"/>
      <c r="H308" t="str">
        <f>"3250612772124"</f>
        <v>3250612772124</v>
      </c>
      <c r="J308" t="s">
        <v>895</v>
      </c>
    </row>
    <row r="309" spans="1:10" x14ac:dyDescent="0.25">
      <c r="A309" t="s">
        <v>8</v>
      </c>
      <c r="B309" t="s">
        <v>896</v>
      </c>
      <c r="C309" t="s">
        <v>897</v>
      </c>
      <c r="D309">
        <v>1</v>
      </c>
      <c r="E309" t="s">
        <v>536</v>
      </c>
      <c r="F309" t="s">
        <v>537</v>
      </c>
      <c r="G309" s="1"/>
      <c r="H309" t="str">
        <f>"3250612772131"</f>
        <v>3250612772131</v>
      </c>
      <c r="J309" t="s">
        <v>898</v>
      </c>
    </row>
    <row r="310" spans="1:10" x14ac:dyDescent="0.25">
      <c r="A310" t="s">
        <v>8</v>
      </c>
      <c r="B310" t="s">
        <v>899</v>
      </c>
      <c r="C310" t="s">
        <v>900</v>
      </c>
      <c r="D310">
        <v>1</v>
      </c>
      <c r="E310" t="s">
        <v>536</v>
      </c>
      <c r="F310" t="s">
        <v>537</v>
      </c>
      <c r="G310" s="1"/>
      <c r="H310" t="str">
        <f>"3250612772148"</f>
        <v>3250612772148</v>
      </c>
      <c r="J310" t="s">
        <v>901</v>
      </c>
    </row>
    <row r="311" spans="1:10" x14ac:dyDescent="0.25">
      <c r="A311" t="s">
        <v>8</v>
      </c>
      <c r="B311" t="s">
        <v>902</v>
      </c>
      <c r="C311" t="s">
        <v>903</v>
      </c>
      <c r="D311">
        <v>1</v>
      </c>
      <c r="E311" t="s">
        <v>536</v>
      </c>
      <c r="F311" t="s">
        <v>537</v>
      </c>
      <c r="G311" s="1"/>
      <c r="H311" t="str">
        <f>"3250612772179"</f>
        <v>3250612772179</v>
      </c>
      <c r="J311" t="s">
        <v>904</v>
      </c>
    </row>
    <row r="312" spans="1:10" x14ac:dyDescent="0.25">
      <c r="A312" t="s">
        <v>8</v>
      </c>
      <c r="B312" t="s">
        <v>905</v>
      </c>
      <c r="C312" t="s">
        <v>906</v>
      </c>
      <c r="D312">
        <v>1</v>
      </c>
      <c r="E312" t="s">
        <v>536</v>
      </c>
      <c r="F312" t="s">
        <v>537</v>
      </c>
      <c r="G312" s="1"/>
      <c r="H312" t="str">
        <f>"3250612772186"</f>
        <v>3250612772186</v>
      </c>
      <c r="J312" t="s">
        <v>907</v>
      </c>
    </row>
    <row r="313" spans="1:10" x14ac:dyDescent="0.25">
      <c r="A313" t="s">
        <v>8</v>
      </c>
      <c r="B313" t="s">
        <v>908</v>
      </c>
      <c r="C313" t="s">
        <v>909</v>
      </c>
      <c r="D313">
        <v>1</v>
      </c>
      <c r="E313" t="s">
        <v>536</v>
      </c>
      <c r="F313" t="s">
        <v>537</v>
      </c>
      <c r="G313" s="1"/>
      <c r="H313" t="str">
        <f>"3250612772377"</f>
        <v>3250612772377</v>
      </c>
      <c r="J313" t="s">
        <v>910</v>
      </c>
    </row>
    <row r="314" spans="1:10" x14ac:dyDescent="0.25">
      <c r="A314" t="s">
        <v>8</v>
      </c>
      <c r="B314" t="s">
        <v>911</v>
      </c>
      <c r="C314" t="s">
        <v>912</v>
      </c>
      <c r="D314">
        <v>1</v>
      </c>
      <c r="E314" t="s">
        <v>536</v>
      </c>
      <c r="F314" t="s">
        <v>537</v>
      </c>
      <c r="G314" s="1"/>
      <c r="H314" t="str">
        <f>"3250612772384"</f>
        <v>3250612772384</v>
      </c>
      <c r="J314" t="s">
        <v>901</v>
      </c>
    </row>
    <row r="315" spans="1:10" x14ac:dyDescent="0.25">
      <c r="A315" t="s">
        <v>8</v>
      </c>
      <c r="B315" t="s">
        <v>913</v>
      </c>
      <c r="C315" t="s">
        <v>914</v>
      </c>
      <c r="D315">
        <v>1</v>
      </c>
      <c r="E315" t="s">
        <v>536</v>
      </c>
      <c r="F315" t="s">
        <v>537</v>
      </c>
      <c r="G315" s="1"/>
      <c r="H315" t="str">
        <f>"3250612772391"</f>
        <v>3250612772391</v>
      </c>
      <c r="J315" t="s">
        <v>915</v>
      </c>
    </row>
    <row r="316" spans="1:10" x14ac:dyDescent="0.25">
      <c r="A316" t="s">
        <v>8</v>
      </c>
      <c r="B316" t="s">
        <v>916</v>
      </c>
      <c r="C316" t="s">
        <v>917</v>
      </c>
      <c r="D316">
        <v>1</v>
      </c>
      <c r="E316" t="s">
        <v>536</v>
      </c>
      <c r="F316" t="s">
        <v>537</v>
      </c>
      <c r="G316" s="1"/>
      <c r="H316" t="str">
        <f>"3250612772407"</f>
        <v>3250612772407</v>
      </c>
      <c r="J316" t="s">
        <v>918</v>
      </c>
    </row>
    <row r="317" spans="1:10" x14ac:dyDescent="0.25">
      <c r="A317" t="s">
        <v>8</v>
      </c>
      <c r="B317" t="s">
        <v>919</v>
      </c>
      <c r="C317" t="s">
        <v>920</v>
      </c>
      <c r="D317">
        <v>1</v>
      </c>
      <c r="E317" t="s">
        <v>536</v>
      </c>
      <c r="F317" t="s">
        <v>537</v>
      </c>
      <c r="G317" s="1"/>
      <c r="H317" t="str">
        <f>"3250612772155"</f>
        <v>3250612772155</v>
      </c>
      <c r="J317" t="s">
        <v>921</v>
      </c>
    </row>
    <row r="318" spans="1:10" x14ac:dyDescent="0.25">
      <c r="A318" t="s">
        <v>8</v>
      </c>
      <c r="B318" t="s">
        <v>922</v>
      </c>
      <c r="C318" t="s">
        <v>923</v>
      </c>
      <c r="D318">
        <v>1</v>
      </c>
      <c r="E318" t="s">
        <v>536</v>
      </c>
      <c r="F318" t="s">
        <v>537</v>
      </c>
      <c r="G318" s="1"/>
      <c r="H318" t="str">
        <f>"3250612772162"</f>
        <v>3250612772162</v>
      </c>
      <c r="J318" t="s">
        <v>924</v>
      </c>
    </row>
    <row r="319" spans="1:10" x14ac:dyDescent="0.25">
      <c r="A319" t="s">
        <v>8</v>
      </c>
      <c r="B319" t="s">
        <v>925</v>
      </c>
      <c r="C319" t="s">
        <v>926</v>
      </c>
      <c r="D319">
        <v>1</v>
      </c>
      <c r="E319" t="s">
        <v>536</v>
      </c>
      <c r="F319" t="s">
        <v>537</v>
      </c>
      <c r="G319" s="1"/>
      <c r="H319" t="str">
        <f>"3250612772414"</f>
        <v>3250612772414</v>
      </c>
      <c r="J319" t="s">
        <v>927</v>
      </c>
    </row>
    <row r="320" spans="1:10" x14ac:dyDescent="0.25">
      <c r="A320" t="s">
        <v>8</v>
      </c>
      <c r="B320" t="s">
        <v>928</v>
      </c>
      <c r="C320" t="s">
        <v>929</v>
      </c>
      <c r="D320">
        <v>1</v>
      </c>
      <c r="E320" t="s">
        <v>536</v>
      </c>
      <c r="F320" t="s">
        <v>537</v>
      </c>
      <c r="G320" s="1"/>
      <c r="H320" t="str">
        <f>"3250612772421"</f>
        <v>3250612772421</v>
      </c>
      <c r="J320" t="s">
        <v>930</v>
      </c>
    </row>
    <row r="321" spans="1:10" x14ac:dyDescent="0.25">
      <c r="A321" t="s">
        <v>8</v>
      </c>
      <c r="B321" t="s">
        <v>931</v>
      </c>
      <c r="C321" t="s">
        <v>932</v>
      </c>
      <c r="D321">
        <v>1</v>
      </c>
      <c r="E321" t="s">
        <v>536</v>
      </c>
      <c r="F321" t="s">
        <v>537</v>
      </c>
      <c r="G321" s="1"/>
      <c r="H321" t="str">
        <f>"3250612772209"</f>
        <v>3250612772209</v>
      </c>
      <c r="I321" s="1"/>
      <c r="J321" t="s">
        <v>933</v>
      </c>
    </row>
    <row r="322" spans="1:10" x14ac:dyDescent="0.25">
      <c r="A322" t="s">
        <v>8</v>
      </c>
      <c r="B322" t="s">
        <v>934</v>
      </c>
      <c r="C322" t="s">
        <v>935</v>
      </c>
      <c r="D322">
        <v>1</v>
      </c>
      <c r="E322" t="s">
        <v>536</v>
      </c>
      <c r="F322" t="s">
        <v>537</v>
      </c>
      <c r="G322" s="1"/>
      <c r="H322" t="str">
        <f>"3250612772216"</f>
        <v>3250612772216</v>
      </c>
      <c r="J322" t="s">
        <v>936</v>
      </c>
    </row>
    <row r="323" spans="1:10" x14ac:dyDescent="0.25">
      <c r="A323" t="s">
        <v>8</v>
      </c>
      <c r="B323" t="s">
        <v>937</v>
      </c>
      <c r="C323" t="s">
        <v>938</v>
      </c>
      <c r="D323">
        <v>1</v>
      </c>
      <c r="E323" t="s">
        <v>536</v>
      </c>
      <c r="F323" t="s">
        <v>537</v>
      </c>
      <c r="G323" s="1"/>
      <c r="H323" t="str">
        <f>"3250612772223"</f>
        <v>3250612772223</v>
      </c>
      <c r="J323" t="s">
        <v>939</v>
      </c>
    </row>
    <row r="324" spans="1:10" x14ac:dyDescent="0.25">
      <c r="A324" t="s">
        <v>8</v>
      </c>
      <c r="B324" t="s">
        <v>940</v>
      </c>
      <c r="C324" t="s">
        <v>941</v>
      </c>
      <c r="D324">
        <v>1</v>
      </c>
      <c r="E324" t="s">
        <v>536</v>
      </c>
      <c r="F324" t="s">
        <v>537</v>
      </c>
      <c r="G324" s="1"/>
      <c r="H324" t="str">
        <f>"3250612772230"</f>
        <v>3250612772230</v>
      </c>
      <c r="J324" t="s">
        <v>942</v>
      </c>
    </row>
    <row r="325" spans="1:10" x14ac:dyDescent="0.25">
      <c r="A325" t="s">
        <v>8</v>
      </c>
      <c r="B325" t="s">
        <v>943</v>
      </c>
      <c r="C325" t="s">
        <v>944</v>
      </c>
      <c r="D325">
        <v>1</v>
      </c>
      <c r="E325" t="s">
        <v>536</v>
      </c>
      <c r="F325" t="s">
        <v>537</v>
      </c>
      <c r="G325" s="1"/>
      <c r="H325" t="str">
        <f>"3250612772247"</f>
        <v>3250612772247</v>
      </c>
      <c r="J325" t="s">
        <v>945</v>
      </c>
    </row>
    <row r="326" spans="1:10" x14ac:dyDescent="0.25">
      <c r="A326" t="s">
        <v>8</v>
      </c>
      <c r="B326" t="s">
        <v>946</v>
      </c>
      <c r="C326" t="s">
        <v>947</v>
      </c>
      <c r="D326">
        <v>1</v>
      </c>
      <c r="E326" t="s">
        <v>536</v>
      </c>
      <c r="F326" t="s">
        <v>537</v>
      </c>
      <c r="G326" s="1"/>
      <c r="H326" t="str">
        <f>"3250612772254"</f>
        <v>3250612772254</v>
      </c>
      <c r="J326" t="s">
        <v>948</v>
      </c>
    </row>
    <row r="327" spans="1:10" x14ac:dyDescent="0.25">
      <c r="A327" t="s">
        <v>8</v>
      </c>
      <c r="B327" t="s">
        <v>949</v>
      </c>
      <c r="C327" t="s">
        <v>950</v>
      </c>
      <c r="D327">
        <v>1</v>
      </c>
      <c r="E327" t="s">
        <v>536</v>
      </c>
      <c r="F327" t="s">
        <v>537</v>
      </c>
      <c r="G327" s="1"/>
      <c r="H327" t="str">
        <f>"3250612772261"</f>
        <v>3250612772261</v>
      </c>
      <c r="J327" t="s">
        <v>951</v>
      </c>
    </row>
    <row r="328" spans="1:10" x14ac:dyDescent="0.25">
      <c r="A328" t="s">
        <v>8</v>
      </c>
      <c r="B328" t="s">
        <v>952</v>
      </c>
      <c r="C328" t="s">
        <v>953</v>
      </c>
      <c r="D328">
        <v>1</v>
      </c>
      <c r="E328" t="s">
        <v>536</v>
      </c>
      <c r="F328" t="s">
        <v>537</v>
      </c>
      <c r="G328" s="1"/>
      <c r="H328" t="str">
        <f>"3250612772292"</f>
        <v>3250612772292</v>
      </c>
      <c r="J328" t="s">
        <v>954</v>
      </c>
    </row>
    <row r="329" spans="1:10" x14ac:dyDescent="0.25">
      <c r="A329" t="s">
        <v>8</v>
      </c>
      <c r="B329" t="s">
        <v>955</v>
      </c>
      <c r="C329" t="s">
        <v>956</v>
      </c>
      <c r="D329">
        <v>1</v>
      </c>
      <c r="E329" t="s">
        <v>536</v>
      </c>
      <c r="F329" t="s">
        <v>537</v>
      </c>
      <c r="G329" s="1"/>
      <c r="H329" t="str">
        <f>"3250612772308"</f>
        <v>3250612772308</v>
      </c>
      <c r="J329" t="s">
        <v>957</v>
      </c>
    </row>
    <row r="330" spans="1:10" x14ac:dyDescent="0.25">
      <c r="A330" t="s">
        <v>8</v>
      </c>
      <c r="B330" t="s">
        <v>958</v>
      </c>
      <c r="C330" t="s">
        <v>959</v>
      </c>
      <c r="D330">
        <v>1</v>
      </c>
      <c r="E330" t="s">
        <v>536</v>
      </c>
      <c r="F330" t="s">
        <v>537</v>
      </c>
      <c r="G330" s="1"/>
      <c r="H330" t="str">
        <f>"3250612772315"</f>
        <v>3250612772315</v>
      </c>
      <c r="J330" t="s">
        <v>960</v>
      </c>
    </row>
    <row r="331" spans="1:10" x14ac:dyDescent="0.25">
      <c r="A331" t="s">
        <v>8</v>
      </c>
      <c r="B331" t="s">
        <v>961</v>
      </c>
      <c r="C331" t="s">
        <v>962</v>
      </c>
      <c r="D331">
        <v>1</v>
      </c>
      <c r="E331" t="s">
        <v>536</v>
      </c>
      <c r="F331" t="s">
        <v>537</v>
      </c>
      <c r="G331" s="1"/>
      <c r="H331" t="str">
        <f>"3250612772322"</f>
        <v>3250612772322</v>
      </c>
      <c r="J331" t="s">
        <v>963</v>
      </c>
    </row>
    <row r="332" spans="1:10" x14ac:dyDescent="0.25">
      <c r="A332" t="s">
        <v>8</v>
      </c>
      <c r="B332" t="s">
        <v>964</v>
      </c>
      <c r="C332" t="s">
        <v>965</v>
      </c>
      <c r="D332">
        <v>1</v>
      </c>
      <c r="E332" t="s">
        <v>536</v>
      </c>
      <c r="F332" t="s">
        <v>537</v>
      </c>
      <c r="G332" s="1"/>
      <c r="H332" t="str">
        <f>"3250612772339"</f>
        <v>3250612772339</v>
      </c>
      <c r="J332" t="s">
        <v>966</v>
      </c>
    </row>
    <row r="333" spans="1:10" x14ac:dyDescent="0.25">
      <c r="A333" t="s">
        <v>8</v>
      </c>
      <c r="B333" t="s">
        <v>967</v>
      </c>
      <c r="C333" t="s">
        <v>968</v>
      </c>
      <c r="D333">
        <v>1</v>
      </c>
      <c r="E333" t="s">
        <v>536</v>
      </c>
      <c r="F333" t="s">
        <v>537</v>
      </c>
      <c r="G333" s="1"/>
      <c r="H333" t="str">
        <f>"3250612772346"</f>
        <v>3250612772346</v>
      </c>
      <c r="J333" t="s">
        <v>969</v>
      </c>
    </row>
    <row r="334" spans="1:10" x14ac:dyDescent="0.25">
      <c r="A334" t="s">
        <v>8</v>
      </c>
      <c r="B334" t="s">
        <v>970</v>
      </c>
      <c r="C334" t="s">
        <v>971</v>
      </c>
      <c r="D334">
        <v>1</v>
      </c>
      <c r="E334" t="s">
        <v>536</v>
      </c>
      <c r="F334" t="s">
        <v>537</v>
      </c>
      <c r="G334" s="1"/>
      <c r="H334" t="str">
        <f>"3250612772353"</f>
        <v>3250612772353</v>
      </c>
      <c r="J334" t="s">
        <v>972</v>
      </c>
    </row>
    <row r="335" spans="1:10" x14ac:dyDescent="0.25">
      <c r="A335" t="s">
        <v>8</v>
      </c>
      <c r="B335" t="s">
        <v>973</v>
      </c>
      <c r="C335" t="s">
        <v>974</v>
      </c>
      <c r="D335">
        <v>1</v>
      </c>
      <c r="E335" t="s">
        <v>536</v>
      </c>
      <c r="F335" t="s">
        <v>537</v>
      </c>
      <c r="G335" s="1"/>
      <c r="H335" t="str">
        <f>"3250610681480"</f>
        <v>3250610681480</v>
      </c>
      <c r="J335" t="s">
        <v>975</v>
      </c>
    </row>
    <row r="336" spans="1:10" x14ac:dyDescent="0.25">
      <c r="A336" t="s">
        <v>8</v>
      </c>
      <c r="B336" t="s">
        <v>976</v>
      </c>
      <c r="C336" t="s">
        <v>977</v>
      </c>
      <c r="D336">
        <v>1</v>
      </c>
      <c r="E336" t="s">
        <v>536</v>
      </c>
      <c r="F336" t="s">
        <v>537</v>
      </c>
      <c r="G336" s="1"/>
      <c r="H336" t="str">
        <f>"3250610681497"</f>
        <v>3250610681497</v>
      </c>
      <c r="J336" t="s">
        <v>978</v>
      </c>
    </row>
    <row r="337" spans="1:10" x14ac:dyDescent="0.25">
      <c r="A337" t="s">
        <v>8</v>
      </c>
      <c r="B337" t="s">
        <v>979</v>
      </c>
      <c r="C337" t="s">
        <v>980</v>
      </c>
      <c r="D337">
        <v>1</v>
      </c>
      <c r="E337" t="s">
        <v>536</v>
      </c>
      <c r="F337" t="s">
        <v>537</v>
      </c>
      <c r="G337" s="1"/>
      <c r="H337" t="str">
        <f>"3250610681503"</f>
        <v>3250610681503</v>
      </c>
      <c r="J337" t="s">
        <v>981</v>
      </c>
    </row>
    <row r="338" spans="1:10" x14ac:dyDescent="0.25">
      <c r="A338" t="s">
        <v>8</v>
      </c>
      <c r="B338" t="s">
        <v>982</v>
      </c>
      <c r="C338" t="s">
        <v>983</v>
      </c>
      <c r="D338">
        <v>1</v>
      </c>
      <c r="E338" t="s">
        <v>536</v>
      </c>
      <c r="F338" t="s">
        <v>537</v>
      </c>
      <c r="G338" s="1"/>
      <c r="H338" t="str">
        <f>"3250610680957"</f>
        <v>3250610680957</v>
      </c>
      <c r="J338" t="s">
        <v>984</v>
      </c>
    </row>
    <row r="339" spans="1:10" x14ac:dyDescent="0.25">
      <c r="A339" t="s">
        <v>8</v>
      </c>
      <c r="B339" t="s">
        <v>985</v>
      </c>
      <c r="C339" t="s">
        <v>986</v>
      </c>
      <c r="D339">
        <v>1</v>
      </c>
      <c r="E339" t="s">
        <v>536</v>
      </c>
      <c r="F339" t="s">
        <v>537</v>
      </c>
      <c r="G339" s="1"/>
      <c r="H339" t="str">
        <f>"3250610680995"</f>
        <v>3250610680995</v>
      </c>
      <c r="J339" t="s">
        <v>987</v>
      </c>
    </row>
    <row r="340" spans="1:10" x14ac:dyDescent="0.25">
      <c r="A340" t="s">
        <v>8</v>
      </c>
      <c r="B340" t="s">
        <v>988</v>
      </c>
      <c r="C340" t="s">
        <v>989</v>
      </c>
      <c r="D340">
        <v>1</v>
      </c>
      <c r="E340" t="s">
        <v>536</v>
      </c>
      <c r="F340" t="s">
        <v>537</v>
      </c>
      <c r="G340" s="1"/>
      <c r="H340" t="str">
        <f>"3250610681022"</f>
        <v>3250610681022</v>
      </c>
      <c r="J340" t="s">
        <v>990</v>
      </c>
    </row>
    <row r="341" spans="1:10" x14ac:dyDescent="0.25">
      <c r="A341" t="s">
        <v>8</v>
      </c>
      <c r="B341" t="s">
        <v>991</v>
      </c>
      <c r="C341" t="s">
        <v>992</v>
      </c>
      <c r="D341">
        <v>1</v>
      </c>
      <c r="E341" t="s">
        <v>536</v>
      </c>
      <c r="F341" t="s">
        <v>537</v>
      </c>
      <c r="G341" s="1"/>
      <c r="H341" t="str">
        <f>"3250616378360"</f>
        <v>3250616378360</v>
      </c>
      <c r="J341" t="s">
        <v>993</v>
      </c>
    </row>
    <row r="342" spans="1:10" x14ac:dyDescent="0.25">
      <c r="A342" t="s">
        <v>8</v>
      </c>
      <c r="B342" t="s">
        <v>994</v>
      </c>
      <c r="C342" t="s">
        <v>995</v>
      </c>
      <c r="D342">
        <v>1</v>
      </c>
      <c r="E342" t="s">
        <v>536</v>
      </c>
      <c r="F342" t="s">
        <v>537</v>
      </c>
      <c r="G342" s="1"/>
      <c r="H342" t="str">
        <f>"3250616379633"</f>
        <v>3250616379633</v>
      </c>
      <c r="J342" t="s">
        <v>996</v>
      </c>
    </row>
    <row r="343" spans="1:10" x14ac:dyDescent="0.25">
      <c r="A343" t="s">
        <v>8</v>
      </c>
      <c r="B343" t="s">
        <v>997</v>
      </c>
      <c r="C343" t="s">
        <v>998</v>
      </c>
      <c r="D343">
        <v>1</v>
      </c>
      <c r="E343" t="s">
        <v>536</v>
      </c>
      <c r="F343" t="s">
        <v>537</v>
      </c>
      <c r="G343" s="1"/>
      <c r="H343" t="str">
        <f>"3250616379640"</f>
        <v>3250616379640</v>
      </c>
      <c r="J343" t="s">
        <v>907</v>
      </c>
    </row>
    <row r="344" spans="1:10" x14ac:dyDescent="0.25">
      <c r="A344" t="s">
        <v>8</v>
      </c>
      <c r="B344" t="s">
        <v>999</v>
      </c>
      <c r="C344" t="s">
        <v>1000</v>
      </c>
      <c r="D344">
        <v>1</v>
      </c>
      <c r="E344" t="s">
        <v>536</v>
      </c>
      <c r="F344" t="s">
        <v>537</v>
      </c>
      <c r="G344" s="1"/>
      <c r="H344" t="str">
        <f>"3250616378452"</f>
        <v>3250616378452</v>
      </c>
      <c r="J344" t="s">
        <v>1001</v>
      </c>
    </row>
    <row r="345" spans="1:10" x14ac:dyDescent="0.25">
      <c r="A345" t="s">
        <v>8</v>
      </c>
      <c r="B345" t="s">
        <v>1002</v>
      </c>
      <c r="C345" t="s">
        <v>1003</v>
      </c>
      <c r="D345">
        <v>1</v>
      </c>
      <c r="E345" t="s">
        <v>536</v>
      </c>
      <c r="F345" t="s">
        <v>537</v>
      </c>
      <c r="G345" s="1"/>
      <c r="H345" t="str">
        <f>"3250616378469"</f>
        <v>3250616378469</v>
      </c>
      <c r="J345" t="s">
        <v>1004</v>
      </c>
    </row>
    <row r="346" spans="1:10" x14ac:dyDescent="0.25">
      <c r="A346" t="s">
        <v>8</v>
      </c>
      <c r="B346" t="s">
        <v>1005</v>
      </c>
      <c r="C346" t="s">
        <v>1006</v>
      </c>
      <c r="D346">
        <v>1</v>
      </c>
      <c r="E346" t="s">
        <v>536</v>
      </c>
      <c r="F346" t="s">
        <v>537</v>
      </c>
      <c r="G346" s="1"/>
      <c r="H346" t="str">
        <f>"3250616378476"</f>
        <v>3250616378476</v>
      </c>
      <c r="J346" t="s">
        <v>1007</v>
      </c>
    </row>
    <row r="347" spans="1:10" x14ac:dyDescent="0.25">
      <c r="A347" t="s">
        <v>8</v>
      </c>
      <c r="B347" t="s">
        <v>1008</v>
      </c>
      <c r="C347" t="s">
        <v>1009</v>
      </c>
      <c r="D347">
        <v>1</v>
      </c>
      <c r="E347" t="s">
        <v>536</v>
      </c>
      <c r="F347" t="s">
        <v>537</v>
      </c>
      <c r="G347" s="1"/>
      <c r="H347" t="str">
        <f>"3250616375802"</f>
        <v>3250616375802</v>
      </c>
      <c r="J347" t="s">
        <v>1010</v>
      </c>
    </row>
    <row r="348" spans="1:10" x14ac:dyDescent="0.25">
      <c r="A348" t="s">
        <v>8</v>
      </c>
      <c r="B348" t="s">
        <v>1011</v>
      </c>
      <c r="C348" t="s">
        <v>1012</v>
      </c>
      <c r="D348">
        <v>1</v>
      </c>
      <c r="E348" t="s">
        <v>536</v>
      </c>
      <c r="F348" t="s">
        <v>537</v>
      </c>
      <c r="G348" s="1"/>
      <c r="H348" t="str">
        <f>"3250616375819"</f>
        <v>3250616375819</v>
      </c>
      <c r="J348" t="s">
        <v>1013</v>
      </c>
    </row>
    <row r="349" spans="1:10" x14ac:dyDescent="0.25">
      <c r="A349" t="s">
        <v>8</v>
      </c>
      <c r="B349" t="s">
        <v>1014</v>
      </c>
      <c r="C349" t="s">
        <v>1015</v>
      </c>
      <c r="D349">
        <v>1</v>
      </c>
      <c r="E349" t="s">
        <v>536</v>
      </c>
      <c r="F349" t="s">
        <v>537</v>
      </c>
      <c r="G349" s="1"/>
      <c r="H349" t="str">
        <f>"3250616375826"</f>
        <v>3250616375826</v>
      </c>
      <c r="J349" t="s">
        <v>1004</v>
      </c>
    </row>
    <row r="350" spans="1:10" x14ac:dyDescent="0.25">
      <c r="A350" t="s">
        <v>8</v>
      </c>
      <c r="B350" t="s">
        <v>1016</v>
      </c>
      <c r="C350" t="s">
        <v>1017</v>
      </c>
      <c r="D350">
        <v>1</v>
      </c>
      <c r="E350" t="s">
        <v>536</v>
      </c>
      <c r="F350" t="s">
        <v>537</v>
      </c>
      <c r="G350" s="1"/>
      <c r="H350" t="str">
        <f>"3250616375833"</f>
        <v>3250616375833</v>
      </c>
      <c r="J350" t="s">
        <v>1018</v>
      </c>
    </row>
    <row r="351" spans="1:10" x14ac:dyDescent="0.25">
      <c r="A351" t="s">
        <v>8</v>
      </c>
      <c r="B351" t="s">
        <v>1019</v>
      </c>
      <c r="C351" t="s">
        <v>1020</v>
      </c>
      <c r="D351">
        <v>1</v>
      </c>
      <c r="E351" t="s">
        <v>536</v>
      </c>
      <c r="F351" t="s">
        <v>537</v>
      </c>
      <c r="G351" s="1"/>
      <c r="H351" t="str">
        <f>"3250616375840"</f>
        <v>3250616375840</v>
      </c>
      <c r="J351" t="s">
        <v>1021</v>
      </c>
    </row>
    <row r="352" spans="1:10" x14ac:dyDescent="0.25">
      <c r="A352" t="s">
        <v>8</v>
      </c>
      <c r="B352" t="s">
        <v>1022</v>
      </c>
      <c r="C352" t="s">
        <v>1023</v>
      </c>
      <c r="D352">
        <v>1</v>
      </c>
      <c r="E352" t="s">
        <v>536</v>
      </c>
      <c r="F352" t="s">
        <v>537</v>
      </c>
      <c r="G352" s="1"/>
      <c r="H352" t="str">
        <f>"3250616375857"</f>
        <v>3250616375857</v>
      </c>
      <c r="J352" t="s">
        <v>1024</v>
      </c>
    </row>
    <row r="353" spans="1:10" x14ac:dyDescent="0.25">
      <c r="A353" t="s">
        <v>8</v>
      </c>
      <c r="B353" t="s">
        <v>1025</v>
      </c>
      <c r="C353" t="s">
        <v>1026</v>
      </c>
      <c r="D353">
        <v>1</v>
      </c>
      <c r="E353" t="s">
        <v>536</v>
      </c>
      <c r="F353" t="s">
        <v>537</v>
      </c>
      <c r="G353" s="1"/>
      <c r="H353" t="str">
        <f>"3250616375864"</f>
        <v>3250616375864</v>
      </c>
      <c r="J353" t="s">
        <v>996</v>
      </c>
    </row>
    <row r="354" spans="1:10" x14ac:dyDescent="0.25">
      <c r="A354" t="s">
        <v>8</v>
      </c>
      <c r="B354" t="s">
        <v>1027</v>
      </c>
      <c r="C354" t="s">
        <v>1028</v>
      </c>
      <c r="D354">
        <v>1</v>
      </c>
      <c r="E354" t="s">
        <v>536</v>
      </c>
      <c r="F354" t="s">
        <v>537</v>
      </c>
      <c r="G354" s="1"/>
      <c r="H354" t="str">
        <f>"3250616379657"</f>
        <v>3250616379657</v>
      </c>
      <c r="J354" t="s">
        <v>1029</v>
      </c>
    </row>
    <row r="355" spans="1:10" x14ac:dyDescent="0.25">
      <c r="A355" t="s">
        <v>8</v>
      </c>
      <c r="B355" t="s">
        <v>1030</v>
      </c>
      <c r="C355" t="s">
        <v>1031</v>
      </c>
      <c r="D355">
        <v>1</v>
      </c>
      <c r="E355" t="s">
        <v>536</v>
      </c>
      <c r="F355" t="s">
        <v>537</v>
      </c>
      <c r="G355" s="1"/>
      <c r="H355" t="str">
        <f>"3250616375512"</f>
        <v>3250616375512</v>
      </c>
      <c r="J355" t="s">
        <v>966</v>
      </c>
    </row>
    <row r="356" spans="1:10" x14ac:dyDescent="0.25">
      <c r="A356" t="s">
        <v>8</v>
      </c>
      <c r="B356" t="s">
        <v>1032</v>
      </c>
      <c r="C356" t="s">
        <v>1033</v>
      </c>
      <c r="D356">
        <v>1</v>
      </c>
      <c r="E356" t="s">
        <v>536</v>
      </c>
      <c r="F356" t="s">
        <v>537</v>
      </c>
      <c r="G356" s="1"/>
      <c r="H356" t="str">
        <f>"3250616379664"</f>
        <v>3250616379664</v>
      </c>
      <c r="J356" t="s">
        <v>1034</v>
      </c>
    </row>
    <row r="357" spans="1:10" x14ac:dyDescent="0.25">
      <c r="A357" t="s">
        <v>8</v>
      </c>
      <c r="B357" t="s">
        <v>1035</v>
      </c>
      <c r="C357" t="s">
        <v>1036</v>
      </c>
      <c r="D357">
        <v>1</v>
      </c>
      <c r="E357" t="s">
        <v>536</v>
      </c>
      <c r="F357" t="s">
        <v>537</v>
      </c>
      <c r="G357" s="1"/>
      <c r="H357" t="str">
        <f>"3250616378377"</f>
        <v>3250616378377</v>
      </c>
      <c r="J357" t="s">
        <v>904</v>
      </c>
    </row>
    <row r="358" spans="1:10" x14ac:dyDescent="0.25">
      <c r="A358" t="s">
        <v>8</v>
      </c>
      <c r="B358" t="s">
        <v>1037</v>
      </c>
      <c r="C358" t="s">
        <v>1038</v>
      </c>
      <c r="D358">
        <v>1</v>
      </c>
      <c r="E358" t="s">
        <v>536</v>
      </c>
      <c r="F358" t="s">
        <v>537</v>
      </c>
      <c r="G358" s="1"/>
      <c r="H358" t="str">
        <f>"3250616375529"</f>
        <v>3250616375529</v>
      </c>
      <c r="J358" t="s">
        <v>898</v>
      </c>
    </row>
    <row r="359" spans="1:10" x14ac:dyDescent="0.25">
      <c r="A359" t="s">
        <v>8</v>
      </c>
      <c r="B359" t="s">
        <v>1039</v>
      </c>
      <c r="C359" t="s">
        <v>1040</v>
      </c>
      <c r="D359">
        <v>1</v>
      </c>
      <c r="E359" t="s">
        <v>536</v>
      </c>
      <c r="F359" t="s">
        <v>537</v>
      </c>
      <c r="G359" s="1"/>
      <c r="H359" t="str">
        <f>"3250616378384"</f>
        <v>3250616378384</v>
      </c>
      <c r="J359" t="s">
        <v>907</v>
      </c>
    </row>
    <row r="360" spans="1:10" x14ac:dyDescent="0.25">
      <c r="A360" t="s">
        <v>8</v>
      </c>
      <c r="B360" t="s">
        <v>1041</v>
      </c>
      <c r="C360" t="s">
        <v>1042</v>
      </c>
      <c r="D360">
        <v>1</v>
      </c>
      <c r="E360" t="s">
        <v>536</v>
      </c>
      <c r="F360" t="s">
        <v>537</v>
      </c>
      <c r="G360" s="1"/>
      <c r="H360" t="str">
        <f>"3250616375536"</f>
        <v>3250616375536</v>
      </c>
      <c r="J360" t="s">
        <v>1043</v>
      </c>
    </row>
    <row r="361" spans="1:10" x14ac:dyDescent="0.25">
      <c r="A361" t="s">
        <v>8</v>
      </c>
      <c r="B361" t="s">
        <v>1044</v>
      </c>
      <c r="C361" t="s">
        <v>1045</v>
      </c>
      <c r="D361">
        <v>1</v>
      </c>
      <c r="E361" t="s">
        <v>536</v>
      </c>
      <c r="F361" t="s">
        <v>537</v>
      </c>
      <c r="G361" s="1"/>
      <c r="H361" t="str">
        <f>"3250616379718"</f>
        <v>3250616379718</v>
      </c>
      <c r="J361" t="s">
        <v>996</v>
      </c>
    </row>
    <row r="362" spans="1:10" x14ac:dyDescent="0.25">
      <c r="A362" t="s">
        <v>8</v>
      </c>
      <c r="B362" t="s">
        <v>1046</v>
      </c>
      <c r="C362" t="s">
        <v>1047</v>
      </c>
      <c r="D362">
        <v>1</v>
      </c>
      <c r="E362" t="s">
        <v>536</v>
      </c>
      <c r="F362" t="s">
        <v>537</v>
      </c>
      <c r="G362" s="1"/>
      <c r="H362" t="str">
        <f>"3250616375543"</f>
        <v>3250616375543</v>
      </c>
      <c r="J362" t="s">
        <v>1010</v>
      </c>
    </row>
    <row r="363" spans="1:10" x14ac:dyDescent="0.25">
      <c r="A363" t="s">
        <v>8</v>
      </c>
      <c r="B363" t="s">
        <v>1048</v>
      </c>
      <c r="C363" t="s">
        <v>1049</v>
      </c>
      <c r="D363">
        <v>1</v>
      </c>
      <c r="E363" t="s">
        <v>536</v>
      </c>
      <c r="F363" t="s">
        <v>537</v>
      </c>
      <c r="G363" s="1"/>
      <c r="H363" t="str">
        <f>"3250616375871"</f>
        <v>3250616375871</v>
      </c>
      <c r="J363" t="s">
        <v>1050</v>
      </c>
    </row>
    <row r="364" spans="1:10" x14ac:dyDescent="0.25">
      <c r="A364" t="s">
        <v>8</v>
      </c>
      <c r="B364" t="s">
        <v>1051</v>
      </c>
      <c r="C364" t="s">
        <v>1052</v>
      </c>
      <c r="D364">
        <v>1</v>
      </c>
      <c r="E364" t="s">
        <v>536</v>
      </c>
      <c r="F364" t="s">
        <v>537</v>
      </c>
      <c r="G364" s="1"/>
      <c r="H364" t="str">
        <f>"3250616375550"</f>
        <v>3250616375550</v>
      </c>
      <c r="J364" t="s">
        <v>1053</v>
      </c>
    </row>
    <row r="365" spans="1:10" x14ac:dyDescent="0.25">
      <c r="A365" t="s">
        <v>8</v>
      </c>
      <c r="B365" t="s">
        <v>1054</v>
      </c>
      <c r="C365" t="s">
        <v>1055</v>
      </c>
      <c r="D365">
        <v>1</v>
      </c>
      <c r="E365" t="s">
        <v>536</v>
      </c>
      <c r="F365" t="s">
        <v>537</v>
      </c>
      <c r="G365" s="1"/>
      <c r="H365" t="str">
        <f>"3250616375888"</f>
        <v>3250616375888</v>
      </c>
      <c r="J365" t="s">
        <v>1018</v>
      </c>
    </row>
    <row r="366" spans="1:10" x14ac:dyDescent="0.25">
      <c r="A366" t="s">
        <v>8</v>
      </c>
      <c r="B366" t="s">
        <v>1056</v>
      </c>
      <c r="C366" t="s">
        <v>1057</v>
      </c>
      <c r="D366">
        <v>1</v>
      </c>
      <c r="E366" t="s">
        <v>536</v>
      </c>
      <c r="F366" t="s">
        <v>537</v>
      </c>
      <c r="G366" s="1"/>
      <c r="H366" t="str">
        <f>"3250616375895"</f>
        <v>3250616375895</v>
      </c>
      <c r="J366" t="s">
        <v>1021</v>
      </c>
    </row>
    <row r="367" spans="1:10" x14ac:dyDescent="0.25">
      <c r="A367" t="s">
        <v>8</v>
      </c>
      <c r="B367" t="s">
        <v>1058</v>
      </c>
      <c r="C367" t="s">
        <v>1059</v>
      </c>
      <c r="D367">
        <v>1</v>
      </c>
      <c r="E367" t="s">
        <v>536</v>
      </c>
      <c r="F367" t="s">
        <v>537</v>
      </c>
      <c r="G367" s="1"/>
      <c r="H367" t="str">
        <f>"3250616375901"</f>
        <v>3250616375901</v>
      </c>
      <c r="J367" t="s">
        <v>1060</v>
      </c>
    </row>
    <row r="368" spans="1:10" x14ac:dyDescent="0.25">
      <c r="A368" t="s">
        <v>8</v>
      </c>
      <c r="B368" t="s">
        <v>1061</v>
      </c>
      <c r="C368" t="s">
        <v>1062</v>
      </c>
      <c r="D368">
        <v>1</v>
      </c>
      <c r="E368" t="s">
        <v>536</v>
      </c>
      <c r="F368" t="s">
        <v>537</v>
      </c>
      <c r="G368" s="1"/>
      <c r="H368" t="str">
        <f>"3250616375918"</f>
        <v>3250616375918</v>
      </c>
      <c r="J368" t="s">
        <v>996</v>
      </c>
    </row>
    <row r="369" spans="1:10" x14ac:dyDescent="0.25">
      <c r="A369" t="s">
        <v>8</v>
      </c>
      <c r="B369" t="s">
        <v>1063</v>
      </c>
      <c r="C369" t="s">
        <v>1064</v>
      </c>
      <c r="D369">
        <v>1</v>
      </c>
      <c r="E369" t="s">
        <v>536</v>
      </c>
      <c r="F369" t="s">
        <v>537</v>
      </c>
      <c r="G369" s="1"/>
      <c r="H369" t="str">
        <f>"3250616375925"</f>
        <v>3250616375925</v>
      </c>
      <c r="J369" t="s">
        <v>1001</v>
      </c>
    </row>
    <row r="370" spans="1:10" x14ac:dyDescent="0.25">
      <c r="A370" t="s">
        <v>8</v>
      </c>
      <c r="B370" t="s">
        <v>1065</v>
      </c>
      <c r="C370" t="s">
        <v>1066</v>
      </c>
      <c r="D370">
        <v>1</v>
      </c>
      <c r="E370" t="s">
        <v>536</v>
      </c>
      <c r="F370" t="s">
        <v>537</v>
      </c>
      <c r="G370" s="1"/>
      <c r="H370" t="str">
        <f>"3250616375932"</f>
        <v>3250616375932</v>
      </c>
      <c r="J370" t="s">
        <v>936</v>
      </c>
    </row>
    <row r="371" spans="1:10" x14ac:dyDescent="0.25">
      <c r="A371" t="s">
        <v>8</v>
      </c>
      <c r="B371" t="s">
        <v>1067</v>
      </c>
      <c r="C371" t="s">
        <v>1068</v>
      </c>
      <c r="D371">
        <v>1</v>
      </c>
      <c r="E371" t="s">
        <v>536</v>
      </c>
      <c r="F371" t="s">
        <v>537</v>
      </c>
      <c r="G371" s="1"/>
      <c r="H371" t="str">
        <f>"3250616376533"</f>
        <v>3250616376533</v>
      </c>
      <c r="J371" t="s">
        <v>1053</v>
      </c>
    </row>
    <row r="372" spans="1:10" x14ac:dyDescent="0.25">
      <c r="A372" t="s">
        <v>8</v>
      </c>
      <c r="B372" t="s">
        <v>1069</v>
      </c>
      <c r="C372" t="s">
        <v>1070</v>
      </c>
      <c r="D372">
        <v>1</v>
      </c>
      <c r="E372" t="s">
        <v>536</v>
      </c>
      <c r="F372" t="s">
        <v>537</v>
      </c>
      <c r="G372" s="1"/>
      <c r="H372" t="str">
        <f>"3250616379794"</f>
        <v>3250616379794</v>
      </c>
      <c r="J372" t="s">
        <v>1071</v>
      </c>
    </row>
    <row r="373" spans="1:10" x14ac:dyDescent="0.25">
      <c r="A373" t="s">
        <v>8</v>
      </c>
      <c r="B373" t="s">
        <v>1072</v>
      </c>
      <c r="C373" t="s">
        <v>1073</v>
      </c>
      <c r="D373">
        <v>1</v>
      </c>
      <c r="E373" t="s">
        <v>536</v>
      </c>
      <c r="F373" t="s">
        <v>537</v>
      </c>
      <c r="G373" s="1"/>
      <c r="H373" t="str">
        <f>"3250616375598"</f>
        <v>3250616375598</v>
      </c>
      <c r="J373" t="s">
        <v>1074</v>
      </c>
    </row>
    <row r="374" spans="1:10" x14ac:dyDescent="0.25">
      <c r="A374" t="s">
        <v>8</v>
      </c>
      <c r="B374" t="s">
        <v>1075</v>
      </c>
      <c r="C374" t="s">
        <v>1076</v>
      </c>
      <c r="D374">
        <v>1</v>
      </c>
      <c r="E374" t="s">
        <v>536</v>
      </c>
      <c r="F374" t="s">
        <v>537</v>
      </c>
      <c r="G374" s="1"/>
      <c r="H374" t="str">
        <f>"3250616375949"</f>
        <v>3250616375949</v>
      </c>
      <c r="J374" t="s">
        <v>1050</v>
      </c>
    </row>
    <row r="375" spans="1:10" x14ac:dyDescent="0.25">
      <c r="A375" t="s">
        <v>8</v>
      </c>
      <c r="B375" t="s">
        <v>1077</v>
      </c>
      <c r="C375" t="s">
        <v>1078</v>
      </c>
      <c r="D375">
        <v>1</v>
      </c>
      <c r="E375" t="s">
        <v>536</v>
      </c>
      <c r="F375" t="s">
        <v>537</v>
      </c>
      <c r="G375" s="1"/>
      <c r="H375" t="str">
        <f>"3250616375604"</f>
        <v>3250616375604</v>
      </c>
      <c r="J375" t="s">
        <v>1053</v>
      </c>
    </row>
    <row r="376" spans="1:10" x14ac:dyDescent="0.25">
      <c r="A376" t="s">
        <v>8</v>
      </c>
      <c r="B376" t="s">
        <v>1079</v>
      </c>
      <c r="C376" t="s">
        <v>1080</v>
      </c>
      <c r="D376">
        <v>1</v>
      </c>
      <c r="E376" t="s">
        <v>536</v>
      </c>
      <c r="F376" t="s">
        <v>537</v>
      </c>
      <c r="G376" s="1"/>
      <c r="H376" t="str">
        <f>"3250616375956"</f>
        <v>3250616375956</v>
      </c>
      <c r="J376" t="s">
        <v>1024</v>
      </c>
    </row>
    <row r="377" spans="1:10" x14ac:dyDescent="0.25">
      <c r="A377" t="s">
        <v>8</v>
      </c>
      <c r="B377" t="s">
        <v>1081</v>
      </c>
      <c r="C377" t="s">
        <v>1082</v>
      </c>
      <c r="D377">
        <v>1</v>
      </c>
      <c r="E377" t="s">
        <v>536</v>
      </c>
      <c r="F377" t="s">
        <v>537</v>
      </c>
      <c r="G377" s="1"/>
      <c r="H377" t="str">
        <f>"3250616375963"</f>
        <v>3250616375963</v>
      </c>
      <c r="J377" t="s">
        <v>1018</v>
      </c>
    </row>
    <row r="378" spans="1:10" x14ac:dyDescent="0.25">
      <c r="A378" t="s">
        <v>8</v>
      </c>
      <c r="B378" t="s">
        <v>1083</v>
      </c>
      <c r="C378" t="s">
        <v>1084</v>
      </c>
      <c r="D378">
        <v>1</v>
      </c>
      <c r="E378" t="s">
        <v>536</v>
      </c>
      <c r="F378" t="s">
        <v>537</v>
      </c>
      <c r="G378" s="1"/>
      <c r="H378" t="str">
        <f>"3250616375970"</f>
        <v>3250616375970</v>
      </c>
      <c r="J378" t="s">
        <v>996</v>
      </c>
    </row>
    <row r="379" spans="1:10" x14ac:dyDescent="0.25">
      <c r="A379" t="s">
        <v>8</v>
      </c>
      <c r="B379" t="s">
        <v>1085</v>
      </c>
      <c r="C379" t="s">
        <v>1086</v>
      </c>
      <c r="D379">
        <v>1</v>
      </c>
      <c r="E379" t="s">
        <v>536</v>
      </c>
      <c r="F379" t="s">
        <v>537</v>
      </c>
      <c r="G379" s="1"/>
      <c r="H379" t="str">
        <f>"3250616375987"</f>
        <v>3250616375987</v>
      </c>
      <c r="J379" t="s">
        <v>1021</v>
      </c>
    </row>
    <row r="380" spans="1:10" x14ac:dyDescent="0.25">
      <c r="A380" t="s">
        <v>8</v>
      </c>
      <c r="B380" t="s">
        <v>1087</v>
      </c>
      <c r="C380" t="s">
        <v>1088</v>
      </c>
      <c r="D380">
        <v>1</v>
      </c>
      <c r="E380" t="s">
        <v>536</v>
      </c>
      <c r="F380" t="s">
        <v>537</v>
      </c>
      <c r="G380" s="1"/>
      <c r="H380" t="str">
        <f>"3250616375994"</f>
        <v>3250616375994</v>
      </c>
      <c r="J380" t="s">
        <v>1024</v>
      </c>
    </row>
    <row r="381" spans="1:10" x14ac:dyDescent="0.25">
      <c r="A381" t="s">
        <v>8</v>
      </c>
      <c r="B381" t="s">
        <v>1089</v>
      </c>
      <c r="C381" t="s">
        <v>1090</v>
      </c>
      <c r="D381">
        <v>1</v>
      </c>
      <c r="E381" t="s">
        <v>536</v>
      </c>
      <c r="F381" t="s">
        <v>537</v>
      </c>
      <c r="G381" s="1"/>
      <c r="H381" t="str">
        <f>"3250616376007"</f>
        <v>3250616376007</v>
      </c>
      <c r="J381" t="s">
        <v>1071</v>
      </c>
    </row>
    <row r="382" spans="1:10" x14ac:dyDescent="0.25">
      <c r="A382" t="s">
        <v>8</v>
      </c>
      <c r="B382" t="s">
        <v>1091</v>
      </c>
      <c r="C382" t="s">
        <v>1092</v>
      </c>
      <c r="D382">
        <v>1</v>
      </c>
      <c r="E382" t="s">
        <v>536</v>
      </c>
      <c r="F382" t="s">
        <v>537</v>
      </c>
      <c r="G382" s="1"/>
      <c r="H382" t="str">
        <f>"3250616376014"</f>
        <v>3250616376014</v>
      </c>
      <c r="J382" t="s">
        <v>1071</v>
      </c>
    </row>
    <row r="383" spans="1:10" x14ac:dyDescent="0.25">
      <c r="A383" t="s">
        <v>8</v>
      </c>
      <c r="B383" t="s">
        <v>1093</v>
      </c>
      <c r="C383" t="s">
        <v>1094</v>
      </c>
      <c r="D383">
        <v>1</v>
      </c>
      <c r="E383" t="s">
        <v>536</v>
      </c>
      <c r="F383" t="s">
        <v>537</v>
      </c>
      <c r="G383" s="1"/>
      <c r="H383" t="str">
        <f>"3250616376021"</f>
        <v>3250616376021</v>
      </c>
      <c r="J383" t="s">
        <v>1095</v>
      </c>
    </row>
    <row r="384" spans="1:10" x14ac:dyDescent="0.25">
      <c r="A384" t="s">
        <v>8</v>
      </c>
      <c r="B384" t="s">
        <v>1096</v>
      </c>
      <c r="C384" t="s">
        <v>1097</v>
      </c>
      <c r="D384">
        <v>1</v>
      </c>
      <c r="E384" t="s">
        <v>536</v>
      </c>
      <c r="F384" t="s">
        <v>537</v>
      </c>
      <c r="G384" s="1"/>
      <c r="H384" t="str">
        <f>"3250616376038"</f>
        <v>3250616376038</v>
      </c>
      <c r="J384" t="s">
        <v>1098</v>
      </c>
    </row>
    <row r="385" spans="1:10" x14ac:dyDescent="0.25">
      <c r="A385" t="s">
        <v>8</v>
      </c>
      <c r="B385" t="s">
        <v>1099</v>
      </c>
      <c r="C385" t="s">
        <v>1100</v>
      </c>
      <c r="D385">
        <v>1</v>
      </c>
      <c r="E385" t="s">
        <v>536</v>
      </c>
      <c r="F385" t="s">
        <v>537</v>
      </c>
      <c r="G385" s="1"/>
      <c r="H385" t="str">
        <f>"3250616376045"</f>
        <v>3250616376045</v>
      </c>
      <c r="J385" t="s">
        <v>1101</v>
      </c>
    </row>
    <row r="386" spans="1:10" x14ac:dyDescent="0.25">
      <c r="A386" t="s">
        <v>8</v>
      </c>
      <c r="B386" t="s">
        <v>1102</v>
      </c>
      <c r="C386" t="s">
        <v>1103</v>
      </c>
      <c r="D386">
        <v>1</v>
      </c>
      <c r="E386" t="s">
        <v>536</v>
      </c>
      <c r="F386" t="s">
        <v>537</v>
      </c>
      <c r="G386" s="1"/>
      <c r="H386" t="str">
        <f>"3250616379428"</f>
        <v>3250616379428</v>
      </c>
      <c r="J386" t="s">
        <v>1104</v>
      </c>
    </row>
    <row r="387" spans="1:10" x14ac:dyDescent="0.25">
      <c r="A387" t="s">
        <v>8</v>
      </c>
      <c r="B387" t="s">
        <v>1105</v>
      </c>
      <c r="C387" t="s">
        <v>1106</v>
      </c>
      <c r="D387">
        <v>1</v>
      </c>
      <c r="E387" t="s">
        <v>536</v>
      </c>
      <c r="F387" t="s">
        <v>537</v>
      </c>
      <c r="G387" s="1"/>
      <c r="H387" t="str">
        <f>"3250616379817"</f>
        <v>3250616379817</v>
      </c>
      <c r="J387" t="s">
        <v>1107</v>
      </c>
    </row>
    <row r="388" spans="1:10" x14ac:dyDescent="0.25">
      <c r="A388" t="s">
        <v>8</v>
      </c>
      <c r="B388" t="s">
        <v>1108</v>
      </c>
      <c r="C388" t="s">
        <v>1109</v>
      </c>
      <c r="D388">
        <v>1</v>
      </c>
      <c r="E388" t="s">
        <v>536</v>
      </c>
      <c r="F388" t="s">
        <v>537</v>
      </c>
      <c r="G388" s="1"/>
      <c r="H388" t="str">
        <f>"3250616379435"</f>
        <v>3250616379435</v>
      </c>
      <c r="J388" t="s">
        <v>1050</v>
      </c>
    </row>
    <row r="389" spans="1:10" x14ac:dyDescent="0.25">
      <c r="A389" t="s">
        <v>8</v>
      </c>
      <c r="B389" t="s">
        <v>1110</v>
      </c>
      <c r="C389" t="s">
        <v>1111</v>
      </c>
      <c r="D389">
        <v>1</v>
      </c>
      <c r="E389" t="s">
        <v>536</v>
      </c>
      <c r="F389" t="s">
        <v>537</v>
      </c>
      <c r="G389" s="1"/>
      <c r="H389" t="str">
        <f>"3250616376052"</f>
        <v>3250616376052</v>
      </c>
      <c r="J389" t="s">
        <v>1018</v>
      </c>
    </row>
    <row r="390" spans="1:10" x14ac:dyDescent="0.25">
      <c r="A390" t="s">
        <v>8</v>
      </c>
      <c r="B390" t="s">
        <v>1112</v>
      </c>
      <c r="C390" t="s">
        <v>1113</v>
      </c>
      <c r="D390">
        <v>1</v>
      </c>
      <c r="E390" t="s">
        <v>536</v>
      </c>
      <c r="F390" t="s">
        <v>537</v>
      </c>
      <c r="G390" s="1"/>
      <c r="H390" t="str">
        <f>"3250616376069"</f>
        <v>3250616376069</v>
      </c>
      <c r="J390" t="s">
        <v>1018</v>
      </c>
    </row>
    <row r="391" spans="1:10" x14ac:dyDescent="0.25">
      <c r="A391" t="s">
        <v>8</v>
      </c>
      <c r="B391" t="s">
        <v>1114</v>
      </c>
      <c r="C391" t="s">
        <v>1115</v>
      </c>
      <c r="D391">
        <v>1</v>
      </c>
      <c r="E391" t="s">
        <v>536</v>
      </c>
      <c r="F391" t="s">
        <v>537</v>
      </c>
      <c r="G391" s="1"/>
      <c r="H391" t="str">
        <f>"3250616376076"</f>
        <v>3250616376076</v>
      </c>
      <c r="J391" t="s">
        <v>1060</v>
      </c>
    </row>
    <row r="392" spans="1:10" x14ac:dyDescent="0.25">
      <c r="A392" t="s">
        <v>8</v>
      </c>
      <c r="B392" t="s">
        <v>1116</v>
      </c>
      <c r="C392" t="s">
        <v>1117</v>
      </c>
      <c r="D392">
        <v>1</v>
      </c>
      <c r="E392" t="s">
        <v>536</v>
      </c>
      <c r="F392" t="s">
        <v>537</v>
      </c>
      <c r="G392" s="1"/>
      <c r="H392" t="str">
        <f>"3250616376083"</f>
        <v>3250616376083</v>
      </c>
      <c r="J392" t="s">
        <v>1024</v>
      </c>
    </row>
    <row r="393" spans="1:10" x14ac:dyDescent="0.25">
      <c r="A393" t="s">
        <v>8</v>
      </c>
      <c r="B393" t="s">
        <v>1118</v>
      </c>
      <c r="C393" t="s">
        <v>1119</v>
      </c>
      <c r="D393">
        <v>1</v>
      </c>
      <c r="E393" t="s">
        <v>536</v>
      </c>
      <c r="F393" t="s">
        <v>537</v>
      </c>
      <c r="G393" s="1"/>
      <c r="H393" t="str">
        <f>"3250616376090"</f>
        <v>3250616376090</v>
      </c>
      <c r="J393" t="s">
        <v>1021</v>
      </c>
    </row>
    <row r="394" spans="1:10" x14ac:dyDescent="0.25">
      <c r="A394" t="s">
        <v>8</v>
      </c>
      <c r="B394" t="s">
        <v>1120</v>
      </c>
      <c r="C394" t="s">
        <v>1121</v>
      </c>
      <c r="D394">
        <v>1</v>
      </c>
      <c r="E394" t="s">
        <v>536</v>
      </c>
      <c r="F394" t="s">
        <v>537</v>
      </c>
      <c r="G394" s="1"/>
      <c r="H394" t="str">
        <f>"3250616376106"</f>
        <v>3250616376106</v>
      </c>
      <c r="J394" t="s">
        <v>1095</v>
      </c>
    </row>
    <row r="395" spans="1:10" x14ac:dyDescent="0.25">
      <c r="A395" t="s">
        <v>8</v>
      </c>
      <c r="B395" t="s">
        <v>1122</v>
      </c>
      <c r="C395" t="s">
        <v>1123</v>
      </c>
      <c r="D395">
        <v>1</v>
      </c>
      <c r="E395" t="s">
        <v>536</v>
      </c>
      <c r="F395" t="s">
        <v>537</v>
      </c>
      <c r="G395" s="1"/>
      <c r="H395" t="str">
        <f>"3250616375611"</f>
        <v>3250616375611</v>
      </c>
      <c r="J395" t="s">
        <v>1050</v>
      </c>
    </row>
    <row r="396" spans="1:10" x14ac:dyDescent="0.25">
      <c r="A396" t="s">
        <v>8</v>
      </c>
      <c r="B396" t="s">
        <v>1124</v>
      </c>
      <c r="C396" t="s">
        <v>1125</v>
      </c>
      <c r="D396">
        <v>1</v>
      </c>
      <c r="E396" t="s">
        <v>536</v>
      </c>
      <c r="F396" t="s">
        <v>537</v>
      </c>
      <c r="G396" s="1"/>
      <c r="H396" t="str">
        <f>"3250616376113"</f>
        <v>3250616376113</v>
      </c>
      <c r="J396" t="s">
        <v>1126</v>
      </c>
    </row>
    <row r="397" spans="1:10" x14ac:dyDescent="0.25">
      <c r="A397" t="s">
        <v>8</v>
      </c>
      <c r="B397" t="s">
        <v>1127</v>
      </c>
      <c r="C397" t="s">
        <v>1128</v>
      </c>
      <c r="D397">
        <v>1</v>
      </c>
      <c r="E397" t="s">
        <v>536</v>
      </c>
      <c r="F397" t="s">
        <v>537</v>
      </c>
      <c r="G397" s="1"/>
      <c r="H397" t="str">
        <f>"3250616376120"</f>
        <v>3250616376120</v>
      </c>
      <c r="J397" t="s">
        <v>1018</v>
      </c>
    </row>
    <row r="398" spans="1:10" x14ac:dyDescent="0.25">
      <c r="A398" t="s">
        <v>8</v>
      </c>
      <c r="B398" t="s">
        <v>1129</v>
      </c>
      <c r="C398" t="s">
        <v>1130</v>
      </c>
      <c r="D398">
        <v>1</v>
      </c>
      <c r="E398" t="s">
        <v>536</v>
      </c>
      <c r="F398" t="s">
        <v>537</v>
      </c>
      <c r="G398" s="1"/>
      <c r="H398" t="str">
        <f>"3250616376137"</f>
        <v>3250616376137</v>
      </c>
      <c r="J398" t="s">
        <v>936</v>
      </c>
    </row>
    <row r="399" spans="1:10" x14ac:dyDescent="0.25">
      <c r="A399" t="s">
        <v>8</v>
      </c>
      <c r="B399" t="s">
        <v>1131</v>
      </c>
      <c r="C399" t="s">
        <v>1132</v>
      </c>
      <c r="D399">
        <v>1</v>
      </c>
      <c r="E399" t="s">
        <v>536</v>
      </c>
      <c r="F399" t="s">
        <v>537</v>
      </c>
      <c r="G399" s="1"/>
      <c r="H399" t="str">
        <f>"3250616376144"</f>
        <v>3250616376144</v>
      </c>
      <c r="J399" t="s">
        <v>996</v>
      </c>
    </row>
    <row r="400" spans="1:10" x14ac:dyDescent="0.25">
      <c r="A400" t="s">
        <v>8</v>
      </c>
      <c r="B400" t="s">
        <v>1133</v>
      </c>
      <c r="C400" t="s">
        <v>1134</v>
      </c>
      <c r="D400">
        <v>1</v>
      </c>
      <c r="E400" t="s">
        <v>536</v>
      </c>
      <c r="F400" t="s">
        <v>537</v>
      </c>
      <c r="G400" s="1"/>
      <c r="H400" t="str">
        <f>"3250616376151"</f>
        <v>3250616376151</v>
      </c>
      <c r="J400" t="s">
        <v>1098</v>
      </c>
    </row>
    <row r="401" spans="1:10" x14ac:dyDescent="0.25">
      <c r="A401" t="s">
        <v>8</v>
      </c>
      <c r="B401" t="s">
        <v>1135</v>
      </c>
      <c r="C401" t="s">
        <v>1136</v>
      </c>
      <c r="D401">
        <v>1</v>
      </c>
      <c r="E401" t="s">
        <v>536</v>
      </c>
      <c r="F401" t="s">
        <v>537</v>
      </c>
      <c r="G401" s="1"/>
      <c r="H401" t="str">
        <f>"3250616376168"</f>
        <v>3250616376168</v>
      </c>
      <c r="J401" t="s">
        <v>1137</v>
      </c>
    </row>
    <row r="402" spans="1:10" x14ac:dyDescent="0.25">
      <c r="A402" t="s">
        <v>8</v>
      </c>
      <c r="B402" t="s">
        <v>1138</v>
      </c>
      <c r="C402" t="s">
        <v>1139</v>
      </c>
      <c r="D402">
        <v>1</v>
      </c>
      <c r="E402" t="s">
        <v>536</v>
      </c>
      <c r="F402" t="s">
        <v>537</v>
      </c>
      <c r="G402" s="1"/>
      <c r="H402" t="str">
        <f>"3250616376175"</f>
        <v>3250616376175</v>
      </c>
      <c r="I402" s="1"/>
      <c r="J402" t="s">
        <v>933</v>
      </c>
    </row>
    <row r="403" spans="1:10" x14ac:dyDescent="0.25">
      <c r="A403" t="s">
        <v>8</v>
      </c>
      <c r="B403" t="s">
        <v>1140</v>
      </c>
      <c r="C403" t="s">
        <v>1141</v>
      </c>
      <c r="D403">
        <v>1</v>
      </c>
      <c r="E403" t="s">
        <v>536</v>
      </c>
      <c r="F403" t="s">
        <v>537</v>
      </c>
      <c r="G403" s="1"/>
      <c r="H403" t="str">
        <f>"3250616376540"</f>
        <v>3250616376540</v>
      </c>
      <c r="J403" t="s">
        <v>1142</v>
      </c>
    </row>
    <row r="404" spans="1:10" x14ac:dyDescent="0.25">
      <c r="A404" t="s">
        <v>8</v>
      </c>
      <c r="B404" t="s">
        <v>1143</v>
      </c>
      <c r="C404" t="s">
        <v>1144</v>
      </c>
      <c r="D404">
        <v>1</v>
      </c>
      <c r="E404" t="s">
        <v>536</v>
      </c>
      <c r="F404" t="s">
        <v>537</v>
      </c>
      <c r="G404" s="1"/>
      <c r="H404" t="str">
        <f>"3250616375635"</f>
        <v>3250616375635</v>
      </c>
      <c r="J404" t="s">
        <v>1142</v>
      </c>
    </row>
    <row r="405" spans="1:10" x14ac:dyDescent="0.25">
      <c r="A405" t="s">
        <v>8</v>
      </c>
      <c r="B405" t="s">
        <v>1145</v>
      </c>
      <c r="C405" t="s">
        <v>1146</v>
      </c>
      <c r="D405">
        <v>1</v>
      </c>
      <c r="E405" t="s">
        <v>536</v>
      </c>
      <c r="F405" t="s">
        <v>537</v>
      </c>
      <c r="G405" s="1"/>
      <c r="H405" t="str">
        <f>"3250616380516"</f>
        <v>3250616380516</v>
      </c>
      <c r="J405" t="s">
        <v>1126</v>
      </c>
    </row>
    <row r="406" spans="1:10" x14ac:dyDescent="0.25">
      <c r="A406" t="s">
        <v>8</v>
      </c>
      <c r="B406" t="s">
        <v>1147</v>
      </c>
      <c r="C406" t="s">
        <v>1148</v>
      </c>
      <c r="D406">
        <v>1</v>
      </c>
      <c r="E406" t="s">
        <v>536</v>
      </c>
      <c r="F406" t="s">
        <v>537</v>
      </c>
      <c r="G406" s="1"/>
      <c r="H406" t="str">
        <f>"3250616375659"</f>
        <v>3250616375659</v>
      </c>
      <c r="J406" t="s">
        <v>1126</v>
      </c>
    </row>
    <row r="407" spans="1:10" x14ac:dyDescent="0.25">
      <c r="A407" t="s">
        <v>8</v>
      </c>
      <c r="B407" t="s">
        <v>1149</v>
      </c>
      <c r="C407" t="s">
        <v>1150</v>
      </c>
      <c r="D407">
        <v>1</v>
      </c>
      <c r="E407" t="s">
        <v>536</v>
      </c>
      <c r="F407" t="s">
        <v>537</v>
      </c>
      <c r="G407" s="1"/>
      <c r="H407" t="str">
        <f>"3250616376182"</f>
        <v>3250616376182</v>
      </c>
      <c r="J407" t="s">
        <v>1151</v>
      </c>
    </row>
    <row r="408" spans="1:10" x14ac:dyDescent="0.25">
      <c r="A408" t="s">
        <v>8</v>
      </c>
      <c r="B408" t="s">
        <v>1152</v>
      </c>
      <c r="C408" t="s">
        <v>1153</v>
      </c>
      <c r="D408">
        <v>1</v>
      </c>
      <c r="E408" t="s">
        <v>536</v>
      </c>
      <c r="F408" t="s">
        <v>537</v>
      </c>
      <c r="G408" s="1"/>
      <c r="H408" t="str">
        <f>"3250616376199"</f>
        <v>3250616376199</v>
      </c>
      <c r="J408" t="s">
        <v>1126</v>
      </c>
    </row>
    <row r="409" spans="1:10" x14ac:dyDescent="0.25">
      <c r="A409" t="s">
        <v>8</v>
      </c>
      <c r="B409" t="s">
        <v>1154</v>
      </c>
      <c r="C409" t="s">
        <v>1155</v>
      </c>
      <c r="D409">
        <v>1</v>
      </c>
      <c r="E409" t="s">
        <v>536</v>
      </c>
      <c r="F409" t="s">
        <v>537</v>
      </c>
      <c r="G409" s="1"/>
      <c r="H409" t="str">
        <f>"3250616375666"</f>
        <v>3250616375666</v>
      </c>
      <c r="J409" t="s">
        <v>1156</v>
      </c>
    </row>
    <row r="410" spans="1:10" x14ac:dyDescent="0.25">
      <c r="A410" t="s">
        <v>8</v>
      </c>
      <c r="B410" t="s">
        <v>1157</v>
      </c>
      <c r="C410" t="s">
        <v>1158</v>
      </c>
      <c r="D410">
        <v>1</v>
      </c>
      <c r="E410" t="s">
        <v>536</v>
      </c>
      <c r="F410" t="s">
        <v>537</v>
      </c>
      <c r="G410" s="1"/>
      <c r="H410" t="str">
        <f>"3250616379855"</f>
        <v>3250616379855</v>
      </c>
      <c r="J410" t="s">
        <v>1159</v>
      </c>
    </row>
    <row r="411" spans="1:10" x14ac:dyDescent="0.25">
      <c r="A411" t="s">
        <v>8</v>
      </c>
      <c r="B411" t="s">
        <v>1160</v>
      </c>
      <c r="C411" t="s">
        <v>1161</v>
      </c>
      <c r="D411">
        <v>1</v>
      </c>
      <c r="E411" t="s">
        <v>536</v>
      </c>
      <c r="F411" t="s">
        <v>537</v>
      </c>
      <c r="G411" s="1"/>
      <c r="H411" t="str">
        <f>"3250616376434"</f>
        <v>3250616376434</v>
      </c>
      <c r="J411" t="s">
        <v>1162</v>
      </c>
    </row>
    <row r="412" spans="1:10" x14ac:dyDescent="0.25">
      <c r="A412" t="s">
        <v>8</v>
      </c>
      <c r="B412" t="s">
        <v>1163</v>
      </c>
      <c r="C412" t="s">
        <v>1164</v>
      </c>
      <c r="D412">
        <v>1</v>
      </c>
      <c r="E412" t="s">
        <v>536</v>
      </c>
      <c r="F412" t="s">
        <v>537</v>
      </c>
      <c r="G412" s="1"/>
      <c r="H412" t="str">
        <f>"3250616376441"</f>
        <v>3250616376441</v>
      </c>
      <c r="J412" t="s">
        <v>1107</v>
      </c>
    </row>
    <row r="413" spans="1:10" x14ac:dyDescent="0.25">
      <c r="A413" t="s">
        <v>8</v>
      </c>
      <c r="B413" t="s">
        <v>1165</v>
      </c>
      <c r="C413" t="s">
        <v>1166</v>
      </c>
      <c r="D413">
        <v>1</v>
      </c>
      <c r="E413" t="s">
        <v>536</v>
      </c>
      <c r="F413" t="s">
        <v>537</v>
      </c>
      <c r="G413" s="1"/>
      <c r="H413" t="str">
        <f>"3250616376458"</f>
        <v>3250616376458</v>
      </c>
      <c r="J413" t="s">
        <v>1151</v>
      </c>
    </row>
    <row r="414" spans="1:10" x14ac:dyDescent="0.25">
      <c r="A414" t="s">
        <v>8</v>
      </c>
      <c r="B414" t="s">
        <v>1167</v>
      </c>
      <c r="C414" t="s">
        <v>1168</v>
      </c>
      <c r="D414">
        <v>1</v>
      </c>
      <c r="E414" t="s">
        <v>536</v>
      </c>
      <c r="F414" t="s">
        <v>537</v>
      </c>
      <c r="G414" s="1"/>
      <c r="H414" t="str">
        <f>"3250616376205"</f>
        <v>3250616376205</v>
      </c>
      <c r="J414" t="s">
        <v>1060</v>
      </c>
    </row>
    <row r="415" spans="1:10" x14ac:dyDescent="0.25">
      <c r="A415" t="s">
        <v>8</v>
      </c>
      <c r="B415" t="s">
        <v>1169</v>
      </c>
      <c r="C415" t="s">
        <v>1170</v>
      </c>
      <c r="D415">
        <v>1</v>
      </c>
      <c r="E415" t="s">
        <v>536</v>
      </c>
      <c r="F415" t="s">
        <v>537</v>
      </c>
      <c r="G415" s="1"/>
      <c r="H415" t="str">
        <f>"3250616376212"</f>
        <v>3250616376212</v>
      </c>
      <c r="J415" t="s">
        <v>996</v>
      </c>
    </row>
    <row r="416" spans="1:10" x14ac:dyDescent="0.25">
      <c r="A416" t="s">
        <v>8</v>
      </c>
      <c r="B416" t="s">
        <v>1171</v>
      </c>
      <c r="C416" t="s">
        <v>1172</v>
      </c>
      <c r="D416">
        <v>1</v>
      </c>
      <c r="E416" t="s">
        <v>536</v>
      </c>
      <c r="F416" t="s">
        <v>537</v>
      </c>
      <c r="G416" s="1"/>
      <c r="H416" t="str">
        <f>"3250616376229"</f>
        <v>3250616376229</v>
      </c>
      <c r="J416" t="s">
        <v>1173</v>
      </c>
    </row>
    <row r="417" spans="1:10" x14ac:dyDescent="0.25">
      <c r="A417" t="s">
        <v>8</v>
      </c>
      <c r="B417" t="s">
        <v>1174</v>
      </c>
      <c r="C417" t="s">
        <v>1175</v>
      </c>
      <c r="D417">
        <v>1</v>
      </c>
      <c r="E417" t="s">
        <v>536</v>
      </c>
      <c r="F417" t="s">
        <v>537</v>
      </c>
      <c r="G417" s="1"/>
      <c r="H417" t="str">
        <f>"3250616376236"</f>
        <v>3250616376236</v>
      </c>
      <c r="J417" t="s">
        <v>1098</v>
      </c>
    </row>
    <row r="418" spans="1:10" x14ac:dyDescent="0.25">
      <c r="A418" t="s">
        <v>8</v>
      </c>
      <c r="B418" t="s">
        <v>1176</v>
      </c>
      <c r="C418" t="s">
        <v>1177</v>
      </c>
      <c r="D418">
        <v>1</v>
      </c>
      <c r="E418" t="s">
        <v>536</v>
      </c>
      <c r="F418" t="s">
        <v>537</v>
      </c>
      <c r="G418" s="1"/>
      <c r="H418" t="str">
        <f>"3250616376465"</f>
        <v>3250616376465</v>
      </c>
      <c r="J418" t="s">
        <v>1024</v>
      </c>
    </row>
    <row r="419" spans="1:10" x14ac:dyDescent="0.25">
      <c r="A419" t="s">
        <v>8</v>
      </c>
      <c r="B419" t="s">
        <v>1178</v>
      </c>
      <c r="C419" t="s">
        <v>1179</v>
      </c>
      <c r="D419">
        <v>1</v>
      </c>
      <c r="E419" t="s">
        <v>536</v>
      </c>
      <c r="F419" t="s">
        <v>537</v>
      </c>
      <c r="G419" s="1"/>
      <c r="H419" t="str">
        <f>"3250616376243"</f>
        <v>3250616376243</v>
      </c>
      <c r="J419" t="s">
        <v>1180</v>
      </c>
    </row>
    <row r="420" spans="1:10" x14ac:dyDescent="0.25">
      <c r="A420" t="s">
        <v>8</v>
      </c>
      <c r="B420" t="s">
        <v>1181</v>
      </c>
      <c r="C420" t="s">
        <v>1182</v>
      </c>
      <c r="D420">
        <v>1</v>
      </c>
      <c r="E420" t="s">
        <v>536</v>
      </c>
      <c r="F420" t="s">
        <v>537</v>
      </c>
      <c r="G420" s="1"/>
      <c r="H420" t="str">
        <f>"3250616376250"</f>
        <v>3250616376250</v>
      </c>
      <c r="J420" t="s">
        <v>1071</v>
      </c>
    </row>
    <row r="421" spans="1:10" x14ac:dyDescent="0.25">
      <c r="A421" t="s">
        <v>8</v>
      </c>
      <c r="B421" t="s">
        <v>1183</v>
      </c>
      <c r="C421" t="s">
        <v>1184</v>
      </c>
      <c r="D421">
        <v>1</v>
      </c>
      <c r="E421" t="s">
        <v>536</v>
      </c>
      <c r="F421" t="s">
        <v>537</v>
      </c>
      <c r="G421" s="1"/>
      <c r="H421" t="str">
        <f>"3250616376267"</f>
        <v>3250616376267</v>
      </c>
      <c r="J421" t="s">
        <v>1095</v>
      </c>
    </row>
    <row r="422" spans="1:10" x14ac:dyDescent="0.25">
      <c r="A422" t="s">
        <v>8</v>
      </c>
      <c r="B422" t="s">
        <v>1185</v>
      </c>
      <c r="C422" t="s">
        <v>1175</v>
      </c>
      <c r="D422">
        <v>1</v>
      </c>
      <c r="E422" t="s">
        <v>536</v>
      </c>
      <c r="F422" t="s">
        <v>537</v>
      </c>
      <c r="G422" s="1"/>
      <c r="H422" t="str">
        <f>"3250616376274"</f>
        <v>3250616376274</v>
      </c>
      <c r="J422" t="s">
        <v>1186</v>
      </c>
    </row>
    <row r="423" spans="1:10" x14ac:dyDescent="0.25">
      <c r="A423" t="s">
        <v>8</v>
      </c>
      <c r="B423" t="s">
        <v>1187</v>
      </c>
      <c r="C423" t="s">
        <v>1188</v>
      </c>
      <c r="D423">
        <v>1</v>
      </c>
      <c r="E423" t="s">
        <v>536</v>
      </c>
      <c r="F423" t="s">
        <v>537</v>
      </c>
      <c r="G423" s="1"/>
      <c r="H423" t="str">
        <f>"3250616377370"</f>
        <v>3250616377370</v>
      </c>
      <c r="J423" t="s">
        <v>1189</v>
      </c>
    </row>
    <row r="424" spans="1:10" x14ac:dyDescent="0.25">
      <c r="A424" t="s">
        <v>8</v>
      </c>
      <c r="B424" t="s">
        <v>1190</v>
      </c>
      <c r="C424" t="s">
        <v>1191</v>
      </c>
      <c r="D424">
        <v>1</v>
      </c>
      <c r="E424" t="s">
        <v>536</v>
      </c>
      <c r="F424" t="s">
        <v>537</v>
      </c>
      <c r="G424" s="1"/>
      <c r="H424" t="str">
        <f>"3250616376472"</f>
        <v>3250616376472</v>
      </c>
      <c r="J424" t="s">
        <v>1095</v>
      </c>
    </row>
    <row r="425" spans="1:10" x14ac:dyDescent="0.25">
      <c r="A425" t="s">
        <v>8</v>
      </c>
      <c r="B425" t="s">
        <v>1192</v>
      </c>
      <c r="C425" t="s">
        <v>1193</v>
      </c>
      <c r="D425">
        <v>1</v>
      </c>
      <c r="E425" t="s">
        <v>536</v>
      </c>
      <c r="F425" t="s">
        <v>537</v>
      </c>
      <c r="G425" s="1"/>
      <c r="H425" t="str">
        <f>"3250616377387"</f>
        <v>3250616377387</v>
      </c>
      <c r="J425" t="s">
        <v>1194</v>
      </c>
    </row>
    <row r="426" spans="1:10" x14ac:dyDescent="0.25">
      <c r="A426" t="s">
        <v>8</v>
      </c>
      <c r="B426" t="s">
        <v>1195</v>
      </c>
      <c r="C426" t="s">
        <v>1196</v>
      </c>
      <c r="D426">
        <v>1</v>
      </c>
      <c r="E426" t="s">
        <v>536</v>
      </c>
      <c r="F426" t="s">
        <v>537</v>
      </c>
      <c r="G426" s="1"/>
      <c r="H426" t="str">
        <f>"3250616376281"</f>
        <v>3250616376281</v>
      </c>
      <c r="J426" t="s">
        <v>1071</v>
      </c>
    </row>
    <row r="427" spans="1:10" x14ac:dyDescent="0.25">
      <c r="A427" t="s">
        <v>8</v>
      </c>
      <c r="B427" t="s">
        <v>1197</v>
      </c>
      <c r="C427" t="s">
        <v>1198</v>
      </c>
      <c r="D427">
        <v>1</v>
      </c>
      <c r="E427" t="s">
        <v>536</v>
      </c>
      <c r="F427" t="s">
        <v>537</v>
      </c>
      <c r="G427" s="1"/>
      <c r="H427" t="str">
        <f>"3250616376298"</f>
        <v>3250616376298</v>
      </c>
      <c r="J427" t="s">
        <v>1199</v>
      </c>
    </row>
    <row r="428" spans="1:10" x14ac:dyDescent="0.25">
      <c r="A428" t="s">
        <v>8</v>
      </c>
      <c r="B428" t="s">
        <v>1200</v>
      </c>
      <c r="C428" t="s">
        <v>1201</v>
      </c>
      <c r="D428">
        <v>1</v>
      </c>
      <c r="E428" t="s">
        <v>536</v>
      </c>
      <c r="F428" t="s">
        <v>537</v>
      </c>
      <c r="G428" s="1"/>
      <c r="H428" t="str">
        <f>"3250616376304"</f>
        <v>3250616376304</v>
      </c>
      <c r="J428" t="s">
        <v>1021</v>
      </c>
    </row>
    <row r="429" spans="1:10" x14ac:dyDescent="0.25">
      <c r="A429" t="s">
        <v>8</v>
      </c>
      <c r="B429" t="s">
        <v>1202</v>
      </c>
      <c r="C429" t="s">
        <v>1203</v>
      </c>
      <c r="D429">
        <v>1</v>
      </c>
      <c r="E429" t="s">
        <v>536</v>
      </c>
      <c r="F429" t="s">
        <v>537</v>
      </c>
      <c r="G429" s="1"/>
      <c r="H429" t="str">
        <f>"3250616376311"</f>
        <v>3250616376311</v>
      </c>
      <c r="J429" t="s">
        <v>1204</v>
      </c>
    </row>
    <row r="430" spans="1:10" x14ac:dyDescent="0.25">
      <c r="A430" t="s">
        <v>8</v>
      </c>
      <c r="B430" t="s">
        <v>1205</v>
      </c>
      <c r="C430" t="s">
        <v>1206</v>
      </c>
      <c r="D430">
        <v>1</v>
      </c>
      <c r="E430" t="s">
        <v>536</v>
      </c>
      <c r="F430" t="s">
        <v>537</v>
      </c>
      <c r="G430" s="1"/>
      <c r="H430" t="str">
        <f>"3250616376403"</f>
        <v>3250616376403</v>
      </c>
      <c r="J430" t="s">
        <v>1194</v>
      </c>
    </row>
    <row r="431" spans="1:10" x14ac:dyDescent="0.25">
      <c r="A431" t="s">
        <v>8</v>
      </c>
      <c r="B431" t="s">
        <v>1207</v>
      </c>
      <c r="C431" t="s">
        <v>1208</v>
      </c>
      <c r="D431">
        <v>1</v>
      </c>
      <c r="E431" t="s">
        <v>536</v>
      </c>
      <c r="F431" t="s">
        <v>537</v>
      </c>
      <c r="G431" s="1"/>
      <c r="H431" t="str">
        <f>"3250616375680"</f>
        <v>3250616375680</v>
      </c>
      <c r="J431" t="s">
        <v>1156</v>
      </c>
    </row>
    <row r="432" spans="1:10" x14ac:dyDescent="0.25">
      <c r="A432" t="s">
        <v>8</v>
      </c>
      <c r="B432" t="s">
        <v>1209</v>
      </c>
      <c r="C432" t="s">
        <v>1210</v>
      </c>
      <c r="D432">
        <v>1</v>
      </c>
      <c r="E432" t="s">
        <v>536</v>
      </c>
      <c r="F432" t="s">
        <v>537</v>
      </c>
      <c r="G432" s="1"/>
      <c r="H432" t="str">
        <f>"3250616377400"</f>
        <v>3250616377400</v>
      </c>
      <c r="J432" t="s">
        <v>1211</v>
      </c>
    </row>
    <row r="433" spans="1:10" x14ac:dyDescent="0.25">
      <c r="A433" t="s">
        <v>8</v>
      </c>
      <c r="B433" t="s">
        <v>1212</v>
      </c>
      <c r="C433" t="s">
        <v>1213</v>
      </c>
      <c r="D433">
        <v>1</v>
      </c>
      <c r="E433" t="s">
        <v>536</v>
      </c>
      <c r="F433" t="s">
        <v>537</v>
      </c>
      <c r="G433" s="1"/>
      <c r="H433" t="str">
        <f>"3250616377417"</f>
        <v>3250616377417</v>
      </c>
      <c r="J433" t="s">
        <v>1214</v>
      </c>
    </row>
    <row r="434" spans="1:10" x14ac:dyDescent="0.25">
      <c r="A434" t="s">
        <v>8</v>
      </c>
      <c r="B434" t="s">
        <v>1215</v>
      </c>
      <c r="C434" t="s">
        <v>1216</v>
      </c>
      <c r="D434">
        <v>1</v>
      </c>
      <c r="E434" t="s">
        <v>536</v>
      </c>
      <c r="F434" t="s">
        <v>537</v>
      </c>
      <c r="G434" s="1"/>
      <c r="H434" t="str">
        <f>"3250616380523"</f>
        <v>3250616380523</v>
      </c>
      <c r="J434" t="s">
        <v>1217</v>
      </c>
    </row>
    <row r="435" spans="1:10" x14ac:dyDescent="0.25">
      <c r="A435" t="s">
        <v>8</v>
      </c>
      <c r="B435" t="s">
        <v>1218</v>
      </c>
      <c r="C435" t="s">
        <v>1219</v>
      </c>
      <c r="D435">
        <v>1</v>
      </c>
      <c r="E435" t="s">
        <v>536</v>
      </c>
      <c r="F435" t="s">
        <v>537</v>
      </c>
      <c r="G435" s="1"/>
      <c r="H435" t="str">
        <f>"3250616376328"</f>
        <v>3250616376328</v>
      </c>
      <c r="J435" t="s">
        <v>1024</v>
      </c>
    </row>
    <row r="436" spans="1:10" x14ac:dyDescent="0.25">
      <c r="A436" t="s">
        <v>8</v>
      </c>
      <c r="B436" t="s">
        <v>1220</v>
      </c>
      <c r="C436" t="s">
        <v>1221</v>
      </c>
      <c r="D436">
        <v>1</v>
      </c>
      <c r="E436" t="s">
        <v>536</v>
      </c>
      <c r="F436" t="s">
        <v>537</v>
      </c>
      <c r="G436" s="1"/>
      <c r="H436" t="str">
        <f>"3250616378438"</f>
        <v>3250616378438</v>
      </c>
      <c r="J436" t="s">
        <v>1222</v>
      </c>
    </row>
    <row r="437" spans="1:10" x14ac:dyDescent="0.25">
      <c r="A437" t="s">
        <v>8</v>
      </c>
      <c r="B437" t="s">
        <v>1223</v>
      </c>
      <c r="C437" t="s">
        <v>1224</v>
      </c>
      <c r="D437">
        <v>1</v>
      </c>
      <c r="E437" t="s">
        <v>536</v>
      </c>
      <c r="F437" t="s">
        <v>537</v>
      </c>
      <c r="G437" s="1"/>
      <c r="H437" t="str">
        <f>"3250616379886"</f>
        <v>3250616379886</v>
      </c>
      <c r="J437" t="s">
        <v>1180</v>
      </c>
    </row>
    <row r="438" spans="1:10" x14ac:dyDescent="0.25">
      <c r="A438" t="s">
        <v>8</v>
      </c>
      <c r="B438" t="s">
        <v>1225</v>
      </c>
      <c r="C438" t="s">
        <v>1226</v>
      </c>
      <c r="D438">
        <v>1</v>
      </c>
      <c r="E438" t="s">
        <v>536</v>
      </c>
      <c r="F438" t="s">
        <v>537</v>
      </c>
      <c r="G438" s="1"/>
      <c r="H438" t="str">
        <f>"3250616376489"</f>
        <v>3250616376489</v>
      </c>
      <c r="J438" t="s">
        <v>1107</v>
      </c>
    </row>
    <row r="439" spans="1:10" x14ac:dyDescent="0.25">
      <c r="A439" t="s">
        <v>8</v>
      </c>
      <c r="B439" t="s">
        <v>1227</v>
      </c>
      <c r="C439" t="s">
        <v>1228</v>
      </c>
      <c r="D439">
        <v>1</v>
      </c>
      <c r="E439" t="s">
        <v>536</v>
      </c>
      <c r="F439" t="s">
        <v>537</v>
      </c>
      <c r="G439" s="1"/>
      <c r="H439" t="str">
        <f>"3250616376496"</f>
        <v>3250616376496</v>
      </c>
      <c r="J439" t="s">
        <v>1217</v>
      </c>
    </row>
    <row r="440" spans="1:10" x14ac:dyDescent="0.25">
      <c r="A440" t="s">
        <v>8</v>
      </c>
      <c r="B440" t="s">
        <v>1229</v>
      </c>
      <c r="C440" t="s">
        <v>1230</v>
      </c>
      <c r="D440">
        <v>1</v>
      </c>
      <c r="E440" t="s">
        <v>536</v>
      </c>
      <c r="F440" t="s">
        <v>537</v>
      </c>
      <c r="G440" s="1"/>
      <c r="H440" t="str">
        <f>"3250616376502"</f>
        <v>3250616376502</v>
      </c>
      <c r="J440" t="s">
        <v>1024</v>
      </c>
    </row>
    <row r="441" spans="1:10" x14ac:dyDescent="0.25">
      <c r="A441" t="s">
        <v>8</v>
      </c>
      <c r="B441" t="s">
        <v>1231</v>
      </c>
      <c r="C441" t="s">
        <v>1232</v>
      </c>
      <c r="D441">
        <v>1</v>
      </c>
      <c r="E441" t="s">
        <v>536</v>
      </c>
      <c r="F441" t="s">
        <v>537</v>
      </c>
      <c r="G441" s="1"/>
      <c r="H441" t="str">
        <f>"3250616376335"</f>
        <v>3250616376335</v>
      </c>
      <c r="J441" t="s">
        <v>1021</v>
      </c>
    </row>
    <row r="442" spans="1:10" x14ac:dyDescent="0.25">
      <c r="A442" t="s">
        <v>8</v>
      </c>
      <c r="B442" t="s">
        <v>1233</v>
      </c>
      <c r="C442" t="s">
        <v>1234</v>
      </c>
      <c r="D442">
        <v>1</v>
      </c>
      <c r="E442" t="s">
        <v>536</v>
      </c>
      <c r="F442" t="s">
        <v>537</v>
      </c>
      <c r="G442" s="1"/>
      <c r="H442" t="str">
        <f>"3250616376342"</f>
        <v>3250616376342</v>
      </c>
      <c r="J442" t="s">
        <v>1024</v>
      </c>
    </row>
    <row r="443" spans="1:10" x14ac:dyDescent="0.25">
      <c r="A443" t="s">
        <v>8</v>
      </c>
      <c r="B443" t="s">
        <v>1235</v>
      </c>
      <c r="C443" t="s">
        <v>1236</v>
      </c>
      <c r="D443">
        <v>1</v>
      </c>
      <c r="E443" t="s">
        <v>536</v>
      </c>
      <c r="F443" t="s">
        <v>537</v>
      </c>
      <c r="G443" s="1"/>
      <c r="H443" t="str">
        <f>"3250616376519"</f>
        <v>3250616376519</v>
      </c>
      <c r="J443" t="s">
        <v>1060</v>
      </c>
    </row>
    <row r="444" spans="1:10" x14ac:dyDescent="0.25">
      <c r="A444" t="s">
        <v>8</v>
      </c>
      <c r="B444" t="s">
        <v>1237</v>
      </c>
      <c r="C444" t="s">
        <v>1238</v>
      </c>
      <c r="D444">
        <v>1</v>
      </c>
      <c r="E444" t="s">
        <v>536</v>
      </c>
      <c r="F444" t="s">
        <v>537</v>
      </c>
      <c r="G444" s="1"/>
      <c r="H444" t="str">
        <f>"3250616376359"</f>
        <v>3250616376359</v>
      </c>
      <c r="J444" t="s">
        <v>1071</v>
      </c>
    </row>
    <row r="445" spans="1:10" x14ac:dyDescent="0.25">
      <c r="A445" t="s">
        <v>8</v>
      </c>
      <c r="B445" t="s">
        <v>1239</v>
      </c>
      <c r="C445" t="s">
        <v>1240</v>
      </c>
      <c r="D445">
        <v>1</v>
      </c>
      <c r="E445" t="s">
        <v>536</v>
      </c>
      <c r="F445" t="s">
        <v>537</v>
      </c>
      <c r="G445" s="1"/>
      <c r="H445" t="str">
        <f>"3250616376366"</f>
        <v>3250616376366</v>
      </c>
      <c r="J445" t="s">
        <v>996</v>
      </c>
    </row>
    <row r="446" spans="1:10" x14ac:dyDescent="0.25">
      <c r="A446" t="s">
        <v>8</v>
      </c>
      <c r="B446" t="s">
        <v>1241</v>
      </c>
      <c r="C446" t="s">
        <v>1242</v>
      </c>
      <c r="D446">
        <v>1</v>
      </c>
      <c r="E446" t="s">
        <v>536</v>
      </c>
      <c r="F446" t="s">
        <v>537</v>
      </c>
      <c r="G446" s="1"/>
      <c r="H446" t="str">
        <f>"3250616376526"</f>
        <v>3250616376526</v>
      </c>
      <c r="J446" t="s">
        <v>996</v>
      </c>
    </row>
    <row r="447" spans="1:10" x14ac:dyDescent="0.25">
      <c r="A447" t="s">
        <v>8</v>
      </c>
      <c r="B447" t="s">
        <v>1243</v>
      </c>
      <c r="C447" t="s">
        <v>1196</v>
      </c>
      <c r="D447">
        <v>1</v>
      </c>
      <c r="E447" t="s">
        <v>536</v>
      </c>
      <c r="F447" t="s">
        <v>537</v>
      </c>
      <c r="G447" s="1"/>
      <c r="H447" t="str">
        <f>"3250616376373"</f>
        <v>3250616376373</v>
      </c>
      <c r="J447" t="s">
        <v>1244</v>
      </c>
    </row>
    <row r="448" spans="1:10" x14ac:dyDescent="0.25">
      <c r="A448" t="s">
        <v>8</v>
      </c>
      <c r="B448" t="s">
        <v>1245</v>
      </c>
      <c r="C448" t="s">
        <v>1246</v>
      </c>
      <c r="D448">
        <v>1</v>
      </c>
      <c r="E448" t="s">
        <v>536</v>
      </c>
      <c r="F448" t="s">
        <v>537</v>
      </c>
      <c r="G448" s="1"/>
      <c r="H448" t="str">
        <f>"3250616376380"</f>
        <v>3250616376380</v>
      </c>
      <c r="J448" t="s">
        <v>1137</v>
      </c>
    </row>
    <row r="449" spans="1:10" x14ac:dyDescent="0.25">
      <c r="A449" t="s">
        <v>8</v>
      </c>
      <c r="B449" t="s">
        <v>1247</v>
      </c>
      <c r="C449" t="s">
        <v>1248</v>
      </c>
      <c r="D449">
        <v>1</v>
      </c>
      <c r="E449" t="s">
        <v>536</v>
      </c>
      <c r="F449" t="s">
        <v>537</v>
      </c>
      <c r="G449" s="1"/>
      <c r="H449" t="str">
        <f>"3250616138568"</f>
        <v>3250616138568</v>
      </c>
      <c r="J449" t="s">
        <v>1249</v>
      </c>
    </row>
    <row r="450" spans="1:10" x14ac:dyDescent="0.25">
      <c r="A450" t="s">
        <v>8</v>
      </c>
      <c r="B450" t="s">
        <v>1250</v>
      </c>
      <c r="C450" t="s">
        <v>1251</v>
      </c>
      <c r="D450">
        <v>1</v>
      </c>
      <c r="E450" t="s">
        <v>536</v>
      </c>
      <c r="F450" t="s">
        <v>537</v>
      </c>
      <c r="G450" s="1"/>
      <c r="H450" t="str">
        <f>"3250616377431"</f>
        <v>3250616377431</v>
      </c>
      <c r="J450" t="s">
        <v>1252</v>
      </c>
    </row>
    <row r="451" spans="1:10" x14ac:dyDescent="0.25">
      <c r="A451" t="s">
        <v>8</v>
      </c>
      <c r="B451" t="s">
        <v>1253</v>
      </c>
      <c r="C451" t="s">
        <v>1254</v>
      </c>
      <c r="D451">
        <v>1</v>
      </c>
      <c r="E451" t="s">
        <v>536</v>
      </c>
      <c r="F451" t="s">
        <v>537</v>
      </c>
      <c r="G451" s="1"/>
      <c r="H451" t="str">
        <f>"3250616375734"</f>
        <v>3250616375734</v>
      </c>
      <c r="J451" t="s">
        <v>1222</v>
      </c>
    </row>
    <row r="452" spans="1:10" x14ac:dyDescent="0.25">
      <c r="A452" t="s">
        <v>8</v>
      </c>
      <c r="B452" t="s">
        <v>1255</v>
      </c>
      <c r="C452" t="s">
        <v>1256</v>
      </c>
      <c r="D452">
        <v>1</v>
      </c>
      <c r="E452" t="s">
        <v>536</v>
      </c>
      <c r="F452" t="s">
        <v>537</v>
      </c>
      <c r="G452" s="1"/>
      <c r="H452" t="str">
        <f>"3250616379725"</f>
        <v>3250616379725</v>
      </c>
      <c r="J452" t="s">
        <v>904</v>
      </c>
    </row>
    <row r="453" spans="1:10" x14ac:dyDescent="0.25">
      <c r="A453" t="s">
        <v>8</v>
      </c>
      <c r="B453" t="s">
        <v>1257</v>
      </c>
      <c r="C453" t="s">
        <v>1258</v>
      </c>
      <c r="D453">
        <v>1</v>
      </c>
      <c r="E453" t="s">
        <v>536</v>
      </c>
      <c r="F453" t="s">
        <v>537</v>
      </c>
      <c r="G453" s="1"/>
      <c r="H453" t="str">
        <f>"3250616379800"</f>
        <v>3250616379800</v>
      </c>
      <c r="J453" t="s">
        <v>907</v>
      </c>
    </row>
    <row r="454" spans="1:10" x14ac:dyDescent="0.25">
      <c r="A454" t="s">
        <v>8</v>
      </c>
      <c r="B454" t="s">
        <v>1259</v>
      </c>
      <c r="C454" t="s">
        <v>1260</v>
      </c>
      <c r="D454">
        <v>1</v>
      </c>
      <c r="E454" t="s">
        <v>536</v>
      </c>
      <c r="F454" t="s">
        <v>537</v>
      </c>
      <c r="G454" s="1"/>
      <c r="H454" t="str">
        <f>"3250616380639"</f>
        <v>3250616380639</v>
      </c>
      <c r="J454" t="s">
        <v>1217</v>
      </c>
    </row>
    <row r="455" spans="1:10" x14ac:dyDescent="0.25">
      <c r="A455" t="s">
        <v>8</v>
      </c>
      <c r="B455" t="s">
        <v>1261</v>
      </c>
      <c r="C455" t="s">
        <v>1262</v>
      </c>
      <c r="D455">
        <v>1</v>
      </c>
      <c r="E455" t="s">
        <v>536</v>
      </c>
      <c r="F455" t="s">
        <v>537</v>
      </c>
      <c r="G455" s="1"/>
      <c r="H455" t="str">
        <f>"3250616380653"</f>
        <v>3250616380653</v>
      </c>
      <c r="J455" t="s">
        <v>1263</v>
      </c>
    </row>
    <row r="456" spans="1:10" x14ac:dyDescent="0.25">
      <c r="A456" t="s">
        <v>8</v>
      </c>
      <c r="B456" t="s">
        <v>1264</v>
      </c>
      <c r="C456" t="s">
        <v>1265</v>
      </c>
      <c r="D456">
        <v>1</v>
      </c>
      <c r="E456" t="s">
        <v>536</v>
      </c>
      <c r="F456" t="s">
        <v>537</v>
      </c>
      <c r="G456" s="1"/>
      <c r="H456" t="str">
        <f>"3250616380646"</f>
        <v>3250616380646</v>
      </c>
      <c r="J456" t="s">
        <v>1263</v>
      </c>
    </row>
    <row r="457" spans="1:10" x14ac:dyDescent="0.25">
      <c r="A457" t="s">
        <v>8</v>
      </c>
      <c r="B457" t="s">
        <v>1266</v>
      </c>
      <c r="C457" t="s">
        <v>1267</v>
      </c>
      <c r="D457">
        <v>1</v>
      </c>
      <c r="E457" t="s">
        <v>536</v>
      </c>
      <c r="F457" t="s">
        <v>537</v>
      </c>
      <c r="G457" s="1"/>
      <c r="H457" t="str">
        <f>"3250616380660"</f>
        <v>3250616380660</v>
      </c>
      <c r="J457" t="s">
        <v>1263</v>
      </c>
    </row>
    <row r="458" spans="1:10" x14ac:dyDescent="0.25">
      <c r="A458" t="s">
        <v>8</v>
      </c>
      <c r="B458" t="s">
        <v>1268</v>
      </c>
      <c r="C458" t="s">
        <v>1269</v>
      </c>
      <c r="D458">
        <v>1</v>
      </c>
      <c r="E458" t="s">
        <v>536</v>
      </c>
      <c r="F458" t="s">
        <v>537</v>
      </c>
      <c r="G458" s="1"/>
      <c r="H458" t="str">
        <f>"3250616380677"</f>
        <v>3250616380677</v>
      </c>
      <c r="J458" t="s">
        <v>1126</v>
      </c>
    </row>
    <row r="459" spans="1:10" x14ac:dyDescent="0.25">
      <c r="A459" t="s">
        <v>8</v>
      </c>
      <c r="B459" t="s">
        <v>1270</v>
      </c>
      <c r="C459" t="s">
        <v>1271</v>
      </c>
      <c r="D459">
        <v>1</v>
      </c>
      <c r="E459" t="s">
        <v>536</v>
      </c>
      <c r="F459" t="s">
        <v>537</v>
      </c>
      <c r="G459" s="1"/>
      <c r="H459" t="str">
        <f>"3250616380684"</f>
        <v>3250616380684</v>
      </c>
      <c r="J459" t="s">
        <v>1217</v>
      </c>
    </row>
    <row r="460" spans="1:10" x14ac:dyDescent="0.25">
      <c r="A460" t="s">
        <v>8</v>
      </c>
      <c r="B460" t="s">
        <v>1272</v>
      </c>
      <c r="C460" t="s">
        <v>1273</v>
      </c>
      <c r="D460">
        <v>1</v>
      </c>
      <c r="E460" t="s">
        <v>536</v>
      </c>
      <c r="F460" t="s">
        <v>537</v>
      </c>
      <c r="G460" s="1"/>
      <c r="H460" t="str">
        <f>"3250610703281"</f>
        <v>3250610703281</v>
      </c>
      <c r="J460" t="s">
        <v>1274</v>
      </c>
    </row>
    <row r="461" spans="1:10" x14ac:dyDescent="0.25">
      <c r="A461" t="s">
        <v>8</v>
      </c>
      <c r="B461" t="s">
        <v>1275</v>
      </c>
      <c r="C461" t="s">
        <v>1276</v>
      </c>
      <c r="D461">
        <v>1</v>
      </c>
      <c r="E461" t="s">
        <v>536</v>
      </c>
      <c r="F461" t="s">
        <v>537</v>
      </c>
      <c r="G461" s="1"/>
      <c r="H461" t="str">
        <f>"3250610703298"</f>
        <v>3250610703298</v>
      </c>
      <c r="J461" t="s">
        <v>1274</v>
      </c>
    </row>
    <row r="462" spans="1:10" x14ac:dyDescent="0.25">
      <c r="A462" t="s">
        <v>8</v>
      </c>
      <c r="B462" t="s">
        <v>1277</v>
      </c>
      <c r="C462" t="s">
        <v>1278</v>
      </c>
      <c r="D462">
        <v>1</v>
      </c>
      <c r="E462" t="s">
        <v>536</v>
      </c>
      <c r="F462" t="s">
        <v>537</v>
      </c>
      <c r="G462" s="1"/>
      <c r="H462" t="str">
        <f>"3250610703311"</f>
        <v>3250610703311</v>
      </c>
      <c r="J462" t="s">
        <v>1279</v>
      </c>
    </row>
    <row r="463" spans="1:10" x14ac:dyDescent="0.25">
      <c r="A463" t="s">
        <v>8</v>
      </c>
      <c r="B463" t="s">
        <v>1280</v>
      </c>
      <c r="C463" t="s">
        <v>1281</v>
      </c>
      <c r="D463">
        <v>1</v>
      </c>
      <c r="E463" t="s">
        <v>536</v>
      </c>
      <c r="F463" t="s">
        <v>537</v>
      </c>
      <c r="G463" s="1"/>
      <c r="H463" t="str">
        <f>"3250610703328"</f>
        <v>3250610703328</v>
      </c>
      <c r="J463" t="s">
        <v>1279</v>
      </c>
    </row>
    <row r="464" spans="1:10" x14ac:dyDescent="0.25">
      <c r="A464" t="s">
        <v>8</v>
      </c>
      <c r="B464" t="s">
        <v>1282</v>
      </c>
      <c r="C464" t="s">
        <v>1283</v>
      </c>
      <c r="D464">
        <v>1</v>
      </c>
      <c r="E464" t="s">
        <v>536</v>
      </c>
      <c r="F464" t="s">
        <v>537</v>
      </c>
      <c r="G464" s="1"/>
      <c r="H464" t="str">
        <f>"3250610703335"</f>
        <v>3250610703335</v>
      </c>
      <c r="J464" t="s">
        <v>1284</v>
      </c>
    </row>
    <row r="465" spans="1:10" x14ac:dyDescent="0.25">
      <c r="A465" t="s">
        <v>8</v>
      </c>
      <c r="B465" t="s">
        <v>1285</v>
      </c>
      <c r="C465" t="s">
        <v>1286</v>
      </c>
      <c r="D465">
        <v>1</v>
      </c>
      <c r="E465" t="s">
        <v>536</v>
      </c>
      <c r="F465" t="s">
        <v>537</v>
      </c>
      <c r="G465" s="1"/>
      <c r="H465" t="str">
        <f>"3250610703342"</f>
        <v>3250610703342</v>
      </c>
      <c r="J465" t="s">
        <v>1284</v>
      </c>
    </row>
    <row r="466" spans="1:10" x14ac:dyDescent="0.25">
      <c r="A466" t="s">
        <v>8</v>
      </c>
      <c r="B466" t="s">
        <v>1287</v>
      </c>
      <c r="C466" t="s">
        <v>1288</v>
      </c>
      <c r="D466">
        <v>1</v>
      </c>
      <c r="E466" t="s">
        <v>536</v>
      </c>
      <c r="F466" t="s">
        <v>537</v>
      </c>
      <c r="G466" s="1"/>
      <c r="H466" t="str">
        <f>"3250610703366"</f>
        <v>3250610703366</v>
      </c>
      <c r="J466" t="s">
        <v>1289</v>
      </c>
    </row>
    <row r="467" spans="1:10" x14ac:dyDescent="0.25">
      <c r="A467" t="s">
        <v>8</v>
      </c>
      <c r="B467" t="s">
        <v>1290</v>
      </c>
      <c r="C467" t="s">
        <v>1291</v>
      </c>
      <c r="D467">
        <v>1</v>
      </c>
      <c r="E467" t="s">
        <v>536</v>
      </c>
      <c r="F467" t="s">
        <v>537</v>
      </c>
      <c r="G467" s="1"/>
      <c r="H467" t="str">
        <f>"3250610703373"</f>
        <v>3250610703373</v>
      </c>
      <c r="J467" t="s">
        <v>1289</v>
      </c>
    </row>
    <row r="468" spans="1:10" x14ac:dyDescent="0.25">
      <c r="A468" t="s">
        <v>8</v>
      </c>
      <c r="B468" t="s">
        <v>1292</v>
      </c>
      <c r="C468" t="s">
        <v>1293</v>
      </c>
      <c r="D468">
        <v>1</v>
      </c>
      <c r="E468" t="s">
        <v>536</v>
      </c>
      <c r="F468" t="s">
        <v>537</v>
      </c>
      <c r="G468" s="1"/>
      <c r="H468" t="str">
        <f>"3250616380691"</f>
        <v>3250616380691</v>
      </c>
      <c r="J468" t="s">
        <v>1294</v>
      </c>
    </row>
    <row r="469" spans="1:10" x14ac:dyDescent="0.25">
      <c r="A469" t="s">
        <v>8</v>
      </c>
      <c r="B469" t="s">
        <v>1295</v>
      </c>
      <c r="C469" t="s">
        <v>1296</v>
      </c>
      <c r="D469">
        <v>1</v>
      </c>
      <c r="E469" t="s">
        <v>536</v>
      </c>
      <c r="F469" t="s">
        <v>537</v>
      </c>
      <c r="G469" s="1"/>
      <c r="H469" t="str">
        <f>"3250616380707"</f>
        <v>3250616380707</v>
      </c>
      <c r="J469" t="s">
        <v>1297</v>
      </c>
    </row>
    <row r="470" spans="1:10" x14ac:dyDescent="0.25">
      <c r="A470" t="s">
        <v>8</v>
      </c>
      <c r="B470" t="s">
        <v>1298</v>
      </c>
      <c r="C470" t="s">
        <v>1299</v>
      </c>
      <c r="D470">
        <v>1</v>
      </c>
      <c r="E470" t="s">
        <v>536</v>
      </c>
      <c r="F470" t="s">
        <v>537</v>
      </c>
      <c r="G470" s="1"/>
      <c r="H470" t="str">
        <f>"3250616380714"</f>
        <v>3250616380714</v>
      </c>
      <c r="J470" t="s">
        <v>1300</v>
      </c>
    </row>
    <row r="471" spans="1:10" x14ac:dyDescent="0.25">
      <c r="A471" t="s">
        <v>8</v>
      </c>
      <c r="B471" t="s">
        <v>1301</v>
      </c>
      <c r="C471" t="s">
        <v>1302</v>
      </c>
      <c r="D471">
        <v>1</v>
      </c>
      <c r="E471" t="s">
        <v>536</v>
      </c>
      <c r="F471" t="s">
        <v>537</v>
      </c>
      <c r="G471" s="1"/>
      <c r="H471" t="str">
        <f>"3250616380721"</f>
        <v>3250616380721</v>
      </c>
      <c r="J471" t="s">
        <v>1300</v>
      </c>
    </row>
    <row r="472" spans="1:10" x14ac:dyDescent="0.25">
      <c r="A472" t="s">
        <v>8</v>
      </c>
      <c r="B472" t="s">
        <v>1303</v>
      </c>
      <c r="C472" t="s">
        <v>1304</v>
      </c>
      <c r="D472">
        <v>1</v>
      </c>
      <c r="E472" t="s">
        <v>536</v>
      </c>
      <c r="F472" t="s">
        <v>537</v>
      </c>
      <c r="G472" s="1"/>
      <c r="H472" t="str">
        <f>"3250616380745"</f>
        <v>3250616380745</v>
      </c>
      <c r="J472" t="s">
        <v>1305</v>
      </c>
    </row>
    <row r="473" spans="1:10" x14ac:dyDescent="0.25">
      <c r="A473" t="s">
        <v>8</v>
      </c>
      <c r="B473" t="s">
        <v>1306</v>
      </c>
      <c r="C473" t="s">
        <v>1307</v>
      </c>
      <c r="D473">
        <v>1</v>
      </c>
      <c r="E473" t="s">
        <v>536</v>
      </c>
      <c r="F473" t="s">
        <v>537</v>
      </c>
      <c r="G473" s="1"/>
      <c r="H473" t="str">
        <f>"3250616380752"</f>
        <v>3250616380752</v>
      </c>
      <c r="J473" t="s">
        <v>1305</v>
      </c>
    </row>
    <row r="474" spans="1:10" x14ac:dyDescent="0.25">
      <c r="A474" t="s">
        <v>8</v>
      </c>
      <c r="B474" t="s">
        <v>1308</v>
      </c>
      <c r="C474" t="s">
        <v>1309</v>
      </c>
      <c r="D474">
        <v>1</v>
      </c>
      <c r="E474" t="s">
        <v>536</v>
      </c>
      <c r="F474" t="s">
        <v>537</v>
      </c>
      <c r="G474" s="1"/>
      <c r="H474" t="str">
        <f>"3250616380769"</f>
        <v>3250616380769</v>
      </c>
      <c r="J474" t="s">
        <v>1310</v>
      </c>
    </row>
    <row r="475" spans="1:10" x14ac:dyDescent="0.25">
      <c r="A475" t="s">
        <v>8</v>
      </c>
      <c r="B475" t="s">
        <v>1311</v>
      </c>
      <c r="C475" t="s">
        <v>1312</v>
      </c>
      <c r="D475">
        <v>1</v>
      </c>
      <c r="E475" t="s">
        <v>536</v>
      </c>
      <c r="F475" t="s">
        <v>537</v>
      </c>
      <c r="G475" s="1"/>
      <c r="H475" t="str">
        <f>"3250616380776"</f>
        <v>3250616380776</v>
      </c>
      <c r="J475" t="s">
        <v>1310</v>
      </c>
    </row>
    <row r="476" spans="1:10" x14ac:dyDescent="0.25">
      <c r="A476" t="s">
        <v>8</v>
      </c>
      <c r="B476" t="s">
        <v>1313</v>
      </c>
      <c r="C476" t="s">
        <v>1314</v>
      </c>
      <c r="D476">
        <v>1</v>
      </c>
      <c r="E476" t="s">
        <v>536</v>
      </c>
      <c r="F476" t="s">
        <v>537</v>
      </c>
      <c r="G476" s="1"/>
      <c r="H476" t="str">
        <f>"3250616380790"</f>
        <v>3250616380790</v>
      </c>
      <c r="J476" t="s">
        <v>1315</v>
      </c>
    </row>
    <row r="477" spans="1:10" x14ac:dyDescent="0.25">
      <c r="A477" t="s">
        <v>8</v>
      </c>
      <c r="B477" t="s">
        <v>1316</v>
      </c>
      <c r="C477" t="s">
        <v>1317</v>
      </c>
      <c r="D477">
        <v>1</v>
      </c>
      <c r="E477" t="s">
        <v>536</v>
      </c>
      <c r="F477" t="s">
        <v>537</v>
      </c>
      <c r="G477" s="1"/>
      <c r="H477" t="str">
        <f>"3250616380806"</f>
        <v>3250616380806</v>
      </c>
      <c r="J477" t="s">
        <v>1315</v>
      </c>
    </row>
    <row r="478" spans="1:10" x14ac:dyDescent="0.25">
      <c r="A478" t="s">
        <v>8</v>
      </c>
      <c r="B478" t="s">
        <v>1318</v>
      </c>
      <c r="C478" t="s">
        <v>1319</v>
      </c>
      <c r="D478">
        <v>1</v>
      </c>
      <c r="E478" t="s">
        <v>536</v>
      </c>
      <c r="F478" t="s">
        <v>537</v>
      </c>
      <c r="G478" s="1"/>
      <c r="H478" t="str">
        <f>"3250616380837"</f>
        <v>3250616380837</v>
      </c>
      <c r="J478" t="s">
        <v>1320</v>
      </c>
    </row>
    <row r="479" spans="1:10" x14ac:dyDescent="0.25">
      <c r="A479" t="s">
        <v>8</v>
      </c>
      <c r="B479" t="s">
        <v>1321</v>
      </c>
      <c r="C479" t="s">
        <v>1322</v>
      </c>
      <c r="D479">
        <v>1</v>
      </c>
      <c r="E479" t="s">
        <v>536</v>
      </c>
      <c r="F479" t="s">
        <v>537</v>
      </c>
      <c r="G479" s="1"/>
      <c r="H479" t="str">
        <f>"3250616380844"</f>
        <v>3250616380844</v>
      </c>
      <c r="J479" t="s">
        <v>1320</v>
      </c>
    </row>
    <row r="480" spans="1:10" x14ac:dyDescent="0.25">
      <c r="A480" t="s">
        <v>8</v>
      </c>
      <c r="B480" t="s">
        <v>1323</v>
      </c>
      <c r="C480" t="s">
        <v>1324</v>
      </c>
      <c r="D480">
        <v>1</v>
      </c>
      <c r="E480" t="s">
        <v>536</v>
      </c>
      <c r="F480" t="s">
        <v>537</v>
      </c>
      <c r="G480" s="1"/>
      <c r="H480" t="str">
        <f>"3250616380851"</f>
        <v>3250616380851</v>
      </c>
      <c r="J480" t="s">
        <v>1325</v>
      </c>
    </row>
    <row r="481" spans="1:10" x14ac:dyDescent="0.25">
      <c r="A481" t="s">
        <v>8</v>
      </c>
      <c r="B481" t="s">
        <v>1326</v>
      </c>
      <c r="C481" t="s">
        <v>1327</v>
      </c>
      <c r="D481">
        <v>1</v>
      </c>
      <c r="E481" t="s">
        <v>536</v>
      </c>
      <c r="F481" t="s">
        <v>537</v>
      </c>
      <c r="G481" s="1"/>
      <c r="H481" t="str">
        <f>"3250616380868"</f>
        <v>3250616380868</v>
      </c>
      <c r="J481" t="s">
        <v>1325</v>
      </c>
    </row>
    <row r="482" spans="1:10" x14ac:dyDescent="0.25">
      <c r="A482" t="s">
        <v>8</v>
      </c>
      <c r="B482" t="s">
        <v>1328</v>
      </c>
      <c r="C482" t="s">
        <v>1329</v>
      </c>
      <c r="D482">
        <v>1</v>
      </c>
      <c r="E482" t="s">
        <v>536</v>
      </c>
      <c r="F482" t="s">
        <v>537</v>
      </c>
      <c r="G482" s="1"/>
      <c r="H482" t="str">
        <f>"3250610014318"</f>
        <v>3250610014318</v>
      </c>
      <c r="J482" t="s">
        <v>1330</v>
      </c>
    </row>
    <row r="483" spans="1:10" x14ac:dyDescent="0.25">
      <c r="A483" t="s">
        <v>8</v>
      </c>
      <c r="B483" t="s">
        <v>1331</v>
      </c>
      <c r="C483" t="s">
        <v>1332</v>
      </c>
      <c r="D483">
        <v>1</v>
      </c>
      <c r="E483" t="s">
        <v>536</v>
      </c>
      <c r="F483" t="s">
        <v>537</v>
      </c>
      <c r="G483" s="1"/>
      <c r="H483" t="str">
        <f>"3250610013816"</f>
        <v>3250610013816</v>
      </c>
      <c r="J483" t="s">
        <v>1333</v>
      </c>
    </row>
    <row r="484" spans="1:10" x14ac:dyDescent="0.25">
      <c r="A484" t="s">
        <v>8</v>
      </c>
      <c r="B484" t="s">
        <v>1334</v>
      </c>
      <c r="C484" t="s">
        <v>1335</v>
      </c>
      <c r="D484">
        <v>1</v>
      </c>
      <c r="E484" t="s">
        <v>536</v>
      </c>
      <c r="F484" t="s">
        <v>537</v>
      </c>
      <c r="G484" s="1"/>
      <c r="H484" t="str">
        <f>"3250610014431"</f>
        <v>3250610014431</v>
      </c>
      <c r="J484" t="s">
        <v>1330</v>
      </c>
    </row>
    <row r="485" spans="1:10" x14ac:dyDescent="0.25">
      <c r="A485" t="s">
        <v>8</v>
      </c>
      <c r="B485" t="s">
        <v>1336</v>
      </c>
      <c r="C485" t="s">
        <v>1337</v>
      </c>
      <c r="D485">
        <v>1</v>
      </c>
      <c r="E485" t="s">
        <v>536</v>
      </c>
      <c r="F485" t="s">
        <v>537</v>
      </c>
      <c r="G485" s="1"/>
      <c r="H485" t="str">
        <f>"3250610014134"</f>
        <v>3250610014134</v>
      </c>
      <c r="J485" t="s">
        <v>1338</v>
      </c>
    </row>
    <row r="486" spans="1:10" x14ac:dyDescent="0.25">
      <c r="A486" t="s">
        <v>8</v>
      </c>
      <c r="B486" t="s">
        <v>1339</v>
      </c>
      <c r="C486" t="s">
        <v>1340</v>
      </c>
      <c r="D486">
        <v>1</v>
      </c>
      <c r="E486" t="s">
        <v>536</v>
      </c>
      <c r="F486" t="s">
        <v>537</v>
      </c>
      <c r="G486" s="1"/>
      <c r="H486" t="str">
        <f>"3250610014325"</f>
        <v>3250610014325</v>
      </c>
      <c r="J486" t="s">
        <v>1341</v>
      </c>
    </row>
    <row r="487" spans="1:10" x14ac:dyDescent="0.25">
      <c r="A487" t="s">
        <v>8</v>
      </c>
      <c r="B487" t="s">
        <v>1342</v>
      </c>
      <c r="C487" t="s">
        <v>1343</v>
      </c>
      <c r="D487">
        <v>1</v>
      </c>
      <c r="E487" t="s">
        <v>536</v>
      </c>
      <c r="F487" t="s">
        <v>537</v>
      </c>
      <c r="G487" s="1"/>
      <c r="H487" t="str">
        <f>"3250610013823"</f>
        <v>3250610013823</v>
      </c>
      <c r="J487" t="s">
        <v>1344</v>
      </c>
    </row>
    <row r="488" spans="1:10" x14ac:dyDescent="0.25">
      <c r="A488" t="s">
        <v>8</v>
      </c>
      <c r="B488" t="s">
        <v>1345</v>
      </c>
      <c r="C488" t="s">
        <v>1346</v>
      </c>
      <c r="D488">
        <v>1</v>
      </c>
      <c r="E488" t="s">
        <v>536</v>
      </c>
      <c r="F488" t="s">
        <v>537</v>
      </c>
      <c r="G488" s="1"/>
      <c r="H488" t="str">
        <f>"3250610014448"</f>
        <v>3250610014448</v>
      </c>
      <c r="J488" t="s">
        <v>1341</v>
      </c>
    </row>
    <row r="489" spans="1:10" x14ac:dyDescent="0.25">
      <c r="A489" t="s">
        <v>8</v>
      </c>
      <c r="B489" t="s">
        <v>1347</v>
      </c>
      <c r="C489" t="s">
        <v>1348</v>
      </c>
      <c r="D489">
        <v>1</v>
      </c>
      <c r="E489" t="s">
        <v>536</v>
      </c>
      <c r="F489" t="s">
        <v>537</v>
      </c>
      <c r="G489" s="1"/>
      <c r="H489" t="str">
        <f>"3250610013526"</f>
        <v>3250610013526</v>
      </c>
      <c r="J489" t="s">
        <v>1349</v>
      </c>
    </row>
    <row r="490" spans="1:10" x14ac:dyDescent="0.25">
      <c r="A490" t="s">
        <v>8</v>
      </c>
      <c r="B490" t="s">
        <v>1350</v>
      </c>
      <c r="C490" t="s">
        <v>1351</v>
      </c>
      <c r="D490">
        <v>1</v>
      </c>
      <c r="E490" t="s">
        <v>536</v>
      </c>
      <c r="F490" t="s">
        <v>537</v>
      </c>
      <c r="G490" s="1"/>
      <c r="H490" t="str">
        <f>"3250610014141"</f>
        <v>3250610014141</v>
      </c>
      <c r="J490" t="s">
        <v>1352</v>
      </c>
    </row>
    <row r="491" spans="1:10" x14ac:dyDescent="0.25">
      <c r="A491" t="s">
        <v>8</v>
      </c>
      <c r="B491" t="s">
        <v>1353</v>
      </c>
      <c r="C491" t="s">
        <v>1354</v>
      </c>
      <c r="D491">
        <v>1</v>
      </c>
      <c r="E491" t="s">
        <v>536</v>
      </c>
      <c r="F491" t="s">
        <v>537</v>
      </c>
      <c r="G491" s="1"/>
      <c r="H491" t="str">
        <f>"3250610014332"</f>
        <v>3250610014332</v>
      </c>
      <c r="J491" t="s">
        <v>1355</v>
      </c>
    </row>
    <row r="492" spans="1:10" x14ac:dyDescent="0.25">
      <c r="A492" t="s">
        <v>8</v>
      </c>
      <c r="B492" t="s">
        <v>1356</v>
      </c>
      <c r="C492" t="s">
        <v>1357</v>
      </c>
      <c r="D492">
        <v>1</v>
      </c>
      <c r="E492" t="s">
        <v>536</v>
      </c>
      <c r="F492" t="s">
        <v>537</v>
      </c>
      <c r="G492" s="1"/>
      <c r="H492" t="str">
        <f>"3250610013984"</f>
        <v>3250610013984</v>
      </c>
      <c r="J492" t="s">
        <v>1358</v>
      </c>
    </row>
    <row r="493" spans="1:10" x14ac:dyDescent="0.25">
      <c r="A493" t="s">
        <v>8</v>
      </c>
      <c r="B493" t="s">
        <v>1359</v>
      </c>
      <c r="C493" t="s">
        <v>1360</v>
      </c>
      <c r="D493">
        <v>1</v>
      </c>
      <c r="E493" t="s">
        <v>536</v>
      </c>
      <c r="F493" t="s">
        <v>537</v>
      </c>
      <c r="G493" s="1"/>
      <c r="H493" t="str">
        <f>"3250610014455"</f>
        <v>3250610014455</v>
      </c>
      <c r="J493" t="s">
        <v>1355</v>
      </c>
    </row>
    <row r="494" spans="1:10" x14ac:dyDescent="0.25">
      <c r="A494" t="s">
        <v>8</v>
      </c>
      <c r="B494" t="s">
        <v>1361</v>
      </c>
      <c r="C494" t="s">
        <v>1362</v>
      </c>
      <c r="D494">
        <v>1</v>
      </c>
      <c r="E494" t="s">
        <v>536</v>
      </c>
      <c r="F494" t="s">
        <v>537</v>
      </c>
      <c r="G494" s="1"/>
      <c r="H494" t="str">
        <f>"3250610013533"</f>
        <v>3250610013533</v>
      </c>
      <c r="J494" t="s">
        <v>1363</v>
      </c>
    </row>
    <row r="495" spans="1:10" x14ac:dyDescent="0.25">
      <c r="A495" t="s">
        <v>8</v>
      </c>
      <c r="B495" t="s">
        <v>1364</v>
      </c>
      <c r="C495" t="s">
        <v>1365</v>
      </c>
      <c r="D495">
        <v>1</v>
      </c>
      <c r="E495" t="s">
        <v>536</v>
      </c>
      <c r="F495" t="s">
        <v>537</v>
      </c>
      <c r="G495" s="1"/>
      <c r="H495" t="str">
        <f>"3250610014158"</f>
        <v>3250610014158</v>
      </c>
      <c r="J495" t="s">
        <v>1366</v>
      </c>
    </row>
    <row r="496" spans="1:10" x14ac:dyDescent="0.25">
      <c r="A496" t="s">
        <v>8</v>
      </c>
      <c r="B496" t="s">
        <v>1367</v>
      </c>
      <c r="C496" t="s">
        <v>1368</v>
      </c>
      <c r="D496">
        <v>1</v>
      </c>
      <c r="E496" t="s">
        <v>536</v>
      </c>
      <c r="F496" t="s">
        <v>537</v>
      </c>
      <c r="G496" s="1"/>
      <c r="H496" t="str">
        <f>"3250610014226"</f>
        <v>3250610014226</v>
      </c>
      <c r="J496" t="s">
        <v>1369</v>
      </c>
    </row>
    <row r="497" spans="1:10" x14ac:dyDescent="0.25">
      <c r="A497" t="s">
        <v>8</v>
      </c>
      <c r="B497" t="s">
        <v>1370</v>
      </c>
      <c r="C497" t="s">
        <v>1371</v>
      </c>
      <c r="D497">
        <v>1</v>
      </c>
      <c r="E497" t="s">
        <v>536</v>
      </c>
      <c r="F497" t="s">
        <v>537</v>
      </c>
      <c r="G497" s="1"/>
      <c r="H497" t="str">
        <f>"3250610013724"</f>
        <v>3250610013724</v>
      </c>
      <c r="J497" t="s">
        <v>1372</v>
      </c>
    </row>
    <row r="498" spans="1:10" x14ac:dyDescent="0.25">
      <c r="A498" t="s">
        <v>8</v>
      </c>
      <c r="B498" t="s">
        <v>1373</v>
      </c>
      <c r="C498" t="s">
        <v>1374</v>
      </c>
      <c r="D498">
        <v>1</v>
      </c>
      <c r="E498" t="s">
        <v>536</v>
      </c>
      <c r="F498" t="s">
        <v>537</v>
      </c>
      <c r="G498" s="1"/>
      <c r="H498" t="str">
        <f>"3250610014349"</f>
        <v>3250610014349</v>
      </c>
      <c r="J498" t="s">
        <v>1369</v>
      </c>
    </row>
    <row r="499" spans="1:10" x14ac:dyDescent="0.25">
      <c r="A499" t="s">
        <v>8</v>
      </c>
      <c r="B499" t="s">
        <v>1375</v>
      </c>
      <c r="C499" t="s">
        <v>1376</v>
      </c>
      <c r="D499">
        <v>1</v>
      </c>
      <c r="E499" t="s">
        <v>536</v>
      </c>
      <c r="F499" t="s">
        <v>537</v>
      </c>
      <c r="G499" s="1"/>
      <c r="H499" t="str">
        <f>"3250610014233"</f>
        <v>3250610014233</v>
      </c>
      <c r="J499" t="s">
        <v>1377</v>
      </c>
    </row>
    <row r="500" spans="1:10" x14ac:dyDescent="0.25">
      <c r="A500" t="s">
        <v>8</v>
      </c>
      <c r="B500" t="s">
        <v>1378</v>
      </c>
      <c r="C500" t="s">
        <v>1379</v>
      </c>
      <c r="D500">
        <v>1</v>
      </c>
      <c r="E500" t="s">
        <v>536</v>
      </c>
      <c r="F500" t="s">
        <v>537</v>
      </c>
      <c r="G500" s="1"/>
      <c r="H500" t="str">
        <f>"3250610013731"</f>
        <v>3250610013731</v>
      </c>
      <c r="J500" t="s">
        <v>1380</v>
      </c>
    </row>
    <row r="501" spans="1:10" x14ac:dyDescent="0.25">
      <c r="A501" t="s">
        <v>8</v>
      </c>
      <c r="B501" t="s">
        <v>1381</v>
      </c>
      <c r="C501" t="s">
        <v>1382</v>
      </c>
      <c r="D501">
        <v>1</v>
      </c>
      <c r="E501" t="s">
        <v>536</v>
      </c>
      <c r="F501" t="s">
        <v>537</v>
      </c>
      <c r="G501" s="1"/>
      <c r="H501" t="str">
        <f>"3250610014356"</f>
        <v>3250610014356</v>
      </c>
      <c r="J501" t="s">
        <v>1377</v>
      </c>
    </row>
    <row r="502" spans="1:10" x14ac:dyDescent="0.25">
      <c r="A502" t="s">
        <v>8</v>
      </c>
      <c r="B502" t="s">
        <v>1383</v>
      </c>
      <c r="C502" t="s">
        <v>1384</v>
      </c>
      <c r="D502">
        <v>1</v>
      </c>
      <c r="E502" t="s">
        <v>536</v>
      </c>
      <c r="F502" t="s">
        <v>537</v>
      </c>
      <c r="G502" s="1"/>
      <c r="H502" t="str">
        <f>"3250610014240"</f>
        <v>3250610014240</v>
      </c>
      <c r="J502" t="s">
        <v>1385</v>
      </c>
    </row>
    <row r="503" spans="1:10" x14ac:dyDescent="0.25">
      <c r="A503" t="s">
        <v>8</v>
      </c>
      <c r="B503" t="s">
        <v>1386</v>
      </c>
      <c r="C503" t="s">
        <v>1387</v>
      </c>
      <c r="D503">
        <v>1</v>
      </c>
      <c r="E503" t="s">
        <v>536</v>
      </c>
      <c r="F503" t="s">
        <v>537</v>
      </c>
      <c r="G503" s="1"/>
      <c r="H503" t="str">
        <f>"3250610013748"</f>
        <v>3250610013748</v>
      </c>
      <c r="J503" t="s">
        <v>1388</v>
      </c>
    </row>
    <row r="504" spans="1:10" x14ac:dyDescent="0.25">
      <c r="A504" t="s">
        <v>8</v>
      </c>
      <c r="B504" t="s">
        <v>1389</v>
      </c>
      <c r="C504" t="s">
        <v>1390</v>
      </c>
      <c r="D504">
        <v>1</v>
      </c>
      <c r="E504" t="s">
        <v>536</v>
      </c>
      <c r="F504" t="s">
        <v>537</v>
      </c>
      <c r="G504" s="1"/>
      <c r="H504" t="str">
        <f>"3250610014363"</f>
        <v>3250610014363</v>
      </c>
      <c r="J504" t="s">
        <v>1385</v>
      </c>
    </row>
    <row r="505" spans="1:10" x14ac:dyDescent="0.25">
      <c r="A505" t="s">
        <v>8</v>
      </c>
      <c r="B505" t="s">
        <v>1391</v>
      </c>
      <c r="C505" t="s">
        <v>1392</v>
      </c>
      <c r="D505">
        <v>1</v>
      </c>
      <c r="E505" t="s">
        <v>536</v>
      </c>
      <c r="F505" t="s">
        <v>537</v>
      </c>
      <c r="G505" s="1"/>
      <c r="H505" t="str">
        <f>"3250610014257"</f>
        <v>3250610014257</v>
      </c>
      <c r="J505" t="s">
        <v>1393</v>
      </c>
    </row>
    <row r="506" spans="1:10" x14ac:dyDescent="0.25">
      <c r="A506" t="s">
        <v>8</v>
      </c>
      <c r="B506" t="s">
        <v>1394</v>
      </c>
      <c r="C506" t="s">
        <v>1395</v>
      </c>
      <c r="D506">
        <v>1</v>
      </c>
      <c r="E506" t="s">
        <v>536</v>
      </c>
      <c r="F506" t="s">
        <v>537</v>
      </c>
      <c r="G506" s="1"/>
      <c r="H506" t="str">
        <f>"3250610013755"</f>
        <v>3250610013755</v>
      </c>
      <c r="J506" t="s">
        <v>1396</v>
      </c>
    </row>
    <row r="507" spans="1:10" x14ac:dyDescent="0.25">
      <c r="A507" t="s">
        <v>8</v>
      </c>
      <c r="B507" t="s">
        <v>1397</v>
      </c>
      <c r="C507" t="s">
        <v>1398</v>
      </c>
      <c r="D507">
        <v>1</v>
      </c>
      <c r="E507" t="s">
        <v>536</v>
      </c>
      <c r="F507" t="s">
        <v>537</v>
      </c>
      <c r="G507" s="1"/>
      <c r="H507" t="str">
        <f>"3250610014370"</f>
        <v>3250610014370</v>
      </c>
      <c r="J507" t="s">
        <v>1393</v>
      </c>
    </row>
    <row r="508" spans="1:10" x14ac:dyDescent="0.25">
      <c r="A508" t="s">
        <v>8</v>
      </c>
      <c r="B508" t="s">
        <v>1399</v>
      </c>
      <c r="C508" t="s">
        <v>1400</v>
      </c>
      <c r="D508">
        <v>1</v>
      </c>
      <c r="E508" t="s">
        <v>536</v>
      </c>
      <c r="F508" t="s">
        <v>537</v>
      </c>
      <c r="G508" s="1"/>
      <c r="H508" t="str">
        <f>"3250610014073"</f>
        <v>3250610014073</v>
      </c>
      <c r="J508" t="s">
        <v>1401</v>
      </c>
    </row>
    <row r="509" spans="1:10" x14ac:dyDescent="0.25">
      <c r="A509" t="s">
        <v>8</v>
      </c>
      <c r="B509" t="s">
        <v>1402</v>
      </c>
      <c r="C509" t="s">
        <v>1403</v>
      </c>
      <c r="D509">
        <v>1</v>
      </c>
      <c r="E509" t="s">
        <v>536</v>
      </c>
      <c r="F509" t="s">
        <v>537</v>
      </c>
      <c r="G509" s="1"/>
      <c r="H509" t="str">
        <f>"3250610014264"</f>
        <v>3250610014264</v>
      </c>
      <c r="J509" t="s">
        <v>1404</v>
      </c>
    </row>
    <row r="510" spans="1:10" x14ac:dyDescent="0.25">
      <c r="A510" t="s">
        <v>8</v>
      </c>
      <c r="B510" t="s">
        <v>1405</v>
      </c>
      <c r="C510" t="s">
        <v>1406</v>
      </c>
      <c r="D510">
        <v>1</v>
      </c>
      <c r="E510" t="s">
        <v>536</v>
      </c>
      <c r="F510" t="s">
        <v>537</v>
      </c>
      <c r="G510" s="1"/>
      <c r="H510" t="str">
        <f>"3250610013762"</f>
        <v>3250610013762</v>
      </c>
      <c r="J510" t="s">
        <v>1407</v>
      </c>
    </row>
    <row r="511" spans="1:10" x14ac:dyDescent="0.25">
      <c r="A511" t="s">
        <v>8</v>
      </c>
      <c r="B511" t="s">
        <v>1408</v>
      </c>
      <c r="C511" t="s">
        <v>1409</v>
      </c>
      <c r="D511">
        <v>1</v>
      </c>
      <c r="E511" t="s">
        <v>536</v>
      </c>
      <c r="F511" t="s">
        <v>537</v>
      </c>
      <c r="G511" s="1"/>
      <c r="H511" t="str">
        <f>"3250610014387"</f>
        <v>3250610014387</v>
      </c>
      <c r="J511" t="s">
        <v>1404</v>
      </c>
    </row>
    <row r="512" spans="1:10" x14ac:dyDescent="0.25">
      <c r="A512" t="s">
        <v>8</v>
      </c>
      <c r="B512" t="s">
        <v>1410</v>
      </c>
      <c r="C512" t="s">
        <v>1411</v>
      </c>
      <c r="D512">
        <v>1</v>
      </c>
      <c r="E512" t="s">
        <v>536</v>
      </c>
      <c r="F512" t="s">
        <v>537</v>
      </c>
      <c r="G512" s="1"/>
      <c r="H512" t="str">
        <f>"3250610013489"</f>
        <v>3250610013489</v>
      </c>
      <c r="J512" t="s">
        <v>1412</v>
      </c>
    </row>
    <row r="513" spans="1:10" x14ac:dyDescent="0.25">
      <c r="A513" t="s">
        <v>8</v>
      </c>
      <c r="B513" t="s">
        <v>1413</v>
      </c>
      <c r="C513" t="s">
        <v>1414</v>
      </c>
      <c r="D513">
        <v>1</v>
      </c>
      <c r="E513" t="s">
        <v>536</v>
      </c>
      <c r="F513" t="s">
        <v>537</v>
      </c>
      <c r="G513" s="1"/>
      <c r="H513" t="str">
        <f>"3250610014080"</f>
        <v>3250610014080</v>
      </c>
      <c r="J513" t="s">
        <v>1415</v>
      </c>
    </row>
    <row r="514" spans="1:10" x14ac:dyDescent="0.25">
      <c r="A514" t="s">
        <v>8</v>
      </c>
      <c r="B514" t="s">
        <v>1416</v>
      </c>
      <c r="C514" t="s">
        <v>1417</v>
      </c>
      <c r="D514">
        <v>1</v>
      </c>
      <c r="E514" t="s">
        <v>536</v>
      </c>
      <c r="F514" t="s">
        <v>537</v>
      </c>
      <c r="G514" s="1"/>
      <c r="H514" t="str">
        <f>"3250610014271"</f>
        <v>3250610014271</v>
      </c>
      <c r="J514" t="s">
        <v>1418</v>
      </c>
    </row>
    <row r="515" spans="1:10" x14ac:dyDescent="0.25">
      <c r="A515" t="s">
        <v>8</v>
      </c>
      <c r="B515" t="s">
        <v>1419</v>
      </c>
      <c r="C515" t="s">
        <v>1420</v>
      </c>
      <c r="D515">
        <v>1</v>
      </c>
      <c r="E515" t="s">
        <v>536</v>
      </c>
      <c r="F515" t="s">
        <v>537</v>
      </c>
      <c r="G515" s="1"/>
      <c r="H515" t="str">
        <f>"3250610013779"</f>
        <v>3250610013779</v>
      </c>
      <c r="J515" t="s">
        <v>1421</v>
      </c>
    </row>
    <row r="516" spans="1:10" x14ac:dyDescent="0.25">
      <c r="A516" t="s">
        <v>8</v>
      </c>
      <c r="B516" t="s">
        <v>1422</v>
      </c>
      <c r="C516" t="s">
        <v>1423</v>
      </c>
      <c r="D516">
        <v>1</v>
      </c>
      <c r="E516" t="s">
        <v>536</v>
      </c>
      <c r="F516" t="s">
        <v>537</v>
      </c>
      <c r="G516" s="1"/>
      <c r="H516" t="str">
        <f>"3250610014394"</f>
        <v>3250610014394</v>
      </c>
      <c r="J516" t="s">
        <v>1418</v>
      </c>
    </row>
    <row r="517" spans="1:10" x14ac:dyDescent="0.25">
      <c r="A517" t="s">
        <v>8</v>
      </c>
      <c r="B517" t="s">
        <v>1424</v>
      </c>
      <c r="C517" t="s">
        <v>1425</v>
      </c>
      <c r="D517">
        <v>1</v>
      </c>
      <c r="E517" t="s">
        <v>536</v>
      </c>
      <c r="F517" t="s">
        <v>537</v>
      </c>
      <c r="G517" s="1"/>
      <c r="H517" t="str">
        <f>"3250610013496"</f>
        <v>3250610013496</v>
      </c>
      <c r="J517" t="s">
        <v>1426</v>
      </c>
    </row>
    <row r="518" spans="1:10" x14ac:dyDescent="0.25">
      <c r="A518" t="s">
        <v>8</v>
      </c>
      <c r="B518" t="s">
        <v>1427</v>
      </c>
      <c r="C518" t="s">
        <v>1428</v>
      </c>
      <c r="D518">
        <v>1</v>
      </c>
      <c r="E518" t="s">
        <v>536</v>
      </c>
      <c r="F518" t="s">
        <v>537</v>
      </c>
      <c r="G518" s="1"/>
      <c r="H518" t="str">
        <f>"3250610014097"</f>
        <v>3250610014097</v>
      </c>
      <c r="J518" t="s">
        <v>1429</v>
      </c>
    </row>
    <row r="519" spans="1:10" x14ac:dyDescent="0.25">
      <c r="A519" t="s">
        <v>8</v>
      </c>
      <c r="B519" t="s">
        <v>1430</v>
      </c>
      <c r="C519" t="s">
        <v>1431</v>
      </c>
      <c r="D519">
        <v>1</v>
      </c>
      <c r="E519" t="s">
        <v>536</v>
      </c>
      <c r="F519" t="s">
        <v>537</v>
      </c>
      <c r="G519" s="1"/>
      <c r="H519" t="str">
        <f>"3250610014288"</f>
        <v>3250610014288</v>
      </c>
      <c r="J519" t="s">
        <v>1432</v>
      </c>
    </row>
    <row r="520" spans="1:10" x14ac:dyDescent="0.25">
      <c r="A520" t="s">
        <v>8</v>
      </c>
      <c r="B520" t="s">
        <v>1433</v>
      </c>
      <c r="C520" t="s">
        <v>1434</v>
      </c>
      <c r="D520">
        <v>1</v>
      </c>
      <c r="E520" t="s">
        <v>536</v>
      </c>
      <c r="F520" t="s">
        <v>537</v>
      </c>
      <c r="G520" s="1"/>
      <c r="H520" t="str">
        <f>"3250610013786"</f>
        <v>3250610013786</v>
      </c>
      <c r="J520" t="s">
        <v>1333</v>
      </c>
    </row>
    <row r="521" spans="1:10" x14ac:dyDescent="0.25">
      <c r="A521" t="s">
        <v>8</v>
      </c>
      <c r="B521" t="s">
        <v>1435</v>
      </c>
      <c r="C521" t="s">
        <v>1436</v>
      </c>
      <c r="D521">
        <v>1</v>
      </c>
      <c r="E521" t="s">
        <v>536</v>
      </c>
      <c r="F521" t="s">
        <v>537</v>
      </c>
      <c r="G521" s="1"/>
      <c r="H521" t="str">
        <f>"3250610014400"</f>
        <v>3250610014400</v>
      </c>
      <c r="J521" t="s">
        <v>1432</v>
      </c>
    </row>
    <row r="522" spans="1:10" x14ac:dyDescent="0.25">
      <c r="A522" t="s">
        <v>8</v>
      </c>
      <c r="B522" t="s">
        <v>1437</v>
      </c>
      <c r="C522" t="s">
        <v>1438</v>
      </c>
      <c r="D522">
        <v>1</v>
      </c>
      <c r="E522" t="s">
        <v>536</v>
      </c>
      <c r="F522" t="s">
        <v>537</v>
      </c>
      <c r="G522" s="1"/>
      <c r="H522" t="str">
        <f>"3250610014103"</f>
        <v>3250610014103</v>
      </c>
      <c r="J522" t="s">
        <v>1439</v>
      </c>
    </row>
    <row r="523" spans="1:10" x14ac:dyDescent="0.25">
      <c r="A523" t="s">
        <v>8</v>
      </c>
      <c r="B523" t="s">
        <v>1440</v>
      </c>
      <c r="C523" t="s">
        <v>1441</v>
      </c>
      <c r="D523">
        <v>1</v>
      </c>
      <c r="E523" t="s">
        <v>536</v>
      </c>
      <c r="F523" t="s">
        <v>537</v>
      </c>
      <c r="G523" s="1"/>
      <c r="H523" t="str">
        <f>"3250610014295"</f>
        <v>3250610014295</v>
      </c>
      <c r="J523" t="s">
        <v>1442</v>
      </c>
    </row>
    <row r="524" spans="1:10" x14ac:dyDescent="0.25">
      <c r="A524" t="s">
        <v>8</v>
      </c>
      <c r="B524" t="s">
        <v>1443</v>
      </c>
      <c r="C524" t="s">
        <v>1444</v>
      </c>
      <c r="D524">
        <v>1</v>
      </c>
      <c r="E524" t="s">
        <v>536</v>
      </c>
      <c r="F524" t="s">
        <v>537</v>
      </c>
      <c r="G524" s="1"/>
      <c r="H524" t="str">
        <f>"3250610013793"</f>
        <v>3250610013793</v>
      </c>
      <c r="J524" t="s">
        <v>1445</v>
      </c>
    </row>
    <row r="525" spans="1:10" x14ac:dyDescent="0.25">
      <c r="A525" t="s">
        <v>8</v>
      </c>
      <c r="B525" t="s">
        <v>1446</v>
      </c>
      <c r="C525" t="s">
        <v>1447</v>
      </c>
      <c r="D525">
        <v>1</v>
      </c>
      <c r="E525" t="s">
        <v>536</v>
      </c>
      <c r="F525" t="s">
        <v>537</v>
      </c>
      <c r="G525" s="1"/>
      <c r="H525" t="str">
        <f>"3250610014417"</f>
        <v>3250610014417</v>
      </c>
      <c r="J525" t="s">
        <v>1442</v>
      </c>
    </row>
    <row r="526" spans="1:10" x14ac:dyDescent="0.25">
      <c r="A526" t="s">
        <v>8</v>
      </c>
      <c r="B526" t="s">
        <v>1448</v>
      </c>
      <c r="C526" t="s">
        <v>1449</v>
      </c>
      <c r="D526">
        <v>1</v>
      </c>
      <c r="E526" t="s">
        <v>536</v>
      </c>
      <c r="F526" t="s">
        <v>537</v>
      </c>
      <c r="G526" s="1"/>
      <c r="H526" t="str">
        <f>"3250610013502"</f>
        <v>3250610013502</v>
      </c>
      <c r="J526" t="s">
        <v>1450</v>
      </c>
    </row>
    <row r="527" spans="1:10" x14ac:dyDescent="0.25">
      <c r="A527" t="s">
        <v>8</v>
      </c>
      <c r="B527" t="s">
        <v>1451</v>
      </c>
      <c r="C527" t="s">
        <v>1452</v>
      </c>
      <c r="D527">
        <v>1</v>
      </c>
      <c r="E527" t="s">
        <v>536</v>
      </c>
      <c r="F527" t="s">
        <v>537</v>
      </c>
      <c r="G527" s="1"/>
      <c r="H527" t="str">
        <f>"3250610014110"</f>
        <v>3250610014110</v>
      </c>
      <c r="J527" t="s">
        <v>1453</v>
      </c>
    </row>
    <row r="528" spans="1:10" x14ac:dyDescent="0.25">
      <c r="A528" t="s">
        <v>8</v>
      </c>
      <c r="B528" t="s">
        <v>1454</v>
      </c>
      <c r="C528" t="s">
        <v>1455</v>
      </c>
      <c r="D528">
        <v>1</v>
      </c>
      <c r="E528" t="s">
        <v>536</v>
      </c>
      <c r="F528" t="s">
        <v>537</v>
      </c>
      <c r="G528" s="1"/>
      <c r="H528" t="str">
        <f>"3250610014301"</f>
        <v>3250610014301</v>
      </c>
      <c r="J528" t="s">
        <v>1456</v>
      </c>
    </row>
    <row r="529" spans="1:10" x14ac:dyDescent="0.25">
      <c r="A529" t="s">
        <v>8</v>
      </c>
      <c r="B529" t="s">
        <v>1457</v>
      </c>
      <c r="C529" t="s">
        <v>1458</v>
      </c>
      <c r="D529">
        <v>1</v>
      </c>
      <c r="E529" t="s">
        <v>536</v>
      </c>
      <c r="F529" t="s">
        <v>537</v>
      </c>
      <c r="G529" s="1"/>
      <c r="H529" t="str">
        <f>"3250610013809"</f>
        <v>3250610013809</v>
      </c>
      <c r="J529" t="s">
        <v>1459</v>
      </c>
    </row>
    <row r="530" spans="1:10" x14ac:dyDescent="0.25">
      <c r="A530" t="s">
        <v>8</v>
      </c>
      <c r="B530" t="s">
        <v>1460</v>
      </c>
      <c r="C530" t="s">
        <v>1461</v>
      </c>
      <c r="D530">
        <v>1</v>
      </c>
      <c r="E530" t="s">
        <v>536</v>
      </c>
      <c r="F530" t="s">
        <v>537</v>
      </c>
      <c r="G530" s="1"/>
      <c r="H530" t="str">
        <f>"3250610014424"</f>
        <v>3250610014424</v>
      </c>
      <c r="J530" t="s">
        <v>1456</v>
      </c>
    </row>
    <row r="531" spans="1:10" x14ac:dyDescent="0.25">
      <c r="A531" t="s">
        <v>8</v>
      </c>
      <c r="B531" t="s">
        <v>1462</v>
      </c>
      <c r="C531" t="s">
        <v>1463</v>
      </c>
      <c r="D531">
        <v>1</v>
      </c>
      <c r="E531" t="s">
        <v>536</v>
      </c>
      <c r="F531" t="s">
        <v>537</v>
      </c>
      <c r="G531" s="1"/>
      <c r="H531" t="str">
        <f>"3250610013519"</f>
        <v>3250610013519</v>
      </c>
      <c r="J531" t="s">
        <v>1464</v>
      </c>
    </row>
    <row r="532" spans="1:10" x14ac:dyDescent="0.25">
      <c r="A532" t="s">
        <v>8</v>
      </c>
      <c r="B532" t="s">
        <v>1465</v>
      </c>
      <c r="C532" t="s">
        <v>1466</v>
      </c>
      <c r="D532">
        <v>1</v>
      </c>
      <c r="E532" t="s">
        <v>536</v>
      </c>
      <c r="F532" t="s">
        <v>537</v>
      </c>
      <c r="G532" s="1"/>
      <c r="H532" t="str">
        <f>"3250610014127"</f>
        <v>3250610014127</v>
      </c>
      <c r="J532" t="s">
        <v>1467</v>
      </c>
    </row>
    <row r="533" spans="1:10" x14ac:dyDescent="0.25">
      <c r="A533" t="s">
        <v>8</v>
      </c>
      <c r="B533" t="s">
        <v>1468</v>
      </c>
      <c r="C533" t="s">
        <v>1469</v>
      </c>
      <c r="D533">
        <v>1</v>
      </c>
      <c r="E533" t="s">
        <v>536</v>
      </c>
      <c r="F533" t="s">
        <v>537</v>
      </c>
      <c r="G533" s="1"/>
      <c r="H533" t="str">
        <f>"3250610026588"</f>
        <v>3250610026588</v>
      </c>
      <c r="J533" t="s">
        <v>1470</v>
      </c>
    </row>
    <row r="534" spans="1:10" x14ac:dyDescent="0.25">
      <c r="A534" t="s">
        <v>8</v>
      </c>
      <c r="B534" t="s">
        <v>1471</v>
      </c>
      <c r="C534" t="s">
        <v>1472</v>
      </c>
      <c r="D534">
        <v>1</v>
      </c>
      <c r="E534" t="s">
        <v>536</v>
      </c>
      <c r="F534" t="s">
        <v>537</v>
      </c>
      <c r="G534" s="1"/>
      <c r="H534" t="str">
        <f>"3250610026595"</f>
        <v>3250610026595</v>
      </c>
      <c r="J534" t="s">
        <v>1473</v>
      </c>
    </row>
    <row r="535" spans="1:10" x14ac:dyDescent="0.25">
      <c r="A535" t="s">
        <v>8</v>
      </c>
      <c r="B535" t="s">
        <v>1474</v>
      </c>
      <c r="C535" t="s">
        <v>1475</v>
      </c>
      <c r="D535">
        <v>1</v>
      </c>
      <c r="E535" t="s">
        <v>536</v>
      </c>
      <c r="F535" t="s">
        <v>537</v>
      </c>
      <c r="G535" s="1"/>
      <c r="H535" t="str">
        <f>"3250610026601"</f>
        <v>3250610026601</v>
      </c>
      <c r="J535" t="s">
        <v>1476</v>
      </c>
    </row>
    <row r="536" spans="1:10" x14ac:dyDescent="0.25">
      <c r="A536" t="s">
        <v>8</v>
      </c>
      <c r="B536" t="s">
        <v>1477</v>
      </c>
      <c r="C536" t="s">
        <v>1478</v>
      </c>
      <c r="D536">
        <v>1</v>
      </c>
      <c r="E536" t="s">
        <v>536</v>
      </c>
      <c r="F536" t="s">
        <v>537</v>
      </c>
      <c r="G536" s="1"/>
      <c r="H536" t="str">
        <f>"3250610105160"</f>
        <v>3250610105160</v>
      </c>
      <c r="J536" t="s">
        <v>1479</v>
      </c>
    </row>
    <row r="537" spans="1:10" x14ac:dyDescent="0.25">
      <c r="A537" t="s">
        <v>8</v>
      </c>
      <c r="B537" t="s">
        <v>1480</v>
      </c>
      <c r="C537" t="s">
        <v>1481</v>
      </c>
      <c r="D537">
        <v>1</v>
      </c>
      <c r="E537" t="s">
        <v>536</v>
      </c>
      <c r="F537" t="s">
        <v>537</v>
      </c>
      <c r="G537" s="1"/>
      <c r="H537" t="str">
        <f>"3250610132975"</f>
        <v>3250610132975</v>
      </c>
      <c r="J537" t="s">
        <v>1482</v>
      </c>
    </row>
    <row r="538" spans="1:10" x14ac:dyDescent="0.25">
      <c r="A538" t="s">
        <v>8</v>
      </c>
      <c r="B538" t="s">
        <v>1483</v>
      </c>
      <c r="C538" t="s">
        <v>1484</v>
      </c>
      <c r="D538">
        <v>1</v>
      </c>
      <c r="E538" t="s">
        <v>536</v>
      </c>
      <c r="F538" t="s">
        <v>537</v>
      </c>
      <c r="G538" s="1"/>
      <c r="H538" t="str">
        <f>"3250610132982"</f>
        <v>3250610132982</v>
      </c>
      <c r="J538" t="s">
        <v>1485</v>
      </c>
    </row>
    <row r="539" spans="1:10" x14ac:dyDescent="0.25">
      <c r="A539" t="s">
        <v>8</v>
      </c>
      <c r="B539" t="s">
        <v>1486</v>
      </c>
      <c r="C539" t="s">
        <v>1487</v>
      </c>
      <c r="D539">
        <v>1</v>
      </c>
      <c r="E539" t="s">
        <v>536</v>
      </c>
      <c r="F539" t="s">
        <v>537</v>
      </c>
      <c r="G539" s="1"/>
      <c r="H539" t="str">
        <f>"3250610075746"</f>
        <v>3250610075746</v>
      </c>
      <c r="J539" t="s">
        <v>1488</v>
      </c>
    </row>
    <row r="540" spans="1:10" x14ac:dyDescent="0.25">
      <c r="A540" t="s">
        <v>8</v>
      </c>
      <c r="B540" t="s">
        <v>1489</v>
      </c>
      <c r="C540" t="s">
        <v>1490</v>
      </c>
      <c r="D540">
        <v>1</v>
      </c>
      <c r="E540" t="s">
        <v>536</v>
      </c>
      <c r="F540" t="s">
        <v>537</v>
      </c>
      <c r="G540" s="1"/>
      <c r="H540" t="str">
        <f>"3250610075814"</f>
        <v>3250610075814</v>
      </c>
      <c r="J540" t="s">
        <v>1491</v>
      </c>
    </row>
    <row r="541" spans="1:10" x14ac:dyDescent="0.25">
      <c r="A541" t="s">
        <v>8</v>
      </c>
      <c r="B541" t="s">
        <v>1492</v>
      </c>
      <c r="C541" t="s">
        <v>1493</v>
      </c>
      <c r="D541">
        <v>1</v>
      </c>
      <c r="E541" t="s">
        <v>536</v>
      </c>
      <c r="F541" t="s">
        <v>537</v>
      </c>
      <c r="G541" s="1"/>
      <c r="H541" t="str">
        <f>"3250610075753"</f>
        <v>3250610075753</v>
      </c>
      <c r="J541" t="s">
        <v>1494</v>
      </c>
    </row>
    <row r="542" spans="1:10" x14ac:dyDescent="0.25">
      <c r="A542" t="s">
        <v>8</v>
      </c>
      <c r="B542" t="s">
        <v>1495</v>
      </c>
      <c r="C542" t="s">
        <v>1496</v>
      </c>
      <c r="D542">
        <v>1</v>
      </c>
      <c r="E542" t="s">
        <v>536</v>
      </c>
      <c r="F542" t="s">
        <v>537</v>
      </c>
      <c r="G542" s="1"/>
      <c r="H542" t="str">
        <f>"3250610075784"</f>
        <v>3250610075784</v>
      </c>
      <c r="J542" t="s">
        <v>1497</v>
      </c>
    </row>
    <row r="543" spans="1:10" x14ac:dyDescent="0.25">
      <c r="A543" t="s">
        <v>8</v>
      </c>
      <c r="B543" t="s">
        <v>1498</v>
      </c>
      <c r="C543" t="s">
        <v>1499</v>
      </c>
      <c r="D543">
        <v>1</v>
      </c>
      <c r="E543" t="s">
        <v>536</v>
      </c>
      <c r="F543" t="s">
        <v>537</v>
      </c>
      <c r="G543" s="1"/>
      <c r="H543" t="str">
        <f>"3250610075760"</f>
        <v>3250610075760</v>
      </c>
      <c r="J543" t="s">
        <v>1500</v>
      </c>
    </row>
    <row r="544" spans="1:10" x14ac:dyDescent="0.25">
      <c r="A544" t="s">
        <v>8</v>
      </c>
      <c r="B544" t="s">
        <v>1501</v>
      </c>
      <c r="C544" t="s">
        <v>1502</v>
      </c>
      <c r="D544">
        <v>1</v>
      </c>
      <c r="E544" t="s">
        <v>536</v>
      </c>
      <c r="F544" t="s">
        <v>537</v>
      </c>
      <c r="G544" s="1"/>
      <c r="H544" t="str">
        <f>"3250610075791"</f>
        <v>3250610075791</v>
      </c>
      <c r="J544" t="s">
        <v>1503</v>
      </c>
    </row>
    <row r="545" spans="1:10" x14ac:dyDescent="0.25">
      <c r="A545" t="s">
        <v>8</v>
      </c>
      <c r="B545" t="s">
        <v>1504</v>
      </c>
      <c r="C545" t="s">
        <v>1505</v>
      </c>
      <c r="D545">
        <v>1</v>
      </c>
      <c r="E545" t="s">
        <v>536</v>
      </c>
      <c r="F545" t="s">
        <v>537</v>
      </c>
      <c r="G545" s="1"/>
      <c r="H545" t="str">
        <f>"3250610075777"</f>
        <v>3250610075777</v>
      </c>
      <c r="J545" t="s">
        <v>1491</v>
      </c>
    </row>
    <row r="546" spans="1:10" x14ac:dyDescent="0.25">
      <c r="A546" t="s">
        <v>8</v>
      </c>
      <c r="B546" t="s">
        <v>1506</v>
      </c>
      <c r="C546" t="s">
        <v>1507</v>
      </c>
      <c r="D546">
        <v>1</v>
      </c>
      <c r="E546" t="s">
        <v>536</v>
      </c>
      <c r="F546" t="s">
        <v>537</v>
      </c>
      <c r="G546" s="1"/>
      <c r="H546" t="str">
        <f>"3250610075807"</f>
        <v>3250610075807</v>
      </c>
      <c r="J546" t="s">
        <v>1508</v>
      </c>
    </row>
    <row r="547" spans="1:10" x14ac:dyDescent="0.25">
      <c r="A547" t="s">
        <v>8</v>
      </c>
      <c r="B547" t="s">
        <v>1509</v>
      </c>
      <c r="C547" t="s">
        <v>1510</v>
      </c>
      <c r="D547">
        <v>1</v>
      </c>
      <c r="E547" t="s">
        <v>536</v>
      </c>
      <c r="F547" t="s">
        <v>537</v>
      </c>
      <c r="G547" s="1"/>
      <c r="H547" t="str">
        <f>"3250610105900"</f>
        <v>3250610105900</v>
      </c>
      <c r="J547" t="s">
        <v>1511</v>
      </c>
    </row>
    <row r="548" spans="1:10" x14ac:dyDescent="0.25">
      <c r="A548" t="s">
        <v>8</v>
      </c>
      <c r="B548" t="s">
        <v>1512</v>
      </c>
      <c r="C548" t="s">
        <v>1513</v>
      </c>
      <c r="D548">
        <v>1</v>
      </c>
      <c r="E548" t="s">
        <v>1514</v>
      </c>
      <c r="F548" t="s">
        <v>1515</v>
      </c>
      <c r="G548" s="1"/>
      <c r="H548" t="str">
        <f>"3250612531257"</f>
        <v>3250612531257</v>
      </c>
      <c r="J548" t="s">
        <v>1516</v>
      </c>
    </row>
    <row r="549" spans="1:10" x14ac:dyDescent="0.25">
      <c r="A549" t="s">
        <v>8</v>
      </c>
      <c r="B549" t="s">
        <v>1517</v>
      </c>
      <c r="C549" t="s">
        <v>1518</v>
      </c>
      <c r="D549">
        <v>1</v>
      </c>
      <c r="E549" t="s">
        <v>1514</v>
      </c>
      <c r="F549" t="s">
        <v>1515</v>
      </c>
      <c r="G549" s="1"/>
      <c r="H549" t="str">
        <f>"3250612532308"</f>
        <v>3250612532308</v>
      </c>
      <c r="J549" t="s">
        <v>1519</v>
      </c>
    </row>
    <row r="550" spans="1:10" x14ac:dyDescent="0.25">
      <c r="A550" t="s">
        <v>8</v>
      </c>
      <c r="B550" t="s">
        <v>1520</v>
      </c>
      <c r="C550" t="s">
        <v>1521</v>
      </c>
      <c r="D550">
        <v>1</v>
      </c>
      <c r="E550" t="s">
        <v>1514</v>
      </c>
      <c r="F550" t="s">
        <v>1515</v>
      </c>
      <c r="G550" s="1"/>
      <c r="H550" t="str">
        <f>"3250612533152"</f>
        <v>3250612533152</v>
      </c>
      <c r="J550" t="s">
        <v>1522</v>
      </c>
    </row>
    <row r="551" spans="1:10" x14ac:dyDescent="0.25">
      <c r="A551" t="s">
        <v>8</v>
      </c>
      <c r="B551" t="s">
        <v>1523</v>
      </c>
      <c r="C551" t="s">
        <v>1524</v>
      </c>
      <c r="D551">
        <v>1</v>
      </c>
      <c r="E551" t="s">
        <v>1514</v>
      </c>
      <c r="F551" t="s">
        <v>1515</v>
      </c>
      <c r="G551" s="1"/>
      <c r="H551" t="str">
        <f>"3250612533398"</f>
        <v>3250612533398</v>
      </c>
      <c r="J551" t="s">
        <v>1525</v>
      </c>
    </row>
    <row r="552" spans="1:10" x14ac:dyDescent="0.25">
      <c r="A552" t="s">
        <v>8</v>
      </c>
      <c r="B552" t="s">
        <v>1526</v>
      </c>
      <c r="C552" t="s">
        <v>1527</v>
      </c>
      <c r="D552">
        <v>1</v>
      </c>
      <c r="E552" t="s">
        <v>1514</v>
      </c>
      <c r="F552" t="s">
        <v>1515</v>
      </c>
      <c r="G552" s="1"/>
      <c r="H552" t="str">
        <f>"3250610674536"</f>
        <v>3250610674536</v>
      </c>
      <c r="J552" t="s">
        <v>1528</v>
      </c>
    </row>
    <row r="553" spans="1:10" x14ac:dyDescent="0.25">
      <c r="A553" t="s">
        <v>8</v>
      </c>
      <c r="B553" t="s">
        <v>1529</v>
      </c>
      <c r="C553" t="s">
        <v>1530</v>
      </c>
      <c r="D553">
        <v>1</v>
      </c>
      <c r="E553" t="s">
        <v>1514</v>
      </c>
      <c r="F553" t="s">
        <v>1515</v>
      </c>
      <c r="G553" s="1"/>
      <c r="H553" t="str">
        <f>"3250610671504"</f>
        <v>3250610671504</v>
      </c>
      <c r="J553" t="s">
        <v>1531</v>
      </c>
    </row>
    <row r="554" spans="1:10" x14ac:dyDescent="0.25">
      <c r="A554" t="s">
        <v>8</v>
      </c>
      <c r="B554" t="s">
        <v>1532</v>
      </c>
      <c r="C554" t="s">
        <v>1533</v>
      </c>
      <c r="D554">
        <v>1</v>
      </c>
      <c r="E554" t="s">
        <v>1514</v>
      </c>
      <c r="F554" t="s">
        <v>1515</v>
      </c>
      <c r="G554" s="1"/>
      <c r="H554" t="str">
        <f>"3250610671849"</f>
        <v>3250610671849</v>
      </c>
      <c r="J554" t="s">
        <v>1534</v>
      </c>
    </row>
    <row r="555" spans="1:10" x14ac:dyDescent="0.25">
      <c r="A555" t="s">
        <v>8</v>
      </c>
      <c r="B555" t="s">
        <v>1535</v>
      </c>
      <c r="C555" t="s">
        <v>1536</v>
      </c>
      <c r="D555">
        <v>1</v>
      </c>
      <c r="E555" t="s">
        <v>1514</v>
      </c>
      <c r="F555" t="s">
        <v>1515</v>
      </c>
      <c r="G555" s="1"/>
      <c r="H555" t="str">
        <f>"3250610672938"</f>
        <v>3250610672938</v>
      </c>
      <c r="J555" t="s">
        <v>1537</v>
      </c>
    </row>
    <row r="556" spans="1:10" x14ac:dyDescent="0.25">
      <c r="A556" t="s">
        <v>8</v>
      </c>
      <c r="B556" t="s">
        <v>1538</v>
      </c>
      <c r="C556" t="s">
        <v>1539</v>
      </c>
      <c r="D556">
        <v>1</v>
      </c>
      <c r="E556" t="s">
        <v>1514</v>
      </c>
      <c r="F556" t="s">
        <v>1515</v>
      </c>
      <c r="G556" s="1"/>
      <c r="H556" t="str">
        <f>"3250610672211"</f>
        <v>3250610672211</v>
      </c>
      <c r="J556" t="s">
        <v>1540</v>
      </c>
    </row>
    <row r="557" spans="1:10" x14ac:dyDescent="0.25">
      <c r="A557" t="s">
        <v>8</v>
      </c>
      <c r="B557" t="s">
        <v>1541</v>
      </c>
      <c r="C557" t="s">
        <v>1542</v>
      </c>
      <c r="D557">
        <v>1</v>
      </c>
      <c r="E557" t="s">
        <v>1514</v>
      </c>
      <c r="F557" t="s">
        <v>1515</v>
      </c>
      <c r="G557" s="1"/>
      <c r="H557" t="str">
        <f>"3250610673300"</f>
        <v>3250610673300</v>
      </c>
      <c r="J557" t="s">
        <v>1543</v>
      </c>
    </row>
    <row r="558" spans="1:10" x14ac:dyDescent="0.25">
      <c r="A558" t="s">
        <v>8</v>
      </c>
      <c r="B558" t="s">
        <v>1544</v>
      </c>
      <c r="C558" t="s">
        <v>1545</v>
      </c>
      <c r="D558">
        <v>1</v>
      </c>
      <c r="E558" t="s">
        <v>1514</v>
      </c>
      <c r="F558" t="s">
        <v>1515</v>
      </c>
      <c r="G558" s="1"/>
      <c r="H558" t="str">
        <f>"3250610672310"</f>
        <v>3250610672310</v>
      </c>
      <c r="J558" t="s">
        <v>1546</v>
      </c>
    </row>
    <row r="559" spans="1:10" x14ac:dyDescent="0.25">
      <c r="A559" t="s">
        <v>8</v>
      </c>
      <c r="B559" t="s">
        <v>1547</v>
      </c>
      <c r="C559" t="s">
        <v>1548</v>
      </c>
      <c r="D559">
        <v>1</v>
      </c>
      <c r="E559" t="s">
        <v>1514</v>
      </c>
      <c r="F559" t="s">
        <v>1515</v>
      </c>
      <c r="G559" s="1"/>
      <c r="H559" t="str">
        <f>"3250612634286"</f>
        <v>3250612634286</v>
      </c>
      <c r="J559" t="s">
        <v>1549</v>
      </c>
    </row>
    <row r="560" spans="1:10" x14ac:dyDescent="0.25">
      <c r="A560" t="s">
        <v>8</v>
      </c>
      <c r="B560" t="s">
        <v>1550</v>
      </c>
      <c r="C560" t="s">
        <v>1551</v>
      </c>
      <c r="D560">
        <v>1</v>
      </c>
      <c r="E560" t="s">
        <v>1514</v>
      </c>
      <c r="F560" t="s">
        <v>1515</v>
      </c>
      <c r="G560" s="1"/>
      <c r="H560" t="str">
        <f>"3250612635382"</f>
        <v>3250612635382</v>
      </c>
      <c r="J560" t="s">
        <v>1552</v>
      </c>
    </row>
    <row r="561" spans="1:10" x14ac:dyDescent="0.25">
      <c r="A561" t="s">
        <v>8</v>
      </c>
      <c r="B561" t="s">
        <v>1553</v>
      </c>
      <c r="C561" t="s">
        <v>1554</v>
      </c>
      <c r="D561">
        <v>1</v>
      </c>
      <c r="E561" t="s">
        <v>1514</v>
      </c>
      <c r="F561" t="s">
        <v>1515</v>
      </c>
      <c r="G561" s="1"/>
      <c r="H561" t="str">
        <f>"3250612635436"</f>
        <v>3250612635436</v>
      </c>
      <c r="J561" t="s">
        <v>1555</v>
      </c>
    </row>
    <row r="562" spans="1:10" x14ac:dyDescent="0.25">
      <c r="A562" t="s">
        <v>8</v>
      </c>
      <c r="B562" t="s">
        <v>1556</v>
      </c>
      <c r="C562" t="s">
        <v>1557</v>
      </c>
      <c r="D562">
        <v>1</v>
      </c>
      <c r="E562" t="s">
        <v>1514</v>
      </c>
      <c r="F562" t="s">
        <v>1515</v>
      </c>
      <c r="G562" s="1"/>
      <c r="H562" t="str">
        <f>"3250612636358"</f>
        <v>3250612636358</v>
      </c>
      <c r="J562" t="s">
        <v>1558</v>
      </c>
    </row>
    <row r="563" spans="1:10" x14ac:dyDescent="0.25">
      <c r="A563" t="s">
        <v>8</v>
      </c>
      <c r="B563" t="s">
        <v>1559</v>
      </c>
      <c r="C563" t="s">
        <v>1560</v>
      </c>
      <c r="D563">
        <v>1</v>
      </c>
      <c r="E563" t="s">
        <v>1514</v>
      </c>
      <c r="F563" t="s">
        <v>1515</v>
      </c>
      <c r="G563" s="1"/>
      <c r="H563" t="str">
        <f>"3250612777723"</f>
        <v>3250612777723</v>
      </c>
      <c r="J563" t="s">
        <v>1561</v>
      </c>
    </row>
    <row r="564" spans="1:10" x14ac:dyDescent="0.25">
      <c r="A564" t="s">
        <v>8</v>
      </c>
      <c r="B564" t="s">
        <v>1562</v>
      </c>
      <c r="C564" t="s">
        <v>1563</v>
      </c>
      <c r="D564">
        <v>1</v>
      </c>
      <c r="E564" t="s">
        <v>1514</v>
      </c>
      <c r="F564" t="s">
        <v>1515</v>
      </c>
      <c r="G564" s="1"/>
      <c r="H564" t="str">
        <f>"3250612764013"</f>
        <v>3250612764013</v>
      </c>
      <c r="J564" t="s">
        <v>1564</v>
      </c>
    </row>
    <row r="565" spans="1:10" x14ac:dyDescent="0.25">
      <c r="A565" t="s">
        <v>8</v>
      </c>
      <c r="B565" t="s">
        <v>1565</v>
      </c>
      <c r="C565" t="s">
        <v>1566</v>
      </c>
      <c r="D565">
        <v>1</v>
      </c>
      <c r="E565" t="s">
        <v>1514</v>
      </c>
      <c r="F565" t="s">
        <v>1515</v>
      </c>
      <c r="G565" s="1"/>
      <c r="H565" t="str">
        <f>"3250612778034"</f>
        <v>3250612778034</v>
      </c>
      <c r="J565" t="s">
        <v>1567</v>
      </c>
    </row>
    <row r="566" spans="1:10" x14ac:dyDescent="0.25">
      <c r="A566" t="s">
        <v>8</v>
      </c>
      <c r="B566" t="s">
        <v>1568</v>
      </c>
      <c r="C566" t="s">
        <v>1569</v>
      </c>
      <c r="D566">
        <v>1</v>
      </c>
      <c r="E566" t="s">
        <v>1514</v>
      </c>
      <c r="F566" t="s">
        <v>1515</v>
      </c>
      <c r="G566" s="1"/>
      <c r="H566" t="str">
        <f>"3250612765027"</f>
        <v>3250612765027</v>
      </c>
      <c r="J566" t="s">
        <v>1142</v>
      </c>
    </row>
    <row r="567" spans="1:10" x14ac:dyDescent="0.25">
      <c r="A567" t="s">
        <v>8</v>
      </c>
      <c r="B567" t="s">
        <v>1570</v>
      </c>
      <c r="C567" t="s">
        <v>1571</v>
      </c>
      <c r="D567">
        <v>1</v>
      </c>
      <c r="E567" t="s">
        <v>1514</v>
      </c>
      <c r="F567" t="s">
        <v>1515</v>
      </c>
      <c r="G567" s="1"/>
      <c r="H567" t="str">
        <f>"3250616138155"</f>
        <v>3250616138155</v>
      </c>
      <c r="J567" t="s">
        <v>1572</v>
      </c>
    </row>
    <row r="568" spans="1:10" x14ac:dyDescent="0.25">
      <c r="A568" t="s">
        <v>8</v>
      </c>
      <c r="B568" t="s">
        <v>1573</v>
      </c>
      <c r="C568" t="s">
        <v>1574</v>
      </c>
      <c r="D568">
        <v>1</v>
      </c>
      <c r="E568" t="s">
        <v>1514</v>
      </c>
      <c r="F568" t="s">
        <v>1515</v>
      </c>
      <c r="G568" s="1"/>
      <c r="H568" t="str">
        <f>"3250616138261"</f>
        <v>3250616138261</v>
      </c>
      <c r="J568" t="s">
        <v>1575</v>
      </c>
    </row>
    <row r="569" spans="1:10" x14ac:dyDescent="0.25">
      <c r="A569" t="s">
        <v>8</v>
      </c>
      <c r="B569" t="s">
        <v>1576</v>
      </c>
      <c r="C569" t="s">
        <v>1577</v>
      </c>
      <c r="D569">
        <v>1</v>
      </c>
      <c r="E569" t="s">
        <v>1514</v>
      </c>
      <c r="F569" t="s">
        <v>1515</v>
      </c>
      <c r="G569" s="1"/>
      <c r="H569" t="str">
        <f>"3250616139763"</f>
        <v>3250616139763</v>
      </c>
      <c r="J569" t="s">
        <v>1578</v>
      </c>
    </row>
    <row r="570" spans="1:10" x14ac:dyDescent="0.25">
      <c r="A570" t="s">
        <v>8</v>
      </c>
      <c r="B570" t="s">
        <v>1579</v>
      </c>
      <c r="C570" t="s">
        <v>1580</v>
      </c>
      <c r="D570">
        <v>1</v>
      </c>
      <c r="E570" t="s">
        <v>1514</v>
      </c>
      <c r="F570" t="s">
        <v>1515</v>
      </c>
      <c r="G570" s="1"/>
      <c r="H570" t="str">
        <f>"3250616240049"</f>
        <v>3250616240049</v>
      </c>
      <c r="J570" t="s">
        <v>1581</v>
      </c>
    </row>
    <row r="571" spans="1:10" x14ac:dyDescent="0.25">
      <c r="A571" t="s">
        <v>8</v>
      </c>
      <c r="B571" t="s">
        <v>1582</v>
      </c>
      <c r="C571" t="s">
        <v>1583</v>
      </c>
      <c r="D571">
        <v>1</v>
      </c>
      <c r="E571" t="s">
        <v>1514</v>
      </c>
      <c r="F571" t="s">
        <v>1515</v>
      </c>
      <c r="G571" s="1"/>
      <c r="H571" t="str">
        <f>"3250616302358"</f>
        <v>3250616302358</v>
      </c>
      <c r="J571" t="s">
        <v>1585</v>
      </c>
    </row>
    <row r="572" spans="1:10" x14ac:dyDescent="0.25">
      <c r="A572" t="s">
        <v>8</v>
      </c>
      <c r="B572" t="s">
        <v>1586</v>
      </c>
      <c r="C572" t="s">
        <v>1587</v>
      </c>
      <c r="D572">
        <v>1</v>
      </c>
      <c r="E572" t="s">
        <v>1514</v>
      </c>
      <c r="F572" t="s">
        <v>1515</v>
      </c>
      <c r="G572" s="1"/>
      <c r="H572" t="str">
        <f>"3250616361003"</f>
        <v>3250616361003</v>
      </c>
      <c r="J572" t="s">
        <v>1588</v>
      </c>
    </row>
    <row r="573" spans="1:10" x14ac:dyDescent="0.25">
      <c r="A573" t="s">
        <v>8</v>
      </c>
      <c r="B573" t="s">
        <v>1589</v>
      </c>
      <c r="C573" t="s">
        <v>1590</v>
      </c>
      <c r="D573">
        <v>1</v>
      </c>
      <c r="E573" t="s">
        <v>1514</v>
      </c>
      <c r="F573" t="s">
        <v>1515</v>
      </c>
      <c r="G573" s="1"/>
      <c r="H573" t="str">
        <f>"3250616362314"</f>
        <v>3250616362314</v>
      </c>
      <c r="J573" t="s">
        <v>1591</v>
      </c>
    </row>
    <row r="574" spans="1:10" x14ac:dyDescent="0.25">
      <c r="A574" t="s">
        <v>8</v>
      </c>
      <c r="B574" t="s">
        <v>1592</v>
      </c>
      <c r="C574" t="s">
        <v>1593</v>
      </c>
      <c r="D574">
        <v>1</v>
      </c>
      <c r="E574" t="s">
        <v>1514</v>
      </c>
      <c r="F574" t="s">
        <v>1515</v>
      </c>
      <c r="G574" s="1"/>
      <c r="H574" t="str">
        <f>"3250610662205"</f>
        <v>3250610662205</v>
      </c>
      <c r="J574" t="s">
        <v>1594</v>
      </c>
    </row>
    <row r="575" spans="1:10" x14ac:dyDescent="0.25">
      <c r="A575" t="s">
        <v>8</v>
      </c>
      <c r="B575" t="s">
        <v>1595</v>
      </c>
      <c r="C575" t="s">
        <v>1596</v>
      </c>
      <c r="D575">
        <v>1</v>
      </c>
      <c r="E575" t="s">
        <v>1514</v>
      </c>
      <c r="F575" t="s">
        <v>1515</v>
      </c>
      <c r="G575" s="1"/>
      <c r="H575" t="str">
        <f>"3250612531240"</f>
        <v>3250612531240</v>
      </c>
      <c r="I575" s="1"/>
      <c r="J575" t="s">
        <v>1597</v>
      </c>
    </row>
    <row r="576" spans="1:10" x14ac:dyDescent="0.25">
      <c r="A576" t="s">
        <v>8</v>
      </c>
      <c r="B576" t="s">
        <v>1598</v>
      </c>
      <c r="C576" t="s">
        <v>1599</v>
      </c>
      <c r="D576">
        <v>1</v>
      </c>
      <c r="E576" t="s">
        <v>1514</v>
      </c>
      <c r="F576" t="s">
        <v>1515</v>
      </c>
      <c r="G576" s="1"/>
      <c r="H576" t="str">
        <f>"3250612533329"</f>
        <v>3250612533329</v>
      </c>
      <c r="J576" t="s">
        <v>1600</v>
      </c>
    </row>
    <row r="577" spans="1:10" x14ac:dyDescent="0.25">
      <c r="A577" t="s">
        <v>8</v>
      </c>
      <c r="B577" t="s">
        <v>1601</v>
      </c>
      <c r="C577" t="s">
        <v>1602</v>
      </c>
      <c r="D577">
        <v>1</v>
      </c>
      <c r="E577" t="s">
        <v>1514</v>
      </c>
      <c r="F577" t="s">
        <v>1515</v>
      </c>
      <c r="G577" s="1"/>
      <c r="H577" t="str">
        <f>"3250612533381"</f>
        <v>3250612533381</v>
      </c>
      <c r="J577" t="s">
        <v>1603</v>
      </c>
    </row>
    <row r="578" spans="1:10" x14ac:dyDescent="0.25">
      <c r="A578" t="s">
        <v>8</v>
      </c>
      <c r="B578" t="s">
        <v>1604</v>
      </c>
      <c r="C578" t="s">
        <v>1605</v>
      </c>
      <c r="D578">
        <v>1</v>
      </c>
      <c r="E578" t="s">
        <v>1514</v>
      </c>
      <c r="F578" t="s">
        <v>1515</v>
      </c>
      <c r="G578" s="1"/>
      <c r="H578" t="str">
        <f>"3250610674529"</f>
        <v>3250610674529</v>
      </c>
      <c r="J578" t="s">
        <v>1606</v>
      </c>
    </row>
    <row r="579" spans="1:10" x14ac:dyDescent="0.25">
      <c r="A579" t="s">
        <v>8</v>
      </c>
      <c r="B579" t="s">
        <v>1607</v>
      </c>
      <c r="C579" t="s">
        <v>1608</v>
      </c>
      <c r="D579">
        <v>1</v>
      </c>
      <c r="E579" t="s">
        <v>1514</v>
      </c>
      <c r="F579" t="s">
        <v>1515</v>
      </c>
      <c r="G579" s="1"/>
      <c r="H579" t="str">
        <f>"3250610673744"</f>
        <v>3250610673744</v>
      </c>
      <c r="J579" t="s">
        <v>1609</v>
      </c>
    </row>
    <row r="580" spans="1:10" x14ac:dyDescent="0.25">
      <c r="A580" t="s">
        <v>8</v>
      </c>
      <c r="B580" t="s">
        <v>1610</v>
      </c>
      <c r="C580" t="s">
        <v>1611</v>
      </c>
      <c r="D580">
        <v>1</v>
      </c>
      <c r="E580" t="s">
        <v>1514</v>
      </c>
      <c r="F580" t="s">
        <v>1515</v>
      </c>
      <c r="G580" s="1"/>
      <c r="H580" t="str">
        <f>"3250610673225"</f>
        <v>3250610673225</v>
      </c>
      <c r="J580" t="s">
        <v>1612</v>
      </c>
    </row>
    <row r="581" spans="1:10" x14ac:dyDescent="0.25">
      <c r="A581" t="s">
        <v>8</v>
      </c>
      <c r="B581" t="s">
        <v>1613</v>
      </c>
      <c r="C581" t="s">
        <v>1614</v>
      </c>
      <c r="D581">
        <v>1</v>
      </c>
      <c r="E581" t="s">
        <v>1514</v>
      </c>
      <c r="F581" t="s">
        <v>1515</v>
      </c>
      <c r="G581" s="1"/>
      <c r="H581" t="str">
        <f>"3250610672204"</f>
        <v>3250610672204</v>
      </c>
      <c r="J581" t="s">
        <v>1615</v>
      </c>
    </row>
    <row r="582" spans="1:10" x14ac:dyDescent="0.25">
      <c r="A582" t="s">
        <v>8</v>
      </c>
      <c r="B582" t="s">
        <v>1616</v>
      </c>
      <c r="C582" t="s">
        <v>1617</v>
      </c>
      <c r="D582">
        <v>1</v>
      </c>
      <c r="E582" t="s">
        <v>1514</v>
      </c>
      <c r="F582" t="s">
        <v>1515</v>
      </c>
      <c r="G582" s="1"/>
      <c r="H582" t="str">
        <f>"3250612621125"</f>
        <v>3250612621125</v>
      </c>
      <c r="J582" t="s">
        <v>1618</v>
      </c>
    </row>
    <row r="583" spans="1:10" x14ac:dyDescent="0.25">
      <c r="A583" t="s">
        <v>8</v>
      </c>
      <c r="B583" t="s">
        <v>1619</v>
      </c>
      <c r="C583" t="s">
        <v>1620</v>
      </c>
      <c r="D583">
        <v>1</v>
      </c>
      <c r="E583" t="s">
        <v>1514</v>
      </c>
      <c r="F583" t="s">
        <v>1515</v>
      </c>
      <c r="G583" s="1"/>
      <c r="H583" t="str">
        <f>"3250612621132"</f>
        <v>3250612621132</v>
      </c>
      <c r="J583" t="s">
        <v>1621</v>
      </c>
    </row>
    <row r="584" spans="1:10" x14ac:dyDescent="0.25">
      <c r="A584" t="s">
        <v>8</v>
      </c>
      <c r="B584" t="s">
        <v>1622</v>
      </c>
      <c r="C584" t="s">
        <v>1623</v>
      </c>
      <c r="D584">
        <v>1</v>
      </c>
      <c r="E584" t="s">
        <v>1514</v>
      </c>
      <c r="F584" t="s">
        <v>1515</v>
      </c>
      <c r="G584" s="1"/>
      <c r="H584" t="str">
        <f>"3250612634019"</f>
        <v>3250612634019</v>
      </c>
      <c r="J584" t="s">
        <v>1624</v>
      </c>
    </row>
    <row r="585" spans="1:10" x14ac:dyDescent="0.25">
      <c r="A585" t="s">
        <v>8</v>
      </c>
      <c r="B585" t="s">
        <v>1625</v>
      </c>
      <c r="C585" t="s">
        <v>1626</v>
      </c>
      <c r="D585">
        <v>1</v>
      </c>
      <c r="E585" t="s">
        <v>1514</v>
      </c>
      <c r="F585" t="s">
        <v>1515</v>
      </c>
      <c r="G585" s="1"/>
      <c r="H585" t="str">
        <f>"3250612634279"</f>
        <v>3250612634279</v>
      </c>
      <c r="J585" t="s">
        <v>1627</v>
      </c>
    </row>
    <row r="586" spans="1:10" x14ac:dyDescent="0.25">
      <c r="A586" t="s">
        <v>8</v>
      </c>
      <c r="B586" t="s">
        <v>1628</v>
      </c>
      <c r="C586" t="s">
        <v>1629</v>
      </c>
      <c r="D586">
        <v>1</v>
      </c>
      <c r="E586" t="s">
        <v>1514</v>
      </c>
      <c r="F586" t="s">
        <v>1515</v>
      </c>
      <c r="G586" s="1"/>
      <c r="H586" t="str">
        <f>"3250612634866"</f>
        <v>3250612634866</v>
      </c>
      <c r="J586" t="s">
        <v>1630</v>
      </c>
    </row>
    <row r="587" spans="1:10" x14ac:dyDescent="0.25">
      <c r="A587" t="s">
        <v>8</v>
      </c>
      <c r="B587" t="s">
        <v>1631</v>
      </c>
      <c r="C587" t="s">
        <v>1632</v>
      </c>
      <c r="D587">
        <v>1</v>
      </c>
      <c r="E587" t="s">
        <v>1514</v>
      </c>
      <c r="F587" t="s">
        <v>1515</v>
      </c>
      <c r="G587" s="1"/>
      <c r="H587" t="str">
        <f>"3250612635375"</f>
        <v>3250612635375</v>
      </c>
      <c r="J587" t="s">
        <v>1633</v>
      </c>
    </row>
    <row r="588" spans="1:10" x14ac:dyDescent="0.25">
      <c r="A588" t="s">
        <v>8</v>
      </c>
      <c r="B588" t="s">
        <v>1634</v>
      </c>
      <c r="C588" t="s">
        <v>1635</v>
      </c>
      <c r="D588">
        <v>1</v>
      </c>
      <c r="E588" t="s">
        <v>1514</v>
      </c>
      <c r="F588" t="s">
        <v>1515</v>
      </c>
      <c r="G588" s="1"/>
      <c r="H588" t="str">
        <f>"3250612635573"</f>
        <v>3250612635573</v>
      </c>
      <c r="J588" t="s">
        <v>1636</v>
      </c>
    </row>
    <row r="589" spans="1:10" x14ac:dyDescent="0.25">
      <c r="A589" t="s">
        <v>8</v>
      </c>
      <c r="B589" t="s">
        <v>1637</v>
      </c>
      <c r="C589" t="s">
        <v>1638</v>
      </c>
      <c r="D589">
        <v>1</v>
      </c>
      <c r="E589" t="s">
        <v>1514</v>
      </c>
      <c r="F589" t="s">
        <v>1515</v>
      </c>
      <c r="G589" s="1"/>
      <c r="H589" t="str">
        <f>"3250612636303"</f>
        <v>3250612636303</v>
      </c>
      <c r="J589" t="s">
        <v>1558</v>
      </c>
    </row>
    <row r="590" spans="1:10" x14ac:dyDescent="0.25">
      <c r="A590" t="s">
        <v>8</v>
      </c>
      <c r="B590" t="s">
        <v>1639</v>
      </c>
      <c r="C590" t="s">
        <v>1640</v>
      </c>
      <c r="D590">
        <v>1</v>
      </c>
      <c r="E590" t="s">
        <v>1514</v>
      </c>
      <c r="F590" t="s">
        <v>1515</v>
      </c>
      <c r="G590" s="1"/>
      <c r="H590" t="str">
        <f>"3250612777716"</f>
        <v>3250612777716</v>
      </c>
      <c r="J590" t="s">
        <v>1641</v>
      </c>
    </row>
    <row r="591" spans="1:10" x14ac:dyDescent="0.25">
      <c r="A591" t="s">
        <v>8</v>
      </c>
      <c r="B591" t="s">
        <v>1642</v>
      </c>
      <c r="C591" t="s">
        <v>1643</v>
      </c>
      <c r="D591">
        <v>1</v>
      </c>
      <c r="E591" t="s">
        <v>1514</v>
      </c>
      <c r="F591" t="s">
        <v>1515</v>
      </c>
      <c r="G591" s="1"/>
      <c r="H591" t="str">
        <f>"3250612777761"</f>
        <v>3250612777761</v>
      </c>
      <c r="J591" t="s">
        <v>1644</v>
      </c>
    </row>
    <row r="592" spans="1:10" x14ac:dyDescent="0.25">
      <c r="A592" t="s">
        <v>8</v>
      </c>
      <c r="B592" t="s">
        <v>1645</v>
      </c>
      <c r="C592" t="s">
        <v>1646</v>
      </c>
      <c r="D592">
        <v>1</v>
      </c>
      <c r="E592" t="s">
        <v>1514</v>
      </c>
      <c r="F592" t="s">
        <v>1515</v>
      </c>
      <c r="G592" s="1"/>
      <c r="H592" t="str">
        <f>"3250612777884"</f>
        <v>3250612777884</v>
      </c>
      <c r="J592" t="s">
        <v>1647</v>
      </c>
    </row>
    <row r="593" spans="1:10" x14ac:dyDescent="0.25">
      <c r="A593" t="s">
        <v>8</v>
      </c>
      <c r="B593" t="s">
        <v>1648</v>
      </c>
      <c r="C593" t="s">
        <v>1649</v>
      </c>
      <c r="D593">
        <v>1</v>
      </c>
      <c r="E593" t="s">
        <v>1514</v>
      </c>
      <c r="F593" t="s">
        <v>1515</v>
      </c>
      <c r="G593" s="1"/>
      <c r="H593" t="str">
        <f>"3250612778089"</f>
        <v>3250612778089</v>
      </c>
      <c r="J593" t="s">
        <v>1650</v>
      </c>
    </row>
    <row r="594" spans="1:10" x14ac:dyDescent="0.25">
      <c r="A594" t="s">
        <v>8</v>
      </c>
      <c r="B594" t="s">
        <v>1651</v>
      </c>
      <c r="C594" t="s">
        <v>1652</v>
      </c>
      <c r="D594">
        <v>1</v>
      </c>
      <c r="E594" t="s">
        <v>1514</v>
      </c>
      <c r="F594" t="s">
        <v>1515</v>
      </c>
      <c r="G594" s="1"/>
      <c r="H594" t="str">
        <f>"3250612765010"</f>
        <v>3250612765010</v>
      </c>
      <c r="J594" t="s">
        <v>1653</v>
      </c>
    </row>
    <row r="595" spans="1:10" x14ac:dyDescent="0.25">
      <c r="A595" t="s">
        <v>8</v>
      </c>
      <c r="B595" t="s">
        <v>1654</v>
      </c>
      <c r="C595" t="s">
        <v>1655</v>
      </c>
      <c r="D595">
        <v>1</v>
      </c>
      <c r="E595" t="s">
        <v>1514</v>
      </c>
      <c r="F595" t="s">
        <v>1515</v>
      </c>
      <c r="G595" s="1"/>
      <c r="H595" t="str">
        <f>"3250612778508"</f>
        <v>3250612778508</v>
      </c>
      <c r="J595" t="s">
        <v>1656</v>
      </c>
    </row>
    <row r="596" spans="1:10" x14ac:dyDescent="0.25">
      <c r="A596" t="s">
        <v>8</v>
      </c>
      <c r="B596" t="s">
        <v>1657</v>
      </c>
      <c r="C596" t="s">
        <v>1658</v>
      </c>
      <c r="D596">
        <v>1</v>
      </c>
      <c r="E596" t="s">
        <v>1514</v>
      </c>
      <c r="F596" t="s">
        <v>1515</v>
      </c>
      <c r="G596" s="1"/>
      <c r="H596" t="str">
        <f>"3250613560249"</f>
        <v>3250613560249</v>
      </c>
      <c r="J596" t="s">
        <v>1659</v>
      </c>
    </row>
    <row r="597" spans="1:10" x14ac:dyDescent="0.25">
      <c r="A597" t="s">
        <v>8</v>
      </c>
      <c r="B597" t="s">
        <v>1660</v>
      </c>
      <c r="C597" t="s">
        <v>1661</v>
      </c>
      <c r="D597">
        <v>1</v>
      </c>
      <c r="E597" t="s">
        <v>1514</v>
      </c>
      <c r="F597" t="s">
        <v>1515</v>
      </c>
      <c r="G597" s="1"/>
      <c r="H597" t="str">
        <f>"3250616138124"</f>
        <v>3250616138124</v>
      </c>
      <c r="J597" t="s">
        <v>1662</v>
      </c>
    </row>
    <row r="598" spans="1:10" x14ac:dyDescent="0.25">
      <c r="A598" t="s">
        <v>8</v>
      </c>
      <c r="B598" t="s">
        <v>1663</v>
      </c>
      <c r="C598" t="s">
        <v>1664</v>
      </c>
      <c r="D598">
        <v>1</v>
      </c>
      <c r="E598" t="s">
        <v>1514</v>
      </c>
      <c r="F598" t="s">
        <v>1515</v>
      </c>
      <c r="G598" s="1"/>
      <c r="H598" t="str">
        <f>"3250616138445"</f>
        <v>3250616138445</v>
      </c>
      <c r="J598" t="s">
        <v>1665</v>
      </c>
    </row>
    <row r="599" spans="1:10" x14ac:dyDescent="0.25">
      <c r="A599" t="s">
        <v>8</v>
      </c>
      <c r="B599" t="s">
        <v>1666</v>
      </c>
      <c r="C599" t="s">
        <v>1667</v>
      </c>
      <c r="D599">
        <v>1</v>
      </c>
      <c r="E599" t="s">
        <v>1514</v>
      </c>
      <c r="F599" t="s">
        <v>1515</v>
      </c>
      <c r="G599" s="1"/>
      <c r="H599" t="str">
        <f>"3250616138704"</f>
        <v>3250616138704</v>
      </c>
      <c r="J599" t="s">
        <v>1668</v>
      </c>
    </row>
    <row r="600" spans="1:10" x14ac:dyDescent="0.25">
      <c r="A600" t="s">
        <v>8</v>
      </c>
      <c r="B600" t="s">
        <v>1669</v>
      </c>
      <c r="C600" t="s">
        <v>1670</v>
      </c>
      <c r="D600">
        <v>1</v>
      </c>
      <c r="E600" t="s">
        <v>1514</v>
      </c>
      <c r="F600" t="s">
        <v>1515</v>
      </c>
      <c r="G600" s="1"/>
      <c r="H600" t="str">
        <f>"3250616130975"</f>
        <v>3250616130975</v>
      </c>
      <c r="J600" t="s">
        <v>1671</v>
      </c>
    </row>
    <row r="601" spans="1:10" x14ac:dyDescent="0.25">
      <c r="A601" t="s">
        <v>8</v>
      </c>
      <c r="B601" t="s">
        <v>1672</v>
      </c>
      <c r="C601" t="s">
        <v>1673</v>
      </c>
      <c r="D601">
        <v>1</v>
      </c>
      <c r="E601" t="s">
        <v>1514</v>
      </c>
      <c r="F601" t="s">
        <v>1515</v>
      </c>
      <c r="G601" s="1"/>
      <c r="H601" t="str">
        <f>"3250616240032"</f>
        <v>3250616240032</v>
      </c>
      <c r="J601" t="s">
        <v>1674</v>
      </c>
    </row>
    <row r="602" spans="1:10" x14ac:dyDescent="0.25">
      <c r="A602" t="s">
        <v>8</v>
      </c>
      <c r="B602" t="s">
        <v>1675</v>
      </c>
      <c r="C602" t="s">
        <v>1676</v>
      </c>
      <c r="D602">
        <v>1</v>
      </c>
      <c r="E602" t="s">
        <v>1514</v>
      </c>
      <c r="F602" t="s">
        <v>1515</v>
      </c>
      <c r="G602" s="1"/>
      <c r="H602" t="str">
        <f>"3250616301108"</f>
        <v>3250616301108</v>
      </c>
      <c r="J602" t="s">
        <v>1585</v>
      </c>
    </row>
    <row r="603" spans="1:10" x14ac:dyDescent="0.25">
      <c r="A603" t="s">
        <v>8</v>
      </c>
      <c r="B603" t="s">
        <v>1677</v>
      </c>
      <c r="C603" t="s">
        <v>1678</v>
      </c>
      <c r="D603">
        <v>1</v>
      </c>
      <c r="E603" t="s">
        <v>1514</v>
      </c>
      <c r="F603" t="s">
        <v>1515</v>
      </c>
      <c r="G603" s="1"/>
      <c r="H603" t="str">
        <f>"3250616365834"</f>
        <v>3250616365834</v>
      </c>
      <c r="J603" t="s">
        <v>1679</v>
      </c>
    </row>
    <row r="604" spans="1:10" x14ac:dyDescent="0.25">
      <c r="A604" t="s">
        <v>8</v>
      </c>
      <c r="B604" t="s">
        <v>1680</v>
      </c>
      <c r="C604" t="s">
        <v>1681</v>
      </c>
      <c r="D604">
        <v>1</v>
      </c>
      <c r="E604" t="s">
        <v>1514</v>
      </c>
      <c r="F604" t="s">
        <v>1515</v>
      </c>
      <c r="G604" s="1"/>
      <c r="H604" t="str">
        <f>"3250612533312"</f>
        <v>3250612533312</v>
      </c>
      <c r="J604" t="s">
        <v>1682</v>
      </c>
    </row>
    <row r="605" spans="1:10" x14ac:dyDescent="0.25">
      <c r="A605" t="s">
        <v>8</v>
      </c>
      <c r="B605" t="s">
        <v>1683</v>
      </c>
      <c r="C605" t="s">
        <v>1684</v>
      </c>
      <c r="D605">
        <v>1</v>
      </c>
      <c r="E605" t="s">
        <v>1514</v>
      </c>
      <c r="F605" t="s">
        <v>1515</v>
      </c>
      <c r="G605" s="1"/>
      <c r="H605" t="str">
        <f>"3250612533374"</f>
        <v>3250612533374</v>
      </c>
      <c r="J605" t="s">
        <v>1685</v>
      </c>
    </row>
    <row r="606" spans="1:10" x14ac:dyDescent="0.25">
      <c r="A606" t="s">
        <v>8</v>
      </c>
      <c r="B606" t="s">
        <v>1686</v>
      </c>
      <c r="C606" t="s">
        <v>1687</v>
      </c>
      <c r="D606">
        <v>1</v>
      </c>
      <c r="E606" t="s">
        <v>1514</v>
      </c>
      <c r="F606" t="s">
        <v>1515</v>
      </c>
      <c r="G606" s="1"/>
      <c r="H606" t="str">
        <f>"3250612533503"</f>
        <v>3250612533503</v>
      </c>
      <c r="J606" t="s">
        <v>1688</v>
      </c>
    </row>
    <row r="607" spans="1:10" x14ac:dyDescent="0.25">
      <c r="A607" t="s">
        <v>8</v>
      </c>
      <c r="B607" t="s">
        <v>1689</v>
      </c>
      <c r="C607" t="s">
        <v>1690</v>
      </c>
      <c r="D607">
        <v>1</v>
      </c>
      <c r="E607" t="s">
        <v>1514</v>
      </c>
      <c r="F607" t="s">
        <v>1515</v>
      </c>
      <c r="G607" s="1"/>
      <c r="H607" t="str">
        <f>"3250610671481"</f>
        <v>3250610671481</v>
      </c>
      <c r="J607" t="s">
        <v>1691</v>
      </c>
    </row>
    <row r="608" spans="1:10" x14ac:dyDescent="0.25">
      <c r="A608" t="s">
        <v>8</v>
      </c>
      <c r="B608" t="s">
        <v>1692</v>
      </c>
      <c r="C608" t="s">
        <v>1693</v>
      </c>
      <c r="D608">
        <v>1</v>
      </c>
      <c r="E608" t="s">
        <v>1514</v>
      </c>
      <c r="F608" t="s">
        <v>1515</v>
      </c>
      <c r="G608" s="1"/>
      <c r="H608" t="str">
        <f>"3250610671580"</f>
        <v>3250610671580</v>
      </c>
      <c r="J608" t="s">
        <v>1694</v>
      </c>
    </row>
    <row r="609" spans="1:10" x14ac:dyDescent="0.25">
      <c r="A609" t="s">
        <v>8</v>
      </c>
      <c r="B609" t="s">
        <v>1695</v>
      </c>
      <c r="C609" t="s">
        <v>1696</v>
      </c>
      <c r="D609">
        <v>1</v>
      </c>
      <c r="E609" t="s">
        <v>1514</v>
      </c>
      <c r="F609" t="s">
        <v>1515</v>
      </c>
      <c r="G609" s="1"/>
      <c r="H609" t="str">
        <f>"3250610673737"</f>
        <v>3250610673737</v>
      </c>
      <c r="J609" t="s">
        <v>1697</v>
      </c>
    </row>
    <row r="610" spans="1:10" x14ac:dyDescent="0.25">
      <c r="A610" t="s">
        <v>8</v>
      </c>
      <c r="B610" t="s">
        <v>1698</v>
      </c>
      <c r="C610" t="s">
        <v>1699</v>
      </c>
      <c r="D610">
        <v>1</v>
      </c>
      <c r="E610" t="s">
        <v>1514</v>
      </c>
      <c r="F610" t="s">
        <v>1515</v>
      </c>
      <c r="G610" s="1"/>
      <c r="H610" t="str">
        <f>"3250610672136"</f>
        <v>3250610672136</v>
      </c>
      <c r="J610" t="s">
        <v>1700</v>
      </c>
    </row>
    <row r="611" spans="1:10" x14ac:dyDescent="0.25">
      <c r="A611" t="s">
        <v>8</v>
      </c>
      <c r="B611" t="s">
        <v>1701</v>
      </c>
      <c r="C611" t="s">
        <v>1702</v>
      </c>
      <c r="D611">
        <v>1</v>
      </c>
      <c r="E611" t="s">
        <v>1514</v>
      </c>
      <c r="F611" t="s">
        <v>1515</v>
      </c>
      <c r="G611" s="1"/>
      <c r="H611" t="str">
        <f>"3250610673294"</f>
        <v>3250610673294</v>
      </c>
      <c r="J611" t="s">
        <v>1703</v>
      </c>
    </row>
    <row r="612" spans="1:10" x14ac:dyDescent="0.25">
      <c r="A612" t="s">
        <v>8</v>
      </c>
      <c r="B612" t="s">
        <v>1704</v>
      </c>
      <c r="C612" t="s">
        <v>1705</v>
      </c>
      <c r="D612">
        <v>1</v>
      </c>
      <c r="E612" t="s">
        <v>1514</v>
      </c>
      <c r="F612" t="s">
        <v>1515</v>
      </c>
      <c r="G612" s="1"/>
      <c r="H612" t="str">
        <f>"3250610673461"</f>
        <v>3250610673461</v>
      </c>
      <c r="J612" t="s">
        <v>1706</v>
      </c>
    </row>
    <row r="613" spans="1:10" x14ac:dyDescent="0.25">
      <c r="A613" t="s">
        <v>8</v>
      </c>
      <c r="B613" t="s">
        <v>1707</v>
      </c>
      <c r="C613" t="s">
        <v>1708</v>
      </c>
      <c r="D613">
        <v>1</v>
      </c>
      <c r="E613" t="s">
        <v>1514</v>
      </c>
      <c r="F613" t="s">
        <v>1515</v>
      </c>
      <c r="G613" s="1"/>
      <c r="H613" t="str">
        <f>"3250612634002"</f>
        <v>3250612634002</v>
      </c>
      <c r="J613" t="s">
        <v>1709</v>
      </c>
    </row>
    <row r="614" spans="1:10" x14ac:dyDescent="0.25">
      <c r="A614" t="s">
        <v>8</v>
      </c>
      <c r="B614" t="s">
        <v>1710</v>
      </c>
      <c r="C614" t="s">
        <v>1711</v>
      </c>
      <c r="D614">
        <v>1</v>
      </c>
      <c r="E614" t="s">
        <v>1514</v>
      </c>
      <c r="F614" t="s">
        <v>1515</v>
      </c>
      <c r="G614" s="1"/>
      <c r="H614" t="str">
        <f>"3250612635306"</f>
        <v>3250612635306</v>
      </c>
      <c r="J614" t="s">
        <v>1712</v>
      </c>
    </row>
    <row r="615" spans="1:10" x14ac:dyDescent="0.25">
      <c r="A615" t="s">
        <v>8</v>
      </c>
      <c r="B615" t="s">
        <v>1713</v>
      </c>
      <c r="C615" t="s">
        <v>1714</v>
      </c>
      <c r="D615">
        <v>1</v>
      </c>
      <c r="E615" t="s">
        <v>1514</v>
      </c>
      <c r="F615" t="s">
        <v>1515</v>
      </c>
      <c r="G615" s="1"/>
      <c r="H615" t="str">
        <f>"3250612635368"</f>
        <v>3250612635368</v>
      </c>
      <c r="J615" t="s">
        <v>1715</v>
      </c>
    </row>
    <row r="616" spans="1:10" x14ac:dyDescent="0.25">
      <c r="A616" t="s">
        <v>8</v>
      </c>
      <c r="B616" t="s">
        <v>1716</v>
      </c>
      <c r="C616" t="s">
        <v>1717</v>
      </c>
      <c r="D616">
        <v>1</v>
      </c>
      <c r="E616" t="s">
        <v>1514</v>
      </c>
      <c r="F616" t="s">
        <v>1515</v>
      </c>
      <c r="G616" s="1"/>
      <c r="H616" t="str">
        <f>"3250612635498"</f>
        <v>3250612635498</v>
      </c>
      <c r="J616" t="s">
        <v>1718</v>
      </c>
    </row>
    <row r="617" spans="1:10" x14ac:dyDescent="0.25">
      <c r="A617" t="s">
        <v>8</v>
      </c>
      <c r="B617" t="s">
        <v>1719</v>
      </c>
      <c r="C617" t="s">
        <v>1720</v>
      </c>
      <c r="D617">
        <v>1</v>
      </c>
      <c r="E617" t="s">
        <v>1514</v>
      </c>
      <c r="F617" t="s">
        <v>1515</v>
      </c>
      <c r="G617" s="1"/>
      <c r="H617" t="str">
        <f>"3250612635696"</f>
        <v>3250612635696</v>
      </c>
      <c r="J617" t="s">
        <v>1721</v>
      </c>
    </row>
    <row r="618" spans="1:10" x14ac:dyDescent="0.25">
      <c r="A618" t="s">
        <v>8</v>
      </c>
      <c r="B618" t="s">
        <v>1722</v>
      </c>
      <c r="C618" t="s">
        <v>1723</v>
      </c>
      <c r="D618">
        <v>1</v>
      </c>
      <c r="E618" t="s">
        <v>1514</v>
      </c>
      <c r="F618" t="s">
        <v>1515</v>
      </c>
      <c r="G618" s="1"/>
      <c r="H618" t="str">
        <f>"3250612777679"</f>
        <v>3250612777679</v>
      </c>
      <c r="J618" t="s">
        <v>1724</v>
      </c>
    </row>
    <row r="619" spans="1:10" x14ac:dyDescent="0.25">
      <c r="A619" t="s">
        <v>8</v>
      </c>
      <c r="B619" t="s">
        <v>1725</v>
      </c>
      <c r="C619" t="s">
        <v>1726</v>
      </c>
      <c r="D619">
        <v>1</v>
      </c>
      <c r="E619" t="s">
        <v>1514</v>
      </c>
      <c r="F619" t="s">
        <v>1515</v>
      </c>
      <c r="G619" s="1"/>
      <c r="H619" t="str">
        <f>"3250612764228"</f>
        <v>3250612764228</v>
      </c>
      <c r="J619" t="s">
        <v>1727</v>
      </c>
    </row>
    <row r="620" spans="1:10" x14ac:dyDescent="0.25">
      <c r="A620" t="s">
        <v>8</v>
      </c>
      <c r="B620" t="s">
        <v>1728</v>
      </c>
      <c r="C620" t="s">
        <v>1729</v>
      </c>
      <c r="D620">
        <v>1</v>
      </c>
      <c r="E620" t="s">
        <v>1514</v>
      </c>
      <c r="F620" t="s">
        <v>1515</v>
      </c>
      <c r="G620" s="1"/>
      <c r="H620" t="str">
        <f>"3250612779093"</f>
        <v>3250612779093</v>
      </c>
      <c r="J620" t="s">
        <v>1730</v>
      </c>
    </row>
    <row r="621" spans="1:10" x14ac:dyDescent="0.25">
      <c r="A621" t="s">
        <v>8</v>
      </c>
      <c r="B621" t="s">
        <v>1731</v>
      </c>
      <c r="C621" t="s">
        <v>1732</v>
      </c>
      <c r="D621">
        <v>1</v>
      </c>
      <c r="E621" t="s">
        <v>1514</v>
      </c>
      <c r="F621" t="s">
        <v>1515</v>
      </c>
      <c r="G621" s="1"/>
      <c r="H621" t="str">
        <f>"3250612764518"</f>
        <v>3250612764518</v>
      </c>
      <c r="J621" t="s">
        <v>1733</v>
      </c>
    </row>
    <row r="622" spans="1:10" x14ac:dyDescent="0.25">
      <c r="A622" t="s">
        <v>8</v>
      </c>
      <c r="B622" t="s">
        <v>1734</v>
      </c>
      <c r="C622" t="s">
        <v>1735</v>
      </c>
      <c r="D622">
        <v>1</v>
      </c>
      <c r="E622" t="s">
        <v>1514</v>
      </c>
      <c r="F622" t="s">
        <v>1515</v>
      </c>
      <c r="G622" s="1"/>
      <c r="H622" t="str">
        <f>"3250612778249"</f>
        <v>3250612778249</v>
      </c>
      <c r="I622" s="1"/>
      <c r="J622" t="s">
        <v>1736</v>
      </c>
    </row>
    <row r="623" spans="1:10" x14ac:dyDescent="0.25">
      <c r="A623" t="s">
        <v>8</v>
      </c>
      <c r="B623" t="s">
        <v>1737</v>
      </c>
      <c r="C623" t="s">
        <v>1738</v>
      </c>
      <c r="D623">
        <v>1</v>
      </c>
      <c r="E623" t="s">
        <v>1514</v>
      </c>
      <c r="F623" t="s">
        <v>1515</v>
      </c>
      <c r="G623" s="1"/>
      <c r="H623" t="str">
        <f>"3250612768509"</f>
        <v>3250612768509</v>
      </c>
      <c r="J623" t="s">
        <v>1739</v>
      </c>
    </row>
    <row r="624" spans="1:10" x14ac:dyDescent="0.25">
      <c r="A624" t="s">
        <v>8</v>
      </c>
      <c r="B624" t="s">
        <v>1740</v>
      </c>
      <c r="C624" t="s">
        <v>1741</v>
      </c>
      <c r="D624">
        <v>1</v>
      </c>
      <c r="E624" t="s">
        <v>1514</v>
      </c>
      <c r="F624" t="s">
        <v>1515</v>
      </c>
      <c r="G624" s="1"/>
      <c r="H624" t="str">
        <f>"3250613450014"</f>
        <v>3250613450014</v>
      </c>
      <c r="J624" t="s">
        <v>1742</v>
      </c>
    </row>
    <row r="625" spans="1:10" x14ac:dyDescent="0.25">
      <c r="A625" t="s">
        <v>8</v>
      </c>
      <c r="B625" t="s">
        <v>1743</v>
      </c>
      <c r="C625" t="s">
        <v>1744</v>
      </c>
      <c r="D625">
        <v>1</v>
      </c>
      <c r="E625" t="s">
        <v>1514</v>
      </c>
      <c r="F625" t="s">
        <v>1515</v>
      </c>
      <c r="G625" s="1"/>
      <c r="H625" t="str">
        <f>"3250613560157"</f>
        <v>3250613560157</v>
      </c>
      <c r="J625" t="s">
        <v>1745</v>
      </c>
    </row>
    <row r="626" spans="1:10" x14ac:dyDescent="0.25">
      <c r="A626" t="s">
        <v>8</v>
      </c>
      <c r="B626" t="s">
        <v>1746</v>
      </c>
      <c r="C626" t="s">
        <v>1747</v>
      </c>
      <c r="D626">
        <v>1</v>
      </c>
      <c r="E626" t="s">
        <v>1514</v>
      </c>
      <c r="F626" t="s">
        <v>1515</v>
      </c>
      <c r="G626" s="1"/>
      <c r="H626" t="str">
        <f>"3250616138117"</f>
        <v>3250616138117</v>
      </c>
      <c r="J626" t="s">
        <v>1748</v>
      </c>
    </row>
    <row r="627" spans="1:10" x14ac:dyDescent="0.25">
      <c r="A627" t="s">
        <v>8</v>
      </c>
      <c r="B627" t="s">
        <v>1749</v>
      </c>
      <c r="C627" t="s">
        <v>1750</v>
      </c>
      <c r="D627">
        <v>1</v>
      </c>
      <c r="E627" t="s">
        <v>1514</v>
      </c>
      <c r="F627" t="s">
        <v>1515</v>
      </c>
      <c r="G627" s="1"/>
      <c r="H627" t="str">
        <f>"3250616138421"</f>
        <v>3250616138421</v>
      </c>
      <c r="J627" t="s">
        <v>1751</v>
      </c>
    </row>
    <row r="628" spans="1:10" x14ac:dyDescent="0.25">
      <c r="A628" t="s">
        <v>8</v>
      </c>
      <c r="B628" t="s">
        <v>1752</v>
      </c>
      <c r="C628" t="s">
        <v>1753</v>
      </c>
      <c r="D628">
        <v>1</v>
      </c>
      <c r="E628" t="s">
        <v>1514</v>
      </c>
      <c r="F628" t="s">
        <v>1515</v>
      </c>
      <c r="G628" s="1"/>
      <c r="H628" t="str">
        <f>"3250616139671"</f>
        <v>3250616139671</v>
      </c>
      <c r="J628" t="s">
        <v>1754</v>
      </c>
    </row>
    <row r="629" spans="1:10" x14ac:dyDescent="0.25">
      <c r="A629" t="s">
        <v>8</v>
      </c>
      <c r="B629" t="s">
        <v>1755</v>
      </c>
      <c r="C629" t="s">
        <v>1756</v>
      </c>
      <c r="D629">
        <v>1</v>
      </c>
      <c r="E629" t="s">
        <v>1514</v>
      </c>
      <c r="F629" t="s">
        <v>1515</v>
      </c>
      <c r="G629" s="1"/>
      <c r="H629" t="str">
        <f>"3250616240025"</f>
        <v>3250616240025</v>
      </c>
      <c r="J629" t="s">
        <v>1757</v>
      </c>
    </row>
    <row r="630" spans="1:10" x14ac:dyDescent="0.25">
      <c r="A630" t="s">
        <v>8</v>
      </c>
      <c r="B630" t="s">
        <v>1758</v>
      </c>
      <c r="C630" t="s">
        <v>1759</v>
      </c>
      <c r="D630">
        <v>1</v>
      </c>
      <c r="E630" t="s">
        <v>1514</v>
      </c>
      <c r="F630" t="s">
        <v>1515</v>
      </c>
      <c r="G630" s="1"/>
      <c r="H630" t="str">
        <f>"3250616364196"</f>
        <v>3250616364196</v>
      </c>
      <c r="J630" t="s">
        <v>1760</v>
      </c>
    </row>
    <row r="631" spans="1:10" x14ac:dyDescent="0.25">
      <c r="A631" t="s">
        <v>8</v>
      </c>
      <c r="B631" t="s">
        <v>1761</v>
      </c>
      <c r="C631" t="s">
        <v>1762</v>
      </c>
      <c r="D631">
        <v>1</v>
      </c>
      <c r="E631" t="s">
        <v>1514</v>
      </c>
      <c r="F631" t="s">
        <v>1515</v>
      </c>
      <c r="G631" s="1"/>
      <c r="H631" t="str">
        <f>"3250616364424"</f>
        <v>3250616364424</v>
      </c>
      <c r="J631" t="s">
        <v>1763</v>
      </c>
    </row>
    <row r="632" spans="1:10" x14ac:dyDescent="0.25">
      <c r="A632" t="s">
        <v>8</v>
      </c>
      <c r="B632" t="s">
        <v>1764</v>
      </c>
      <c r="C632" t="s">
        <v>1765</v>
      </c>
      <c r="D632">
        <v>1</v>
      </c>
      <c r="E632" t="s">
        <v>1514</v>
      </c>
      <c r="F632" t="s">
        <v>1515</v>
      </c>
      <c r="G632" s="1"/>
      <c r="H632" t="str">
        <f>"3250610661703"</f>
        <v>3250610661703</v>
      </c>
      <c r="J632" t="s">
        <v>1766</v>
      </c>
    </row>
    <row r="633" spans="1:10" x14ac:dyDescent="0.25">
      <c r="A633" t="s">
        <v>8</v>
      </c>
      <c r="B633" t="s">
        <v>1767</v>
      </c>
      <c r="C633" t="s">
        <v>1768</v>
      </c>
      <c r="D633">
        <v>1</v>
      </c>
      <c r="E633" t="s">
        <v>1514</v>
      </c>
      <c r="F633" t="s">
        <v>1515</v>
      </c>
      <c r="G633" s="1"/>
      <c r="H633" t="str">
        <f>"3250612533305"</f>
        <v>3250612533305</v>
      </c>
      <c r="J633" t="s">
        <v>1769</v>
      </c>
    </row>
    <row r="634" spans="1:10" x14ac:dyDescent="0.25">
      <c r="A634" t="s">
        <v>8</v>
      </c>
      <c r="B634" t="s">
        <v>1770</v>
      </c>
      <c r="C634" t="s">
        <v>1771</v>
      </c>
      <c r="D634">
        <v>1</v>
      </c>
      <c r="E634" t="s">
        <v>1514</v>
      </c>
      <c r="F634" t="s">
        <v>1515</v>
      </c>
      <c r="G634" s="1"/>
      <c r="H634" t="str">
        <f>"3250612533442"</f>
        <v>3250612533442</v>
      </c>
      <c r="J634" t="s">
        <v>1772</v>
      </c>
    </row>
    <row r="635" spans="1:10" x14ac:dyDescent="0.25">
      <c r="A635" t="s">
        <v>8</v>
      </c>
      <c r="B635" t="s">
        <v>1773</v>
      </c>
      <c r="C635" t="s">
        <v>1774</v>
      </c>
      <c r="D635">
        <v>1</v>
      </c>
      <c r="E635" t="s">
        <v>1514</v>
      </c>
      <c r="F635" t="s">
        <v>1515</v>
      </c>
      <c r="G635" s="1"/>
      <c r="H635" t="str">
        <f>"3250612533497"</f>
        <v>3250612533497</v>
      </c>
      <c r="J635" t="s">
        <v>1775</v>
      </c>
    </row>
    <row r="636" spans="1:10" x14ac:dyDescent="0.25">
      <c r="A636" t="s">
        <v>8</v>
      </c>
      <c r="B636" t="s">
        <v>1776</v>
      </c>
      <c r="C636" t="s">
        <v>1777</v>
      </c>
      <c r="D636">
        <v>1</v>
      </c>
      <c r="E636" t="s">
        <v>1514</v>
      </c>
      <c r="F636" t="s">
        <v>1515</v>
      </c>
      <c r="G636" s="1"/>
      <c r="H636" t="str">
        <f>"3250610671474"</f>
        <v>3250610671474</v>
      </c>
      <c r="J636" t="s">
        <v>1778</v>
      </c>
    </row>
    <row r="637" spans="1:10" x14ac:dyDescent="0.25">
      <c r="A637" t="s">
        <v>8</v>
      </c>
      <c r="B637" t="s">
        <v>1779</v>
      </c>
      <c r="C637" t="s">
        <v>1780</v>
      </c>
      <c r="D637">
        <v>1</v>
      </c>
      <c r="E637" t="s">
        <v>1514</v>
      </c>
      <c r="F637" t="s">
        <v>1515</v>
      </c>
      <c r="G637" s="1"/>
      <c r="H637" t="str">
        <f>"3250610671573"</f>
        <v>3250610671573</v>
      </c>
      <c r="J637" t="s">
        <v>1782</v>
      </c>
    </row>
    <row r="638" spans="1:10" x14ac:dyDescent="0.25">
      <c r="A638" t="s">
        <v>8</v>
      </c>
      <c r="B638" t="s">
        <v>1783</v>
      </c>
      <c r="C638" t="s">
        <v>1784</v>
      </c>
      <c r="D638">
        <v>1</v>
      </c>
      <c r="E638" t="s">
        <v>1514</v>
      </c>
      <c r="F638" t="s">
        <v>1515</v>
      </c>
      <c r="G638" s="1"/>
      <c r="H638" t="str">
        <f>"3250610672921"</f>
        <v>3250610672921</v>
      </c>
      <c r="J638" t="s">
        <v>1785</v>
      </c>
    </row>
    <row r="639" spans="1:10" x14ac:dyDescent="0.25">
      <c r="A639" t="s">
        <v>8</v>
      </c>
      <c r="B639" t="s">
        <v>1786</v>
      </c>
      <c r="C639" t="s">
        <v>1787</v>
      </c>
      <c r="D639">
        <v>1</v>
      </c>
      <c r="E639" t="s">
        <v>1514</v>
      </c>
      <c r="F639" t="s">
        <v>1515</v>
      </c>
      <c r="G639" s="1"/>
      <c r="H639" t="str">
        <f>"3250612621088"</f>
        <v>3250612621088</v>
      </c>
      <c r="J639" t="s">
        <v>1788</v>
      </c>
    </row>
    <row r="640" spans="1:10" x14ac:dyDescent="0.25">
      <c r="A640" t="s">
        <v>8</v>
      </c>
      <c r="B640" t="s">
        <v>1789</v>
      </c>
      <c r="C640" t="s">
        <v>1790</v>
      </c>
      <c r="D640">
        <v>1</v>
      </c>
      <c r="E640" t="s">
        <v>1514</v>
      </c>
      <c r="F640" t="s">
        <v>1515</v>
      </c>
      <c r="G640" s="1"/>
      <c r="H640" t="str">
        <f>"3250610673287"</f>
        <v>3250610673287</v>
      </c>
      <c r="J640" t="s">
        <v>1791</v>
      </c>
    </row>
    <row r="641" spans="1:10" x14ac:dyDescent="0.25">
      <c r="A641" t="s">
        <v>8</v>
      </c>
      <c r="B641" t="s">
        <v>1792</v>
      </c>
      <c r="C641" t="s">
        <v>1793</v>
      </c>
      <c r="D641">
        <v>1</v>
      </c>
      <c r="E641" t="s">
        <v>1514</v>
      </c>
      <c r="F641" t="s">
        <v>1515</v>
      </c>
      <c r="G641" s="1"/>
      <c r="H641" t="str">
        <f>"3250610673447"</f>
        <v>3250610673447</v>
      </c>
      <c r="J641" t="s">
        <v>1794</v>
      </c>
    </row>
    <row r="642" spans="1:10" x14ac:dyDescent="0.25">
      <c r="A642" t="s">
        <v>8</v>
      </c>
      <c r="B642" t="s">
        <v>1795</v>
      </c>
      <c r="C642" t="s">
        <v>1796</v>
      </c>
      <c r="D642">
        <v>1</v>
      </c>
      <c r="E642" t="s">
        <v>1514</v>
      </c>
      <c r="F642" t="s">
        <v>1515</v>
      </c>
      <c r="G642" s="1"/>
      <c r="H642" t="str">
        <f>"3250612635191"</f>
        <v>3250612635191</v>
      </c>
      <c r="J642" t="s">
        <v>1797</v>
      </c>
    </row>
    <row r="643" spans="1:10" x14ac:dyDescent="0.25">
      <c r="A643" t="s">
        <v>8</v>
      </c>
      <c r="B643" t="s">
        <v>1798</v>
      </c>
      <c r="C643" t="s">
        <v>1799</v>
      </c>
      <c r="D643">
        <v>1</v>
      </c>
      <c r="E643" t="s">
        <v>1514</v>
      </c>
      <c r="F643" t="s">
        <v>1515</v>
      </c>
      <c r="G643" s="1"/>
      <c r="H643" t="str">
        <f>"3250612635351"</f>
        <v>3250612635351</v>
      </c>
      <c r="J643" t="s">
        <v>1800</v>
      </c>
    </row>
    <row r="644" spans="1:10" x14ac:dyDescent="0.25">
      <c r="A644" t="s">
        <v>8</v>
      </c>
      <c r="B644" t="s">
        <v>1801</v>
      </c>
      <c r="C644" t="s">
        <v>1802</v>
      </c>
      <c r="D644">
        <v>1</v>
      </c>
      <c r="E644" t="s">
        <v>1514</v>
      </c>
      <c r="F644" t="s">
        <v>1515</v>
      </c>
      <c r="G644" s="1"/>
      <c r="H644" t="str">
        <f>"3250612635481"</f>
        <v>3250612635481</v>
      </c>
      <c r="J644" t="s">
        <v>1803</v>
      </c>
    </row>
    <row r="645" spans="1:10" x14ac:dyDescent="0.25">
      <c r="A645" t="s">
        <v>8</v>
      </c>
      <c r="B645" t="s">
        <v>1804</v>
      </c>
      <c r="C645" t="s">
        <v>1805</v>
      </c>
      <c r="D645">
        <v>1</v>
      </c>
      <c r="E645" t="s">
        <v>1514</v>
      </c>
      <c r="F645" t="s">
        <v>1515</v>
      </c>
      <c r="G645" s="1"/>
      <c r="H645" t="str">
        <f>"3250612764174"</f>
        <v>3250612764174</v>
      </c>
      <c r="J645" t="s">
        <v>1806</v>
      </c>
    </row>
    <row r="646" spans="1:10" x14ac:dyDescent="0.25">
      <c r="A646" t="s">
        <v>8</v>
      </c>
      <c r="B646" t="s">
        <v>1807</v>
      </c>
      <c r="C646" t="s">
        <v>1808</v>
      </c>
      <c r="D646">
        <v>1</v>
      </c>
      <c r="E646" t="s">
        <v>1514</v>
      </c>
      <c r="F646" t="s">
        <v>1515</v>
      </c>
      <c r="G646" s="1"/>
      <c r="H646" t="str">
        <f>"3250612778027"</f>
        <v>3250612778027</v>
      </c>
      <c r="J646" t="s">
        <v>1809</v>
      </c>
    </row>
    <row r="647" spans="1:10" x14ac:dyDescent="0.25">
      <c r="A647" t="s">
        <v>8</v>
      </c>
      <c r="B647" t="s">
        <v>1810</v>
      </c>
      <c r="C647" t="s">
        <v>1811</v>
      </c>
      <c r="D647">
        <v>1</v>
      </c>
      <c r="E647" t="s">
        <v>1514</v>
      </c>
      <c r="F647" t="s">
        <v>1515</v>
      </c>
      <c r="G647" s="1"/>
      <c r="H647" t="str">
        <f>"3250612778072"</f>
        <v>3250612778072</v>
      </c>
      <c r="J647" t="s">
        <v>1650</v>
      </c>
    </row>
    <row r="648" spans="1:10" x14ac:dyDescent="0.25">
      <c r="A648" t="s">
        <v>8</v>
      </c>
      <c r="B648" t="s">
        <v>1812</v>
      </c>
      <c r="C648" t="s">
        <v>1813</v>
      </c>
      <c r="D648">
        <v>1</v>
      </c>
      <c r="E648" t="s">
        <v>1514</v>
      </c>
      <c r="F648" t="s">
        <v>1515</v>
      </c>
      <c r="G648" s="1"/>
      <c r="H648" t="str">
        <f>"3250612765164"</f>
        <v>3250612765164</v>
      </c>
      <c r="J648" t="s">
        <v>1814</v>
      </c>
    </row>
    <row r="649" spans="1:10" x14ac:dyDescent="0.25">
      <c r="A649" t="s">
        <v>8</v>
      </c>
      <c r="B649" t="s">
        <v>1815</v>
      </c>
      <c r="C649" t="s">
        <v>1816</v>
      </c>
      <c r="D649">
        <v>1</v>
      </c>
      <c r="E649" t="s">
        <v>1514</v>
      </c>
      <c r="F649" t="s">
        <v>1515</v>
      </c>
      <c r="G649" s="1"/>
      <c r="H649" t="str">
        <f>"3250612765973"</f>
        <v>3250612765973</v>
      </c>
      <c r="I649" s="1"/>
      <c r="J649" t="s">
        <v>1736</v>
      </c>
    </row>
    <row r="650" spans="1:10" x14ac:dyDescent="0.25">
      <c r="A650" t="s">
        <v>8</v>
      </c>
      <c r="B650" t="s">
        <v>1817</v>
      </c>
      <c r="C650" t="s">
        <v>1818</v>
      </c>
      <c r="D650">
        <v>1</v>
      </c>
      <c r="E650" t="s">
        <v>1514</v>
      </c>
      <c r="F650" t="s">
        <v>1515</v>
      </c>
      <c r="G650" s="1"/>
      <c r="H650" t="str">
        <f>"3250612778553"</f>
        <v>3250612778553</v>
      </c>
      <c r="J650" t="s">
        <v>1819</v>
      </c>
    </row>
    <row r="651" spans="1:10" x14ac:dyDescent="0.25">
      <c r="A651" t="s">
        <v>8</v>
      </c>
      <c r="B651" t="s">
        <v>1820</v>
      </c>
      <c r="C651" t="s">
        <v>1821</v>
      </c>
      <c r="D651">
        <v>1</v>
      </c>
      <c r="E651" t="s">
        <v>1514</v>
      </c>
      <c r="F651" t="s">
        <v>1515</v>
      </c>
      <c r="G651" s="1"/>
      <c r="H651" t="str">
        <f>"3250612762262"</f>
        <v>3250612762262</v>
      </c>
      <c r="J651" t="s">
        <v>1822</v>
      </c>
    </row>
    <row r="652" spans="1:10" x14ac:dyDescent="0.25">
      <c r="A652" t="s">
        <v>8</v>
      </c>
      <c r="B652" t="s">
        <v>1823</v>
      </c>
      <c r="C652" t="s">
        <v>1824</v>
      </c>
      <c r="D652">
        <v>1</v>
      </c>
      <c r="E652" t="s">
        <v>1514</v>
      </c>
      <c r="F652" t="s">
        <v>1515</v>
      </c>
      <c r="G652" s="1"/>
      <c r="H652" t="str">
        <f>"3250612768011"</f>
        <v>3250612768011</v>
      </c>
      <c r="J652" t="s">
        <v>1825</v>
      </c>
    </row>
    <row r="653" spans="1:10" x14ac:dyDescent="0.25">
      <c r="A653" t="s">
        <v>8</v>
      </c>
      <c r="B653" t="s">
        <v>1826</v>
      </c>
      <c r="C653" t="s">
        <v>1827</v>
      </c>
      <c r="D653">
        <v>1</v>
      </c>
      <c r="E653" t="s">
        <v>1514</v>
      </c>
      <c r="F653" t="s">
        <v>1515</v>
      </c>
      <c r="G653" s="1"/>
      <c r="H653" t="str">
        <f>"3250613560140"</f>
        <v>3250613560140</v>
      </c>
      <c r="J653" t="s">
        <v>1828</v>
      </c>
    </row>
    <row r="654" spans="1:10" x14ac:dyDescent="0.25">
      <c r="A654" t="s">
        <v>8</v>
      </c>
      <c r="B654" t="s">
        <v>1829</v>
      </c>
      <c r="C654" t="s">
        <v>1830</v>
      </c>
      <c r="D654">
        <v>1</v>
      </c>
      <c r="E654" t="s">
        <v>1514</v>
      </c>
      <c r="F654" t="s">
        <v>1515</v>
      </c>
      <c r="G654" s="1"/>
      <c r="H654" t="str">
        <f>"3250616138346"</f>
        <v>3250616138346</v>
      </c>
      <c r="J654" t="s">
        <v>1831</v>
      </c>
    </row>
    <row r="655" spans="1:10" x14ac:dyDescent="0.25">
      <c r="A655" t="s">
        <v>8</v>
      </c>
      <c r="B655" t="s">
        <v>1832</v>
      </c>
      <c r="C655" t="s">
        <v>1833</v>
      </c>
      <c r="D655">
        <v>1</v>
      </c>
      <c r="E655" t="s">
        <v>1514</v>
      </c>
      <c r="F655" t="s">
        <v>1515</v>
      </c>
      <c r="G655" s="1"/>
      <c r="H655" t="str">
        <f>"3250616139114"</f>
        <v>3250616139114</v>
      </c>
      <c r="J655" t="s">
        <v>1834</v>
      </c>
    </row>
    <row r="656" spans="1:10" x14ac:dyDescent="0.25">
      <c r="A656" t="s">
        <v>8</v>
      </c>
      <c r="B656" t="s">
        <v>1835</v>
      </c>
      <c r="C656" t="s">
        <v>1836</v>
      </c>
      <c r="D656">
        <v>1</v>
      </c>
      <c r="E656" t="s">
        <v>1514</v>
      </c>
      <c r="F656" t="s">
        <v>1515</v>
      </c>
      <c r="G656" s="1"/>
      <c r="H656" t="str">
        <f>"3250616139664"</f>
        <v>3250616139664</v>
      </c>
      <c r="J656" t="s">
        <v>1837</v>
      </c>
    </row>
    <row r="657" spans="1:10" x14ac:dyDescent="0.25">
      <c r="A657" t="s">
        <v>8</v>
      </c>
      <c r="B657" t="s">
        <v>1838</v>
      </c>
      <c r="C657" t="s">
        <v>1839</v>
      </c>
      <c r="D657">
        <v>1</v>
      </c>
      <c r="E657" t="s">
        <v>1514</v>
      </c>
      <c r="F657" t="s">
        <v>1515</v>
      </c>
      <c r="G657" s="1"/>
      <c r="H657" t="str">
        <f>"3250616139923"</f>
        <v>3250616139923</v>
      </c>
      <c r="I657" s="1"/>
      <c r="J657" t="s">
        <v>1840</v>
      </c>
    </row>
    <row r="658" spans="1:10" x14ac:dyDescent="0.25">
      <c r="A658" t="s">
        <v>8</v>
      </c>
      <c r="B658" t="s">
        <v>1841</v>
      </c>
      <c r="C658" t="s">
        <v>1842</v>
      </c>
      <c r="D658">
        <v>1</v>
      </c>
      <c r="E658" t="s">
        <v>1514</v>
      </c>
      <c r="F658" t="s">
        <v>1515</v>
      </c>
      <c r="G658" s="1"/>
      <c r="H658" t="str">
        <f>"3250616240100"</f>
        <v>3250616240100</v>
      </c>
      <c r="J658" t="s">
        <v>1843</v>
      </c>
    </row>
    <row r="659" spans="1:10" x14ac:dyDescent="0.25">
      <c r="A659" t="s">
        <v>8</v>
      </c>
      <c r="B659" t="s">
        <v>1844</v>
      </c>
      <c r="C659" t="s">
        <v>1845</v>
      </c>
      <c r="D659">
        <v>1</v>
      </c>
      <c r="E659" t="s">
        <v>1514</v>
      </c>
      <c r="F659" t="s">
        <v>1515</v>
      </c>
      <c r="G659" s="1"/>
      <c r="H659" t="str">
        <f>"3250616306516"</f>
        <v>3250616306516</v>
      </c>
      <c r="J659" t="s">
        <v>1846</v>
      </c>
    </row>
    <row r="660" spans="1:10" x14ac:dyDescent="0.25">
      <c r="A660" t="s">
        <v>8</v>
      </c>
      <c r="B660" t="s">
        <v>1847</v>
      </c>
      <c r="C660" t="s">
        <v>1848</v>
      </c>
      <c r="D660">
        <v>1</v>
      </c>
      <c r="E660" t="s">
        <v>1514</v>
      </c>
      <c r="F660" t="s">
        <v>1515</v>
      </c>
      <c r="G660" s="1"/>
      <c r="H660" t="str">
        <f>"3250616360136"</f>
        <v>3250616360136</v>
      </c>
      <c r="J660" t="s">
        <v>1849</v>
      </c>
    </row>
    <row r="661" spans="1:10" x14ac:dyDescent="0.25">
      <c r="A661" t="s">
        <v>8</v>
      </c>
      <c r="B661" t="s">
        <v>1850</v>
      </c>
      <c r="C661" t="s">
        <v>1851</v>
      </c>
      <c r="D661">
        <v>1</v>
      </c>
      <c r="E661" t="s">
        <v>1514</v>
      </c>
      <c r="F661" t="s">
        <v>1515</v>
      </c>
      <c r="G661" s="1"/>
      <c r="H661" t="str">
        <f>"3250616365896"</f>
        <v>3250616365896</v>
      </c>
      <c r="J661" t="s">
        <v>1852</v>
      </c>
    </row>
    <row r="662" spans="1:10" x14ac:dyDescent="0.25">
      <c r="A662" t="s">
        <v>8</v>
      </c>
      <c r="B662" t="s">
        <v>1853</v>
      </c>
      <c r="C662" t="s">
        <v>1854</v>
      </c>
      <c r="D662">
        <v>1</v>
      </c>
      <c r="E662" t="s">
        <v>1514</v>
      </c>
      <c r="F662" t="s">
        <v>1515</v>
      </c>
      <c r="G662" s="1"/>
      <c r="H662" t="str">
        <f>"3250612531271"</f>
        <v>3250612531271</v>
      </c>
      <c r="J662" t="s">
        <v>1855</v>
      </c>
    </row>
    <row r="663" spans="1:10" x14ac:dyDescent="0.25">
      <c r="A663" t="s">
        <v>8</v>
      </c>
      <c r="B663" t="s">
        <v>1856</v>
      </c>
      <c r="C663" t="s">
        <v>1857</v>
      </c>
      <c r="D663">
        <v>1</v>
      </c>
      <c r="E663" t="s">
        <v>1514</v>
      </c>
      <c r="F663" t="s">
        <v>1515</v>
      </c>
      <c r="G663" s="1"/>
      <c r="H663" t="str">
        <f>"3250612533145"</f>
        <v>3250612533145</v>
      </c>
      <c r="J663" t="s">
        <v>1858</v>
      </c>
    </row>
    <row r="664" spans="1:10" x14ac:dyDescent="0.25">
      <c r="A664" t="s">
        <v>8</v>
      </c>
      <c r="B664" t="s">
        <v>1859</v>
      </c>
      <c r="C664" t="s">
        <v>1860</v>
      </c>
      <c r="D664">
        <v>1</v>
      </c>
      <c r="E664" t="s">
        <v>1514</v>
      </c>
      <c r="F664" t="s">
        <v>1515</v>
      </c>
      <c r="G664" s="1"/>
      <c r="H664" t="str">
        <f>"3250612533190"</f>
        <v>3250612533190</v>
      </c>
      <c r="J664" t="s">
        <v>1861</v>
      </c>
    </row>
    <row r="665" spans="1:10" x14ac:dyDescent="0.25">
      <c r="A665" t="s">
        <v>8</v>
      </c>
      <c r="B665" t="s">
        <v>1862</v>
      </c>
      <c r="C665" t="s">
        <v>1863</v>
      </c>
      <c r="D665">
        <v>1</v>
      </c>
      <c r="E665" t="s">
        <v>1514</v>
      </c>
      <c r="F665" t="s">
        <v>1515</v>
      </c>
      <c r="G665" s="1"/>
      <c r="H665" t="str">
        <f>"3250612533435"</f>
        <v>3250612533435</v>
      </c>
      <c r="J665" t="s">
        <v>1864</v>
      </c>
    </row>
    <row r="666" spans="1:10" x14ac:dyDescent="0.25">
      <c r="A666" t="s">
        <v>8</v>
      </c>
      <c r="B666" t="s">
        <v>1865</v>
      </c>
      <c r="C666" t="s">
        <v>1866</v>
      </c>
      <c r="D666">
        <v>1</v>
      </c>
      <c r="E666" t="s">
        <v>1514</v>
      </c>
      <c r="F666" t="s">
        <v>1515</v>
      </c>
      <c r="G666" s="1"/>
      <c r="H666" t="str">
        <f>"3250610671498"</f>
        <v>3250610671498</v>
      </c>
      <c r="J666" t="s">
        <v>1868</v>
      </c>
    </row>
    <row r="667" spans="1:10" x14ac:dyDescent="0.25">
      <c r="A667" t="s">
        <v>8</v>
      </c>
      <c r="B667" t="s">
        <v>1869</v>
      </c>
      <c r="C667" t="s">
        <v>1870</v>
      </c>
      <c r="D667">
        <v>1</v>
      </c>
      <c r="E667" t="s">
        <v>1514</v>
      </c>
      <c r="F667" t="s">
        <v>1515</v>
      </c>
      <c r="G667" s="1"/>
      <c r="H667" t="str">
        <f>"3250610671566"</f>
        <v>3250610671566</v>
      </c>
      <c r="J667" t="s">
        <v>1871</v>
      </c>
    </row>
    <row r="668" spans="1:10" x14ac:dyDescent="0.25">
      <c r="A668" t="s">
        <v>8</v>
      </c>
      <c r="B668" t="s">
        <v>1872</v>
      </c>
      <c r="C668" t="s">
        <v>1873</v>
      </c>
      <c r="D668">
        <v>1</v>
      </c>
      <c r="E668" t="s">
        <v>1514</v>
      </c>
      <c r="F668" t="s">
        <v>1515</v>
      </c>
      <c r="G668" s="1"/>
      <c r="H668" t="str">
        <f>"3250610672914"</f>
        <v>3250610672914</v>
      </c>
      <c r="J668" t="s">
        <v>1874</v>
      </c>
    </row>
    <row r="669" spans="1:10" x14ac:dyDescent="0.25">
      <c r="A669" t="s">
        <v>8</v>
      </c>
      <c r="B669" t="s">
        <v>1875</v>
      </c>
      <c r="C669" t="s">
        <v>1876</v>
      </c>
      <c r="D669">
        <v>1</v>
      </c>
      <c r="E669" t="s">
        <v>1514</v>
      </c>
      <c r="F669" t="s">
        <v>1515</v>
      </c>
      <c r="G669" s="1"/>
      <c r="H669" t="str">
        <f>"3250610672976"</f>
        <v>3250610672976</v>
      </c>
      <c r="J669" t="s">
        <v>1877</v>
      </c>
    </row>
    <row r="670" spans="1:10" x14ac:dyDescent="0.25">
      <c r="A670" t="s">
        <v>8</v>
      </c>
      <c r="B670" t="s">
        <v>1878</v>
      </c>
      <c r="C670" t="s">
        <v>1879</v>
      </c>
      <c r="D670">
        <v>1</v>
      </c>
      <c r="E670" t="s">
        <v>1514</v>
      </c>
      <c r="F670" t="s">
        <v>1515</v>
      </c>
      <c r="G670" s="1"/>
      <c r="H670" t="str">
        <f>"3250612621071"</f>
        <v>3250612621071</v>
      </c>
      <c r="J670" t="s">
        <v>1880</v>
      </c>
    </row>
    <row r="671" spans="1:10" x14ac:dyDescent="0.25">
      <c r="A671" t="s">
        <v>8</v>
      </c>
      <c r="B671" t="s">
        <v>1881</v>
      </c>
      <c r="C671" t="s">
        <v>1882</v>
      </c>
      <c r="D671">
        <v>1</v>
      </c>
      <c r="E671" t="s">
        <v>1514</v>
      </c>
      <c r="F671" t="s">
        <v>1515</v>
      </c>
      <c r="G671" s="1"/>
      <c r="H671" t="str">
        <f>"3250610679791"</f>
        <v>3250610679791</v>
      </c>
      <c r="J671" t="s">
        <v>1546</v>
      </c>
    </row>
    <row r="672" spans="1:10" x14ac:dyDescent="0.25">
      <c r="A672" t="s">
        <v>8</v>
      </c>
      <c r="B672" t="s">
        <v>1883</v>
      </c>
      <c r="C672" t="s">
        <v>1884</v>
      </c>
      <c r="D672">
        <v>1</v>
      </c>
      <c r="E672" t="s">
        <v>1514</v>
      </c>
      <c r="F672" t="s">
        <v>1515</v>
      </c>
      <c r="G672" s="1"/>
      <c r="H672" t="str">
        <f>"3250610673430"</f>
        <v>3250610673430</v>
      </c>
      <c r="J672" t="s">
        <v>1885</v>
      </c>
    </row>
    <row r="673" spans="1:10" x14ac:dyDescent="0.25">
      <c r="A673" t="s">
        <v>8</v>
      </c>
      <c r="B673" t="s">
        <v>1886</v>
      </c>
      <c r="C673" t="s">
        <v>1887</v>
      </c>
      <c r="D673">
        <v>1</v>
      </c>
      <c r="E673" t="s">
        <v>1514</v>
      </c>
      <c r="F673" t="s">
        <v>1515</v>
      </c>
      <c r="G673" s="1"/>
      <c r="H673" t="str">
        <f>"3250612635184"</f>
        <v>3250612635184</v>
      </c>
      <c r="I673" s="1"/>
      <c r="J673" t="s">
        <v>1888</v>
      </c>
    </row>
    <row r="674" spans="1:10" x14ac:dyDescent="0.25">
      <c r="A674" t="s">
        <v>8</v>
      </c>
      <c r="B674" t="s">
        <v>1889</v>
      </c>
      <c r="C674" t="s">
        <v>1890</v>
      </c>
      <c r="D674">
        <v>1</v>
      </c>
      <c r="E674" t="s">
        <v>1514</v>
      </c>
      <c r="F674" t="s">
        <v>1515</v>
      </c>
      <c r="G674" s="1"/>
      <c r="H674" t="str">
        <f>"3250612635429"</f>
        <v>3250612635429</v>
      </c>
      <c r="J674" t="s">
        <v>1891</v>
      </c>
    </row>
    <row r="675" spans="1:10" x14ac:dyDescent="0.25">
      <c r="A675" t="s">
        <v>8</v>
      </c>
      <c r="B675" t="s">
        <v>1892</v>
      </c>
      <c r="C675" t="s">
        <v>1893</v>
      </c>
      <c r="D675">
        <v>1</v>
      </c>
      <c r="E675" t="s">
        <v>1514</v>
      </c>
      <c r="F675" t="s">
        <v>1515</v>
      </c>
      <c r="G675" s="1"/>
      <c r="H675" t="str">
        <f>"3250612635474"</f>
        <v>3250612635474</v>
      </c>
      <c r="J675" t="s">
        <v>1894</v>
      </c>
    </row>
    <row r="676" spans="1:10" x14ac:dyDescent="0.25">
      <c r="A676" t="s">
        <v>8</v>
      </c>
      <c r="B676" t="s">
        <v>1895</v>
      </c>
      <c r="C676" t="s">
        <v>1896</v>
      </c>
      <c r="D676">
        <v>1</v>
      </c>
      <c r="E676" t="s">
        <v>1514</v>
      </c>
      <c r="F676" t="s">
        <v>1515</v>
      </c>
      <c r="G676" s="1"/>
      <c r="H676" t="str">
        <f>"3250612649525"</f>
        <v>3250612649525</v>
      </c>
      <c r="J676" t="s">
        <v>1897</v>
      </c>
    </row>
    <row r="677" spans="1:10" x14ac:dyDescent="0.25">
      <c r="A677" t="s">
        <v>8</v>
      </c>
      <c r="B677" t="s">
        <v>1898</v>
      </c>
      <c r="C677" t="s">
        <v>1899</v>
      </c>
      <c r="D677">
        <v>1</v>
      </c>
      <c r="E677" t="s">
        <v>1514</v>
      </c>
      <c r="F677" t="s">
        <v>1515</v>
      </c>
      <c r="G677" s="1"/>
      <c r="H677" t="str">
        <f>"3250612777044"</f>
        <v>3250612777044</v>
      </c>
      <c r="J677" t="s">
        <v>1900</v>
      </c>
    </row>
    <row r="678" spans="1:10" x14ac:dyDescent="0.25">
      <c r="A678" t="s">
        <v>8</v>
      </c>
      <c r="B678" t="s">
        <v>1901</v>
      </c>
      <c r="C678" t="s">
        <v>1902</v>
      </c>
      <c r="D678">
        <v>1</v>
      </c>
      <c r="E678" t="s">
        <v>1514</v>
      </c>
      <c r="F678" t="s">
        <v>1515</v>
      </c>
      <c r="G678" s="1"/>
      <c r="H678" t="str">
        <f>"3250612765515"</f>
        <v>3250612765515</v>
      </c>
      <c r="J678" t="s">
        <v>1903</v>
      </c>
    </row>
    <row r="679" spans="1:10" x14ac:dyDescent="0.25">
      <c r="A679" t="s">
        <v>8</v>
      </c>
      <c r="B679" t="s">
        <v>1904</v>
      </c>
      <c r="C679" t="s">
        <v>1905</v>
      </c>
      <c r="D679">
        <v>1</v>
      </c>
      <c r="E679" t="s">
        <v>1514</v>
      </c>
      <c r="F679" t="s">
        <v>1515</v>
      </c>
      <c r="G679" s="1"/>
      <c r="H679" t="str">
        <f>"3250612779116"</f>
        <v>3250612779116</v>
      </c>
      <c r="J679" t="s">
        <v>1906</v>
      </c>
    </row>
    <row r="680" spans="1:10" x14ac:dyDescent="0.25">
      <c r="A680" t="s">
        <v>8</v>
      </c>
      <c r="B680" t="s">
        <v>1907</v>
      </c>
      <c r="C680" t="s">
        <v>1908</v>
      </c>
      <c r="D680">
        <v>1</v>
      </c>
      <c r="E680" t="s">
        <v>1514</v>
      </c>
      <c r="F680" t="s">
        <v>1515</v>
      </c>
      <c r="G680" s="1"/>
      <c r="H680" t="str">
        <f>"3250612764501"</f>
        <v>3250612764501</v>
      </c>
      <c r="J680" t="s">
        <v>1733</v>
      </c>
    </row>
    <row r="681" spans="1:10" x14ac:dyDescent="0.25">
      <c r="A681" t="s">
        <v>8</v>
      </c>
      <c r="B681" t="s">
        <v>1909</v>
      </c>
      <c r="C681" t="s">
        <v>1910</v>
      </c>
      <c r="D681">
        <v>1</v>
      </c>
      <c r="E681" t="s">
        <v>1514</v>
      </c>
      <c r="F681" t="s">
        <v>1515</v>
      </c>
      <c r="G681" s="1"/>
      <c r="H681" t="str">
        <f>"3250612765157"</f>
        <v>3250612765157</v>
      </c>
      <c r="J681" t="s">
        <v>1814</v>
      </c>
    </row>
    <row r="682" spans="1:10" x14ac:dyDescent="0.25">
      <c r="A682" t="s">
        <v>8</v>
      </c>
      <c r="B682" t="s">
        <v>1911</v>
      </c>
      <c r="C682" t="s">
        <v>1912</v>
      </c>
      <c r="D682">
        <v>1</v>
      </c>
      <c r="E682" t="s">
        <v>1514</v>
      </c>
      <c r="F682" t="s">
        <v>1515</v>
      </c>
      <c r="G682" s="1"/>
      <c r="H682" t="str">
        <f>"3250612777983"</f>
        <v>3250612777983</v>
      </c>
      <c r="J682" t="s">
        <v>1913</v>
      </c>
    </row>
    <row r="683" spans="1:10" x14ac:dyDescent="0.25">
      <c r="A683" t="s">
        <v>8</v>
      </c>
      <c r="B683" t="s">
        <v>1914</v>
      </c>
      <c r="C683" t="s">
        <v>1915</v>
      </c>
      <c r="D683">
        <v>1</v>
      </c>
      <c r="E683" t="s">
        <v>1514</v>
      </c>
      <c r="F683" t="s">
        <v>1515</v>
      </c>
      <c r="G683" s="1"/>
      <c r="H683" t="str">
        <f>"3250612767670"</f>
        <v>3250612767670</v>
      </c>
      <c r="J683" t="s">
        <v>1916</v>
      </c>
    </row>
    <row r="684" spans="1:10" x14ac:dyDescent="0.25">
      <c r="A684" t="s">
        <v>8</v>
      </c>
      <c r="B684" t="s">
        <v>1917</v>
      </c>
      <c r="C684" t="s">
        <v>1918</v>
      </c>
      <c r="D684">
        <v>1</v>
      </c>
      <c r="E684" t="s">
        <v>1514</v>
      </c>
      <c r="F684" t="s">
        <v>1515</v>
      </c>
      <c r="G684" s="1"/>
      <c r="H684" t="str">
        <f>"3250616132894"</f>
        <v>3250616132894</v>
      </c>
      <c r="J684" t="s">
        <v>1919</v>
      </c>
    </row>
    <row r="685" spans="1:10" x14ac:dyDescent="0.25">
      <c r="A685" t="s">
        <v>8</v>
      </c>
      <c r="B685" t="s">
        <v>1920</v>
      </c>
      <c r="C685" t="s">
        <v>1921</v>
      </c>
      <c r="D685">
        <v>1</v>
      </c>
      <c r="E685" t="s">
        <v>1514</v>
      </c>
      <c r="F685" t="s">
        <v>1515</v>
      </c>
      <c r="G685" s="1"/>
      <c r="H685" t="str">
        <f>"3250616138322"</f>
        <v>3250616138322</v>
      </c>
      <c r="J685" t="s">
        <v>1922</v>
      </c>
    </row>
    <row r="686" spans="1:10" x14ac:dyDescent="0.25">
      <c r="A686" t="s">
        <v>8</v>
      </c>
      <c r="B686" t="s">
        <v>1923</v>
      </c>
      <c r="C686" t="s">
        <v>1924</v>
      </c>
      <c r="D686">
        <v>1</v>
      </c>
      <c r="E686" t="s">
        <v>1514</v>
      </c>
      <c r="F686" t="s">
        <v>1515</v>
      </c>
      <c r="G686" s="1"/>
      <c r="H686" t="str">
        <f>"3250616138537"</f>
        <v>3250616138537</v>
      </c>
      <c r="J686" t="s">
        <v>1925</v>
      </c>
    </row>
    <row r="687" spans="1:10" x14ac:dyDescent="0.25">
      <c r="A687" t="s">
        <v>8</v>
      </c>
      <c r="B687" t="s">
        <v>1926</v>
      </c>
      <c r="C687" t="s">
        <v>1927</v>
      </c>
      <c r="D687">
        <v>1</v>
      </c>
      <c r="E687" t="s">
        <v>1514</v>
      </c>
      <c r="F687" t="s">
        <v>1515</v>
      </c>
      <c r="G687" s="1"/>
      <c r="H687" t="str">
        <f>"3250616139756"</f>
        <v>3250616139756</v>
      </c>
      <c r="J687" t="s">
        <v>1928</v>
      </c>
    </row>
    <row r="688" spans="1:10" x14ac:dyDescent="0.25">
      <c r="A688" t="s">
        <v>8</v>
      </c>
      <c r="B688" t="s">
        <v>1929</v>
      </c>
      <c r="C688" t="s">
        <v>1930</v>
      </c>
      <c r="D688">
        <v>1</v>
      </c>
      <c r="E688" t="s">
        <v>1514</v>
      </c>
      <c r="F688" t="s">
        <v>1515</v>
      </c>
      <c r="G688" s="1"/>
      <c r="H688" t="str">
        <f>"3250616139916"</f>
        <v>3250616139916</v>
      </c>
      <c r="J688" t="s">
        <v>1931</v>
      </c>
    </row>
    <row r="689" spans="1:10" x14ac:dyDescent="0.25">
      <c r="A689" t="s">
        <v>8</v>
      </c>
      <c r="B689" t="s">
        <v>1932</v>
      </c>
      <c r="C689" t="s">
        <v>1933</v>
      </c>
      <c r="D689">
        <v>1</v>
      </c>
      <c r="E689" t="s">
        <v>1514</v>
      </c>
      <c r="F689" t="s">
        <v>1515</v>
      </c>
      <c r="G689" s="1"/>
      <c r="H689" t="str">
        <f>"3250616240087"</f>
        <v>3250616240087</v>
      </c>
      <c r="J689" t="s">
        <v>1934</v>
      </c>
    </row>
    <row r="690" spans="1:10" x14ac:dyDescent="0.25">
      <c r="A690" t="s">
        <v>8</v>
      </c>
      <c r="B690" t="s">
        <v>1935</v>
      </c>
      <c r="C690" t="s">
        <v>1936</v>
      </c>
      <c r="D690">
        <v>1</v>
      </c>
      <c r="E690" t="s">
        <v>1514</v>
      </c>
      <c r="F690" t="s">
        <v>1515</v>
      </c>
      <c r="G690" s="1"/>
      <c r="H690" t="str">
        <f>"3250616301078"</f>
        <v>3250616301078</v>
      </c>
      <c r="J690" t="s">
        <v>1937</v>
      </c>
    </row>
    <row r="691" spans="1:10" x14ac:dyDescent="0.25">
      <c r="A691" t="s">
        <v>8</v>
      </c>
      <c r="B691" t="s">
        <v>1938</v>
      </c>
      <c r="C691" t="s">
        <v>1939</v>
      </c>
      <c r="D691">
        <v>1</v>
      </c>
      <c r="E691" t="s">
        <v>1514</v>
      </c>
      <c r="F691" t="s">
        <v>1515</v>
      </c>
      <c r="G691" s="1"/>
      <c r="H691" t="str">
        <f>"3250616306509"</f>
        <v>3250616306509</v>
      </c>
      <c r="J691" t="s">
        <v>1940</v>
      </c>
    </row>
    <row r="692" spans="1:10" x14ac:dyDescent="0.25">
      <c r="A692" t="s">
        <v>8</v>
      </c>
      <c r="B692" t="s">
        <v>1941</v>
      </c>
      <c r="C692" t="s">
        <v>1942</v>
      </c>
      <c r="D692">
        <v>1</v>
      </c>
      <c r="E692" t="s">
        <v>1514</v>
      </c>
      <c r="F692" t="s">
        <v>1515</v>
      </c>
      <c r="G692" s="1"/>
      <c r="H692" t="str">
        <f>"3250616366084"</f>
        <v>3250616366084</v>
      </c>
      <c r="J692" t="s">
        <v>1943</v>
      </c>
    </row>
    <row r="693" spans="1:10" x14ac:dyDescent="0.25">
      <c r="A693" t="s">
        <v>8</v>
      </c>
      <c r="B693" t="s">
        <v>1944</v>
      </c>
      <c r="C693" t="s">
        <v>1945</v>
      </c>
      <c r="D693">
        <v>1</v>
      </c>
      <c r="E693" t="s">
        <v>1514</v>
      </c>
      <c r="F693" t="s">
        <v>1515</v>
      </c>
      <c r="G693" s="1"/>
      <c r="H693" t="str">
        <f>"3250616362307"</f>
        <v>3250616362307</v>
      </c>
      <c r="J693" t="s">
        <v>1947</v>
      </c>
    </row>
    <row r="694" spans="1:10" x14ac:dyDescent="0.25">
      <c r="A694" t="s">
        <v>8</v>
      </c>
      <c r="B694" t="s">
        <v>1948</v>
      </c>
      <c r="C694" t="s">
        <v>1949</v>
      </c>
      <c r="D694">
        <v>1</v>
      </c>
      <c r="E694" t="s">
        <v>1514</v>
      </c>
      <c r="F694" t="s">
        <v>1515</v>
      </c>
      <c r="G694" s="1"/>
      <c r="H694" t="str">
        <f>"4010330661686"</f>
        <v>4010330661686</v>
      </c>
      <c r="J694" t="s">
        <v>1950</v>
      </c>
    </row>
    <row r="695" spans="1:10" x14ac:dyDescent="0.25">
      <c r="A695" t="s">
        <v>8</v>
      </c>
      <c r="B695" t="s">
        <v>1951</v>
      </c>
      <c r="C695" t="s">
        <v>1952</v>
      </c>
      <c r="D695">
        <v>1</v>
      </c>
      <c r="E695" t="s">
        <v>1514</v>
      </c>
      <c r="F695" t="s">
        <v>1515</v>
      </c>
      <c r="G695" s="1"/>
      <c r="H695" t="str">
        <f>"3250612531226"</f>
        <v>3250612531226</v>
      </c>
      <c r="J695" t="s">
        <v>1953</v>
      </c>
    </row>
    <row r="696" spans="1:10" x14ac:dyDescent="0.25">
      <c r="A696" t="s">
        <v>8</v>
      </c>
      <c r="B696" t="s">
        <v>1954</v>
      </c>
      <c r="C696" t="s">
        <v>1955</v>
      </c>
      <c r="D696">
        <v>1</v>
      </c>
      <c r="E696" t="s">
        <v>1514</v>
      </c>
      <c r="F696" t="s">
        <v>1515</v>
      </c>
      <c r="G696" s="1"/>
      <c r="H696" t="str">
        <f>"3250612531936"</f>
        <v>3250612531936</v>
      </c>
      <c r="J696" t="s">
        <v>1956</v>
      </c>
    </row>
    <row r="697" spans="1:10" x14ac:dyDescent="0.25">
      <c r="A697" t="s">
        <v>8</v>
      </c>
      <c r="B697" t="s">
        <v>1957</v>
      </c>
      <c r="C697" t="s">
        <v>1958</v>
      </c>
      <c r="D697">
        <v>1</v>
      </c>
      <c r="E697" t="s">
        <v>1514</v>
      </c>
      <c r="F697" t="s">
        <v>1515</v>
      </c>
      <c r="G697" s="1"/>
      <c r="H697" t="str">
        <f>"3250612533138"</f>
        <v>3250612533138</v>
      </c>
      <c r="J697" t="s">
        <v>1959</v>
      </c>
    </row>
    <row r="698" spans="1:10" x14ac:dyDescent="0.25">
      <c r="A698" t="s">
        <v>8</v>
      </c>
      <c r="B698" t="s">
        <v>1960</v>
      </c>
      <c r="C698" t="s">
        <v>1961</v>
      </c>
      <c r="D698">
        <v>1</v>
      </c>
      <c r="E698" t="s">
        <v>1514</v>
      </c>
      <c r="F698" t="s">
        <v>1515</v>
      </c>
      <c r="G698" s="1"/>
      <c r="H698" t="str">
        <f>"3250612533367"</f>
        <v>3250612533367</v>
      </c>
      <c r="J698" t="s">
        <v>1962</v>
      </c>
    </row>
    <row r="699" spans="1:10" x14ac:dyDescent="0.25">
      <c r="A699" t="s">
        <v>8</v>
      </c>
      <c r="B699" t="s">
        <v>1963</v>
      </c>
      <c r="C699" t="s">
        <v>1964</v>
      </c>
      <c r="D699">
        <v>1</v>
      </c>
      <c r="E699" t="s">
        <v>1514</v>
      </c>
      <c r="F699" t="s">
        <v>1515</v>
      </c>
      <c r="G699" s="1"/>
      <c r="H699" t="str">
        <f>"3250612533428"</f>
        <v>3250612533428</v>
      </c>
      <c r="J699" t="s">
        <v>1965</v>
      </c>
    </row>
    <row r="700" spans="1:10" x14ac:dyDescent="0.25">
      <c r="A700" t="s">
        <v>8</v>
      </c>
      <c r="B700" t="s">
        <v>1966</v>
      </c>
      <c r="C700" t="s">
        <v>1967</v>
      </c>
      <c r="D700">
        <v>1</v>
      </c>
      <c r="E700" t="s">
        <v>1514</v>
      </c>
      <c r="F700" t="s">
        <v>1515</v>
      </c>
      <c r="G700" s="1"/>
      <c r="H700" t="str">
        <f>"3250612534296"</f>
        <v>3250612534296</v>
      </c>
      <c r="J700" t="s">
        <v>1968</v>
      </c>
    </row>
    <row r="701" spans="1:10" x14ac:dyDescent="0.25">
      <c r="A701" t="s">
        <v>8</v>
      </c>
      <c r="B701" t="s">
        <v>1969</v>
      </c>
      <c r="C701" t="s">
        <v>1970</v>
      </c>
      <c r="D701">
        <v>1</v>
      </c>
      <c r="E701" t="s">
        <v>1514</v>
      </c>
      <c r="F701" t="s">
        <v>1515</v>
      </c>
      <c r="G701" s="1"/>
      <c r="H701" t="str">
        <f>"3250612536641"</f>
        <v>3250612536641</v>
      </c>
      <c r="J701" t="s">
        <v>1971</v>
      </c>
    </row>
    <row r="702" spans="1:10" x14ac:dyDescent="0.25">
      <c r="A702" t="s">
        <v>8</v>
      </c>
      <c r="B702" t="s">
        <v>1972</v>
      </c>
      <c r="C702" t="s">
        <v>1973</v>
      </c>
      <c r="D702">
        <v>1</v>
      </c>
      <c r="E702" t="s">
        <v>1514</v>
      </c>
      <c r="F702" t="s">
        <v>1515</v>
      </c>
      <c r="G702" s="1"/>
      <c r="H702" t="str">
        <f>"3250610671740"</f>
        <v>3250610671740</v>
      </c>
      <c r="J702" t="s">
        <v>1974</v>
      </c>
    </row>
    <row r="703" spans="1:10" x14ac:dyDescent="0.25">
      <c r="A703" t="s">
        <v>8</v>
      </c>
      <c r="B703" t="s">
        <v>1975</v>
      </c>
      <c r="C703" t="s">
        <v>1976</v>
      </c>
      <c r="D703">
        <v>1</v>
      </c>
      <c r="E703" t="s">
        <v>1514</v>
      </c>
      <c r="F703" t="s">
        <v>1515</v>
      </c>
      <c r="G703" s="1"/>
      <c r="H703" t="str">
        <f>"3250610671542"</f>
        <v>3250610671542</v>
      </c>
      <c r="J703" t="s">
        <v>1977</v>
      </c>
    </row>
    <row r="704" spans="1:10" x14ac:dyDescent="0.25">
      <c r="A704" t="s">
        <v>8</v>
      </c>
      <c r="B704" t="s">
        <v>1978</v>
      </c>
      <c r="C704" t="s">
        <v>1979</v>
      </c>
      <c r="D704">
        <v>1</v>
      </c>
      <c r="E704" t="s">
        <v>1514</v>
      </c>
      <c r="F704" t="s">
        <v>1515</v>
      </c>
      <c r="G704" s="1"/>
      <c r="H704" t="str">
        <f>"3250610671870"</f>
        <v>3250610671870</v>
      </c>
      <c r="J704" t="s">
        <v>1609</v>
      </c>
    </row>
    <row r="705" spans="1:10" x14ac:dyDescent="0.25">
      <c r="A705" t="s">
        <v>8</v>
      </c>
      <c r="B705" t="s">
        <v>1980</v>
      </c>
      <c r="C705" t="s">
        <v>1981</v>
      </c>
      <c r="D705">
        <v>1</v>
      </c>
      <c r="E705" t="s">
        <v>1514</v>
      </c>
      <c r="F705" t="s">
        <v>1515</v>
      </c>
      <c r="G705" s="1"/>
      <c r="H705" t="str">
        <f>"3250610672198"</f>
        <v>3250610672198</v>
      </c>
      <c r="J705" t="s">
        <v>1982</v>
      </c>
    </row>
    <row r="706" spans="1:10" x14ac:dyDescent="0.25">
      <c r="A706" t="s">
        <v>8</v>
      </c>
      <c r="B706" t="s">
        <v>1983</v>
      </c>
      <c r="C706" t="s">
        <v>1984</v>
      </c>
      <c r="D706">
        <v>1</v>
      </c>
      <c r="E706" t="s">
        <v>1514</v>
      </c>
      <c r="F706" t="s">
        <v>1515</v>
      </c>
      <c r="G706" s="1"/>
      <c r="H706" t="str">
        <f>"3250610673256"</f>
        <v>3250610673256</v>
      </c>
      <c r="J706" t="s">
        <v>1985</v>
      </c>
    </row>
    <row r="707" spans="1:10" x14ac:dyDescent="0.25">
      <c r="A707" t="s">
        <v>8</v>
      </c>
      <c r="B707" t="s">
        <v>1986</v>
      </c>
      <c r="C707" t="s">
        <v>1987</v>
      </c>
      <c r="D707">
        <v>1</v>
      </c>
      <c r="E707" t="s">
        <v>1514</v>
      </c>
      <c r="F707" t="s">
        <v>1515</v>
      </c>
      <c r="G707" s="1"/>
      <c r="H707" t="str">
        <f>"3250610673423"</f>
        <v>3250610673423</v>
      </c>
      <c r="J707" t="s">
        <v>1988</v>
      </c>
    </row>
    <row r="708" spans="1:10" x14ac:dyDescent="0.25">
      <c r="A708" t="s">
        <v>8</v>
      </c>
      <c r="B708" t="s">
        <v>1989</v>
      </c>
      <c r="C708" t="s">
        <v>1990</v>
      </c>
      <c r="D708">
        <v>1</v>
      </c>
      <c r="E708" t="s">
        <v>1514</v>
      </c>
      <c r="F708" t="s">
        <v>1515</v>
      </c>
      <c r="G708" s="1"/>
      <c r="H708" t="str">
        <f>"3250612634057"</f>
        <v>3250612634057</v>
      </c>
      <c r="J708" t="s">
        <v>1991</v>
      </c>
    </row>
    <row r="709" spans="1:10" x14ac:dyDescent="0.25">
      <c r="A709" t="s">
        <v>8</v>
      </c>
      <c r="B709" t="s">
        <v>1992</v>
      </c>
      <c r="C709" t="s">
        <v>1993</v>
      </c>
      <c r="D709">
        <v>1</v>
      </c>
      <c r="E709" t="s">
        <v>1514</v>
      </c>
      <c r="F709" t="s">
        <v>1515</v>
      </c>
      <c r="G709" s="1"/>
      <c r="H709" t="str">
        <f>"3250612634095"</f>
        <v>3250612634095</v>
      </c>
      <c r="J709" t="s">
        <v>1994</v>
      </c>
    </row>
    <row r="710" spans="1:10" x14ac:dyDescent="0.25">
      <c r="A710" t="s">
        <v>8</v>
      </c>
      <c r="B710" t="s">
        <v>1995</v>
      </c>
      <c r="C710" t="s">
        <v>1996</v>
      </c>
      <c r="D710">
        <v>1</v>
      </c>
      <c r="E710" t="s">
        <v>1514</v>
      </c>
      <c r="F710" t="s">
        <v>1515</v>
      </c>
      <c r="G710" s="1"/>
      <c r="H710" t="str">
        <f>"3250612634842"</f>
        <v>3250612634842</v>
      </c>
      <c r="J710" t="s">
        <v>1997</v>
      </c>
    </row>
    <row r="711" spans="1:10" x14ac:dyDescent="0.25">
      <c r="A711" t="s">
        <v>8</v>
      </c>
      <c r="B711" t="s">
        <v>1998</v>
      </c>
      <c r="C711" t="s">
        <v>1999</v>
      </c>
      <c r="D711">
        <v>1</v>
      </c>
      <c r="E711" t="s">
        <v>1514</v>
      </c>
      <c r="F711" t="s">
        <v>1515</v>
      </c>
      <c r="G711" s="1"/>
      <c r="H711" t="str">
        <f>"3250612635177"</f>
        <v>3250612635177</v>
      </c>
      <c r="J711" t="s">
        <v>2000</v>
      </c>
    </row>
    <row r="712" spans="1:10" x14ac:dyDescent="0.25">
      <c r="A712" t="s">
        <v>8</v>
      </c>
      <c r="B712" t="s">
        <v>2001</v>
      </c>
      <c r="C712" t="s">
        <v>2002</v>
      </c>
      <c r="D712">
        <v>1</v>
      </c>
      <c r="E712" t="s">
        <v>1514</v>
      </c>
      <c r="F712" t="s">
        <v>1515</v>
      </c>
      <c r="G712" s="1"/>
      <c r="H712" t="str">
        <f>"3250612635412"</f>
        <v>3250612635412</v>
      </c>
      <c r="J712" t="s">
        <v>2003</v>
      </c>
    </row>
    <row r="713" spans="1:10" x14ac:dyDescent="0.25">
      <c r="A713" t="s">
        <v>8</v>
      </c>
      <c r="B713" t="s">
        <v>2004</v>
      </c>
      <c r="C713" t="s">
        <v>2005</v>
      </c>
      <c r="D713">
        <v>1</v>
      </c>
      <c r="E713" t="s">
        <v>1514</v>
      </c>
      <c r="F713" t="s">
        <v>1515</v>
      </c>
      <c r="G713" s="1"/>
      <c r="H713" t="str">
        <f>"3250612649518"</f>
        <v>3250612649518</v>
      </c>
      <c r="I713" s="1"/>
      <c r="J713" t="s">
        <v>2006</v>
      </c>
    </row>
    <row r="714" spans="1:10" x14ac:dyDescent="0.25">
      <c r="A714" t="s">
        <v>8</v>
      </c>
      <c r="B714" t="s">
        <v>2007</v>
      </c>
      <c r="C714" t="s">
        <v>2008</v>
      </c>
      <c r="D714">
        <v>1</v>
      </c>
      <c r="E714" t="s">
        <v>1514</v>
      </c>
      <c r="F714" t="s">
        <v>1515</v>
      </c>
      <c r="G714" s="1"/>
      <c r="H714" t="str">
        <f>"3250612777273"</f>
        <v>3250612777273</v>
      </c>
      <c r="J714" t="s">
        <v>2009</v>
      </c>
    </row>
    <row r="715" spans="1:10" x14ac:dyDescent="0.25">
      <c r="A715" t="s">
        <v>8</v>
      </c>
      <c r="B715" t="s">
        <v>2010</v>
      </c>
      <c r="C715" t="s">
        <v>2011</v>
      </c>
      <c r="D715">
        <v>1</v>
      </c>
      <c r="E715" t="s">
        <v>1514</v>
      </c>
      <c r="F715" t="s">
        <v>1515</v>
      </c>
      <c r="G715" s="1"/>
      <c r="H715" t="str">
        <f>"3250612777877"</f>
        <v>3250612777877</v>
      </c>
      <c r="J715" t="s">
        <v>2012</v>
      </c>
    </row>
    <row r="716" spans="1:10" x14ac:dyDescent="0.25">
      <c r="A716" t="s">
        <v>8</v>
      </c>
      <c r="B716" t="s">
        <v>2013</v>
      </c>
      <c r="C716" t="s">
        <v>2014</v>
      </c>
      <c r="D716">
        <v>1</v>
      </c>
      <c r="E716" t="s">
        <v>1514</v>
      </c>
      <c r="F716" t="s">
        <v>1515</v>
      </c>
      <c r="G716" s="1"/>
      <c r="H716" t="str">
        <f>"3250612764044"</f>
        <v>3250612764044</v>
      </c>
      <c r="J716" t="s">
        <v>2015</v>
      </c>
    </row>
    <row r="717" spans="1:10" x14ac:dyDescent="0.25">
      <c r="A717" t="s">
        <v>8</v>
      </c>
      <c r="B717" t="s">
        <v>2016</v>
      </c>
      <c r="C717" t="s">
        <v>2017</v>
      </c>
      <c r="D717">
        <v>1</v>
      </c>
      <c r="E717" t="s">
        <v>1514</v>
      </c>
      <c r="F717" t="s">
        <v>1515</v>
      </c>
      <c r="G717" s="1"/>
      <c r="H717" t="str">
        <f>"3250612778041"</f>
        <v>3250612778041</v>
      </c>
      <c r="J717" t="s">
        <v>2018</v>
      </c>
    </row>
    <row r="718" spans="1:10" x14ac:dyDescent="0.25">
      <c r="A718" t="s">
        <v>8</v>
      </c>
      <c r="B718" t="s">
        <v>2019</v>
      </c>
      <c r="C718" t="s">
        <v>2020</v>
      </c>
      <c r="D718">
        <v>1</v>
      </c>
      <c r="E718" t="s">
        <v>1514</v>
      </c>
      <c r="F718" t="s">
        <v>1515</v>
      </c>
      <c r="G718" s="1"/>
      <c r="H718" t="str">
        <f>"3250612765089"</f>
        <v>3250612765089</v>
      </c>
      <c r="J718" t="s">
        <v>2021</v>
      </c>
    </row>
    <row r="719" spans="1:10" x14ac:dyDescent="0.25">
      <c r="A719" t="s">
        <v>8</v>
      </c>
      <c r="B719" t="s">
        <v>2022</v>
      </c>
      <c r="C719" t="s">
        <v>2023</v>
      </c>
      <c r="D719">
        <v>1</v>
      </c>
      <c r="E719" t="s">
        <v>1514</v>
      </c>
      <c r="F719" t="s">
        <v>1515</v>
      </c>
      <c r="G719" s="1"/>
      <c r="H719" t="str">
        <f>"3250612778546"</f>
        <v>3250612778546</v>
      </c>
      <c r="J719" t="s">
        <v>2024</v>
      </c>
    </row>
    <row r="720" spans="1:10" x14ac:dyDescent="0.25">
      <c r="A720" t="s">
        <v>8</v>
      </c>
      <c r="B720" t="s">
        <v>2025</v>
      </c>
      <c r="C720" t="s">
        <v>2026</v>
      </c>
      <c r="D720">
        <v>1</v>
      </c>
      <c r="E720" t="s">
        <v>1514</v>
      </c>
      <c r="F720" t="s">
        <v>1515</v>
      </c>
      <c r="G720" s="1"/>
      <c r="H720" t="str">
        <f>"3250616132887"</f>
        <v>3250616132887</v>
      </c>
      <c r="J720" t="s">
        <v>2027</v>
      </c>
    </row>
    <row r="721" spans="1:10" x14ac:dyDescent="0.25">
      <c r="A721" t="s">
        <v>8</v>
      </c>
      <c r="B721" t="s">
        <v>2028</v>
      </c>
      <c r="C721" t="s">
        <v>2029</v>
      </c>
      <c r="D721">
        <v>1</v>
      </c>
      <c r="E721" t="s">
        <v>1514</v>
      </c>
      <c r="F721" t="s">
        <v>1515</v>
      </c>
      <c r="G721" s="1"/>
      <c r="H721" t="str">
        <f>"3250616138216"</f>
        <v>3250616138216</v>
      </c>
      <c r="J721" t="s">
        <v>2030</v>
      </c>
    </row>
    <row r="722" spans="1:10" x14ac:dyDescent="0.25">
      <c r="A722" t="s">
        <v>8</v>
      </c>
      <c r="B722" t="s">
        <v>2031</v>
      </c>
      <c r="C722" t="s">
        <v>2032</v>
      </c>
      <c r="D722">
        <v>1</v>
      </c>
      <c r="E722" t="s">
        <v>1514</v>
      </c>
      <c r="F722" t="s">
        <v>1515</v>
      </c>
      <c r="G722" s="1"/>
      <c r="H722" t="str">
        <f>"3250616138773"</f>
        <v>3250616138773</v>
      </c>
      <c r="J722" t="s">
        <v>2033</v>
      </c>
    </row>
    <row r="723" spans="1:10" x14ac:dyDescent="0.25">
      <c r="A723" t="s">
        <v>8</v>
      </c>
      <c r="B723" t="s">
        <v>2034</v>
      </c>
      <c r="C723" t="s">
        <v>2035</v>
      </c>
      <c r="D723">
        <v>1</v>
      </c>
      <c r="E723" t="s">
        <v>1514</v>
      </c>
      <c r="F723" t="s">
        <v>1515</v>
      </c>
      <c r="G723" s="1"/>
      <c r="H723" t="str">
        <f>"3250616139725"</f>
        <v>3250616139725</v>
      </c>
      <c r="J723" t="s">
        <v>2036</v>
      </c>
    </row>
    <row r="724" spans="1:10" x14ac:dyDescent="0.25">
      <c r="A724" t="s">
        <v>8</v>
      </c>
      <c r="B724" t="s">
        <v>2037</v>
      </c>
      <c r="C724" t="s">
        <v>2038</v>
      </c>
      <c r="D724">
        <v>1</v>
      </c>
      <c r="E724" t="s">
        <v>1514</v>
      </c>
      <c r="F724" t="s">
        <v>1515</v>
      </c>
      <c r="G724" s="1"/>
      <c r="H724" t="str">
        <f>"3250616139909"</f>
        <v>3250616139909</v>
      </c>
      <c r="J724" t="s">
        <v>2039</v>
      </c>
    </row>
    <row r="725" spans="1:10" x14ac:dyDescent="0.25">
      <c r="A725" t="s">
        <v>8</v>
      </c>
      <c r="B725" t="s">
        <v>2040</v>
      </c>
      <c r="C725" t="s">
        <v>2041</v>
      </c>
      <c r="D725">
        <v>1</v>
      </c>
      <c r="E725" t="s">
        <v>1514</v>
      </c>
      <c r="F725" t="s">
        <v>1515</v>
      </c>
      <c r="G725" s="1"/>
      <c r="H725" t="str">
        <f>"3250616249974"</f>
        <v>3250616249974</v>
      </c>
      <c r="J725" t="s">
        <v>2042</v>
      </c>
    </row>
    <row r="726" spans="1:10" x14ac:dyDescent="0.25">
      <c r="A726" t="s">
        <v>8</v>
      </c>
      <c r="B726" t="s">
        <v>2043</v>
      </c>
      <c r="C726" t="s">
        <v>2044</v>
      </c>
      <c r="D726">
        <v>1</v>
      </c>
      <c r="E726" t="s">
        <v>1514</v>
      </c>
      <c r="F726" t="s">
        <v>1515</v>
      </c>
      <c r="G726" s="1"/>
      <c r="H726" t="str">
        <f>"3250616302365"</f>
        <v>3250616302365</v>
      </c>
      <c r="J726" t="s">
        <v>2046</v>
      </c>
    </row>
    <row r="727" spans="1:10" x14ac:dyDescent="0.25">
      <c r="A727" t="s">
        <v>8</v>
      </c>
      <c r="B727" t="s">
        <v>2047</v>
      </c>
      <c r="C727" t="s">
        <v>2048</v>
      </c>
      <c r="D727">
        <v>1</v>
      </c>
      <c r="E727" t="s">
        <v>1514</v>
      </c>
      <c r="F727" t="s">
        <v>1515</v>
      </c>
      <c r="G727" s="1"/>
      <c r="H727" t="str">
        <f>"3250616362321"</f>
        <v>3250616362321</v>
      </c>
      <c r="J727" t="s">
        <v>2049</v>
      </c>
    </row>
    <row r="728" spans="1:10" x14ac:dyDescent="0.25">
      <c r="A728" t="s">
        <v>8</v>
      </c>
      <c r="B728" t="s">
        <v>2050</v>
      </c>
      <c r="C728" t="s">
        <v>2051</v>
      </c>
      <c r="D728">
        <v>1</v>
      </c>
      <c r="E728" t="s">
        <v>1514</v>
      </c>
      <c r="F728" t="s">
        <v>1515</v>
      </c>
      <c r="G728" s="1"/>
      <c r="H728" t="str">
        <f>"3250610661673"</f>
        <v>3250610661673</v>
      </c>
      <c r="J728" t="s">
        <v>2052</v>
      </c>
    </row>
    <row r="729" spans="1:10" x14ac:dyDescent="0.25">
      <c r="A729" t="s">
        <v>8</v>
      </c>
      <c r="B729" t="s">
        <v>2053</v>
      </c>
      <c r="C729" t="s">
        <v>2054</v>
      </c>
      <c r="D729">
        <v>1</v>
      </c>
      <c r="E729" t="s">
        <v>1514</v>
      </c>
      <c r="F729" t="s">
        <v>1515</v>
      </c>
      <c r="G729" s="1"/>
      <c r="H729" t="str">
        <f>"3250612531219"</f>
        <v>3250612531219</v>
      </c>
      <c r="J729" t="s">
        <v>2055</v>
      </c>
    </row>
    <row r="730" spans="1:10" x14ac:dyDescent="0.25">
      <c r="A730" t="s">
        <v>8</v>
      </c>
      <c r="B730" t="s">
        <v>2056</v>
      </c>
      <c r="C730" t="s">
        <v>2057</v>
      </c>
      <c r="D730">
        <v>1</v>
      </c>
      <c r="E730" t="s">
        <v>1514</v>
      </c>
      <c r="F730" t="s">
        <v>1515</v>
      </c>
      <c r="G730" s="1"/>
      <c r="H730" t="str">
        <f>"3250612533121"</f>
        <v>3250612533121</v>
      </c>
      <c r="J730" t="s">
        <v>2058</v>
      </c>
    </row>
    <row r="731" spans="1:10" x14ac:dyDescent="0.25">
      <c r="A731" t="s">
        <v>8</v>
      </c>
      <c r="B731" t="s">
        <v>2059</v>
      </c>
      <c r="C731" t="s">
        <v>2060</v>
      </c>
      <c r="D731">
        <v>1</v>
      </c>
      <c r="E731" t="s">
        <v>1514</v>
      </c>
      <c r="F731" t="s">
        <v>1515</v>
      </c>
      <c r="G731" s="1"/>
      <c r="H731" t="str">
        <f>"3250612533350"</f>
        <v>3250612533350</v>
      </c>
      <c r="J731" t="s">
        <v>2061</v>
      </c>
    </row>
    <row r="732" spans="1:10" x14ac:dyDescent="0.25">
      <c r="A732" t="s">
        <v>8</v>
      </c>
      <c r="B732" t="s">
        <v>2062</v>
      </c>
      <c r="C732" t="s">
        <v>2063</v>
      </c>
      <c r="D732">
        <v>1</v>
      </c>
      <c r="E732" t="s">
        <v>1514</v>
      </c>
      <c r="F732" t="s">
        <v>1515</v>
      </c>
      <c r="G732" s="1"/>
      <c r="H732" t="str">
        <f>"3250612533411"</f>
        <v>3250612533411</v>
      </c>
      <c r="J732" t="s">
        <v>2064</v>
      </c>
    </row>
    <row r="733" spans="1:10" x14ac:dyDescent="0.25">
      <c r="A733" t="s">
        <v>8</v>
      </c>
      <c r="B733" t="s">
        <v>2065</v>
      </c>
      <c r="C733" t="s">
        <v>2066</v>
      </c>
      <c r="D733">
        <v>1</v>
      </c>
      <c r="E733" t="s">
        <v>1514</v>
      </c>
      <c r="F733" t="s">
        <v>1515</v>
      </c>
      <c r="G733" s="1"/>
      <c r="H733" t="str">
        <f>"3250619272245"</f>
        <v>3250619272245</v>
      </c>
      <c r="J733" t="s">
        <v>2067</v>
      </c>
    </row>
    <row r="734" spans="1:10" x14ac:dyDescent="0.25">
      <c r="A734" t="s">
        <v>8</v>
      </c>
      <c r="B734" t="s">
        <v>2068</v>
      </c>
      <c r="C734" t="s">
        <v>2069</v>
      </c>
      <c r="D734">
        <v>1</v>
      </c>
      <c r="E734" t="s">
        <v>1514</v>
      </c>
      <c r="F734" t="s">
        <v>1515</v>
      </c>
      <c r="G734" s="1"/>
      <c r="H734" t="str">
        <f>"3250610674567"</f>
        <v>3250610674567</v>
      </c>
      <c r="J734" t="s">
        <v>2070</v>
      </c>
    </row>
    <row r="735" spans="1:10" x14ac:dyDescent="0.25">
      <c r="A735" t="s">
        <v>8</v>
      </c>
      <c r="B735" t="s">
        <v>2071</v>
      </c>
      <c r="C735" t="s">
        <v>2072</v>
      </c>
      <c r="D735">
        <v>1</v>
      </c>
      <c r="E735" t="s">
        <v>1514</v>
      </c>
      <c r="F735" t="s">
        <v>1515</v>
      </c>
      <c r="G735" s="1"/>
      <c r="H735" t="str">
        <f>"3250610673720"</f>
        <v>3250610673720</v>
      </c>
      <c r="J735" t="s">
        <v>2073</v>
      </c>
    </row>
    <row r="736" spans="1:10" x14ac:dyDescent="0.25">
      <c r="A736" t="s">
        <v>8</v>
      </c>
      <c r="B736" t="s">
        <v>2074</v>
      </c>
      <c r="C736" t="s">
        <v>2075</v>
      </c>
      <c r="D736">
        <v>1</v>
      </c>
      <c r="E736" t="s">
        <v>1514</v>
      </c>
      <c r="F736" t="s">
        <v>1515</v>
      </c>
      <c r="G736" s="1"/>
      <c r="H736" t="str">
        <f>"3250610671863"</f>
        <v>3250610671863</v>
      </c>
      <c r="J736" t="s">
        <v>1697</v>
      </c>
    </row>
    <row r="737" spans="1:10" x14ac:dyDescent="0.25">
      <c r="A737" t="s">
        <v>8</v>
      </c>
      <c r="B737" t="s">
        <v>2076</v>
      </c>
      <c r="C737" t="s">
        <v>2077</v>
      </c>
      <c r="D737">
        <v>1</v>
      </c>
      <c r="E737" t="s">
        <v>1514</v>
      </c>
      <c r="F737" t="s">
        <v>1515</v>
      </c>
      <c r="G737" s="1"/>
      <c r="H737" t="str">
        <f>"3250610672181"</f>
        <v>3250610672181</v>
      </c>
      <c r="J737" t="s">
        <v>1982</v>
      </c>
    </row>
    <row r="738" spans="1:10" x14ac:dyDescent="0.25">
      <c r="A738" t="s">
        <v>8</v>
      </c>
      <c r="B738" t="s">
        <v>2078</v>
      </c>
      <c r="C738" t="s">
        <v>2079</v>
      </c>
      <c r="D738">
        <v>1</v>
      </c>
      <c r="E738" t="s">
        <v>1514</v>
      </c>
      <c r="F738" t="s">
        <v>1515</v>
      </c>
      <c r="G738" s="1"/>
      <c r="H738" t="str">
        <f>"3250610673324"</f>
        <v>3250610673324</v>
      </c>
      <c r="J738" t="s">
        <v>2080</v>
      </c>
    </row>
    <row r="739" spans="1:10" x14ac:dyDescent="0.25">
      <c r="A739" t="s">
        <v>8</v>
      </c>
      <c r="B739" t="s">
        <v>2081</v>
      </c>
      <c r="C739" t="s">
        <v>2082</v>
      </c>
      <c r="D739">
        <v>1</v>
      </c>
      <c r="E739" t="s">
        <v>1514</v>
      </c>
      <c r="F739" t="s">
        <v>1515</v>
      </c>
      <c r="G739" s="1"/>
      <c r="H739" t="str">
        <f>"3250612634040"</f>
        <v>3250612634040</v>
      </c>
      <c r="J739" t="s">
        <v>2083</v>
      </c>
    </row>
    <row r="740" spans="1:10" x14ac:dyDescent="0.25">
      <c r="A740" t="s">
        <v>8</v>
      </c>
      <c r="B740" t="s">
        <v>2084</v>
      </c>
      <c r="C740" t="s">
        <v>2085</v>
      </c>
      <c r="D740">
        <v>1</v>
      </c>
      <c r="E740" t="s">
        <v>1514</v>
      </c>
      <c r="F740" t="s">
        <v>1515</v>
      </c>
      <c r="G740" s="1"/>
      <c r="H740" t="str">
        <f>"3250612634088"</f>
        <v>3250612634088</v>
      </c>
      <c r="J740" t="s">
        <v>2086</v>
      </c>
    </row>
    <row r="741" spans="1:10" x14ac:dyDescent="0.25">
      <c r="A741" t="s">
        <v>8</v>
      </c>
      <c r="B741" t="s">
        <v>2087</v>
      </c>
      <c r="C741" t="s">
        <v>2088</v>
      </c>
      <c r="D741">
        <v>1</v>
      </c>
      <c r="E741" t="s">
        <v>1514</v>
      </c>
      <c r="F741" t="s">
        <v>1515</v>
      </c>
      <c r="G741" s="1"/>
      <c r="H741" t="str">
        <f>"3250612635344"</f>
        <v>3250612635344</v>
      </c>
      <c r="J741" t="s">
        <v>2089</v>
      </c>
    </row>
    <row r="742" spans="1:10" x14ac:dyDescent="0.25">
      <c r="A742" t="s">
        <v>8</v>
      </c>
      <c r="B742" t="s">
        <v>2090</v>
      </c>
      <c r="C742" t="s">
        <v>2091</v>
      </c>
      <c r="D742">
        <v>1</v>
      </c>
      <c r="E742" t="s">
        <v>1514</v>
      </c>
      <c r="F742" t="s">
        <v>1515</v>
      </c>
      <c r="G742" s="1"/>
      <c r="H742" t="str">
        <f>"3250612635405"</f>
        <v>3250612635405</v>
      </c>
      <c r="J742" t="s">
        <v>2092</v>
      </c>
    </row>
    <row r="743" spans="1:10" x14ac:dyDescent="0.25">
      <c r="A743" t="s">
        <v>8</v>
      </c>
      <c r="B743" t="s">
        <v>2093</v>
      </c>
      <c r="C743" t="s">
        <v>2094</v>
      </c>
      <c r="D743">
        <v>1</v>
      </c>
      <c r="E743" t="s">
        <v>1514</v>
      </c>
      <c r="F743" t="s">
        <v>1515</v>
      </c>
      <c r="G743" s="1"/>
      <c r="H743" t="str">
        <f>"3250612635689"</f>
        <v>3250612635689</v>
      </c>
      <c r="J743" t="s">
        <v>2095</v>
      </c>
    </row>
    <row r="744" spans="1:10" x14ac:dyDescent="0.25">
      <c r="A744" t="s">
        <v>8</v>
      </c>
      <c r="B744" t="s">
        <v>2096</v>
      </c>
      <c r="C744" t="s">
        <v>2097</v>
      </c>
      <c r="D744">
        <v>1</v>
      </c>
      <c r="E744" t="s">
        <v>1514</v>
      </c>
      <c r="F744" t="s">
        <v>1515</v>
      </c>
      <c r="G744" s="1"/>
      <c r="H744" t="str">
        <f>"3250612636532"</f>
        <v>3250612636532</v>
      </c>
      <c r="J744" t="s">
        <v>2098</v>
      </c>
    </row>
    <row r="745" spans="1:10" x14ac:dyDescent="0.25">
      <c r="A745" t="s">
        <v>8</v>
      </c>
      <c r="B745" t="s">
        <v>2099</v>
      </c>
      <c r="C745" t="s">
        <v>2100</v>
      </c>
      <c r="D745">
        <v>1</v>
      </c>
      <c r="E745" t="s">
        <v>1514</v>
      </c>
      <c r="F745" t="s">
        <v>1515</v>
      </c>
      <c r="G745" s="1"/>
      <c r="H745" t="str">
        <f>"3250612649501"</f>
        <v>3250612649501</v>
      </c>
      <c r="J745" t="s">
        <v>2101</v>
      </c>
    </row>
    <row r="746" spans="1:10" x14ac:dyDescent="0.25">
      <c r="A746" t="s">
        <v>8</v>
      </c>
      <c r="B746" t="s">
        <v>2102</v>
      </c>
      <c r="C746" t="s">
        <v>2103</v>
      </c>
      <c r="D746">
        <v>1</v>
      </c>
      <c r="E746" t="s">
        <v>1514</v>
      </c>
      <c r="F746" t="s">
        <v>1515</v>
      </c>
      <c r="G746" s="1"/>
      <c r="H746" t="str">
        <f>"3250612777037"</f>
        <v>3250612777037</v>
      </c>
      <c r="J746" t="s">
        <v>2104</v>
      </c>
    </row>
    <row r="747" spans="1:10" x14ac:dyDescent="0.25">
      <c r="A747" t="s">
        <v>8</v>
      </c>
      <c r="B747" t="s">
        <v>2105</v>
      </c>
      <c r="C747" t="s">
        <v>2106</v>
      </c>
      <c r="D747">
        <v>1</v>
      </c>
      <c r="E747" t="s">
        <v>1514</v>
      </c>
      <c r="F747" t="s">
        <v>1515</v>
      </c>
      <c r="G747" s="1"/>
      <c r="H747" t="str">
        <f>"3250612778102"</f>
        <v>3250612778102</v>
      </c>
      <c r="J747" t="s">
        <v>2107</v>
      </c>
    </row>
    <row r="748" spans="1:10" x14ac:dyDescent="0.25">
      <c r="A748" t="s">
        <v>8</v>
      </c>
      <c r="B748" t="s">
        <v>2108</v>
      </c>
      <c r="C748" t="s">
        <v>2109</v>
      </c>
      <c r="D748">
        <v>1</v>
      </c>
      <c r="E748" t="s">
        <v>1514</v>
      </c>
      <c r="F748" t="s">
        <v>1515</v>
      </c>
      <c r="G748" s="1"/>
      <c r="H748" t="str">
        <f>"3250612765072"</f>
        <v>3250612765072</v>
      </c>
      <c r="J748" t="s">
        <v>2110</v>
      </c>
    </row>
    <row r="749" spans="1:10" x14ac:dyDescent="0.25">
      <c r="A749" t="s">
        <v>8</v>
      </c>
      <c r="B749" t="s">
        <v>2111</v>
      </c>
      <c r="C749" t="s">
        <v>2112</v>
      </c>
      <c r="D749">
        <v>1</v>
      </c>
      <c r="E749" t="s">
        <v>1514</v>
      </c>
      <c r="F749" t="s">
        <v>1515</v>
      </c>
      <c r="G749" s="1"/>
      <c r="H749" t="str">
        <f>"3250612778492"</f>
        <v>3250612778492</v>
      </c>
      <c r="J749" t="s">
        <v>2113</v>
      </c>
    </row>
    <row r="750" spans="1:10" x14ac:dyDescent="0.25">
      <c r="A750" t="s">
        <v>8</v>
      </c>
      <c r="B750" t="s">
        <v>2114</v>
      </c>
      <c r="C750" t="s">
        <v>2115</v>
      </c>
      <c r="D750">
        <v>1</v>
      </c>
      <c r="E750" t="s">
        <v>1514</v>
      </c>
      <c r="F750" t="s">
        <v>1515</v>
      </c>
      <c r="G750" s="1"/>
      <c r="H750" t="str">
        <f>"3250612779178"</f>
        <v>3250612779178</v>
      </c>
      <c r="J750" t="s">
        <v>2116</v>
      </c>
    </row>
    <row r="751" spans="1:10" x14ac:dyDescent="0.25">
      <c r="A751" t="s">
        <v>8</v>
      </c>
      <c r="B751" t="s">
        <v>2117</v>
      </c>
      <c r="C751" t="s">
        <v>2118</v>
      </c>
      <c r="D751">
        <v>1</v>
      </c>
      <c r="E751" t="s">
        <v>1514</v>
      </c>
      <c r="F751" t="s">
        <v>1515</v>
      </c>
      <c r="G751" s="1"/>
      <c r="H751" t="str">
        <f>"3250616138209"</f>
        <v>3250616138209</v>
      </c>
      <c r="J751" t="s">
        <v>2119</v>
      </c>
    </row>
    <row r="752" spans="1:10" x14ac:dyDescent="0.25">
      <c r="A752" t="s">
        <v>8</v>
      </c>
      <c r="B752" t="s">
        <v>2120</v>
      </c>
      <c r="C752" t="s">
        <v>2121</v>
      </c>
      <c r="D752">
        <v>1</v>
      </c>
      <c r="E752" t="s">
        <v>1514</v>
      </c>
      <c r="F752" t="s">
        <v>1515</v>
      </c>
      <c r="G752" s="1"/>
      <c r="H752" t="str">
        <f>"3250616138681"</f>
        <v>3250616138681</v>
      </c>
      <c r="J752" t="s">
        <v>2122</v>
      </c>
    </row>
    <row r="753" spans="1:10" x14ac:dyDescent="0.25">
      <c r="A753" t="s">
        <v>8</v>
      </c>
      <c r="B753" t="s">
        <v>2123</v>
      </c>
      <c r="C753" t="s">
        <v>2124</v>
      </c>
      <c r="D753">
        <v>1</v>
      </c>
      <c r="E753" t="s">
        <v>1514</v>
      </c>
      <c r="F753" t="s">
        <v>1515</v>
      </c>
      <c r="G753" s="1"/>
      <c r="H753" t="str">
        <f>"3250616139718"</f>
        <v>3250616139718</v>
      </c>
      <c r="J753" t="s">
        <v>2125</v>
      </c>
    </row>
    <row r="754" spans="1:10" x14ac:dyDescent="0.25">
      <c r="A754" t="s">
        <v>8</v>
      </c>
      <c r="B754" t="s">
        <v>2126</v>
      </c>
      <c r="C754" t="s">
        <v>2127</v>
      </c>
      <c r="D754">
        <v>1</v>
      </c>
      <c r="E754" t="s">
        <v>1514</v>
      </c>
      <c r="F754" t="s">
        <v>1515</v>
      </c>
      <c r="G754" s="1"/>
      <c r="H754" t="str">
        <f>"3250616240018"</f>
        <v>3250616240018</v>
      </c>
      <c r="J754" t="s">
        <v>2128</v>
      </c>
    </row>
    <row r="755" spans="1:10" x14ac:dyDescent="0.25">
      <c r="A755" t="s">
        <v>8</v>
      </c>
      <c r="B755" t="s">
        <v>2129</v>
      </c>
      <c r="C755" t="s">
        <v>2130</v>
      </c>
      <c r="D755">
        <v>1</v>
      </c>
      <c r="E755" t="s">
        <v>1514</v>
      </c>
      <c r="F755" t="s">
        <v>1515</v>
      </c>
      <c r="G755" s="1"/>
      <c r="H755" t="str">
        <f>"3250616240063"</f>
        <v>3250616240063</v>
      </c>
      <c r="J755" t="s">
        <v>2131</v>
      </c>
    </row>
    <row r="756" spans="1:10" x14ac:dyDescent="0.25">
      <c r="A756" t="s">
        <v>8</v>
      </c>
      <c r="B756" t="s">
        <v>2132</v>
      </c>
      <c r="C756" t="s">
        <v>2133</v>
      </c>
      <c r="D756">
        <v>1</v>
      </c>
      <c r="E756" t="s">
        <v>1514</v>
      </c>
      <c r="F756" t="s">
        <v>1515</v>
      </c>
      <c r="G756" s="1"/>
      <c r="H756" t="str">
        <f>"3250616300989"</f>
        <v>3250616300989</v>
      </c>
      <c r="J756" t="s">
        <v>2134</v>
      </c>
    </row>
    <row r="757" spans="1:10" x14ac:dyDescent="0.25">
      <c r="A757" t="s">
        <v>8</v>
      </c>
      <c r="B757" t="s">
        <v>2135</v>
      </c>
      <c r="C757" t="s">
        <v>2136</v>
      </c>
      <c r="D757">
        <v>1</v>
      </c>
      <c r="E757" t="s">
        <v>1514</v>
      </c>
      <c r="F757" t="s">
        <v>1515</v>
      </c>
      <c r="G757" s="1"/>
      <c r="H757" t="str">
        <f>"3250616365858"</f>
        <v>3250616365858</v>
      </c>
      <c r="J757" t="s">
        <v>2137</v>
      </c>
    </row>
    <row r="758" spans="1:10" x14ac:dyDescent="0.25">
      <c r="A758" t="s">
        <v>8</v>
      </c>
      <c r="B758" t="s">
        <v>2138</v>
      </c>
      <c r="C758" t="s">
        <v>2139</v>
      </c>
      <c r="D758">
        <v>1</v>
      </c>
      <c r="E758" t="s">
        <v>1514</v>
      </c>
      <c r="F758" t="s">
        <v>1515</v>
      </c>
      <c r="G758" s="1"/>
      <c r="H758" t="str">
        <f>"3250610662229"</f>
        <v>3250610662229</v>
      </c>
      <c r="J758" t="s">
        <v>2140</v>
      </c>
    </row>
    <row r="759" spans="1:10" x14ac:dyDescent="0.25">
      <c r="A759" t="s">
        <v>8</v>
      </c>
      <c r="B759" t="s">
        <v>2141</v>
      </c>
      <c r="C759" t="s">
        <v>2142</v>
      </c>
      <c r="D759">
        <v>1</v>
      </c>
      <c r="E759" t="s">
        <v>1514</v>
      </c>
      <c r="F759" t="s">
        <v>1515</v>
      </c>
      <c r="G759" s="1"/>
      <c r="H759" t="str">
        <f>"3250612531202"</f>
        <v>3250612531202</v>
      </c>
      <c r="J759" t="s">
        <v>2143</v>
      </c>
    </row>
    <row r="760" spans="1:10" x14ac:dyDescent="0.25">
      <c r="A760" t="s">
        <v>8</v>
      </c>
      <c r="B760" t="s">
        <v>2144</v>
      </c>
      <c r="C760" t="s">
        <v>2145</v>
      </c>
      <c r="D760">
        <v>1</v>
      </c>
      <c r="E760" t="s">
        <v>1514</v>
      </c>
      <c r="F760" t="s">
        <v>1515</v>
      </c>
      <c r="G760" s="1"/>
      <c r="H760" t="str">
        <f>"3250612533114"</f>
        <v>3250612533114</v>
      </c>
      <c r="J760" t="s">
        <v>2146</v>
      </c>
    </row>
    <row r="761" spans="1:10" x14ac:dyDescent="0.25">
      <c r="A761" t="s">
        <v>8</v>
      </c>
      <c r="B761" t="s">
        <v>2147</v>
      </c>
      <c r="C761" t="s">
        <v>2148</v>
      </c>
      <c r="D761">
        <v>1</v>
      </c>
      <c r="E761" t="s">
        <v>1514</v>
      </c>
      <c r="F761" t="s">
        <v>1515</v>
      </c>
      <c r="G761" s="1"/>
      <c r="H761" t="str">
        <f>"3250612533343"</f>
        <v>3250612533343</v>
      </c>
      <c r="J761" t="s">
        <v>2149</v>
      </c>
    </row>
    <row r="762" spans="1:10" x14ac:dyDescent="0.25">
      <c r="A762" t="s">
        <v>8</v>
      </c>
      <c r="B762" t="s">
        <v>2150</v>
      </c>
      <c r="C762" t="s">
        <v>2151</v>
      </c>
      <c r="D762">
        <v>1</v>
      </c>
      <c r="E762" t="s">
        <v>1514</v>
      </c>
      <c r="F762" t="s">
        <v>1515</v>
      </c>
      <c r="G762" s="1"/>
      <c r="H762" t="str">
        <f>"3250612533480"</f>
        <v>3250612533480</v>
      </c>
      <c r="J762" t="s">
        <v>2152</v>
      </c>
    </row>
    <row r="763" spans="1:10" x14ac:dyDescent="0.25">
      <c r="A763" t="s">
        <v>8</v>
      </c>
      <c r="B763" t="s">
        <v>2153</v>
      </c>
      <c r="C763" t="s">
        <v>2154</v>
      </c>
      <c r="D763">
        <v>1</v>
      </c>
      <c r="E763" t="s">
        <v>1514</v>
      </c>
      <c r="F763" t="s">
        <v>1515</v>
      </c>
      <c r="G763" s="1"/>
      <c r="H763" t="str">
        <f>"3250619272207"</f>
        <v>3250619272207</v>
      </c>
      <c r="J763" t="s">
        <v>2156</v>
      </c>
    </row>
    <row r="764" spans="1:10" x14ac:dyDescent="0.25">
      <c r="A764" t="s">
        <v>8</v>
      </c>
      <c r="B764" t="s">
        <v>2157</v>
      </c>
      <c r="C764" t="s">
        <v>2158</v>
      </c>
      <c r="D764">
        <v>1</v>
      </c>
      <c r="E764" t="s">
        <v>1514</v>
      </c>
      <c r="F764" t="s">
        <v>1515</v>
      </c>
      <c r="G764" s="1"/>
      <c r="H764" t="str">
        <f>"3250610671436"</f>
        <v>3250610671436</v>
      </c>
      <c r="J764" t="s">
        <v>2159</v>
      </c>
    </row>
    <row r="765" spans="1:10" x14ac:dyDescent="0.25">
      <c r="A765" t="s">
        <v>8</v>
      </c>
      <c r="B765" t="s">
        <v>2160</v>
      </c>
      <c r="C765" t="s">
        <v>2161</v>
      </c>
      <c r="D765">
        <v>1</v>
      </c>
      <c r="E765" t="s">
        <v>1514</v>
      </c>
      <c r="F765" t="s">
        <v>1515</v>
      </c>
      <c r="G765" s="1"/>
      <c r="H765" t="str">
        <f>"3250610674543"</f>
        <v>3250610674543</v>
      </c>
      <c r="J765" t="s">
        <v>2162</v>
      </c>
    </row>
    <row r="766" spans="1:10" x14ac:dyDescent="0.25">
      <c r="A766" t="s">
        <v>8</v>
      </c>
      <c r="B766" t="s">
        <v>2163</v>
      </c>
      <c r="C766" t="s">
        <v>2164</v>
      </c>
      <c r="D766">
        <v>1</v>
      </c>
      <c r="E766" t="s">
        <v>1514</v>
      </c>
      <c r="F766" t="s">
        <v>1515</v>
      </c>
      <c r="G766" s="1"/>
      <c r="H766" t="str">
        <f>"3250610673713"</f>
        <v>3250610673713</v>
      </c>
      <c r="J766" t="s">
        <v>1534</v>
      </c>
    </row>
    <row r="767" spans="1:10" x14ac:dyDescent="0.25">
      <c r="A767" t="s">
        <v>8</v>
      </c>
      <c r="B767" t="s">
        <v>2165</v>
      </c>
      <c r="C767" t="s">
        <v>2166</v>
      </c>
      <c r="D767">
        <v>1</v>
      </c>
      <c r="E767" t="s">
        <v>1514</v>
      </c>
      <c r="F767" t="s">
        <v>1515</v>
      </c>
      <c r="G767" s="1"/>
      <c r="H767" t="str">
        <f>"4012740673334"</f>
        <v>4012740673334</v>
      </c>
      <c r="J767" t="s">
        <v>2167</v>
      </c>
    </row>
    <row r="768" spans="1:10" x14ac:dyDescent="0.25">
      <c r="A768" t="s">
        <v>8</v>
      </c>
      <c r="B768" t="s">
        <v>2168</v>
      </c>
      <c r="C768" t="s">
        <v>2169</v>
      </c>
      <c r="D768">
        <v>1</v>
      </c>
      <c r="E768" t="s">
        <v>1514</v>
      </c>
      <c r="F768" t="s">
        <v>1515</v>
      </c>
      <c r="G768" s="1"/>
      <c r="H768" t="str">
        <f>"3250610672303"</f>
        <v>3250610672303</v>
      </c>
      <c r="J768" t="s">
        <v>1618</v>
      </c>
    </row>
    <row r="769" spans="1:10" x14ac:dyDescent="0.25">
      <c r="A769" t="s">
        <v>8</v>
      </c>
      <c r="B769" t="s">
        <v>2170</v>
      </c>
      <c r="C769" t="s">
        <v>2171</v>
      </c>
      <c r="D769">
        <v>1</v>
      </c>
      <c r="E769" t="s">
        <v>1514</v>
      </c>
      <c r="F769" t="s">
        <v>1515</v>
      </c>
      <c r="G769" s="1"/>
      <c r="H769" t="str">
        <f>"3250610673317"</f>
        <v>3250610673317</v>
      </c>
      <c r="J769" t="s">
        <v>2172</v>
      </c>
    </row>
    <row r="770" spans="1:10" x14ac:dyDescent="0.25">
      <c r="A770" t="s">
        <v>8</v>
      </c>
      <c r="B770" t="s">
        <v>2173</v>
      </c>
      <c r="C770" t="s">
        <v>2174</v>
      </c>
      <c r="D770">
        <v>1</v>
      </c>
      <c r="E770" t="s">
        <v>1514</v>
      </c>
      <c r="F770" t="s">
        <v>1515</v>
      </c>
      <c r="G770" s="1"/>
      <c r="H770" t="str">
        <f>"3250612634033"</f>
        <v>3250612634033</v>
      </c>
      <c r="J770" t="s">
        <v>2175</v>
      </c>
    </row>
    <row r="771" spans="1:10" x14ac:dyDescent="0.25">
      <c r="A771" t="s">
        <v>8</v>
      </c>
      <c r="B771" t="s">
        <v>2176</v>
      </c>
      <c r="C771" t="s">
        <v>2177</v>
      </c>
      <c r="D771">
        <v>1</v>
      </c>
      <c r="E771" t="s">
        <v>1514</v>
      </c>
      <c r="F771" t="s">
        <v>1515</v>
      </c>
      <c r="G771" s="1"/>
      <c r="H771" t="str">
        <f>"3250612634071"</f>
        <v>3250612634071</v>
      </c>
      <c r="J771" t="s">
        <v>2178</v>
      </c>
    </row>
    <row r="772" spans="1:10" x14ac:dyDescent="0.25">
      <c r="A772" t="s">
        <v>8</v>
      </c>
      <c r="B772" t="s">
        <v>2179</v>
      </c>
      <c r="C772" t="s">
        <v>2180</v>
      </c>
      <c r="D772">
        <v>1</v>
      </c>
      <c r="E772" t="s">
        <v>1514</v>
      </c>
      <c r="F772" t="s">
        <v>1515</v>
      </c>
      <c r="G772" s="1"/>
      <c r="H772" t="str">
        <f>"3250612635337"</f>
        <v>3250612635337</v>
      </c>
      <c r="J772" t="s">
        <v>2181</v>
      </c>
    </row>
    <row r="773" spans="1:10" x14ac:dyDescent="0.25">
      <c r="A773" t="s">
        <v>8</v>
      </c>
      <c r="B773" t="s">
        <v>2182</v>
      </c>
      <c r="C773" t="s">
        <v>2183</v>
      </c>
      <c r="D773">
        <v>1</v>
      </c>
      <c r="E773" t="s">
        <v>1514</v>
      </c>
      <c r="F773" t="s">
        <v>1515</v>
      </c>
      <c r="G773" s="1"/>
      <c r="H773" t="str">
        <f>"3250612635399"</f>
        <v>3250612635399</v>
      </c>
      <c r="J773" t="s">
        <v>2184</v>
      </c>
    </row>
    <row r="774" spans="1:10" x14ac:dyDescent="0.25">
      <c r="A774" t="s">
        <v>8</v>
      </c>
      <c r="B774" t="s">
        <v>2185</v>
      </c>
      <c r="C774" t="s">
        <v>2186</v>
      </c>
      <c r="D774">
        <v>1</v>
      </c>
      <c r="E774" t="s">
        <v>1514</v>
      </c>
      <c r="F774" t="s">
        <v>1515</v>
      </c>
      <c r="G774" s="1"/>
      <c r="H774" t="str">
        <f>"3250612635672"</f>
        <v>3250612635672</v>
      </c>
      <c r="J774" t="s">
        <v>2187</v>
      </c>
    </row>
    <row r="775" spans="1:10" x14ac:dyDescent="0.25">
      <c r="A775" t="s">
        <v>8</v>
      </c>
      <c r="B775" t="s">
        <v>2188</v>
      </c>
      <c r="C775" t="s">
        <v>2189</v>
      </c>
      <c r="D775">
        <v>1</v>
      </c>
      <c r="E775" t="s">
        <v>1514</v>
      </c>
      <c r="F775" t="s">
        <v>1515</v>
      </c>
      <c r="G775" s="1"/>
      <c r="H775" t="str">
        <f>"3250612777785"</f>
        <v>3250612777785</v>
      </c>
      <c r="J775" t="s">
        <v>2190</v>
      </c>
    </row>
    <row r="776" spans="1:10" x14ac:dyDescent="0.25">
      <c r="A776" t="s">
        <v>8</v>
      </c>
      <c r="B776" t="s">
        <v>2191</v>
      </c>
      <c r="C776" t="s">
        <v>2192</v>
      </c>
      <c r="D776">
        <v>1</v>
      </c>
      <c r="E776" t="s">
        <v>1514</v>
      </c>
      <c r="F776" t="s">
        <v>1515</v>
      </c>
      <c r="G776" s="1"/>
      <c r="H776" t="str">
        <f>"3250612779086"</f>
        <v>3250612779086</v>
      </c>
      <c r="J776" t="s">
        <v>1730</v>
      </c>
    </row>
    <row r="777" spans="1:10" x14ac:dyDescent="0.25">
      <c r="A777" t="s">
        <v>8</v>
      </c>
      <c r="B777" t="s">
        <v>2193</v>
      </c>
      <c r="C777" t="s">
        <v>2194</v>
      </c>
      <c r="D777">
        <v>1</v>
      </c>
      <c r="E777" t="s">
        <v>1514</v>
      </c>
      <c r="F777" t="s">
        <v>1515</v>
      </c>
      <c r="G777" s="1"/>
      <c r="H777" t="str">
        <f>"3250612779109"</f>
        <v>3250612779109</v>
      </c>
      <c r="J777" t="s">
        <v>1730</v>
      </c>
    </row>
    <row r="778" spans="1:10" x14ac:dyDescent="0.25">
      <c r="A778" t="s">
        <v>8</v>
      </c>
      <c r="B778" t="s">
        <v>2195</v>
      </c>
      <c r="C778" t="s">
        <v>2196</v>
      </c>
      <c r="D778">
        <v>1</v>
      </c>
      <c r="E778" t="s">
        <v>1514</v>
      </c>
      <c r="F778" t="s">
        <v>1515</v>
      </c>
      <c r="G778" s="1"/>
      <c r="H778" t="str">
        <f>"3250612764532"</f>
        <v>3250612764532</v>
      </c>
      <c r="J778" t="s">
        <v>2107</v>
      </c>
    </row>
    <row r="779" spans="1:10" x14ac:dyDescent="0.25">
      <c r="A779" t="s">
        <v>8</v>
      </c>
      <c r="B779" t="s">
        <v>2197</v>
      </c>
      <c r="C779" t="s">
        <v>2198</v>
      </c>
      <c r="D779">
        <v>1</v>
      </c>
      <c r="E779" t="s">
        <v>1514</v>
      </c>
      <c r="F779" t="s">
        <v>1515</v>
      </c>
      <c r="G779" s="1"/>
      <c r="H779" t="str">
        <f>"3250612777976"</f>
        <v>3250612777976</v>
      </c>
      <c r="J779" t="s">
        <v>1913</v>
      </c>
    </row>
    <row r="780" spans="1:10" x14ac:dyDescent="0.25">
      <c r="A780" t="s">
        <v>8</v>
      </c>
      <c r="B780" t="s">
        <v>2199</v>
      </c>
      <c r="C780" t="s">
        <v>2200</v>
      </c>
      <c r="D780">
        <v>1</v>
      </c>
      <c r="E780" t="s">
        <v>1514</v>
      </c>
      <c r="F780" t="s">
        <v>1515</v>
      </c>
      <c r="G780" s="1"/>
      <c r="H780" t="str">
        <f>"3250612767946"</f>
        <v>3250612767946</v>
      </c>
      <c r="J780" t="s">
        <v>2201</v>
      </c>
    </row>
    <row r="781" spans="1:10" x14ac:dyDescent="0.25">
      <c r="A781" t="s">
        <v>8</v>
      </c>
      <c r="B781" t="s">
        <v>2202</v>
      </c>
      <c r="C781" t="s">
        <v>2203</v>
      </c>
      <c r="D781">
        <v>1</v>
      </c>
      <c r="E781" t="s">
        <v>1514</v>
      </c>
      <c r="F781" t="s">
        <v>1515</v>
      </c>
      <c r="G781" s="1"/>
      <c r="H781" t="str">
        <f>"3250613560034"</f>
        <v>3250613560034</v>
      </c>
      <c r="J781" t="s">
        <v>2204</v>
      </c>
    </row>
    <row r="782" spans="1:10" x14ac:dyDescent="0.25">
      <c r="A782" t="s">
        <v>8</v>
      </c>
      <c r="B782" t="s">
        <v>2205</v>
      </c>
      <c r="C782" t="s">
        <v>2206</v>
      </c>
      <c r="D782">
        <v>1</v>
      </c>
      <c r="E782" t="s">
        <v>1514</v>
      </c>
      <c r="F782" t="s">
        <v>1515</v>
      </c>
      <c r="G782" s="1"/>
      <c r="H782" t="str">
        <f>"4010330611926"</f>
        <v>4010330611926</v>
      </c>
      <c r="J782" t="s">
        <v>2207</v>
      </c>
    </row>
    <row r="783" spans="1:10" x14ac:dyDescent="0.25">
      <c r="A783" t="s">
        <v>8</v>
      </c>
      <c r="B783" t="s">
        <v>2208</v>
      </c>
      <c r="C783" t="s">
        <v>2209</v>
      </c>
      <c r="D783">
        <v>1</v>
      </c>
      <c r="E783" t="s">
        <v>1514</v>
      </c>
      <c r="F783" t="s">
        <v>1515</v>
      </c>
      <c r="G783" s="1"/>
      <c r="H783" t="str">
        <f>"3250616138551"</f>
        <v>3250616138551</v>
      </c>
      <c r="J783" t="s">
        <v>2211</v>
      </c>
    </row>
    <row r="784" spans="1:10" x14ac:dyDescent="0.25">
      <c r="A784" t="s">
        <v>8</v>
      </c>
      <c r="B784" t="s">
        <v>2212</v>
      </c>
      <c r="C784" t="s">
        <v>2213</v>
      </c>
      <c r="D784">
        <v>1</v>
      </c>
      <c r="E784" t="s">
        <v>1514</v>
      </c>
      <c r="F784" t="s">
        <v>1515</v>
      </c>
      <c r="G784" s="1"/>
      <c r="H784" t="str">
        <f>"3250616139220"</f>
        <v>3250616139220</v>
      </c>
      <c r="J784" t="s">
        <v>2214</v>
      </c>
    </row>
    <row r="785" spans="1:10" x14ac:dyDescent="0.25">
      <c r="A785" t="s">
        <v>8</v>
      </c>
      <c r="B785" t="s">
        <v>2215</v>
      </c>
      <c r="C785" t="s">
        <v>2216</v>
      </c>
      <c r="D785">
        <v>1</v>
      </c>
      <c r="E785" t="s">
        <v>1514</v>
      </c>
      <c r="F785" t="s">
        <v>1515</v>
      </c>
      <c r="G785" s="1"/>
      <c r="H785" t="str">
        <f>"3250616139695"</f>
        <v>3250616139695</v>
      </c>
      <c r="J785" t="s">
        <v>2217</v>
      </c>
    </row>
    <row r="786" spans="1:10" x14ac:dyDescent="0.25">
      <c r="A786" t="s">
        <v>8</v>
      </c>
      <c r="B786" t="s">
        <v>2218</v>
      </c>
      <c r="C786" t="s">
        <v>2219</v>
      </c>
      <c r="D786">
        <v>1</v>
      </c>
      <c r="E786" t="s">
        <v>1514</v>
      </c>
      <c r="F786" t="s">
        <v>1515</v>
      </c>
      <c r="G786" s="1"/>
      <c r="H786" t="str">
        <f>"3250616306455"</f>
        <v>3250616306455</v>
      </c>
      <c r="J786" t="s">
        <v>2220</v>
      </c>
    </row>
    <row r="787" spans="1:10" x14ac:dyDescent="0.25">
      <c r="A787" t="s">
        <v>8</v>
      </c>
      <c r="B787" t="s">
        <v>2221</v>
      </c>
      <c r="C787" t="s">
        <v>2222</v>
      </c>
      <c r="D787">
        <v>1</v>
      </c>
      <c r="E787" t="s">
        <v>1514</v>
      </c>
      <c r="F787" t="s">
        <v>1515</v>
      </c>
      <c r="G787" s="1"/>
      <c r="H787" t="str">
        <f>"3250616364202"</f>
        <v>3250616364202</v>
      </c>
      <c r="J787" t="s">
        <v>2223</v>
      </c>
    </row>
    <row r="788" spans="1:10" x14ac:dyDescent="0.25">
      <c r="A788" t="s">
        <v>8</v>
      </c>
      <c r="B788" t="s">
        <v>2224</v>
      </c>
      <c r="C788" t="s">
        <v>2225</v>
      </c>
      <c r="D788">
        <v>1</v>
      </c>
      <c r="E788" t="s">
        <v>1514</v>
      </c>
      <c r="F788" t="s">
        <v>1515</v>
      </c>
      <c r="G788" s="1"/>
      <c r="H788" t="str">
        <f>"3250616365841"</f>
        <v>3250616365841</v>
      </c>
      <c r="J788" t="s">
        <v>2226</v>
      </c>
    </row>
    <row r="789" spans="1:10" x14ac:dyDescent="0.25">
      <c r="A789" t="s">
        <v>8</v>
      </c>
      <c r="B789" t="s">
        <v>2227</v>
      </c>
      <c r="C789" t="s">
        <v>2228</v>
      </c>
      <c r="D789">
        <v>1</v>
      </c>
      <c r="E789" t="s">
        <v>1514</v>
      </c>
      <c r="F789" t="s">
        <v>1515</v>
      </c>
      <c r="G789" s="1"/>
      <c r="H789" t="str">
        <f>"3250610662212"</f>
        <v>3250610662212</v>
      </c>
      <c r="J789" t="s">
        <v>2229</v>
      </c>
    </row>
    <row r="790" spans="1:10" x14ac:dyDescent="0.25">
      <c r="A790" t="s">
        <v>8</v>
      </c>
      <c r="B790" t="s">
        <v>2230</v>
      </c>
      <c r="C790" t="s">
        <v>2231</v>
      </c>
      <c r="D790">
        <v>1</v>
      </c>
      <c r="E790" t="s">
        <v>1514</v>
      </c>
      <c r="F790" t="s">
        <v>1515</v>
      </c>
      <c r="G790" s="1"/>
      <c r="H790" t="str">
        <f>"3250612533183"</f>
        <v>3250612533183</v>
      </c>
      <c r="J790" t="s">
        <v>2232</v>
      </c>
    </row>
    <row r="791" spans="1:10" x14ac:dyDescent="0.25">
      <c r="A791" t="s">
        <v>8</v>
      </c>
      <c r="B791" t="s">
        <v>2233</v>
      </c>
      <c r="C791" t="s">
        <v>2234</v>
      </c>
      <c r="D791">
        <v>1</v>
      </c>
      <c r="E791" t="s">
        <v>1514</v>
      </c>
      <c r="F791" t="s">
        <v>1515</v>
      </c>
      <c r="G791" s="1"/>
      <c r="H791" t="str">
        <f>"3250612533336"</f>
        <v>3250612533336</v>
      </c>
      <c r="J791" t="s">
        <v>2235</v>
      </c>
    </row>
    <row r="792" spans="1:10" x14ac:dyDescent="0.25">
      <c r="A792" t="s">
        <v>8</v>
      </c>
      <c r="B792" t="s">
        <v>2236</v>
      </c>
      <c r="C792" t="s">
        <v>2237</v>
      </c>
      <c r="D792">
        <v>1</v>
      </c>
      <c r="E792" t="s">
        <v>1514</v>
      </c>
      <c r="F792" t="s">
        <v>1515</v>
      </c>
      <c r="G792" s="1"/>
      <c r="H792" t="str">
        <f>"3250612533473"</f>
        <v>3250612533473</v>
      </c>
      <c r="J792" t="s">
        <v>2238</v>
      </c>
    </row>
    <row r="793" spans="1:10" x14ac:dyDescent="0.25">
      <c r="A793" t="s">
        <v>8</v>
      </c>
      <c r="B793" t="s">
        <v>2239</v>
      </c>
      <c r="C793" t="s">
        <v>2240</v>
      </c>
      <c r="D793">
        <v>1</v>
      </c>
      <c r="E793" t="s">
        <v>1514</v>
      </c>
      <c r="F793" t="s">
        <v>1515</v>
      </c>
      <c r="G793" s="1"/>
      <c r="H793" t="str">
        <f>"3250612534197"</f>
        <v>3250612534197</v>
      </c>
      <c r="J793" t="s">
        <v>2241</v>
      </c>
    </row>
    <row r="794" spans="1:10" x14ac:dyDescent="0.25">
      <c r="A794" t="s">
        <v>8</v>
      </c>
      <c r="B794" t="s">
        <v>2242</v>
      </c>
      <c r="C794" t="s">
        <v>2243</v>
      </c>
      <c r="D794">
        <v>1</v>
      </c>
      <c r="E794" t="s">
        <v>1514</v>
      </c>
      <c r="F794" t="s">
        <v>1515</v>
      </c>
      <c r="G794" s="1"/>
      <c r="H794" t="str">
        <f>"3250619272146"</f>
        <v>3250619272146</v>
      </c>
      <c r="J794" t="s">
        <v>2244</v>
      </c>
    </row>
    <row r="795" spans="1:10" x14ac:dyDescent="0.25">
      <c r="A795" t="s">
        <v>8</v>
      </c>
      <c r="B795" t="s">
        <v>2245</v>
      </c>
      <c r="C795" t="s">
        <v>2246</v>
      </c>
      <c r="D795">
        <v>1</v>
      </c>
      <c r="E795" t="s">
        <v>1514</v>
      </c>
      <c r="F795" t="s">
        <v>1515</v>
      </c>
      <c r="G795" s="1"/>
      <c r="H795" t="str">
        <f>"3250610671429"</f>
        <v>3250610671429</v>
      </c>
      <c r="J795" t="s">
        <v>2247</v>
      </c>
    </row>
    <row r="796" spans="1:10" x14ac:dyDescent="0.25">
      <c r="A796" t="s">
        <v>8</v>
      </c>
      <c r="B796" t="s">
        <v>2248</v>
      </c>
      <c r="C796" t="s">
        <v>2249</v>
      </c>
      <c r="D796">
        <v>1</v>
      </c>
      <c r="E796" t="s">
        <v>1514</v>
      </c>
      <c r="F796" t="s">
        <v>1515</v>
      </c>
      <c r="G796" s="1"/>
      <c r="H796" t="str">
        <f>"3250610671535"</f>
        <v>3250610671535</v>
      </c>
      <c r="J796" t="s">
        <v>2250</v>
      </c>
    </row>
    <row r="797" spans="1:10" x14ac:dyDescent="0.25">
      <c r="A797" t="s">
        <v>8</v>
      </c>
      <c r="B797" t="s">
        <v>2251</v>
      </c>
      <c r="C797" t="s">
        <v>2252</v>
      </c>
      <c r="D797">
        <v>1</v>
      </c>
      <c r="E797" t="s">
        <v>1514</v>
      </c>
      <c r="F797" t="s">
        <v>1515</v>
      </c>
      <c r="G797" s="1"/>
      <c r="H797" t="str">
        <f>"3250610673706"</f>
        <v>3250610673706</v>
      </c>
      <c r="J797" t="s">
        <v>2253</v>
      </c>
    </row>
    <row r="798" spans="1:10" x14ac:dyDescent="0.25">
      <c r="A798" t="s">
        <v>8</v>
      </c>
      <c r="B798" t="s">
        <v>2254</v>
      </c>
      <c r="C798" t="s">
        <v>2255</v>
      </c>
      <c r="D798">
        <v>1</v>
      </c>
      <c r="E798" t="s">
        <v>1514</v>
      </c>
      <c r="F798" t="s">
        <v>1515</v>
      </c>
      <c r="G798" s="1"/>
      <c r="H798" t="str">
        <f>"3250610672969"</f>
        <v>3250610672969</v>
      </c>
      <c r="J798" t="s">
        <v>2256</v>
      </c>
    </row>
    <row r="799" spans="1:10" x14ac:dyDescent="0.25">
      <c r="A799" t="s">
        <v>8</v>
      </c>
      <c r="B799" t="s">
        <v>2257</v>
      </c>
      <c r="C799" t="s">
        <v>2258</v>
      </c>
      <c r="D799">
        <v>1</v>
      </c>
      <c r="E799" t="s">
        <v>1514</v>
      </c>
      <c r="F799" t="s">
        <v>1515</v>
      </c>
      <c r="G799" s="1"/>
      <c r="H799" t="str">
        <f>"3250612621217"</f>
        <v>3250612621217</v>
      </c>
      <c r="J799" t="s">
        <v>2259</v>
      </c>
    </row>
    <row r="800" spans="1:10" x14ac:dyDescent="0.25">
      <c r="A800" t="s">
        <v>8</v>
      </c>
      <c r="B800" t="s">
        <v>2260</v>
      </c>
      <c r="C800" t="s">
        <v>2261</v>
      </c>
      <c r="D800">
        <v>1</v>
      </c>
      <c r="E800" t="s">
        <v>1514</v>
      </c>
      <c r="F800" t="s">
        <v>1515</v>
      </c>
      <c r="G800" s="1"/>
      <c r="H800" t="str">
        <f>"3250610673485"</f>
        <v>3250610673485</v>
      </c>
      <c r="J800" t="s">
        <v>2262</v>
      </c>
    </row>
    <row r="801" spans="1:10" x14ac:dyDescent="0.25">
      <c r="A801" t="s">
        <v>8</v>
      </c>
      <c r="B801" t="s">
        <v>2263</v>
      </c>
      <c r="C801" t="s">
        <v>2264</v>
      </c>
      <c r="D801">
        <v>1</v>
      </c>
      <c r="E801" t="s">
        <v>1514</v>
      </c>
      <c r="F801" t="s">
        <v>1515</v>
      </c>
      <c r="G801" s="1"/>
      <c r="H801" t="str">
        <f>"3250612634026"</f>
        <v>3250612634026</v>
      </c>
      <c r="J801" t="s">
        <v>2265</v>
      </c>
    </row>
    <row r="802" spans="1:10" x14ac:dyDescent="0.25">
      <c r="A802" t="s">
        <v>8</v>
      </c>
      <c r="B802" t="s">
        <v>2266</v>
      </c>
      <c r="C802" t="s">
        <v>2267</v>
      </c>
      <c r="D802">
        <v>1</v>
      </c>
      <c r="E802" t="s">
        <v>1514</v>
      </c>
      <c r="F802" t="s">
        <v>1515</v>
      </c>
      <c r="G802" s="1"/>
      <c r="H802" t="str">
        <f>"3250612634064"</f>
        <v>3250612634064</v>
      </c>
      <c r="J802" t="s">
        <v>2268</v>
      </c>
    </row>
    <row r="803" spans="1:10" x14ac:dyDescent="0.25">
      <c r="A803" t="s">
        <v>8</v>
      </c>
      <c r="B803" t="s">
        <v>2269</v>
      </c>
      <c r="C803" t="s">
        <v>2270</v>
      </c>
      <c r="D803">
        <v>1</v>
      </c>
      <c r="E803" t="s">
        <v>1514</v>
      </c>
      <c r="F803" t="s">
        <v>1515</v>
      </c>
      <c r="G803" s="1"/>
      <c r="H803" t="str">
        <f>"3250612635320"</f>
        <v>3250612635320</v>
      </c>
      <c r="J803" t="s">
        <v>2271</v>
      </c>
    </row>
    <row r="804" spans="1:10" x14ac:dyDescent="0.25">
      <c r="A804" t="s">
        <v>8</v>
      </c>
      <c r="B804" t="s">
        <v>2272</v>
      </c>
      <c r="C804" t="s">
        <v>2273</v>
      </c>
      <c r="D804">
        <v>1</v>
      </c>
      <c r="E804" t="s">
        <v>1514</v>
      </c>
      <c r="F804" t="s">
        <v>1515</v>
      </c>
      <c r="G804" s="1"/>
      <c r="H804" t="str">
        <f>"3250612635467"</f>
        <v>3250612635467</v>
      </c>
      <c r="J804" t="s">
        <v>2274</v>
      </c>
    </row>
    <row r="805" spans="1:10" x14ac:dyDescent="0.25">
      <c r="A805" t="s">
        <v>8</v>
      </c>
      <c r="B805" t="s">
        <v>2275</v>
      </c>
      <c r="C805" t="s">
        <v>2276</v>
      </c>
      <c r="D805">
        <v>1</v>
      </c>
      <c r="E805" t="s">
        <v>1514</v>
      </c>
      <c r="F805" t="s">
        <v>1515</v>
      </c>
      <c r="G805" s="1"/>
      <c r="H805" t="str">
        <f>"3250612635597"</f>
        <v>3250612635597</v>
      </c>
      <c r="J805" t="s">
        <v>2277</v>
      </c>
    </row>
    <row r="806" spans="1:10" x14ac:dyDescent="0.25">
      <c r="A806" t="s">
        <v>8</v>
      </c>
      <c r="B806" t="s">
        <v>2278</v>
      </c>
      <c r="C806" t="s">
        <v>2279</v>
      </c>
      <c r="D806">
        <v>1</v>
      </c>
      <c r="E806" t="s">
        <v>1514</v>
      </c>
      <c r="F806" t="s">
        <v>1515</v>
      </c>
      <c r="G806" s="1"/>
      <c r="H806" t="str">
        <f>"3250612777778"</f>
        <v>3250612777778</v>
      </c>
      <c r="J806" t="s">
        <v>2280</v>
      </c>
    </row>
    <row r="807" spans="1:10" x14ac:dyDescent="0.25">
      <c r="A807" t="s">
        <v>8</v>
      </c>
      <c r="B807" t="s">
        <v>2281</v>
      </c>
      <c r="C807" t="s">
        <v>2282</v>
      </c>
      <c r="D807">
        <v>1</v>
      </c>
      <c r="E807" t="s">
        <v>1514</v>
      </c>
      <c r="F807" t="s">
        <v>1515</v>
      </c>
      <c r="G807" s="1"/>
      <c r="H807" t="str">
        <f>"3250612764419"</f>
        <v>3250612764419</v>
      </c>
      <c r="J807" t="s">
        <v>2283</v>
      </c>
    </row>
    <row r="808" spans="1:10" x14ac:dyDescent="0.25">
      <c r="A808" t="s">
        <v>8</v>
      </c>
      <c r="B808" t="s">
        <v>2284</v>
      </c>
      <c r="C808" t="s">
        <v>2285</v>
      </c>
      <c r="D808">
        <v>1</v>
      </c>
      <c r="E808" t="s">
        <v>1514</v>
      </c>
      <c r="F808" t="s">
        <v>1515</v>
      </c>
      <c r="G808" s="1"/>
      <c r="H808" t="str">
        <f>"3250612778065"</f>
        <v>3250612778065</v>
      </c>
      <c r="J808" t="s">
        <v>2286</v>
      </c>
    </row>
    <row r="809" spans="1:10" x14ac:dyDescent="0.25">
      <c r="A809" t="s">
        <v>8</v>
      </c>
      <c r="B809" t="s">
        <v>2287</v>
      </c>
      <c r="C809" t="s">
        <v>2288</v>
      </c>
      <c r="D809">
        <v>1</v>
      </c>
      <c r="E809" t="s">
        <v>1514</v>
      </c>
      <c r="F809" t="s">
        <v>1515</v>
      </c>
      <c r="G809" s="1"/>
      <c r="H809" t="str">
        <f>"3250612778096"</f>
        <v>3250612778096</v>
      </c>
      <c r="J809" t="s">
        <v>2289</v>
      </c>
    </row>
    <row r="810" spans="1:10" x14ac:dyDescent="0.25">
      <c r="A810" t="s">
        <v>8</v>
      </c>
      <c r="B810" t="s">
        <v>2290</v>
      </c>
      <c r="C810" t="s">
        <v>2291</v>
      </c>
      <c r="D810">
        <v>1</v>
      </c>
      <c r="E810" t="s">
        <v>1514</v>
      </c>
      <c r="F810" t="s">
        <v>1515</v>
      </c>
      <c r="G810" s="1"/>
      <c r="H810" t="str">
        <f>"3250612765270"</f>
        <v>3250612765270</v>
      </c>
      <c r="J810" t="s">
        <v>2292</v>
      </c>
    </row>
    <row r="811" spans="1:10" x14ac:dyDescent="0.25">
      <c r="A811" t="s">
        <v>8</v>
      </c>
      <c r="B811" t="s">
        <v>2293</v>
      </c>
      <c r="C811" t="s">
        <v>2294</v>
      </c>
      <c r="D811">
        <v>1</v>
      </c>
      <c r="E811" t="s">
        <v>1514</v>
      </c>
      <c r="F811" t="s">
        <v>1515</v>
      </c>
      <c r="G811" s="1"/>
      <c r="H811" t="str">
        <f>"3250612778256"</f>
        <v>3250612778256</v>
      </c>
      <c r="J811" t="s">
        <v>2295</v>
      </c>
    </row>
    <row r="812" spans="1:10" x14ac:dyDescent="0.25">
      <c r="A812" t="s">
        <v>8</v>
      </c>
      <c r="B812" t="s">
        <v>2296</v>
      </c>
      <c r="C812" t="s">
        <v>2297</v>
      </c>
      <c r="D812">
        <v>1</v>
      </c>
      <c r="E812" t="s">
        <v>1514</v>
      </c>
      <c r="F812" t="s">
        <v>1515</v>
      </c>
      <c r="G812" s="1"/>
      <c r="H812" t="str">
        <f>"3250612767076"</f>
        <v>3250612767076</v>
      </c>
      <c r="J812" t="s">
        <v>2298</v>
      </c>
    </row>
    <row r="813" spans="1:10" x14ac:dyDescent="0.25">
      <c r="A813" t="s">
        <v>8</v>
      </c>
      <c r="B813" t="s">
        <v>2299</v>
      </c>
      <c r="C813" t="s">
        <v>2300</v>
      </c>
      <c r="D813">
        <v>1</v>
      </c>
      <c r="E813" t="s">
        <v>1514</v>
      </c>
      <c r="F813" t="s">
        <v>1515</v>
      </c>
      <c r="G813" s="1"/>
      <c r="H813" t="str">
        <f>"3250612767144"</f>
        <v>3250612767144</v>
      </c>
      <c r="J813" t="s">
        <v>2301</v>
      </c>
    </row>
    <row r="814" spans="1:10" x14ac:dyDescent="0.25">
      <c r="A814" t="s">
        <v>8</v>
      </c>
      <c r="B814" t="s">
        <v>2302</v>
      </c>
      <c r="C814" t="s">
        <v>2303</v>
      </c>
      <c r="D814">
        <v>1</v>
      </c>
      <c r="E814" t="s">
        <v>1514</v>
      </c>
      <c r="F814" t="s">
        <v>1515</v>
      </c>
      <c r="G814" s="1"/>
      <c r="H814" t="str">
        <f>"3250613560027"</f>
        <v>3250613560027</v>
      </c>
      <c r="J814" t="s">
        <v>2304</v>
      </c>
    </row>
    <row r="815" spans="1:10" x14ac:dyDescent="0.25">
      <c r="A815" t="s">
        <v>8</v>
      </c>
      <c r="B815" t="s">
        <v>2305</v>
      </c>
      <c r="C815" t="s">
        <v>2306</v>
      </c>
      <c r="D815">
        <v>1</v>
      </c>
      <c r="E815" t="s">
        <v>1514</v>
      </c>
      <c r="F815" t="s">
        <v>1515</v>
      </c>
      <c r="G815" s="1"/>
      <c r="H815" t="str">
        <f>"3250616138308"</f>
        <v>3250616138308</v>
      </c>
      <c r="J815" t="s">
        <v>2307</v>
      </c>
    </row>
    <row r="816" spans="1:10" x14ac:dyDescent="0.25">
      <c r="A816" t="s">
        <v>8</v>
      </c>
      <c r="B816" t="s">
        <v>2308</v>
      </c>
      <c r="C816" t="s">
        <v>2309</v>
      </c>
      <c r="D816">
        <v>1</v>
      </c>
      <c r="E816" t="s">
        <v>1514</v>
      </c>
      <c r="F816" t="s">
        <v>1515</v>
      </c>
      <c r="G816" s="1"/>
      <c r="H816" t="str">
        <f>"3250616138513"</f>
        <v>3250616138513</v>
      </c>
      <c r="J816" t="s">
        <v>2310</v>
      </c>
    </row>
    <row r="817" spans="1:10" x14ac:dyDescent="0.25">
      <c r="A817" t="s">
        <v>8</v>
      </c>
      <c r="B817" t="s">
        <v>2311</v>
      </c>
      <c r="C817" t="s">
        <v>2312</v>
      </c>
      <c r="D817">
        <v>1</v>
      </c>
      <c r="E817" t="s">
        <v>1514</v>
      </c>
      <c r="F817" t="s">
        <v>1515</v>
      </c>
      <c r="G817" s="1"/>
      <c r="H817" t="str">
        <f>"3250616139169"</f>
        <v>3250616139169</v>
      </c>
      <c r="J817" t="s">
        <v>2313</v>
      </c>
    </row>
    <row r="818" spans="1:10" x14ac:dyDescent="0.25">
      <c r="A818" t="s">
        <v>8</v>
      </c>
      <c r="B818" t="s">
        <v>2314</v>
      </c>
      <c r="C818" t="s">
        <v>2315</v>
      </c>
      <c r="D818">
        <v>1</v>
      </c>
      <c r="E818" t="s">
        <v>1514</v>
      </c>
      <c r="F818" t="s">
        <v>1515</v>
      </c>
      <c r="G818" s="1"/>
      <c r="H818" t="str">
        <f>"3250616301191"</f>
        <v>3250616301191</v>
      </c>
      <c r="J818" t="s">
        <v>2316</v>
      </c>
    </row>
    <row r="819" spans="1:10" x14ac:dyDescent="0.25">
      <c r="A819" t="s">
        <v>8</v>
      </c>
      <c r="B819" t="s">
        <v>2317</v>
      </c>
      <c r="C819" t="s">
        <v>2318</v>
      </c>
      <c r="D819">
        <v>1</v>
      </c>
      <c r="E819" t="s">
        <v>1514</v>
      </c>
      <c r="F819" t="s">
        <v>1515</v>
      </c>
      <c r="G819" s="1"/>
      <c r="H819" t="str">
        <f>"3250616365865"</f>
        <v>3250616365865</v>
      </c>
      <c r="J819" t="s">
        <v>2319</v>
      </c>
    </row>
    <row r="820" spans="1:10" x14ac:dyDescent="0.25">
      <c r="A820" t="s">
        <v>8</v>
      </c>
      <c r="B820" t="s">
        <v>2320</v>
      </c>
      <c r="C820" t="s">
        <v>2321</v>
      </c>
      <c r="D820">
        <v>1</v>
      </c>
      <c r="E820" t="s">
        <v>1514</v>
      </c>
      <c r="F820" t="s">
        <v>1515</v>
      </c>
      <c r="G820" s="1"/>
      <c r="H820" t="str">
        <f>"3250610669990"</f>
        <v>3250610669990</v>
      </c>
      <c r="J820" t="s">
        <v>2322</v>
      </c>
    </row>
    <row r="821" spans="1:10" x14ac:dyDescent="0.25">
      <c r="A821" t="s">
        <v>8</v>
      </c>
      <c r="B821" t="s">
        <v>2323</v>
      </c>
      <c r="C821" t="s">
        <v>2324</v>
      </c>
      <c r="D821">
        <v>1</v>
      </c>
      <c r="E821" t="s">
        <v>1514</v>
      </c>
      <c r="F821" t="s">
        <v>1515</v>
      </c>
      <c r="G821" s="1"/>
      <c r="H821" t="str">
        <f>"3250612531929"</f>
        <v>3250612531929</v>
      </c>
      <c r="J821" t="s">
        <v>2325</v>
      </c>
    </row>
    <row r="822" spans="1:10" x14ac:dyDescent="0.25">
      <c r="A822" t="s">
        <v>8</v>
      </c>
      <c r="B822" t="s">
        <v>2326</v>
      </c>
      <c r="C822" t="s">
        <v>2327</v>
      </c>
      <c r="D822">
        <v>1</v>
      </c>
      <c r="E822" t="s">
        <v>1514</v>
      </c>
      <c r="F822" t="s">
        <v>1515</v>
      </c>
      <c r="G822" s="1"/>
      <c r="H822" t="str">
        <f>"3250612533176"</f>
        <v>3250612533176</v>
      </c>
      <c r="J822" t="s">
        <v>2328</v>
      </c>
    </row>
    <row r="823" spans="1:10" x14ac:dyDescent="0.25">
      <c r="A823" t="s">
        <v>8</v>
      </c>
      <c r="B823" t="s">
        <v>2329</v>
      </c>
      <c r="C823" t="s">
        <v>2330</v>
      </c>
      <c r="D823">
        <v>1</v>
      </c>
      <c r="E823" t="s">
        <v>1514</v>
      </c>
      <c r="F823" t="s">
        <v>1515</v>
      </c>
      <c r="G823" s="1"/>
      <c r="H823" t="str">
        <f>"3250612533466"</f>
        <v>3250612533466</v>
      </c>
      <c r="J823" t="s">
        <v>2331</v>
      </c>
    </row>
    <row r="824" spans="1:10" x14ac:dyDescent="0.25">
      <c r="A824" t="s">
        <v>8</v>
      </c>
      <c r="B824" t="s">
        <v>2332</v>
      </c>
      <c r="C824" t="s">
        <v>2333</v>
      </c>
      <c r="D824">
        <v>1</v>
      </c>
      <c r="E824" t="s">
        <v>1514</v>
      </c>
      <c r="F824" t="s">
        <v>1515</v>
      </c>
      <c r="G824" s="1"/>
      <c r="H824" t="str">
        <f>"3250610671399"</f>
        <v>3250610671399</v>
      </c>
      <c r="J824" t="s">
        <v>2334</v>
      </c>
    </row>
    <row r="825" spans="1:10" x14ac:dyDescent="0.25">
      <c r="A825" t="s">
        <v>8</v>
      </c>
      <c r="B825" t="s">
        <v>2335</v>
      </c>
      <c r="C825" t="s">
        <v>2336</v>
      </c>
      <c r="D825">
        <v>1</v>
      </c>
      <c r="E825" t="s">
        <v>1514</v>
      </c>
      <c r="F825" t="s">
        <v>1515</v>
      </c>
      <c r="G825" s="1"/>
      <c r="H825" t="str">
        <f>"3250610671528"</f>
        <v>3250610671528</v>
      </c>
      <c r="J825" t="s">
        <v>2337</v>
      </c>
    </row>
    <row r="826" spans="1:10" x14ac:dyDescent="0.25">
      <c r="A826" t="s">
        <v>8</v>
      </c>
      <c r="B826" t="s">
        <v>2338</v>
      </c>
      <c r="C826" t="s">
        <v>2339</v>
      </c>
      <c r="D826">
        <v>1</v>
      </c>
      <c r="E826" t="s">
        <v>1514</v>
      </c>
      <c r="F826" t="s">
        <v>1515</v>
      </c>
      <c r="G826" s="1"/>
      <c r="H826" t="str">
        <f>"3250610671603"</f>
        <v>3250610671603</v>
      </c>
      <c r="J826" t="s">
        <v>2340</v>
      </c>
    </row>
    <row r="827" spans="1:10" x14ac:dyDescent="0.25">
      <c r="A827" t="s">
        <v>8</v>
      </c>
      <c r="B827" t="s">
        <v>2341</v>
      </c>
      <c r="C827" t="s">
        <v>2342</v>
      </c>
      <c r="D827">
        <v>1</v>
      </c>
      <c r="E827" t="s">
        <v>1514</v>
      </c>
      <c r="F827" t="s">
        <v>1515</v>
      </c>
      <c r="G827" s="1"/>
      <c r="H827" t="str">
        <f>"4012740673341"</f>
        <v>4012740673341</v>
      </c>
      <c r="J827" t="s">
        <v>2343</v>
      </c>
    </row>
    <row r="828" spans="1:10" x14ac:dyDescent="0.25">
      <c r="A828" t="s">
        <v>8</v>
      </c>
      <c r="B828" t="s">
        <v>2344</v>
      </c>
      <c r="C828" t="s">
        <v>2345</v>
      </c>
      <c r="D828">
        <v>1</v>
      </c>
      <c r="E828" t="s">
        <v>1514</v>
      </c>
      <c r="F828" t="s">
        <v>1515</v>
      </c>
      <c r="G828" s="1"/>
      <c r="H828" t="str">
        <f>"3250610673263"</f>
        <v>3250610673263</v>
      </c>
      <c r="J828" t="s">
        <v>2346</v>
      </c>
    </row>
    <row r="829" spans="1:10" x14ac:dyDescent="0.25">
      <c r="A829" t="s">
        <v>8</v>
      </c>
      <c r="B829" t="s">
        <v>2347</v>
      </c>
      <c r="C829" t="s">
        <v>2348</v>
      </c>
      <c r="D829">
        <v>1</v>
      </c>
      <c r="E829" t="s">
        <v>1514</v>
      </c>
      <c r="F829" t="s">
        <v>1515</v>
      </c>
      <c r="G829" s="1"/>
      <c r="H829" t="str">
        <f>"3250612621194"</f>
        <v>3250612621194</v>
      </c>
      <c r="J829" t="s">
        <v>2349</v>
      </c>
    </row>
    <row r="830" spans="1:10" x14ac:dyDescent="0.25">
      <c r="A830" t="s">
        <v>8</v>
      </c>
      <c r="B830" t="s">
        <v>2350</v>
      </c>
      <c r="C830" t="s">
        <v>2351</v>
      </c>
      <c r="D830">
        <v>1</v>
      </c>
      <c r="E830" t="s">
        <v>1514</v>
      </c>
      <c r="F830" t="s">
        <v>1515</v>
      </c>
      <c r="G830" s="1"/>
      <c r="H830" t="str">
        <f>"3250610673478"</f>
        <v>3250610673478</v>
      </c>
      <c r="J830" t="s">
        <v>2352</v>
      </c>
    </row>
    <row r="831" spans="1:10" x14ac:dyDescent="0.25">
      <c r="A831" t="s">
        <v>8</v>
      </c>
      <c r="B831" t="s">
        <v>2353</v>
      </c>
      <c r="C831" t="s">
        <v>2354</v>
      </c>
      <c r="D831">
        <v>1</v>
      </c>
      <c r="E831" t="s">
        <v>1514</v>
      </c>
      <c r="F831" t="s">
        <v>1515</v>
      </c>
      <c r="G831" s="1"/>
      <c r="H831" t="str">
        <f>"3250612634507"</f>
        <v>3250612634507</v>
      </c>
      <c r="J831" t="s">
        <v>2355</v>
      </c>
    </row>
    <row r="832" spans="1:10" x14ac:dyDescent="0.25">
      <c r="A832" t="s">
        <v>8</v>
      </c>
      <c r="B832" t="s">
        <v>2356</v>
      </c>
      <c r="C832" t="s">
        <v>2357</v>
      </c>
      <c r="D832">
        <v>1</v>
      </c>
      <c r="E832" t="s">
        <v>1514</v>
      </c>
      <c r="F832" t="s">
        <v>1515</v>
      </c>
      <c r="G832" s="1"/>
      <c r="H832" t="str">
        <f>"3250612635313"</f>
        <v>3250612635313</v>
      </c>
      <c r="J832" t="s">
        <v>2358</v>
      </c>
    </row>
    <row r="833" spans="1:10" x14ac:dyDescent="0.25">
      <c r="A833" t="s">
        <v>8</v>
      </c>
      <c r="B833" t="s">
        <v>2359</v>
      </c>
      <c r="C833" t="s">
        <v>2360</v>
      </c>
      <c r="D833">
        <v>1</v>
      </c>
      <c r="E833" t="s">
        <v>1514</v>
      </c>
      <c r="F833" t="s">
        <v>1515</v>
      </c>
      <c r="G833" s="1"/>
      <c r="H833" t="str">
        <f>"3250612635450"</f>
        <v>3250612635450</v>
      </c>
      <c r="J833" t="s">
        <v>2361</v>
      </c>
    </row>
    <row r="834" spans="1:10" x14ac:dyDescent="0.25">
      <c r="A834" t="s">
        <v>8</v>
      </c>
      <c r="B834" t="s">
        <v>2362</v>
      </c>
      <c r="C834" t="s">
        <v>2363</v>
      </c>
      <c r="D834">
        <v>1</v>
      </c>
      <c r="E834" t="s">
        <v>1514</v>
      </c>
      <c r="F834" t="s">
        <v>1515</v>
      </c>
      <c r="G834" s="1"/>
      <c r="H834" t="str">
        <f>"3250612635580"</f>
        <v>3250612635580</v>
      </c>
      <c r="J834" t="s">
        <v>2364</v>
      </c>
    </row>
    <row r="835" spans="1:10" x14ac:dyDescent="0.25">
      <c r="A835" t="s">
        <v>8</v>
      </c>
      <c r="B835" t="s">
        <v>2365</v>
      </c>
      <c r="C835" t="s">
        <v>2366</v>
      </c>
      <c r="D835">
        <v>1</v>
      </c>
      <c r="E835" t="s">
        <v>1514</v>
      </c>
      <c r="F835" t="s">
        <v>1515</v>
      </c>
      <c r="G835" s="1"/>
      <c r="H835" t="str">
        <f>"3250612779000"</f>
        <v>3250612779000</v>
      </c>
      <c r="J835" t="s">
        <v>2367</v>
      </c>
    </row>
    <row r="836" spans="1:10" x14ac:dyDescent="0.25">
      <c r="A836" t="s">
        <v>8</v>
      </c>
      <c r="B836" t="s">
        <v>2368</v>
      </c>
      <c r="C836" t="s">
        <v>2369</v>
      </c>
      <c r="D836">
        <v>1</v>
      </c>
      <c r="E836" t="s">
        <v>1514</v>
      </c>
      <c r="F836" t="s">
        <v>1515</v>
      </c>
      <c r="G836" s="1"/>
      <c r="H836" t="str">
        <f>"3250612764495"</f>
        <v>3250612764495</v>
      </c>
      <c r="J836" t="s">
        <v>2370</v>
      </c>
    </row>
    <row r="837" spans="1:10" x14ac:dyDescent="0.25">
      <c r="A837" t="s">
        <v>8</v>
      </c>
      <c r="B837" t="s">
        <v>2371</v>
      </c>
      <c r="C837" t="s">
        <v>2372</v>
      </c>
      <c r="D837">
        <v>1</v>
      </c>
      <c r="E837" t="s">
        <v>1514</v>
      </c>
      <c r="F837" t="s">
        <v>1515</v>
      </c>
      <c r="G837" s="1"/>
      <c r="H837" t="str">
        <f>"3250612764525"</f>
        <v>3250612764525</v>
      </c>
      <c r="J837" t="s">
        <v>2289</v>
      </c>
    </row>
    <row r="838" spans="1:10" x14ac:dyDescent="0.25">
      <c r="A838" t="s">
        <v>8</v>
      </c>
      <c r="B838" t="s">
        <v>2373</v>
      </c>
      <c r="C838" t="s">
        <v>2374</v>
      </c>
      <c r="D838">
        <v>1</v>
      </c>
      <c r="E838" t="s">
        <v>1514</v>
      </c>
      <c r="F838" t="s">
        <v>1515</v>
      </c>
      <c r="G838" s="1"/>
      <c r="H838" t="str">
        <f>"3250612765263"</f>
        <v>3250612765263</v>
      </c>
      <c r="J838" t="s">
        <v>2375</v>
      </c>
    </row>
    <row r="839" spans="1:10" x14ac:dyDescent="0.25">
      <c r="A839" t="s">
        <v>8</v>
      </c>
      <c r="B839" t="s">
        <v>2376</v>
      </c>
      <c r="C839" t="s">
        <v>2377</v>
      </c>
      <c r="D839">
        <v>1</v>
      </c>
      <c r="E839" t="s">
        <v>1514</v>
      </c>
      <c r="F839" t="s">
        <v>1515</v>
      </c>
      <c r="G839" s="1"/>
      <c r="H839" t="str">
        <f>"3250612767106"</f>
        <v>3250612767106</v>
      </c>
      <c r="J839" t="s">
        <v>2378</v>
      </c>
    </row>
    <row r="840" spans="1:10" x14ac:dyDescent="0.25">
      <c r="A840" t="s">
        <v>8</v>
      </c>
      <c r="B840" t="s">
        <v>2379</v>
      </c>
      <c r="C840" t="s">
        <v>2380</v>
      </c>
      <c r="D840">
        <v>1</v>
      </c>
      <c r="E840" t="s">
        <v>1514</v>
      </c>
      <c r="F840" t="s">
        <v>1515</v>
      </c>
      <c r="G840" s="1"/>
      <c r="H840" t="str">
        <f>"3250612762279"</f>
        <v>3250612762279</v>
      </c>
      <c r="J840" t="s">
        <v>2381</v>
      </c>
    </row>
    <row r="841" spans="1:10" x14ac:dyDescent="0.25">
      <c r="A841" t="s">
        <v>8</v>
      </c>
      <c r="B841" t="s">
        <v>2382</v>
      </c>
      <c r="C841" t="s">
        <v>2383</v>
      </c>
      <c r="D841">
        <v>1</v>
      </c>
      <c r="E841" t="s">
        <v>1514</v>
      </c>
      <c r="F841" t="s">
        <v>1515</v>
      </c>
      <c r="G841" s="1"/>
      <c r="H841" t="str">
        <f>"3250613560010"</f>
        <v>3250613560010</v>
      </c>
      <c r="J841" t="s">
        <v>2384</v>
      </c>
    </row>
    <row r="842" spans="1:10" x14ac:dyDescent="0.25">
      <c r="A842" t="s">
        <v>8</v>
      </c>
      <c r="B842" t="s">
        <v>2385</v>
      </c>
      <c r="C842" t="s">
        <v>2386</v>
      </c>
      <c r="D842">
        <v>1</v>
      </c>
      <c r="E842" t="s">
        <v>1514</v>
      </c>
      <c r="F842" t="s">
        <v>1515</v>
      </c>
      <c r="G842" s="1"/>
      <c r="H842" t="str">
        <f>"3250616138285"</f>
        <v>3250616138285</v>
      </c>
      <c r="J842" t="s">
        <v>2387</v>
      </c>
    </row>
    <row r="843" spans="1:10" x14ac:dyDescent="0.25">
      <c r="A843" t="s">
        <v>8</v>
      </c>
      <c r="B843" t="s">
        <v>2388</v>
      </c>
      <c r="C843" t="s">
        <v>2389</v>
      </c>
      <c r="D843">
        <v>1</v>
      </c>
      <c r="E843" t="s">
        <v>1514</v>
      </c>
      <c r="F843" t="s">
        <v>1515</v>
      </c>
      <c r="G843" s="1"/>
      <c r="H843" t="str">
        <f>"3250616138759"</f>
        <v>3250616138759</v>
      </c>
      <c r="J843" t="s">
        <v>2390</v>
      </c>
    </row>
    <row r="844" spans="1:10" x14ac:dyDescent="0.25">
      <c r="A844" t="s">
        <v>8</v>
      </c>
      <c r="B844" t="s">
        <v>2391</v>
      </c>
      <c r="C844" t="s">
        <v>2392</v>
      </c>
      <c r="D844">
        <v>1</v>
      </c>
      <c r="E844" t="s">
        <v>1514</v>
      </c>
      <c r="F844" t="s">
        <v>1515</v>
      </c>
      <c r="G844" s="1"/>
      <c r="H844" t="str">
        <f>"3250616139152"</f>
        <v>3250616139152</v>
      </c>
      <c r="J844" t="s">
        <v>2393</v>
      </c>
    </row>
    <row r="845" spans="1:10" x14ac:dyDescent="0.25">
      <c r="A845" t="s">
        <v>8</v>
      </c>
      <c r="B845" t="s">
        <v>2394</v>
      </c>
      <c r="C845" t="s">
        <v>2395</v>
      </c>
      <c r="D845">
        <v>1</v>
      </c>
      <c r="E845" t="s">
        <v>1514</v>
      </c>
      <c r="F845" t="s">
        <v>1515</v>
      </c>
      <c r="G845" s="1"/>
      <c r="H845" t="str">
        <f>"3250616139886"</f>
        <v>3250616139886</v>
      </c>
      <c r="J845" t="s">
        <v>2396</v>
      </c>
    </row>
    <row r="846" spans="1:10" x14ac:dyDescent="0.25">
      <c r="A846" t="s">
        <v>8</v>
      </c>
      <c r="B846" t="s">
        <v>2397</v>
      </c>
      <c r="C846" t="s">
        <v>2398</v>
      </c>
      <c r="D846">
        <v>1</v>
      </c>
      <c r="E846" t="s">
        <v>1514</v>
      </c>
      <c r="F846" t="s">
        <v>1515</v>
      </c>
      <c r="G846" s="1"/>
      <c r="H846" t="str">
        <f>"3250616300217"</f>
        <v>3250616300217</v>
      </c>
      <c r="J846" t="s">
        <v>2400</v>
      </c>
    </row>
    <row r="847" spans="1:10" x14ac:dyDescent="0.25">
      <c r="A847" t="s">
        <v>8</v>
      </c>
      <c r="B847" t="s">
        <v>2401</v>
      </c>
      <c r="C847" t="s">
        <v>2402</v>
      </c>
      <c r="D847">
        <v>1</v>
      </c>
      <c r="E847" t="s">
        <v>1514</v>
      </c>
      <c r="F847" t="s">
        <v>1515</v>
      </c>
      <c r="G847" s="1"/>
      <c r="H847" t="str">
        <f>"3250616301115"</f>
        <v>3250616301115</v>
      </c>
      <c r="J847" t="s">
        <v>2046</v>
      </c>
    </row>
    <row r="848" spans="1:10" x14ac:dyDescent="0.25">
      <c r="A848" t="s">
        <v>8</v>
      </c>
      <c r="B848" t="s">
        <v>2403</v>
      </c>
      <c r="C848" t="s">
        <v>2404</v>
      </c>
      <c r="D848">
        <v>1</v>
      </c>
      <c r="E848" t="s">
        <v>1514</v>
      </c>
      <c r="F848" t="s">
        <v>1515</v>
      </c>
      <c r="G848" s="1"/>
      <c r="H848" t="str">
        <f>"3250616365889"</f>
        <v>3250616365889</v>
      </c>
      <c r="J848" t="s">
        <v>2405</v>
      </c>
    </row>
    <row r="849" spans="1:10" x14ac:dyDescent="0.25">
      <c r="A849" t="s">
        <v>8</v>
      </c>
      <c r="B849" t="s">
        <v>2406</v>
      </c>
      <c r="C849" t="s">
        <v>2407</v>
      </c>
      <c r="D849">
        <v>1</v>
      </c>
      <c r="E849" t="s">
        <v>1514</v>
      </c>
      <c r="F849" t="s">
        <v>1515</v>
      </c>
      <c r="G849" s="1"/>
      <c r="H849" t="str">
        <f>"3250616365940"</f>
        <v>3250616365940</v>
      </c>
      <c r="J849" t="s">
        <v>2408</v>
      </c>
    </row>
    <row r="850" spans="1:10" x14ac:dyDescent="0.25">
      <c r="A850" t="s">
        <v>8</v>
      </c>
      <c r="B850" t="s">
        <v>2409</v>
      </c>
      <c r="C850" t="s">
        <v>2410</v>
      </c>
      <c r="D850">
        <v>1</v>
      </c>
      <c r="E850" t="s">
        <v>1514</v>
      </c>
      <c r="F850" t="s">
        <v>1515</v>
      </c>
      <c r="G850" s="1"/>
      <c r="H850" t="str">
        <f>"3250610661710"</f>
        <v>3250610661710</v>
      </c>
      <c r="J850" t="s">
        <v>2411</v>
      </c>
    </row>
    <row r="851" spans="1:10" x14ac:dyDescent="0.25">
      <c r="A851" t="s">
        <v>8</v>
      </c>
      <c r="B851" t="s">
        <v>2412</v>
      </c>
      <c r="C851" t="s">
        <v>2413</v>
      </c>
      <c r="D851">
        <v>1</v>
      </c>
      <c r="E851" t="s">
        <v>1514</v>
      </c>
      <c r="F851" t="s">
        <v>1515</v>
      </c>
      <c r="G851" s="1"/>
      <c r="H851" t="str">
        <f>"3250612531264"</f>
        <v>3250612531264</v>
      </c>
      <c r="J851" t="s">
        <v>2414</v>
      </c>
    </row>
    <row r="852" spans="1:10" x14ac:dyDescent="0.25">
      <c r="A852" t="s">
        <v>8</v>
      </c>
      <c r="B852" t="s">
        <v>2415</v>
      </c>
      <c r="C852" t="s">
        <v>2416</v>
      </c>
      <c r="D852">
        <v>1</v>
      </c>
      <c r="E852" t="s">
        <v>1514</v>
      </c>
      <c r="F852" t="s">
        <v>1515</v>
      </c>
      <c r="G852" s="1"/>
      <c r="H852" t="str">
        <f>"3250612533107"</f>
        <v>3250612533107</v>
      </c>
      <c r="J852" t="s">
        <v>2417</v>
      </c>
    </row>
    <row r="853" spans="1:10" x14ac:dyDescent="0.25">
      <c r="A853" t="s">
        <v>8</v>
      </c>
      <c r="B853" t="s">
        <v>2418</v>
      </c>
      <c r="C853" t="s">
        <v>2419</v>
      </c>
      <c r="D853">
        <v>1</v>
      </c>
      <c r="E853" t="s">
        <v>1514</v>
      </c>
      <c r="F853" t="s">
        <v>1515</v>
      </c>
      <c r="G853" s="1"/>
      <c r="H853" t="str">
        <f>"3250612533169"</f>
        <v>3250612533169</v>
      </c>
      <c r="J853" t="s">
        <v>2420</v>
      </c>
    </row>
    <row r="854" spans="1:10" x14ac:dyDescent="0.25">
      <c r="A854" t="s">
        <v>8</v>
      </c>
      <c r="B854" t="s">
        <v>2421</v>
      </c>
      <c r="C854" t="s">
        <v>2422</v>
      </c>
      <c r="D854">
        <v>1</v>
      </c>
      <c r="E854" t="s">
        <v>1514</v>
      </c>
      <c r="F854" t="s">
        <v>1515</v>
      </c>
      <c r="G854" s="1"/>
      <c r="H854" t="str">
        <f>"3250612533404"</f>
        <v>3250612533404</v>
      </c>
      <c r="J854" t="s">
        <v>2423</v>
      </c>
    </row>
    <row r="855" spans="1:10" x14ac:dyDescent="0.25">
      <c r="A855" t="s">
        <v>8</v>
      </c>
      <c r="B855" t="s">
        <v>2424</v>
      </c>
      <c r="C855" t="s">
        <v>2425</v>
      </c>
      <c r="D855">
        <v>1</v>
      </c>
      <c r="E855" t="s">
        <v>1514</v>
      </c>
      <c r="F855" t="s">
        <v>1515</v>
      </c>
      <c r="G855" s="1"/>
      <c r="H855" t="str">
        <f>"3250612533459"</f>
        <v>3250612533459</v>
      </c>
      <c r="J855" t="s">
        <v>2426</v>
      </c>
    </row>
    <row r="856" spans="1:10" x14ac:dyDescent="0.25">
      <c r="A856" t="s">
        <v>8</v>
      </c>
      <c r="B856" t="s">
        <v>2427</v>
      </c>
      <c r="C856" t="s">
        <v>2428</v>
      </c>
      <c r="D856">
        <v>1</v>
      </c>
      <c r="E856" t="s">
        <v>1514</v>
      </c>
      <c r="F856" t="s">
        <v>1515</v>
      </c>
      <c r="G856" s="1"/>
      <c r="H856" t="str">
        <f>"3250610671375"</f>
        <v>3250610671375</v>
      </c>
      <c r="J856" t="s">
        <v>2429</v>
      </c>
    </row>
    <row r="857" spans="1:10" x14ac:dyDescent="0.25">
      <c r="A857" t="s">
        <v>8</v>
      </c>
      <c r="B857" t="s">
        <v>2430</v>
      </c>
      <c r="C857" t="s">
        <v>2431</v>
      </c>
      <c r="D857">
        <v>1</v>
      </c>
      <c r="E857" t="s">
        <v>1514</v>
      </c>
      <c r="F857" t="s">
        <v>1515</v>
      </c>
      <c r="G857" s="1"/>
      <c r="H857" t="str">
        <f>"3250610671511"</f>
        <v>3250610671511</v>
      </c>
      <c r="J857" t="s">
        <v>2432</v>
      </c>
    </row>
    <row r="858" spans="1:10" x14ac:dyDescent="0.25">
      <c r="A858" t="s">
        <v>8</v>
      </c>
      <c r="B858" t="s">
        <v>2433</v>
      </c>
      <c r="C858" t="s">
        <v>2434</v>
      </c>
      <c r="D858">
        <v>1</v>
      </c>
      <c r="E858" t="s">
        <v>1514</v>
      </c>
      <c r="F858" t="s">
        <v>1515</v>
      </c>
      <c r="G858" s="1"/>
      <c r="H858" t="str">
        <f>"3250610671856"</f>
        <v>3250610671856</v>
      </c>
      <c r="J858" t="s">
        <v>2073</v>
      </c>
    </row>
    <row r="859" spans="1:10" x14ac:dyDescent="0.25">
      <c r="A859" t="s">
        <v>8</v>
      </c>
      <c r="B859" t="s">
        <v>2435</v>
      </c>
      <c r="C859" t="s">
        <v>2436</v>
      </c>
      <c r="D859">
        <v>1</v>
      </c>
      <c r="E859" t="s">
        <v>1514</v>
      </c>
      <c r="F859" t="s">
        <v>1515</v>
      </c>
      <c r="G859" s="1"/>
      <c r="H859" t="str">
        <f>"3250610672945"</f>
        <v>3250610672945</v>
      </c>
      <c r="J859" t="s">
        <v>2437</v>
      </c>
    </row>
    <row r="860" spans="1:10" x14ac:dyDescent="0.25">
      <c r="A860" t="s">
        <v>8</v>
      </c>
      <c r="B860" t="s">
        <v>2438</v>
      </c>
      <c r="C860" t="s">
        <v>2439</v>
      </c>
      <c r="D860">
        <v>1</v>
      </c>
      <c r="E860" t="s">
        <v>1514</v>
      </c>
      <c r="F860" t="s">
        <v>1515</v>
      </c>
      <c r="G860" s="1"/>
      <c r="H860" t="str">
        <f>"3250610672228"</f>
        <v>3250610672228</v>
      </c>
      <c r="J860" t="s">
        <v>2440</v>
      </c>
    </row>
    <row r="861" spans="1:10" x14ac:dyDescent="0.25">
      <c r="A861" t="s">
        <v>8</v>
      </c>
      <c r="B861" t="s">
        <v>2441</v>
      </c>
      <c r="C861" t="s">
        <v>2442</v>
      </c>
      <c r="D861">
        <v>1</v>
      </c>
      <c r="E861" t="s">
        <v>1514</v>
      </c>
      <c r="F861" t="s">
        <v>1515</v>
      </c>
      <c r="G861" s="1"/>
      <c r="H861" t="str">
        <f>"3250612621095"</f>
        <v>3250612621095</v>
      </c>
      <c r="J861" t="s">
        <v>2443</v>
      </c>
    </row>
    <row r="862" spans="1:10" x14ac:dyDescent="0.25">
      <c r="A862" t="s">
        <v>8</v>
      </c>
      <c r="B862" t="s">
        <v>2444</v>
      </c>
      <c r="C862" t="s">
        <v>2445</v>
      </c>
      <c r="D862">
        <v>1</v>
      </c>
      <c r="E862" t="s">
        <v>1514</v>
      </c>
      <c r="F862" t="s">
        <v>1515</v>
      </c>
      <c r="G862" s="1"/>
      <c r="H862" t="str">
        <f>"3250610672327"</f>
        <v>3250610672327</v>
      </c>
      <c r="J862" t="s">
        <v>2446</v>
      </c>
    </row>
    <row r="863" spans="1:10" x14ac:dyDescent="0.25">
      <c r="A863" t="s">
        <v>8</v>
      </c>
      <c r="B863" t="s">
        <v>2447</v>
      </c>
      <c r="C863" t="s">
        <v>1548</v>
      </c>
      <c r="D863">
        <v>1</v>
      </c>
      <c r="E863" t="s">
        <v>1514</v>
      </c>
      <c r="F863" t="s">
        <v>1515</v>
      </c>
      <c r="G863" s="1"/>
      <c r="H863" t="str">
        <f>"3250612634293"</f>
        <v>3250612634293</v>
      </c>
      <c r="J863" t="s">
        <v>2448</v>
      </c>
    </row>
    <row r="864" spans="1:10" x14ac:dyDescent="0.25">
      <c r="A864" t="s">
        <v>8</v>
      </c>
      <c r="B864" t="s">
        <v>2449</v>
      </c>
      <c r="C864" t="s">
        <v>2450</v>
      </c>
      <c r="D864">
        <v>1</v>
      </c>
      <c r="E864" t="s">
        <v>1514</v>
      </c>
      <c r="F864" t="s">
        <v>1515</v>
      </c>
      <c r="G864" s="1"/>
      <c r="H864" t="str">
        <f>"3250612635443"</f>
        <v>3250612635443</v>
      </c>
      <c r="J864" t="s">
        <v>2451</v>
      </c>
    </row>
    <row r="865" spans="1:10" x14ac:dyDescent="0.25">
      <c r="A865" t="s">
        <v>8</v>
      </c>
      <c r="B865" t="s">
        <v>2452</v>
      </c>
      <c r="C865" t="s">
        <v>2453</v>
      </c>
      <c r="D865">
        <v>1</v>
      </c>
      <c r="E865" t="s">
        <v>1514</v>
      </c>
      <c r="F865" t="s">
        <v>1515</v>
      </c>
      <c r="G865" s="1"/>
      <c r="H865" t="str">
        <f>"3250612636402"</f>
        <v>3250612636402</v>
      </c>
      <c r="J865" t="s">
        <v>2454</v>
      </c>
    </row>
    <row r="866" spans="1:10" x14ac:dyDescent="0.25">
      <c r="A866" t="s">
        <v>8</v>
      </c>
      <c r="B866" t="s">
        <v>2455</v>
      </c>
      <c r="C866" t="s">
        <v>2456</v>
      </c>
      <c r="D866">
        <v>1</v>
      </c>
      <c r="E866" t="s">
        <v>1514</v>
      </c>
      <c r="F866" t="s">
        <v>1515</v>
      </c>
      <c r="G866" s="1"/>
      <c r="H866" t="str">
        <f>"3250612777051"</f>
        <v>3250612777051</v>
      </c>
      <c r="J866" t="s">
        <v>2457</v>
      </c>
    </row>
    <row r="867" spans="1:10" x14ac:dyDescent="0.25">
      <c r="A867" t="s">
        <v>8</v>
      </c>
      <c r="B867" t="s">
        <v>2458</v>
      </c>
      <c r="C867" t="s">
        <v>2459</v>
      </c>
      <c r="D867">
        <v>1</v>
      </c>
      <c r="E867" t="s">
        <v>1514</v>
      </c>
      <c r="F867" t="s">
        <v>1515</v>
      </c>
      <c r="G867" s="1"/>
      <c r="H867" t="str">
        <f>"3250612764020"</f>
        <v>3250612764020</v>
      </c>
      <c r="J867" t="s">
        <v>2460</v>
      </c>
    </row>
    <row r="868" spans="1:10" x14ac:dyDescent="0.25">
      <c r="A868" t="s">
        <v>8</v>
      </c>
      <c r="B868" t="s">
        <v>2461</v>
      </c>
      <c r="C868" t="s">
        <v>2462</v>
      </c>
      <c r="D868">
        <v>1</v>
      </c>
      <c r="E868" t="s">
        <v>1514</v>
      </c>
      <c r="F868" t="s">
        <v>1515</v>
      </c>
      <c r="G868" s="1"/>
      <c r="H868" t="str">
        <f>"3250612764471"</f>
        <v>3250612764471</v>
      </c>
      <c r="J868" t="s">
        <v>2463</v>
      </c>
    </row>
    <row r="869" spans="1:10" x14ac:dyDescent="0.25">
      <c r="A869" t="s">
        <v>8</v>
      </c>
      <c r="B869" t="s">
        <v>2464</v>
      </c>
      <c r="C869" t="s">
        <v>2465</v>
      </c>
      <c r="D869">
        <v>1</v>
      </c>
      <c r="E869" t="s">
        <v>1514</v>
      </c>
      <c r="F869" t="s">
        <v>1515</v>
      </c>
      <c r="G869" s="1"/>
      <c r="H869" t="str">
        <f>"3250612765034"</f>
        <v>3250612765034</v>
      </c>
      <c r="J869" t="s">
        <v>1142</v>
      </c>
    </row>
    <row r="870" spans="1:10" x14ac:dyDescent="0.25">
      <c r="A870" t="s">
        <v>8</v>
      </c>
      <c r="B870" t="s">
        <v>2466</v>
      </c>
      <c r="C870" t="s">
        <v>2467</v>
      </c>
      <c r="D870">
        <v>1</v>
      </c>
      <c r="E870" t="s">
        <v>1514</v>
      </c>
      <c r="F870" t="s">
        <v>1515</v>
      </c>
      <c r="G870" s="1"/>
      <c r="H870" t="str">
        <f>"3250612765171"</f>
        <v>3250612765171</v>
      </c>
      <c r="J870" t="s">
        <v>1814</v>
      </c>
    </row>
    <row r="871" spans="1:10" x14ac:dyDescent="0.25">
      <c r="A871" t="s">
        <v>8</v>
      </c>
      <c r="B871" t="s">
        <v>2468</v>
      </c>
      <c r="C871" t="s">
        <v>2469</v>
      </c>
      <c r="D871">
        <v>1</v>
      </c>
      <c r="E871" t="s">
        <v>1514</v>
      </c>
      <c r="F871" t="s">
        <v>1515</v>
      </c>
      <c r="G871" s="1"/>
      <c r="H871" t="str">
        <f>"3250612778515"</f>
        <v>3250612778515</v>
      </c>
      <c r="J871" t="s">
        <v>2470</v>
      </c>
    </row>
    <row r="872" spans="1:10" x14ac:dyDescent="0.25">
      <c r="A872" t="s">
        <v>8</v>
      </c>
      <c r="B872" t="s">
        <v>2471</v>
      </c>
      <c r="C872" t="s">
        <v>2472</v>
      </c>
      <c r="D872">
        <v>1</v>
      </c>
      <c r="E872" t="s">
        <v>1514</v>
      </c>
      <c r="F872" t="s">
        <v>1515</v>
      </c>
      <c r="G872" s="1"/>
      <c r="H872" t="str">
        <f>"3250612778560"</f>
        <v>3250612778560</v>
      </c>
      <c r="J872" t="s">
        <v>2473</v>
      </c>
    </row>
    <row r="873" spans="1:10" x14ac:dyDescent="0.25">
      <c r="A873" t="s">
        <v>8</v>
      </c>
      <c r="B873" t="s">
        <v>2474</v>
      </c>
      <c r="C873" t="s">
        <v>2475</v>
      </c>
      <c r="D873">
        <v>1</v>
      </c>
      <c r="E873" t="s">
        <v>1514</v>
      </c>
      <c r="F873" t="s">
        <v>1515</v>
      </c>
      <c r="G873" s="1"/>
      <c r="H873" t="str">
        <f>"3250613450038"</f>
        <v>3250613450038</v>
      </c>
      <c r="J873" t="s">
        <v>2476</v>
      </c>
    </row>
    <row r="874" spans="1:10" x14ac:dyDescent="0.25">
      <c r="A874" t="s">
        <v>8</v>
      </c>
      <c r="B874" t="s">
        <v>2477</v>
      </c>
      <c r="C874" t="s">
        <v>2478</v>
      </c>
      <c r="D874">
        <v>1</v>
      </c>
      <c r="E874" t="s">
        <v>1514</v>
      </c>
      <c r="F874" t="s">
        <v>1515</v>
      </c>
      <c r="G874" s="1"/>
      <c r="H874" t="str">
        <f>"3250616138162"</f>
        <v>3250616138162</v>
      </c>
      <c r="J874" t="s">
        <v>2479</v>
      </c>
    </row>
    <row r="875" spans="1:10" x14ac:dyDescent="0.25">
      <c r="A875" t="s">
        <v>8</v>
      </c>
      <c r="B875" t="s">
        <v>2480</v>
      </c>
      <c r="C875" t="s">
        <v>2481</v>
      </c>
      <c r="D875">
        <v>1</v>
      </c>
      <c r="E875" t="s">
        <v>1514</v>
      </c>
      <c r="F875" t="s">
        <v>1515</v>
      </c>
      <c r="G875" s="1"/>
      <c r="H875" t="str">
        <f>"3250616138278"</f>
        <v>3250616138278</v>
      </c>
      <c r="J875" t="s">
        <v>2482</v>
      </c>
    </row>
    <row r="876" spans="1:10" x14ac:dyDescent="0.25">
      <c r="A876" t="s">
        <v>8</v>
      </c>
      <c r="B876" t="s">
        <v>2483</v>
      </c>
      <c r="C876" t="s">
        <v>2484</v>
      </c>
      <c r="D876">
        <v>1</v>
      </c>
      <c r="E876" t="s">
        <v>1514</v>
      </c>
      <c r="F876" t="s">
        <v>1515</v>
      </c>
      <c r="G876" s="1"/>
      <c r="H876" t="str">
        <f>"3250616139121"</f>
        <v>3250616139121</v>
      </c>
      <c r="J876" t="s">
        <v>2485</v>
      </c>
    </row>
    <row r="877" spans="1:10" x14ac:dyDescent="0.25">
      <c r="A877" t="s">
        <v>8</v>
      </c>
      <c r="B877" t="s">
        <v>2486</v>
      </c>
      <c r="C877" t="s">
        <v>2487</v>
      </c>
      <c r="D877">
        <v>1</v>
      </c>
      <c r="E877" t="s">
        <v>1514</v>
      </c>
      <c r="F877" t="s">
        <v>1515</v>
      </c>
      <c r="G877" s="1"/>
      <c r="H877" t="str">
        <f>"3250616130982"</f>
        <v>3250616130982</v>
      </c>
      <c r="J877" t="s">
        <v>1578</v>
      </c>
    </row>
    <row r="878" spans="1:10" x14ac:dyDescent="0.25">
      <c r="A878" t="s">
        <v>8</v>
      </c>
      <c r="B878" t="s">
        <v>2488</v>
      </c>
      <c r="C878" t="s">
        <v>2489</v>
      </c>
      <c r="D878">
        <v>1</v>
      </c>
      <c r="E878" t="s">
        <v>1514</v>
      </c>
      <c r="F878" t="s">
        <v>1515</v>
      </c>
      <c r="G878" s="1"/>
      <c r="H878" t="str">
        <f>"3250616240056"</f>
        <v>3250616240056</v>
      </c>
      <c r="J878" t="s">
        <v>2490</v>
      </c>
    </row>
    <row r="879" spans="1:10" x14ac:dyDescent="0.25">
      <c r="A879" t="s">
        <v>8</v>
      </c>
      <c r="B879" t="s">
        <v>2491</v>
      </c>
      <c r="C879" t="s">
        <v>2492</v>
      </c>
      <c r="D879">
        <v>1</v>
      </c>
      <c r="E879" t="s">
        <v>1514</v>
      </c>
      <c r="F879" t="s">
        <v>1515</v>
      </c>
      <c r="G879" s="1"/>
      <c r="H879" t="str">
        <f>"3250616300170"</f>
        <v>3250616300170</v>
      </c>
      <c r="J879" t="s">
        <v>2493</v>
      </c>
    </row>
    <row r="880" spans="1:10" x14ac:dyDescent="0.25">
      <c r="A880" t="s">
        <v>8</v>
      </c>
      <c r="B880" t="s">
        <v>2494</v>
      </c>
      <c r="C880" t="s">
        <v>2495</v>
      </c>
      <c r="D880">
        <v>1</v>
      </c>
      <c r="E880" t="s">
        <v>1514</v>
      </c>
      <c r="F880" t="s">
        <v>1515</v>
      </c>
      <c r="G880" s="1"/>
      <c r="H880" t="str">
        <f>"3250616364455"</f>
        <v>3250616364455</v>
      </c>
      <c r="J880" t="s">
        <v>2496</v>
      </c>
    </row>
    <row r="881" spans="1:10" x14ac:dyDescent="0.25">
      <c r="A881" t="s">
        <v>8</v>
      </c>
      <c r="B881" t="s">
        <v>2497</v>
      </c>
      <c r="C881" t="s">
        <v>2498</v>
      </c>
      <c r="D881">
        <v>1</v>
      </c>
      <c r="E881" t="s">
        <v>1514</v>
      </c>
      <c r="F881" t="s">
        <v>1515</v>
      </c>
      <c r="G881" s="1"/>
      <c r="H881" t="str">
        <f>"3250616365933"</f>
        <v>3250616365933</v>
      </c>
      <c r="J881" t="s">
        <v>2499</v>
      </c>
    </row>
    <row r="882" spans="1:10" x14ac:dyDescent="0.25">
      <c r="A882" t="s">
        <v>8</v>
      </c>
      <c r="B882" t="s">
        <v>2500</v>
      </c>
      <c r="C882" t="s">
        <v>2501</v>
      </c>
      <c r="D882">
        <v>1</v>
      </c>
      <c r="E882" t="s">
        <v>1514</v>
      </c>
      <c r="F882" t="s">
        <v>1515</v>
      </c>
      <c r="G882" s="1"/>
      <c r="H882" t="str">
        <f>"3250610189597"</f>
        <v>3250610189597</v>
      </c>
      <c r="J882" t="s">
        <v>2502</v>
      </c>
    </row>
    <row r="883" spans="1:10" x14ac:dyDescent="0.25">
      <c r="A883" t="s">
        <v>8</v>
      </c>
      <c r="B883" t="s">
        <v>2503</v>
      </c>
      <c r="C883" t="s">
        <v>2504</v>
      </c>
      <c r="D883">
        <v>1</v>
      </c>
      <c r="E883" t="s">
        <v>1514</v>
      </c>
      <c r="F883" t="s">
        <v>1515</v>
      </c>
      <c r="G883" s="1"/>
      <c r="H883" t="str">
        <f>"3250610189740"</f>
        <v>3250610189740</v>
      </c>
      <c r="J883" t="s">
        <v>2505</v>
      </c>
    </row>
    <row r="884" spans="1:10" x14ac:dyDescent="0.25">
      <c r="A884" t="s">
        <v>8</v>
      </c>
      <c r="B884" t="s">
        <v>2506</v>
      </c>
      <c r="C884" t="s">
        <v>2507</v>
      </c>
      <c r="D884">
        <v>1</v>
      </c>
      <c r="E884" t="s">
        <v>1514</v>
      </c>
      <c r="F884" t="s">
        <v>1515</v>
      </c>
      <c r="G884" s="1"/>
      <c r="H884" t="str">
        <f>"3250610190630"</f>
        <v>3250610190630</v>
      </c>
      <c r="J884" t="s">
        <v>2508</v>
      </c>
    </row>
    <row r="885" spans="1:10" x14ac:dyDescent="0.25">
      <c r="A885" t="s">
        <v>8</v>
      </c>
      <c r="B885" t="s">
        <v>2509</v>
      </c>
      <c r="C885" t="s">
        <v>2510</v>
      </c>
      <c r="D885">
        <v>1</v>
      </c>
      <c r="E885" t="s">
        <v>1514</v>
      </c>
      <c r="F885" t="s">
        <v>1515</v>
      </c>
      <c r="G885" s="1"/>
      <c r="H885" t="str">
        <f>"3250619272122"</f>
        <v>3250619272122</v>
      </c>
      <c r="J885" t="s">
        <v>2511</v>
      </c>
    </row>
    <row r="886" spans="1:10" x14ac:dyDescent="0.25">
      <c r="A886" t="s">
        <v>8</v>
      </c>
      <c r="B886" t="s">
        <v>2512</v>
      </c>
      <c r="C886" t="s">
        <v>2513</v>
      </c>
      <c r="D886">
        <v>1</v>
      </c>
      <c r="E886" t="s">
        <v>1514</v>
      </c>
      <c r="F886" t="s">
        <v>1515</v>
      </c>
      <c r="G886" s="1"/>
      <c r="H886" t="str">
        <f>"3250610189535"</f>
        <v>3250610189535</v>
      </c>
      <c r="J886" t="s">
        <v>2514</v>
      </c>
    </row>
    <row r="887" spans="1:10" x14ac:dyDescent="0.25">
      <c r="A887" t="s">
        <v>8</v>
      </c>
      <c r="B887" t="s">
        <v>2515</v>
      </c>
      <c r="C887" t="s">
        <v>2516</v>
      </c>
      <c r="D887">
        <v>1</v>
      </c>
      <c r="E887" t="s">
        <v>1514</v>
      </c>
      <c r="F887" t="s">
        <v>1515</v>
      </c>
      <c r="G887" s="1"/>
      <c r="H887" t="str">
        <f>"3250610189580"</f>
        <v>3250610189580</v>
      </c>
      <c r="J887" t="s">
        <v>2517</v>
      </c>
    </row>
    <row r="888" spans="1:10" x14ac:dyDescent="0.25">
      <c r="A888" t="s">
        <v>8</v>
      </c>
      <c r="B888" t="s">
        <v>2518</v>
      </c>
      <c r="C888" t="s">
        <v>2519</v>
      </c>
      <c r="D888">
        <v>1</v>
      </c>
      <c r="E888" t="s">
        <v>1514</v>
      </c>
      <c r="F888" t="s">
        <v>1515</v>
      </c>
      <c r="G888" s="1"/>
      <c r="H888" t="str">
        <f>"3250610189733"</f>
        <v>3250610189733</v>
      </c>
      <c r="J888" t="s">
        <v>2520</v>
      </c>
    </row>
    <row r="889" spans="1:10" x14ac:dyDescent="0.25">
      <c r="A889" t="s">
        <v>8</v>
      </c>
      <c r="B889" t="s">
        <v>2521</v>
      </c>
      <c r="C889" t="s">
        <v>2522</v>
      </c>
      <c r="D889">
        <v>1</v>
      </c>
      <c r="E889" t="s">
        <v>1514</v>
      </c>
      <c r="F889" t="s">
        <v>1515</v>
      </c>
      <c r="G889" s="1"/>
      <c r="H889" t="str">
        <f>"3250610190623"</f>
        <v>3250610190623</v>
      </c>
      <c r="J889" t="s">
        <v>2523</v>
      </c>
    </row>
    <row r="890" spans="1:10" x14ac:dyDescent="0.25">
      <c r="A890" t="s">
        <v>8</v>
      </c>
      <c r="B890" t="s">
        <v>2524</v>
      </c>
      <c r="C890" t="s">
        <v>2525</v>
      </c>
      <c r="D890">
        <v>1</v>
      </c>
      <c r="E890" t="s">
        <v>1514</v>
      </c>
      <c r="F890" t="s">
        <v>1515</v>
      </c>
      <c r="G890" s="1"/>
      <c r="H890" t="str">
        <f>"3250610189726"</f>
        <v>3250610189726</v>
      </c>
      <c r="J890" t="s">
        <v>2526</v>
      </c>
    </row>
    <row r="891" spans="1:10" x14ac:dyDescent="0.25">
      <c r="A891" t="s">
        <v>8</v>
      </c>
      <c r="B891" t="s">
        <v>2527</v>
      </c>
      <c r="C891" t="s">
        <v>2528</v>
      </c>
      <c r="D891">
        <v>1</v>
      </c>
      <c r="E891" t="s">
        <v>1514</v>
      </c>
      <c r="F891" t="s">
        <v>1515</v>
      </c>
      <c r="G891" s="1"/>
      <c r="H891" t="str">
        <f>"3250610190593"</f>
        <v>3250610190593</v>
      </c>
      <c r="J891" t="s">
        <v>2529</v>
      </c>
    </row>
    <row r="892" spans="1:10" x14ac:dyDescent="0.25">
      <c r="A892" t="s">
        <v>8</v>
      </c>
      <c r="B892" t="s">
        <v>2530</v>
      </c>
      <c r="C892" t="s">
        <v>2531</v>
      </c>
      <c r="D892">
        <v>1</v>
      </c>
      <c r="E892" t="s">
        <v>1514</v>
      </c>
      <c r="F892" t="s">
        <v>1515</v>
      </c>
      <c r="G892" s="1"/>
      <c r="H892" t="str">
        <f>"3250610189665"</f>
        <v>3250610189665</v>
      </c>
      <c r="J892" t="s">
        <v>2532</v>
      </c>
    </row>
    <row r="893" spans="1:10" x14ac:dyDescent="0.25">
      <c r="A893" t="s">
        <v>8</v>
      </c>
      <c r="B893" t="s">
        <v>2533</v>
      </c>
      <c r="C893" t="s">
        <v>2534</v>
      </c>
      <c r="D893">
        <v>1</v>
      </c>
      <c r="E893" t="s">
        <v>1514</v>
      </c>
      <c r="F893" t="s">
        <v>1515</v>
      </c>
      <c r="G893" s="1"/>
      <c r="H893" t="str">
        <f>"3250610189719"</f>
        <v>3250610189719</v>
      </c>
      <c r="J893" t="s">
        <v>2535</v>
      </c>
    </row>
    <row r="894" spans="1:10" x14ac:dyDescent="0.25">
      <c r="A894" t="s">
        <v>8</v>
      </c>
      <c r="B894" t="s">
        <v>2536</v>
      </c>
      <c r="C894" t="s">
        <v>2513</v>
      </c>
      <c r="D894">
        <v>1</v>
      </c>
      <c r="E894" t="s">
        <v>1514</v>
      </c>
      <c r="F894" t="s">
        <v>1515</v>
      </c>
      <c r="G894" s="1"/>
      <c r="H894" t="str">
        <f>"3250610189658"</f>
        <v>3250610189658</v>
      </c>
      <c r="J894" t="s">
        <v>2537</v>
      </c>
    </row>
    <row r="895" spans="1:10" x14ac:dyDescent="0.25">
      <c r="A895" t="s">
        <v>8</v>
      </c>
      <c r="B895" t="s">
        <v>2538</v>
      </c>
      <c r="C895" t="s">
        <v>2539</v>
      </c>
      <c r="D895">
        <v>1</v>
      </c>
      <c r="E895" t="s">
        <v>1514</v>
      </c>
      <c r="F895" t="s">
        <v>1515</v>
      </c>
      <c r="G895" s="1"/>
      <c r="H895" t="str">
        <f>"3250610189573"</f>
        <v>3250610189573</v>
      </c>
      <c r="J895" t="s">
        <v>2540</v>
      </c>
    </row>
    <row r="896" spans="1:10" x14ac:dyDescent="0.25">
      <c r="A896" t="s">
        <v>8</v>
      </c>
      <c r="B896" t="s">
        <v>2541</v>
      </c>
      <c r="C896" t="s">
        <v>2542</v>
      </c>
      <c r="D896">
        <v>1</v>
      </c>
      <c r="E896" t="s">
        <v>1514</v>
      </c>
      <c r="F896" t="s">
        <v>1515</v>
      </c>
      <c r="G896" s="1"/>
      <c r="H896" t="str">
        <f>"3250610189634"</f>
        <v>3250610189634</v>
      </c>
      <c r="J896" t="s">
        <v>2543</v>
      </c>
    </row>
    <row r="897" spans="1:10" x14ac:dyDescent="0.25">
      <c r="A897" t="s">
        <v>8</v>
      </c>
      <c r="B897" t="s">
        <v>2544</v>
      </c>
      <c r="C897" t="s">
        <v>2545</v>
      </c>
      <c r="D897">
        <v>1</v>
      </c>
      <c r="E897" t="s">
        <v>1514</v>
      </c>
      <c r="F897" t="s">
        <v>1515</v>
      </c>
      <c r="G897" s="1"/>
      <c r="H897" t="str">
        <f>"3250610189641"</f>
        <v>3250610189641</v>
      </c>
      <c r="J897" t="s">
        <v>2546</v>
      </c>
    </row>
    <row r="898" spans="1:10" x14ac:dyDescent="0.25">
      <c r="A898" t="s">
        <v>8</v>
      </c>
      <c r="B898" t="s">
        <v>2547</v>
      </c>
      <c r="C898" t="s">
        <v>2548</v>
      </c>
      <c r="D898">
        <v>1</v>
      </c>
      <c r="E898" t="s">
        <v>1514</v>
      </c>
      <c r="F898" t="s">
        <v>1515</v>
      </c>
      <c r="G898" s="1"/>
      <c r="H898" t="str">
        <f>"3250610190616"</f>
        <v>3250610190616</v>
      </c>
      <c r="J898" t="s">
        <v>2549</v>
      </c>
    </row>
    <row r="899" spans="1:10" x14ac:dyDescent="0.25">
      <c r="A899" t="s">
        <v>8</v>
      </c>
      <c r="B899" t="s">
        <v>2550</v>
      </c>
      <c r="C899" t="s">
        <v>2551</v>
      </c>
      <c r="D899">
        <v>1</v>
      </c>
      <c r="E899" t="s">
        <v>1514</v>
      </c>
      <c r="F899" t="s">
        <v>1515</v>
      </c>
      <c r="G899" s="1"/>
      <c r="H899" t="str">
        <f>"3250610189566"</f>
        <v>3250610189566</v>
      </c>
      <c r="J899" t="s">
        <v>2552</v>
      </c>
    </row>
    <row r="900" spans="1:10" x14ac:dyDescent="0.25">
      <c r="A900" t="s">
        <v>8</v>
      </c>
      <c r="B900" t="s">
        <v>2553</v>
      </c>
      <c r="C900" t="s">
        <v>2554</v>
      </c>
      <c r="D900">
        <v>1</v>
      </c>
      <c r="E900" t="s">
        <v>1514</v>
      </c>
      <c r="F900" t="s">
        <v>1515</v>
      </c>
      <c r="G900" s="1"/>
      <c r="H900" t="str">
        <f>"3250610189627"</f>
        <v>3250610189627</v>
      </c>
      <c r="J900" t="s">
        <v>2555</v>
      </c>
    </row>
    <row r="901" spans="1:10" x14ac:dyDescent="0.25">
      <c r="A901" t="s">
        <v>8</v>
      </c>
      <c r="B901" t="s">
        <v>2556</v>
      </c>
      <c r="C901" t="s">
        <v>2557</v>
      </c>
      <c r="D901">
        <v>1</v>
      </c>
      <c r="E901" t="s">
        <v>1514</v>
      </c>
      <c r="F901" t="s">
        <v>1515</v>
      </c>
      <c r="G901" s="1"/>
      <c r="H901" t="str">
        <f>"3250610189764"</f>
        <v>3250610189764</v>
      </c>
      <c r="J901" t="s">
        <v>2558</v>
      </c>
    </row>
    <row r="902" spans="1:10" x14ac:dyDescent="0.25">
      <c r="A902" t="s">
        <v>8</v>
      </c>
      <c r="B902" t="s">
        <v>2559</v>
      </c>
      <c r="C902" t="s">
        <v>2560</v>
      </c>
      <c r="D902">
        <v>1</v>
      </c>
      <c r="E902" t="s">
        <v>1514</v>
      </c>
      <c r="F902" t="s">
        <v>1515</v>
      </c>
      <c r="G902" s="1"/>
      <c r="H902" t="str">
        <f>"3250610189559"</f>
        <v>3250610189559</v>
      </c>
      <c r="J902" t="s">
        <v>2561</v>
      </c>
    </row>
    <row r="903" spans="1:10" x14ac:dyDescent="0.25">
      <c r="A903" t="s">
        <v>8</v>
      </c>
      <c r="B903" t="s">
        <v>2562</v>
      </c>
      <c r="C903" t="s">
        <v>2563</v>
      </c>
      <c r="D903">
        <v>1</v>
      </c>
      <c r="E903" t="s">
        <v>1514</v>
      </c>
      <c r="F903" t="s">
        <v>1515</v>
      </c>
      <c r="G903" s="1"/>
      <c r="H903" t="str">
        <f>"3250610189702"</f>
        <v>3250610189702</v>
      </c>
      <c r="J903" t="s">
        <v>2564</v>
      </c>
    </row>
    <row r="904" spans="1:10" x14ac:dyDescent="0.25">
      <c r="A904" t="s">
        <v>8</v>
      </c>
      <c r="B904" t="s">
        <v>2565</v>
      </c>
      <c r="C904" t="s">
        <v>2566</v>
      </c>
      <c r="D904">
        <v>1</v>
      </c>
      <c r="E904" t="s">
        <v>1514</v>
      </c>
      <c r="F904" t="s">
        <v>1515</v>
      </c>
      <c r="G904" s="1"/>
      <c r="H904" t="str">
        <f>"3250610189757"</f>
        <v>3250610189757</v>
      </c>
      <c r="J904" t="s">
        <v>2567</v>
      </c>
    </row>
    <row r="905" spans="1:10" x14ac:dyDescent="0.25">
      <c r="A905" t="s">
        <v>8</v>
      </c>
      <c r="B905" t="s">
        <v>2568</v>
      </c>
      <c r="C905" t="s">
        <v>2569</v>
      </c>
      <c r="D905">
        <v>1</v>
      </c>
      <c r="E905" t="s">
        <v>1514</v>
      </c>
      <c r="F905" t="s">
        <v>1515</v>
      </c>
      <c r="G905" s="1"/>
      <c r="H905" t="str">
        <f>"3250610189542"</f>
        <v>3250610189542</v>
      </c>
      <c r="J905" t="s">
        <v>2570</v>
      </c>
    </row>
    <row r="906" spans="1:10" x14ac:dyDescent="0.25">
      <c r="A906" t="s">
        <v>8</v>
      </c>
      <c r="B906" t="s">
        <v>2571</v>
      </c>
      <c r="C906" t="s">
        <v>2572</v>
      </c>
      <c r="D906">
        <v>1</v>
      </c>
      <c r="E906" t="s">
        <v>1514</v>
      </c>
      <c r="F906" t="s">
        <v>1515</v>
      </c>
      <c r="G906" s="1"/>
      <c r="H906" t="str">
        <f>"3250610189696"</f>
        <v>3250610189696</v>
      </c>
      <c r="J906" t="s">
        <v>2573</v>
      </c>
    </row>
    <row r="907" spans="1:10" x14ac:dyDescent="0.25">
      <c r="A907" t="s">
        <v>8</v>
      </c>
      <c r="B907" t="s">
        <v>2574</v>
      </c>
      <c r="C907" t="s">
        <v>2575</v>
      </c>
      <c r="D907">
        <v>1</v>
      </c>
      <c r="E907" t="s">
        <v>1514</v>
      </c>
      <c r="F907" t="s">
        <v>1515</v>
      </c>
      <c r="G907" s="1"/>
      <c r="H907" t="str">
        <f>"3250610189610"</f>
        <v>3250610189610</v>
      </c>
      <c r="J907" t="s">
        <v>2576</v>
      </c>
    </row>
    <row r="908" spans="1:10" x14ac:dyDescent="0.25">
      <c r="A908" t="s">
        <v>8</v>
      </c>
      <c r="B908" t="s">
        <v>2577</v>
      </c>
      <c r="C908" t="s">
        <v>2578</v>
      </c>
      <c r="D908">
        <v>1</v>
      </c>
      <c r="E908" t="s">
        <v>1514</v>
      </c>
      <c r="F908" t="s">
        <v>1515</v>
      </c>
      <c r="G908" s="1"/>
      <c r="H908" t="str">
        <f>"3250610189689"</f>
        <v>3250610189689</v>
      </c>
      <c r="J908" t="s">
        <v>2579</v>
      </c>
    </row>
    <row r="909" spans="1:10" x14ac:dyDescent="0.25">
      <c r="A909" t="s">
        <v>8</v>
      </c>
      <c r="B909" t="s">
        <v>2580</v>
      </c>
      <c r="C909" t="s">
        <v>2581</v>
      </c>
      <c r="D909">
        <v>1</v>
      </c>
      <c r="E909" t="s">
        <v>1514</v>
      </c>
      <c r="F909" t="s">
        <v>1515</v>
      </c>
      <c r="G909" s="1"/>
      <c r="H909" t="str">
        <f>"3250610190609"</f>
        <v>3250610190609</v>
      </c>
      <c r="J909" t="s">
        <v>2582</v>
      </c>
    </row>
    <row r="910" spans="1:10" x14ac:dyDescent="0.25">
      <c r="A910" t="s">
        <v>8</v>
      </c>
      <c r="B910" t="s">
        <v>2583</v>
      </c>
      <c r="C910" t="s">
        <v>2584</v>
      </c>
      <c r="D910">
        <v>1</v>
      </c>
      <c r="E910" t="s">
        <v>1514</v>
      </c>
      <c r="F910" t="s">
        <v>1515</v>
      </c>
      <c r="G910" s="1"/>
      <c r="H910" t="str">
        <f>"3250610189603"</f>
        <v>3250610189603</v>
      </c>
      <c r="J910" t="s">
        <v>2585</v>
      </c>
    </row>
    <row r="911" spans="1:10" x14ac:dyDescent="0.25">
      <c r="A911" t="s">
        <v>8</v>
      </c>
      <c r="B911" t="s">
        <v>2586</v>
      </c>
      <c r="C911" t="s">
        <v>2587</v>
      </c>
      <c r="D911">
        <v>1</v>
      </c>
      <c r="E911" t="s">
        <v>1514</v>
      </c>
      <c r="F911" t="s">
        <v>1515</v>
      </c>
      <c r="G911" s="1"/>
      <c r="H911" t="str">
        <f>"3250610189672"</f>
        <v>3250610189672</v>
      </c>
      <c r="J911" t="s">
        <v>2588</v>
      </c>
    </row>
    <row r="912" spans="1:10" x14ac:dyDescent="0.25">
      <c r="A912" t="s">
        <v>8</v>
      </c>
      <c r="B912" t="s">
        <v>2589</v>
      </c>
      <c r="C912" t="s">
        <v>2590</v>
      </c>
      <c r="D912">
        <v>1</v>
      </c>
      <c r="E912" t="s">
        <v>1514</v>
      </c>
      <c r="F912" t="s">
        <v>1515</v>
      </c>
      <c r="G912" s="1"/>
      <c r="H912" t="str">
        <f>"3250612767977"</f>
        <v>3250612767977</v>
      </c>
      <c r="J912" t="s">
        <v>2591</v>
      </c>
    </row>
    <row r="913" spans="1:10" x14ac:dyDescent="0.25">
      <c r="A913" t="s">
        <v>8</v>
      </c>
      <c r="B913" t="s">
        <v>2592</v>
      </c>
      <c r="C913" t="s">
        <v>2593</v>
      </c>
      <c r="D913">
        <v>1</v>
      </c>
      <c r="E913" t="s">
        <v>1514</v>
      </c>
      <c r="F913" t="s">
        <v>1515</v>
      </c>
      <c r="G913" s="1"/>
      <c r="H913" t="str">
        <f>"3250616110052"</f>
        <v>3250616110052</v>
      </c>
      <c r="J913" t="s">
        <v>2594</v>
      </c>
    </row>
    <row r="914" spans="1:10" x14ac:dyDescent="0.25">
      <c r="A914" t="s">
        <v>8</v>
      </c>
      <c r="B914" t="s">
        <v>2595</v>
      </c>
      <c r="C914" t="s">
        <v>2596</v>
      </c>
      <c r="D914">
        <v>1</v>
      </c>
      <c r="E914" t="s">
        <v>1514</v>
      </c>
      <c r="F914" t="s">
        <v>1515</v>
      </c>
      <c r="G914" s="1"/>
      <c r="H914" t="str">
        <f>"3250616110045"</f>
        <v>3250616110045</v>
      </c>
      <c r="J914" t="s">
        <v>2597</v>
      </c>
    </row>
    <row r="915" spans="1:10" x14ac:dyDescent="0.25">
      <c r="A915" t="s">
        <v>8</v>
      </c>
      <c r="B915" t="s">
        <v>2598</v>
      </c>
      <c r="C915" t="s">
        <v>2599</v>
      </c>
      <c r="D915">
        <v>1</v>
      </c>
      <c r="E915" t="s">
        <v>1514</v>
      </c>
      <c r="F915" t="s">
        <v>1515</v>
      </c>
      <c r="G915" s="1"/>
      <c r="H915" t="str">
        <f>"3250610673454"</f>
        <v>3250610673454</v>
      </c>
      <c r="J915" t="s">
        <v>2600</v>
      </c>
    </row>
    <row r="916" spans="1:10" x14ac:dyDescent="0.25">
      <c r="A916" t="s">
        <v>8</v>
      </c>
      <c r="B916" t="s">
        <v>2601</v>
      </c>
      <c r="C916" t="s">
        <v>2602</v>
      </c>
      <c r="D916">
        <v>1</v>
      </c>
      <c r="E916" t="s">
        <v>1514</v>
      </c>
      <c r="F916" t="s">
        <v>1515</v>
      </c>
      <c r="G916" s="1"/>
      <c r="H916" t="str">
        <f>"3250610671559"</f>
        <v>3250610671559</v>
      </c>
      <c r="J916" t="s">
        <v>2603</v>
      </c>
    </row>
    <row r="917" spans="1:10" x14ac:dyDescent="0.25">
      <c r="A917" t="s">
        <v>8</v>
      </c>
      <c r="B917" t="s">
        <v>2604</v>
      </c>
      <c r="C917" t="s">
        <v>2605</v>
      </c>
      <c r="D917">
        <v>1</v>
      </c>
      <c r="E917" t="s">
        <v>1514</v>
      </c>
      <c r="F917" t="s">
        <v>1515</v>
      </c>
      <c r="G917" s="1"/>
      <c r="H917" t="str">
        <f>"3250616110113"</f>
        <v>3250616110113</v>
      </c>
      <c r="J917" t="s">
        <v>2606</v>
      </c>
    </row>
    <row r="918" spans="1:10" x14ac:dyDescent="0.25">
      <c r="A918" t="s">
        <v>8</v>
      </c>
      <c r="B918" t="s">
        <v>2607</v>
      </c>
      <c r="C918" t="s">
        <v>2608</v>
      </c>
      <c r="D918">
        <v>1</v>
      </c>
      <c r="E918" t="s">
        <v>1514</v>
      </c>
      <c r="F918" t="s">
        <v>1515</v>
      </c>
      <c r="G918" s="1"/>
      <c r="H918" t="str">
        <f>"3250610674512"</f>
        <v>3250610674512</v>
      </c>
      <c r="J918" t="s">
        <v>2609</v>
      </c>
    </row>
    <row r="919" spans="1:10" x14ac:dyDescent="0.25">
      <c r="A919" t="s">
        <v>8</v>
      </c>
      <c r="B919" t="s">
        <v>2610</v>
      </c>
      <c r="C919" t="s">
        <v>2611</v>
      </c>
      <c r="D919">
        <v>1</v>
      </c>
      <c r="E919" t="s">
        <v>1514</v>
      </c>
      <c r="F919" t="s">
        <v>1515</v>
      </c>
      <c r="G919" s="1"/>
      <c r="H919" t="str">
        <f>"3250616110106"</f>
        <v>3250616110106</v>
      </c>
      <c r="J919" t="s">
        <v>2612</v>
      </c>
    </row>
    <row r="920" spans="1:10" x14ac:dyDescent="0.25">
      <c r="A920" t="s">
        <v>8</v>
      </c>
      <c r="B920" t="s">
        <v>2613</v>
      </c>
      <c r="C920" t="s">
        <v>2614</v>
      </c>
      <c r="D920">
        <v>1</v>
      </c>
      <c r="E920" t="s">
        <v>1514</v>
      </c>
      <c r="F920" t="s">
        <v>1515</v>
      </c>
      <c r="G920" s="1"/>
      <c r="H920" t="str">
        <f>"3250616110090"</f>
        <v>3250616110090</v>
      </c>
      <c r="J920" t="s">
        <v>2615</v>
      </c>
    </row>
    <row r="921" spans="1:10" x14ac:dyDescent="0.25">
      <c r="A921" t="s">
        <v>8</v>
      </c>
      <c r="B921" t="s">
        <v>2616</v>
      </c>
      <c r="C921" t="s">
        <v>2617</v>
      </c>
      <c r="D921">
        <v>1</v>
      </c>
      <c r="E921" t="s">
        <v>1514</v>
      </c>
      <c r="F921" t="s">
        <v>1515</v>
      </c>
      <c r="G921" s="1"/>
      <c r="H921" t="str">
        <f>"3250616110076"</f>
        <v>3250616110076</v>
      </c>
      <c r="J921" t="s">
        <v>2618</v>
      </c>
    </row>
    <row r="922" spans="1:10" x14ac:dyDescent="0.25">
      <c r="A922" t="s">
        <v>8</v>
      </c>
      <c r="B922" t="s">
        <v>2619</v>
      </c>
      <c r="C922" t="s">
        <v>2620</v>
      </c>
      <c r="D922">
        <v>1</v>
      </c>
      <c r="E922" t="s">
        <v>1514</v>
      </c>
      <c r="F922" t="s">
        <v>1515</v>
      </c>
      <c r="G922" s="1"/>
      <c r="H922" t="str">
        <f>"3250616110069"</f>
        <v>3250616110069</v>
      </c>
      <c r="J922" t="s">
        <v>2621</v>
      </c>
    </row>
    <row r="923" spans="1:10" x14ac:dyDescent="0.25">
      <c r="A923" t="s">
        <v>8</v>
      </c>
      <c r="B923" t="s">
        <v>2622</v>
      </c>
      <c r="C923" t="s">
        <v>2623</v>
      </c>
      <c r="D923">
        <v>1</v>
      </c>
      <c r="E923" t="s">
        <v>1514</v>
      </c>
      <c r="F923" t="s">
        <v>1515</v>
      </c>
      <c r="G923" s="1"/>
      <c r="H923" t="str">
        <f>"3250612765980"</f>
        <v>3250612765980</v>
      </c>
      <c r="J923" t="s">
        <v>2624</v>
      </c>
    </row>
    <row r="924" spans="1:10" x14ac:dyDescent="0.25">
      <c r="A924" t="s">
        <v>8</v>
      </c>
      <c r="B924" t="s">
        <v>2625</v>
      </c>
      <c r="C924" t="s">
        <v>2626</v>
      </c>
      <c r="D924">
        <v>1</v>
      </c>
      <c r="E924" t="s">
        <v>1514</v>
      </c>
      <c r="F924" t="s">
        <v>1515</v>
      </c>
      <c r="G924" s="1"/>
      <c r="H924" t="str">
        <f>"3250616110083"</f>
        <v>3250616110083</v>
      </c>
      <c r="J924" t="s">
        <v>2627</v>
      </c>
    </row>
    <row r="925" spans="1:10" x14ac:dyDescent="0.25">
      <c r="A925" t="s">
        <v>8</v>
      </c>
      <c r="B925" t="s">
        <v>2628</v>
      </c>
      <c r="C925" t="s">
        <v>2629</v>
      </c>
      <c r="D925">
        <v>1</v>
      </c>
      <c r="E925" t="s">
        <v>1514</v>
      </c>
      <c r="F925" t="s">
        <v>1515</v>
      </c>
      <c r="G925" s="1"/>
      <c r="H925" t="str">
        <f>"3250617860352"</f>
        <v>3250617860352</v>
      </c>
      <c r="J925" t="s">
        <v>2630</v>
      </c>
    </row>
    <row r="926" spans="1:10" x14ac:dyDescent="0.25">
      <c r="A926" t="s">
        <v>8</v>
      </c>
      <c r="B926" t="s">
        <v>2631</v>
      </c>
      <c r="C926" t="s">
        <v>2632</v>
      </c>
      <c r="D926">
        <v>1</v>
      </c>
      <c r="E926" t="s">
        <v>1514</v>
      </c>
      <c r="F926" t="s">
        <v>1515</v>
      </c>
      <c r="G926" s="1"/>
      <c r="H926" t="str">
        <f>"3250617860376"</f>
        <v>3250617860376</v>
      </c>
      <c r="J926" t="s">
        <v>2633</v>
      </c>
    </row>
    <row r="927" spans="1:10" x14ac:dyDescent="0.25">
      <c r="A927" t="s">
        <v>8</v>
      </c>
      <c r="B927" t="s">
        <v>2634</v>
      </c>
      <c r="C927" t="s">
        <v>2635</v>
      </c>
      <c r="D927">
        <v>1</v>
      </c>
      <c r="E927" t="s">
        <v>1514</v>
      </c>
      <c r="F927" t="s">
        <v>1515</v>
      </c>
      <c r="G927" s="1"/>
      <c r="H927" t="str">
        <f>"3250617860383"</f>
        <v>3250617860383</v>
      </c>
      <c r="J927" t="s">
        <v>2636</v>
      </c>
    </row>
    <row r="928" spans="1:10" x14ac:dyDescent="0.25">
      <c r="A928" t="s">
        <v>8</v>
      </c>
      <c r="B928" t="s">
        <v>2637</v>
      </c>
      <c r="C928" t="s">
        <v>2638</v>
      </c>
      <c r="D928">
        <v>1</v>
      </c>
      <c r="E928" t="s">
        <v>1514</v>
      </c>
      <c r="F928" t="s">
        <v>1515</v>
      </c>
      <c r="G928" s="1"/>
      <c r="H928" t="str">
        <f>"3250617860390"</f>
        <v>3250617860390</v>
      </c>
      <c r="J928" t="s">
        <v>2636</v>
      </c>
    </row>
    <row r="929" spans="1:10" x14ac:dyDescent="0.25">
      <c r="A929" t="s">
        <v>8</v>
      </c>
      <c r="B929" t="s">
        <v>2639</v>
      </c>
      <c r="C929" t="s">
        <v>2640</v>
      </c>
      <c r="D929">
        <v>1</v>
      </c>
      <c r="E929" t="s">
        <v>1514</v>
      </c>
      <c r="F929" t="s">
        <v>1515</v>
      </c>
      <c r="G929" s="1"/>
      <c r="H929" t="str">
        <f>"3250617860666"</f>
        <v>3250617860666</v>
      </c>
      <c r="J929" t="s">
        <v>2641</v>
      </c>
    </row>
    <row r="930" spans="1:10" x14ac:dyDescent="0.25">
      <c r="A930" t="s">
        <v>8</v>
      </c>
      <c r="B930" t="s">
        <v>2642</v>
      </c>
      <c r="C930" t="s">
        <v>2643</v>
      </c>
      <c r="D930">
        <v>1</v>
      </c>
      <c r="E930" t="s">
        <v>1514</v>
      </c>
      <c r="F930" t="s">
        <v>1515</v>
      </c>
      <c r="G930" s="1"/>
      <c r="H930" t="str">
        <f>"3250617860673"</f>
        <v>3250617860673</v>
      </c>
      <c r="J930" t="s">
        <v>2641</v>
      </c>
    </row>
    <row r="931" spans="1:10" x14ac:dyDescent="0.25">
      <c r="A931" t="s">
        <v>8</v>
      </c>
      <c r="B931" t="s">
        <v>2644</v>
      </c>
      <c r="C931" t="s">
        <v>2645</v>
      </c>
      <c r="D931">
        <v>1</v>
      </c>
      <c r="E931" t="s">
        <v>1514</v>
      </c>
      <c r="F931" t="s">
        <v>1515</v>
      </c>
      <c r="G931" s="1"/>
      <c r="H931" t="str">
        <f>"3250617860680"</f>
        <v>3250617860680</v>
      </c>
      <c r="J931" t="s">
        <v>2641</v>
      </c>
    </row>
    <row r="932" spans="1:10" x14ac:dyDescent="0.25">
      <c r="A932" t="s">
        <v>8</v>
      </c>
      <c r="B932" t="s">
        <v>2646</v>
      </c>
      <c r="C932" t="s">
        <v>2647</v>
      </c>
      <c r="D932">
        <v>1</v>
      </c>
      <c r="E932" t="s">
        <v>1514</v>
      </c>
      <c r="F932" t="s">
        <v>1515</v>
      </c>
      <c r="G932" s="1"/>
      <c r="H932" t="str">
        <f>"3250617860697"</f>
        <v>3250617860697</v>
      </c>
      <c r="J932" t="s">
        <v>2648</v>
      </c>
    </row>
    <row r="933" spans="1:10" x14ac:dyDescent="0.25">
      <c r="A933" t="s">
        <v>8</v>
      </c>
      <c r="B933" t="s">
        <v>2649</v>
      </c>
      <c r="C933" t="s">
        <v>2650</v>
      </c>
      <c r="D933">
        <v>1</v>
      </c>
      <c r="E933" t="s">
        <v>1514</v>
      </c>
      <c r="F933" t="s">
        <v>1515</v>
      </c>
      <c r="G933" s="1"/>
      <c r="H933" t="str">
        <f>"3250617860703"</f>
        <v>3250617860703</v>
      </c>
      <c r="J933" t="s">
        <v>2648</v>
      </c>
    </row>
    <row r="934" spans="1:10" x14ac:dyDescent="0.25">
      <c r="A934" t="s">
        <v>8</v>
      </c>
      <c r="B934" t="s">
        <v>2651</v>
      </c>
      <c r="C934" t="s">
        <v>2652</v>
      </c>
      <c r="D934">
        <v>1</v>
      </c>
      <c r="E934" t="s">
        <v>1514</v>
      </c>
      <c r="F934" t="s">
        <v>1515</v>
      </c>
      <c r="G934" s="1"/>
      <c r="H934" t="str">
        <f>"3250617860499"</f>
        <v>3250617860499</v>
      </c>
      <c r="J934" t="s">
        <v>2653</v>
      </c>
    </row>
    <row r="935" spans="1:10" x14ac:dyDescent="0.25">
      <c r="A935" t="s">
        <v>8</v>
      </c>
      <c r="B935" t="s">
        <v>2654</v>
      </c>
      <c r="C935" t="s">
        <v>2655</v>
      </c>
      <c r="D935">
        <v>1</v>
      </c>
      <c r="E935" t="s">
        <v>1514</v>
      </c>
      <c r="F935" t="s">
        <v>1515</v>
      </c>
      <c r="G935" s="1"/>
      <c r="H935" t="str">
        <f>"3250617860277"</f>
        <v>3250617860277</v>
      </c>
      <c r="J935" t="s">
        <v>2656</v>
      </c>
    </row>
    <row r="936" spans="1:10" x14ac:dyDescent="0.25">
      <c r="A936" t="s">
        <v>8</v>
      </c>
      <c r="B936" t="s">
        <v>2657</v>
      </c>
      <c r="C936" t="s">
        <v>2658</v>
      </c>
      <c r="D936">
        <v>1</v>
      </c>
      <c r="E936" t="s">
        <v>1514</v>
      </c>
      <c r="F936" t="s">
        <v>1515</v>
      </c>
      <c r="G936" s="1"/>
      <c r="H936" t="str">
        <f>"3250617860284"</f>
        <v>3250617860284</v>
      </c>
      <c r="J936" t="s">
        <v>2659</v>
      </c>
    </row>
    <row r="937" spans="1:10" x14ac:dyDescent="0.25">
      <c r="A937" t="s">
        <v>8</v>
      </c>
      <c r="B937" t="s">
        <v>2660</v>
      </c>
      <c r="C937" t="s">
        <v>2661</v>
      </c>
      <c r="D937">
        <v>1</v>
      </c>
      <c r="E937" t="s">
        <v>1514</v>
      </c>
      <c r="F937" t="s">
        <v>1515</v>
      </c>
      <c r="G937" s="1"/>
      <c r="H937" t="str">
        <f>"3250617860291"</f>
        <v>3250617860291</v>
      </c>
      <c r="J937" t="s">
        <v>2662</v>
      </c>
    </row>
    <row r="938" spans="1:10" x14ac:dyDescent="0.25">
      <c r="A938" t="s">
        <v>8</v>
      </c>
      <c r="B938" t="s">
        <v>2663</v>
      </c>
      <c r="C938" t="s">
        <v>2664</v>
      </c>
      <c r="D938">
        <v>1</v>
      </c>
      <c r="E938" t="s">
        <v>1514</v>
      </c>
      <c r="F938" t="s">
        <v>1515</v>
      </c>
      <c r="G938" s="1"/>
      <c r="H938" t="str">
        <f>"3250617860406"</f>
        <v>3250617860406</v>
      </c>
      <c r="J938" t="s">
        <v>2665</v>
      </c>
    </row>
    <row r="939" spans="1:10" x14ac:dyDescent="0.25">
      <c r="A939" t="s">
        <v>8</v>
      </c>
      <c r="B939" t="s">
        <v>2666</v>
      </c>
      <c r="C939" t="s">
        <v>2667</v>
      </c>
      <c r="D939">
        <v>1</v>
      </c>
      <c r="E939" t="s">
        <v>1514</v>
      </c>
      <c r="F939" t="s">
        <v>1515</v>
      </c>
      <c r="G939" s="1"/>
      <c r="H939" t="str">
        <f>"3250617860413"</f>
        <v>3250617860413</v>
      </c>
      <c r="J939" t="s">
        <v>2665</v>
      </c>
    </row>
    <row r="940" spans="1:10" x14ac:dyDescent="0.25">
      <c r="A940" t="s">
        <v>8</v>
      </c>
      <c r="B940" t="s">
        <v>2668</v>
      </c>
      <c r="C940" t="s">
        <v>2669</v>
      </c>
      <c r="D940">
        <v>1</v>
      </c>
      <c r="E940" t="s">
        <v>1514</v>
      </c>
      <c r="F940" t="s">
        <v>1515</v>
      </c>
      <c r="G940" s="1"/>
      <c r="H940" t="str">
        <f>"3250617860451"</f>
        <v>3250617860451</v>
      </c>
      <c r="J940" t="s">
        <v>2670</v>
      </c>
    </row>
    <row r="941" spans="1:10" x14ac:dyDescent="0.25">
      <c r="A941" t="s">
        <v>8</v>
      </c>
      <c r="B941" t="s">
        <v>2671</v>
      </c>
      <c r="C941" t="s">
        <v>2672</v>
      </c>
      <c r="D941">
        <v>1</v>
      </c>
      <c r="E941" t="s">
        <v>1514</v>
      </c>
      <c r="F941" t="s">
        <v>1515</v>
      </c>
      <c r="G941" s="1"/>
      <c r="H941" t="str">
        <f>"3250617860468"</f>
        <v>3250617860468</v>
      </c>
      <c r="J941" t="s">
        <v>2670</v>
      </c>
    </row>
    <row r="942" spans="1:10" x14ac:dyDescent="0.25">
      <c r="A942" t="s">
        <v>8</v>
      </c>
      <c r="B942" t="s">
        <v>2673</v>
      </c>
      <c r="C942" t="s">
        <v>2674</v>
      </c>
      <c r="D942">
        <v>1</v>
      </c>
      <c r="E942" t="s">
        <v>1514</v>
      </c>
      <c r="F942" t="s">
        <v>1515</v>
      </c>
      <c r="G942" s="1"/>
      <c r="H942" t="str">
        <f>"3250617860475"</f>
        <v>3250617860475</v>
      </c>
      <c r="J942" t="s">
        <v>2670</v>
      </c>
    </row>
    <row r="943" spans="1:10" x14ac:dyDescent="0.25">
      <c r="A943" t="s">
        <v>8</v>
      </c>
      <c r="B943" t="s">
        <v>2675</v>
      </c>
      <c r="C943" t="s">
        <v>2676</v>
      </c>
      <c r="D943">
        <v>1</v>
      </c>
      <c r="E943" t="s">
        <v>1514</v>
      </c>
      <c r="F943" t="s">
        <v>1515</v>
      </c>
      <c r="G943" s="1"/>
      <c r="H943" t="str">
        <f>"3250617860420"</f>
        <v>3250617860420</v>
      </c>
      <c r="J943" t="s">
        <v>2677</v>
      </c>
    </row>
    <row r="944" spans="1:10" x14ac:dyDescent="0.25">
      <c r="A944" t="s">
        <v>8</v>
      </c>
      <c r="B944" t="s">
        <v>2678</v>
      </c>
      <c r="C944" t="s">
        <v>2679</v>
      </c>
      <c r="D944">
        <v>1</v>
      </c>
      <c r="E944" t="s">
        <v>1514</v>
      </c>
      <c r="F944" t="s">
        <v>1515</v>
      </c>
      <c r="G944" s="1"/>
      <c r="H944" t="str">
        <f>"3250617860437"</f>
        <v>3250617860437</v>
      </c>
      <c r="J944" t="s">
        <v>2680</v>
      </c>
    </row>
    <row r="945" spans="1:10" x14ac:dyDescent="0.25">
      <c r="A945" t="s">
        <v>8</v>
      </c>
      <c r="B945" t="s">
        <v>2681</v>
      </c>
      <c r="C945" t="s">
        <v>2682</v>
      </c>
      <c r="D945">
        <v>1</v>
      </c>
      <c r="E945" t="s">
        <v>1514</v>
      </c>
      <c r="F945" t="s">
        <v>1515</v>
      </c>
      <c r="G945" s="1"/>
      <c r="H945" t="str">
        <f>"3250617860512"</f>
        <v>3250617860512</v>
      </c>
      <c r="J945" t="s">
        <v>2683</v>
      </c>
    </row>
    <row r="946" spans="1:10" x14ac:dyDescent="0.25">
      <c r="A946" t="s">
        <v>8</v>
      </c>
      <c r="B946" t="s">
        <v>2684</v>
      </c>
      <c r="C946" t="s">
        <v>2685</v>
      </c>
      <c r="D946">
        <v>1</v>
      </c>
      <c r="E946" t="s">
        <v>1514</v>
      </c>
      <c r="F946" t="s">
        <v>1515</v>
      </c>
      <c r="G946" s="1"/>
      <c r="H946" t="str">
        <f>"3250617860307"</f>
        <v>3250617860307</v>
      </c>
      <c r="J946" t="s">
        <v>2686</v>
      </c>
    </row>
    <row r="947" spans="1:10" x14ac:dyDescent="0.25">
      <c r="A947" t="s">
        <v>8</v>
      </c>
      <c r="B947" t="s">
        <v>2687</v>
      </c>
      <c r="C947" t="s">
        <v>2688</v>
      </c>
      <c r="D947">
        <v>1</v>
      </c>
      <c r="E947" t="s">
        <v>1514</v>
      </c>
      <c r="F947" t="s">
        <v>1515</v>
      </c>
      <c r="G947" s="1"/>
      <c r="H947" t="str">
        <f>"3250617860314"</f>
        <v>3250617860314</v>
      </c>
      <c r="J947" t="s">
        <v>2683</v>
      </c>
    </row>
    <row r="948" spans="1:10" x14ac:dyDescent="0.25">
      <c r="A948" t="s">
        <v>8</v>
      </c>
      <c r="B948" t="s">
        <v>2689</v>
      </c>
      <c r="C948" t="s">
        <v>2690</v>
      </c>
      <c r="D948">
        <v>1</v>
      </c>
      <c r="E948" t="s">
        <v>1514</v>
      </c>
      <c r="F948" t="s">
        <v>1515</v>
      </c>
      <c r="G948" s="1"/>
      <c r="H948" t="str">
        <f>"3250617860321"</f>
        <v>3250617860321</v>
      </c>
      <c r="J948" t="s">
        <v>2683</v>
      </c>
    </row>
    <row r="949" spans="1:10" x14ac:dyDescent="0.25">
      <c r="A949" t="s">
        <v>8</v>
      </c>
      <c r="B949" t="s">
        <v>2691</v>
      </c>
      <c r="C949" t="s">
        <v>2692</v>
      </c>
      <c r="D949">
        <v>1</v>
      </c>
      <c r="E949" t="s">
        <v>1514</v>
      </c>
      <c r="F949" t="s">
        <v>1515</v>
      </c>
      <c r="G949" s="1"/>
      <c r="H949" t="str">
        <f>"3250617860338"</f>
        <v>3250617860338</v>
      </c>
      <c r="J949" t="s">
        <v>2686</v>
      </c>
    </row>
    <row r="950" spans="1:10" x14ac:dyDescent="0.25">
      <c r="A950" t="s">
        <v>8</v>
      </c>
      <c r="B950" t="s">
        <v>2693</v>
      </c>
      <c r="C950" t="s">
        <v>2694</v>
      </c>
      <c r="D950">
        <v>1</v>
      </c>
      <c r="E950" t="s">
        <v>1514</v>
      </c>
      <c r="F950" t="s">
        <v>1515</v>
      </c>
      <c r="G950" s="1"/>
      <c r="H950" t="str">
        <f>"3250617860345"</f>
        <v>3250617860345</v>
      </c>
      <c r="J950" t="s">
        <v>2683</v>
      </c>
    </row>
    <row r="951" spans="1:10" x14ac:dyDescent="0.25">
      <c r="A951" t="s">
        <v>8</v>
      </c>
      <c r="B951" t="s">
        <v>2695</v>
      </c>
      <c r="C951" t="s">
        <v>2696</v>
      </c>
      <c r="D951">
        <v>1</v>
      </c>
      <c r="E951" t="s">
        <v>1514</v>
      </c>
      <c r="F951" t="s">
        <v>1515</v>
      </c>
      <c r="G951" s="1"/>
      <c r="H951" t="str">
        <f>"3250617860727"</f>
        <v>3250617860727</v>
      </c>
      <c r="J951" t="s">
        <v>2697</v>
      </c>
    </row>
    <row r="952" spans="1:10" x14ac:dyDescent="0.25">
      <c r="A952" t="s">
        <v>8</v>
      </c>
      <c r="B952" t="s">
        <v>2698</v>
      </c>
      <c r="C952" t="s">
        <v>2699</v>
      </c>
      <c r="D952">
        <v>1</v>
      </c>
      <c r="E952" t="s">
        <v>1514</v>
      </c>
      <c r="F952" t="s">
        <v>1515</v>
      </c>
      <c r="G952" s="1"/>
      <c r="H952" t="str">
        <f>"3250617860505"</f>
        <v>3250617860505</v>
      </c>
      <c r="J952" t="s">
        <v>2700</v>
      </c>
    </row>
    <row r="953" spans="1:10" x14ac:dyDescent="0.25">
      <c r="A953" t="s">
        <v>8</v>
      </c>
      <c r="B953" t="s">
        <v>2701</v>
      </c>
      <c r="C953" t="s">
        <v>2702</v>
      </c>
      <c r="D953">
        <v>1</v>
      </c>
      <c r="E953" t="s">
        <v>1514</v>
      </c>
      <c r="F953" t="s">
        <v>1515</v>
      </c>
      <c r="G953" s="1"/>
      <c r="H953" t="str">
        <f>"3250617860529"</f>
        <v>3250617860529</v>
      </c>
      <c r="J953" t="s">
        <v>2703</v>
      </c>
    </row>
    <row r="954" spans="1:10" x14ac:dyDescent="0.25">
      <c r="A954" t="s">
        <v>8</v>
      </c>
      <c r="B954" t="s">
        <v>2704</v>
      </c>
      <c r="C954" t="s">
        <v>2705</v>
      </c>
      <c r="D954">
        <v>1</v>
      </c>
      <c r="E954" t="s">
        <v>1514</v>
      </c>
      <c r="F954" t="s">
        <v>1515</v>
      </c>
      <c r="G954" s="1"/>
      <c r="H954" t="str">
        <f>"3250617860581"</f>
        <v>3250617860581</v>
      </c>
      <c r="J954" t="s">
        <v>2706</v>
      </c>
    </row>
    <row r="955" spans="1:10" x14ac:dyDescent="0.25">
      <c r="A955" t="s">
        <v>8</v>
      </c>
      <c r="B955" t="s">
        <v>2707</v>
      </c>
      <c r="C955" t="s">
        <v>2708</v>
      </c>
      <c r="D955">
        <v>1</v>
      </c>
      <c r="E955" t="s">
        <v>1514</v>
      </c>
      <c r="F955" t="s">
        <v>1515</v>
      </c>
      <c r="G955" s="1"/>
      <c r="H955" t="str">
        <f>"3250617860604"</f>
        <v>3250617860604</v>
      </c>
      <c r="J955" t="s">
        <v>2706</v>
      </c>
    </row>
    <row r="956" spans="1:10" x14ac:dyDescent="0.25">
      <c r="A956" t="s">
        <v>8</v>
      </c>
      <c r="B956" t="s">
        <v>2709</v>
      </c>
      <c r="C956" t="s">
        <v>2710</v>
      </c>
      <c r="D956">
        <v>1</v>
      </c>
      <c r="E956" t="s">
        <v>1514</v>
      </c>
      <c r="F956" t="s">
        <v>1515</v>
      </c>
      <c r="G956" s="1"/>
      <c r="H956" t="str">
        <f>"3250617860536"</f>
        <v>3250617860536</v>
      </c>
      <c r="J956" t="s">
        <v>2711</v>
      </c>
    </row>
    <row r="957" spans="1:10" x14ac:dyDescent="0.25">
      <c r="A957" t="s">
        <v>8</v>
      </c>
      <c r="B957" t="s">
        <v>2712</v>
      </c>
      <c r="C957" t="s">
        <v>2713</v>
      </c>
      <c r="D957">
        <v>1</v>
      </c>
      <c r="E957" t="s">
        <v>1514</v>
      </c>
      <c r="F957" t="s">
        <v>1515</v>
      </c>
      <c r="G957" s="1"/>
      <c r="H957" t="str">
        <f>"3250617860543"</f>
        <v>3250617860543</v>
      </c>
      <c r="J957" t="s">
        <v>2714</v>
      </c>
    </row>
    <row r="958" spans="1:10" x14ac:dyDescent="0.25">
      <c r="A958" t="s">
        <v>8</v>
      </c>
      <c r="B958" t="s">
        <v>2715</v>
      </c>
      <c r="C958" t="s">
        <v>2716</v>
      </c>
      <c r="D958">
        <v>1</v>
      </c>
      <c r="E958" t="s">
        <v>1514</v>
      </c>
      <c r="F958" t="s">
        <v>1515</v>
      </c>
      <c r="G958" s="1"/>
      <c r="H958" t="str">
        <f>"3250617860550"</f>
        <v>3250617860550</v>
      </c>
      <c r="J958" t="s">
        <v>2717</v>
      </c>
    </row>
    <row r="959" spans="1:10" x14ac:dyDescent="0.25">
      <c r="A959" t="s">
        <v>8</v>
      </c>
      <c r="B959" t="s">
        <v>2718</v>
      </c>
      <c r="C959" t="s">
        <v>2719</v>
      </c>
      <c r="D959">
        <v>1</v>
      </c>
      <c r="E959" t="s">
        <v>1514</v>
      </c>
      <c r="F959" t="s">
        <v>1515</v>
      </c>
      <c r="G959" s="1"/>
      <c r="H959" t="str">
        <f>"3250617860659"</f>
        <v>3250617860659</v>
      </c>
      <c r="J959" t="s">
        <v>2720</v>
      </c>
    </row>
    <row r="960" spans="1:10" x14ac:dyDescent="0.25">
      <c r="A960" t="s">
        <v>8</v>
      </c>
      <c r="B960" t="s">
        <v>2721</v>
      </c>
      <c r="C960" t="s">
        <v>2722</v>
      </c>
      <c r="D960">
        <v>1</v>
      </c>
      <c r="E960" t="s">
        <v>1514</v>
      </c>
      <c r="F960" t="s">
        <v>1515</v>
      </c>
      <c r="G960" s="1"/>
      <c r="H960" t="str">
        <f>"3250617860574"</f>
        <v>3250617860574</v>
      </c>
      <c r="J960" t="s">
        <v>2723</v>
      </c>
    </row>
    <row r="961" spans="1:10" x14ac:dyDescent="0.25">
      <c r="A961" t="s">
        <v>8</v>
      </c>
      <c r="B961" t="s">
        <v>2724</v>
      </c>
      <c r="C961" t="s">
        <v>2725</v>
      </c>
      <c r="D961">
        <v>1</v>
      </c>
      <c r="E961" t="s">
        <v>1514</v>
      </c>
      <c r="F961" t="s">
        <v>1515</v>
      </c>
      <c r="G961" s="1"/>
      <c r="H961" t="str">
        <f>"3250612513048"</f>
        <v>3250612513048</v>
      </c>
      <c r="J961" t="s">
        <v>2726</v>
      </c>
    </row>
    <row r="962" spans="1:10" x14ac:dyDescent="0.25">
      <c r="A962" t="s">
        <v>8</v>
      </c>
      <c r="B962" t="s">
        <v>2727</v>
      </c>
      <c r="C962" t="s">
        <v>2728</v>
      </c>
      <c r="D962">
        <v>1</v>
      </c>
      <c r="E962" t="s">
        <v>1514</v>
      </c>
      <c r="F962" t="s">
        <v>1515</v>
      </c>
      <c r="G962" s="1"/>
      <c r="H962" t="str">
        <f>"3250612513109"</f>
        <v>3250612513109</v>
      </c>
      <c r="J962" t="s">
        <v>2729</v>
      </c>
    </row>
    <row r="963" spans="1:10" x14ac:dyDescent="0.25">
      <c r="A963" t="s">
        <v>8</v>
      </c>
      <c r="B963" t="s">
        <v>2730</v>
      </c>
      <c r="C963" t="s">
        <v>2731</v>
      </c>
      <c r="D963">
        <v>1</v>
      </c>
      <c r="E963" t="s">
        <v>1514</v>
      </c>
      <c r="F963" t="s">
        <v>1515</v>
      </c>
      <c r="G963" s="1"/>
      <c r="H963" t="str">
        <f>"3250612513055"</f>
        <v>3250612513055</v>
      </c>
      <c r="J963" t="s">
        <v>2732</v>
      </c>
    </row>
    <row r="964" spans="1:10" x14ac:dyDescent="0.25">
      <c r="A964" t="s">
        <v>8</v>
      </c>
      <c r="B964" t="s">
        <v>2733</v>
      </c>
      <c r="C964" t="s">
        <v>2734</v>
      </c>
      <c r="D964">
        <v>1</v>
      </c>
      <c r="E964" t="s">
        <v>1514</v>
      </c>
      <c r="F964" t="s">
        <v>1515</v>
      </c>
      <c r="G964" s="1"/>
      <c r="H964" t="str">
        <f>"3250612513116"</f>
        <v>3250612513116</v>
      </c>
      <c r="J964" t="s">
        <v>2735</v>
      </c>
    </row>
    <row r="965" spans="1:10" x14ac:dyDescent="0.25">
      <c r="A965" t="s">
        <v>8</v>
      </c>
      <c r="B965" t="s">
        <v>2736</v>
      </c>
      <c r="C965" t="s">
        <v>2737</v>
      </c>
      <c r="D965">
        <v>1</v>
      </c>
      <c r="E965" t="s">
        <v>1514</v>
      </c>
      <c r="F965" t="s">
        <v>1515</v>
      </c>
      <c r="G965" s="1"/>
      <c r="H965" t="str">
        <f>"3250612513062"</f>
        <v>3250612513062</v>
      </c>
      <c r="J965" t="s">
        <v>2738</v>
      </c>
    </row>
    <row r="966" spans="1:10" x14ac:dyDescent="0.25">
      <c r="A966" t="s">
        <v>8</v>
      </c>
      <c r="B966" t="s">
        <v>2739</v>
      </c>
      <c r="C966" t="s">
        <v>2740</v>
      </c>
      <c r="D966">
        <v>1</v>
      </c>
      <c r="E966" t="s">
        <v>1514</v>
      </c>
      <c r="F966" t="s">
        <v>1515</v>
      </c>
      <c r="G966" s="1"/>
      <c r="H966" t="str">
        <f>"3250612513123"</f>
        <v>3250612513123</v>
      </c>
      <c r="J966" t="s">
        <v>2741</v>
      </c>
    </row>
    <row r="967" spans="1:10" x14ac:dyDescent="0.25">
      <c r="A967" t="s">
        <v>8</v>
      </c>
      <c r="B967" t="s">
        <v>2742</v>
      </c>
      <c r="C967" t="s">
        <v>2743</v>
      </c>
      <c r="D967">
        <v>1</v>
      </c>
      <c r="E967" t="s">
        <v>1514</v>
      </c>
      <c r="F967" t="s">
        <v>1515</v>
      </c>
      <c r="G967" s="1"/>
      <c r="H967" t="str">
        <f>"3250612513079"</f>
        <v>3250612513079</v>
      </c>
      <c r="J967" t="s">
        <v>2744</v>
      </c>
    </row>
    <row r="968" spans="1:10" x14ac:dyDescent="0.25">
      <c r="A968" t="s">
        <v>8</v>
      </c>
      <c r="B968" t="s">
        <v>2745</v>
      </c>
      <c r="C968" t="s">
        <v>2746</v>
      </c>
      <c r="D968">
        <v>1</v>
      </c>
      <c r="E968" t="s">
        <v>1514</v>
      </c>
      <c r="F968" t="s">
        <v>1515</v>
      </c>
      <c r="G968" s="1"/>
      <c r="H968" t="str">
        <f>"3250612513130"</f>
        <v>3250612513130</v>
      </c>
      <c r="J968" t="s">
        <v>2747</v>
      </c>
    </row>
    <row r="969" spans="1:10" x14ac:dyDescent="0.25">
      <c r="A969" t="s">
        <v>8</v>
      </c>
      <c r="B969" t="s">
        <v>2748</v>
      </c>
      <c r="C969" t="s">
        <v>2749</v>
      </c>
      <c r="D969">
        <v>1</v>
      </c>
      <c r="E969" t="s">
        <v>1514</v>
      </c>
      <c r="F969" t="s">
        <v>1515</v>
      </c>
      <c r="G969" s="1"/>
      <c r="H969" t="str">
        <f>"3250612513086"</f>
        <v>3250612513086</v>
      </c>
      <c r="J969" t="s">
        <v>2750</v>
      </c>
    </row>
    <row r="970" spans="1:10" x14ac:dyDescent="0.25">
      <c r="A970" t="s">
        <v>8</v>
      </c>
      <c r="B970" t="s">
        <v>2751</v>
      </c>
      <c r="C970" t="s">
        <v>2752</v>
      </c>
      <c r="D970">
        <v>1</v>
      </c>
      <c r="E970" t="s">
        <v>1514</v>
      </c>
      <c r="F970" t="s">
        <v>1515</v>
      </c>
      <c r="G970" s="1"/>
      <c r="H970" t="str">
        <f>"3250612513147"</f>
        <v>3250612513147</v>
      </c>
      <c r="J970" t="s">
        <v>2753</v>
      </c>
    </row>
    <row r="971" spans="1:10" x14ac:dyDescent="0.25">
      <c r="A971" t="s">
        <v>8</v>
      </c>
      <c r="B971" t="s">
        <v>2754</v>
      </c>
      <c r="C971" t="s">
        <v>2755</v>
      </c>
      <c r="D971">
        <v>1</v>
      </c>
      <c r="E971" t="s">
        <v>1514</v>
      </c>
      <c r="F971" t="s">
        <v>1515</v>
      </c>
      <c r="G971" s="1"/>
      <c r="H971" t="str">
        <f>"3250612513093"</f>
        <v>3250612513093</v>
      </c>
      <c r="J971" t="s">
        <v>2756</v>
      </c>
    </row>
    <row r="972" spans="1:10" x14ac:dyDescent="0.25">
      <c r="A972" t="s">
        <v>8</v>
      </c>
      <c r="B972" t="s">
        <v>2757</v>
      </c>
      <c r="C972" t="s">
        <v>2758</v>
      </c>
      <c r="D972">
        <v>1</v>
      </c>
      <c r="E972" t="s">
        <v>1514</v>
      </c>
      <c r="F972" t="s">
        <v>1515</v>
      </c>
      <c r="G972" s="1"/>
      <c r="H972" t="str">
        <f>"3250612513154"</f>
        <v>3250612513154</v>
      </c>
      <c r="J972" t="s">
        <v>2759</v>
      </c>
    </row>
    <row r="973" spans="1:10" x14ac:dyDescent="0.25">
      <c r="A973" t="s">
        <v>8</v>
      </c>
      <c r="B973" t="s">
        <v>2760</v>
      </c>
      <c r="C973" t="s">
        <v>2761</v>
      </c>
      <c r="D973">
        <v>1</v>
      </c>
      <c r="E973" t="s">
        <v>1514</v>
      </c>
      <c r="F973" t="s">
        <v>1515</v>
      </c>
      <c r="G973" s="1"/>
      <c r="H973" t="str">
        <f>"3250619272108"</f>
        <v>3250619272108</v>
      </c>
      <c r="J973" t="s">
        <v>2762</v>
      </c>
    </row>
    <row r="974" spans="1:10" x14ac:dyDescent="0.25">
      <c r="A974" t="s">
        <v>8</v>
      </c>
      <c r="B974" t="s">
        <v>2763</v>
      </c>
      <c r="C974" t="s">
        <v>2764</v>
      </c>
      <c r="D974">
        <v>1</v>
      </c>
      <c r="E974" t="s">
        <v>1514</v>
      </c>
      <c r="F974" t="s">
        <v>1515</v>
      </c>
      <c r="G974" s="1"/>
      <c r="H974" t="str">
        <f>"3250619272160"</f>
        <v>3250619272160</v>
      </c>
      <c r="J974" t="s">
        <v>2765</v>
      </c>
    </row>
    <row r="975" spans="1:10" x14ac:dyDescent="0.25">
      <c r="A975" t="s">
        <v>8</v>
      </c>
      <c r="B975" t="s">
        <v>2766</v>
      </c>
      <c r="C975" t="s">
        <v>2767</v>
      </c>
      <c r="D975">
        <v>1</v>
      </c>
      <c r="E975" t="s">
        <v>1514</v>
      </c>
      <c r="F975" t="s">
        <v>1515</v>
      </c>
      <c r="G975" s="1"/>
      <c r="H975" t="str">
        <f>"3250619272269"</f>
        <v>3250619272269</v>
      </c>
      <c r="J975" t="s">
        <v>2768</v>
      </c>
    </row>
    <row r="976" spans="1:10" x14ac:dyDescent="0.25">
      <c r="A976" t="s">
        <v>8</v>
      </c>
      <c r="B976" t="s">
        <v>2769</v>
      </c>
      <c r="C976" t="s">
        <v>2770</v>
      </c>
      <c r="D976">
        <v>1</v>
      </c>
      <c r="E976" t="s">
        <v>1514</v>
      </c>
      <c r="F976" t="s">
        <v>1515</v>
      </c>
      <c r="G976" s="1"/>
      <c r="H976" t="str">
        <f>"3250619272306"</f>
        <v>3250619272306</v>
      </c>
      <c r="J976" t="s">
        <v>2771</v>
      </c>
    </row>
    <row r="977" spans="1:10" x14ac:dyDescent="0.25">
      <c r="A977" t="s">
        <v>8</v>
      </c>
      <c r="B977" t="s">
        <v>2772</v>
      </c>
      <c r="C977" t="s">
        <v>2773</v>
      </c>
      <c r="D977">
        <v>1</v>
      </c>
      <c r="E977" t="s">
        <v>1514</v>
      </c>
      <c r="F977" t="s">
        <v>1515</v>
      </c>
      <c r="G977" s="1"/>
      <c r="H977" t="str">
        <f>"3250619272344"</f>
        <v>3250619272344</v>
      </c>
      <c r="J977" t="s">
        <v>2774</v>
      </c>
    </row>
    <row r="978" spans="1:10" x14ac:dyDescent="0.25">
      <c r="A978" t="s">
        <v>8</v>
      </c>
      <c r="B978" t="s">
        <v>2775</v>
      </c>
      <c r="C978" t="s">
        <v>2776</v>
      </c>
      <c r="D978">
        <v>1</v>
      </c>
      <c r="E978" t="s">
        <v>1514</v>
      </c>
      <c r="F978" t="s">
        <v>1515</v>
      </c>
      <c r="G978" s="1"/>
      <c r="H978" t="str">
        <f>"3250619272368"</f>
        <v>3250619272368</v>
      </c>
      <c r="J978" t="s">
        <v>2777</v>
      </c>
    </row>
    <row r="979" spans="1:10" x14ac:dyDescent="0.25">
      <c r="A979" t="s">
        <v>8</v>
      </c>
      <c r="B979" t="s">
        <v>2778</v>
      </c>
      <c r="C979" t="s">
        <v>2779</v>
      </c>
      <c r="D979">
        <v>1</v>
      </c>
      <c r="E979" t="s">
        <v>1514</v>
      </c>
      <c r="F979" t="s">
        <v>1515</v>
      </c>
      <c r="G979" s="1"/>
      <c r="H979" t="str">
        <f>"3250619272597"</f>
        <v>3250619272597</v>
      </c>
      <c r="J979" t="s">
        <v>2780</v>
      </c>
    </row>
    <row r="980" spans="1:10" x14ac:dyDescent="0.25">
      <c r="A980" t="s">
        <v>8</v>
      </c>
      <c r="B980" t="s">
        <v>2781</v>
      </c>
      <c r="C980" t="s">
        <v>2782</v>
      </c>
      <c r="D980">
        <v>1</v>
      </c>
      <c r="E980" t="s">
        <v>1514</v>
      </c>
      <c r="F980" t="s">
        <v>1515</v>
      </c>
      <c r="G980" s="1"/>
      <c r="H980" t="str">
        <f>"3250617860710"</f>
        <v>3250617860710</v>
      </c>
      <c r="J980" t="s">
        <v>2783</v>
      </c>
    </row>
    <row r="981" spans="1:10" x14ac:dyDescent="0.25">
      <c r="A981" t="s">
        <v>8</v>
      </c>
      <c r="B981" t="s">
        <v>2784</v>
      </c>
      <c r="C981" t="s">
        <v>2785</v>
      </c>
      <c r="D981">
        <v>1</v>
      </c>
      <c r="E981" t="s">
        <v>1514</v>
      </c>
      <c r="F981" t="s">
        <v>1515</v>
      </c>
      <c r="G981" s="1"/>
      <c r="H981" t="str">
        <f>"3250616666405"</f>
        <v>3250616666405</v>
      </c>
      <c r="J981" t="s">
        <v>2786</v>
      </c>
    </row>
    <row r="982" spans="1:10" x14ac:dyDescent="0.25">
      <c r="A982" t="s">
        <v>8</v>
      </c>
      <c r="B982" t="s">
        <v>2787</v>
      </c>
      <c r="C982" t="s">
        <v>2788</v>
      </c>
      <c r="D982">
        <v>1</v>
      </c>
      <c r="E982" t="s">
        <v>1514</v>
      </c>
      <c r="F982" t="s">
        <v>1515</v>
      </c>
      <c r="G982" s="1"/>
      <c r="H982" t="str">
        <f>"3250617860482"</f>
        <v>3250617860482</v>
      </c>
      <c r="J982" t="s">
        <v>2789</v>
      </c>
    </row>
    <row r="983" spans="1:10" x14ac:dyDescent="0.25">
      <c r="A983" t="s">
        <v>8</v>
      </c>
      <c r="B983" t="s">
        <v>2790</v>
      </c>
      <c r="C983" t="s">
        <v>2791</v>
      </c>
      <c r="D983">
        <v>1</v>
      </c>
      <c r="E983" t="s">
        <v>1514</v>
      </c>
      <c r="F983" t="s">
        <v>1515</v>
      </c>
      <c r="G983" s="1"/>
      <c r="H983" t="str">
        <f>"3250617081795"</f>
        <v>3250617081795</v>
      </c>
      <c r="J983" t="s">
        <v>2792</v>
      </c>
    </row>
    <row r="984" spans="1:10" x14ac:dyDescent="0.25">
      <c r="A984" t="s">
        <v>8</v>
      </c>
      <c r="B984" t="s">
        <v>2793</v>
      </c>
      <c r="C984" t="s">
        <v>2794</v>
      </c>
      <c r="D984">
        <v>1</v>
      </c>
      <c r="E984" t="s">
        <v>1514</v>
      </c>
      <c r="F984" t="s">
        <v>1515</v>
      </c>
      <c r="G984" s="1"/>
      <c r="H984" t="str">
        <f>"3250617860598"</f>
        <v>3250617860598</v>
      </c>
      <c r="J984" t="s">
        <v>2795</v>
      </c>
    </row>
    <row r="985" spans="1:10" x14ac:dyDescent="0.25">
      <c r="A985" t="s">
        <v>8</v>
      </c>
      <c r="B985" t="s">
        <v>2796</v>
      </c>
      <c r="C985" t="s">
        <v>2797</v>
      </c>
      <c r="D985">
        <v>1</v>
      </c>
      <c r="E985" t="s">
        <v>1514</v>
      </c>
      <c r="F985" t="s">
        <v>1515</v>
      </c>
      <c r="G985" s="1"/>
      <c r="H985" t="str">
        <f>"3250617860758"</f>
        <v>3250617860758</v>
      </c>
      <c r="J985" t="s">
        <v>2677</v>
      </c>
    </row>
    <row r="986" spans="1:10" x14ac:dyDescent="0.25">
      <c r="A986" t="s">
        <v>8</v>
      </c>
      <c r="B986" t="s">
        <v>2798</v>
      </c>
      <c r="C986" t="s">
        <v>2799</v>
      </c>
      <c r="D986">
        <v>1</v>
      </c>
      <c r="E986" t="s">
        <v>1514</v>
      </c>
      <c r="F986" t="s">
        <v>1515</v>
      </c>
      <c r="G986" s="1"/>
      <c r="H986" t="str">
        <f>"3250612511617"</f>
        <v>3250612511617</v>
      </c>
      <c r="J986" t="s">
        <v>2800</v>
      </c>
    </row>
    <row r="987" spans="1:10" x14ac:dyDescent="0.25">
      <c r="A987" t="s">
        <v>8</v>
      </c>
      <c r="B987" t="s">
        <v>2801</v>
      </c>
      <c r="C987" t="s">
        <v>2802</v>
      </c>
      <c r="D987">
        <v>1</v>
      </c>
      <c r="E987" t="s">
        <v>1514</v>
      </c>
      <c r="F987" t="s">
        <v>1515</v>
      </c>
      <c r="G987" s="1"/>
      <c r="H987" t="str">
        <f>"3250612511624"</f>
        <v>3250612511624</v>
      </c>
      <c r="J987" t="s">
        <v>2803</v>
      </c>
    </row>
    <row r="988" spans="1:10" x14ac:dyDescent="0.25">
      <c r="A988" t="s">
        <v>8</v>
      </c>
      <c r="B988" t="s">
        <v>2804</v>
      </c>
      <c r="C988" t="s">
        <v>2805</v>
      </c>
      <c r="D988">
        <v>1</v>
      </c>
      <c r="E988" t="s">
        <v>1514</v>
      </c>
      <c r="F988" t="s">
        <v>1515</v>
      </c>
      <c r="G988" s="1"/>
      <c r="H988" t="str">
        <f>"3250612511631"</f>
        <v>3250612511631</v>
      </c>
      <c r="J988" t="s">
        <v>2806</v>
      </c>
    </row>
    <row r="989" spans="1:10" x14ac:dyDescent="0.25">
      <c r="A989" t="s">
        <v>8</v>
      </c>
      <c r="B989" t="s">
        <v>2807</v>
      </c>
      <c r="C989" t="s">
        <v>2808</v>
      </c>
      <c r="D989">
        <v>1</v>
      </c>
      <c r="E989" t="s">
        <v>1514</v>
      </c>
      <c r="F989" t="s">
        <v>1515</v>
      </c>
      <c r="G989" s="1"/>
      <c r="H989" t="str">
        <f>"3250612511648"</f>
        <v>3250612511648</v>
      </c>
      <c r="J989" t="s">
        <v>2809</v>
      </c>
    </row>
    <row r="990" spans="1:10" x14ac:dyDescent="0.25">
      <c r="A990" t="s">
        <v>8</v>
      </c>
      <c r="B990" t="s">
        <v>2810</v>
      </c>
      <c r="C990" t="s">
        <v>2811</v>
      </c>
      <c r="D990">
        <v>1</v>
      </c>
      <c r="E990" t="s">
        <v>1514</v>
      </c>
      <c r="F990" t="s">
        <v>1515</v>
      </c>
      <c r="G990" s="1"/>
      <c r="H990" t="str">
        <f>"3250612511600"</f>
        <v>3250612511600</v>
      </c>
      <c r="J990" t="s">
        <v>2812</v>
      </c>
    </row>
    <row r="991" spans="1:10" x14ac:dyDescent="0.25">
      <c r="A991" t="s">
        <v>8</v>
      </c>
      <c r="B991" t="s">
        <v>2813</v>
      </c>
      <c r="C991" t="s">
        <v>2814</v>
      </c>
      <c r="D991">
        <v>1</v>
      </c>
      <c r="E991" t="s">
        <v>1514</v>
      </c>
      <c r="F991" t="s">
        <v>1515</v>
      </c>
      <c r="G991" s="1"/>
      <c r="H991" t="str">
        <f>"3250616110724"</f>
        <v>3250616110724</v>
      </c>
      <c r="J991" t="s">
        <v>2815</v>
      </c>
    </row>
    <row r="992" spans="1:10" x14ac:dyDescent="0.25">
      <c r="A992" t="s">
        <v>8</v>
      </c>
      <c r="B992" t="s">
        <v>2816</v>
      </c>
      <c r="C992" t="s">
        <v>2817</v>
      </c>
      <c r="D992">
        <v>1</v>
      </c>
      <c r="E992" t="s">
        <v>1514</v>
      </c>
      <c r="F992" t="s">
        <v>1515</v>
      </c>
      <c r="G992" s="1"/>
      <c r="H992" t="str">
        <f>"3250610701683"</f>
        <v>3250610701683</v>
      </c>
      <c r="J992" t="s">
        <v>2818</v>
      </c>
    </row>
    <row r="993" spans="1:10" x14ac:dyDescent="0.25">
      <c r="A993" t="s">
        <v>8</v>
      </c>
      <c r="B993" t="s">
        <v>2819</v>
      </c>
      <c r="C993" t="s">
        <v>2820</v>
      </c>
      <c r="D993">
        <v>1</v>
      </c>
      <c r="E993" t="s">
        <v>1514</v>
      </c>
      <c r="F993" t="s">
        <v>1515</v>
      </c>
      <c r="G993" s="1"/>
      <c r="H993" t="str">
        <f>"3250610701690"</f>
        <v>3250610701690</v>
      </c>
      <c r="J993" t="s">
        <v>2821</v>
      </c>
    </row>
    <row r="994" spans="1:10" x14ac:dyDescent="0.25">
      <c r="A994" t="s">
        <v>8</v>
      </c>
      <c r="B994" t="s">
        <v>2822</v>
      </c>
      <c r="C994" t="s">
        <v>2823</v>
      </c>
      <c r="D994">
        <v>1</v>
      </c>
      <c r="E994" t="s">
        <v>1514</v>
      </c>
      <c r="F994" t="s">
        <v>1515</v>
      </c>
      <c r="G994" s="1"/>
      <c r="H994" t="str">
        <f>"3250610701515"</f>
        <v>3250610701515</v>
      </c>
      <c r="J994" t="s">
        <v>2824</v>
      </c>
    </row>
    <row r="995" spans="1:10" x14ac:dyDescent="0.25">
      <c r="A995" t="s">
        <v>8</v>
      </c>
      <c r="B995" t="s">
        <v>2825</v>
      </c>
      <c r="C995" t="s">
        <v>2826</v>
      </c>
      <c r="D995">
        <v>1</v>
      </c>
      <c r="E995" t="s">
        <v>1514</v>
      </c>
      <c r="F995" t="s">
        <v>1515</v>
      </c>
      <c r="G995" s="1"/>
      <c r="H995" t="str">
        <f>"3250610701522"</f>
        <v>3250610701522</v>
      </c>
      <c r="J995" t="s">
        <v>2821</v>
      </c>
    </row>
    <row r="996" spans="1:10" x14ac:dyDescent="0.25">
      <c r="A996" t="s">
        <v>8</v>
      </c>
      <c r="B996" t="s">
        <v>2827</v>
      </c>
      <c r="C996" t="s">
        <v>2462</v>
      </c>
      <c r="D996">
        <v>1</v>
      </c>
      <c r="E996" t="s">
        <v>1514</v>
      </c>
      <c r="F996" t="s">
        <v>1515</v>
      </c>
      <c r="G996" s="1"/>
      <c r="H996" t="str">
        <f>"3250612764488"</f>
        <v>3250612764488</v>
      </c>
      <c r="J996" t="s">
        <v>2156</v>
      </c>
    </row>
    <row r="997" spans="1:10" x14ac:dyDescent="0.25">
      <c r="A997" t="s">
        <v>8</v>
      </c>
      <c r="B997" t="s">
        <v>2828</v>
      </c>
      <c r="C997" t="s">
        <v>2829</v>
      </c>
      <c r="D997">
        <v>1</v>
      </c>
      <c r="E997" t="s">
        <v>1514</v>
      </c>
      <c r="F997" t="s">
        <v>1515</v>
      </c>
      <c r="G997" s="1"/>
      <c r="H997" t="str">
        <f>"3250610701768"</f>
        <v>3250610701768</v>
      </c>
      <c r="J997" t="s">
        <v>2830</v>
      </c>
    </row>
    <row r="998" spans="1:10" x14ac:dyDescent="0.25">
      <c r="A998" t="s">
        <v>8</v>
      </c>
      <c r="B998" t="s">
        <v>2831</v>
      </c>
      <c r="C998" t="s">
        <v>2832</v>
      </c>
      <c r="D998">
        <v>1</v>
      </c>
      <c r="E998" t="s">
        <v>1514</v>
      </c>
      <c r="F998" t="s">
        <v>1515</v>
      </c>
      <c r="G998" s="1"/>
      <c r="H998" t="str">
        <f>"3250610701775"</f>
        <v>3250610701775</v>
      </c>
      <c r="J998" t="s">
        <v>2830</v>
      </c>
    </row>
    <row r="999" spans="1:10" x14ac:dyDescent="0.25">
      <c r="A999" t="s">
        <v>8</v>
      </c>
      <c r="B999" t="s">
        <v>2833</v>
      </c>
      <c r="C999" t="s">
        <v>2834</v>
      </c>
      <c r="D999">
        <v>1</v>
      </c>
      <c r="E999" t="s">
        <v>1514</v>
      </c>
      <c r="F999" t="s">
        <v>1515</v>
      </c>
      <c r="G999" s="1"/>
      <c r="H999" t="str">
        <f>"3250610701782"</f>
        <v>3250610701782</v>
      </c>
      <c r="J999" t="s">
        <v>2830</v>
      </c>
    </row>
    <row r="1000" spans="1:10" x14ac:dyDescent="0.25">
      <c r="A1000" t="s">
        <v>8</v>
      </c>
      <c r="B1000" t="s">
        <v>2835</v>
      </c>
      <c r="C1000" t="s">
        <v>2836</v>
      </c>
      <c r="D1000">
        <v>1</v>
      </c>
      <c r="E1000" t="s">
        <v>1514</v>
      </c>
      <c r="F1000" t="s">
        <v>1515</v>
      </c>
      <c r="G1000" s="1"/>
      <c r="H1000" t="str">
        <f>"3250612765379"</f>
        <v>3250612765379</v>
      </c>
      <c r="J1000" t="s">
        <v>2837</v>
      </c>
    </row>
    <row r="1001" spans="1:10" x14ac:dyDescent="0.25">
      <c r="A1001" t="s">
        <v>8</v>
      </c>
      <c r="B1001" t="s">
        <v>2838</v>
      </c>
      <c r="C1001" t="s">
        <v>2839</v>
      </c>
      <c r="D1001">
        <v>1</v>
      </c>
      <c r="E1001" t="s">
        <v>1514</v>
      </c>
      <c r="F1001" t="s">
        <v>1515</v>
      </c>
      <c r="G1001" s="1"/>
      <c r="H1001" t="str">
        <f>"3250616004290"</f>
        <v>3250616004290</v>
      </c>
      <c r="J1001" t="s">
        <v>2840</v>
      </c>
    </row>
    <row r="1002" spans="1:10" x14ac:dyDescent="0.25">
      <c r="A1002" t="s">
        <v>8</v>
      </c>
      <c r="B1002" t="s">
        <v>2841</v>
      </c>
      <c r="C1002" t="s">
        <v>2842</v>
      </c>
      <c r="D1002">
        <v>1</v>
      </c>
      <c r="E1002" t="s">
        <v>1514</v>
      </c>
      <c r="F1002" t="s">
        <v>1515</v>
      </c>
      <c r="G1002" s="1"/>
      <c r="H1002" t="str">
        <f>"3250616004306"</f>
        <v>3250616004306</v>
      </c>
      <c r="J1002" t="s">
        <v>2843</v>
      </c>
    </row>
    <row r="1003" spans="1:10" x14ac:dyDescent="0.25">
      <c r="A1003" t="s">
        <v>8</v>
      </c>
      <c r="B1003" t="s">
        <v>2844</v>
      </c>
      <c r="C1003" t="s">
        <v>2845</v>
      </c>
      <c r="D1003">
        <v>1</v>
      </c>
      <c r="E1003" t="s">
        <v>1514</v>
      </c>
      <c r="F1003" t="s">
        <v>1515</v>
      </c>
      <c r="G1003" s="1"/>
      <c r="H1003" t="str">
        <f>"3250616004313"</f>
        <v>3250616004313</v>
      </c>
      <c r="J1003" t="s">
        <v>2846</v>
      </c>
    </row>
    <row r="1004" spans="1:10" x14ac:dyDescent="0.25">
      <c r="A1004" t="s">
        <v>8</v>
      </c>
      <c r="B1004" t="s">
        <v>2847</v>
      </c>
      <c r="C1004" t="s">
        <v>2848</v>
      </c>
      <c r="D1004">
        <v>1</v>
      </c>
      <c r="E1004" t="s">
        <v>1514</v>
      </c>
      <c r="F1004" t="s">
        <v>1515</v>
      </c>
      <c r="G1004" s="1"/>
      <c r="H1004" t="str">
        <f>"3250616004320"</f>
        <v>3250616004320</v>
      </c>
      <c r="J1004" t="s">
        <v>2849</v>
      </c>
    </row>
    <row r="1005" spans="1:10" x14ac:dyDescent="0.25">
      <c r="A1005" t="s">
        <v>8</v>
      </c>
      <c r="B1005" t="s">
        <v>2850</v>
      </c>
      <c r="C1005" t="s">
        <v>2851</v>
      </c>
      <c r="D1005">
        <v>1</v>
      </c>
      <c r="E1005" t="s">
        <v>1514</v>
      </c>
      <c r="F1005" t="s">
        <v>1515</v>
      </c>
      <c r="G1005" s="1"/>
      <c r="H1005" t="str">
        <f>"3250616004337"</f>
        <v>3250616004337</v>
      </c>
      <c r="J1005" t="s">
        <v>2852</v>
      </c>
    </row>
    <row r="1006" spans="1:10" x14ac:dyDescent="0.25">
      <c r="A1006" t="s">
        <v>8</v>
      </c>
      <c r="B1006" t="s">
        <v>2853</v>
      </c>
      <c r="C1006" t="s">
        <v>2854</v>
      </c>
      <c r="D1006">
        <v>1</v>
      </c>
      <c r="E1006" t="s">
        <v>1514</v>
      </c>
      <c r="F1006" t="s">
        <v>1515</v>
      </c>
      <c r="G1006" s="1"/>
      <c r="H1006" t="str">
        <f>"3250616004344"</f>
        <v>3250616004344</v>
      </c>
      <c r="J1006" t="s">
        <v>2855</v>
      </c>
    </row>
    <row r="1007" spans="1:10" x14ac:dyDescent="0.25">
      <c r="A1007" t="s">
        <v>8</v>
      </c>
      <c r="B1007" t="s">
        <v>2856</v>
      </c>
      <c r="C1007" t="s">
        <v>2857</v>
      </c>
      <c r="D1007">
        <v>1</v>
      </c>
      <c r="E1007" t="s">
        <v>1514</v>
      </c>
      <c r="F1007" t="s">
        <v>1515</v>
      </c>
      <c r="G1007" s="1"/>
      <c r="H1007" t="str">
        <f>"3250616004412"</f>
        <v>3250616004412</v>
      </c>
      <c r="J1007" t="s">
        <v>2858</v>
      </c>
    </row>
    <row r="1008" spans="1:10" x14ac:dyDescent="0.25">
      <c r="A1008" t="s">
        <v>8</v>
      </c>
      <c r="B1008" t="s">
        <v>2859</v>
      </c>
      <c r="C1008" t="s">
        <v>2860</v>
      </c>
      <c r="D1008">
        <v>1</v>
      </c>
      <c r="E1008" t="s">
        <v>1514</v>
      </c>
      <c r="F1008" t="s">
        <v>1515</v>
      </c>
      <c r="G1008" s="1"/>
      <c r="H1008" t="str">
        <f>"3250616004429"</f>
        <v>3250616004429</v>
      </c>
      <c r="J1008" t="s">
        <v>2861</v>
      </c>
    </row>
    <row r="1009" spans="1:10" x14ac:dyDescent="0.25">
      <c r="A1009" t="s">
        <v>8</v>
      </c>
      <c r="B1009" t="s">
        <v>2862</v>
      </c>
      <c r="C1009" t="s">
        <v>2863</v>
      </c>
      <c r="D1009">
        <v>1</v>
      </c>
      <c r="E1009" t="s">
        <v>1514</v>
      </c>
      <c r="F1009" t="s">
        <v>1515</v>
      </c>
      <c r="G1009" s="1"/>
      <c r="H1009" t="str">
        <f>"3250616004436"</f>
        <v>3250616004436</v>
      </c>
      <c r="J1009" t="s">
        <v>2864</v>
      </c>
    </row>
    <row r="1010" spans="1:10" x14ac:dyDescent="0.25">
      <c r="A1010" t="s">
        <v>8</v>
      </c>
      <c r="B1010" t="s">
        <v>2865</v>
      </c>
      <c r="C1010" t="s">
        <v>2866</v>
      </c>
      <c r="D1010">
        <v>1</v>
      </c>
      <c r="E1010" t="s">
        <v>1514</v>
      </c>
      <c r="F1010" t="s">
        <v>1515</v>
      </c>
      <c r="G1010" s="1"/>
      <c r="H1010" t="str">
        <f>"3250616004443"</f>
        <v>3250616004443</v>
      </c>
      <c r="J1010" t="s">
        <v>2867</v>
      </c>
    </row>
    <row r="1011" spans="1:10" x14ac:dyDescent="0.25">
      <c r="A1011" t="s">
        <v>8</v>
      </c>
      <c r="B1011" t="s">
        <v>2868</v>
      </c>
      <c r="C1011" t="s">
        <v>2869</v>
      </c>
      <c r="D1011">
        <v>1</v>
      </c>
      <c r="E1011" t="s">
        <v>1514</v>
      </c>
      <c r="F1011" t="s">
        <v>1515</v>
      </c>
      <c r="G1011" s="1"/>
      <c r="H1011" t="str">
        <f>"3250616004450"</f>
        <v>3250616004450</v>
      </c>
      <c r="J1011" t="s">
        <v>2870</v>
      </c>
    </row>
    <row r="1012" spans="1:10" x14ac:dyDescent="0.25">
      <c r="A1012" t="s">
        <v>8</v>
      </c>
      <c r="B1012" t="s">
        <v>2871</v>
      </c>
      <c r="C1012" t="s">
        <v>2872</v>
      </c>
      <c r="D1012">
        <v>1</v>
      </c>
      <c r="E1012" t="s">
        <v>1514</v>
      </c>
      <c r="F1012" t="s">
        <v>1515</v>
      </c>
      <c r="G1012" s="1"/>
      <c r="H1012" t="str">
        <f>"3250616004467"</f>
        <v>3250616004467</v>
      </c>
      <c r="J1012" t="s">
        <v>2873</v>
      </c>
    </row>
    <row r="1013" spans="1:10" x14ac:dyDescent="0.25">
      <c r="A1013" t="s">
        <v>8</v>
      </c>
      <c r="B1013" t="s">
        <v>2874</v>
      </c>
      <c r="C1013" t="s">
        <v>2875</v>
      </c>
      <c r="D1013">
        <v>1</v>
      </c>
      <c r="E1013" t="s">
        <v>1514</v>
      </c>
      <c r="F1013" t="s">
        <v>1515</v>
      </c>
      <c r="G1013" s="1"/>
      <c r="H1013" t="str">
        <f>"3250610701539"</f>
        <v>3250610701539</v>
      </c>
      <c r="J1013" t="s">
        <v>2876</v>
      </c>
    </row>
    <row r="1014" spans="1:10" x14ac:dyDescent="0.25">
      <c r="A1014" t="s">
        <v>8</v>
      </c>
      <c r="B1014" t="s">
        <v>2877</v>
      </c>
      <c r="C1014" t="s">
        <v>2878</v>
      </c>
      <c r="D1014">
        <v>1</v>
      </c>
      <c r="E1014" t="s">
        <v>1514</v>
      </c>
      <c r="F1014" t="s">
        <v>1515</v>
      </c>
      <c r="G1014" s="1"/>
      <c r="H1014" t="str">
        <f>"3250610701546"</f>
        <v>3250610701546</v>
      </c>
      <c r="J1014" t="s">
        <v>2879</v>
      </c>
    </row>
    <row r="1015" spans="1:10" x14ac:dyDescent="0.25">
      <c r="A1015" t="s">
        <v>8</v>
      </c>
      <c r="B1015" t="s">
        <v>2880</v>
      </c>
      <c r="C1015" t="s">
        <v>2881</v>
      </c>
      <c r="D1015">
        <v>1</v>
      </c>
      <c r="E1015" t="s">
        <v>1514</v>
      </c>
      <c r="F1015" t="s">
        <v>1515</v>
      </c>
      <c r="G1015" s="1"/>
      <c r="H1015" t="str">
        <f>"3250610701706"</f>
        <v>3250610701706</v>
      </c>
      <c r="J1015" t="s">
        <v>2882</v>
      </c>
    </row>
    <row r="1016" spans="1:10" x14ac:dyDescent="0.25">
      <c r="A1016" t="s">
        <v>8</v>
      </c>
      <c r="B1016" t="s">
        <v>2883</v>
      </c>
      <c r="C1016" t="s">
        <v>2884</v>
      </c>
      <c r="D1016">
        <v>1</v>
      </c>
      <c r="E1016" t="s">
        <v>1514</v>
      </c>
      <c r="F1016" t="s">
        <v>1515</v>
      </c>
      <c r="G1016" s="1"/>
      <c r="H1016" t="str">
        <f>"3250610701713"</f>
        <v>3250610701713</v>
      </c>
      <c r="J1016" t="s">
        <v>2885</v>
      </c>
    </row>
    <row r="1017" spans="1:10" x14ac:dyDescent="0.25">
      <c r="A1017" t="s">
        <v>8</v>
      </c>
      <c r="B1017" t="s">
        <v>2886</v>
      </c>
      <c r="C1017" t="s">
        <v>2887</v>
      </c>
      <c r="D1017">
        <v>1</v>
      </c>
      <c r="E1017" t="s">
        <v>1514</v>
      </c>
      <c r="F1017" t="s">
        <v>1515</v>
      </c>
      <c r="G1017" s="1"/>
      <c r="H1017" t="str">
        <f>"3250610701720"</f>
        <v>3250610701720</v>
      </c>
      <c r="J1017" t="s">
        <v>2888</v>
      </c>
    </row>
    <row r="1018" spans="1:10" x14ac:dyDescent="0.25">
      <c r="A1018" t="s">
        <v>8</v>
      </c>
      <c r="B1018" t="s">
        <v>2889</v>
      </c>
      <c r="C1018" t="s">
        <v>2890</v>
      </c>
      <c r="D1018">
        <v>1</v>
      </c>
      <c r="E1018" t="s">
        <v>1514</v>
      </c>
      <c r="F1018" t="s">
        <v>1515</v>
      </c>
      <c r="G1018" s="1"/>
      <c r="H1018" t="str">
        <f>"3250610701553"</f>
        <v>3250610701553</v>
      </c>
      <c r="J1018" t="s">
        <v>2891</v>
      </c>
    </row>
    <row r="1019" spans="1:10" x14ac:dyDescent="0.25">
      <c r="A1019" t="s">
        <v>8</v>
      </c>
      <c r="B1019" t="s">
        <v>2892</v>
      </c>
      <c r="C1019" t="s">
        <v>2893</v>
      </c>
      <c r="D1019">
        <v>1</v>
      </c>
      <c r="E1019" t="s">
        <v>1514</v>
      </c>
      <c r="F1019" t="s">
        <v>1515</v>
      </c>
      <c r="G1019" s="1"/>
      <c r="H1019" t="str">
        <f>"3250610701560"</f>
        <v>3250610701560</v>
      </c>
      <c r="J1019" t="s">
        <v>2894</v>
      </c>
    </row>
    <row r="1020" spans="1:10" x14ac:dyDescent="0.25">
      <c r="A1020" t="s">
        <v>8</v>
      </c>
      <c r="B1020" t="s">
        <v>2895</v>
      </c>
      <c r="C1020" t="s">
        <v>2896</v>
      </c>
      <c r="D1020">
        <v>1</v>
      </c>
      <c r="E1020" t="s">
        <v>1514</v>
      </c>
      <c r="F1020" t="s">
        <v>1515</v>
      </c>
      <c r="G1020" s="1"/>
      <c r="H1020" t="str">
        <f>"3250610701591"</f>
        <v>3250610701591</v>
      </c>
      <c r="J1020" t="s">
        <v>2897</v>
      </c>
    </row>
    <row r="1021" spans="1:10" x14ac:dyDescent="0.25">
      <c r="A1021" t="s">
        <v>8</v>
      </c>
      <c r="B1021" t="s">
        <v>2898</v>
      </c>
      <c r="C1021" t="s">
        <v>2899</v>
      </c>
      <c r="D1021">
        <v>1</v>
      </c>
      <c r="E1021" t="s">
        <v>1514</v>
      </c>
      <c r="F1021" t="s">
        <v>1515</v>
      </c>
      <c r="G1021" s="1"/>
      <c r="H1021" t="str">
        <f>"3250610701607"</f>
        <v>3250610701607</v>
      </c>
      <c r="J1021" t="s">
        <v>2900</v>
      </c>
    </row>
    <row r="1022" spans="1:10" x14ac:dyDescent="0.25">
      <c r="A1022" t="s">
        <v>8</v>
      </c>
      <c r="B1022" t="s">
        <v>2901</v>
      </c>
      <c r="C1022" t="s">
        <v>2902</v>
      </c>
      <c r="D1022">
        <v>1</v>
      </c>
      <c r="E1022" t="s">
        <v>1514</v>
      </c>
      <c r="F1022" t="s">
        <v>1515</v>
      </c>
      <c r="G1022" s="1"/>
      <c r="H1022" t="str">
        <f>"3250610701614"</f>
        <v>3250610701614</v>
      </c>
      <c r="J1022" t="s">
        <v>2903</v>
      </c>
    </row>
    <row r="1023" spans="1:10" x14ac:dyDescent="0.25">
      <c r="A1023" t="s">
        <v>8</v>
      </c>
      <c r="B1023" t="s">
        <v>2904</v>
      </c>
      <c r="C1023" t="s">
        <v>2905</v>
      </c>
      <c r="D1023">
        <v>1</v>
      </c>
      <c r="E1023" t="s">
        <v>1514</v>
      </c>
      <c r="F1023" t="s">
        <v>1515</v>
      </c>
      <c r="G1023" s="1"/>
      <c r="H1023" t="str">
        <f>"3250610701621"</f>
        <v>3250610701621</v>
      </c>
      <c r="J1023" t="s">
        <v>2906</v>
      </c>
    </row>
    <row r="1024" spans="1:10" x14ac:dyDescent="0.25">
      <c r="A1024" t="s">
        <v>8</v>
      </c>
      <c r="B1024" t="s">
        <v>2907</v>
      </c>
      <c r="C1024" t="s">
        <v>2908</v>
      </c>
      <c r="D1024">
        <v>1</v>
      </c>
      <c r="E1024" t="s">
        <v>1514</v>
      </c>
      <c r="F1024" t="s">
        <v>1515</v>
      </c>
      <c r="G1024" s="1"/>
      <c r="H1024" t="str">
        <f>"3250616004610"</f>
        <v>3250616004610</v>
      </c>
      <c r="J1024" t="s">
        <v>2882</v>
      </c>
    </row>
    <row r="1025" spans="1:10" x14ac:dyDescent="0.25">
      <c r="A1025" t="s">
        <v>8</v>
      </c>
      <c r="B1025" t="s">
        <v>2909</v>
      </c>
      <c r="C1025" t="s">
        <v>2910</v>
      </c>
      <c r="D1025">
        <v>1</v>
      </c>
      <c r="E1025" t="s">
        <v>1514</v>
      </c>
      <c r="F1025" t="s">
        <v>1515</v>
      </c>
      <c r="G1025" s="1"/>
      <c r="H1025" t="str">
        <f>"3250616004627"</f>
        <v>3250616004627</v>
      </c>
      <c r="J1025" t="s">
        <v>2885</v>
      </c>
    </row>
    <row r="1026" spans="1:10" x14ac:dyDescent="0.25">
      <c r="A1026" t="s">
        <v>8</v>
      </c>
      <c r="B1026" t="s">
        <v>2911</v>
      </c>
      <c r="C1026" t="s">
        <v>2912</v>
      </c>
      <c r="D1026">
        <v>1</v>
      </c>
      <c r="E1026" t="s">
        <v>1514</v>
      </c>
      <c r="F1026" t="s">
        <v>1515</v>
      </c>
      <c r="G1026" s="1"/>
      <c r="H1026" t="str">
        <f>"3250616004634"</f>
        <v>3250616004634</v>
      </c>
      <c r="J1026" t="s">
        <v>2888</v>
      </c>
    </row>
    <row r="1027" spans="1:10" x14ac:dyDescent="0.25">
      <c r="A1027" t="s">
        <v>8</v>
      </c>
      <c r="B1027" t="s">
        <v>2913</v>
      </c>
      <c r="C1027" t="s">
        <v>2914</v>
      </c>
      <c r="D1027">
        <v>1</v>
      </c>
      <c r="E1027" t="s">
        <v>1514</v>
      </c>
      <c r="F1027" t="s">
        <v>1515</v>
      </c>
      <c r="G1027" s="1"/>
      <c r="H1027" t="str">
        <f>"3250610700778"</f>
        <v>3250610700778</v>
      </c>
      <c r="J1027" t="s">
        <v>2818</v>
      </c>
    </row>
    <row r="1028" spans="1:10" x14ac:dyDescent="0.25">
      <c r="A1028" t="s">
        <v>8</v>
      </c>
      <c r="B1028" t="s">
        <v>2915</v>
      </c>
      <c r="C1028" t="s">
        <v>2916</v>
      </c>
      <c r="D1028">
        <v>1</v>
      </c>
      <c r="E1028" t="s">
        <v>1514</v>
      </c>
      <c r="F1028" t="s">
        <v>1515</v>
      </c>
      <c r="G1028" s="1"/>
      <c r="H1028" t="str">
        <f>"3250610700815"</f>
        <v>3250610700815</v>
      </c>
      <c r="J1028" t="s">
        <v>2917</v>
      </c>
    </row>
    <row r="1029" spans="1:10" x14ac:dyDescent="0.25">
      <c r="A1029" t="s">
        <v>8</v>
      </c>
      <c r="B1029" t="s">
        <v>2918</v>
      </c>
      <c r="C1029" t="s">
        <v>2919</v>
      </c>
      <c r="D1029">
        <v>1</v>
      </c>
      <c r="E1029" t="s">
        <v>1514</v>
      </c>
      <c r="F1029" t="s">
        <v>1515</v>
      </c>
      <c r="G1029" s="1"/>
      <c r="H1029" t="str">
        <f>"3250610700853"</f>
        <v>3250610700853</v>
      </c>
      <c r="J1029" t="s">
        <v>2920</v>
      </c>
    </row>
    <row r="1030" spans="1:10" x14ac:dyDescent="0.25">
      <c r="A1030" t="s">
        <v>8</v>
      </c>
      <c r="B1030" t="s">
        <v>2921</v>
      </c>
      <c r="C1030" t="s">
        <v>2922</v>
      </c>
      <c r="D1030">
        <v>1</v>
      </c>
      <c r="E1030" t="s">
        <v>1514</v>
      </c>
      <c r="F1030" t="s">
        <v>1515</v>
      </c>
      <c r="G1030" s="1"/>
      <c r="H1030" t="str">
        <f>"3250610700891"</f>
        <v>3250610700891</v>
      </c>
      <c r="J1030" t="s">
        <v>2923</v>
      </c>
    </row>
    <row r="1031" spans="1:10" x14ac:dyDescent="0.25">
      <c r="A1031" t="s">
        <v>8</v>
      </c>
      <c r="B1031" t="s">
        <v>2924</v>
      </c>
      <c r="C1031" t="s">
        <v>2925</v>
      </c>
      <c r="D1031">
        <v>1</v>
      </c>
      <c r="E1031" t="s">
        <v>1514</v>
      </c>
      <c r="F1031" t="s">
        <v>1515</v>
      </c>
      <c r="G1031" s="1"/>
      <c r="H1031" t="str">
        <f>"3250610700914"</f>
        <v>3250610700914</v>
      </c>
      <c r="I1031" s="1"/>
      <c r="J1031" t="s">
        <v>2926</v>
      </c>
    </row>
    <row r="1032" spans="1:10" x14ac:dyDescent="0.25">
      <c r="A1032" t="s">
        <v>8</v>
      </c>
      <c r="B1032" t="s">
        <v>2927</v>
      </c>
      <c r="C1032" t="s">
        <v>2928</v>
      </c>
      <c r="D1032">
        <v>1</v>
      </c>
      <c r="E1032" t="s">
        <v>1514</v>
      </c>
      <c r="F1032" t="s">
        <v>1515</v>
      </c>
      <c r="G1032" s="1"/>
      <c r="H1032" t="str">
        <f>"3250610701751"</f>
        <v>3250610701751</v>
      </c>
      <c r="J1032" t="s">
        <v>2929</v>
      </c>
    </row>
    <row r="1033" spans="1:10" x14ac:dyDescent="0.25">
      <c r="A1033" t="s">
        <v>8</v>
      </c>
      <c r="B1033" t="s">
        <v>2930</v>
      </c>
      <c r="C1033" t="s">
        <v>2931</v>
      </c>
      <c r="D1033">
        <v>1</v>
      </c>
      <c r="E1033" t="s">
        <v>1514</v>
      </c>
      <c r="F1033" t="s">
        <v>1515</v>
      </c>
      <c r="G1033" s="1"/>
      <c r="H1033" t="str">
        <f>"3250616004658"</f>
        <v>3250616004658</v>
      </c>
      <c r="J1033" t="s">
        <v>2932</v>
      </c>
    </row>
    <row r="1034" spans="1:10" x14ac:dyDescent="0.25">
      <c r="A1034" t="s">
        <v>8</v>
      </c>
      <c r="B1034" t="s">
        <v>2933</v>
      </c>
      <c r="C1034" t="s">
        <v>2934</v>
      </c>
      <c r="D1034">
        <v>1</v>
      </c>
      <c r="E1034" t="s">
        <v>1514</v>
      </c>
      <c r="F1034" t="s">
        <v>1515</v>
      </c>
      <c r="G1034" s="1"/>
      <c r="H1034" t="str">
        <f>"3250616004665"</f>
        <v>3250616004665</v>
      </c>
      <c r="J1034" t="s">
        <v>2935</v>
      </c>
    </row>
    <row r="1035" spans="1:10" x14ac:dyDescent="0.25">
      <c r="A1035" t="s">
        <v>8</v>
      </c>
      <c r="B1035" t="s">
        <v>2936</v>
      </c>
      <c r="C1035" t="s">
        <v>2937</v>
      </c>
      <c r="D1035">
        <v>1</v>
      </c>
      <c r="E1035" t="s">
        <v>1514</v>
      </c>
      <c r="F1035" t="s">
        <v>1515</v>
      </c>
      <c r="G1035" s="1"/>
      <c r="H1035" t="str">
        <f>"3250616004672"</f>
        <v>3250616004672</v>
      </c>
      <c r="J1035" t="s">
        <v>2938</v>
      </c>
    </row>
    <row r="1036" spans="1:10" x14ac:dyDescent="0.25">
      <c r="A1036" t="s">
        <v>8</v>
      </c>
      <c r="B1036" t="s">
        <v>2939</v>
      </c>
      <c r="C1036" t="s">
        <v>2940</v>
      </c>
      <c r="D1036">
        <v>1</v>
      </c>
      <c r="E1036" t="s">
        <v>1514</v>
      </c>
      <c r="F1036" t="s">
        <v>1515</v>
      </c>
      <c r="G1036" s="1"/>
      <c r="H1036" t="str">
        <f>"3250610701454"</f>
        <v>3250610701454</v>
      </c>
      <c r="J1036" t="s">
        <v>2941</v>
      </c>
    </row>
    <row r="1037" spans="1:10" x14ac:dyDescent="0.25">
      <c r="A1037" t="s">
        <v>8</v>
      </c>
      <c r="B1037" t="s">
        <v>2942</v>
      </c>
      <c r="C1037" t="s">
        <v>2943</v>
      </c>
      <c r="D1037">
        <v>1</v>
      </c>
      <c r="E1037" t="s">
        <v>1514</v>
      </c>
      <c r="F1037" t="s">
        <v>1515</v>
      </c>
      <c r="G1037" s="1"/>
      <c r="H1037" t="str">
        <f>"3250610701461"</f>
        <v>3250610701461</v>
      </c>
      <c r="J1037" t="s">
        <v>2944</v>
      </c>
    </row>
    <row r="1038" spans="1:10" x14ac:dyDescent="0.25">
      <c r="A1038" t="s">
        <v>8</v>
      </c>
      <c r="B1038" t="s">
        <v>2945</v>
      </c>
      <c r="C1038" t="s">
        <v>2946</v>
      </c>
      <c r="D1038">
        <v>1</v>
      </c>
      <c r="E1038" t="s">
        <v>1514</v>
      </c>
      <c r="F1038" t="s">
        <v>1515</v>
      </c>
      <c r="G1038" s="1"/>
      <c r="H1038" t="str">
        <f>"3250610701478"</f>
        <v>3250610701478</v>
      </c>
      <c r="J1038" t="s">
        <v>2947</v>
      </c>
    </row>
    <row r="1039" spans="1:10" x14ac:dyDescent="0.25">
      <c r="A1039" t="s">
        <v>8</v>
      </c>
      <c r="B1039" t="s">
        <v>2948</v>
      </c>
      <c r="C1039" t="s">
        <v>2949</v>
      </c>
      <c r="D1039">
        <v>1</v>
      </c>
      <c r="E1039" t="s">
        <v>1514</v>
      </c>
      <c r="F1039" t="s">
        <v>1515</v>
      </c>
      <c r="G1039" s="1"/>
      <c r="H1039" t="str">
        <f>"3250610701485"</f>
        <v>3250610701485</v>
      </c>
      <c r="J1039" t="s">
        <v>2950</v>
      </c>
    </row>
    <row r="1040" spans="1:10" x14ac:dyDescent="0.25">
      <c r="A1040" t="s">
        <v>8</v>
      </c>
      <c r="B1040" t="s">
        <v>2951</v>
      </c>
      <c r="C1040" t="s">
        <v>2952</v>
      </c>
      <c r="D1040">
        <v>1</v>
      </c>
      <c r="E1040" t="s">
        <v>1514</v>
      </c>
      <c r="F1040" t="s">
        <v>1515</v>
      </c>
      <c r="G1040" s="1"/>
      <c r="H1040" t="str">
        <f>"3250610701492"</f>
        <v>3250610701492</v>
      </c>
      <c r="J1040" t="s">
        <v>2953</v>
      </c>
    </row>
    <row r="1041" spans="1:10" x14ac:dyDescent="0.25">
      <c r="A1041" t="s">
        <v>8</v>
      </c>
      <c r="B1041" t="s">
        <v>2954</v>
      </c>
      <c r="C1041" t="s">
        <v>2955</v>
      </c>
      <c r="D1041">
        <v>1</v>
      </c>
      <c r="E1041" t="s">
        <v>1514</v>
      </c>
      <c r="F1041" t="s">
        <v>1515</v>
      </c>
      <c r="G1041" s="1"/>
      <c r="H1041" t="str">
        <f>"3250610701508"</f>
        <v>3250610701508</v>
      </c>
      <c r="J1041" t="s">
        <v>2956</v>
      </c>
    </row>
    <row r="1042" spans="1:10" x14ac:dyDescent="0.25">
      <c r="A1042" t="s">
        <v>8</v>
      </c>
      <c r="B1042" t="s">
        <v>2957</v>
      </c>
      <c r="C1042" t="s">
        <v>2958</v>
      </c>
      <c r="D1042">
        <v>1</v>
      </c>
      <c r="E1042" t="s">
        <v>1514</v>
      </c>
      <c r="F1042" t="s">
        <v>1515</v>
      </c>
      <c r="G1042" s="1"/>
      <c r="H1042" t="str">
        <f>"3250612548934"</f>
        <v>3250612548934</v>
      </c>
      <c r="J1042" t="s">
        <v>2720</v>
      </c>
    </row>
    <row r="1043" spans="1:10" x14ac:dyDescent="0.25">
      <c r="A1043" t="s">
        <v>8</v>
      </c>
      <c r="B1043" t="s">
        <v>2959</v>
      </c>
      <c r="C1043" t="s">
        <v>2960</v>
      </c>
      <c r="D1043">
        <v>1</v>
      </c>
      <c r="E1043" t="s">
        <v>1514</v>
      </c>
      <c r="F1043" t="s">
        <v>1515</v>
      </c>
      <c r="G1043" s="1"/>
      <c r="H1043" t="str">
        <f>"3250610701744"</f>
        <v>3250610701744</v>
      </c>
      <c r="J1043" t="s">
        <v>2961</v>
      </c>
    </row>
    <row r="1044" spans="1:10" x14ac:dyDescent="0.25">
      <c r="A1044" t="s">
        <v>8</v>
      </c>
      <c r="B1044" t="s">
        <v>2962</v>
      </c>
      <c r="C1044" t="s">
        <v>2963</v>
      </c>
      <c r="D1044">
        <v>1</v>
      </c>
      <c r="E1044" t="s">
        <v>1514</v>
      </c>
      <c r="F1044" t="s">
        <v>1515</v>
      </c>
      <c r="G1044" s="1"/>
      <c r="H1044" t="str">
        <f>"3250616139688"</f>
        <v>3250616139688</v>
      </c>
      <c r="J1044" t="s">
        <v>2964</v>
      </c>
    </row>
    <row r="1045" spans="1:10" x14ac:dyDescent="0.25">
      <c r="A1045" t="s">
        <v>8</v>
      </c>
      <c r="B1045" t="s">
        <v>2965</v>
      </c>
      <c r="C1045" t="s">
        <v>2966</v>
      </c>
      <c r="D1045">
        <v>1</v>
      </c>
      <c r="E1045" t="s">
        <v>1514</v>
      </c>
      <c r="F1045" t="s">
        <v>1515</v>
      </c>
      <c r="G1045" s="1"/>
      <c r="H1045" t="str">
        <f>"3250612548958"</f>
        <v>3250612548958</v>
      </c>
      <c r="J1045" t="s">
        <v>2677</v>
      </c>
    </row>
    <row r="1046" spans="1:10" x14ac:dyDescent="0.25">
      <c r="A1046" t="s">
        <v>8</v>
      </c>
      <c r="B1046" t="s">
        <v>2967</v>
      </c>
      <c r="C1046" t="s">
        <v>2968</v>
      </c>
      <c r="D1046">
        <v>1</v>
      </c>
      <c r="E1046" t="s">
        <v>1514</v>
      </c>
      <c r="F1046" t="s">
        <v>1515</v>
      </c>
      <c r="G1046" s="1"/>
      <c r="H1046" t="str">
        <f>"3250619176642"</f>
        <v>3250619176642</v>
      </c>
      <c r="J1046" t="s">
        <v>2969</v>
      </c>
    </row>
    <row r="1047" spans="1:10" x14ac:dyDescent="0.25">
      <c r="A1047" t="s">
        <v>8</v>
      </c>
      <c r="B1047" t="s">
        <v>2970</v>
      </c>
      <c r="C1047" t="s">
        <v>2971</v>
      </c>
      <c r="D1047">
        <v>1</v>
      </c>
      <c r="E1047" t="s">
        <v>1514</v>
      </c>
      <c r="F1047" t="s">
        <v>1515</v>
      </c>
      <c r="G1047" s="1"/>
      <c r="H1047" t="str">
        <f>"3250619176659"</f>
        <v>3250619176659</v>
      </c>
      <c r="J1047" t="s">
        <v>2969</v>
      </c>
    </row>
    <row r="1048" spans="1:10" x14ac:dyDescent="0.25">
      <c r="A1048" t="s">
        <v>8</v>
      </c>
      <c r="B1048" t="s">
        <v>2972</v>
      </c>
      <c r="C1048" t="s">
        <v>2973</v>
      </c>
      <c r="D1048">
        <v>1</v>
      </c>
      <c r="E1048" t="s">
        <v>1514</v>
      </c>
      <c r="F1048" t="s">
        <v>1515</v>
      </c>
      <c r="G1048" s="1"/>
      <c r="H1048" t="str">
        <f>"3250619176666"</f>
        <v>3250619176666</v>
      </c>
      <c r="J1048" t="s">
        <v>2969</v>
      </c>
    </row>
    <row r="1049" spans="1:10" x14ac:dyDescent="0.25">
      <c r="A1049" t="s">
        <v>8</v>
      </c>
      <c r="B1049" t="s">
        <v>2974</v>
      </c>
      <c r="C1049" t="s">
        <v>2975</v>
      </c>
      <c r="D1049">
        <v>1</v>
      </c>
      <c r="E1049" t="s">
        <v>1514</v>
      </c>
      <c r="F1049" t="s">
        <v>1515</v>
      </c>
      <c r="G1049" s="1"/>
      <c r="H1049" t="str">
        <f>"3250612525010"</f>
        <v>3250612525010</v>
      </c>
      <c r="J1049" t="s">
        <v>2976</v>
      </c>
    </row>
    <row r="1050" spans="1:10" x14ac:dyDescent="0.25">
      <c r="A1050" t="s">
        <v>8</v>
      </c>
      <c r="B1050" t="s">
        <v>2977</v>
      </c>
      <c r="C1050" t="s">
        <v>2978</v>
      </c>
      <c r="D1050">
        <v>1</v>
      </c>
      <c r="E1050" t="s">
        <v>1514</v>
      </c>
      <c r="F1050" t="s">
        <v>1515</v>
      </c>
      <c r="G1050" s="1"/>
      <c r="H1050" t="str">
        <f>"3250617770200"</f>
        <v>3250617770200</v>
      </c>
      <c r="J1050" t="s">
        <v>2979</v>
      </c>
    </row>
    <row r="1051" spans="1:10" x14ac:dyDescent="0.25">
      <c r="A1051" t="s">
        <v>8</v>
      </c>
      <c r="B1051" t="s">
        <v>2980</v>
      </c>
      <c r="C1051" t="s">
        <v>2981</v>
      </c>
      <c r="D1051">
        <v>1</v>
      </c>
      <c r="E1051" t="s">
        <v>1514</v>
      </c>
      <c r="F1051" t="s">
        <v>1515</v>
      </c>
      <c r="G1051" s="1"/>
      <c r="H1051" t="str">
        <f>"3250612765522"</f>
        <v>3250612765522</v>
      </c>
      <c r="J1051" t="s">
        <v>2982</v>
      </c>
    </row>
    <row r="1052" spans="1:10" x14ac:dyDescent="0.25">
      <c r="A1052" t="s">
        <v>8</v>
      </c>
      <c r="B1052" t="s">
        <v>2983</v>
      </c>
      <c r="C1052" t="s">
        <v>2981</v>
      </c>
      <c r="D1052">
        <v>1</v>
      </c>
      <c r="E1052" t="s">
        <v>1514</v>
      </c>
      <c r="F1052" t="s">
        <v>1515</v>
      </c>
      <c r="G1052" s="1"/>
      <c r="H1052" t="str">
        <f>"3250612765539"</f>
        <v>3250612765539</v>
      </c>
      <c r="J1052" t="s">
        <v>2982</v>
      </c>
    </row>
    <row r="1053" spans="1:10" x14ac:dyDescent="0.25">
      <c r="A1053" t="s">
        <v>8</v>
      </c>
      <c r="B1053" t="s">
        <v>2984</v>
      </c>
      <c r="C1053" t="s">
        <v>2985</v>
      </c>
      <c r="D1053">
        <v>1</v>
      </c>
      <c r="E1053" t="s">
        <v>1514</v>
      </c>
      <c r="F1053" t="s">
        <v>1515</v>
      </c>
      <c r="G1053" s="1"/>
      <c r="H1053" t="str">
        <f>"3250616002555"</f>
        <v>3250616002555</v>
      </c>
      <c r="J1053" t="s">
        <v>2986</v>
      </c>
    </row>
    <row r="1054" spans="1:10" x14ac:dyDescent="0.25">
      <c r="A1054" t="s">
        <v>8</v>
      </c>
      <c r="B1054" t="s">
        <v>2987</v>
      </c>
      <c r="C1054" t="s">
        <v>2988</v>
      </c>
      <c r="D1054">
        <v>1</v>
      </c>
      <c r="E1054" t="s">
        <v>1514</v>
      </c>
      <c r="F1054" t="s">
        <v>1515</v>
      </c>
      <c r="G1054" s="1"/>
      <c r="H1054" t="str">
        <f>"3250616000070"</f>
        <v>3250616000070</v>
      </c>
      <c r="J1054" t="s">
        <v>2986</v>
      </c>
    </row>
    <row r="1055" spans="1:10" x14ac:dyDescent="0.25">
      <c r="A1055" t="s">
        <v>8</v>
      </c>
      <c r="B1055" t="s">
        <v>2989</v>
      </c>
      <c r="C1055" t="s">
        <v>2990</v>
      </c>
      <c r="D1055">
        <v>1</v>
      </c>
      <c r="E1055" t="s">
        <v>1514</v>
      </c>
      <c r="F1055" t="s">
        <v>1515</v>
      </c>
      <c r="G1055" s="1"/>
      <c r="H1055" t="str">
        <f>"3250616379336"</f>
        <v>3250616379336</v>
      </c>
      <c r="J1055" t="s">
        <v>2991</v>
      </c>
    </row>
    <row r="1056" spans="1:10" x14ac:dyDescent="0.25">
      <c r="A1056" t="s">
        <v>8</v>
      </c>
      <c r="B1056" t="s">
        <v>2992</v>
      </c>
      <c r="C1056" t="s">
        <v>2993</v>
      </c>
      <c r="D1056">
        <v>1</v>
      </c>
      <c r="E1056" t="s">
        <v>1514</v>
      </c>
      <c r="F1056" t="s">
        <v>1515</v>
      </c>
      <c r="G1056" s="1"/>
      <c r="H1056" t="str">
        <f>"3250616375581"</f>
        <v>3250616375581</v>
      </c>
      <c r="J1056" t="s">
        <v>2994</v>
      </c>
    </row>
    <row r="1057" spans="1:10" x14ac:dyDescent="0.25">
      <c r="A1057" t="s">
        <v>8</v>
      </c>
      <c r="B1057" t="s">
        <v>2995</v>
      </c>
      <c r="C1057" t="s">
        <v>2996</v>
      </c>
      <c r="D1057">
        <v>1</v>
      </c>
      <c r="E1057" t="s">
        <v>1514</v>
      </c>
      <c r="F1057" t="s">
        <v>1515</v>
      </c>
      <c r="G1057" s="1"/>
      <c r="H1057" t="str">
        <f>"3250616378407"</f>
        <v>3250616378407</v>
      </c>
      <c r="J1057" t="s">
        <v>2997</v>
      </c>
    </row>
    <row r="1058" spans="1:10" x14ac:dyDescent="0.25">
      <c r="A1058" t="s">
        <v>8</v>
      </c>
      <c r="B1058" t="s">
        <v>2998</v>
      </c>
      <c r="C1058" t="s">
        <v>2999</v>
      </c>
      <c r="D1058">
        <v>1</v>
      </c>
      <c r="E1058" t="s">
        <v>1514</v>
      </c>
      <c r="F1058" t="s">
        <v>1515</v>
      </c>
      <c r="G1058" s="1"/>
      <c r="H1058" t="str">
        <f>"3250616375628"</f>
        <v>3250616375628</v>
      </c>
      <c r="J1058" t="s">
        <v>2991</v>
      </c>
    </row>
    <row r="1059" spans="1:10" x14ac:dyDescent="0.25">
      <c r="A1059" t="s">
        <v>8</v>
      </c>
      <c r="B1059" t="s">
        <v>3000</v>
      </c>
      <c r="C1059" t="s">
        <v>3001</v>
      </c>
      <c r="D1059">
        <v>1</v>
      </c>
      <c r="E1059" t="s">
        <v>1514</v>
      </c>
      <c r="F1059" t="s">
        <v>1515</v>
      </c>
      <c r="G1059" s="1"/>
      <c r="H1059" t="str">
        <f>"3250616375642"</f>
        <v>3250616375642</v>
      </c>
      <c r="J1059" t="s">
        <v>3002</v>
      </c>
    </row>
    <row r="1060" spans="1:10" x14ac:dyDescent="0.25">
      <c r="A1060" t="s">
        <v>8</v>
      </c>
      <c r="B1060" t="s">
        <v>3003</v>
      </c>
      <c r="C1060" t="s">
        <v>3004</v>
      </c>
      <c r="D1060">
        <v>1</v>
      </c>
      <c r="E1060" t="s">
        <v>1514</v>
      </c>
      <c r="F1060" t="s">
        <v>1515</v>
      </c>
      <c r="G1060" s="1"/>
      <c r="H1060" t="str">
        <f>"3250616375673"</f>
        <v>3250616375673</v>
      </c>
      <c r="J1060" t="s">
        <v>3005</v>
      </c>
    </row>
    <row r="1061" spans="1:10" x14ac:dyDescent="0.25">
      <c r="A1061" t="s">
        <v>8</v>
      </c>
      <c r="B1061" t="s">
        <v>3006</v>
      </c>
      <c r="C1061" t="s">
        <v>3007</v>
      </c>
      <c r="D1061">
        <v>1</v>
      </c>
      <c r="E1061" t="s">
        <v>1514</v>
      </c>
      <c r="F1061" t="s">
        <v>1515</v>
      </c>
      <c r="G1061" s="1"/>
      <c r="H1061" t="str">
        <f>"3250616378421"</f>
        <v>3250616378421</v>
      </c>
      <c r="J1061" t="s">
        <v>3008</v>
      </c>
    </row>
    <row r="1062" spans="1:10" x14ac:dyDescent="0.25">
      <c r="A1062" t="s">
        <v>8</v>
      </c>
      <c r="B1062" t="s">
        <v>3009</v>
      </c>
      <c r="C1062" t="s">
        <v>3010</v>
      </c>
      <c r="D1062">
        <v>1</v>
      </c>
      <c r="E1062" t="s">
        <v>1514</v>
      </c>
      <c r="F1062" t="s">
        <v>1515</v>
      </c>
      <c r="G1062" s="1"/>
      <c r="H1062" t="str">
        <f>"3250616375697"</f>
        <v>3250616375697</v>
      </c>
      <c r="J1062" t="s">
        <v>3011</v>
      </c>
    </row>
    <row r="1063" spans="1:10" x14ac:dyDescent="0.25">
      <c r="A1063" t="s">
        <v>8</v>
      </c>
      <c r="B1063" t="s">
        <v>3012</v>
      </c>
      <c r="C1063" t="s">
        <v>3013</v>
      </c>
      <c r="D1063">
        <v>1</v>
      </c>
      <c r="E1063" t="s">
        <v>1514</v>
      </c>
      <c r="F1063" t="s">
        <v>1515</v>
      </c>
      <c r="G1063" s="1"/>
      <c r="H1063" t="str">
        <f>"3250616375703"</f>
        <v>3250616375703</v>
      </c>
      <c r="J1063" t="s">
        <v>3011</v>
      </c>
    </row>
    <row r="1064" spans="1:10" x14ac:dyDescent="0.25">
      <c r="A1064" t="s">
        <v>8</v>
      </c>
      <c r="B1064" t="s">
        <v>3014</v>
      </c>
      <c r="C1064" t="s">
        <v>3015</v>
      </c>
      <c r="D1064">
        <v>1</v>
      </c>
      <c r="E1064" t="s">
        <v>1514</v>
      </c>
      <c r="F1064" t="s">
        <v>1515</v>
      </c>
      <c r="G1064" s="1"/>
      <c r="H1064" t="str">
        <f>"3250616375710"</f>
        <v>3250616375710</v>
      </c>
      <c r="J1064" t="s">
        <v>3011</v>
      </c>
    </row>
    <row r="1065" spans="1:10" x14ac:dyDescent="0.25">
      <c r="A1065" t="s">
        <v>8</v>
      </c>
      <c r="B1065" t="s">
        <v>3016</v>
      </c>
      <c r="C1065" t="s">
        <v>3017</v>
      </c>
      <c r="D1065">
        <v>1</v>
      </c>
      <c r="E1065" t="s">
        <v>1514</v>
      </c>
      <c r="F1065" t="s">
        <v>1515</v>
      </c>
      <c r="G1065" s="1"/>
      <c r="H1065" t="str">
        <f>"3250616375727"</f>
        <v>3250616375727</v>
      </c>
      <c r="J1065" t="s">
        <v>3018</v>
      </c>
    </row>
    <row r="1066" spans="1:10" x14ac:dyDescent="0.25">
      <c r="A1066" t="s">
        <v>8</v>
      </c>
      <c r="B1066" t="s">
        <v>3019</v>
      </c>
      <c r="C1066" t="s">
        <v>3020</v>
      </c>
      <c r="D1066">
        <v>1</v>
      </c>
      <c r="E1066" t="s">
        <v>1514</v>
      </c>
      <c r="F1066" t="s">
        <v>1515</v>
      </c>
      <c r="G1066" s="1"/>
      <c r="H1066" t="str">
        <f>"3250616379473"</f>
        <v>3250616379473</v>
      </c>
      <c r="J1066" t="s">
        <v>2994</v>
      </c>
    </row>
    <row r="1067" spans="1:10" x14ac:dyDescent="0.25">
      <c r="A1067" t="s">
        <v>8</v>
      </c>
      <c r="B1067" t="s">
        <v>3021</v>
      </c>
      <c r="C1067" t="s">
        <v>3022</v>
      </c>
      <c r="D1067">
        <v>1</v>
      </c>
      <c r="E1067" t="s">
        <v>1514</v>
      </c>
      <c r="F1067" t="s">
        <v>1515</v>
      </c>
      <c r="G1067" s="1"/>
      <c r="H1067" t="str">
        <f>"3250616138438"</f>
        <v>3250616138438</v>
      </c>
      <c r="J1067" t="s">
        <v>3023</v>
      </c>
    </row>
    <row r="1068" spans="1:10" x14ac:dyDescent="0.25">
      <c r="A1068" t="s">
        <v>8</v>
      </c>
      <c r="B1068" t="s">
        <v>3024</v>
      </c>
      <c r="C1068" t="s">
        <v>3025</v>
      </c>
      <c r="D1068">
        <v>1</v>
      </c>
      <c r="E1068" t="s">
        <v>1514</v>
      </c>
      <c r="F1068" t="s">
        <v>1515</v>
      </c>
      <c r="G1068" s="1"/>
      <c r="H1068" t="str">
        <f>"3250616378209"</f>
        <v>3250616378209</v>
      </c>
      <c r="J1068" t="s">
        <v>3026</v>
      </c>
    </row>
    <row r="1069" spans="1:10" x14ac:dyDescent="0.25">
      <c r="A1069" t="s">
        <v>8</v>
      </c>
      <c r="B1069" t="s">
        <v>3027</v>
      </c>
      <c r="C1069" t="s">
        <v>3028</v>
      </c>
      <c r="D1069">
        <v>1</v>
      </c>
      <c r="E1069" t="s">
        <v>1514</v>
      </c>
      <c r="F1069" t="s">
        <v>1515</v>
      </c>
      <c r="G1069" s="1"/>
      <c r="H1069" t="str">
        <f>"3250616378216"</f>
        <v>3250616378216</v>
      </c>
      <c r="J1069" t="s">
        <v>3029</v>
      </c>
    </row>
    <row r="1070" spans="1:10" x14ac:dyDescent="0.25">
      <c r="A1070" t="s">
        <v>8</v>
      </c>
      <c r="B1070" t="s">
        <v>3030</v>
      </c>
      <c r="C1070" t="s">
        <v>3031</v>
      </c>
      <c r="D1070">
        <v>1</v>
      </c>
      <c r="E1070" t="s">
        <v>1514</v>
      </c>
      <c r="F1070" t="s">
        <v>1515</v>
      </c>
      <c r="G1070" s="1"/>
      <c r="H1070" t="str">
        <f>"3250616139138"</f>
        <v>3250616139138</v>
      </c>
      <c r="J1070" t="s">
        <v>3032</v>
      </c>
    </row>
    <row r="1071" spans="1:10" x14ac:dyDescent="0.25">
      <c r="A1071" t="s">
        <v>8</v>
      </c>
      <c r="B1071" t="s">
        <v>3033</v>
      </c>
      <c r="C1071" t="s">
        <v>3034</v>
      </c>
      <c r="D1071">
        <v>1</v>
      </c>
      <c r="E1071" t="s">
        <v>1514</v>
      </c>
      <c r="F1071" t="s">
        <v>1515</v>
      </c>
      <c r="G1071" s="1"/>
      <c r="H1071" t="str">
        <f>"3250616378223"</f>
        <v>3250616378223</v>
      </c>
      <c r="J1071" t="s">
        <v>3035</v>
      </c>
    </row>
    <row r="1072" spans="1:10" x14ac:dyDescent="0.25">
      <c r="A1072" t="s">
        <v>8</v>
      </c>
      <c r="B1072" t="s">
        <v>3036</v>
      </c>
      <c r="C1072" t="s">
        <v>3037</v>
      </c>
      <c r="D1072">
        <v>1</v>
      </c>
      <c r="E1072" t="s">
        <v>1514</v>
      </c>
      <c r="F1072" t="s">
        <v>1515</v>
      </c>
      <c r="G1072" s="1"/>
      <c r="H1072" t="str">
        <f>"3250616375741"</f>
        <v>3250616375741</v>
      </c>
      <c r="J1072" t="s">
        <v>3038</v>
      </c>
    </row>
    <row r="1073" spans="1:10" x14ac:dyDescent="0.25">
      <c r="A1073" t="s">
        <v>8</v>
      </c>
      <c r="B1073" t="s">
        <v>3039</v>
      </c>
      <c r="C1073" t="s">
        <v>3040</v>
      </c>
      <c r="D1073">
        <v>1</v>
      </c>
      <c r="E1073" t="s">
        <v>1514</v>
      </c>
      <c r="F1073" t="s">
        <v>1515</v>
      </c>
      <c r="G1073" s="1"/>
      <c r="H1073" t="str">
        <f>"3250616375758"</f>
        <v>3250616375758</v>
      </c>
      <c r="J1073" s="1">
        <v>301</v>
      </c>
    </row>
    <row r="1074" spans="1:10" x14ac:dyDescent="0.25">
      <c r="A1074" t="s">
        <v>8</v>
      </c>
      <c r="B1074" t="s">
        <v>3041</v>
      </c>
      <c r="C1074" t="s">
        <v>3042</v>
      </c>
      <c r="D1074">
        <v>1</v>
      </c>
      <c r="E1074" t="s">
        <v>1514</v>
      </c>
      <c r="F1074" t="s">
        <v>1515</v>
      </c>
      <c r="G1074" s="1"/>
      <c r="H1074" t="str">
        <f>"3250616375765"</f>
        <v>3250616375765</v>
      </c>
      <c r="J1074" t="s">
        <v>3043</v>
      </c>
    </row>
    <row r="1075" spans="1:10" x14ac:dyDescent="0.25">
      <c r="A1075" t="s">
        <v>8</v>
      </c>
      <c r="B1075" t="s">
        <v>3044</v>
      </c>
      <c r="C1075" t="s">
        <v>3045</v>
      </c>
      <c r="D1075">
        <v>1</v>
      </c>
      <c r="E1075" t="s">
        <v>1514</v>
      </c>
      <c r="F1075" t="s">
        <v>1515</v>
      </c>
      <c r="G1075" s="1"/>
      <c r="H1075" t="str">
        <f>"3250616375772"</f>
        <v>3250616375772</v>
      </c>
      <c r="J1075" t="s">
        <v>3046</v>
      </c>
    </row>
    <row r="1076" spans="1:10" x14ac:dyDescent="0.25">
      <c r="A1076" t="s">
        <v>8</v>
      </c>
      <c r="B1076" t="s">
        <v>3047</v>
      </c>
      <c r="C1076" t="s">
        <v>3048</v>
      </c>
      <c r="D1076">
        <v>1</v>
      </c>
      <c r="E1076" t="s">
        <v>1514</v>
      </c>
      <c r="F1076" t="s">
        <v>1515</v>
      </c>
      <c r="G1076" s="1"/>
      <c r="H1076" t="str">
        <f>"3250616375789"</f>
        <v>3250616375789</v>
      </c>
      <c r="J1076" t="s">
        <v>3049</v>
      </c>
    </row>
    <row r="1077" spans="1:10" x14ac:dyDescent="0.25">
      <c r="A1077" t="s">
        <v>8</v>
      </c>
      <c r="B1077" t="s">
        <v>3050</v>
      </c>
      <c r="C1077" t="s">
        <v>3051</v>
      </c>
      <c r="D1077">
        <v>1</v>
      </c>
      <c r="E1077" t="s">
        <v>1514</v>
      </c>
      <c r="F1077" t="s">
        <v>1515</v>
      </c>
      <c r="G1077" s="1"/>
      <c r="H1077" t="str">
        <f>"3250616375796"</f>
        <v>3250616375796</v>
      </c>
      <c r="J1077" t="s">
        <v>3052</v>
      </c>
    </row>
    <row r="1078" spans="1:10" x14ac:dyDescent="0.25">
      <c r="A1078" t="s">
        <v>8</v>
      </c>
      <c r="B1078" t="s">
        <v>3053</v>
      </c>
      <c r="C1078" t="s">
        <v>3054</v>
      </c>
      <c r="D1078">
        <v>1</v>
      </c>
      <c r="E1078" t="s">
        <v>1514</v>
      </c>
      <c r="F1078" t="s">
        <v>1515</v>
      </c>
      <c r="G1078" s="1"/>
      <c r="H1078" t="str">
        <f>"3250616139787"</f>
        <v>3250616139787</v>
      </c>
      <c r="J1078" t="s">
        <v>3055</v>
      </c>
    </row>
    <row r="1079" spans="1:10" x14ac:dyDescent="0.25">
      <c r="A1079" t="s">
        <v>8</v>
      </c>
      <c r="B1079" t="s">
        <v>3056</v>
      </c>
      <c r="C1079" t="s">
        <v>3057</v>
      </c>
      <c r="D1079">
        <v>1</v>
      </c>
      <c r="E1079" t="s">
        <v>1514</v>
      </c>
      <c r="F1079" t="s">
        <v>1515</v>
      </c>
      <c r="G1079" s="1"/>
      <c r="H1079" t="str">
        <f>"3250616378230"</f>
        <v>3250616378230</v>
      </c>
      <c r="J1079" t="s">
        <v>3058</v>
      </c>
    </row>
    <row r="1080" spans="1:10" x14ac:dyDescent="0.25">
      <c r="A1080" t="s">
        <v>8</v>
      </c>
      <c r="B1080" t="s">
        <v>3059</v>
      </c>
      <c r="C1080" t="s">
        <v>3060</v>
      </c>
      <c r="D1080">
        <v>1</v>
      </c>
      <c r="E1080" t="s">
        <v>1514</v>
      </c>
      <c r="F1080" t="s">
        <v>1515</v>
      </c>
      <c r="G1080" s="1"/>
      <c r="H1080" t="str">
        <f>"3250616378247"</f>
        <v>3250616378247</v>
      </c>
      <c r="J1080" t="s">
        <v>3061</v>
      </c>
    </row>
    <row r="1081" spans="1:10" x14ac:dyDescent="0.25">
      <c r="A1081" t="s">
        <v>8</v>
      </c>
      <c r="B1081" t="s">
        <v>3062</v>
      </c>
      <c r="C1081" t="s">
        <v>3063</v>
      </c>
      <c r="D1081">
        <v>1</v>
      </c>
      <c r="E1081" t="s">
        <v>1514</v>
      </c>
      <c r="F1081" t="s">
        <v>1515</v>
      </c>
      <c r="G1081" s="1"/>
      <c r="H1081" t="str">
        <f>"3250616378254"</f>
        <v>3250616378254</v>
      </c>
      <c r="J1081" t="s">
        <v>3064</v>
      </c>
    </row>
    <row r="1082" spans="1:10" x14ac:dyDescent="0.25">
      <c r="A1082" t="s">
        <v>8</v>
      </c>
      <c r="B1082" t="s">
        <v>3065</v>
      </c>
      <c r="C1082" t="s">
        <v>3066</v>
      </c>
      <c r="D1082">
        <v>1</v>
      </c>
      <c r="E1082" t="s">
        <v>1514</v>
      </c>
      <c r="F1082" t="s">
        <v>1515</v>
      </c>
      <c r="G1082" s="1"/>
      <c r="H1082" t="str">
        <f>"3250616378261"</f>
        <v>3250616378261</v>
      </c>
      <c r="J1082" t="s">
        <v>3067</v>
      </c>
    </row>
    <row r="1083" spans="1:10" x14ac:dyDescent="0.25">
      <c r="A1083" t="s">
        <v>8</v>
      </c>
      <c r="B1083" t="s">
        <v>3068</v>
      </c>
      <c r="C1083" t="s">
        <v>3069</v>
      </c>
      <c r="D1083">
        <v>1</v>
      </c>
      <c r="E1083" t="s">
        <v>1514</v>
      </c>
      <c r="F1083" t="s">
        <v>1515</v>
      </c>
      <c r="G1083" s="1"/>
      <c r="H1083" t="str">
        <f>"3250616139893"</f>
        <v>3250616139893</v>
      </c>
      <c r="J1083" t="s">
        <v>3070</v>
      </c>
    </row>
    <row r="1084" spans="1:10" x14ac:dyDescent="0.25">
      <c r="A1084" t="s">
        <v>8</v>
      </c>
      <c r="B1084" t="s">
        <v>3071</v>
      </c>
      <c r="C1084" t="s">
        <v>3072</v>
      </c>
      <c r="D1084">
        <v>1</v>
      </c>
      <c r="E1084" t="s">
        <v>1514</v>
      </c>
      <c r="F1084" t="s">
        <v>1515</v>
      </c>
      <c r="G1084" s="1"/>
      <c r="H1084" t="str">
        <f>"3250616371798"</f>
        <v>3250616371798</v>
      </c>
      <c r="J1084" t="s">
        <v>3073</v>
      </c>
    </row>
    <row r="1085" spans="1:10" x14ac:dyDescent="0.25">
      <c r="A1085" t="s">
        <v>8</v>
      </c>
      <c r="B1085" t="s">
        <v>3074</v>
      </c>
      <c r="C1085" t="s">
        <v>3075</v>
      </c>
      <c r="D1085">
        <v>1</v>
      </c>
      <c r="E1085" t="s">
        <v>1514</v>
      </c>
      <c r="F1085" t="s">
        <v>1515</v>
      </c>
      <c r="G1085" s="1"/>
      <c r="H1085" t="str">
        <f>"3250616371811"</f>
        <v>3250616371811</v>
      </c>
      <c r="J1085" t="s">
        <v>3076</v>
      </c>
    </row>
    <row r="1086" spans="1:10" x14ac:dyDescent="0.25">
      <c r="A1086" t="s">
        <v>8</v>
      </c>
      <c r="B1086" t="s">
        <v>3077</v>
      </c>
      <c r="C1086" t="s">
        <v>3078</v>
      </c>
      <c r="D1086">
        <v>1</v>
      </c>
      <c r="E1086" t="s">
        <v>1514</v>
      </c>
      <c r="F1086" t="s">
        <v>1515</v>
      </c>
      <c r="G1086" s="1"/>
      <c r="H1086" t="str">
        <f>"3250612773336"</f>
        <v>3250612773336</v>
      </c>
      <c r="J1086" t="s">
        <v>3079</v>
      </c>
    </row>
    <row r="1087" spans="1:10" x14ac:dyDescent="0.25">
      <c r="A1087" t="s">
        <v>8</v>
      </c>
      <c r="B1087" t="s">
        <v>3080</v>
      </c>
      <c r="C1087" t="s">
        <v>3081</v>
      </c>
      <c r="D1087">
        <v>1</v>
      </c>
      <c r="E1087" t="s">
        <v>1514</v>
      </c>
      <c r="F1087" t="s">
        <v>1515</v>
      </c>
      <c r="G1087" s="1"/>
      <c r="H1087" t="str">
        <f>"3250610013427"</f>
        <v>3250610013427</v>
      </c>
      <c r="J1087" t="s">
        <v>3082</v>
      </c>
    </row>
    <row r="1088" spans="1:10" x14ac:dyDescent="0.25">
      <c r="A1088" t="s">
        <v>8</v>
      </c>
      <c r="B1088" t="s">
        <v>3083</v>
      </c>
      <c r="C1088" t="s">
        <v>3084</v>
      </c>
      <c r="D1088">
        <v>1</v>
      </c>
      <c r="E1088" t="s">
        <v>1514</v>
      </c>
      <c r="F1088" t="s">
        <v>1515</v>
      </c>
      <c r="G1088" s="1"/>
      <c r="H1088" t="str">
        <f>"3250610013441"</f>
        <v>3250610013441</v>
      </c>
      <c r="J1088" t="s">
        <v>3085</v>
      </c>
    </row>
    <row r="1089" spans="1:10" x14ac:dyDescent="0.25">
      <c r="A1089" t="s">
        <v>8</v>
      </c>
      <c r="B1089" t="s">
        <v>3086</v>
      </c>
      <c r="C1089" t="s">
        <v>3087</v>
      </c>
      <c r="D1089">
        <v>1</v>
      </c>
      <c r="E1089" t="s">
        <v>1514</v>
      </c>
      <c r="F1089" t="s">
        <v>1515</v>
      </c>
      <c r="G1089" s="1"/>
      <c r="H1089" t="str">
        <f>"3250610013465"</f>
        <v>3250610013465</v>
      </c>
      <c r="J1089" t="s">
        <v>3088</v>
      </c>
    </row>
    <row r="1090" spans="1:10" x14ac:dyDescent="0.25">
      <c r="A1090" t="s">
        <v>8</v>
      </c>
      <c r="B1090" t="s">
        <v>3089</v>
      </c>
      <c r="C1090" t="s">
        <v>3090</v>
      </c>
      <c r="D1090">
        <v>1</v>
      </c>
      <c r="E1090" t="s">
        <v>1514</v>
      </c>
      <c r="F1090" t="s">
        <v>1515</v>
      </c>
      <c r="G1090" s="1"/>
      <c r="H1090" t="str">
        <f>"3250610013434"</f>
        <v>3250610013434</v>
      </c>
      <c r="J1090" t="s">
        <v>3091</v>
      </c>
    </row>
    <row r="1091" spans="1:10" x14ac:dyDescent="0.25">
      <c r="A1091" t="s">
        <v>8</v>
      </c>
      <c r="B1091" t="s">
        <v>3092</v>
      </c>
      <c r="C1091" t="s">
        <v>3093</v>
      </c>
      <c r="D1091">
        <v>1</v>
      </c>
      <c r="E1091" t="s">
        <v>1514</v>
      </c>
      <c r="F1091" t="s">
        <v>1515</v>
      </c>
      <c r="G1091" s="1"/>
      <c r="H1091" t="str">
        <f>"3250610013458"</f>
        <v>3250610013458</v>
      </c>
      <c r="J1091" t="s">
        <v>3094</v>
      </c>
    </row>
    <row r="1092" spans="1:10" x14ac:dyDescent="0.25">
      <c r="A1092" t="s">
        <v>8</v>
      </c>
      <c r="B1092" t="s">
        <v>3095</v>
      </c>
      <c r="C1092" t="s">
        <v>3096</v>
      </c>
      <c r="D1092">
        <v>1</v>
      </c>
      <c r="E1092" t="s">
        <v>1514</v>
      </c>
      <c r="F1092" t="s">
        <v>1515</v>
      </c>
      <c r="G1092" s="1"/>
      <c r="H1092" t="str">
        <f>"3250610013472"</f>
        <v>3250610013472</v>
      </c>
      <c r="J1092" t="s">
        <v>3097</v>
      </c>
    </row>
    <row r="1093" spans="1:10" x14ac:dyDescent="0.25">
      <c r="A1093" t="s">
        <v>8</v>
      </c>
      <c r="B1093" t="s">
        <v>3098</v>
      </c>
      <c r="C1093" t="s">
        <v>3099</v>
      </c>
      <c r="D1093">
        <v>1</v>
      </c>
      <c r="E1093" t="s">
        <v>1514</v>
      </c>
      <c r="F1093" t="s">
        <v>1515</v>
      </c>
      <c r="G1093" s="1"/>
      <c r="H1093" t="str">
        <f>"3250610014462"</f>
        <v>3250610014462</v>
      </c>
      <c r="J1093" t="s">
        <v>3100</v>
      </c>
    </row>
    <row r="1094" spans="1:10" x14ac:dyDescent="0.25">
      <c r="A1094" t="s">
        <v>8</v>
      </c>
      <c r="B1094" t="s">
        <v>3101</v>
      </c>
      <c r="C1094" t="s">
        <v>3102</v>
      </c>
      <c r="D1094">
        <v>1</v>
      </c>
      <c r="E1094" t="s">
        <v>1514</v>
      </c>
      <c r="F1094" t="s">
        <v>1515</v>
      </c>
      <c r="G1094" s="1"/>
      <c r="H1094" t="str">
        <f>"3250615002150"</f>
        <v>3250615002150</v>
      </c>
      <c r="J1094" t="s">
        <v>3103</v>
      </c>
    </row>
    <row r="1095" spans="1:10" x14ac:dyDescent="0.25">
      <c r="A1095" t="s">
        <v>8</v>
      </c>
      <c r="B1095" t="s">
        <v>3104</v>
      </c>
      <c r="C1095" t="s">
        <v>3105</v>
      </c>
      <c r="D1095">
        <v>1</v>
      </c>
      <c r="E1095" t="s">
        <v>1514</v>
      </c>
      <c r="F1095" t="s">
        <v>1515</v>
      </c>
      <c r="G1095" s="1"/>
      <c r="H1095" t="str">
        <f>"3250610660836"</f>
        <v>3250610660836</v>
      </c>
      <c r="J1095" t="s">
        <v>3106</v>
      </c>
    </row>
    <row r="1096" spans="1:10" x14ac:dyDescent="0.25">
      <c r="A1096" t="s">
        <v>8</v>
      </c>
      <c r="B1096" t="s">
        <v>3107</v>
      </c>
      <c r="C1096" t="s">
        <v>3108</v>
      </c>
      <c r="D1096">
        <v>1</v>
      </c>
      <c r="E1096" t="s">
        <v>1514</v>
      </c>
      <c r="F1096" t="s">
        <v>1515</v>
      </c>
      <c r="G1096" s="1"/>
      <c r="H1096" t="str">
        <f>"3250615949844"</f>
        <v>3250615949844</v>
      </c>
      <c r="J1096" t="s">
        <v>3109</v>
      </c>
    </row>
    <row r="1097" spans="1:10" x14ac:dyDescent="0.25">
      <c r="A1097" t="s">
        <v>8</v>
      </c>
      <c r="B1097" t="s">
        <v>3110</v>
      </c>
      <c r="C1097" t="s">
        <v>3111</v>
      </c>
      <c r="D1097">
        <v>1</v>
      </c>
      <c r="E1097" t="s">
        <v>1514</v>
      </c>
      <c r="F1097" t="s">
        <v>1515</v>
      </c>
      <c r="G1097" s="1"/>
      <c r="H1097" t="str">
        <f>"3250616668393"</f>
        <v>3250616668393</v>
      </c>
      <c r="J1097" t="s">
        <v>3112</v>
      </c>
    </row>
    <row r="1098" spans="1:10" x14ac:dyDescent="0.25">
      <c r="A1098" t="s">
        <v>8</v>
      </c>
      <c r="B1098" t="s">
        <v>3113</v>
      </c>
      <c r="C1098" t="s">
        <v>3114</v>
      </c>
      <c r="D1098">
        <v>1</v>
      </c>
      <c r="E1098" t="s">
        <v>1514</v>
      </c>
      <c r="F1098" t="s">
        <v>1515</v>
      </c>
      <c r="G1098" s="1"/>
      <c r="H1098" t="str">
        <f>"3250610132999"</f>
        <v>3250610132999</v>
      </c>
      <c r="J1098" t="s">
        <v>3115</v>
      </c>
    </row>
    <row r="1099" spans="1:10" x14ac:dyDescent="0.25">
      <c r="A1099" t="s">
        <v>8</v>
      </c>
      <c r="B1099" t="s">
        <v>3116</v>
      </c>
      <c r="C1099" t="s">
        <v>3117</v>
      </c>
      <c r="D1099">
        <v>1</v>
      </c>
      <c r="E1099" t="s">
        <v>1514</v>
      </c>
      <c r="F1099" t="s">
        <v>1515</v>
      </c>
      <c r="G1099" s="1"/>
      <c r="H1099" t="str">
        <f>"3250610133002"</f>
        <v>3250610133002</v>
      </c>
      <c r="J1099" t="s">
        <v>3118</v>
      </c>
    </row>
    <row r="1100" spans="1:10" x14ac:dyDescent="0.25">
      <c r="A1100" t="s">
        <v>8</v>
      </c>
      <c r="B1100" t="s">
        <v>3119</v>
      </c>
      <c r="C1100" t="s">
        <v>3120</v>
      </c>
      <c r="D1100">
        <v>1</v>
      </c>
      <c r="E1100" t="s">
        <v>1514</v>
      </c>
      <c r="F1100" t="s">
        <v>1515</v>
      </c>
      <c r="G1100" s="1"/>
      <c r="H1100" t="str">
        <f>"3250610133118"</f>
        <v>3250610133118</v>
      </c>
      <c r="J1100" t="s">
        <v>3121</v>
      </c>
    </row>
    <row r="1101" spans="1:10" x14ac:dyDescent="0.25">
      <c r="A1101" t="s">
        <v>8</v>
      </c>
      <c r="B1101" t="s">
        <v>3122</v>
      </c>
      <c r="C1101" t="s">
        <v>3123</v>
      </c>
      <c r="D1101">
        <v>1</v>
      </c>
      <c r="E1101" t="s">
        <v>1514</v>
      </c>
      <c r="F1101" t="s">
        <v>1515</v>
      </c>
      <c r="G1101" s="1"/>
      <c r="H1101" t="str">
        <f>"3250610133125"</f>
        <v>3250610133125</v>
      </c>
      <c r="J1101" t="s">
        <v>3124</v>
      </c>
    </row>
    <row r="1102" spans="1:10" x14ac:dyDescent="0.25">
      <c r="A1102" t="s">
        <v>8</v>
      </c>
      <c r="B1102" t="s">
        <v>3125</v>
      </c>
      <c r="C1102" t="s">
        <v>3126</v>
      </c>
      <c r="D1102">
        <v>1</v>
      </c>
      <c r="E1102" t="s">
        <v>1514</v>
      </c>
      <c r="F1102" t="s">
        <v>1515</v>
      </c>
      <c r="G1102" s="1"/>
      <c r="H1102" t="str">
        <f>"3250610133132"</f>
        <v>3250610133132</v>
      </c>
      <c r="J1102" t="s">
        <v>3127</v>
      </c>
    </row>
    <row r="1103" spans="1:10" x14ac:dyDescent="0.25">
      <c r="A1103" t="s">
        <v>8</v>
      </c>
      <c r="B1103" t="s">
        <v>3128</v>
      </c>
      <c r="C1103" t="s">
        <v>3129</v>
      </c>
      <c r="D1103">
        <v>1</v>
      </c>
      <c r="E1103" t="s">
        <v>1514</v>
      </c>
      <c r="F1103" t="s">
        <v>1515</v>
      </c>
      <c r="G1103" s="1"/>
      <c r="H1103" t="str">
        <f>"3250610133149"</f>
        <v>3250610133149</v>
      </c>
      <c r="J1103" t="s">
        <v>3130</v>
      </c>
    </row>
    <row r="1104" spans="1:10" x14ac:dyDescent="0.25">
      <c r="A1104" t="s">
        <v>8</v>
      </c>
      <c r="B1104" t="s">
        <v>3131</v>
      </c>
      <c r="C1104" t="s">
        <v>3132</v>
      </c>
      <c r="D1104">
        <v>1</v>
      </c>
      <c r="E1104" t="s">
        <v>1514</v>
      </c>
      <c r="F1104" t="s">
        <v>1515</v>
      </c>
      <c r="G1104" s="1"/>
      <c r="H1104" t="str">
        <f>"3250610133156"</f>
        <v>3250610133156</v>
      </c>
      <c r="J1104" t="s">
        <v>3133</v>
      </c>
    </row>
    <row r="1105" spans="1:10" x14ac:dyDescent="0.25">
      <c r="A1105" t="s">
        <v>8</v>
      </c>
      <c r="B1105" t="s">
        <v>3134</v>
      </c>
      <c r="C1105" t="s">
        <v>3135</v>
      </c>
      <c r="D1105">
        <v>1</v>
      </c>
      <c r="E1105" t="s">
        <v>1514</v>
      </c>
      <c r="F1105" t="s">
        <v>1515</v>
      </c>
      <c r="G1105" s="1"/>
      <c r="H1105" t="str">
        <f>"3250610133163"</f>
        <v>3250610133163</v>
      </c>
      <c r="J1105" t="s">
        <v>3136</v>
      </c>
    </row>
    <row r="1106" spans="1:10" x14ac:dyDescent="0.25">
      <c r="A1106" t="s">
        <v>8</v>
      </c>
      <c r="B1106" t="s">
        <v>3137</v>
      </c>
      <c r="C1106" t="s">
        <v>3138</v>
      </c>
      <c r="D1106">
        <v>1</v>
      </c>
      <c r="E1106" t="s">
        <v>1514</v>
      </c>
      <c r="F1106" t="s">
        <v>1515</v>
      </c>
      <c r="G1106" s="1"/>
      <c r="H1106" t="str">
        <f>"3250610133170"</f>
        <v>3250610133170</v>
      </c>
      <c r="J1106" t="s">
        <v>3139</v>
      </c>
    </row>
    <row r="1107" spans="1:10" x14ac:dyDescent="0.25">
      <c r="A1107" t="s">
        <v>8</v>
      </c>
      <c r="B1107" t="s">
        <v>3140</v>
      </c>
      <c r="C1107" t="s">
        <v>3141</v>
      </c>
      <c r="D1107">
        <v>1</v>
      </c>
      <c r="E1107" t="s">
        <v>1514</v>
      </c>
      <c r="F1107" t="s">
        <v>1515</v>
      </c>
      <c r="G1107" s="1"/>
      <c r="H1107" t="str">
        <f>"3250610133187"</f>
        <v>3250610133187</v>
      </c>
      <c r="J1107" t="s">
        <v>3142</v>
      </c>
    </row>
    <row r="1108" spans="1:10" x14ac:dyDescent="0.25">
      <c r="A1108" t="s">
        <v>8</v>
      </c>
      <c r="B1108" t="s">
        <v>3143</v>
      </c>
      <c r="C1108" t="s">
        <v>3144</v>
      </c>
      <c r="D1108">
        <v>1</v>
      </c>
      <c r="E1108" t="s">
        <v>1514</v>
      </c>
      <c r="F1108" t="s">
        <v>1515</v>
      </c>
      <c r="G1108" s="1"/>
      <c r="H1108" t="str">
        <f>"3250612778645"</f>
        <v>3250612778645</v>
      </c>
      <c r="J1108" t="s">
        <v>3145</v>
      </c>
    </row>
    <row r="1109" spans="1:10" x14ac:dyDescent="0.25">
      <c r="A1109" t="s">
        <v>8</v>
      </c>
      <c r="B1109" t="s">
        <v>3146</v>
      </c>
      <c r="C1109" t="s">
        <v>3147</v>
      </c>
      <c r="D1109">
        <v>1</v>
      </c>
      <c r="E1109" t="s">
        <v>1514</v>
      </c>
      <c r="F1109" t="s">
        <v>1515</v>
      </c>
      <c r="G1109" s="1"/>
      <c r="H1109" t="str">
        <f>"3250612778652"</f>
        <v>3250612778652</v>
      </c>
      <c r="J1109" t="s">
        <v>3145</v>
      </c>
    </row>
    <row r="1110" spans="1:10" x14ac:dyDescent="0.25">
      <c r="A1110" t="s">
        <v>8</v>
      </c>
      <c r="B1110" t="s">
        <v>3148</v>
      </c>
      <c r="C1110" t="s">
        <v>3149</v>
      </c>
      <c r="D1110">
        <v>1</v>
      </c>
      <c r="E1110" t="s">
        <v>1514</v>
      </c>
      <c r="F1110" t="s">
        <v>1515</v>
      </c>
      <c r="G1110" s="1"/>
      <c r="H1110" t="str">
        <f>"3250612778669"</f>
        <v>3250612778669</v>
      </c>
      <c r="J1110" t="s">
        <v>3145</v>
      </c>
    </row>
    <row r="1111" spans="1:10" x14ac:dyDescent="0.25">
      <c r="A1111" t="s">
        <v>8</v>
      </c>
      <c r="B1111" t="s">
        <v>3150</v>
      </c>
      <c r="C1111" t="s">
        <v>3151</v>
      </c>
      <c r="D1111">
        <v>1</v>
      </c>
      <c r="E1111" t="s">
        <v>1514</v>
      </c>
      <c r="F1111" t="s">
        <v>1515</v>
      </c>
      <c r="G1111" s="1"/>
      <c r="H1111" t="str">
        <f>"3250612778676"</f>
        <v>3250612778676</v>
      </c>
      <c r="J1111" t="s">
        <v>1906</v>
      </c>
    </row>
    <row r="1112" spans="1:10" x14ac:dyDescent="0.25">
      <c r="A1112" t="s">
        <v>8</v>
      </c>
      <c r="B1112" t="s">
        <v>3152</v>
      </c>
      <c r="C1112" t="s">
        <v>3153</v>
      </c>
      <c r="D1112">
        <v>1</v>
      </c>
      <c r="E1112" t="s">
        <v>1514</v>
      </c>
      <c r="F1112" t="s">
        <v>1515</v>
      </c>
      <c r="G1112" s="1"/>
      <c r="H1112" t="str">
        <f>"3250610138526"</f>
        <v>3250610138526</v>
      </c>
      <c r="J1112" t="s">
        <v>3154</v>
      </c>
    </row>
    <row r="1113" spans="1:10" x14ac:dyDescent="0.25">
      <c r="A1113" t="s">
        <v>8</v>
      </c>
      <c r="B1113" t="s">
        <v>3155</v>
      </c>
      <c r="C1113" t="s">
        <v>3156</v>
      </c>
      <c r="D1113">
        <v>1</v>
      </c>
      <c r="E1113" t="s">
        <v>1514</v>
      </c>
      <c r="F1113" t="s">
        <v>1515</v>
      </c>
      <c r="G1113" s="1"/>
      <c r="H1113" t="str">
        <f>"3250610138533"</f>
        <v>3250610138533</v>
      </c>
      <c r="J1113" t="s">
        <v>3154</v>
      </c>
    </row>
    <row r="1114" spans="1:10" x14ac:dyDescent="0.25">
      <c r="A1114" t="s">
        <v>8</v>
      </c>
      <c r="B1114" t="s">
        <v>3157</v>
      </c>
      <c r="C1114" t="s">
        <v>3158</v>
      </c>
      <c r="D1114">
        <v>1</v>
      </c>
      <c r="E1114" t="s">
        <v>1514</v>
      </c>
      <c r="F1114" t="s">
        <v>1515</v>
      </c>
      <c r="G1114" s="1"/>
      <c r="H1114" t="str">
        <f>"3250610133217"</f>
        <v>3250610133217</v>
      </c>
      <c r="J1114" t="s">
        <v>3159</v>
      </c>
    </row>
    <row r="1115" spans="1:10" x14ac:dyDescent="0.25">
      <c r="A1115" t="s">
        <v>8</v>
      </c>
      <c r="B1115" t="s">
        <v>3160</v>
      </c>
      <c r="C1115" t="s">
        <v>3161</v>
      </c>
      <c r="D1115">
        <v>1</v>
      </c>
      <c r="E1115" t="s">
        <v>1514</v>
      </c>
      <c r="F1115" t="s">
        <v>1515</v>
      </c>
      <c r="G1115" s="1"/>
      <c r="H1115" t="str">
        <f>"3250610133231"</f>
        <v>3250610133231</v>
      </c>
      <c r="J1115" t="s">
        <v>3162</v>
      </c>
    </row>
    <row r="1116" spans="1:10" x14ac:dyDescent="0.25">
      <c r="A1116" t="s">
        <v>8</v>
      </c>
      <c r="B1116" t="s">
        <v>3163</v>
      </c>
      <c r="C1116" t="s">
        <v>3164</v>
      </c>
      <c r="D1116">
        <v>1</v>
      </c>
      <c r="E1116" t="s">
        <v>1514</v>
      </c>
      <c r="F1116" t="s">
        <v>1515</v>
      </c>
      <c r="G1116" s="1"/>
      <c r="H1116" t="str">
        <f>"3250610133224"</f>
        <v>3250610133224</v>
      </c>
      <c r="J1116" t="s">
        <v>3162</v>
      </c>
    </row>
    <row r="1117" spans="1:10" x14ac:dyDescent="0.25">
      <c r="A1117" t="s">
        <v>8</v>
      </c>
      <c r="B1117" t="s">
        <v>3165</v>
      </c>
      <c r="C1117" t="s">
        <v>3166</v>
      </c>
      <c r="D1117">
        <v>1</v>
      </c>
      <c r="E1117" t="s">
        <v>1514</v>
      </c>
      <c r="F1117" t="s">
        <v>1515</v>
      </c>
      <c r="G1117" s="1"/>
      <c r="H1117" t="str">
        <f>"3250610133248"</f>
        <v>3250610133248</v>
      </c>
      <c r="J1117" t="s">
        <v>3167</v>
      </c>
    </row>
    <row r="1118" spans="1:10" x14ac:dyDescent="0.25">
      <c r="A1118" t="s">
        <v>8</v>
      </c>
      <c r="B1118" t="s">
        <v>3168</v>
      </c>
      <c r="C1118" t="s">
        <v>3169</v>
      </c>
      <c r="D1118">
        <v>1</v>
      </c>
      <c r="E1118" t="s">
        <v>1514</v>
      </c>
      <c r="F1118" t="s">
        <v>1515</v>
      </c>
      <c r="G1118" s="1"/>
      <c r="H1118" t="str">
        <f>"3250610133255"</f>
        <v>3250610133255</v>
      </c>
      <c r="J1118" t="s">
        <v>3162</v>
      </c>
    </row>
    <row r="1119" spans="1:10" x14ac:dyDescent="0.25">
      <c r="A1119" t="s">
        <v>8</v>
      </c>
      <c r="B1119" t="s">
        <v>3170</v>
      </c>
      <c r="C1119" t="s">
        <v>3171</v>
      </c>
      <c r="D1119">
        <v>1</v>
      </c>
      <c r="E1119" t="s">
        <v>1514</v>
      </c>
      <c r="F1119" t="s">
        <v>1515</v>
      </c>
      <c r="G1119" s="1"/>
      <c r="H1119" t="str">
        <f>"3250610133262"</f>
        <v>3250610133262</v>
      </c>
      <c r="J1119" t="s">
        <v>3172</v>
      </c>
    </row>
    <row r="1120" spans="1:10" x14ac:dyDescent="0.25">
      <c r="A1120" t="s">
        <v>8</v>
      </c>
      <c r="B1120" t="s">
        <v>3173</v>
      </c>
      <c r="C1120" t="s">
        <v>3174</v>
      </c>
      <c r="D1120">
        <v>1</v>
      </c>
      <c r="E1120" t="s">
        <v>1514</v>
      </c>
      <c r="F1120" t="s">
        <v>1515</v>
      </c>
      <c r="G1120" s="1"/>
      <c r="H1120" t="str">
        <f>"3250610133200"</f>
        <v>3250610133200</v>
      </c>
      <c r="J1120" t="s">
        <v>3175</v>
      </c>
    </row>
    <row r="1121" spans="1:10" x14ac:dyDescent="0.25">
      <c r="A1121" t="s">
        <v>8</v>
      </c>
      <c r="B1121" t="s">
        <v>3176</v>
      </c>
      <c r="C1121" t="s">
        <v>3177</v>
      </c>
      <c r="D1121">
        <v>1</v>
      </c>
      <c r="E1121" t="s">
        <v>1514</v>
      </c>
      <c r="F1121" t="s">
        <v>1515</v>
      </c>
      <c r="G1121" s="1"/>
      <c r="H1121" t="str">
        <f>"3250610105368"</f>
        <v>3250610105368</v>
      </c>
      <c r="J1121" t="s">
        <v>3178</v>
      </c>
    </row>
    <row r="1122" spans="1:10" x14ac:dyDescent="0.25">
      <c r="A1122" t="s">
        <v>8</v>
      </c>
      <c r="B1122" t="s">
        <v>3179</v>
      </c>
      <c r="C1122" t="s">
        <v>3180</v>
      </c>
      <c r="D1122">
        <v>1</v>
      </c>
      <c r="E1122" t="s">
        <v>1514</v>
      </c>
      <c r="F1122" t="s">
        <v>1515</v>
      </c>
      <c r="G1122" s="1"/>
      <c r="H1122" t="str">
        <f>"3250610105351"</f>
        <v>3250610105351</v>
      </c>
      <c r="J1122" t="s">
        <v>3181</v>
      </c>
    </row>
    <row r="1123" spans="1:10" x14ac:dyDescent="0.25">
      <c r="A1123" t="s">
        <v>8</v>
      </c>
      <c r="B1123" t="s">
        <v>3182</v>
      </c>
      <c r="C1123" t="s">
        <v>3183</v>
      </c>
      <c r="D1123">
        <v>1</v>
      </c>
      <c r="E1123" t="s">
        <v>1514</v>
      </c>
      <c r="F1123" t="s">
        <v>1515</v>
      </c>
      <c r="G1123" s="1"/>
      <c r="H1123" t="str">
        <f>"3250616380134"</f>
        <v>3250616380134</v>
      </c>
      <c r="J1123" t="s">
        <v>3184</v>
      </c>
    </row>
    <row r="1124" spans="1:10" x14ac:dyDescent="0.25">
      <c r="A1124" t="s">
        <v>8</v>
      </c>
      <c r="B1124" t="s">
        <v>3185</v>
      </c>
      <c r="C1124" t="s">
        <v>3186</v>
      </c>
      <c r="D1124">
        <v>1</v>
      </c>
      <c r="E1124" t="s">
        <v>3187</v>
      </c>
      <c r="F1124" t="s">
        <v>3188</v>
      </c>
      <c r="G1124" s="1"/>
      <c r="H1124" t="str">
        <f>"3250610670453"</f>
        <v>3250610670453</v>
      </c>
      <c r="J1124" t="s">
        <v>3189</v>
      </c>
    </row>
    <row r="1125" spans="1:10" x14ac:dyDescent="0.25">
      <c r="A1125" t="s">
        <v>8</v>
      </c>
      <c r="B1125" t="s">
        <v>3190</v>
      </c>
      <c r="C1125" t="s">
        <v>3191</v>
      </c>
      <c r="D1125">
        <v>1</v>
      </c>
      <c r="E1125" t="s">
        <v>3187</v>
      </c>
      <c r="F1125" t="s">
        <v>3188</v>
      </c>
      <c r="G1125" s="1"/>
      <c r="H1125" t="str">
        <f>"3250610670903"</f>
        <v>3250610670903</v>
      </c>
      <c r="J1125" t="s">
        <v>3192</v>
      </c>
    </row>
    <row r="1126" spans="1:10" x14ac:dyDescent="0.25">
      <c r="A1126" t="s">
        <v>8</v>
      </c>
      <c r="B1126" t="s">
        <v>3193</v>
      </c>
      <c r="C1126" t="s">
        <v>3194</v>
      </c>
      <c r="D1126">
        <v>1</v>
      </c>
      <c r="E1126" t="s">
        <v>3187</v>
      </c>
      <c r="F1126" t="s">
        <v>3188</v>
      </c>
      <c r="G1126" s="1"/>
      <c r="H1126" t="str">
        <f>"3250610670446"</f>
        <v>3250610670446</v>
      </c>
      <c r="J1126" t="s">
        <v>3195</v>
      </c>
    </row>
    <row r="1127" spans="1:10" x14ac:dyDescent="0.25">
      <c r="A1127" t="s">
        <v>8</v>
      </c>
      <c r="B1127" t="s">
        <v>3196</v>
      </c>
      <c r="C1127" t="s">
        <v>3197</v>
      </c>
      <c r="D1127">
        <v>1</v>
      </c>
      <c r="E1127" t="s">
        <v>3187</v>
      </c>
      <c r="F1127" t="s">
        <v>3188</v>
      </c>
      <c r="G1127" s="1"/>
      <c r="H1127" t="str">
        <f>"3250610674147"</f>
        <v>3250610674147</v>
      </c>
      <c r="J1127" t="s">
        <v>3198</v>
      </c>
    </row>
    <row r="1128" spans="1:10" x14ac:dyDescent="0.25">
      <c r="A1128" t="s">
        <v>8</v>
      </c>
      <c r="B1128" t="s">
        <v>3199</v>
      </c>
      <c r="C1128" t="s">
        <v>3200</v>
      </c>
      <c r="D1128">
        <v>1</v>
      </c>
      <c r="E1128" t="s">
        <v>3187</v>
      </c>
      <c r="F1128" t="s">
        <v>3188</v>
      </c>
      <c r="G1128" s="1"/>
      <c r="H1128" t="str">
        <f>"3250610670897"</f>
        <v>3250610670897</v>
      </c>
      <c r="J1128" t="s">
        <v>3201</v>
      </c>
    </row>
    <row r="1129" spans="1:10" x14ac:dyDescent="0.25">
      <c r="A1129" t="s">
        <v>8</v>
      </c>
      <c r="B1129" t="s">
        <v>3202</v>
      </c>
      <c r="C1129" t="s">
        <v>3203</v>
      </c>
      <c r="D1129">
        <v>1</v>
      </c>
      <c r="E1129" t="s">
        <v>3187</v>
      </c>
      <c r="F1129" t="s">
        <v>3188</v>
      </c>
      <c r="G1129" s="1"/>
      <c r="H1129" t="str">
        <f>"3250610670439"</f>
        <v>3250610670439</v>
      </c>
      <c r="J1129" t="s">
        <v>3204</v>
      </c>
    </row>
    <row r="1130" spans="1:10" x14ac:dyDescent="0.25">
      <c r="A1130" t="s">
        <v>8</v>
      </c>
      <c r="B1130" t="s">
        <v>3205</v>
      </c>
      <c r="C1130" t="s">
        <v>3206</v>
      </c>
      <c r="D1130">
        <v>1</v>
      </c>
      <c r="E1130" t="s">
        <v>3187</v>
      </c>
      <c r="F1130" t="s">
        <v>3188</v>
      </c>
      <c r="G1130" s="1"/>
      <c r="H1130" t="str">
        <f>"3250610670569"</f>
        <v>3250610670569</v>
      </c>
      <c r="J1130" t="s">
        <v>3207</v>
      </c>
    </row>
    <row r="1131" spans="1:10" x14ac:dyDescent="0.25">
      <c r="A1131" t="s">
        <v>8</v>
      </c>
      <c r="B1131" t="s">
        <v>3208</v>
      </c>
      <c r="C1131" t="s">
        <v>3209</v>
      </c>
      <c r="D1131">
        <v>1</v>
      </c>
      <c r="E1131" t="s">
        <v>3187</v>
      </c>
      <c r="F1131" t="s">
        <v>3188</v>
      </c>
      <c r="G1131" s="1"/>
      <c r="H1131" t="str">
        <f>"3250610672679"</f>
        <v>3250610672679</v>
      </c>
      <c r="J1131" t="s">
        <v>3210</v>
      </c>
    </row>
    <row r="1132" spans="1:10" x14ac:dyDescent="0.25">
      <c r="A1132" t="s">
        <v>8</v>
      </c>
      <c r="B1132" t="s">
        <v>3211</v>
      </c>
      <c r="C1132" t="s">
        <v>3212</v>
      </c>
      <c r="D1132">
        <v>1</v>
      </c>
      <c r="E1132" t="s">
        <v>3187</v>
      </c>
      <c r="F1132" t="s">
        <v>3188</v>
      </c>
      <c r="G1132" s="1"/>
      <c r="H1132" t="str">
        <f>"3250610674093"</f>
        <v>3250610674093</v>
      </c>
      <c r="J1132" t="s">
        <v>3213</v>
      </c>
    </row>
    <row r="1133" spans="1:10" x14ac:dyDescent="0.25">
      <c r="A1133" t="s">
        <v>8</v>
      </c>
      <c r="B1133" t="s">
        <v>3214</v>
      </c>
      <c r="C1133" t="s">
        <v>3215</v>
      </c>
      <c r="D1133">
        <v>1</v>
      </c>
      <c r="E1133" t="s">
        <v>3187</v>
      </c>
      <c r="F1133" t="s">
        <v>3188</v>
      </c>
      <c r="G1133" s="1"/>
      <c r="H1133" t="str">
        <f>"3250610674130"</f>
        <v>3250610674130</v>
      </c>
      <c r="J1133" t="s">
        <v>3216</v>
      </c>
    </row>
    <row r="1134" spans="1:10" x14ac:dyDescent="0.25">
      <c r="A1134" t="s">
        <v>8</v>
      </c>
      <c r="B1134" t="s">
        <v>3217</v>
      </c>
      <c r="C1134" t="s">
        <v>3218</v>
      </c>
      <c r="D1134">
        <v>1</v>
      </c>
      <c r="E1134" t="s">
        <v>3187</v>
      </c>
      <c r="F1134" t="s">
        <v>3188</v>
      </c>
      <c r="G1134" s="1"/>
      <c r="H1134" t="str">
        <f>"3250610672600"</f>
        <v>3250610672600</v>
      </c>
      <c r="J1134" t="s">
        <v>3219</v>
      </c>
    </row>
    <row r="1135" spans="1:10" x14ac:dyDescent="0.25">
      <c r="A1135" t="s">
        <v>8</v>
      </c>
      <c r="B1135" t="s">
        <v>3220</v>
      </c>
      <c r="C1135" t="s">
        <v>3221</v>
      </c>
      <c r="D1135">
        <v>1</v>
      </c>
      <c r="E1135" t="s">
        <v>3187</v>
      </c>
      <c r="F1135" t="s">
        <v>3188</v>
      </c>
      <c r="G1135" s="1"/>
      <c r="H1135" t="str">
        <f>"3250610674086"</f>
        <v>3250610674086</v>
      </c>
      <c r="J1135" t="s">
        <v>3222</v>
      </c>
    </row>
    <row r="1136" spans="1:10" x14ac:dyDescent="0.25">
      <c r="A1136" t="s">
        <v>8</v>
      </c>
      <c r="B1136" t="s">
        <v>3223</v>
      </c>
      <c r="C1136" t="s">
        <v>3224</v>
      </c>
      <c r="D1136">
        <v>1</v>
      </c>
      <c r="E1136" t="s">
        <v>3187</v>
      </c>
      <c r="F1136" t="s">
        <v>3188</v>
      </c>
      <c r="G1136" s="1"/>
      <c r="H1136" t="str">
        <f>"3250610674123"</f>
        <v>3250610674123</v>
      </c>
      <c r="J1136" t="s">
        <v>3225</v>
      </c>
    </row>
    <row r="1137" spans="1:10" x14ac:dyDescent="0.25">
      <c r="A1137" t="s">
        <v>8</v>
      </c>
      <c r="B1137" t="s">
        <v>3226</v>
      </c>
      <c r="C1137" t="s">
        <v>3227</v>
      </c>
      <c r="D1137">
        <v>1</v>
      </c>
      <c r="E1137" t="s">
        <v>3187</v>
      </c>
      <c r="F1137" t="s">
        <v>3188</v>
      </c>
      <c r="G1137" s="1"/>
      <c r="H1137" t="str">
        <f>"3250610672594"</f>
        <v>3250610672594</v>
      </c>
      <c r="J1137" t="s">
        <v>3228</v>
      </c>
    </row>
    <row r="1138" spans="1:10" x14ac:dyDescent="0.25">
      <c r="A1138" t="s">
        <v>8</v>
      </c>
      <c r="B1138" t="s">
        <v>3229</v>
      </c>
      <c r="C1138" t="s">
        <v>3230</v>
      </c>
      <c r="D1138">
        <v>1</v>
      </c>
      <c r="E1138" t="s">
        <v>3187</v>
      </c>
      <c r="F1138" t="s">
        <v>3188</v>
      </c>
      <c r="G1138" s="1"/>
      <c r="H1138" t="str">
        <f>"3250610670514"</f>
        <v>3250610670514</v>
      </c>
      <c r="J1138" t="s">
        <v>3231</v>
      </c>
    </row>
    <row r="1139" spans="1:10" x14ac:dyDescent="0.25">
      <c r="A1139" t="s">
        <v>8</v>
      </c>
      <c r="B1139" t="s">
        <v>3232</v>
      </c>
      <c r="C1139" t="s">
        <v>3233</v>
      </c>
      <c r="D1139">
        <v>1</v>
      </c>
      <c r="E1139" t="s">
        <v>3187</v>
      </c>
      <c r="F1139" t="s">
        <v>3188</v>
      </c>
      <c r="G1139" s="1"/>
      <c r="H1139" t="str">
        <f>"3250610670880"</f>
        <v>3250610670880</v>
      </c>
      <c r="J1139" t="s">
        <v>3234</v>
      </c>
    </row>
    <row r="1140" spans="1:10" x14ac:dyDescent="0.25">
      <c r="A1140" t="s">
        <v>8</v>
      </c>
      <c r="B1140" t="s">
        <v>3235</v>
      </c>
      <c r="C1140" t="s">
        <v>3236</v>
      </c>
      <c r="D1140">
        <v>1</v>
      </c>
      <c r="E1140" t="s">
        <v>3187</v>
      </c>
      <c r="F1140" t="s">
        <v>3188</v>
      </c>
      <c r="G1140" s="1"/>
      <c r="H1140" t="str">
        <f>"3250610670484"</f>
        <v>3250610670484</v>
      </c>
      <c r="J1140" t="s">
        <v>3237</v>
      </c>
    </row>
    <row r="1141" spans="1:10" x14ac:dyDescent="0.25">
      <c r="A1141" t="s">
        <v>8</v>
      </c>
      <c r="B1141" t="s">
        <v>3238</v>
      </c>
      <c r="C1141" t="s">
        <v>3239</v>
      </c>
      <c r="D1141">
        <v>1</v>
      </c>
      <c r="E1141" t="s">
        <v>3187</v>
      </c>
      <c r="F1141" t="s">
        <v>3188</v>
      </c>
      <c r="G1141" s="1"/>
      <c r="H1141" t="str">
        <f>"3250610670873"</f>
        <v>3250610670873</v>
      </c>
      <c r="J1141" t="s">
        <v>3240</v>
      </c>
    </row>
    <row r="1142" spans="1:10" x14ac:dyDescent="0.25">
      <c r="A1142" t="s">
        <v>8</v>
      </c>
      <c r="B1142" t="s">
        <v>3241</v>
      </c>
      <c r="C1142" t="s">
        <v>3242</v>
      </c>
      <c r="D1142">
        <v>1</v>
      </c>
      <c r="E1142" t="s">
        <v>3187</v>
      </c>
      <c r="F1142" t="s">
        <v>3188</v>
      </c>
      <c r="G1142" s="1"/>
      <c r="H1142" t="str">
        <f>"3250610670552"</f>
        <v>3250610670552</v>
      </c>
      <c r="J1142" t="s">
        <v>3243</v>
      </c>
    </row>
    <row r="1143" spans="1:10" x14ac:dyDescent="0.25">
      <c r="A1143" t="s">
        <v>8</v>
      </c>
      <c r="B1143" t="s">
        <v>3244</v>
      </c>
      <c r="C1143" t="s">
        <v>3245</v>
      </c>
      <c r="D1143">
        <v>1</v>
      </c>
      <c r="E1143" t="s">
        <v>3187</v>
      </c>
      <c r="F1143" t="s">
        <v>3188</v>
      </c>
      <c r="G1143" s="1"/>
      <c r="H1143" t="str">
        <f>"3250610670866"</f>
        <v>3250610670866</v>
      </c>
      <c r="J1143" t="s">
        <v>3246</v>
      </c>
    </row>
    <row r="1144" spans="1:10" x14ac:dyDescent="0.25">
      <c r="A1144" t="s">
        <v>8</v>
      </c>
      <c r="B1144" t="s">
        <v>3247</v>
      </c>
      <c r="C1144" t="s">
        <v>3248</v>
      </c>
      <c r="D1144">
        <v>1</v>
      </c>
      <c r="E1144" t="s">
        <v>3187</v>
      </c>
      <c r="F1144" t="s">
        <v>3188</v>
      </c>
      <c r="G1144" s="1"/>
      <c r="H1144" t="str">
        <f>"3250610670545"</f>
        <v>3250610670545</v>
      </c>
      <c r="J1144" t="s">
        <v>3249</v>
      </c>
    </row>
    <row r="1145" spans="1:10" x14ac:dyDescent="0.25">
      <c r="A1145" t="s">
        <v>8</v>
      </c>
      <c r="B1145" t="s">
        <v>3250</v>
      </c>
      <c r="C1145" t="s">
        <v>3251</v>
      </c>
      <c r="D1145">
        <v>1</v>
      </c>
      <c r="E1145" t="s">
        <v>3187</v>
      </c>
      <c r="F1145" t="s">
        <v>3188</v>
      </c>
      <c r="G1145" s="1"/>
      <c r="H1145" t="str">
        <f>"3250610670859"</f>
        <v>3250610670859</v>
      </c>
      <c r="J1145" t="s">
        <v>3252</v>
      </c>
    </row>
    <row r="1146" spans="1:10" x14ac:dyDescent="0.25">
      <c r="A1146" t="s">
        <v>8</v>
      </c>
      <c r="B1146" t="s">
        <v>3253</v>
      </c>
      <c r="C1146" t="s">
        <v>3254</v>
      </c>
      <c r="D1146">
        <v>1</v>
      </c>
      <c r="E1146" t="s">
        <v>3187</v>
      </c>
      <c r="F1146" t="s">
        <v>3188</v>
      </c>
      <c r="G1146" s="1"/>
      <c r="H1146" t="str">
        <f>"3250610674116"</f>
        <v>3250610674116</v>
      </c>
      <c r="J1146" t="s">
        <v>3255</v>
      </c>
    </row>
    <row r="1147" spans="1:10" x14ac:dyDescent="0.25">
      <c r="A1147" t="s">
        <v>8</v>
      </c>
      <c r="B1147" t="s">
        <v>3256</v>
      </c>
      <c r="C1147" t="s">
        <v>3257</v>
      </c>
      <c r="D1147">
        <v>1</v>
      </c>
      <c r="E1147" t="s">
        <v>3187</v>
      </c>
      <c r="F1147" t="s">
        <v>3188</v>
      </c>
      <c r="G1147" s="1"/>
      <c r="H1147" t="str">
        <f>"3250610672495"</f>
        <v>3250610672495</v>
      </c>
      <c r="J1147" t="s">
        <v>3258</v>
      </c>
    </row>
    <row r="1148" spans="1:10" x14ac:dyDescent="0.25">
      <c r="A1148" t="s">
        <v>8</v>
      </c>
      <c r="B1148" t="s">
        <v>3259</v>
      </c>
      <c r="C1148" t="s">
        <v>3260</v>
      </c>
      <c r="D1148">
        <v>1</v>
      </c>
      <c r="E1148" t="s">
        <v>3187</v>
      </c>
      <c r="F1148" t="s">
        <v>3188</v>
      </c>
      <c r="G1148" s="1"/>
      <c r="H1148" t="str">
        <f>"3250610674048"</f>
        <v>3250610674048</v>
      </c>
      <c r="J1148" t="s">
        <v>3261</v>
      </c>
    </row>
    <row r="1149" spans="1:10" x14ac:dyDescent="0.25">
      <c r="A1149" t="s">
        <v>8</v>
      </c>
      <c r="B1149" t="s">
        <v>3262</v>
      </c>
      <c r="C1149" t="s">
        <v>3263</v>
      </c>
      <c r="D1149">
        <v>1</v>
      </c>
      <c r="E1149" t="s">
        <v>3187</v>
      </c>
      <c r="F1149" t="s">
        <v>3188</v>
      </c>
      <c r="G1149" s="1"/>
      <c r="H1149" t="str">
        <f>"3250610670521"</f>
        <v>3250610670521</v>
      </c>
      <c r="J1149" t="s">
        <v>3264</v>
      </c>
    </row>
    <row r="1150" spans="1:10" x14ac:dyDescent="0.25">
      <c r="A1150" t="s">
        <v>8</v>
      </c>
      <c r="B1150" t="s">
        <v>3265</v>
      </c>
      <c r="C1150" t="s">
        <v>3266</v>
      </c>
      <c r="D1150">
        <v>1</v>
      </c>
      <c r="E1150" t="s">
        <v>3187</v>
      </c>
      <c r="F1150" t="s">
        <v>3188</v>
      </c>
      <c r="G1150" s="1"/>
      <c r="H1150" t="str">
        <f>"3250610672372"</f>
        <v>3250610672372</v>
      </c>
      <c r="J1150" t="s">
        <v>3267</v>
      </c>
    </row>
    <row r="1151" spans="1:10" x14ac:dyDescent="0.25">
      <c r="A1151" t="s">
        <v>8</v>
      </c>
      <c r="B1151" t="s">
        <v>3268</v>
      </c>
      <c r="C1151" t="s">
        <v>3269</v>
      </c>
      <c r="D1151">
        <v>1</v>
      </c>
      <c r="E1151" t="s">
        <v>3187</v>
      </c>
      <c r="F1151" t="s">
        <v>3188</v>
      </c>
      <c r="G1151" s="1"/>
      <c r="H1151" t="str">
        <f>"3250610674109"</f>
        <v>3250610674109</v>
      </c>
      <c r="J1151" t="s">
        <v>3270</v>
      </c>
    </row>
    <row r="1152" spans="1:10" x14ac:dyDescent="0.25">
      <c r="A1152" t="s">
        <v>8</v>
      </c>
      <c r="B1152" t="s">
        <v>3271</v>
      </c>
      <c r="C1152" t="s">
        <v>3272</v>
      </c>
      <c r="D1152">
        <v>1</v>
      </c>
      <c r="E1152" t="s">
        <v>3273</v>
      </c>
      <c r="F1152" t="s">
        <v>3274</v>
      </c>
      <c r="G1152" s="1"/>
      <c r="H1152" t="str">
        <f>"3250612812523"</f>
        <v>3250612812523</v>
      </c>
      <c r="J1152" t="s">
        <v>3275</v>
      </c>
    </row>
    <row r="1153" spans="1:10" x14ac:dyDescent="0.25">
      <c r="A1153" t="s">
        <v>8</v>
      </c>
      <c r="B1153" t="s">
        <v>3276</v>
      </c>
      <c r="C1153" t="s">
        <v>3277</v>
      </c>
      <c r="D1153">
        <v>1</v>
      </c>
      <c r="E1153" t="s">
        <v>3273</v>
      </c>
      <c r="F1153" t="s">
        <v>3274</v>
      </c>
      <c r="G1153" s="1"/>
      <c r="H1153" t="str">
        <f>"3250612960286"</f>
        <v>3250612960286</v>
      </c>
      <c r="J1153" t="s">
        <v>3278</v>
      </c>
    </row>
    <row r="1154" spans="1:10" x14ac:dyDescent="0.25">
      <c r="A1154" t="s">
        <v>8</v>
      </c>
      <c r="B1154" t="s">
        <v>3279</v>
      </c>
      <c r="C1154" t="s">
        <v>3280</v>
      </c>
      <c r="D1154">
        <v>1</v>
      </c>
      <c r="E1154" t="s">
        <v>3273</v>
      </c>
      <c r="F1154" t="s">
        <v>3274</v>
      </c>
      <c r="G1154" s="1"/>
      <c r="H1154" t="str">
        <f>"3250612963348"</f>
        <v>3250612963348</v>
      </c>
      <c r="J1154" t="s">
        <v>3281</v>
      </c>
    </row>
    <row r="1155" spans="1:10" x14ac:dyDescent="0.25">
      <c r="A1155" t="s">
        <v>8</v>
      </c>
      <c r="B1155" t="s">
        <v>3282</v>
      </c>
      <c r="C1155" t="s">
        <v>3283</v>
      </c>
      <c r="D1155">
        <v>1</v>
      </c>
      <c r="E1155" t="s">
        <v>3273</v>
      </c>
      <c r="F1155" t="s">
        <v>3274</v>
      </c>
      <c r="G1155" s="1"/>
      <c r="H1155" t="str">
        <f>"3250612993529"</f>
        <v>3250612993529</v>
      </c>
      <c r="J1155" t="s">
        <v>3284</v>
      </c>
    </row>
    <row r="1156" spans="1:10" x14ac:dyDescent="0.25">
      <c r="A1156" t="s">
        <v>8</v>
      </c>
      <c r="B1156" t="s">
        <v>3285</v>
      </c>
      <c r="C1156" t="s">
        <v>3286</v>
      </c>
      <c r="D1156">
        <v>1</v>
      </c>
      <c r="E1156" t="s">
        <v>3273</v>
      </c>
      <c r="F1156" t="s">
        <v>3274</v>
      </c>
      <c r="G1156" s="1"/>
      <c r="H1156" t="str">
        <f>"3250612993536"</f>
        <v>3250612993536</v>
      </c>
      <c r="J1156" t="s">
        <v>3287</v>
      </c>
    </row>
    <row r="1157" spans="1:10" x14ac:dyDescent="0.25">
      <c r="A1157" t="s">
        <v>8</v>
      </c>
      <c r="B1157" t="s">
        <v>3288</v>
      </c>
      <c r="C1157" t="s">
        <v>3289</v>
      </c>
      <c r="D1157">
        <v>1</v>
      </c>
      <c r="E1157" t="s">
        <v>3273</v>
      </c>
      <c r="F1157" t="s">
        <v>3274</v>
      </c>
      <c r="G1157" s="1"/>
      <c r="H1157" t="str">
        <f>"3250613060510"</f>
        <v>3250613060510</v>
      </c>
      <c r="J1157" s="1">
        <v>6</v>
      </c>
    </row>
    <row r="1158" spans="1:10" x14ac:dyDescent="0.25">
      <c r="A1158" t="s">
        <v>8</v>
      </c>
      <c r="B1158" t="s">
        <v>3290</v>
      </c>
      <c r="C1158" t="s">
        <v>3291</v>
      </c>
      <c r="D1158">
        <v>1</v>
      </c>
      <c r="E1158" t="s">
        <v>3273</v>
      </c>
      <c r="F1158" t="s">
        <v>3274</v>
      </c>
      <c r="G1158" s="1"/>
      <c r="H1158" t="str">
        <f>"3250616664289"</f>
        <v>3250616664289</v>
      </c>
      <c r="J1158" t="s">
        <v>3292</v>
      </c>
    </row>
    <row r="1159" spans="1:10" x14ac:dyDescent="0.25">
      <c r="A1159" t="s">
        <v>8</v>
      </c>
      <c r="B1159" t="s">
        <v>3293</v>
      </c>
      <c r="C1159" t="s">
        <v>3294</v>
      </c>
      <c r="D1159">
        <v>1</v>
      </c>
      <c r="E1159" t="s">
        <v>3273</v>
      </c>
      <c r="F1159" t="s">
        <v>3274</v>
      </c>
      <c r="G1159" s="1"/>
      <c r="H1159" t="str">
        <f>"3250616668997"</f>
        <v>3250616668997</v>
      </c>
      <c r="J1159" t="s">
        <v>3296</v>
      </c>
    </row>
    <row r="1160" spans="1:10" x14ac:dyDescent="0.25">
      <c r="A1160" t="s">
        <v>8</v>
      </c>
      <c r="B1160" t="s">
        <v>3297</v>
      </c>
      <c r="C1160" t="s">
        <v>3298</v>
      </c>
      <c r="D1160">
        <v>1</v>
      </c>
      <c r="E1160" t="s">
        <v>3273</v>
      </c>
      <c r="F1160" t="s">
        <v>3274</v>
      </c>
      <c r="G1160" s="1"/>
      <c r="H1160" t="str">
        <f>"3250616667112"</f>
        <v>3250616667112</v>
      </c>
      <c r="J1160" t="s">
        <v>3299</v>
      </c>
    </row>
    <row r="1161" spans="1:10" x14ac:dyDescent="0.25">
      <c r="A1161" t="s">
        <v>8</v>
      </c>
      <c r="B1161" t="s">
        <v>3300</v>
      </c>
      <c r="C1161" t="s">
        <v>3301</v>
      </c>
      <c r="D1161">
        <v>1</v>
      </c>
      <c r="E1161" t="s">
        <v>3273</v>
      </c>
      <c r="F1161" t="s">
        <v>3274</v>
      </c>
      <c r="G1161" s="1"/>
      <c r="H1161" t="str">
        <f>"3250616655973"</f>
        <v>3250616655973</v>
      </c>
      <c r="J1161" t="s">
        <v>3302</v>
      </c>
    </row>
    <row r="1162" spans="1:10" x14ac:dyDescent="0.25">
      <c r="A1162" t="s">
        <v>8</v>
      </c>
      <c r="B1162" t="s">
        <v>3303</v>
      </c>
      <c r="C1162" t="s">
        <v>3304</v>
      </c>
      <c r="D1162">
        <v>1</v>
      </c>
      <c r="E1162" t="s">
        <v>3273</v>
      </c>
      <c r="F1162" t="s">
        <v>3274</v>
      </c>
      <c r="G1162" s="1"/>
      <c r="H1162" t="str">
        <f>"3250612960231"</f>
        <v>3250612960231</v>
      </c>
      <c r="J1162" t="s">
        <v>3305</v>
      </c>
    </row>
    <row r="1163" spans="1:10" x14ac:dyDescent="0.25">
      <c r="A1163" t="s">
        <v>8</v>
      </c>
      <c r="B1163" t="s">
        <v>3306</v>
      </c>
      <c r="C1163" t="s">
        <v>3307</v>
      </c>
      <c r="D1163">
        <v>1</v>
      </c>
      <c r="E1163" t="s">
        <v>3273</v>
      </c>
      <c r="F1163" t="s">
        <v>3274</v>
      </c>
      <c r="G1163" s="1"/>
      <c r="H1163" t="str">
        <f>"3250612963522"</f>
        <v>3250612963522</v>
      </c>
      <c r="J1163" t="s">
        <v>3308</v>
      </c>
    </row>
    <row r="1164" spans="1:10" x14ac:dyDescent="0.25">
      <c r="A1164" t="s">
        <v>8</v>
      </c>
      <c r="B1164" t="s">
        <v>3309</v>
      </c>
      <c r="C1164" t="s">
        <v>3310</v>
      </c>
      <c r="D1164">
        <v>1</v>
      </c>
      <c r="E1164" t="s">
        <v>3273</v>
      </c>
      <c r="F1164" t="s">
        <v>3274</v>
      </c>
      <c r="G1164" s="1"/>
      <c r="H1164" t="str">
        <f>"3250612963249"</f>
        <v>3250612963249</v>
      </c>
      <c r="J1164" t="s">
        <v>3311</v>
      </c>
    </row>
    <row r="1165" spans="1:10" x14ac:dyDescent="0.25">
      <c r="A1165" t="s">
        <v>8</v>
      </c>
      <c r="B1165" t="s">
        <v>3312</v>
      </c>
      <c r="C1165" t="s">
        <v>3313</v>
      </c>
      <c r="D1165">
        <v>1</v>
      </c>
      <c r="E1165" t="s">
        <v>3273</v>
      </c>
      <c r="F1165" t="s">
        <v>3274</v>
      </c>
      <c r="G1165" s="1"/>
      <c r="H1165" t="str">
        <f>"3250612993321"</f>
        <v>3250612993321</v>
      </c>
      <c r="J1165" t="s">
        <v>3314</v>
      </c>
    </row>
    <row r="1166" spans="1:10" x14ac:dyDescent="0.25">
      <c r="A1166" t="s">
        <v>8</v>
      </c>
      <c r="B1166" t="s">
        <v>3315</v>
      </c>
      <c r="C1166" t="s">
        <v>3316</v>
      </c>
      <c r="D1166">
        <v>1</v>
      </c>
      <c r="E1166" t="s">
        <v>3273</v>
      </c>
      <c r="F1166" t="s">
        <v>3274</v>
      </c>
      <c r="G1166" s="1"/>
      <c r="H1166" t="str">
        <f>"3250612993109"</f>
        <v>3250612993109</v>
      </c>
      <c r="J1166" t="s">
        <v>3317</v>
      </c>
    </row>
    <row r="1167" spans="1:10" x14ac:dyDescent="0.25">
      <c r="A1167" t="s">
        <v>8</v>
      </c>
      <c r="B1167" t="s">
        <v>3318</v>
      </c>
      <c r="C1167" t="s">
        <v>3319</v>
      </c>
      <c r="D1167">
        <v>1</v>
      </c>
      <c r="E1167" t="s">
        <v>3273</v>
      </c>
      <c r="F1167" t="s">
        <v>3274</v>
      </c>
      <c r="G1167" s="1"/>
      <c r="H1167" t="str">
        <f>"3250613060503"</f>
        <v>3250613060503</v>
      </c>
      <c r="J1167" t="s">
        <v>3320</v>
      </c>
    </row>
    <row r="1168" spans="1:10" x14ac:dyDescent="0.25">
      <c r="A1168" t="s">
        <v>8</v>
      </c>
      <c r="B1168" t="s">
        <v>3321</v>
      </c>
      <c r="C1168" t="s">
        <v>3322</v>
      </c>
      <c r="D1168">
        <v>1</v>
      </c>
      <c r="E1168" t="s">
        <v>3273</v>
      </c>
      <c r="F1168" t="s">
        <v>3274</v>
      </c>
      <c r="G1168" s="1"/>
      <c r="H1168" t="str">
        <f>"3250616666146"</f>
        <v>3250616666146</v>
      </c>
      <c r="J1168" t="s">
        <v>3323</v>
      </c>
    </row>
    <row r="1169" spans="1:10" x14ac:dyDescent="0.25">
      <c r="A1169" t="s">
        <v>8</v>
      </c>
      <c r="B1169" t="s">
        <v>3324</v>
      </c>
      <c r="C1169" t="s">
        <v>3325</v>
      </c>
      <c r="D1169">
        <v>1</v>
      </c>
      <c r="E1169" t="s">
        <v>3273</v>
      </c>
      <c r="F1169" t="s">
        <v>3274</v>
      </c>
      <c r="G1169" s="1"/>
      <c r="H1169" t="str">
        <f>"3250616666177"</f>
        <v>3250616666177</v>
      </c>
      <c r="J1169" t="s">
        <v>3326</v>
      </c>
    </row>
    <row r="1170" spans="1:10" x14ac:dyDescent="0.25">
      <c r="A1170" t="s">
        <v>8</v>
      </c>
      <c r="B1170" t="s">
        <v>3327</v>
      </c>
      <c r="C1170" t="s">
        <v>3328</v>
      </c>
      <c r="D1170">
        <v>1</v>
      </c>
      <c r="E1170" t="s">
        <v>3273</v>
      </c>
      <c r="F1170" t="s">
        <v>3274</v>
      </c>
      <c r="G1170" s="1"/>
      <c r="H1170" t="str">
        <f>"3250616666993"</f>
        <v>3250616666993</v>
      </c>
      <c r="J1170" t="s">
        <v>3329</v>
      </c>
    </row>
    <row r="1171" spans="1:10" x14ac:dyDescent="0.25">
      <c r="A1171" t="s">
        <v>8</v>
      </c>
      <c r="B1171" t="s">
        <v>3330</v>
      </c>
      <c r="C1171" t="s">
        <v>3331</v>
      </c>
      <c r="D1171">
        <v>1</v>
      </c>
      <c r="E1171" t="s">
        <v>3273</v>
      </c>
      <c r="F1171" t="s">
        <v>3274</v>
      </c>
      <c r="G1171" s="1"/>
      <c r="H1171" t="str">
        <f>"3250616655966"</f>
        <v>3250616655966</v>
      </c>
      <c r="J1171" t="s">
        <v>3332</v>
      </c>
    </row>
    <row r="1172" spans="1:10" x14ac:dyDescent="0.25">
      <c r="A1172" t="s">
        <v>8</v>
      </c>
      <c r="B1172" t="s">
        <v>3333</v>
      </c>
      <c r="C1172" t="s">
        <v>3334</v>
      </c>
      <c r="D1172">
        <v>1</v>
      </c>
      <c r="E1172" t="s">
        <v>3273</v>
      </c>
      <c r="F1172" t="s">
        <v>3274</v>
      </c>
      <c r="G1172" s="1"/>
      <c r="H1172" t="str">
        <f>"3250612960200"</f>
        <v>3250612960200</v>
      </c>
      <c r="J1172" t="s">
        <v>3336</v>
      </c>
    </row>
    <row r="1173" spans="1:10" x14ac:dyDescent="0.25">
      <c r="A1173" t="s">
        <v>8</v>
      </c>
      <c r="B1173" t="s">
        <v>3337</v>
      </c>
      <c r="C1173" t="s">
        <v>3338</v>
      </c>
      <c r="D1173">
        <v>1</v>
      </c>
      <c r="E1173" t="s">
        <v>3273</v>
      </c>
      <c r="F1173" t="s">
        <v>3274</v>
      </c>
      <c r="G1173" s="1"/>
      <c r="H1173" t="str">
        <f>"3250612960279"</f>
        <v>3250612960279</v>
      </c>
      <c r="J1173" t="s">
        <v>3339</v>
      </c>
    </row>
    <row r="1174" spans="1:10" x14ac:dyDescent="0.25">
      <c r="A1174" t="s">
        <v>8</v>
      </c>
      <c r="B1174" t="s">
        <v>3340</v>
      </c>
      <c r="C1174" t="s">
        <v>3341</v>
      </c>
      <c r="D1174">
        <v>1</v>
      </c>
      <c r="E1174" t="s">
        <v>3273</v>
      </c>
      <c r="F1174" t="s">
        <v>3274</v>
      </c>
      <c r="G1174" s="1"/>
      <c r="H1174" t="str">
        <f>"3250612963324"</f>
        <v>3250612963324</v>
      </c>
      <c r="J1174" t="s">
        <v>3342</v>
      </c>
    </row>
    <row r="1175" spans="1:10" x14ac:dyDescent="0.25">
      <c r="A1175" t="s">
        <v>8</v>
      </c>
      <c r="B1175" t="s">
        <v>3343</v>
      </c>
      <c r="C1175" t="s">
        <v>3344</v>
      </c>
      <c r="D1175">
        <v>1</v>
      </c>
      <c r="E1175" t="s">
        <v>3273</v>
      </c>
      <c r="F1175" t="s">
        <v>3274</v>
      </c>
      <c r="G1175" s="1"/>
      <c r="H1175" t="str">
        <f>"3250612963638"</f>
        <v>3250612963638</v>
      </c>
      <c r="J1175" t="s">
        <v>3345</v>
      </c>
    </row>
    <row r="1176" spans="1:10" x14ac:dyDescent="0.25">
      <c r="A1176" t="s">
        <v>8</v>
      </c>
      <c r="B1176" t="s">
        <v>3346</v>
      </c>
      <c r="C1176" t="s">
        <v>3347</v>
      </c>
      <c r="D1176">
        <v>1</v>
      </c>
      <c r="E1176" t="s">
        <v>3273</v>
      </c>
      <c r="F1176" t="s">
        <v>3274</v>
      </c>
      <c r="G1176" s="1"/>
      <c r="H1176" t="str">
        <f>"3250612993413"</f>
        <v>3250612993413</v>
      </c>
      <c r="J1176" t="s">
        <v>3349</v>
      </c>
    </row>
    <row r="1177" spans="1:10" x14ac:dyDescent="0.25">
      <c r="A1177" t="s">
        <v>8</v>
      </c>
      <c r="B1177" t="s">
        <v>3350</v>
      </c>
      <c r="C1177" t="s">
        <v>3351</v>
      </c>
      <c r="D1177">
        <v>1</v>
      </c>
      <c r="E1177" t="s">
        <v>3273</v>
      </c>
      <c r="F1177" t="s">
        <v>3274</v>
      </c>
      <c r="G1177" s="1"/>
      <c r="H1177" t="str">
        <f>"3250612993420"</f>
        <v>3250612993420</v>
      </c>
      <c r="J1177" t="s">
        <v>3352</v>
      </c>
    </row>
    <row r="1178" spans="1:10" x14ac:dyDescent="0.25">
      <c r="A1178" t="s">
        <v>8</v>
      </c>
      <c r="B1178" t="s">
        <v>3353</v>
      </c>
      <c r="C1178" t="s">
        <v>3354</v>
      </c>
      <c r="D1178">
        <v>1</v>
      </c>
      <c r="E1178" t="s">
        <v>3273</v>
      </c>
      <c r="F1178" t="s">
        <v>3274</v>
      </c>
      <c r="G1178" s="1"/>
      <c r="H1178" t="str">
        <f>"3250612993000"</f>
        <v>3250612993000</v>
      </c>
      <c r="J1178" t="s">
        <v>3355</v>
      </c>
    </row>
    <row r="1179" spans="1:10" x14ac:dyDescent="0.25">
      <c r="A1179" t="s">
        <v>8</v>
      </c>
      <c r="B1179" t="s">
        <v>3356</v>
      </c>
      <c r="C1179" t="s">
        <v>3357</v>
      </c>
      <c r="D1179">
        <v>1</v>
      </c>
      <c r="E1179" t="s">
        <v>3273</v>
      </c>
      <c r="F1179" t="s">
        <v>3274</v>
      </c>
      <c r="G1179" s="1"/>
      <c r="H1179" t="str">
        <f>"3250613063405"</f>
        <v>3250613063405</v>
      </c>
      <c r="J1179" t="s">
        <v>3358</v>
      </c>
    </row>
    <row r="1180" spans="1:10" x14ac:dyDescent="0.25">
      <c r="A1180" t="s">
        <v>8</v>
      </c>
      <c r="B1180" t="s">
        <v>3359</v>
      </c>
      <c r="C1180" t="s">
        <v>3360</v>
      </c>
      <c r="D1180">
        <v>1</v>
      </c>
      <c r="E1180" t="s">
        <v>3273</v>
      </c>
      <c r="F1180" t="s">
        <v>3274</v>
      </c>
      <c r="G1180" s="1"/>
      <c r="H1180" t="str">
        <f>"3250616664036"</f>
        <v>3250616664036</v>
      </c>
      <c r="J1180" t="s">
        <v>3361</v>
      </c>
    </row>
    <row r="1181" spans="1:10" x14ac:dyDescent="0.25">
      <c r="A1181" t="s">
        <v>8</v>
      </c>
      <c r="B1181" t="s">
        <v>3362</v>
      </c>
      <c r="C1181" t="s">
        <v>3363</v>
      </c>
      <c r="D1181">
        <v>1</v>
      </c>
      <c r="E1181" t="s">
        <v>3273</v>
      </c>
      <c r="F1181" t="s">
        <v>3274</v>
      </c>
      <c r="G1181" s="1"/>
      <c r="H1181" t="str">
        <f>"3250616664166"</f>
        <v>3250616664166</v>
      </c>
      <c r="J1181" t="s">
        <v>3364</v>
      </c>
    </row>
    <row r="1182" spans="1:10" x14ac:dyDescent="0.25">
      <c r="A1182" t="s">
        <v>8</v>
      </c>
      <c r="B1182" t="s">
        <v>3365</v>
      </c>
      <c r="C1182" t="s">
        <v>3366</v>
      </c>
      <c r="D1182">
        <v>1</v>
      </c>
      <c r="E1182" t="s">
        <v>3273</v>
      </c>
      <c r="F1182" t="s">
        <v>3274</v>
      </c>
      <c r="G1182" s="1"/>
      <c r="H1182" t="str">
        <f>"3250616655720"</f>
        <v>3250616655720</v>
      </c>
      <c r="J1182" t="s">
        <v>3367</v>
      </c>
    </row>
    <row r="1183" spans="1:10" x14ac:dyDescent="0.25">
      <c r="A1183" t="s">
        <v>8</v>
      </c>
      <c r="B1183" t="s">
        <v>3368</v>
      </c>
      <c r="C1183" t="s">
        <v>3369</v>
      </c>
      <c r="D1183">
        <v>1</v>
      </c>
      <c r="E1183" t="s">
        <v>3273</v>
      </c>
      <c r="F1183" t="s">
        <v>3274</v>
      </c>
      <c r="G1183" s="1"/>
      <c r="H1183" t="str">
        <f>"3250612861606"</f>
        <v>3250612861606</v>
      </c>
      <c r="J1183" t="s">
        <v>3370</v>
      </c>
    </row>
    <row r="1184" spans="1:10" x14ac:dyDescent="0.25">
      <c r="A1184" t="s">
        <v>8</v>
      </c>
      <c r="B1184" t="s">
        <v>3371</v>
      </c>
      <c r="C1184" t="s">
        <v>3372</v>
      </c>
      <c r="D1184">
        <v>1</v>
      </c>
      <c r="E1184" t="s">
        <v>3273</v>
      </c>
      <c r="F1184" t="s">
        <v>3274</v>
      </c>
      <c r="G1184" s="1"/>
      <c r="H1184" t="str">
        <f>"3250612963225"</f>
        <v>3250612963225</v>
      </c>
      <c r="J1184" t="s">
        <v>3373</v>
      </c>
    </row>
    <row r="1185" spans="1:10" x14ac:dyDescent="0.25">
      <c r="A1185" t="s">
        <v>8</v>
      </c>
      <c r="B1185" t="s">
        <v>3374</v>
      </c>
      <c r="C1185" t="s">
        <v>3375</v>
      </c>
      <c r="D1185">
        <v>1</v>
      </c>
      <c r="E1185" t="s">
        <v>3273</v>
      </c>
      <c r="F1185" t="s">
        <v>3274</v>
      </c>
      <c r="G1185" s="1"/>
      <c r="H1185" t="str">
        <f>"3250612993017"</f>
        <v>3250612993017</v>
      </c>
      <c r="J1185" t="s">
        <v>3376</v>
      </c>
    </row>
    <row r="1186" spans="1:10" x14ac:dyDescent="0.25">
      <c r="A1186" t="s">
        <v>8</v>
      </c>
      <c r="B1186" t="s">
        <v>3377</v>
      </c>
      <c r="C1186" t="s">
        <v>3378</v>
      </c>
      <c r="D1186">
        <v>1</v>
      </c>
      <c r="E1186" t="s">
        <v>3273</v>
      </c>
      <c r="F1186" t="s">
        <v>3274</v>
      </c>
      <c r="G1186" s="1"/>
      <c r="H1186" t="str">
        <f>"3250612993024"</f>
        <v>3250612993024</v>
      </c>
      <c r="J1186" t="s">
        <v>3379</v>
      </c>
    </row>
    <row r="1187" spans="1:10" x14ac:dyDescent="0.25">
      <c r="A1187" t="s">
        <v>8</v>
      </c>
      <c r="B1187" t="s">
        <v>3380</v>
      </c>
      <c r="C1187" t="s">
        <v>3381</v>
      </c>
      <c r="D1187">
        <v>1</v>
      </c>
      <c r="E1187" t="s">
        <v>3273</v>
      </c>
      <c r="F1187" t="s">
        <v>3274</v>
      </c>
      <c r="G1187" s="1"/>
      <c r="H1187" t="str">
        <f>"3250612993543"</f>
        <v>3250612993543</v>
      </c>
      <c r="J1187" t="s">
        <v>3382</v>
      </c>
    </row>
    <row r="1188" spans="1:10" x14ac:dyDescent="0.25">
      <c r="A1188" t="s">
        <v>8</v>
      </c>
      <c r="B1188" t="s">
        <v>3383</v>
      </c>
      <c r="C1188" t="s">
        <v>3384</v>
      </c>
      <c r="D1188">
        <v>1</v>
      </c>
      <c r="E1188" t="s">
        <v>3273</v>
      </c>
      <c r="F1188" t="s">
        <v>3274</v>
      </c>
      <c r="G1188" s="1"/>
      <c r="H1188" t="str">
        <f>"3250613063351"</f>
        <v>3250613063351</v>
      </c>
      <c r="J1188" t="s">
        <v>3385</v>
      </c>
    </row>
    <row r="1189" spans="1:10" x14ac:dyDescent="0.25">
      <c r="A1189" t="s">
        <v>8</v>
      </c>
      <c r="B1189" t="s">
        <v>3386</v>
      </c>
      <c r="C1189" t="s">
        <v>3387</v>
      </c>
      <c r="D1189">
        <v>1</v>
      </c>
      <c r="E1189" t="s">
        <v>3273</v>
      </c>
      <c r="F1189" t="s">
        <v>3274</v>
      </c>
      <c r="G1189" s="1"/>
      <c r="H1189" t="str">
        <f>"3250616666511"</f>
        <v>3250616666511</v>
      </c>
      <c r="J1189" t="s">
        <v>3388</v>
      </c>
    </row>
    <row r="1190" spans="1:10" x14ac:dyDescent="0.25">
      <c r="A1190" t="s">
        <v>8</v>
      </c>
      <c r="B1190" t="s">
        <v>3389</v>
      </c>
      <c r="C1190" t="s">
        <v>3390</v>
      </c>
      <c r="D1190">
        <v>1</v>
      </c>
      <c r="E1190" t="s">
        <v>3273</v>
      </c>
      <c r="F1190" t="s">
        <v>3274</v>
      </c>
      <c r="G1190" s="1"/>
      <c r="H1190" t="str">
        <f>"3250616663138"</f>
        <v>3250616663138</v>
      </c>
      <c r="J1190" t="s">
        <v>3391</v>
      </c>
    </row>
    <row r="1191" spans="1:10" x14ac:dyDescent="0.25">
      <c r="A1191" t="s">
        <v>8</v>
      </c>
      <c r="B1191" t="s">
        <v>3392</v>
      </c>
      <c r="C1191" t="s">
        <v>3393</v>
      </c>
      <c r="D1191">
        <v>1</v>
      </c>
      <c r="E1191" t="s">
        <v>3273</v>
      </c>
      <c r="F1191" t="s">
        <v>3274</v>
      </c>
      <c r="G1191" s="1"/>
      <c r="H1191" t="str">
        <f>"3250616664159"</f>
        <v>3250616664159</v>
      </c>
      <c r="J1191" t="s">
        <v>3394</v>
      </c>
    </row>
    <row r="1192" spans="1:10" x14ac:dyDescent="0.25">
      <c r="A1192" t="s">
        <v>8</v>
      </c>
      <c r="B1192" t="s">
        <v>3395</v>
      </c>
      <c r="C1192" t="s">
        <v>3396</v>
      </c>
      <c r="D1192">
        <v>1</v>
      </c>
      <c r="E1192" t="s">
        <v>3273</v>
      </c>
      <c r="F1192" t="s">
        <v>3274</v>
      </c>
      <c r="G1192" s="1"/>
      <c r="H1192" t="str">
        <f>"3250616666047"</f>
        <v>3250616666047</v>
      </c>
      <c r="J1192" t="s">
        <v>3397</v>
      </c>
    </row>
    <row r="1193" spans="1:10" x14ac:dyDescent="0.25">
      <c r="A1193" t="s">
        <v>8</v>
      </c>
      <c r="B1193" t="s">
        <v>3398</v>
      </c>
      <c r="C1193" t="s">
        <v>3399</v>
      </c>
      <c r="D1193">
        <v>1</v>
      </c>
      <c r="E1193" t="s">
        <v>3273</v>
      </c>
      <c r="F1193" t="s">
        <v>3274</v>
      </c>
      <c r="G1193" s="1"/>
      <c r="H1193" t="str">
        <f>"3250616667549"</f>
        <v>3250616667549</v>
      </c>
      <c r="J1193" t="s">
        <v>3400</v>
      </c>
    </row>
    <row r="1194" spans="1:10" x14ac:dyDescent="0.25">
      <c r="A1194" t="s">
        <v>8</v>
      </c>
      <c r="B1194" t="s">
        <v>3401</v>
      </c>
      <c r="C1194" t="s">
        <v>3402</v>
      </c>
      <c r="D1194">
        <v>1</v>
      </c>
      <c r="E1194" t="s">
        <v>3273</v>
      </c>
      <c r="F1194" t="s">
        <v>3274</v>
      </c>
      <c r="G1194" s="1"/>
      <c r="H1194" t="str">
        <f>"3250612861552"</f>
        <v>3250612861552</v>
      </c>
      <c r="J1194" t="s">
        <v>3403</v>
      </c>
    </row>
    <row r="1195" spans="1:10" x14ac:dyDescent="0.25">
      <c r="A1195" t="s">
        <v>8</v>
      </c>
      <c r="B1195" t="s">
        <v>3404</v>
      </c>
      <c r="C1195" t="s">
        <v>3405</v>
      </c>
      <c r="D1195">
        <v>1</v>
      </c>
      <c r="E1195" t="s">
        <v>3273</v>
      </c>
      <c r="F1195" t="s">
        <v>3274</v>
      </c>
      <c r="G1195" s="1"/>
      <c r="H1195" t="str">
        <f>"3250612861620"</f>
        <v>3250612861620</v>
      </c>
      <c r="J1195" t="s">
        <v>3406</v>
      </c>
    </row>
    <row r="1196" spans="1:10" x14ac:dyDescent="0.25">
      <c r="A1196" t="s">
        <v>8</v>
      </c>
      <c r="B1196" t="s">
        <v>3407</v>
      </c>
      <c r="C1196" t="s">
        <v>3408</v>
      </c>
      <c r="D1196">
        <v>1</v>
      </c>
      <c r="E1196" t="s">
        <v>3273</v>
      </c>
      <c r="F1196" t="s">
        <v>3274</v>
      </c>
      <c r="G1196" s="1"/>
      <c r="H1196" t="str">
        <f>"3250612963614"</f>
        <v>3250612963614</v>
      </c>
      <c r="J1196" t="s">
        <v>3409</v>
      </c>
    </row>
    <row r="1197" spans="1:10" x14ac:dyDescent="0.25">
      <c r="A1197" t="s">
        <v>8</v>
      </c>
      <c r="B1197" t="s">
        <v>3410</v>
      </c>
      <c r="C1197" t="s">
        <v>3411</v>
      </c>
      <c r="D1197">
        <v>1</v>
      </c>
      <c r="E1197" t="s">
        <v>3273</v>
      </c>
      <c r="F1197" t="s">
        <v>3274</v>
      </c>
      <c r="G1197" s="1"/>
      <c r="H1197" t="str">
        <f>"3250612993338"</f>
        <v>3250612993338</v>
      </c>
      <c r="J1197" t="s">
        <v>3412</v>
      </c>
    </row>
    <row r="1198" spans="1:10" x14ac:dyDescent="0.25">
      <c r="A1198" t="s">
        <v>8</v>
      </c>
      <c r="B1198" t="s">
        <v>3413</v>
      </c>
      <c r="C1198" t="s">
        <v>3414</v>
      </c>
      <c r="D1198">
        <v>1</v>
      </c>
      <c r="E1198" t="s">
        <v>3273</v>
      </c>
      <c r="F1198" t="s">
        <v>3274</v>
      </c>
      <c r="G1198" s="1"/>
      <c r="H1198" t="str">
        <f>"3250612993345"</f>
        <v>3250612993345</v>
      </c>
      <c r="J1198" t="s">
        <v>3415</v>
      </c>
    </row>
    <row r="1199" spans="1:10" x14ac:dyDescent="0.25">
      <c r="A1199" t="s">
        <v>8</v>
      </c>
      <c r="B1199" t="s">
        <v>3416</v>
      </c>
      <c r="C1199" t="s">
        <v>3417</v>
      </c>
      <c r="D1199">
        <v>1</v>
      </c>
      <c r="E1199" t="s">
        <v>3273</v>
      </c>
      <c r="F1199" t="s">
        <v>3274</v>
      </c>
      <c r="G1199" s="1"/>
      <c r="H1199" t="str">
        <f>"3250616663114"</f>
        <v>3250616663114</v>
      </c>
      <c r="J1199" t="s">
        <v>3418</v>
      </c>
    </row>
    <row r="1200" spans="1:10" x14ac:dyDescent="0.25">
      <c r="A1200" t="s">
        <v>8</v>
      </c>
      <c r="B1200" t="s">
        <v>3419</v>
      </c>
      <c r="C1200" t="s">
        <v>3420</v>
      </c>
      <c r="D1200">
        <v>1</v>
      </c>
      <c r="E1200" t="s">
        <v>3273</v>
      </c>
      <c r="F1200" t="s">
        <v>3274</v>
      </c>
      <c r="G1200" s="1"/>
      <c r="H1200" t="str">
        <f>"3250616666375"</f>
        <v>3250616666375</v>
      </c>
      <c r="J1200" t="s">
        <v>3421</v>
      </c>
    </row>
    <row r="1201" spans="1:10" x14ac:dyDescent="0.25">
      <c r="A1201" t="s">
        <v>8</v>
      </c>
      <c r="B1201" t="s">
        <v>3422</v>
      </c>
      <c r="C1201" t="s">
        <v>3423</v>
      </c>
      <c r="D1201">
        <v>1</v>
      </c>
      <c r="E1201" t="s">
        <v>3273</v>
      </c>
      <c r="F1201" t="s">
        <v>3274</v>
      </c>
      <c r="G1201" s="1"/>
      <c r="H1201" t="str">
        <f>"3250616667488"</f>
        <v>3250616667488</v>
      </c>
      <c r="J1201" t="s">
        <v>3424</v>
      </c>
    </row>
    <row r="1202" spans="1:10" x14ac:dyDescent="0.25">
      <c r="A1202" t="s">
        <v>8</v>
      </c>
      <c r="B1202" t="s">
        <v>3425</v>
      </c>
      <c r="C1202" t="s">
        <v>3426</v>
      </c>
      <c r="D1202">
        <v>1</v>
      </c>
      <c r="E1202" t="s">
        <v>3273</v>
      </c>
      <c r="F1202" t="s">
        <v>3274</v>
      </c>
      <c r="G1202" s="1"/>
      <c r="H1202" t="str">
        <f>"3250612861569"</f>
        <v>3250612861569</v>
      </c>
      <c r="J1202" t="s">
        <v>3427</v>
      </c>
    </row>
    <row r="1203" spans="1:10" x14ac:dyDescent="0.25">
      <c r="A1203" t="s">
        <v>8</v>
      </c>
      <c r="B1203" t="s">
        <v>3428</v>
      </c>
      <c r="C1203" t="s">
        <v>3429</v>
      </c>
      <c r="D1203">
        <v>1</v>
      </c>
      <c r="E1203" t="s">
        <v>3273</v>
      </c>
      <c r="F1203" t="s">
        <v>3274</v>
      </c>
      <c r="G1203" s="1"/>
      <c r="H1203" t="str">
        <f>"3250612860456"</f>
        <v>3250612860456</v>
      </c>
      <c r="J1203" t="s">
        <v>3430</v>
      </c>
    </row>
    <row r="1204" spans="1:10" x14ac:dyDescent="0.25">
      <c r="A1204" t="s">
        <v>8</v>
      </c>
      <c r="B1204" t="s">
        <v>3431</v>
      </c>
      <c r="C1204" t="s">
        <v>3432</v>
      </c>
      <c r="D1204">
        <v>1</v>
      </c>
      <c r="E1204" t="s">
        <v>3273</v>
      </c>
      <c r="F1204" t="s">
        <v>3274</v>
      </c>
      <c r="G1204" s="1"/>
      <c r="H1204" t="str">
        <f>"3250612861613"</f>
        <v>3250612861613</v>
      </c>
      <c r="J1204" t="s">
        <v>3433</v>
      </c>
    </row>
    <row r="1205" spans="1:10" x14ac:dyDescent="0.25">
      <c r="A1205" t="s">
        <v>8</v>
      </c>
      <c r="B1205" t="s">
        <v>3434</v>
      </c>
      <c r="C1205" t="s">
        <v>3435</v>
      </c>
      <c r="D1205">
        <v>1</v>
      </c>
      <c r="E1205" t="s">
        <v>3273</v>
      </c>
      <c r="F1205" t="s">
        <v>3274</v>
      </c>
      <c r="G1205" s="1"/>
      <c r="H1205" t="str">
        <f>"3250612963539"</f>
        <v>3250612963539</v>
      </c>
      <c r="J1205" t="s">
        <v>3436</v>
      </c>
    </row>
    <row r="1206" spans="1:10" x14ac:dyDescent="0.25">
      <c r="A1206" t="s">
        <v>8</v>
      </c>
      <c r="B1206" t="s">
        <v>3437</v>
      </c>
      <c r="C1206" t="s">
        <v>3438</v>
      </c>
      <c r="D1206">
        <v>1</v>
      </c>
      <c r="E1206" t="s">
        <v>3273</v>
      </c>
      <c r="F1206" t="s">
        <v>3274</v>
      </c>
      <c r="G1206" s="1"/>
      <c r="H1206" t="str">
        <f>"3250612993437"</f>
        <v>3250612993437</v>
      </c>
      <c r="J1206" t="s">
        <v>3439</v>
      </c>
    </row>
    <row r="1207" spans="1:10" x14ac:dyDescent="0.25">
      <c r="A1207" t="s">
        <v>8</v>
      </c>
      <c r="B1207" t="s">
        <v>3440</v>
      </c>
      <c r="C1207" t="s">
        <v>3441</v>
      </c>
      <c r="D1207">
        <v>1</v>
      </c>
      <c r="E1207" t="s">
        <v>3273</v>
      </c>
      <c r="F1207" t="s">
        <v>3274</v>
      </c>
      <c r="G1207" s="1"/>
      <c r="H1207" t="str">
        <f>"3250616666436"</f>
        <v>3250616666436</v>
      </c>
      <c r="J1207" t="s">
        <v>3442</v>
      </c>
    </row>
    <row r="1208" spans="1:10" x14ac:dyDescent="0.25">
      <c r="A1208" t="s">
        <v>8</v>
      </c>
      <c r="B1208" t="s">
        <v>3443</v>
      </c>
      <c r="C1208" t="s">
        <v>3444</v>
      </c>
      <c r="D1208">
        <v>1</v>
      </c>
      <c r="E1208" t="s">
        <v>3273</v>
      </c>
      <c r="F1208" t="s">
        <v>3274</v>
      </c>
      <c r="G1208" s="1"/>
      <c r="H1208" t="str">
        <f>"3250616667471"</f>
        <v>3250616667471</v>
      </c>
      <c r="J1208" t="s">
        <v>3446</v>
      </c>
    </row>
    <row r="1209" spans="1:10" x14ac:dyDescent="0.25">
      <c r="A1209" t="s">
        <v>8</v>
      </c>
      <c r="B1209" t="s">
        <v>3447</v>
      </c>
      <c r="C1209" t="s">
        <v>3448</v>
      </c>
      <c r="D1209">
        <v>1</v>
      </c>
      <c r="E1209" t="s">
        <v>3273</v>
      </c>
      <c r="F1209" t="s">
        <v>3274</v>
      </c>
      <c r="G1209" s="1"/>
      <c r="H1209" t="str">
        <f>"3250612861576"</f>
        <v>3250612861576</v>
      </c>
      <c r="J1209" t="s">
        <v>3449</v>
      </c>
    </row>
    <row r="1210" spans="1:10" x14ac:dyDescent="0.25">
      <c r="A1210" t="s">
        <v>8</v>
      </c>
      <c r="B1210" t="s">
        <v>3450</v>
      </c>
      <c r="C1210" t="s">
        <v>3451</v>
      </c>
      <c r="D1210">
        <v>1</v>
      </c>
      <c r="E1210" t="s">
        <v>3273</v>
      </c>
      <c r="F1210" t="s">
        <v>3274</v>
      </c>
      <c r="G1210" s="1"/>
      <c r="H1210" t="str">
        <f>"3250612861590"</f>
        <v>3250612861590</v>
      </c>
      <c r="J1210" t="s">
        <v>3452</v>
      </c>
    </row>
    <row r="1211" spans="1:10" x14ac:dyDescent="0.25">
      <c r="A1211" t="s">
        <v>8</v>
      </c>
      <c r="B1211" t="s">
        <v>3453</v>
      </c>
      <c r="C1211" t="s">
        <v>3454</v>
      </c>
      <c r="D1211">
        <v>1</v>
      </c>
      <c r="E1211" t="s">
        <v>3273</v>
      </c>
      <c r="F1211" t="s">
        <v>3274</v>
      </c>
      <c r="G1211" s="1"/>
      <c r="H1211" t="str">
        <f>"3250612960224"</f>
        <v>3250612960224</v>
      </c>
      <c r="J1211" t="s">
        <v>3455</v>
      </c>
    </row>
    <row r="1212" spans="1:10" x14ac:dyDescent="0.25">
      <c r="A1212" t="s">
        <v>8</v>
      </c>
      <c r="B1212" t="s">
        <v>3456</v>
      </c>
      <c r="C1212" t="s">
        <v>3457</v>
      </c>
      <c r="D1212">
        <v>1</v>
      </c>
      <c r="E1212" t="s">
        <v>3273</v>
      </c>
      <c r="F1212" t="s">
        <v>3274</v>
      </c>
      <c r="G1212" s="1"/>
      <c r="H1212" t="str">
        <f>"3250612961214"</f>
        <v>3250612961214</v>
      </c>
      <c r="J1212" t="s">
        <v>3373</v>
      </c>
    </row>
    <row r="1213" spans="1:10" x14ac:dyDescent="0.25">
      <c r="A1213" t="s">
        <v>8</v>
      </c>
      <c r="B1213" t="s">
        <v>3458</v>
      </c>
      <c r="C1213" t="s">
        <v>3459</v>
      </c>
      <c r="D1213">
        <v>1</v>
      </c>
      <c r="E1213" t="s">
        <v>3273</v>
      </c>
      <c r="F1213" t="s">
        <v>3274</v>
      </c>
      <c r="G1213" s="1"/>
      <c r="H1213" t="str">
        <f>"3250612963331"</f>
        <v>3250612963331</v>
      </c>
      <c r="J1213" t="s">
        <v>3460</v>
      </c>
    </row>
    <row r="1214" spans="1:10" x14ac:dyDescent="0.25">
      <c r="A1214" t="s">
        <v>8</v>
      </c>
      <c r="B1214" t="s">
        <v>3461</v>
      </c>
      <c r="C1214" t="s">
        <v>3462</v>
      </c>
      <c r="D1214">
        <v>1</v>
      </c>
      <c r="E1214" t="s">
        <v>3273</v>
      </c>
      <c r="F1214" t="s">
        <v>3274</v>
      </c>
      <c r="G1214" s="1"/>
      <c r="H1214" t="str">
        <f>"3250612963645"</f>
        <v>3250612963645</v>
      </c>
      <c r="J1214" t="s">
        <v>3463</v>
      </c>
    </row>
    <row r="1215" spans="1:10" x14ac:dyDescent="0.25">
      <c r="A1215" t="s">
        <v>8</v>
      </c>
      <c r="B1215" t="s">
        <v>3464</v>
      </c>
      <c r="C1215" t="s">
        <v>3465</v>
      </c>
      <c r="D1215">
        <v>1</v>
      </c>
      <c r="E1215" t="s">
        <v>3273</v>
      </c>
      <c r="F1215" t="s">
        <v>3274</v>
      </c>
      <c r="G1215" s="1"/>
      <c r="H1215" t="str">
        <f>"3250616666160"</f>
        <v>3250616666160</v>
      </c>
      <c r="I1215" s="1"/>
      <c r="J1215" t="s">
        <v>3466</v>
      </c>
    </row>
    <row r="1216" spans="1:10" x14ac:dyDescent="0.25">
      <c r="A1216" t="s">
        <v>8</v>
      </c>
      <c r="B1216" t="s">
        <v>3467</v>
      </c>
      <c r="C1216" t="s">
        <v>3468</v>
      </c>
      <c r="D1216">
        <v>1</v>
      </c>
      <c r="E1216" t="s">
        <v>3273</v>
      </c>
      <c r="F1216" t="s">
        <v>3274</v>
      </c>
      <c r="G1216" s="1"/>
      <c r="H1216" t="str">
        <f>"3250616664135"</f>
        <v>3250616664135</v>
      </c>
      <c r="J1216" t="s">
        <v>3470</v>
      </c>
    </row>
    <row r="1217" spans="1:10" x14ac:dyDescent="0.25">
      <c r="A1217" t="s">
        <v>8</v>
      </c>
      <c r="B1217" t="s">
        <v>3471</v>
      </c>
      <c r="C1217" t="s">
        <v>3472</v>
      </c>
      <c r="D1217">
        <v>1</v>
      </c>
      <c r="E1217" t="s">
        <v>3273</v>
      </c>
      <c r="F1217" t="s">
        <v>3274</v>
      </c>
      <c r="G1217" s="1"/>
      <c r="H1217" t="str">
        <f>"3250616666412"</f>
        <v>3250616666412</v>
      </c>
      <c r="J1217" t="s">
        <v>3473</v>
      </c>
    </row>
    <row r="1218" spans="1:10" x14ac:dyDescent="0.25">
      <c r="A1218" t="s">
        <v>8</v>
      </c>
      <c r="B1218" t="s">
        <v>3474</v>
      </c>
      <c r="C1218" t="s">
        <v>3475</v>
      </c>
      <c r="D1218">
        <v>1</v>
      </c>
      <c r="E1218" t="s">
        <v>3273</v>
      </c>
      <c r="F1218" t="s">
        <v>3274</v>
      </c>
      <c r="G1218" s="1"/>
      <c r="H1218" t="str">
        <f>"3250616655713"</f>
        <v>3250616655713</v>
      </c>
      <c r="J1218" t="s">
        <v>3476</v>
      </c>
    </row>
    <row r="1219" spans="1:10" x14ac:dyDescent="0.25">
      <c r="A1219" t="s">
        <v>8</v>
      </c>
      <c r="B1219" t="s">
        <v>3477</v>
      </c>
      <c r="C1219" t="s">
        <v>3478</v>
      </c>
      <c r="D1219">
        <v>1</v>
      </c>
      <c r="E1219" t="s">
        <v>3273</v>
      </c>
      <c r="F1219" t="s">
        <v>3274</v>
      </c>
      <c r="G1219" s="1"/>
      <c r="H1219" t="str">
        <f>"3250616667440"</f>
        <v>3250616667440</v>
      </c>
      <c r="J1219" t="s">
        <v>3479</v>
      </c>
    </row>
    <row r="1220" spans="1:10" x14ac:dyDescent="0.25">
      <c r="A1220" t="s">
        <v>8</v>
      </c>
      <c r="B1220" t="s">
        <v>3480</v>
      </c>
      <c r="C1220" t="s">
        <v>3481</v>
      </c>
      <c r="D1220">
        <v>1</v>
      </c>
      <c r="E1220" t="s">
        <v>3273</v>
      </c>
      <c r="F1220" t="s">
        <v>3274</v>
      </c>
      <c r="G1220" s="1"/>
      <c r="H1220" t="str">
        <f>"3250612860463"</f>
        <v>3250612860463</v>
      </c>
      <c r="J1220" t="s">
        <v>3482</v>
      </c>
    </row>
    <row r="1221" spans="1:10" x14ac:dyDescent="0.25">
      <c r="A1221" t="s">
        <v>8</v>
      </c>
      <c r="B1221" t="s">
        <v>3483</v>
      </c>
      <c r="C1221" t="s">
        <v>3484</v>
      </c>
      <c r="D1221">
        <v>1</v>
      </c>
      <c r="E1221" t="s">
        <v>3273</v>
      </c>
      <c r="F1221" t="s">
        <v>3274</v>
      </c>
      <c r="G1221" s="1"/>
      <c r="H1221" t="str">
        <f>"3250612960262"</f>
        <v>3250612960262</v>
      </c>
      <c r="J1221" t="s">
        <v>3486</v>
      </c>
    </row>
    <row r="1222" spans="1:10" x14ac:dyDescent="0.25">
      <c r="A1222" t="s">
        <v>8</v>
      </c>
      <c r="B1222" t="s">
        <v>3487</v>
      </c>
      <c r="C1222" t="s">
        <v>3488</v>
      </c>
      <c r="D1222">
        <v>1</v>
      </c>
      <c r="E1222" t="s">
        <v>3273</v>
      </c>
      <c r="F1222" t="s">
        <v>3274</v>
      </c>
      <c r="G1222" s="1"/>
      <c r="H1222" t="str">
        <f>"3250612960293"</f>
        <v>3250612960293</v>
      </c>
      <c r="J1222" t="s">
        <v>3489</v>
      </c>
    </row>
    <row r="1223" spans="1:10" x14ac:dyDescent="0.25">
      <c r="A1223" t="s">
        <v>8</v>
      </c>
      <c r="B1223" t="s">
        <v>3490</v>
      </c>
      <c r="C1223" t="s">
        <v>3491</v>
      </c>
      <c r="D1223">
        <v>1</v>
      </c>
      <c r="E1223" t="s">
        <v>3273</v>
      </c>
      <c r="F1223" t="s">
        <v>3274</v>
      </c>
      <c r="G1223" s="1"/>
      <c r="H1223" t="str">
        <f>"3250612963232"</f>
        <v>3250612963232</v>
      </c>
      <c r="J1223" t="s">
        <v>3492</v>
      </c>
    </row>
    <row r="1224" spans="1:10" x14ac:dyDescent="0.25">
      <c r="A1224" t="s">
        <v>8</v>
      </c>
      <c r="B1224" t="s">
        <v>3493</v>
      </c>
      <c r="C1224" t="s">
        <v>3494</v>
      </c>
      <c r="D1224">
        <v>1</v>
      </c>
      <c r="E1224" t="s">
        <v>3273</v>
      </c>
      <c r="F1224" t="s">
        <v>3274</v>
      </c>
      <c r="G1224" s="1"/>
      <c r="H1224" t="str">
        <f>"3250612993031"</f>
        <v>3250612993031</v>
      </c>
      <c r="J1224" t="s">
        <v>3495</v>
      </c>
    </row>
    <row r="1225" spans="1:10" x14ac:dyDescent="0.25">
      <c r="A1225" t="s">
        <v>8</v>
      </c>
      <c r="B1225" t="s">
        <v>3496</v>
      </c>
      <c r="C1225" t="s">
        <v>3497</v>
      </c>
      <c r="D1225">
        <v>1</v>
      </c>
      <c r="E1225" t="s">
        <v>3273</v>
      </c>
      <c r="F1225" t="s">
        <v>3274</v>
      </c>
      <c r="G1225" s="1"/>
      <c r="H1225" t="str">
        <f>"3250616666504"</f>
        <v>3250616666504</v>
      </c>
      <c r="J1225" t="s">
        <v>3498</v>
      </c>
    </row>
    <row r="1226" spans="1:10" x14ac:dyDescent="0.25">
      <c r="A1226" t="s">
        <v>8</v>
      </c>
      <c r="B1226" t="s">
        <v>3499</v>
      </c>
      <c r="C1226" t="s">
        <v>3500</v>
      </c>
      <c r="D1226">
        <v>1</v>
      </c>
      <c r="E1226" t="s">
        <v>3273</v>
      </c>
      <c r="F1226" t="s">
        <v>3274</v>
      </c>
      <c r="G1226" s="1"/>
      <c r="H1226" t="str">
        <f>"3250616669260"</f>
        <v>3250616669260</v>
      </c>
      <c r="J1226" t="s">
        <v>3501</v>
      </c>
    </row>
    <row r="1227" spans="1:10" x14ac:dyDescent="0.25">
      <c r="A1227" t="s">
        <v>8</v>
      </c>
      <c r="B1227" t="s">
        <v>3502</v>
      </c>
      <c r="C1227" t="s">
        <v>3503</v>
      </c>
      <c r="D1227">
        <v>1</v>
      </c>
      <c r="E1227" t="s">
        <v>3273</v>
      </c>
      <c r="F1227" t="s">
        <v>3274</v>
      </c>
      <c r="G1227" s="1"/>
      <c r="H1227" t="str">
        <f>"3250612860470"</f>
        <v>3250612860470</v>
      </c>
      <c r="J1227" t="s">
        <v>3504</v>
      </c>
    </row>
    <row r="1228" spans="1:10" x14ac:dyDescent="0.25">
      <c r="A1228" t="s">
        <v>8</v>
      </c>
      <c r="B1228" t="s">
        <v>3505</v>
      </c>
      <c r="C1228" t="s">
        <v>3506</v>
      </c>
      <c r="D1228">
        <v>1</v>
      </c>
      <c r="E1228" t="s">
        <v>3273</v>
      </c>
      <c r="F1228" t="s">
        <v>3274</v>
      </c>
      <c r="G1228" s="1"/>
      <c r="H1228" t="str">
        <f>"3250612861583"</f>
        <v>3250612861583</v>
      </c>
      <c r="J1228" t="s">
        <v>3507</v>
      </c>
    </row>
    <row r="1229" spans="1:10" x14ac:dyDescent="0.25">
      <c r="A1229" t="s">
        <v>8</v>
      </c>
      <c r="B1229" t="s">
        <v>3508</v>
      </c>
      <c r="C1229" t="s">
        <v>3509</v>
      </c>
      <c r="D1229">
        <v>1</v>
      </c>
      <c r="E1229" t="s">
        <v>3273</v>
      </c>
      <c r="F1229" t="s">
        <v>3274</v>
      </c>
      <c r="G1229" s="1"/>
      <c r="H1229" t="str">
        <f>"3250612960217"</f>
        <v>3250612960217</v>
      </c>
      <c r="J1229" t="s">
        <v>3510</v>
      </c>
    </row>
    <row r="1230" spans="1:10" x14ac:dyDescent="0.25">
      <c r="A1230" t="s">
        <v>8</v>
      </c>
      <c r="B1230" t="s">
        <v>3511</v>
      </c>
      <c r="C1230" t="s">
        <v>3512</v>
      </c>
      <c r="D1230">
        <v>1</v>
      </c>
      <c r="E1230" t="s">
        <v>3273</v>
      </c>
      <c r="F1230" t="s">
        <v>3274</v>
      </c>
      <c r="G1230" s="1"/>
      <c r="H1230" t="str">
        <f>"3250612963515"</f>
        <v>3250612963515</v>
      </c>
      <c r="J1230" t="s">
        <v>3513</v>
      </c>
    </row>
    <row r="1231" spans="1:10" x14ac:dyDescent="0.25">
      <c r="A1231" t="s">
        <v>8</v>
      </c>
      <c r="B1231" t="s">
        <v>3514</v>
      </c>
      <c r="C1231" t="s">
        <v>3515</v>
      </c>
      <c r="D1231">
        <v>1</v>
      </c>
      <c r="E1231" t="s">
        <v>3273</v>
      </c>
      <c r="F1231" t="s">
        <v>3274</v>
      </c>
      <c r="G1231" s="1"/>
      <c r="H1231" t="str">
        <f>"3250612963621"</f>
        <v>3250612963621</v>
      </c>
      <c r="J1231" t="s">
        <v>3516</v>
      </c>
    </row>
    <row r="1232" spans="1:10" x14ac:dyDescent="0.25">
      <c r="A1232" t="s">
        <v>8</v>
      </c>
      <c r="B1232" t="s">
        <v>3517</v>
      </c>
      <c r="C1232" t="s">
        <v>3518</v>
      </c>
      <c r="D1232">
        <v>1</v>
      </c>
      <c r="E1232" t="s">
        <v>3273</v>
      </c>
      <c r="F1232" t="s">
        <v>3274</v>
      </c>
      <c r="G1232" s="1"/>
      <c r="H1232" t="str">
        <f>"3250612993512"</f>
        <v>3250612993512</v>
      </c>
      <c r="J1232" t="s">
        <v>3519</v>
      </c>
    </row>
    <row r="1233" spans="1:10" x14ac:dyDescent="0.25">
      <c r="A1233" t="s">
        <v>8</v>
      </c>
      <c r="B1233" t="s">
        <v>3520</v>
      </c>
      <c r="C1233" t="s">
        <v>3521</v>
      </c>
      <c r="D1233">
        <v>1</v>
      </c>
      <c r="E1233" t="s">
        <v>3273</v>
      </c>
      <c r="F1233" t="s">
        <v>3274</v>
      </c>
      <c r="G1233" s="1"/>
      <c r="H1233" t="str">
        <f>"3250612993444"</f>
        <v>3250612993444</v>
      </c>
      <c r="J1233" t="s">
        <v>3522</v>
      </c>
    </row>
    <row r="1234" spans="1:10" x14ac:dyDescent="0.25">
      <c r="A1234" t="s">
        <v>8</v>
      </c>
      <c r="B1234" t="s">
        <v>3523</v>
      </c>
      <c r="C1234" t="s">
        <v>3524</v>
      </c>
      <c r="D1234">
        <v>1</v>
      </c>
      <c r="E1234" t="s">
        <v>3273</v>
      </c>
      <c r="F1234" t="s">
        <v>3274</v>
      </c>
      <c r="G1234" s="1"/>
      <c r="H1234" t="str">
        <f>"3250612993307"</f>
        <v>3250612993307</v>
      </c>
      <c r="J1234" t="s">
        <v>3525</v>
      </c>
    </row>
    <row r="1235" spans="1:10" x14ac:dyDescent="0.25">
      <c r="A1235" t="s">
        <v>8</v>
      </c>
      <c r="B1235" t="s">
        <v>3526</v>
      </c>
      <c r="C1235" t="s">
        <v>3527</v>
      </c>
      <c r="D1235">
        <v>1</v>
      </c>
      <c r="E1235" t="s">
        <v>3273</v>
      </c>
      <c r="F1235" t="s">
        <v>3274</v>
      </c>
      <c r="G1235" s="1"/>
      <c r="H1235" t="str">
        <f>"3250613063313"</f>
        <v>3250613063313</v>
      </c>
      <c r="J1235" t="s">
        <v>3528</v>
      </c>
    </row>
    <row r="1236" spans="1:10" x14ac:dyDescent="0.25">
      <c r="A1236" t="s">
        <v>8</v>
      </c>
      <c r="B1236" t="s">
        <v>3529</v>
      </c>
      <c r="C1236" t="s">
        <v>3530</v>
      </c>
      <c r="D1236">
        <v>1</v>
      </c>
      <c r="E1236" t="s">
        <v>3273</v>
      </c>
      <c r="F1236" t="s">
        <v>3274</v>
      </c>
      <c r="G1236" s="1"/>
      <c r="H1236" t="str">
        <f>"3250616666498"</f>
        <v>3250616666498</v>
      </c>
      <c r="J1236" t="s">
        <v>3531</v>
      </c>
    </row>
    <row r="1237" spans="1:10" x14ac:dyDescent="0.25">
      <c r="A1237" t="s">
        <v>8</v>
      </c>
      <c r="B1237" t="s">
        <v>3532</v>
      </c>
      <c r="C1237" t="s">
        <v>3533</v>
      </c>
      <c r="D1237">
        <v>1</v>
      </c>
      <c r="E1237" t="s">
        <v>3273</v>
      </c>
      <c r="F1237" t="s">
        <v>3274</v>
      </c>
      <c r="G1237" s="1"/>
      <c r="H1237" t="str">
        <f>"3250616666153"</f>
        <v>3250616666153</v>
      </c>
      <c r="J1237" t="s">
        <v>3534</v>
      </c>
    </row>
    <row r="1238" spans="1:10" x14ac:dyDescent="0.25">
      <c r="A1238" t="s">
        <v>8</v>
      </c>
      <c r="B1238" t="s">
        <v>3535</v>
      </c>
      <c r="C1238" t="s">
        <v>3536</v>
      </c>
      <c r="D1238">
        <v>1</v>
      </c>
      <c r="E1238" t="s">
        <v>3273</v>
      </c>
      <c r="F1238" t="s">
        <v>3274</v>
      </c>
      <c r="G1238" s="1"/>
      <c r="H1238" t="str">
        <f>"3250616666368"</f>
        <v>3250616666368</v>
      </c>
      <c r="J1238" t="s">
        <v>3537</v>
      </c>
    </row>
    <row r="1239" spans="1:10" x14ac:dyDescent="0.25">
      <c r="A1239" t="s">
        <v>8</v>
      </c>
      <c r="B1239" t="s">
        <v>3538</v>
      </c>
      <c r="C1239" t="s">
        <v>3539</v>
      </c>
      <c r="D1239">
        <v>1</v>
      </c>
      <c r="E1239" t="s">
        <v>3273</v>
      </c>
      <c r="F1239" t="s">
        <v>3274</v>
      </c>
      <c r="G1239" s="1"/>
      <c r="H1239" t="str">
        <f>"3250612845804"</f>
        <v>3250612845804</v>
      </c>
      <c r="J1239" t="s">
        <v>3540</v>
      </c>
    </row>
    <row r="1240" spans="1:10" x14ac:dyDescent="0.25">
      <c r="A1240" t="s">
        <v>8</v>
      </c>
      <c r="B1240" t="s">
        <v>3541</v>
      </c>
      <c r="C1240" t="s">
        <v>3542</v>
      </c>
      <c r="D1240">
        <v>1</v>
      </c>
      <c r="E1240" t="s">
        <v>3273</v>
      </c>
      <c r="F1240" t="s">
        <v>3274</v>
      </c>
      <c r="G1240" s="1"/>
      <c r="H1240" t="str">
        <f>"3250612861644"</f>
        <v>3250612861644</v>
      </c>
      <c r="J1240" t="s">
        <v>3543</v>
      </c>
    </row>
    <row r="1241" spans="1:10" x14ac:dyDescent="0.25">
      <c r="A1241" t="s">
        <v>8</v>
      </c>
      <c r="B1241" t="s">
        <v>3544</v>
      </c>
      <c r="C1241" t="s">
        <v>3545</v>
      </c>
      <c r="D1241">
        <v>1</v>
      </c>
      <c r="E1241" t="s">
        <v>3273</v>
      </c>
      <c r="F1241" t="s">
        <v>3274</v>
      </c>
      <c r="G1241" s="1"/>
      <c r="H1241" t="str">
        <f>"3250612960255"</f>
        <v>3250612960255</v>
      </c>
      <c r="J1241" t="s">
        <v>3546</v>
      </c>
    </row>
    <row r="1242" spans="1:10" x14ac:dyDescent="0.25">
      <c r="A1242" t="s">
        <v>8</v>
      </c>
      <c r="B1242" t="s">
        <v>3547</v>
      </c>
      <c r="C1242" t="s">
        <v>3548</v>
      </c>
      <c r="D1242">
        <v>1</v>
      </c>
      <c r="E1242" t="s">
        <v>3273</v>
      </c>
      <c r="F1242" t="s">
        <v>3274</v>
      </c>
      <c r="G1242" s="1"/>
      <c r="H1242" t="str">
        <f>"3250612963317"</f>
        <v>3250612963317</v>
      </c>
      <c r="J1242" t="s">
        <v>3549</v>
      </c>
    </row>
    <row r="1243" spans="1:10" x14ac:dyDescent="0.25">
      <c r="A1243" t="s">
        <v>8</v>
      </c>
      <c r="B1243" t="s">
        <v>3550</v>
      </c>
      <c r="C1243" t="s">
        <v>3551</v>
      </c>
      <c r="D1243">
        <v>1</v>
      </c>
      <c r="E1243" t="s">
        <v>3273</v>
      </c>
      <c r="F1243" t="s">
        <v>3274</v>
      </c>
      <c r="G1243" s="1"/>
      <c r="H1243" t="str">
        <f>"3250612993314"</f>
        <v>3250612993314</v>
      </c>
      <c r="J1243" t="s">
        <v>3552</v>
      </c>
    </row>
    <row r="1244" spans="1:10" x14ac:dyDescent="0.25">
      <c r="A1244" t="s">
        <v>8</v>
      </c>
      <c r="B1244" t="s">
        <v>3553</v>
      </c>
      <c r="C1244" t="s">
        <v>3554</v>
      </c>
      <c r="D1244">
        <v>1</v>
      </c>
      <c r="E1244" t="s">
        <v>3273</v>
      </c>
      <c r="F1244" t="s">
        <v>3274</v>
      </c>
      <c r="G1244" s="1"/>
      <c r="H1244" t="str">
        <f>"3250612993208"</f>
        <v>3250612993208</v>
      </c>
      <c r="J1244" t="s">
        <v>3555</v>
      </c>
    </row>
    <row r="1245" spans="1:10" x14ac:dyDescent="0.25">
      <c r="A1245" t="s">
        <v>8</v>
      </c>
      <c r="B1245" t="s">
        <v>3556</v>
      </c>
      <c r="C1245" t="s">
        <v>3557</v>
      </c>
      <c r="D1245">
        <v>1</v>
      </c>
      <c r="E1245" t="s">
        <v>3273</v>
      </c>
      <c r="F1245" t="s">
        <v>3274</v>
      </c>
      <c r="G1245" s="1"/>
      <c r="H1245" t="str">
        <f>"3250613061258"</f>
        <v>3250613061258</v>
      </c>
      <c r="J1245" t="s">
        <v>3558</v>
      </c>
    </row>
    <row r="1246" spans="1:10" x14ac:dyDescent="0.25">
      <c r="A1246" t="s">
        <v>8</v>
      </c>
      <c r="B1246" t="s">
        <v>3559</v>
      </c>
      <c r="C1246" t="s">
        <v>3560</v>
      </c>
      <c r="D1246">
        <v>1</v>
      </c>
      <c r="E1246" t="s">
        <v>3273</v>
      </c>
      <c r="F1246" t="s">
        <v>3274</v>
      </c>
      <c r="G1246" s="1"/>
      <c r="H1246" t="str">
        <f>"3250616666481"</f>
        <v>3250616666481</v>
      </c>
      <c r="J1246" t="s">
        <v>3561</v>
      </c>
    </row>
    <row r="1247" spans="1:10" x14ac:dyDescent="0.25">
      <c r="A1247" t="s">
        <v>8</v>
      </c>
      <c r="B1247" t="s">
        <v>3562</v>
      </c>
      <c r="C1247" t="s">
        <v>3563</v>
      </c>
      <c r="D1247">
        <v>1</v>
      </c>
      <c r="E1247" t="s">
        <v>3273</v>
      </c>
      <c r="F1247" t="s">
        <v>3274</v>
      </c>
      <c r="G1247" s="1"/>
      <c r="H1247" t="str">
        <f>"3250616666351"</f>
        <v>3250616666351</v>
      </c>
      <c r="J1247" t="s">
        <v>3564</v>
      </c>
    </row>
    <row r="1248" spans="1:10" x14ac:dyDescent="0.25">
      <c r="A1248" t="s">
        <v>8</v>
      </c>
      <c r="B1248" t="s">
        <v>3565</v>
      </c>
      <c r="C1248" t="s">
        <v>3566</v>
      </c>
      <c r="D1248">
        <v>1</v>
      </c>
      <c r="E1248" t="s">
        <v>3273</v>
      </c>
      <c r="F1248" t="s">
        <v>3274</v>
      </c>
      <c r="G1248" s="1"/>
      <c r="H1248" t="str">
        <f>"3250612861637"</f>
        <v>3250612861637</v>
      </c>
      <c r="J1248" t="s">
        <v>3567</v>
      </c>
    </row>
    <row r="1249" spans="1:10" x14ac:dyDescent="0.25">
      <c r="A1249" t="s">
        <v>8</v>
      </c>
      <c r="B1249" t="s">
        <v>3568</v>
      </c>
      <c r="C1249" t="s">
        <v>3569</v>
      </c>
      <c r="D1249">
        <v>1</v>
      </c>
      <c r="E1249" t="s">
        <v>3273</v>
      </c>
      <c r="F1249" t="s">
        <v>3274</v>
      </c>
      <c r="G1249" s="1"/>
      <c r="H1249" t="str">
        <f>"3250612960248"</f>
        <v>3250612960248</v>
      </c>
      <c r="J1249" t="s">
        <v>3570</v>
      </c>
    </row>
    <row r="1250" spans="1:10" x14ac:dyDescent="0.25">
      <c r="A1250" t="s">
        <v>8</v>
      </c>
      <c r="B1250" t="s">
        <v>3571</v>
      </c>
      <c r="C1250" t="s">
        <v>3572</v>
      </c>
      <c r="D1250">
        <v>1</v>
      </c>
      <c r="E1250" t="s">
        <v>3273</v>
      </c>
      <c r="F1250" t="s">
        <v>3274</v>
      </c>
      <c r="G1250" s="1"/>
      <c r="H1250" t="str">
        <f>"3250612963218"</f>
        <v>3250612963218</v>
      </c>
      <c r="J1250" t="s">
        <v>3573</v>
      </c>
    </row>
    <row r="1251" spans="1:10" x14ac:dyDescent="0.25">
      <c r="A1251" t="s">
        <v>8</v>
      </c>
      <c r="B1251" t="s">
        <v>3574</v>
      </c>
      <c r="C1251" t="s">
        <v>3575</v>
      </c>
      <c r="D1251">
        <v>1</v>
      </c>
      <c r="E1251" t="s">
        <v>3273</v>
      </c>
      <c r="F1251" t="s">
        <v>3274</v>
      </c>
      <c r="G1251" s="1"/>
      <c r="H1251" t="str">
        <f>"3250612963546"</f>
        <v>3250612963546</v>
      </c>
      <c r="J1251" t="s">
        <v>3576</v>
      </c>
    </row>
    <row r="1252" spans="1:10" x14ac:dyDescent="0.25">
      <c r="A1252" t="s">
        <v>8</v>
      </c>
      <c r="B1252" t="s">
        <v>3577</v>
      </c>
      <c r="C1252" t="s">
        <v>3578</v>
      </c>
      <c r="D1252">
        <v>1</v>
      </c>
      <c r="E1252" t="s">
        <v>3273</v>
      </c>
      <c r="F1252" t="s">
        <v>3274</v>
      </c>
      <c r="G1252" s="1"/>
      <c r="H1252" t="str">
        <f>"3250612993048"</f>
        <v>3250612993048</v>
      </c>
      <c r="J1252" t="s">
        <v>3579</v>
      </c>
    </row>
    <row r="1253" spans="1:10" x14ac:dyDescent="0.25">
      <c r="A1253" t="s">
        <v>8</v>
      </c>
      <c r="B1253" t="s">
        <v>3580</v>
      </c>
      <c r="C1253" t="s">
        <v>3581</v>
      </c>
      <c r="D1253">
        <v>1</v>
      </c>
      <c r="E1253" t="s">
        <v>3273</v>
      </c>
      <c r="F1253" t="s">
        <v>3274</v>
      </c>
      <c r="G1253" s="1"/>
      <c r="H1253" t="str">
        <f>"3250616667709"</f>
        <v>3250616667709</v>
      </c>
      <c r="J1253" t="s">
        <v>3582</v>
      </c>
    </row>
    <row r="1254" spans="1:10" x14ac:dyDescent="0.25">
      <c r="A1254" t="s">
        <v>8</v>
      </c>
      <c r="B1254" t="s">
        <v>3583</v>
      </c>
      <c r="C1254" t="s">
        <v>3584</v>
      </c>
      <c r="D1254">
        <v>1</v>
      </c>
      <c r="E1254" t="s">
        <v>3273</v>
      </c>
      <c r="F1254" t="s">
        <v>3274</v>
      </c>
      <c r="G1254" s="1"/>
      <c r="H1254" t="str">
        <f>"3250616666344"</f>
        <v>3250616666344</v>
      </c>
      <c r="J1254" t="s">
        <v>3586</v>
      </c>
    </row>
    <row r="1255" spans="1:10" x14ac:dyDescent="0.25">
      <c r="A1255" t="s">
        <v>8</v>
      </c>
      <c r="B1255" t="s">
        <v>3587</v>
      </c>
      <c r="C1255" t="s">
        <v>3588</v>
      </c>
      <c r="D1255">
        <v>1</v>
      </c>
      <c r="E1255" t="s">
        <v>3273</v>
      </c>
      <c r="F1255" t="s">
        <v>3274</v>
      </c>
      <c r="G1255" s="1"/>
      <c r="H1255" t="str">
        <f>"3250616667433"</f>
        <v>3250616667433</v>
      </c>
      <c r="J1255" t="s">
        <v>3589</v>
      </c>
    </row>
    <row r="1256" spans="1:10" x14ac:dyDescent="0.25">
      <c r="A1256" t="s">
        <v>8</v>
      </c>
      <c r="B1256" t="s">
        <v>3590</v>
      </c>
      <c r="C1256" t="s">
        <v>3591</v>
      </c>
      <c r="D1256">
        <v>1</v>
      </c>
      <c r="E1256" t="s">
        <v>3273</v>
      </c>
      <c r="F1256" t="s">
        <v>3274</v>
      </c>
      <c r="G1256" s="1"/>
      <c r="H1256" t="str">
        <f>"3250616667587"</f>
        <v>3250616667587</v>
      </c>
      <c r="J1256" t="s">
        <v>3592</v>
      </c>
    </row>
    <row r="1257" spans="1:10" x14ac:dyDescent="0.25">
      <c r="A1257" t="s">
        <v>8</v>
      </c>
      <c r="B1257" t="s">
        <v>3593</v>
      </c>
      <c r="C1257" t="s">
        <v>3594</v>
      </c>
      <c r="D1257">
        <v>1</v>
      </c>
      <c r="E1257" t="s">
        <v>3273</v>
      </c>
      <c r="F1257" t="s">
        <v>3274</v>
      </c>
      <c r="G1257" s="1"/>
      <c r="H1257" t="str">
        <f>"3250616656147"</f>
        <v>3250616656147</v>
      </c>
      <c r="J1257" t="s">
        <v>3595</v>
      </c>
    </row>
    <row r="1258" spans="1:10" x14ac:dyDescent="0.25">
      <c r="A1258" t="s">
        <v>8</v>
      </c>
      <c r="B1258" t="s">
        <v>3596</v>
      </c>
      <c r="C1258" t="s">
        <v>3597</v>
      </c>
      <c r="D1258">
        <v>1</v>
      </c>
      <c r="E1258" t="s">
        <v>3273</v>
      </c>
      <c r="F1258" t="s">
        <v>3274</v>
      </c>
      <c r="G1258" s="1"/>
      <c r="H1258" t="str">
        <f>"3250612811106"</f>
        <v>3250612811106</v>
      </c>
      <c r="J1258" t="s">
        <v>3598</v>
      </c>
    </row>
    <row r="1259" spans="1:10" x14ac:dyDescent="0.25">
      <c r="A1259" t="s">
        <v>8</v>
      </c>
      <c r="B1259" t="s">
        <v>3599</v>
      </c>
      <c r="C1259" t="s">
        <v>3600</v>
      </c>
      <c r="D1259">
        <v>1</v>
      </c>
      <c r="E1259" t="s">
        <v>3273</v>
      </c>
      <c r="F1259" t="s">
        <v>3274</v>
      </c>
      <c r="G1259" s="1"/>
      <c r="H1259" t="str">
        <f>"3250612961252"</f>
        <v>3250612961252</v>
      </c>
      <c r="J1259" t="s">
        <v>3601</v>
      </c>
    </row>
    <row r="1260" spans="1:10" x14ac:dyDescent="0.25">
      <c r="A1260" t="s">
        <v>8</v>
      </c>
      <c r="B1260" t="s">
        <v>3602</v>
      </c>
      <c r="C1260" t="s">
        <v>3603</v>
      </c>
      <c r="D1260">
        <v>1</v>
      </c>
      <c r="E1260" t="s">
        <v>3273</v>
      </c>
      <c r="F1260" t="s">
        <v>3274</v>
      </c>
      <c r="G1260" s="1"/>
      <c r="H1260" t="str">
        <f>"3250612961269"</f>
        <v>3250612961269</v>
      </c>
      <c r="J1260" t="s">
        <v>3604</v>
      </c>
    </row>
    <row r="1261" spans="1:10" x14ac:dyDescent="0.25">
      <c r="A1261" t="s">
        <v>8</v>
      </c>
      <c r="B1261" t="s">
        <v>3605</v>
      </c>
      <c r="C1261" t="s">
        <v>3606</v>
      </c>
      <c r="D1261">
        <v>1</v>
      </c>
      <c r="E1261" t="s">
        <v>3273</v>
      </c>
      <c r="F1261" t="s">
        <v>3274</v>
      </c>
      <c r="G1261" s="1"/>
      <c r="H1261" t="str">
        <f>"3250616615793"</f>
        <v>3250616615793</v>
      </c>
      <c r="J1261" t="s">
        <v>3607</v>
      </c>
    </row>
    <row r="1262" spans="1:10" x14ac:dyDescent="0.25">
      <c r="A1262" t="s">
        <v>8</v>
      </c>
      <c r="B1262" t="s">
        <v>3608</v>
      </c>
      <c r="C1262" t="s">
        <v>3609</v>
      </c>
      <c r="D1262">
        <v>1</v>
      </c>
      <c r="E1262" t="s">
        <v>3273</v>
      </c>
      <c r="F1262" t="s">
        <v>3274</v>
      </c>
      <c r="G1262" s="1"/>
      <c r="H1262" t="str">
        <f>"3250616615809"</f>
        <v>3250616615809</v>
      </c>
      <c r="J1262" t="s">
        <v>3607</v>
      </c>
    </row>
    <row r="1263" spans="1:10" x14ac:dyDescent="0.25">
      <c r="A1263" t="s">
        <v>8</v>
      </c>
      <c r="B1263" t="s">
        <v>3610</v>
      </c>
      <c r="C1263" t="s">
        <v>3611</v>
      </c>
      <c r="D1263">
        <v>1</v>
      </c>
      <c r="E1263" t="s">
        <v>3273</v>
      </c>
      <c r="F1263" t="s">
        <v>3274</v>
      </c>
      <c r="G1263" s="1"/>
      <c r="H1263" t="str">
        <f>"3250616615816"</f>
        <v>3250616615816</v>
      </c>
      <c r="J1263" t="s">
        <v>3612</v>
      </c>
    </row>
    <row r="1264" spans="1:10" x14ac:dyDescent="0.25">
      <c r="A1264" t="s">
        <v>8</v>
      </c>
      <c r="B1264" t="s">
        <v>3613</v>
      </c>
      <c r="C1264" t="s">
        <v>3614</v>
      </c>
      <c r="D1264">
        <v>1</v>
      </c>
      <c r="E1264" t="s">
        <v>3273</v>
      </c>
      <c r="F1264" t="s">
        <v>3274</v>
      </c>
      <c r="G1264" s="1"/>
      <c r="H1264" t="str">
        <f>"3250616615823"</f>
        <v>3250616615823</v>
      </c>
      <c r="J1264" t="s">
        <v>3615</v>
      </c>
    </row>
    <row r="1265" spans="1:10" x14ac:dyDescent="0.25">
      <c r="A1265" t="s">
        <v>8</v>
      </c>
      <c r="B1265" t="s">
        <v>3616</v>
      </c>
      <c r="C1265" t="s">
        <v>3617</v>
      </c>
      <c r="D1265">
        <v>1</v>
      </c>
      <c r="E1265" t="s">
        <v>3273</v>
      </c>
      <c r="F1265" t="s">
        <v>3274</v>
      </c>
      <c r="G1265" s="1"/>
      <c r="H1265" t="str">
        <f>"3250616615830"</f>
        <v>3250616615830</v>
      </c>
      <c r="J1265" t="s">
        <v>3618</v>
      </c>
    </row>
    <row r="1266" spans="1:10" x14ac:dyDescent="0.25">
      <c r="A1266" t="s">
        <v>8</v>
      </c>
      <c r="B1266" t="s">
        <v>3619</v>
      </c>
      <c r="C1266" t="s">
        <v>3620</v>
      </c>
      <c r="D1266">
        <v>1</v>
      </c>
      <c r="E1266" t="s">
        <v>3273</v>
      </c>
      <c r="F1266" t="s">
        <v>3274</v>
      </c>
      <c r="G1266" s="1"/>
      <c r="H1266" t="str">
        <f>"3250616615847"</f>
        <v>3250616615847</v>
      </c>
      <c r="J1266" t="s">
        <v>3621</v>
      </c>
    </row>
    <row r="1267" spans="1:10" x14ac:dyDescent="0.25">
      <c r="A1267" t="s">
        <v>8</v>
      </c>
      <c r="B1267" t="s">
        <v>3622</v>
      </c>
      <c r="C1267" t="s">
        <v>3623</v>
      </c>
      <c r="D1267">
        <v>1</v>
      </c>
      <c r="E1267" t="s">
        <v>3273</v>
      </c>
      <c r="F1267" t="s">
        <v>3274</v>
      </c>
      <c r="G1267" s="1"/>
      <c r="H1267" t="str">
        <f>"3250616615854"</f>
        <v>3250616615854</v>
      </c>
      <c r="J1267" t="s">
        <v>3624</v>
      </c>
    </row>
    <row r="1268" spans="1:10" x14ac:dyDescent="0.25">
      <c r="A1268" t="s">
        <v>8</v>
      </c>
      <c r="B1268" t="s">
        <v>3625</v>
      </c>
      <c r="C1268" t="s">
        <v>3626</v>
      </c>
      <c r="D1268">
        <v>1</v>
      </c>
      <c r="E1268" t="s">
        <v>3273</v>
      </c>
      <c r="F1268" t="s">
        <v>3274</v>
      </c>
      <c r="G1268" s="1"/>
      <c r="H1268" t="str">
        <f>"3250616615861"</f>
        <v>3250616615861</v>
      </c>
      <c r="J1268" t="s">
        <v>3627</v>
      </c>
    </row>
    <row r="1269" spans="1:10" x14ac:dyDescent="0.25">
      <c r="A1269" t="s">
        <v>8</v>
      </c>
      <c r="B1269" t="s">
        <v>3628</v>
      </c>
      <c r="C1269" t="s">
        <v>3629</v>
      </c>
      <c r="D1269">
        <v>1</v>
      </c>
      <c r="E1269" t="s">
        <v>3273</v>
      </c>
      <c r="F1269" t="s">
        <v>3274</v>
      </c>
      <c r="G1269" s="1"/>
      <c r="H1269" t="str">
        <f>"3250616615878"</f>
        <v>3250616615878</v>
      </c>
      <c r="J1269" t="s">
        <v>3630</v>
      </c>
    </row>
    <row r="1270" spans="1:10" x14ac:dyDescent="0.25">
      <c r="A1270" t="s">
        <v>8</v>
      </c>
      <c r="B1270" t="s">
        <v>3631</v>
      </c>
      <c r="C1270" t="s">
        <v>3632</v>
      </c>
      <c r="D1270">
        <v>1</v>
      </c>
      <c r="E1270" t="s">
        <v>3273</v>
      </c>
      <c r="F1270" t="s">
        <v>3274</v>
      </c>
      <c r="G1270" s="1"/>
      <c r="H1270" t="str">
        <f>"3250616616097"</f>
        <v>3250616616097</v>
      </c>
      <c r="J1270" t="s">
        <v>3633</v>
      </c>
    </row>
    <row r="1271" spans="1:10" x14ac:dyDescent="0.25">
      <c r="A1271" t="s">
        <v>8</v>
      </c>
      <c r="B1271" t="s">
        <v>3634</v>
      </c>
      <c r="C1271" t="s">
        <v>3635</v>
      </c>
      <c r="D1271">
        <v>1</v>
      </c>
      <c r="E1271" t="s">
        <v>3273</v>
      </c>
      <c r="F1271" t="s">
        <v>3274</v>
      </c>
      <c r="G1271" s="1"/>
      <c r="H1271" t="str">
        <f>"3250616615892"</f>
        <v>3250616615892</v>
      </c>
      <c r="J1271" t="s">
        <v>3637</v>
      </c>
    </row>
    <row r="1272" spans="1:10" x14ac:dyDescent="0.25">
      <c r="A1272" t="s">
        <v>8</v>
      </c>
      <c r="B1272" t="s">
        <v>3638</v>
      </c>
      <c r="C1272" t="s">
        <v>3639</v>
      </c>
      <c r="D1272">
        <v>1</v>
      </c>
      <c r="E1272" t="s">
        <v>3273</v>
      </c>
      <c r="F1272" t="s">
        <v>3274</v>
      </c>
      <c r="G1272" s="1"/>
      <c r="H1272" t="str">
        <f>"3250616615908"</f>
        <v>3250616615908</v>
      </c>
      <c r="J1272" t="s">
        <v>3640</v>
      </c>
    </row>
    <row r="1273" spans="1:10" x14ac:dyDescent="0.25">
      <c r="A1273" t="s">
        <v>8</v>
      </c>
      <c r="B1273" t="s">
        <v>3641</v>
      </c>
      <c r="C1273" t="s">
        <v>3642</v>
      </c>
      <c r="D1273">
        <v>1</v>
      </c>
      <c r="E1273" t="s">
        <v>3273</v>
      </c>
      <c r="F1273" t="s">
        <v>3274</v>
      </c>
      <c r="G1273" s="1"/>
      <c r="H1273" t="str">
        <f>"3250616615922"</f>
        <v>3250616615922</v>
      </c>
      <c r="J1273" t="s">
        <v>3643</v>
      </c>
    </row>
    <row r="1274" spans="1:10" x14ac:dyDescent="0.25">
      <c r="A1274" t="s">
        <v>8</v>
      </c>
      <c r="B1274" t="s">
        <v>3644</v>
      </c>
      <c r="C1274" t="s">
        <v>3645</v>
      </c>
      <c r="D1274">
        <v>1</v>
      </c>
      <c r="E1274" t="s">
        <v>3273</v>
      </c>
      <c r="F1274" t="s">
        <v>3274</v>
      </c>
      <c r="G1274" s="1"/>
      <c r="H1274" t="str">
        <f>"3250616615939"</f>
        <v>3250616615939</v>
      </c>
      <c r="J1274" t="s">
        <v>3646</v>
      </c>
    </row>
    <row r="1275" spans="1:10" x14ac:dyDescent="0.25">
      <c r="A1275" t="s">
        <v>8</v>
      </c>
      <c r="B1275" t="s">
        <v>3647</v>
      </c>
      <c r="C1275" t="s">
        <v>3648</v>
      </c>
      <c r="D1275">
        <v>1</v>
      </c>
      <c r="E1275" t="s">
        <v>3273</v>
      </c>
      <c r="F1275" t="s">
        <v>3274</v>
      </c>
      <c r="G1275" s="1"/>
      <c r="H1275" t="str">
        <f>"3250616615953"</f>
        <v>3250616615953</v>
      </c>
      <c r="J1275" t="s">
        <v>3649</v>
      </c>
    </row>
    <row r="1276" spans="1:10" x14ac:dyDescent="0.25">
      <c r="A1276" t="s">
        <v>8</v>
      </c>
      <c r="B1276" t="s">
        <v>3650</v>
      </c>
      <c r="C1276" t="s">
        <v>3651</v>
      </c>
      <c r="D1276">
        <v>1</v>
      </c>
      <c r="E1276" t="s">
        <v>3273</v>
      </c>
      <c r="F1276" t="s">
        <v>3274</v>
      </c>
      <c r="G1276" s="1"/>
      <c r="H1276" t="str">
        <f>"3250616615960"</f>
        <v>3250616615960</v>
      </c>
      <c r="J1276" t="s">
        <v>3652</v>
      </c>
    </row>
    <row r="1277" spans="1:10" x14ac:dyDescent="0.25">
      <c r="A1277" t="s">
        <v>8</v>
      </c>
      <c r="B1277" t="s">
        <v>3653</v>
      </c>
      <c r="C1277" t="s">
        <v>3654</v>
      </c>
      <c r="D1277">
        <v>1</v>
      </c>
      <c r="E1277" t="s">
        <v>3273</v>
      </c>
      <c r="F1277" t="s">
        <v>3274</v>
      </c>
      <c r="G1277" s="1"/>
      <c r="H1277" t="str">
        <f>"3250616615991"</f>
        <v>3250616615991</v>
      </c>
      <c r="J1277" t="s">
        <v>3655</v>
      </c>
    </row>
    <row r="1278" spans="1:10" x14ac:dyDescent="0.25">
      <c r="A1278" t="s">
        <v>8</v>
      </c>
      <c r="B1278" t="s">
        <v>3656</v>
      </c>
      <c r="C1278" t="s">
        <v>3657</v>
      </c>
      <c r="D1278">
        <v>1</v>
      </c>
      <c r="E1278" t="s">
        <v>3273</v>
      </c>
      <c r="F1278" t="s">
        <v>3274</v>
      </c>
      <c r="G1278" s="1"/>
      <c r="H1278" t="str">
        <f>"3250616616011"</f>
        <v>3250616616011</v>
      </c>
      <c r="J1278" t="s">
        <v>3658</v>
      </c>
    </row>
    <row r="1279" spans="1:10" x14ac:dyDescent="0.25">
      <c r="A1279" t="s">
        <v>8</v>
      </c>
      <c r="B1279" t="s">
        <v>3659</v>
      </c>
      <c r="C1279" t="s">
        <v>3660</v>
      </c>
      <c r="D1279">
        <v>1</v>
      </c>
      <c r="E1279" t="s">
        <v>3273</v>
      </c>
      <c r="F1279" t="s">
        <v>3274</v>
      </c>
      <c r="G1279" s="1"/>
      <c r="H1279" t="str">
        <f>"3250616616042"</f>
        <v>3250616616042</v>
      </c>
      <c r="J1279" t="s">
        <v>3661</v>
      </c>
    </row>
    <row r="1280" spans="1:10" x14ac:dyDescent="0.25">
      <c r="A1280" t="s">
        <v>8</v>
      </c>
      <c r="B1280" t="s">
        <v>3662</v>
      </c>
      <c r="C1280" t="s">
        <v>3663</v>
      </c>
      <c r="D1280">
        <v>1</v>
      </c>
      <c r="E1280" t="s">
        <v>3273</v>
      </c>
      <c r="F1280" t="s">
        <v>3274</v>
      </c>
      <c r="G1280" s="1"/>
      <c r="H1280" t="str">
        <f>"3250616616066"</f>
        <v>3250616616066</v>
      </c>
      <c r="J1280" t="s">
        <v>3664</v>
      </c>
    </row>
    <row r="1281" spans="1:10" x14ac:dyDescent="0.25">
      <c r="A1281" t="s">
        <v>8</v>
      </c>
      <c r="B1281" t="s">
        <v>3665</v>
      </c>
      <c r="C1281" t="s">
        <v>3666</v>
      </c>
      <c r="D1281">
        <v>1</v>
      </c>
      <c r="E1281" t="s">
        <v>3273</v>
      </c>
      <c r="F1281" t="s">
        <v>3274</v>
      </c>
      <c r="G1281" s="1"/>
      <c r="H1281" t="str">
        <f>"3250616616073"</f>
        <v>3250616616073</v>
      </c>
      <c r="J1281" t="s">
        <v>3667</v>
      </c>
    </row>
    <row r="1282" spans="1:10" x14ac:dyDescent="0.25">
      <c r="A1282" t="s">
        <v>8</v>
      </c>
      <c r="B1282" t="s">
        <v>3668</v>
      </c>
      <c r="C1282" t="s">
        <v>3669</v>
      </c>
      <c r="D1282">
        <v>1</v>
      </c>
      <c r="E1282" t="s">
        <v>3273</v>
      </c>
      <c r="F1282" t="s">
        <v>3274</v>
      </c>
      <c r="G1282" s="1"/>
      <c r="H1282" t="str">
        <f>"3250616616080"</f>
        <v>3250616616080</v>
      </c>
      <c r="J1282" t="s">
        <v>3670</v>
      </c>
    </row>
    <row r="1283" spans="1:10" x14ac:dyDescent="0.25">
      <c r="A1283" t="s">
        <v>8</v>
      </c>
      <c r="B1283" t="s">
        <v>3671</v>
      </c>
      <c r="C1283" t="s">
        <v>3672</v>
      </c>
      <c r="D1283">
        <v>1</v>
      </c>
      <c r="E1283" t="s">
        <v>3273</v>
      </c>
      <c r="F1283" t="s">
        <v>3274</v>
      </c>
      <c r="G1283" s="1"/>
      <c r="H1283" t="str">
        <f>"3250618100846"</f>
        <v>3250618100846</v>
      </c>
      <c r="J1283" t="s">
        <v>3673</v>
      </c>
    </row>
    <row r="1284" spans="1:10" x14ac:dyDescent="0.25">
      <c r="A1284" t="s">
        <v>8</v>
      </c>
      <c r="B1284" t="s">
        <v>3674</v>
      </c>
      <c r="C1284" t="s">
        <v>3675</v>
      </c>
      <c r="D1284">
        <v>1</v>
      </c>
      <c r="E1284" t="s">
        <v>3273</v>
      </c>
      <c r="F1284" t="s">
        <v>3274</v>
      </c>
      <c r="G1284" s="1"/>
      <c r="H1284" t="str">
        <f>"3250616000513"</f>
        <v>3250616000513</v>
      </c>
      <c r="J1284" t="s">
        <v>3676</v>
      </c>
    </row>
    <row r="1285" spans="1:10" x14ac:dyDescent="0.25">
      <c r="A1285" t="s">
        <v>8</v>
      </c>
      <c r="B1285" t="s">
        <v>3677</v>
      </c>
      <c r="C1285" t="s">
        <v>3678</v>
      </c>
      <c r="D1285">
        <v>1</v>
      </c>
      <c r="E1285" t="s">
        <v>3273</v>
      </c>
      <c r="F1285" t="s">
        <v>3274</v>
      </c>
      <c r="G1285" s="1"/>
      <c r="H1285" t="str">
        <f>"3250618100853"</f>
        <v>3250618100853</v>
      </c>
      <c r="J1285" t="s">
        <v>3679</v>
      </c>
    </row>
    <row r="1286" spans="1:10" x14ac:dyDescent="0.25">
      <c r="A1286" t="s">
        <v>8</v>
      </c>
      <c r="B1286" t="s">
        <v>3680</v>
      </c>
      <c r="C1286" t="s">
        <v>3681</v>
      </c>
      <c r="D1286">
        <v>1</v>
      </c>
      <c r="E1286" t="s">
        <v>3682</v>
      </c>
      <c r="F1286" t="s">
        <v>3683</v>
      </c>
      <c r="G1286" s="1"/>
      <c r="H1286" t="str">
        <f>"3250612845828"</f>
        <v>3250612845828</v>
      </c>
      <c r="J1286" t="s">
        <v>3684</v>
      </c>
    </row>
    <row r="1287" spans="1:10" x14ac:dyDescent="0.25">
      <c r="A1287" t="s">
        <v>8</v>
      </c>
      <c r="B1287" t="s">
        <v>3685</v>
      </c>
      <c r="C1287" t="s">
        <v>3686</v>
      </c>
      <c r="D1287">
        <v>1</v>
      </c>
      <c r="E1287" t="s">
        <v>3682</v>
      </c>
      <c r="F1287" t="s">
        <v>3683</v>
      </c>
      <c r="G1287" s="1"/>
      <c r="H1287" t="str">
        <f>"3250612845842"</f>
        <v>3250612845842</v>
      </c>
      <c r="J1287" t="s">
        <v>3687</v>
      </c>
    </row>
    <row r="1288" spans="1:10" x14ac:dyDescent="0.25">
      <c r="A1288" t="s">
        <v>8</v>
      </c>
      <c r="B1288" t="s">
        <v>3688</v>
      </c>
      <c r="C1288" t="s">
        <v>3689</v>
      </c>
      <c r="D1288">
        <v>1</v>
      </c>
      <c r="E1288" t="s">
        <v>3682</v>
      </c>
      <c r="F1288" t="s">
        <v>3683</v>
      </c>
      <c r="G1288" s="1"/>
      <c r="H1288" t="str">
        <f>"3250612845811"</f>
        <v>3250612845811</v>
      </c>
      <c r="J1288" t="s">
        <v>3690</v>
      </c>
    </row>
    <row r="1289" spans="1:10" x14ac:dyDescent="0.25">
      <c r="A1289" t="s">
        <v>8</v>
      </c>
      <c r="B1289" t="s">
        <v>3691</v>
      </c>
      <c r="C1289" t="s">
        <v>3692</v>
      </c>
      <c r="D1289">
        <v>1</v>
      </c>
      <c r="E1289" t="s">
        <v>3682</v>
      </c>
      <c r="F1289" t="s">
        <v>3683</v>
      </c>
      <c r="G1289" s="1"/>
      <c r="H1289" t="str">
        <f>"3250612845835"</f>
        <v>3250612845835</v>
      </c>
      <c r="J1289" t="s">
        <v>3693</v>
      </c>
    </row>
    <row r="1290" spans="1:10" x14ac:dyDescent="0.25">
      <c r="A1290" t="s">
        <v>8</v>
      </c>
      <c r="B1290" t="s">
        <v>3694</v>
      </c>
      <c r="C1290" t="s">
        <v>3695</v>
      </c>
      <c r="D1290">
        <v>1</v>
      </c>
      <c r="E1290" t="s">
        <v>3696</v>
      </c>
      <c r="F1290" t="s">
        <v>3697</v>
      </c>
      <c r="G1290" s="1"/>
      <c r="H1290" t="str">
        <f>"3250613119713"</f>
        <v>3250613119713</v>
      </c>
      <c r="J1290" t="s">
        <v>3698</v>
      </c>
    </row>
    <row r="1291" spans="1:10" x14ac:dyDescent="0.25">
      <c r="A1291" t="s">
        <v>8</v>
      </c>
      <c r="B1291" t="s">
        <v>3699</v>
      </c>
      <c r="C1291" t="s">
        <v>3700</v>
      </c>
      <c r="D1291">
        <v>1</v>
      </c>
      <c r="E1291" t="s">
        <v>3696</v>
      </c>
      <c r="F1291" t="s">
        <v>3697</v>
      </c>
      <c r="G1291" s="1"/>
      <c r="H1291" t="str">
        <f>"3250613140342"</f>
        <v>3250613140342</v>
      </c>
      <c r="J1291" t="s">
        <v>3701</v>
      </c>
    </row>
    <row r="1292" spans="1:10" x14ac:dyDescent="0.25">
      <c r="A1292" t="s">
        <v>8</v>
      </c>
      <c r="B1292" t="s">
        <v>3702</v>
      </c>
      <c r="C1292" t="s">
        <v>3703</v>
      </c>
      <c r="D1292">
        <v>1</v>
      </c>
      <c r="E1292" t="s">
        <v>3696</v>
      </c>
      <c r="F1292" t="s">
        <v>3697</v>
      </c>
      <c r="G1292" s="1"/>
      <c r="H1292" t="str">
        <f>"3250613140410"</f>
        <v>3250613140410</v>
      </c>
      <c r="J1292" t="s">
        <v>3704</v>
      </c>
    </row>
    <row r="1293" spans="1:10" x14ac:dyDescent="0.25">
      <c r="A1293" t="s">
        <v>8</v>
      </c>
      <c r="B1293" t="s">
        <v>3705</v>
      </c>
      <c r="C1293" t="s">
        <v>3706</v>
      </c>
      <c r="D1293">
        <v>1</v>
      </c>
      <c r="E1293" t="s">
        <v>3696</v>
      </c>
      <c r="F1293" t="s">
        <v>3697</v>
      </c>
      <c r="G1293" s="1"/>
      <c r="H1293" t="str">
        <f>"3250613136659"</f>
        <v>3250613136659</v>
      </c>
      <c r="J1293" t="s">
        <v>3707</v>
      </c>
    </row>
    <row r="1294" spans="1:10" x14ac:dyDescent="0.25">
      <c r="A1294" t="s">
        <v>8</v>
      </c>
      <c r="B1294" t="s">
        <v>3708</v>
      </c>
      <c r="C1294" t="s">
        <v>3709</v>
      </c>
      <c r="D1294">
        <v>1</v>
      </c>
      <c r="E1294" t="s">
        <v>3696</v>
      </c>
      <c r="F1294" t="s">
        <v>3697</v>
      </c>
      <c r="G1294" s="1"/>
      <c r="H1294" t="str">
        <f>"3250613363314"</f>
        <v>3250613363314</v>
      </c>
      <c r="J1294" t="s">
        <v>3710</v>
      </c>
    </row>
    <row r="1295" spans="1:10" x14ac:dyDescent="0.25">
      <c r="A1295" t="s">
        <v>8</v>
      </c>
      <c r="B1295" t="s">
        <v>3711</v>
      </c>
      <c r="C1295" t="s">
        <v>3712</v>
      </c>
      <c r="D1295">
        <v>1</v>
      </c>
      <c r="E1295" t="s">
        <v>3696</v>
      </c>
      <c r="F1295" t="s">
        <v>3697</v>
      </c>
      <c r="G1295" s="1"/>
      <c r="H1295" t="str">
        <f>"3250613130329"</f>
        <v>3250613130329</v>
      </c>
      <c r="J1295" t="s">
        <v>3713</v>
      </c>
    </row>
    <row r="1296" spans="1:10" x14ac:dyDescent="0.25">
      <c r="A1296" t="s">
        <v>8</v>
      </c>
      <c r="B1296" t="s">
        <v>3714</v>
      </c>
      <c r="C1296" t="s">
        <v>3715</v>
      </c>
      <c r="D1296">
        <v>1</v>
      </c>
      <c r="E1296" t="s">
        <v>3696</v>
      </c>
      <c r="F1296" t="s">
        <v>3697</v>
      </c>
      <c r="G1296" s="1"/>
      <c r="H1296" t="str">
        <f>"3250613130473"</f>
        <v>3250613130473</v>
      </c>
      <c r="J1296" t="s">
        <v>3716</v>
      </c>
    </row>
    <row r="1297" spans="1:10" x14ac:dyDescent="0.25">
      <c r="A1297" t="s">
        <v>8</v>
      </c>
      <c r="B1297" t="s">
        <v>3717</v>
      </c>
      <c r="C1297" t="s">
        <v>3718</v>
      </c>
      <c r="D1297">
        <v>1</v>
      </c>
      <c r="E1297" t="s">
        <v>3696</v>
      </c>
      <c r="F1297" t="s">
        <v>3697</v>
      </c>
      <c r="G1297" s="1"/>
      <c r="H1297" t="str">
        <f>"3250613130916"</f>
        <v>3250613130916</v>
      </c>
      <c r="J1297" t="s">
        <v>3719</v>
      </c>
    </row>
    <row r="1298" spans="1:10" x14ac:dyDescent="0.25">
      <c r="A1298" t="s">
        <v>8</v>
      </c>
      <c r="B1298" t="s">
        <v>3720</v>
      </c>
      <c r="C1298" t="s">
        <v>3721</v>
      </c>
      <c r="D1298">
        <v>1</v>
      </c>
      <c r="E1298" t="s">
        <v>3696</v>
      </c>
      <c r="F1298" t="s">
        <v>3697</v>
      </c>
      <c r="G1298" s="1"/>
      <c r="H1298" t="str">
        <f>"3250613190040"</f>
        <v>3250613190040</v>
      </c>
      <c r="J1298" t="s">
        <v>3722</v>
      </c>
    </row>
    <row r="1299" spans="1:10" x14ac:dyDescent="0.25">
      <c r="A1299" t="s">
        <v>8</v>
      </c>
      <c r="B1299" t="s">
        <v>3723</v>
      </c>
      <c r="C1299" t="s">
        <v>3724</v>
      </c>
      <c r="D1299">
        <v>1</v>
      </c>
      <c r="E1299" t="s">
        <v>3696</v>
      </c>
      <c r="F1299" t="s">
        <v>3697</v>
      </c>
      <c r="G1299" s="1"/>
      <c r="H1299" t="str">
        <f>"3250613191238"</f>
        <v>3250613191238</v>
      </c>
      <c r="J1299" t="s">
        <v>3725</v>
      </c>
    </row>
    <row r="1300" spans="1:10" x14ac:dyDescent="0.25">
      <c r="A1300" t="s">
        <v>8</v>
      </c>
      <c r="B1300" t="s">
        <v>3726</v>
      </c>
      <c r="C1300" t="s">
        <v>3727</v>
      </c>
      <c r="D1300">
        <v>1</v>
      </c>
      <c r="E1300" t="s">
        <v>3696</v>
      </c>
      <c r="F1300" t="s">
        <v>3697</v>
      </c>
      <c r="G1300" s="1"/>
      <c r="H1300" t="str">
        <f>"3250613130817"</f>
        <v>3250613130817</v>
      </c>
      <c r="J1300" t="s">
        <v>3728</v>
      </c>
    </row>
    <row r="1301" spans="1:10" x14ac:dyDescent="0.25">
      <c r="A1301" t="s">
        <v>8</v>
      </c>
      <c r="B1301" t="s">
        <v>3729</v>
      </c>
      <c r="C1301" t="s">
        <v>3730</v>
      </c>
      <c r="D1301">
        <v>1</v>
      </c>
      <c r="E1301" t="s">
        <v>3696</v>
      </c>
      <c r="F1301" t="s">
        <v>3697</v>
      </c>
      <c r="G1301" s="1"/>
      <c r="H1301" t="str">
        <f>"3250613130848"</f>
        <v>3250613130848</v>
      </c>
      <c r="J1301" t="s">
        <v>3731</v>
      </c>
    </row>
    <row r="1302" spans="1:10" x14ac:dyDescent="0.25">
      <c r="A1302" t="s">
        <v>8</v>
      </c>
      <c r="B1302" t="s">
        <v>3732</v>
      </c>
      <c r="C1302" t="s">
        <v>3733</v>
      </c>
      <c r="D1302">
        <v>1</v>
      </c>
      <c r="E1302" t="s">
        <v>3696</v>
      </c>
      <c r="F1302" t="s">
        <v>3697</v>
      </c>
      <c r="G1302" s="1"/>
      <c r="H1302" t="str">
        <f>"3250613349738"</f>
        <v>3250613349738</v>
      </c>
      <c r="J1302" t="s">
        <v>3734</v>
      </c>
    </row>
    <row r="1303" spans="1:10" x14ac:dyDescent="0.25">
      <c r="A1303" t="s">
        <v>8</v>
      </c>
      <c r="B1303" t="s">
        <v>3735</v>
      </c>
      <c r="C1303" t="s">
        <v>3736</v>
      </c>
      <c r="D1303">
        <v>1</v>
      </c>
      <c r="E1303" t="s">
        <v>3696</v>
      </c>
      <c r="F1303" t="s">
        <v>3697</v>
      </c>
      <c r="G1303" s="1"/>
      <c r="H1303" t="str">
        <f>"3250613281366"</f>
        <v>3250613281366</v>
      </c>
      <c r="J1303" t="s">
        <v>3737</v>
      </c>
    </row>
    <row r="1304" spans="1:10" x14ac:dyDescent="0.25">
      <c r="A1304" t="s">
        <v>8</v>
      </c>
      <c r="B1304" t="s">
        <v>3738</v>
      </c>
      <c r="C1304" t="s">
        <v>3739</v>
      </c>
      <c r="D1304">
        <v>1</v>
      </c>
      <c r="E1304" t="s">
        <v>3696</v>
      </c>
      <c r="F1304" t="s">
        <v>3697</v>
      </c>
      <c r="G1304" s="1"/>
      <c r="H1304" t="str">
        <f>"3250612388325"</f>
        <v>3250612388325</v>
      </c>
      <c r="J1304" t="s">
        <v>3740</v>
      </c>
    </row>
    <row r="1305" spans="1:10" x14ac:dyDescent="0.25">
      <c r="A1305" t="s">
        <v>8</v>
      </c>
      <c r="B1305" t="s">
        <v>3741</v>
      </c>
      <c r="C1305" t="s">
        <v>3742</v>
      </c>
      <c r="D1305">
        <v>1</v>
      </c>
      <c r="E1305" t="s">
        <v>3696</v>
      </c>
      <c r="F1305" t="s">
        <v>3697</v>
      </c>
      <c r="G1305" s="1"/>
      <c r="H1305" t="str">
        <f>"3250613113582"</f>
        <v>3250613113582</v>
      </c>
      <c r="J1305" t="s">
        <v>3743</v>
      </c>
    </row>
    <row r="1306" spans="1:10" x14ac:dyDescent="0.25">
      <c r="A1306" t="s">
        <v>8</v>
      </c>
      <c r="B1306" t="s">
        <v>3744</v>
      </c>
      <c r="C1306" t="s">
        <v>3745</v>
      </c>
      <c r="D1306">
        <v>1</v>
      </c>
      <c r="E1306" t="s">
        <v>3696</v>
      </c>
      <c r="F1306" t="s">
        <v>3697</v>
      </c>
      <c r="G1306" s="1"/>
      <c r="H1306" t="str">
        <f>"3250613119706"</f>
        <v>3250613119706</v>
      </c>
      <c r="J1306" t="s">
        <v>3746</v>
      </c>
    </row>
    <row r="1307" spans="1:10" x14ac:dyDescent="0.25">
      <c r="A1307" t="s">
        <v>8</v>
      </c>
      <c r="B1307" t="s">
        <v>3747</v>
      </c>
      <c r="C1307" t="s">
        <v>3748</v>
      </c>
      <c r="D1307">
        <v>1</v>
      </c>
      <c r="E1307" t="s">
        <v>3696</v>
      </c>
      <c r="F1307" t="s">
        <v>3697</v>
      </c>
      <c r="G1307" s="1"/>
      <c r="H1307" t="str">
        <f>"3250613140335"</f>
        <v>3250613140335</v>
      </c>
      <c r="J1307" t="s">
        <v>3749</v>
      </c>
    </row>
    <row r="1308" spans="1:10" x14ac:dyDescent="0.25">
      <c r="A1308" t="s">
        <v>8</v>
      </c>
      <c r="B1308" t="s">
        <v>3750</v>
      </c>
      <c r="C1308" t="s">
        <v>3751</v>
      </c>
      <c r="D1308">
        <v>1</v>
      </c>
      <c r="E1308" t="s">
        <v>3696</v>
      </c>
      <c r="F1308" t="s">
        <v>3697</v>
      </c>
      <c r="G1308" s="1"/>
      <c r="H1308" t="str">
        <f>"3250613136642"</f>
        <v>3250613136642</v>
      </c>
      <c r="J1308" t="s">
        <v>3752</v>
      </c>
    </row>
    <row r="1309" spans="1:10" x14ac:dyDescent="0.25">
      <c r="A1309" t="s">
        <v>8</v>
      </c>
      <c r="B1309" t="s">
        <v>3753</v>
      </c>
      <c r="C1309" t="s">
        <v>3754</v>
      </c>
      <c r="D1309">
        <v>1</v>
      </c>
      <c r="E1309" t="s">
        <v>3696</v>
      </c>
      <c r="F1309" t="s">
        <v>3697</v>
      </c>
      <c r="G1309" s="1"/>
      <c r="H1309" t="str">
        <f>"3250613363277"</f>
        <v>3250613363277</v>
      </c>
      <c r="J1309" t="s">
        <v>3755</v>
      </c>
    </row>
    <row r="1310" spans="1:10" x14ac:dyDescent="0.25">
      <c r="A1310" t="s">
        <v>8</v>
      </c>
      <c r="B1310" t="s">
        <v>3756</v>
      </c>
      <c r="C1310" t="s">
        <v>3757</v>
      </c>
      <c r="D1310">
        <v>1</v>
      </c>
      <c r="E1310" t="s">
        <v>3696</v>
      </c>
      <c r="F1310" t="s">
        <v>3697</v>
      </c>
      <c r="G1310" s="1"/>
      <c r="H1310" t="str">
        <f>"3250613349783"</f>
        <v>3250613349783</v>
      </c>
      <c r="J1310" t="s">
        <v>3758</v>
      </c>
    </row>
    <row r="1311" spans="1:10" x14ac:dyDescent="0.25">
      <c r="A1311" t="s">
        <v>8</v>
      </c>
      <c r="B1311" t="s">
        <v>3759</v>
      </c>
      <c r="C1311" t="s">
        <v>3760</v>
      </c>
      <c r="D1311">
        <v>1</v>
      </c>
      <c r="E1311" t="s">
        <v>3696</v>
      </c>
      <c r="F1311" t="s">
        <v>3697</v>
      </c>
      <c r="G1311" s="1"/>
      <c r="H1311" t="str">
        <f>"3250613349967"</f>
        <v>3250613349967</v>
      </c>
      <c r="J1311" t="s">
        <v>3761</v>
      </c>
    </row>
    <row r="1312" spans="1:10" x14ac:dyDescent="0.25">
      <c r="A1312" t="s">
        <v>8</v>
      </c>
      <c r="B1312" t="s">
        <v>3762</v>
      </c>
      <c r="C1312" t="s">
        <v>3763</v>
      </c>
      <c r="D1312">
        <v>1</v>
      </c>
      <c r="E1312" t="s">
        <v>3696</v>
      </c>
      <c r="F1312" t="s">
        <v>3697</v>
      </c>
      <c r="G1312" s="1"/>
      <c r="H1312" t="str">
        <f>"3250613130886"</f>
        <v>3250613130886</v>
      </c>
      <c r="J1312" t="s">
        <v>3764</v>
      </c>
    </row>
    <row r="1313" spans="1:10" x14ac:dyDescent="0.25">
      <c r="A1313" t="s">
        <v>8</v>
      </c>
      <c r="B1313" t="s">
        <v>3765</v>
      </c>
      <c r="C1313" t="s">
        <v>3766</v>
      </c>
      <c r="D1313">
        <v>1</v>
      </c>
      <c r="E1313" t="s">
        <v>3696</v>
      </c>
      <c r="F1313" t="s">
        <v>3697</v>
      </c>
      <c r="G1313" s="1"/>
      <c r="H1313" t="str">
        <f>"3250613190033"</f>
        <v>3250613190033</v>
      </c>
      <c r="J1313" t="s">
        <v>3767</v>
      </c>
    </row>
    <row r="1314" spans="1:10" x14ac:dyDescent="0.25">
      <c r="A1314" t="s">
        <v>8</v>
      </c>
      <c r="B1314" t="s">
        <v>3768</v>
      </c>
      <c r="C1314" t="s">
        <v>3769</v>
      </c>
      <c r="D1314">
        <v>1</v>
      </c>
      <c r="E1314" t="s">
        <v>3696</v>
      </c>
      <c r="F1314" t="s">
        <v>3697</v>
      </c>
      <c r="G1314" s="1"/>
      <c r="H1314" t="str">
        <f>"3250613140571"</f>
        <v>3250613140571</v>
      </c>
      <c r="J1314" t="s">
        <v>3770</v>
      </c>
    </row>
    <row r="1315" spans="1:10" x14ac:dyDescent="0.25">
      <c r="A1315" t="s">
        <v>8</v>
      </c>
      <c r="B1315" t="s">
        <v>3771</v>
      </c>
      <c r="C1315" t="s">
        <v>3772</v>
      </c>
      <c r="D1315">
        <v>1</v>
      </c>
      <c r="E1315" t="s">
        <v>3696</v>
      </c>
      <c r="F1315" t="s">
        <v>3697</v>
      </c>
      <c r="G1315" s="1"/>
      <c r="H1315" t="str">
        <f>"3250613130947"</f>
        <v>3250613130947</v>
      </c>
      <c r="J1315" t="s">
        <v>3773</v>
      </c>
    </row>
    <row r="1316" spans="1:10" x14ac:dyDescent="0.25">
      <c r="A1316" t="s">
        <v>8</v>
      </c>
      <c r="B1316" t="s">
        <v>3774</v>
      </c>
      <c r="C1316" t="s">
        <v>3775</v>
      </c>
      <c r="D1316">
        <v>1</v>
      </c>
      <c r="E1316" t="s">
        <v>3696</v>
      </c>
      <c r="F1316" t="s">
        <v>3697</v>
      </c>
      <c r="G1316" s="1"/>
      <c r="H1316" t="str">
        <f>"3250612388318"</f>
        <v>3250612388318</v>
      </c>
      <c r="J1316" t="s">
        <v>3776</v>
      </c>
    </row>
    <row r="1317" spans="1:10" x14ac:dyDescent="0.25">
      <c r="A1317" t="s">
        <v>8</v>
      </c>
      <c r="B1317" t="s">
        <v>3777</v>
      </c>
      <c r="C1317" t="s">
        <v>3778</v>
      </c>
      <c r="D1317">
        <v>1</v>
      </c>
      <c r="E1317" t="s">
        <v>3696</v>
      </c>
      <c r="F1317" t="s">
        <v>3697</v>
      </c>
      <c r="G1317" s="1"/>
      <c r="H1317" t="str">
        <f>"3250613119973"</f>
        <v>3250613119973</v>
      </c>
      <c r="J1317" t="s">
        <v>3779</v>
      </c>
    </row>
    <row r="1318" spans="1:10" x14ac:dyDescent="0.25">
      <c r="A1318" t="s">
        <v>8</v>
      </c>
      <c r="B1318" t="s">
        <v>3780</v>
      </c>
      <c r="C1318" t="s">
        <v>3781</v>
      </c>
      <c r="D1318">
        <v>1</v>
      </c>
      <c r="E1318" t="s">
        <v>3696</v>
      </c>
      <c r="F1318" t="s">
        <v>3697</v>
      </c>
      <c r="G1318" s="1"/>
      <c r="H1318" t="str">
        <f>"3250613121068"</f>
        <v>3250613121068</v>
      </c>
      <c r="J1318" t="s">
        <v>3782</v>
      </c>
    </row>
    <row r="1319" spans="1:10" x14ac:dyDescent="0.25">
      <c r="A1319" t="s">
        <v>8</v>
      </c>
      <c r="B1319" t="s">
        <v>3783</v>
      </c>
      <c r="C1319" t="s">
        <v>3784</v>
      </c>
      <c r="D1319">
        <v>1</v>
      </c>
      <c r="E1319" t="s">
        <v>3696</v>
      </c>
      <c r="F1319" t="s">
        <v>3697</v>
      </c>
      <c r="G1319" s="1"/>
      <c r="H1319" t="str">
        <f>"3250613136635"</f>
        <v>3250613136635</v>
      </c>
      <c r="J1319" t="s">
        <v>2080</v>
      </c>
    </row>
    <row r="1320" spans="1:10" x14ac:dyDescent="0.25">
      <c r="A1320" t="s">
        <v>8</v>
      </c>
      <c r="B1320" t="s">
        <v>3785</v>
      </c>
      <c r="C1320" t="s">
        <v>3786</v>
      </c>
      <c r="D1320">
        <v>1</v>
      </c>
      <c r="E1320" t="s">
        <v>3696</v>
      </c>
      <c r="F1320" t="s">
        <v>3697</v>
      </c>
      <c r="G1320" s="1"/>
      <c r="H1320" t="str">
        <f>"3250613363291"</f>
        <v>3250613363291</v>
      </c>
      <c r="J1320" t="s">
        <v>3787</v>
      </c>
    </row>
    <row r="1321" spans="1:10" x14ac:dyDescent="0.25">
      <c r="A1321" t="s">
        <v>8</v>
      </c>
      <c r="B1321" t="s">
        <v>3788</v>
      </c>
      <c r="C1321" t="s">
        <v>3789</v>
      </c>
      <c r="D1321">
        <v>1</v>
      </c>
      <c r="E1321" t="s">
        <v>3696</v>
      </c>
      <c r="F1321" t="s">
        <v>3697</v>
      </c>
      <c r="G1321" s="1"/>
      <c r="H1321" t="str">
        <f>"3250613349790"</f>
        <v>3250613349790</v>
      </c>
      <c r="J1321" t="s">
        <v>3790</v>
      </c>
    </row>
    <row r="1322" spans="1:10" x14ac:dyDescent="0.25">
      <c r="A1322" t="s">
        <v>8</v>
      </c>
      <c r="B1322" t="s">
        <v>3791</v>
      </c>
      <c r="C1322" t="s">
        <v>3792</v>
      </c>
      <c r="D1322">
        <v>1</v>
      </c>
      <c r="E1322" t="s">
        <v>3696</v>
      </c>
      <c r="F1322" t="s">
        <v>3697</v>
      </c>
      <c r="G1322" s="1"/>
      <c r="H1322" t="str">
        <f>"3250613130350"</f>
        <v>3250613130350</v>
      </c>
      <c r="J1322" t="s">
        <v>3793</v>
      </c>
    </row>
    <row r="1323" spans="1:10" x14ac:dyDescent="0.25">
      <c r="A1323" t="s">
        <v>8</v>
      </c>
      <c r="B1323" t="s">
        <v>3794</v>
      </c>
      <c r="C1323" t="s">
        <v>3795</v>
      </c>
      <c r="D1323">
        <v>1</v>
      </c>
      <c r="E1323" t="s">
        <v>3696</v>
      </c>
      <c r="F1323" t="s">
        <v>3697</v>
      </c>
      <c r="G1323" s="1"/>
      <c r="H1323" t="str">
        <f>"3250613130466"</f>
        <v>3250613130466</v>
      </c>
      <c r="J1323" t="s">
        <v>3796</v>
      </c>
    </row>
    <row r="1324" spans="1:10" x14ac:dyDescent="0.25">
      <c r="A1324" t="s">
        <v>8</v>
      </c>
      <c r="B1324" t="s">
        <v>3797</v>
      </c>
      <c r="C1324" t="s">
        <v>3798</v>
      </c>
      <c r="D1324">
        <v>1</v>
      </c>
      <c r="E1324" t="s">
        <v>3696</v>
      </c>
      <c r="F1324" t="s">
        <v>3697</v>
      </c>
      <c r="G1324" s="1"/>
      <c r="H1324" t="str">
        <f>"3250613190026"</f>
        <v>3250613190026</v>
      </c>
      <c r="J1324" t="s">
        <v>3799</v>
      </c>
    </row>
    <row r="1325" spans="1:10" x14ac:dyDescent="0.25">
      <c r="A1325" t="s">
        <v>8</v>
      </c>
      <c r="B1325" t="s">
        <v>3800</v>
      </c>
      <c r="C1325" t="s">
        <v>3801</v>
      </c>
      <c r="D1325">
        <v>1</v>
      </c>
      <c r="E1325" t="s">
        <v>3696</v>
      </c>
      <c r="F1325" t="s">
        <v>3697</v>
      </c>
      <c r="G1325" s="1"/>
      <c r="H1325" t="str">
        <f>"3250613190200"</f>
        <v>3250613190200</v>
      </c>
      <c r="J1325" t="s">
        <v>3802</v>
      </c>
    </row>
    <row r="1326" spans="1:10" x14ac:dyDescent="0.25">
      <c r="A1326" t="s">
        <v>8</v>
      </c>
      <c r="B1326" t="s">
        <v>3803</v>
      </c>
      <c r="C1326" t="s">
        <v>3804</v>
      </c>
      <c r="D1326">
        <v>1</v>
      </c>
      <c r="E1326" t="s">
        <v>3696</v>
      </c>
      <c r="F1326" t="s">
        <v>3697</v>
      </c>
      <c r="G1326" s="1"/>
      <c r="H1326" t="str">
        <f>"3250613140564"</f>
        <v>3250613140564</v>
      </c>
      <c r="J1326" t="s">
        <v>3805</v>
      </c>
    </row>
    <row r="1327" spans="1:10" x14ac:dyDescent="0.25">
      <c r="A1327" t="s">
        <v>8</v>
      </c>
      <c r="B1327" t="s">
        <v>3806</v>
      </c>
      <c r="C1327" t="s">
        <v>3807</v>
      </c>
      <c r="D1327">
        <v>1</v>
      </c>
      <c r="E1327" t="s">
        <v>3696</v>
      </c>
      <c r="F1327" t="s">
        <v>3697</v>
      </c>
      <c r="G1327" s="1"/>
      <c r="H1327" t="str">
        <f>"3250613130800"</f>
        <v>3250613130800</v>
      </c>
      <c r="J1327" t="s">
        <v>3808</v>
      </c>
    </row>
    <row r="1328" spans="1:10" x14ac:dyDescent="0.25">
      <c r="A1328" t="s">
        <v>8</v>
      </c>
      <c r="B1328" t="s">
        <v>3809</v>
      </c>
      <c r="C1328" t="s">
        <v>3810</v>
      </c>
      <c r="D1328">
        <v>1</v>
      </c>
      <c r="E1328" t="s">
        <v>3696</v>
      </c>
      <c r="F1328" t="s">
        <v>3697</v>
      </c>
      <c r="G1328" s="1"/>
      <c r="H1328" t="str">
        <f>"3250613349905"</f>
        <v>3250613349905</v>
      </c>
      <c r="J1328" t="s">
        <v>3811</v>
      </c>
    </row>
    <row r="1329" spans="1:10" x14ac:dyDescent="0.25">
      <c r="A1329" t="s">
        <v>8</v>
      </c>
      <c r="B1329" t="s">
        <v>3812</v>
      </c>
      <c r="C1329" t="s">
        <v>3813</v>
      </c>
      <c r="D1329">
        <v>1</v>
      </c>
      <c r="E1329" t="s">
        <v>3696</v>
      </c>
      <c r="F1329" t="s">
        <v>3697</v>
      </c>
      <c r="G1329" s="1"/>
      <c r="H1329" t="str">
        <f>"3250613113544"</f>
        <v>3250613113544</v>
      </c>
      <c r="J1329" t="s">
        <v>3814</v>
      </c>
    </row>
    <row r="1330" spans="1:10" x14ac:dyDescent="0.25">
      <c r="A1330" t="s">
        <v>8</v>
      </c>
      <c r="B1330" t="s">
        <v>3815</v>
      </c>
      <c r="C1330" t="s">
        <v>3816</v>
      </c>
      <c r="D1330">
        <v>1</v>
      </c>
      <c r="E1330" t="s">
        <v>3696</v>
      </c>
      <c r="F1330" t="s">
        <v>3697</v>
      </c>
      <c r="G1330" s="1"/>
      <c r="H1330" t="str">
        <f>"3250613119966"</f>
        <v>3250613119966</v>
      </c>
      <c r="J1330" t="s">
        <v>3817</v>
      </c>
    </row>
    <row r="1331" spans="1:10" x14ac:dyDescent="0.25">
      <c r="A1331" t="s">
        <v>8</v>
      </c>
      <c r="B1331" t="s">
        <v>3818</v>
      </c>
      <c r="C1331" t="s">
        <v>3819</v>
      </c>
      <c r="D1331">
        <v>1</v>
      </c>
      <c r="E1331" t="s">
        <v>3696</v>
      </c>
      <c r="F1331" t="s">
        <v>3697</v>
      </c>
      <c r="G1331" s="1"/>
      <c r="H1331" t="str">
        <f>"3250613121075"</f>
        <v>3250613121075</v>
      </c>
      <c r="J1331" t="s">
        <v>3820</v>
      </c>
    </row>
    <row r="1332" spans="1:10" x14ac:dyDescent="0.25">
      <c r="A1332" t="s">
        <v>8</v>
      </c>
      <c r="B1332" t="s">
        <v>3821</v>
      </c>
      <c r="C1332" t="s">
        <v>3822</v>
      </c>
      <c r="D1332">
        <v>1</v>
      </c>
      <c r="E1332" t="s">
        <v>3696</v>
      </c>
      <c r="F1332" t="s">
        <v>3697</v>
      </c>
      <c r="G1332" s="1"/>
      <c r="H1332" t="str">
        <f>"3250613349776"</f>
        <v>3250613349776</v>
      </c>
      <c r="J1332" t="s">
        <v>3823</v>
      </c>
    </row>
    <row r="1333" spans="1:10" x14ac:dyDescent="0.25">
      <c r="A1333" t="s">
        <v>8</v>
      </c>
      <c r="B1333" t="s">
        <v>3824</v>
      </c>
      <c r="C1333" t="s">
        <v>3825</v>
      </c>
      <c r="D1333">
        <v>1</v>
      </c>
      <c r="E1333" t="s">
        <v>3696</v>
      </c>
      <c r="F1333" t="s">
        <v>3697</v>
      </c>
      <c r="G1333" s="1"/>
      <c r="H1333" t="str">
        <f>"3250613130336"</f>
        <v>3250613130336</v>
      </c>
      <c r="J1333" t="s">
        <v>3826</v>
      </c>
    </row>
    <row r="1334" spans="1:10" x14ac:dyDescent="0.25">
      <c r="A1334" t="s">
        <v>8</v>
      </c>
      <c r="B1334" t="s">
        <v>3827</v>
      </c>
      <c r="C1334" t="s">
        <v>3828</v>
      </c>
      <c r="D1334">
        <v>1</v>
      </c>
      <c r="E1334" t="s">
        <v>3696</v>
      </c>
      <c r="F1334" t="s">
        <v>3697</v>
      </c>
      <c r="G1334" s="1"/>
      <c r="H1334" t="str">
        <f>"3250613130879"</f>
        <v>3250613130879</v>
      </c>
      <c r="J1334" t="s">
        <v>3829</v>
      </c>
    </row>
    <row r="1335" spans="1:10" x14ac:dyDescent="0.25">
      <c r="A1335" t="s">
        <v>8</v>
      </c>
      <c r="B1335" t="s">
        <v>3830</v>
      </c>
      <c r="C1335" t="s">
        <v>3831</v>
      </c>
      <c r="D1335">
        <v>1</v>
      </c>
      <c r="E1335" t="s">
        <v>3696</v>
      </c>
      <c r="F1335" t="s">
        <v>3697</v>
      </c>
      <c r="G1335" s="1"/>
      <c r="H1335" t="str">
        <f>"3250613190194"</f>
        <v>3250613190194</v>
      </c>
      <c r="J1335" t="s">
        <v>3832</v>
      </c>
    </row>
    <row r="1336" spans="1:10" x14ac:dyDescent="0.25">
      <c r="A1336" t="s">
        <v>8</v>
      </c>
      <c r="B1336" t="s">
        <v>3833</v>
      </c>
      <c r="C1336" t="s">
        <v>3834</v>
      </c>
      <c r="D1336">
        <v>1</v>
      </c>
      <c r="E1336" t="s">
        <v>3696</v>
      </c>
      <c r="F1336" t="s">
        <v>3697</v>
      </c>
      <c r="G1336" s="1"/>
      <c r="H1336" t="str">
        <f>"3250613140557"</f>
        <v>3250613140557</v>
      </c>
      <c r="J1336" t="s">
        <v>3835</v>
      </c>
    </row>
    <row r="1337" spans="1:10" x14ac:dyDescent="0.25">
      <c r="A1337" t="s">
        <v>8</v>
      </c>
      <c r="B1337" t="s">
        <v>3836</v>
      </c>
      <c r="C1337" t="s">
        <v>3837</v>
      </c>
      <c r="D1337">
        <v>1</v>
      </c>
      <c r="E1337" t="s">
        <v>3696</v>
      </c>
      <c r="F1337" t="s">
        <v>3697</v>
      </c>
      <c r="G1337" s="1"/>
      <c r="H1337" t="str">
        <f>"3250613130978"</f>
        <v>3250613130978</v>
      </c>
      <c r="J1337" t="s">
        <v>3838</v>
      </c>
    </row>
    <row r="1338" spans="1:10" x14ac:dyDescent="0.25">
      <c r="A1338" t="s">
        <v>8</v>
      </c>
      <c r="B1338" t="s">
        <v>3839</v>
      </c>
      <c r="C1338" t="s">
        <v>3840</v>
      </c>
      <c r="D1338">
        <v>1</v>
      </c>
      <c r="E1338" t="s">
        <v>3696</v>
      </c>
      <c r="F1338" t="s">
        <v>3697</v>
      </c>
      <c r="G1338" s="1"/>
      <c r="H1338" t="str">
        <f>"3250613131005"</f>
        <v>3250613131005</v>
      </c>
      <c r="J1338" t="s">
        <v>3841</v>
      </c>
    </row>
    <row r="1339" spans="1:10" x14ac:dyDescent="0.25">
      <c r="A1339" t="s">
        <v>8</v>
      </c>
      <c r="B1339" t="s">
        <v>3842</v>
      </c>
      <c r="C1339" t="s">
        <v>3843</v>
      </c>
      <c r="D1339">
        <v>1</v>
      </c>
      <c r="E1339" t="s">
        <v>3696</v>
      </c>
      <c r="F1339" t="s">
        <v>3697</v>
      </c>
      <c r="G1339" s="1"/>
      <c r="H1339" t="str">
        <f>"3250613349912"</f>
        <v>3250613349912</v>
      </c>
      <c r="J1339" t="s">
        <v>3844</v>
      </c>
    </row>
    <row r="1340" spans="1:10" x14ac:dyDescent="0.25">
      <c r="A1340" t="s">
        <v>8</v>
      </c>
      <c r="B1340" t="s">
        <v>3845</v>
      </c>
      <c r="C1340" t="s">
        <v>3846</v>
      </c>
      <c r="D1340">
        <v>1</v>
      </c>
      <c r="E1340" t="s">
        <v>3696</v>
      </c>
      <c r="F1340" t="s">
        <v>3697</v>
      </c>
      <c r="G1340" s="1"/>
      <c r="H1340" t="str">
        <f>"3250613281410"</f>
        <v>3250613281410</v>
      </c>
      <c r="J1340" t="s">
        <v>3847</v>
      </c>
    </row>
    <row r="1341" spans="1:10" x14ac:dyDescent="0.25">
      <c r="A1341" t="s">
        <v>8</v>
      </c>
      <c r="B1341" t="s">
        <v>3848</v>
      </c>
      <c r="C1341" t="s">
        <v>3849</v>
      </c>
      <c r="D1341">
        <v>1</v>
      </c>
      <c r="E1341" t="s">
        <v>3696</v>
      </c>
      <c r="F1341" t="s">
        <v>3697</v>
      </c>
      <c r="G1341" s="1"/>
      <c r="H1341" t="str">
        <f>"3250613113520"</f>
        <v>3250613113520</v>
      </c>
      <c r="J1341" t="s">
        <v>3850</v>
      </c>
    </row>
    <row r="1342" spans="1:10" x14ac:dyDescent="0.25">
      <c r="A1342" t="s">
        <v>8</v>
      </c>
      <c r="B1342" t="s">
        <v>3851</v>
      </c>
      <c r="C1342" t="s">
        <v>3852</v>
      </c>
      <c r="D1342">
        <v>1</v>
      </c>
      <c r="E1342" t="s">
        <v>3696</v>
      </c>
      <c r="F1342" t="s">
        <v>3697</v>
      </c>
      <c r="G1342" s="1"/>
      <c r="H1342" t="str">
        <f>"3250613121044"</f>
        <v>3250613121044</v>
      </c>
      <c r="J1342" t="s">
        <v>3853</v>
      </c>
    </row>
    <row r="1343" spans="1:10" x14ac:dyDescent="0.25">
      <c r="A1343" t="s">
        <v>8</v>
      </c>
      <c r="B1343" t="s">
        <v>3854</v>
      </c>
      <c r="C1343" t="s">
        <v>3855</v>
      </c>
      <c r="D1343">
        <v>1</v>
      </c>
      <c r="E1343" t="s">
        <v>3696</v>
      </c>
      <c r="F1343" t="s">
        <v>3697</v>
      </c>
      <c r="G1343" s="1"/>
      <c r="H1343" t="str">
        <f>"3250613136628"</f>
        <v>3250613136628</v>
      </c>
      <c r="J1343" t="s">
        <v>3856</v>
      </c>
    </row>
    <row r="1344" spans="1:10" x14ac:dyDescent="0.25">
      <c r="A1344" t="s">
        <v>8</v>
      </c>
      <c r="B1344" t="s">
        <v>3857</v>
      </c>
      <c r="C1344" t="s">
        <v>3858</v>
      </c>
      <c r="D1344">
        <v>1</v>
      </c>
      <c r="E1344" t="s">
        <v>3696</v>
      </c>
      <c r="F1344" t="s">
        <v>3697</v>
      </c>
      <c r="G1344" s="1"/>
      <c r="H1344" t="str">
        <f>"3250613130404"</f>
        <v>3250613130404</v>
      </c>
      <c r="J1344" t="s">
        <v>3859</v>
      </c>
    </row>
    <row r="1345" spans="1:10" x14ac:dyDescent="0.25">
      <c r="A1345" t="s">
        <v>8</v>
      </c>
      <c r="B1345" t="s">
        <v>3860</v>
      </c>
      <c r="C1345" t="s">
        <v>3861</v>
      </c>
      <c r="D1345">
        <v>1</v>
      </c>
      <c r="E1345" t="s">
        <v>3696</v>
      </c>
      <c r="F1345" t="s">
        <v>3697</v>
      </c>
      <c r="G1345" s="1"/>
      <c r="H1345" t="str">
        <f>"3250613130497"</f>
        <v>3250613130497</v>
      </c>
      <c r="J1345" t="s">
        <v>3862</v>
      </c>
    </row>
    <row r="1346" spans="1:10" x14ac:dyDescent="0.25">
      <c r="A1346" t="s">
        <v>8</v>
      </c>
      <c r="B1346" t="s">
        <v>3863</v>
      </c>
      <c r="C1346" t="s">
        <v>3864</v>
      </c>
      <c r="D1346">
        <v>1</v>
      </c>
      <c r="E1346" t="s">
        <v>3696</v>
      </c>
      <c r="F1346" t="s">
        <v>3697</v>
      </c>
      <c r="G1346" s="1"/>
      <c r="H1346" t="str">
        <f>"3250613190187"</f>
        <v>3250613190187</v>
      </c>
      <c r="J1346" t="s">
        <v>3865</v>
      </c>
    </row>
    <row r="1347" spans="1:10" x14ac:dyDescent="0.25">
      <c r="A1347" t="s">
        <v>8</v>
      </c>
      <c r="B1347" t="s">
        <v>3866</v>
      </c>
      <c r="C1347" t="s">
        <v>3867</v>
      </c>
      <c r="D1347">
        <v>1</v>
      </c>
      <c r="E1347" t="s">
        <v>3696</v>
      </c>
      <c r="F1347" t="s">
        <v>3697</v>
      </c>
      <c r="G1347" s="1"/>
      <c r="H1347" t="str">
        <f>"3250613191221"</f>
        <v>3250613191221</v>
      </c>
      <c r="J1347" t="s">
        <v>3868</v>
      </c>
    </row>
    <row r="1348" spans="1:10" x14ac:dyDescent="0.25">
      <c r="A1348" t="s">
        <v>8</v>
      </c>
      <c r="B1348" t="s">
        <v>3869</v>
      </c>
      <c r="C1348" t="s">
        <v>3870</v>
      </c>
      <c r="D1348">
        <v>1</v>
      </c>
      <c r="E1348" t="s">
        <v>3696</v>
      </c>
      <c r="F1348" t="s">
        <v>3697</v>
      </c>
      <c r="G1348" s="1"/>
      <c r="H1348" t="str">
        <f>"3250613140540"</f>
        <v>3250613140540</v>
      </c>
      <c r="J1348" t="s">
        <v>3871</v>
      </c>
    </row>
    <row r="1349" spans="1:10" x14ac:dyDescent="0.25">
      <c r="A1349" t="s">
        <v>8</v>
      </c>
      <c r="B1349" t="s">
        <v>3872</v>
      </c>
      <c r="C1349" t="s">
        <v>3873</v>
      </c>
      <c r="D1349">
        <v>1</v>
      </c>
      <c r="E1349" t="s">
        <v>3696</v>
      </c>
      <c r="F1349" t="s">
        <v>3697</v>
      </c>
      <c r="G1349" s="1"/>
      <c r="H1349" t="str">
        <f>"3250613130831"</f>
        <v>3250613130831</v>
      </c>
      <c r="J1349" t="s">
        <v>3874</v>
      </c>
    </row>
    <row r="1350" spans="1:10" x14ac:dyDescent="0.25">
      <c r="A1350" t="s">
        <v>8</v>
      </c>
      <c r="B1350" t="s">
        <v>3875</v>
      </c>
      <c r="C1350" t="s">
        <v>3876</v>
      </c>
      <c r="D1350">
        <v>1</v>
      </c>
      <c r="E1350" t="s">
        <v>3696</v>
      </c>
      <c r="F1350" t="s">
        <v>3697</v>
      </c>
      <c r="G1350" s="1"/>
      <c r="H1350" t="str">
        <f>"3250613130862"</f>
        <v>3250613130862</v>
      </c>
      <c r="J1350" t="s">
        <v>3877</v>
      </c>
    </row>
    <row r="1351" spans="1:10" x14ac:dyDescent="0.25">
      <c r="A1351" t="s">
        <v>8</v>
      </c>
      <c r="B1351" t="s">
        <v>3878</v>
      </c>
      <c r="C1351" t="s">
        <v>3879</v>
      </c>
      <c r="D1351">
        <v>1</v>
      </c>
      <c r="E1351" t="s">
        <v>3696</v>
      </c>
      <c r="F1351" t="s">
        <v>3697</v>
      </c>
      <c r="G1351" s="1"/>
      <c r="H1351" t="str">
        <f>"3250613349899"</f>
        <v>3250613349899</v>
      </c>
      <c r="J1351" t="s">
        <v>3880</v>
      </c>
    </row>
    <row r="1352" spans="1:10" x14ac:dyDescent="0.25">
      <c r="A1352" t="s">
        <v>8</v>
      </c>
      <c r="B1352" t="s">
        <v>3881</v>
      </c>
      <c r="C1352" t="s">
        <v>3882</v>
      </c>
      <c r="D1352">
        <v>1</v>
      </c>
      <c r="E1352" t="s">
        <v>3696</v>
      </c>
      <c r="F1352" t="s">
        <v>3697</v>
      </c>
      <c r="G1352" s="1"/>
      <c r="H1352" t="str">
        <f>"3250613281403"</f>
        <v>3250613281403</v>
      </c>
      <c r="J1352" t="s">
        <v>3883</v>
      </c>
    </row>
    <row r="1353" spans="1:10" x14ac:dyDescent="0.25">
      <c r="A1353" t="s">
        <v>8</v>
      </c>
      <c r="B1353" t="s">
        <v>3884</v>
      </c>
      <c r="C1353" t="s">
        <v>3885</v>
      </c>
      <c r="D1353">
        <v>1</v>
      </c>
      <c r="E1353" t="s">
        <v>3696</v>
      </c>
      <c r="F1353" t="s">
        <v>3697</v>
      </c>
      <c r="G1353" s="1"/>
      <c r="H1353" t="str">
        <f>"3250613114060"</f>
        <v>3250613114060</v>
      </c>
      <c r="J1353" t="s">
        <v>3886</v>
      </c>
    </row>
    <row r="1354" spans="1:10" x14ac:dyDescent="0.25">
      <c r="A1354" t="s">
        <v>8</v>
      </c>
      <c r="B1354" t="s">
        <v>3887</v>
      </c>
      <c r="C1354" t="s">
        <v>3888</v>
      </c>
      <c r="D1354">
        <v>1</v>
      </c>
      <c r="E1354" t="s">
        <v>3696</v>
      </c>
      <c r="F1354" t="s">
        <v>3697</v>
      </c>
      <c r="G1354" s="1"/>
      <c r="H1354" t="str">
        <f>"3250613114510"</f>
        <v>3250613114510</v>
      </c>
      <c r="J1354" t="s">
        <v>3889</v>
      </c>
    </row>
    <row r="1355" spans="1:10" x14ac:dyDescent="0.25">
      <c r="A1355" t="s">
        <v>8</v>
      </c>
      <c r="B1355" t="s">
        <v>3890</v>
      </c>
      <c r="C1355" t="s">
        <v>3891</v>
      </c>
      <c r="D1355">
        <v>1</v>
      </c>
      <c r="E1355" t="s">
        <v>3696</v>
      </c>
      <c r="F1355" t="s">
        <v>3697</v>
      </c>
      <c r="G1355" s="1"/>
      <c r="H1355" t="str">
        <f>"3250613140380"</f>
        <v>3250613140380</v>
      </c>
      <c r="J1355" t="s">
        <v>3892</v>
      </c>
    </row>
    <row r="1356" spans="1:10" x14ac:dyDescent="0.25">
      <c r="A1356" t="s">
        <v>8</v>
      </c>
      <c r="B1356" t="s">
        <v>3893</v>
      </c>
      <c r="C1356" t="s">
        <v>3894</v>
      </c>
      <c r="D1356">
        <v>1</v>
      </c>
      <c r="E1356" t="s">
        <v>3696</v>
      </c>
      <c r="F1356" t="s">
        <v>3697</v>
      </c>
      <c r="G1356" s="1"/>
      <c r="H1356" t="str">
        <f>"3250613121082"</f>
        <v>3250613121082</v>
      </c>
      <c r="J1356" t="s">
        <v>3895</v>
      </c>
    </row>
    <row r="1357" spans="1:10" x14ac:dyDescent="0.25">
      <c r="A1357" t="s">
        <v>8</v>
      </c>
      <c r="B1357" t="s">
        <v>3896</v>
      </c>
      <c r="C1357" t="s">
        <v>3897</v>
      </c>
      <c r="D1357">
        <v>1</v>
      </c>
      <c r="E1357" t="s">
        <v>3696</v>
      </c>
      <c r="F1357" t="s">
        <v>3697</v>
      </c>
      <c r="G1357" s="1"/>
      <c r="H1357" t="str">
        <f>"3250613136611"</f>
        <v>3250613136611</v>
      </c>
      <c r="J1357" t="s">
        <v>3898</v>
      </c>
    </row>
    <row r="1358" spans="1:10" x14ac:dyDescent="0.25">
      <c r="A1358" t="s">
        <v>8</v>
      </c>
      <c r="B1358" t="s">
        <v>3899</v>
      </c>
      <c r="C1358" t="s">
        <v>3900</v>
      </c>
      <c r="D1358">
        <v>1</v>
      </c>
      <c r="E1358" t="s">
        <v>3696</v>
      </c>
      <c r="F1358" t="s">
        <v>3697</v>
      </c>
      <c r="G1358" s="1"/>
      <c r="H1358" t="str">
        <f>"3250613349943"</f>
        <v>3250613349943</v>
      </c>
      <c r="J1358" t="s">
        <v>3901</v>
      </c>
    </row>
    <row r="1359" spans="1:10" x14ac:dyDescent="0.25">
      <c r="A1359" t="s">
        <v>8</v>
      </c>
      <c r="B1359" t="s">
        <v>3902</v>
      </c>
      <c r="C1359" t="s">
        <v>3903</v>
      </c>
      <c r="D1359">
        <v>1</v>
      </c>
      <c r="E1359" t="s">
        <v>3696</v>
      </c>
      <c r="F1359" t="s">
        <v>3697</v>
      </c>
      <c r="G1359" s="1"/>
      <c r="H1359" t="str">
        <f>"3250613130381"</f>
        <v>3250613130381</v>
      </c>
      <c r="J1359" t="s">
        <v>3904</v>
      </c>
    </row>
    <row r="1360" spans="1:10" x14ac:dyDescent="0.25">
      <c r="A1360" t="s">
        <v>8</v>
      </c>
      <c r="B1360" t="s">
        <v>3905</v>
      </c>
      <c r="C1360" t="s">
        <v>3906</v>
      </c>
      <c r="D1360">
        <v>1</v>
      </c>
      <c r="E1360" t="s">
        <v>3696</v>
      </c>
      <c r="F1360" t="s">
        <v>3697</v>
      </c>
      <c r="G1360" s="1"/>
      <c r="H1360" t="str">
        <f>"3250613130909"</f>
        <v>3250613130909</v>
      </c>
      <c r="J1360" t="s">
        <v>3907</v>
      </c>
    </row>
    <row r="1361" spans="1:10" x14ac:dyDescent="0.25">
      <c r="A1361" t="s">
        <v>8</v>
      </c>
      <c r="B1361" t="s">
        <v>3908</v>
      </c>
      <c r="C1361" t="s">
        <v>3909</v>
      </c>
      <c r="D1361">
        <v>1</v>
      </c>
      <c r="E1361" t="s">
        <v>3696</v>
      </c>
      <c r="F1361" t="s">
        <v>3697</v>
      </c>
      <c r="G1361" s="1"/>
      <c r="H1361" t="str">
        <f>"3250613130930"</f>
        <v>3250613130930</v>
      </c>
      <c r="J1361" t="s">
        <v>3910</v>
      </c>
    </row>
    <row r="1362" spans="1:10" x14ac:dyDescent="0.25">
      <c r="A1362" t="s">
        <v>8</v>
      </c>
      <c r="B1362" t="s">
        <v>3911</v>
      </c>
      <c r="C1362" t="s">
        <v>3912</v>
      </c>
      <c r="D1362">
        <v>1</v>
      </c>
      <c r="E1362" t="s">
        <v>3696</v>
      </c>
      <c r="F1362" t="s">
        <v>3697</v>
      </c>
      <c r="G1362" s="1"/>
      <c r="H1362" t="str">
        <f>"3250613130961"</f>
        <v>3250613130961</v>
      </c>
      <c r="J1362" t="s">
        <v>3913</v>
      </c>
    </row>
    <row r="1363" spans="1:10" x14ac:dyDescent="0.25">
      <c r="A1363" t="s">
        <v>8</v>
      </c>
      <c r="B1363" t="s">
        <v>3914</v>
      </c>
      <c r="C1363" t="s">
        <v>3915</v>
      </c>
      <c r="D1363">
        <v>1</v>
      </c>
      <c r="E1363" t="s">
        <v>3696</v>
      </c>
      <c r="F1363" t="s">
        <v>3697</v>
      </c>
      <c r="G1363" s="1"/>
      <c r="H1363" t="str">
        <f>"3250613349769"</f>
        <v>3250613349769</v>
      </c>
      <c r="I1363" s="1"/>
      <c r="J1363" t="s">
        <v>3916</v>
      </c>
    </row>
    <row r="1364" spans="1:10" x14ac:dyDescent="0.25">
      <c r="A1364" t="s">
        <v>8</v>
      </c>
      <c r="B1364" t="s">
        <v>3917</v>
      </c>
      <c r="C1364" t="s">
        <v>3918</v>
      </c>
      <c r="D1364">
        <v>1</v>
      </c>
      <c r="E1364" t="s">
        <v>3696</v>
      </c>
      <c r="F1364" t="s">
        <v>3697</v>
      </c>
      <c r="G1364" s="1"/>
      <c r="H1364" t="str">
        <f>"3250613281397"</f>
        <v>3250613281397</v>
      </c>
      <c r="J1364" t="s">
        <v>3919</v>
      </c>
    </row>
    <row r="1365" spans="1:10" x14ac:dyDescent="0.25">
      <c r="A1365" t="s">
        <v>8</v>
      </c>
      <c r="B1365" t="s">
        <v>3920</v>
      </c>
      <c r="C1365" t="s">
        <v>3921</v>
      </c>
      <c r="D1365">
        <v>1</v>
      </c>
      <c r="E1365" t="s">
        <v>3696</v>
      </c>
      <c r="F1365" t="s">
        <v>3697</v>
      </c>
      <c r="G1365" s="1"/>
      <c r="H1365" t="str">
        <f>"3250612388301"</f>
        <v>3250612388301</v>
      </c>
      <c r="J1365" t="s">
        <v>3922</v>
      </c>
    </row>
    <row r="1366" spans="1:10" x14ac:dyDescent="0.25">
      <c r="A1366" t="s">
        <v>8</v>
      </c>
      <c r="B1366" t="s">
        <v>3923</v>
      </c>
      <c r="C1366" t="s">
        <v>3924</v>
      </c>
      <c r="D1366">
        <v>1</v>
      </c>
      <c r="E1366" t="s">
        <v>3696</v>
      </c>
      <c r="F1366" t="s">
        <v>3697</v>
      </c>
      <c r="G1366" s="1"/>
      <c r="H1366" t="str">
        <f>"3250613119690"</f>
        <v>3250613119690</v>
      </c>
      <c r="J1366" t="s">
        <v>3925</v>
      </c>
    </row>
    <row r="1367" spans="1:10" x14ac:dyDescent="0.25">
      <c r="A1367" t="s">
        <v>8</v>
      </c>
      <c r="B1367" t="s">
        <v>3926</v>
      </c>
      <c r="C1367" t="s">
        <v>3927</v>
      </c>
      <c r="D1367">
        <v>1</v>
      </c>
      <c r="E1367" t="s">
        <v>3696</v>
      </c>
      <c r="F1367" t="s">
        <v>3697</v>
      </c>
      <c r="G1367" s="1"/>
      <c r="H1367" t="str">
        <f>"3250613140366"</f>
        <v>3250613140366</v>
      </c>
      <c r="J1367" t="s">
        <v>3928</v>
      </c>
    </row>
    <row r="1368" spans="1:10" x14ac:dyDescent="0.25">
      <c r="A1368" t="s">
        <v>8</v>
      </c>
      <c r="B1368" t="s">
        <v>3929</v>
      </c>
      <c r="C1368" t="s">
        <v>3930</v>
      </c>
      <c r="D1368">
        <v>1</v>
      </c>
      <c r="E1368" t="s">
        <v>3696</v>
      </c>
      <c r="F1368" t="s">
        <v>3697</v>
      </c>
      <c r="G1368" s="1"/>
      <c r="H1368" t="str">
        <f>"3250613363253"</f>
        <v>3250613363253</v>
      </c>
      <c r="J1368" t="s">
        <v>3931</v>
      </c>
    </row>
    <row r="1369" spans="1:10" x14ac:dyDescent="0.25">
      <c r="A1369" t="s">
        <v>8</v>
      </c>
      <c r="B1369" t="s">
        <v>3932</v>
      </c>
      <c r="C1369" t="s">
        <v>3933</v>
      </c>
      <c r="D1369">
        <v>1</v>
      </c>
      <c r="E1369" t="s">
        <v>3696</v>
      </c>
      <c r="F1369" t="s">
        <v>3697</v>
      </c>
      <c r="G1369" s="1"/>
      <c r="H1369" t="str">
        <f>"3250613136604"</f>
        <v>3250613136604</v>
      </c>
      <c r="J1369" t="s">
        <v>3934</v>
      </c>
    </row>
    <row r="1370" spans="1:10" x14ac:dyDescent="0.25">
      <c r="A1370" t="s">
        <v>8</v>
      </c>
      <c r="B1370" t="s">
        <v>3935</v>
      </c>
      <c r="C1370" t="s">
        <v>3936</v>
      </c>
      <c r="D1370">
        <v>1</v>
      </c>
      <c r="E1370" t="s">
        <v>3696</v>
      </c>
      <c r="F1370" t="s">
        <v>3697</v>
      </c>
      <c r="G1370" s="1"/>
      <c r="H1370" t="str">
        <f>"3250613349950"</f>
        <v>3250613349950</v>
      </c>
      <c r="J1370" t="s">
        <v>3937</v>
      </c>
    </row>
    <row r="1371" spans="1:10" x14ac:dyDescent="0.25">
      <c r="A1371" t="s">
        <v>8</v>
      </c>
      <c r="B1371" t="s">
        <v>3938</v>
      </c>
      <c r="C1371" t="s">
        <v>3939</v>
      </c>
      <c r="D1371">
        <v>1</v>
      </c>
      <c r="E1371" t="s">
        <v>3696</v>
      </c>
      <c r="F1371" t="s">
        <v>3697</v>
      </c>
      <c r="G1371" s="1"/>
      <c r="H1371" t="str">
        <f>"3250613130480"</f>
        <v>3250613130480</v>
      </c>
      <c r="J1371" t="s">
        <v>3940</v>
      </c>
    </row>
    <row r="1372" spans="1:10" x14ac:dyDescent="0.25">
      <c r="A1372" t="s">
        <v>8</v>
      </c>
      <c r="B1372" t="s">
        <v>3941</v>
      </c>
      <c r="C1372" t="s">
        <v>3942</v>
      </c>
      <c r="D1372">
        <v>1</v>
      </c>
      <c r="E1372" t="s">
        <v>3696</v>
      </c>
      <c r="F1372" t="s">
        <v>3697</v>
      </c>
      <c r="G1372" s="1"/>
      <c r="H1372" t="str">
        <f>"3250613190095"</f>
        <v>3250613190095</v>
      </c>
      <c r="J1372" t="s">
        <v>3943</v>
      </c>
    </row>
    <row r="1373" spans="1:10" x14ac:dyDescent="0.25">
      <c r="A1373" t="s">
        <v>8</v>
      </c>
      <c r="B1373" t="s">
        <v>3944</v>
      </c>
      <c r="C1373" t="s">
        <v>3945</v>
      </c>
      <c r="D1373">
        <v>1</v>
      </c>
      <c r="E1373" t="s">
        <v>3696</v>
      </c>
      <c r="F1373" t="s">
        <v>3697</v>
      </c>
      <c r="G1373" s="1"/>
      <c r="H1373" t="str">
        <f>"3250613130824"</f>
        <v>3250613130824</v>
      </c>
      <c r="J1373" t="s">
        <v>3946</v>
      </c>
    </row>
    <row r="1374" spans="1:10" x14ac:dyDescent="0.25">
      <c r="A1374" t="s">
        <v>8</v>
      </c>
      <c r="B1374" t="s">
        <v>3947</v>
      </c>
      <c r="C1374" t="s">
        <v>3948</v>
      </c>
      <c r="D1374">
        <v>1</v>
      </c>
      <c r="E1374" t="s">
        <v>3696</v>
      </c>
      <c r="F1374" t="s">
        <v>3697</v>
      </c>
      <c r="G1374" s="1"/>
      <c r="H1374" t="str">
        <f>"3250613281380"</f>
        <v>3250613281380</v>
      </c>
      <c r="J1374" t="s">
        <v>3949</v>
      </c>
    </row>
    <row r="1375" spans="1:10" x14ac:dyDescent="0.25">
      <c r="A1375" t="s">
        <v>8</v>
      </c>
      <c r="B1375" t="s">
        <v>3950</v>
      </c>
      <c r="C1375" t="s">
        <v>3951</v>
      </c>
      <c r="D1375">
        <v>1</v>
      </c>
      <c r="E1375" t="s">
        <v>3696</v>
      </c>
      <c r="F1375" t="s">
        <v>3697</v>
      </c>
      <c r="G1375" s="1"/>
      <c r="H1375" t="str">
        <f>"3250613113513"</f>
        <v>3250613113513</v>
      </c>
      <c r="J1375" t="s">
        <v>3952</v>
      </c>
    </row>
    <row r="1376" spans="1:10" x14ac:dyDescent="0.25">
      <c r="A1376" t="s">
        <v>8</v>
      </c>
      <c r="B1376" t="s">
        <v>3953</v>
      </c>
      <c r="C1376" t="s">
        <v>3954</v>
      </c>
      <c r="D1376">
        <v>1</v>
      </c>
      <c r="E1376" t="s">
        <v>3696</v>
      </c>
      <c r="F1376" t="s">
        <v>3697</v>
      </c>
      <c r="G1376" s="1"/>
      <c r="H1376" t="str">
        <f>"3250613119683"</f>
        <v>3250613119683</v>
      </c>
      <c r="J1376" t="s">
        <v>3955</v>
      </c>
    </row>
    <row r="1377" spans="1:10" x14ac:dyDescent="0.25">
      <c r="A1377" t="s">
        <v>8</v>
      </c>
      <c r="B1377" t="s">
        <v>3956</v>
      </c>
      <c r="C1377" t="s">
        <v>3957</v>
      </c>
      <c r="D1377">
        <v>1</v>
      </c>
      <c r="E1377" t="s">
        <v>3696</v>
      </c>
      <c r="F1377" t="s">
        <v>3697</v>
      </c>
      <c r="G1377" s="1"/>
      <c r="H1377" t="str">
        <f>"3250613114589"</f>
        <v>3250613114589</v>
      </c>
      <c r="J1377" t="s">
        <v>3958</v>
      </c>
    </row>
    <row r="1378" spans="1:10" x14ac:dyDescent="0.25">
      <c r="A1378" t="s">
        <v>8</v>
      </c>
      <c r="B1378" t="s">
        <v>3959</v>
      </c>
      <c r="C1378" t="s">
        <v>3960</v>
      </c>
      <c r="D1378">
        <v>1</v>
      </c>
      <c r="E1378" t="s">
        <v>3696</v>
      </c>
      <c r="F1378" t="s">
        <v>3697</v>
      </c>
      <c r="G1378" s="1"/>
      <c r="H1378" t="str">
        <f>"3250613140359"</f>
        <v>3250613140359</v>
      </c>
      <c r="J1378" t="s">
        <v>3961</v>
      </c>
    </row>
    <row r="1379" spans="1:10" x14ac:dyDescent="0.25">
      <c r="A1379" t="s">
        <v>8</v>
      </c>
      <c r="B1379" t="s">
        <v>3962</v>
      </c>
      <c r="C1379" t="s">
        <v>3963</v>
      </c>
      <c r="D1379">
        <v>1</v>
      </c>
      <c r="E1379" t="s">
        <v>3696</v>
      </c>
      <c r="F1379" t="s">
        <v>3697</v>
      </c>
      <c r="G1379" s="1"/>
      <c r="H1379" t="str">
        <f>"3250613136666"</f>
        <v>3250613136666</v>
      </c>
      <c r="J1379" t="s">
        <v>3964</v>
      </c>
    </row>
    <row r="1380" spans="1:10" x14ac:dyDescent="0.25">
      <c r="A1380" t="s">
        <v>8</v>
      </c>
      <c r="B1380" t="s">
        <v>3965</v>
      </c>
      <c r="C1380" t="s">
        <v>3966</v>
      </c>
      <c r="D1380">
        <v>1</v>
      </c>
      <c r="E1380" t="s">
        <v>3696</v>
      </c>
      <c r="F1380" t="s">
        <v>3697</v>
      </c>
      <c r="G1380" s="1"/>
      <c r="H1380" t="str">
        <f>"3250613363239"</f>
        <v>3250613363239</v>
      </c>
      <c r="J1380" t="s">
        <v>3967</v>
      </c>
    </row>
    <row r="1381" spans="1:10" x14ac:dyDescent="0.25">
      <c r="A1381" t="s">
        <v>8</v>
      </c>
      <c r="B1381" t="s">
        <v>3968</v>
      </c>
      <c r="C1381" t="s">
        <v>3969</v>
      </c>
      <c r="D1381">
        <v>1</v>
      </c>
      <c r="E1381" t="s">
        <v>3696</v>
      </c>
      <c r="F1381" t="s">
        <v>3697</v>
      </c>
      <c r="G1381" s="1"/>
      <c r="H1381" t="str">
        <f>"3250613349936"</f>
        <v>3250613349936</v>
      </c>
      <c r="J1381" t="s">
        <v>3970</v>
      </c>
    </row>
    <row r="1382" spans="1:10" x14ac:dyDescent="0.25">
      <c r="A1382" t="s">
        <v>8</v>
      </c>
      <c r="B1382" t="s">
        <v>3971</v>
      </c>
      <c r="C1382" t="s">
        <v>3972</v>
      </c>
      <c r="D1382">
        <v>1</v>
      </c>
      <c r="E1382" t="s">
        <v>3696</v>
      </c>
      <c r="F1382" t="s">
        <v>3697</v>
      </c>
      <c r="G1382" s="1"/>
      <c r="H1382" t="str">
        <f>"3250613130459"</f>
        <v>3250613130459</v>
      </c>
      <c r="J1382" t="s">
        <v>3973</v>
      </c>
    </row>
    <row r="1383" spans="1:10" x14ac:dyDescent="0.25">
      <c r="A1383" t="s">
        <v>8</v>
      </c>
      <c r="B1383" t="s">
        <v>3974</v>
      </c>
      <c r="C1383" t="s">
        <v>3975</v>
      </c>
      <c r="D1383">
        <v>1</v>
      </c>
      <c r="E1383" t="s">
        <v>3696</v>
      </c>
      <c r="F1383" t="s">
        <v>3697</v>
      </c>
      <c r="G1383" s="1"/>
      <c r="H1383" t="str">
        <f>"3250613130893"</f>
        <v>3250613130893</v>
      </c>
      <c r="J1383" t="s">
        <v>3976</v>
      </c>
    </row>
    <row r="1384" spans="1:10" x14ac:dyDescent="0.25">
      <c r="A1384" t="s">
        <v>8</v>
      </c>
      <c r="B1384" t="s">
        <v>3977</v>
      </c>
      <c r="C1384" t="s">
        <v>3978</v>
      </c>
      <c r="D1384">
        <v>1</v>
      </c>
      <c r="E1384" t="s">
        <v>3696</v>
      </c>
      <c r="F1384" t="s">
        <v>3697</v>
      </c>
      <c r="G1384" s="1"/>
      <c r="H1384" t="str">
        <f>"3250613190088"</f>
        <v>3250613190088</v>
      </c>
      <c r="J1384" t="s">
        <v>3979</v>
      </c>
    </row>
    <row r="1385" spans="1:10" x14ac:dyDescent="0.25">
      <c r="A1385" t="s">
        <v>8</v>
      </c>
      <c r="B1385" t="s">
        <v>3980</v>
      </c>
      <c r="C1385" t="s">
        <v>3981</v>
      </c>
      <c r="D1385">
        <v>1</v>
      </c>
      <c r="E1385" t="s">
        <v>3696</v>
      </c>
      <c r="F1385" t="s">
        <v>3697</v>
      </c>
      <c r="G1385" s="1"/>
      <c r="H1385" t="str">
        <f>"3250613281311"</f>
        <v>3250613281311</v>
      </c>
      <c r="J1385" t="s">
        <v>3982</v>
      </c>
    </row>
    <row r="1386" spans="1:10" x14ac:dyDescent="0.25">
      <c r="A1386" t="s">
        <v>8</v>
      </c>
      <c r="B1386" t="s">
        <v>3983</v>
      </c>
      <c r="C1386" t="s">
        <v>3984</v>
      </c>
      <c r="D1386">
        <v>1</v>
      </c>
      <c r="E1386" t="s">
        <v>3696</v>
      </c>
      <c r="F1386" t="s">
        <v>3697</v>
      </c>
      <c r="G1386" s="1"/>
      <c r="H1386" t="str">
        <f>"3250613119676"</f>
        <v>3250613119676</v>
      </c>
      <c r="J1386" t="s">
        <v>3985</v>
      </c>
    </row>
    <row r="1387" spans="1:10" x14ac:dyDescent="0.25">
      <c r="A1387" t="s">
        <v>8</v>
      </c>
      <c r="B1387" t="s">
        <v>3986</v>
      </c>
      <c r="C1387" t="s">
        <v>3987</v>
      </c>
      <c r="D1387">
        <v>1</v>
      </c>
      <c r="E1387" t="s">
        <v>3696</v>
      </c>
      <c r="F1387" t="s">
        <v>3697</v>
      </c>
      <c r="G1387" s="1"/>
      <c r="H1387" t="str">
        <f>"3250613114572"</f>
        <v>3250613114572</v>
      </c>
      <c r="J1387" t="s">
        <v>3988</v>
      </c>
    </row>
    <row r="1388" spans="1:10" x14ac:dyDescent="0.25">
      <c r="A1388" t="s">
        <v>8</v>
      </c>
      <c r="B1388" t="s">
        <v>3989</v>
      </c>
      <c r="C1388" t="s">
        <v>3990</v>
      </c>
      <c r="D1388">
        <v>1</v>
      </c>
      <c r="E1388" t="s">
        <v>3696</v>
      </c>
      <c r="F1388" t="s">
        <v>3697</v>
      </c>
      <c r="G1388" s="1"/>
      <c r="H1388" t="str">
        <f>"3250613363178"</f>
        <v>3250613363178</v>
      </c>
      <c r="J1388" t="s">
        <v>3991</v>
      </c>
    </row>
    <row r="1389" spans="1:10" x14ac:dyDescent="0.25">
      <c r="A1389" t="s">
        <v>8</v>
      </c>
      <c r="B1389" t="s">
        <v>3992</v>
      </c>
      <c r="C1389" t="s">
        <v>3993</v>
      </c>
      <c r="D1389">
        <v>1</v>
      </c>
      <c r="E1389" t="s">
        <v>3696</v>
      </c>
      <c r="F1389" t="s">
        <v>3697</v>
      </c>
      <c r="G1389" s="1"/>
      <c r="H1389" t="str">
        <f>"3250613363192"</f>
        <v>3250613363192</v>
      </c>
      <c r="J1389" t="s">
        <v>3994</v>
      </c>
    </row>
    <row r="1390" spans="1:10" x14ac:dyDescent="0.25">
      <c r="A1390" t="s">
        <v>8</v>
      </c>
      <c r="B1390" t="s">
        <v>3995</v>
      </c>
      <c r="C1390" t="s">
        <v>3996</v>
      </c>
      <c r="D1390">
        <v>1</v>
      </c>
      <c r="E1390" t="s">
        <v>3696</v>
      </c>
      <c r="F1390" t="s">
        <v>3697</v>
      </c>
      <c r="G1390" s="1"/>
      <c r="H1390" t="str">
        <f>"3250613349806"</f>
        <v>3250613349806</v>
      </c>
      <c r="J1390" t="s">
        <v>3997</v>
      </c>
    </row>
    <row r="1391" spans="1:10" x14ac:dyDescent="0.25">
      <c r="A1391" t="s">
        <v>8</v>
      </c>
      <c r="B1391" t="s">
        <v>3998</v>
      </c>
      <c r="C1391" t="s">
        <v>3999</v>
      </c>
      <c r="D1391">
        <v>1</v>
      </c>
      <c r="E1391" t="s">
        <v>3696</v>
      </c>
      <c r="F1391" t="s">
        <v>3697</v>
      </c>
      <c r="G1391" s="1"/>
      <c r="H1391" t="str">
        <f>"3250613130411"</f>
        <v>3250613130411</v>
      </c>
      <c r="J1391" t="s">
        <v>4000</v>
      </c>
    </row>
    <row r="1392" spans="1:10" x14ac:dyDescent="0.25">
      <c r="A1392" t="s">
        <v>8</v>
      </c>
      <c r="B1392" t="s">
        <v>4001</v>
      </c>
      <c r="C1392" t="s">
        <v>4002</v>
      </c>
      <c r="D1392">
        <v>1</v>
      </c>
      <c r="E1392" t="s">
        <v>3696</v>
      </c>
      <c r="F1392" t="s">
        <v>3697</v>
      </c>
      <c r="G1392" s="1"/>
      <c r="H1392" t="str">
        <f>"3250613130510"</f>
        <v>3250613130510</v>
      </c>
      <c r="J1392" t="s">
        <v>4003</v>
      </c>
    </row>
    <row r="1393" spans="1:10" x14ac:dyDescent="0.25">
      <c r="A1393" t="s">
        <v>8</v>
      </c>
      <c r="B1393" t="s">
        <v>4004</v>
      </c>
      <c r="C1393" t="s">
        <v>4005</v>
      </c>
      <c r="D1393">
        <v>1</v>
      </c>
      <c r="E1393" t="s">
        <v>3696</v>
      </c>
      <c r="F1393" t="s">
        <v>3697</v>
      </c>
      <c r="G1393" s="1"/>
      <c r="H1393" t="str">
        <f>"3250613191269"</f>
        <v>3250613191269</v>
      </c>
      <c r="J1393" t="s">
        <v>4006</v>
      </c>
    </row>
    <row r="1394" spans="1:10" x14ac:dyDescent="0.25">
      <c r="A1394" t="s">
        <v>8</v>
      </c>
      <c r="B1394" t="s">
        <v>4007</v>
      </c>
      <c r="C1394" t="s">
        <v>4008</v>
      </c>
      <c r="D1394">
        <v>1</v>
      </c>
      <c r="E1394" t="s">
        <v>3696</v>
      </c>
      <c r="F1394" t="s">
        <v>3697</v>
      </c>
      <c r="G1394" s="1"/>
      <c r="H1394" t="str">
        <f>"3250613130992"</f>
        <v>3250613130992</v>
      </c>
      <c r="J1394" t="s">
        <v>4009</v>
      </c>
    </row>
    <row r="1395" spans="1:10" x14ac:dyDescent="0.25">
      <c r="A1395" t="s">
        <v>8</v>
      </c>
      <c r="B1395" t="s">
        <v>4010</v>
      </c>
      <c r="C1395" t="s">
        <v>4011</v>
      </c>
      <c r="D1395">
        <v>1</v>
      </c>
      <c r="E1395" t="s">
        <v>3696</v>
      </c>
      <c r="F1395" t="s">
        <v>3697</v>
      </c>
      <c r="G1395" s="1"/>
      <c r="H1395" t="str">
        <f>"3250613281304"</f>
        <v>3250613281304</v>
      </c>
      <c r="J1395" t="s">
        <v>4012</v>
      </c>
    </row>
    <row r="1396" spans="1:10" x14ac:dyDescent="0.25">
      <c r="A1396" t="s">
        <v>8</v>
      </c>
      <c r="B1396" t="s">
        <v>4013</v>
      </c>
      <c r="C1396" t="s">
        <v>4014</v>
      </c>
      <c r="D1396">
        <v>1</v>
      </c>
      <c r="E1396" t="s">
        <v>3696</v>
      </c>
      <c r="F1396" t="s">
        <v>3697</v>
      </c>
      <c r="G1396" s="1"/>
      <c r="H1396" t="str">
        <f>"3250613114541"</f>
        <v>3250613114541</v>
      </c>
      <c r="J1396" t="s">
        <v>4015</v>
      </c>
    </row>
    <row r="1397" spans="1:10" x14ac:dyDescent="0.25">
      <c r="A1397" t="s">
        <v>8</v>
      </c>
      <c r="B1397" t="s">
        <v>4016</v>
      </c>
      <c r="C1397" t="s">
        <v>4017</v>
      </c>
      <c r="D1397">
        <v>1</v>
      </c>
      <c r="E1397" t="s">
        <v>3696</v>
      </c>
      <c r="F1397" t="s">
        <v>3697</v>
      </c>
      <c r="G1397" s="1"/>
      <c r="H1397" t="str">
        <f>"3250613121051"</f>
        <v>3250613121051</v>
      </c>
      <c r="J1397" t="s">
        <v>4018</v>
      </c>
    </row>
    <row r="1398" spans="1:10" x14ac:dyDescent="0.25">
      <c r="A1398" t="s">
        <v>8</v>
      </c>
      <c r="B1398" t="s">
        <v>4019</v>
      </c>
      <c r="C1398" t="s">
        <v>4020</v>
      </c>
      <c r="D1398">
        <v>1</v>
      </c>
      <c r="E1398" t="s">
        <v>3696</v>
      </c>
      <c r="F1398" t="s">
        <v>3697</v>
      </c>
      <c r="G1398" s="1"/>
      <c r="H1398" t="str">
        <f>"3250613363215"</f>
        <v>3250613363215</v>
      </c>
      <c r="J1398" t="s">
        <v>4021</v>
      </c>
    </row>
    <row r="1399" spans="1:10" x14ac:dyDescent="0.25">
      <c r="A1399" t="s">
        <v>8</v>
      </c>
      <c r="B1399" t="s">
        <v>4022</v>
      </c>
      <c r="C1399" t="s">
        <v>4023</v>
      </c>
      <c r="D1399">
        <v>1</v>
      </c>
      <c r="E1399" t="s">
        <v>3696</v>
      </c>
      <c r="F1399" t="s">
        <v>3697</v>
      </c>
      <c r="G1399" s="1"/>
      <c r="H1399" t="str">
        <f>"3250613130367"</f>
        <v>3250613130367</v>
      </c>
      <c r="J1399" t="s">
        <v>4024</v>
      </c>
    </row>
    <row r="1400" spans="1:10" x14ac:dyDescent="0.25">
      <c r="A1400" t="s">
        <v>8</v>
      </c>
      <c r="B1400" t="s">
        <v>4025</v>
      </c>
      <c r="C1400" t="s">
        <v>4026</v>
      </c>
      <c r="D1400">
        <v>1</v>
      </c>
      <c r="E1400" t="s">
        <v>3696</v>
      </c>
      <c r="F1400" t="s">
        <v>3697</v>
      </c>
      <c r="G1400" s="1"/>
      <c r="H1400" t="str">
        <f>"3250613130398"</f>
        <v>3250613130398</v>
      </c>
      <c r="J1400" t="s">
        <v>4027</v>
      </c>
    </row>
    <row r="1401" spans="1:10" x14ac:dyDescent="0.25">
      <c r="A1401" t="s">
        <v>8</v>
      </c>
      <c r="B1401" t="s">
        <v>4028</v>
      </c>
      <c r="C1401" t="s">
        <v>4029</v>
      </c>
      <c r="D1401">
        <v>1</v>
      </c>
      <c r="E1401" t="s">
        <v>3696</v>
      </c>
      <c r="F1401" t="s">
        <v>3697</v>
      </c>
      <c r="G1401" s="1"/>
      <c r="H1401" t="str">
        <f>"3250613130923"</f>
        <v>3250613130923</v>
      </c>
      <c r="J1401" t="s">
        <v>4030</v>
      </c>
    </row>
    <row r="1402" spans="1:10" x14ac:dyDescent="0.25">
      <c r="A1402" t="s">
        <v>8</v>
      </c>
      <c r="B1402" t="s">
        <v>4031</v>
      </c>
      <c r="C1402" t="s">
        <v>4032</v>
      </c>
      <c r="D1402">
        <v>1</v>
      </c>
      <c r="E1402" t="s">
        <v>3696</v>
      </c>
      <c r="F1402" t="s">
        <v>3697</v>
      </c>
      <c r="G1402" s="1"/>
      <c r="H1402" t="str">
        <f>"3250613191252"</f>
        <v>3250613191252</v>
      </c>
      <c r="J1402" t="s">
        <v>4033</v>
      </c>
    </row>
    <row r="1403" spans="1:10" x14ac:dyDescent="0.25">
      <c r="A1403" t="s">
        <v>8</v>
      </c>
      <c r="B1403" t="s">
        <v>4034</v>
      </c>
      <c r="C1403" t="s">
        <v>4035</v>
      </c>
      <c r="D1403">
        <v>1</v>
      </c>
      <c r="E1403" t="s">
        <v>3696</v>
      </c>
      <c r="F1403" t="s">
        <v>3697</v>
      </c>
      <c r="G1403" s="1"/>
      <c r="H1403" t="str">
        <f>"3250613130855"</f>
        <v>3250613130855</v>
      </c>
      <c r="J1403" t="s">
        <v>4036</v>
      </c>
    </row>
    <row r="1404" spans="1:10" x14ac:dyDescent="0.25">
      <c r="A1404" t="s">
        <v>8</v>
      </c>
      <c r="B1404" t="s">
        <v>4037</v>
      </c>
      <c r="C1404" t="s">
        <v>4038</v>
      </c>
      <c r="D1404">
        <v>1</v>
      </c>
      <c r="E1404" t="s">
        <v>3696</v>
      </c>
      <c r="F1404" t="s">
        <v>3697</v>
      </c>
      <c r="G1404" s="1"/>
      <c r="H1404" t="str">
        <f>"3250613349745"</f>
        <v>3250613349745</v>
      </c>
      <c r="J1404" t="s">
        <v>4039</v>
      </c>
    </row>
    <row r="1405" spans="1:10" x14ac:dyDescent="0.25">
      <c r="A1405" t="s">
        <v>8</v>
      </c>
      <c r="B1405" t="s">
        <v>4040</v>
      </c>
      <c r="C1405" t="s">
        <v>4041</v>
      </c>
      <c r="D1405">
        <v>1</v>
      </c>
      <c r="E1405" t="s">
        <v>3696</v>
      </c>
      <c r="F1405" t="s">
        <v>3697</v>
      </c>
      <c r="G1405" s="1"/>
      <c r="H1405" t="str">
        <f>"3250613349929"</f>
        <v>3250613349929</v>
      </c>
      <c r="J1405" t="s">
        <v>4042</v>
      </c>
    </row>
    <row r="1406" spans="1:10" x14ac:dyDescent="0.25">
      <c r="A1406" t="s">
        <v>8</v>
      </c>
      <c r="B1406" t="s">
        <v>4043</v>
      </c>
      <c r="C1406" t="s">
        <v>4044</v>
      </c>
      <c r="D1406">
        <v>1</v>
      </c>
      <c r="E1406" t="s">
        <v>3696</v>
      </c>
      <c r="F1406" t="s">
        <v>3697</v>
      </c>
      <c r="G1406" s="1"/>
      <c r="H1406" t="str">
        <f>"3250613281298"</f>
        <v>3250613281298</v>
      </c>
      <c r="J1406" t="s">
        <v>4045</v>
      </c>
    </row>
    <row r="1407" spans="1:10" x14ac:dyDescent="0.25">
      <c r="A1407" t="s">
        <v>8</v>
      </c>
      <c r="B1407" t="s">
        <v>4046</v>
      </c>
      <c r="C1407" t="s">
        <v>4047</v>
      </c>
      <c r="D1407">
        <v>1</v>
      </c>
      <c r="E1407" t="s">
        <v>3696</v>
      </c>
      <c r="F1407" t="s">
        <v>3697</v>
      </c>
      <c r="G1407" s="1"/>
      <c r="H1407" t="str">
        <f>"3250613114527"</f>
        <v>3250613114527</v>
      </c>
      <c r="J1407" t="s">
        <v>4048</v>
      </c>
    </row>
    <row r="1408" spans="1:10" x14ac:dyDescent="0.25">
      <c r="A1408" t="s">
        <v>8</v>
      </c>
      <c r="B1408" t="s">
        <v>4049</v>
      </c>
      <c r="C1408" t="s">
        <v>4050</v>
      </c>
      <c r="D1408">
        <v>1</v>
      </c>
      <c r="E1408" t="s">
        <v>3696</v>
      </c>
      <c r="F1408" t="s">
        <v>3697</v>
      </c>
      <c r="G1408" s="1"/>
      <c r="H1408" t="str">
        <f>"3250613119720"</f>
        <v>3250613119720</v>
      </c>
      <c r="J1408" t="s">
        <v>4051</v>
      </c>
    </row>
    <row r="1409" spans="1:10" x14ac:dyDescent="0.25">
      <c r="A1409" t="s">
        <v>8</v>
      </c>
      <c r="B1409" t="s">
        <v>4052</v>
      </c>
      <c r="C1409" t="s">
        <v>4053</v>
      </c>
      <c r="D1409">
        <v>1</v>
      </c>
      <c r="E1409" t="s">
        <v>3696</v>
      </c>
      <c r="F1409" t="s">
        <v>3697</v>
      </c>
      <c r="G1409" s="1"/>
      <c r="H1409" t="str">
        <f>"3250613140427"</f>
        <v>3250613140427</v>
      </c>
      <c r="J1409" t="s">
        <v>4054</v>
      </c>
    </row>
    <row r="1410" spans="1:10" x14ac:dyDescent="0.25">
      <c r="A1410" t="s">
        <v>8</v>
      </c>
      <c r="B1410" t="s">
        <v>4055</v>
      </c>
      <c r="C1410" t="s">
        <v>4056</v>
      </c>
      <c r="D1410">
        <v>1</v>
      </c>
      <c r="E1410" t="s">
        <v>3696</v>
      </c>
      <c r="F1410" t="s">
        <v>3697</v>
      </c>
      <c r="G1410" s="1"/>
      <c r="H1410" t="str">
        <f>"3250613121099"</f>
        <v>3250613121099</v>
      </c>
      <c r="J1410" t="s">
        <v>4057</v>
      </c>
    </row>
    <row r="1411" spans="1:10" x14ac:dyDescent="0.25">
      <c r="A1411" t="s">
        <v>8</v>
      </c>
      <c r="B1411" t="s">
        <v>4058</v>
      </c>
      <c r="C1411" t="s">
        <v>4059</v>
      </c>
      <c r="D1411">
        <v>1</v>
      </c>
      <c r="E1411" t="s">
        <v>3696</v>
      </c>
      <c r="F1411" t="s">
        <v>3697</v>
      </c>
      <c r="G1411" s="1"/>
      <c r="H1411" t="str">
        <f>"3250613136598"</f>
        <v>3250613136598</v>
      </c>
      <c r="J1411" t="s">
        <v>4060</v>
      </c>
    </row>
    <row r="1412" spans="1:10" x14ac:dyDescent="0.25">
      <c r="A1412" t="s">
        <v>8</v>
      </c>
      <c r="B1412" t="s">
        <v>4061</v>
      </c>
      <c r="C1412" t="s">
        <v>4062</v>
      </c>
      <c r="D1412">
        <v>1</v>
      </c>
      <c r="E1412" t="s">
        <v>3696</v>
      </c>
      <c r="F1412" t="s">
        <v>3697</v>
      </c>
      <c r="G1412" s="1"/>
      <c r="H1412" t="str">
        <f>"3250613130343"</f>
        <v>3250613130343</v>
      </c>
      <c r="J1412" t="s">
        <v>4063</v>
      </c>
    </row>
    <row r="1413" spans="1:10" x14ac:dyDescent="0.25">
      <c r="A1413" t="s">
        <v>8</v>
      </c>
      <c r="B1413" t="s">
        <v>4064</v>
      </c>
      <c r="C1413" t="s">
        <v>4065</v>
      </c>
      <c r="D1413">
        <v>1</v>
      </c>
      <c r="E1413" t="s">
        <v>3696</v>
      </c>
      <c r="F1413" t="s">
        <v>3697</v>
      </c>
      <c r="G1413" s="1"/>
      <c r="H1413" t="str">
        <f>"3250613130374"</f>
        <v>3250613130374</v>
      </c>
      <c r="J1413" t="s">
        <v>4066</v>
      </c>
    </row>
    <row r="1414" spans="1:10" x14ac:dyDescent="0.25">
      <c r="A1414" t="s">
        <v>8</v>
      </c>
      <c r="B1414" t="s">
        <v>4067</v>
      </c>
      <c r="C1414" t="s">
        <v>4068</v>
      </c>
      <c r="D1414">
        <v>1</v>
      </c>
      <c r="E1414" t="s">
        <v>3696</v>
      </c>
      <c r="F1414" t="s">
        <v>3697</v>
      </c>
      <c r="G1414" s="1"/>
      <c r="H1414" t="str">
        <f>"3250613130503"</f>
        <v>3250613130503</v>
      </c>
      <c r="J1414" t="s">
        <v>4069</v>
      </c>
    </row>
    <row r="1415" spans="1:10" x14ac:dyDescent="0.25">
      <c r="A1415" t="s">
        <v>8</v>
      </c>
      <c r="B1415" t="s">
        <v>4070</v>
      </c>
      <c r="C1415" t="s">
        <v>4071</v>
      </c>
      <c r="D1415">
        <v>1</v>
      </c>
      <c r="E1415" t="s">
        <v>3696</v>
      </c>
      <c r="F1415" t="s">
        <v>3697</v>
      </c>
      <c r="G1415" s="1"/>
      <c r="H1415" t="str">
        <f>"3250613190057"</f>
        <v>3250613190057</v>
      </c>
      <c r="J1415" t="s">
        <v>4072</v>
      </c>
    </row>
    <row r="1416" spans="1:10" x14ac:dyDescent="0.25">
      <c r="A1416" t="s">
        <v>8</v>
      </c>
      <c r="B1416" t="s">
        <v>4073</v>
      </c>
      <c r="C1416" t="s">
        <v>4074</v>
      </c>
      <c r="D1416">
        <v>1</v>
      </c>
      <c r="E1416" t="s">
        <v>3696</v>
      </c>
      <c r="F1416" t="s">
        <v>3697</v>
      </c>
      <c r="G1416" s="1"/>
      <c r="H1416" t="str">
        <f>"3250613191245"</f>
        <v>3250613191245</v>
      </c>
      <c r="J1416" t="s">
        <v>4075</v>
      </c>
    </row>
    <row r="1417" spans="1:10" x14ac:dyDescent="0.25">
      <c r="A1417" t="s">
        <v>8</v>
      </c>
      <c r="B1417" t="s">
        <v>4076</v>
      </c>
      <c r="C1417" t="s">
        <v>4077</v>
      </c>
      <c r="D1417">
        <v>1</v>
      </c>
      <c r="E1417" t="s">
        <v>3696</v>
      </c>
      <c r="F1417" t="s">
        <v>3697</v>
      </c>
      <c r="G1417" s="1"/>
      <c r="H1417" t="str">
        <f>"3250613130954"</f>
        <v>3250613130954</v>
      </c>
      <c r="J1417" t="s">
        <v>3773</v>
      </c>
    </row>
    <row r="1418" spans="1:10" x14ac:dyDescent="0.25">
      <c r="A1418" t="s">
        <v>8</v>
      </c>
      <c r="B1418" t="s">
        <v>4078</v>
      </c>
      <c r="C1418" t="s">
        <v>4079</v>
      </c>
      <c r="D1418">
        <v>1</v>
      </c>
      <c r="E1418" t="s">
        <v>3696</v>
      </c>
      <c r="F1418" t="s">
        <v>3697</v>
      </c>
      <c r="G1418" s="1"/>
      <c r="H1418" t="str">
        <f>"3250613130985"</f>
        <v>3250613130985</v>
      </c>
      <c r="J1418" t="s">
        <v>4080</v>
      </c>
    </row>
    <row r="1419" spans="1:10" x14ac:dyDescent="0.25">
      <c r="A1419" t="s">
        <v>8</v>
      </c>
      <c r="B1419" t="s">
        <v>4081</v>
      </c>
      <c r="C1419" t="s">
        <v>4082</v>
      </c>
      <c r="D1419">
        <v>1</v>
      </c>
      <c r="E1419" t="s">
        <v>3696</v>
      </c>
      <c r="F1419" t="s">
        <v>3697</v>
      </c>
      <c r="G1419" s="1"/>
      <c r="H1419" t="str">
        <f>"3250613349752"</f>
        <v>3250613349752</v>
      </c>
      <c r="J1419" t="s">
        <v>4083</v>
      </c>
    </row>
    <row r="1420" spans="1:10" x14ac:dyDescent="0.25">
      <c r="A1420" t="s">
        <v>8</v>
      </c>
      <c r="B1420" t="s">
        <v>4084</v>
      </c>
      <c r="C1420" t="s">
        <v>4085</v>
      </c>
      <c r="D1420">
        <v>1</v>
      </c>
      <c r="E1420" t="s">
        <v>3696</v>
      </c>
      <c r="F1420" t="s">
        <v>3697</v>
      </c>
      <c r="G1420" s="1"/>
      <c r="H1420" t="str">
        <f>"3250613281373"</f>
        <v>3250613281373</v>
      </c>
      <c r="J1420" t="s">
        <v>4086</v>
      </c>
    </row>
    <row r="1421" spans="1:10" x14ac:dyDescent="0.25">
      <c r="A1421" t="s">
        <v>8</v>
      </c>
      <c r="B1421" t="s">
        <v>4087</v>
      </c>
      <c r="C1421" t="s">
        <v>4088</v>
      </c>
      <c r="D1421">
        <v>1</v>
      </c>
      <c r="E1421" t="s">
        <v>3696</v>
      </c>
      <c r="F1421" t="s">
        <v>3697</v>
      </c>
      <c r="G1421" s="1"/>
      <c r="H1421" t="str">
        <f>"3250613113575"</f>
        <v>3250613113575</v>
      </c>
      <c r="J1421" t="s">
        <v>4089</v>
      </c>
    </row>
    <row r="1422" spans="1:10" x14ac:dyDescent="0.25">
      <c r="A1422" t="s">
        <v>8</v>
      </c>
      <c r="B1422" t="s">
        <v>4090</v>
      </c>
      <c r="C1422" t="s">
        <v>4091</v>
      </c>
      <c r="D1422">
        <v>1</v>
      </c>
      <c r="E1422" t="s">
        <v>3696</v>
      </c>
      <c r="F1422" t="s">
        <v>3697</v>
      </c>
      <c r="G1422" s="1"/>
      <c r="H1422" t="str">
        <f>"3250613281496"</f>
        <v>3250613281496</v>
      </c>
      <c r="J1422" t="s">
        <v>4092</v>
      </c>
    </row>
    <row r="1423" spans="1:10" x14ac:dyDescent="0.25">
      <c r="A1423" t="s">
        <v>8</v>
      </c>
      <c r="B1423" t="s">
        <v>4093</v>
      </c>
      <c r="C1423" t="s">
        <v>4094</v>
      </c>
      <c r="D1423">
        <v>1</v>
      </c>
      <c r="E1423" t="s">
        <v>3696</v>
      </c>
      <c r="F1423" t="s">
        <v>3697</v>
      </c>
      <c r="G1423" s="1"/>
      <c r="H1423" t="str">
        <f>"3250613114305"</f>
        <v>3250613114305</v>
      </c>
      <c r="J1423" t="s">
        <v>4095</v>
      </c>
    </row>
    <row r="1424" spans="1:10" x14ac:dyDescent="0.25">
      <c r="A1424" t="s">
        <v>8</v>
      </c>
      <c r="B1424" t="s">
        <v>4096</v>
      </c>
      <c r="C1424" t="s">
        <v>4097</v>
      </c>
      <c r="D1424">
        <v>1</v>
      </c>
      <c r="E1424" t="s">
        <v>3696</v>
      </c>
      <c r="F1424" t="s">
        <v>3697</v>
      </c>
      <c r="G1424" s="1"/>
      <c r="H1424" t="str">
        <f>"3250613114442"</f>
        <v>3250613114442</v>
      </c>
      <c r="J1424" t="s">
        <v>4098</v>
      </c>
    </row>
    <row r="1425" spans="1:10" x14ac:dyDescent="0.25">
      <c r="A1425" t="s">
        <v>8</v>
      </c>
      <c r="B1425" t="s">
        <v>4099</v>
      </c>
      <c r="C1425" t="s">
        <v>4100</v>
      </c>
      <c r="D1425">
        <v>1</v>
      </c>
      <c r="E1425" t="s">
        <v>3696</v>
      </c>
      <c r="F1425" t="s">
        <v>3697</v>
      </c>
      <c r="G1425" s="1"/>
      <c r="H1425" t="str">
        <f>"3250613114299"</f>
        <v>3250613114299</v>
      </c>
      <c r="J1425" t="s">
        <v>4101</v>
      </c>
    </row>
    <row r="1426" spans="1:10" x14ac:dyDescent="0.25">
      <c r="A1426" t="s">
        <v>8</v>
      </c>
      <c r="B1426" t="s">
        <v>4102</v>
      </c>
      <c r="C1426" t="s">
        <v>4103</v>
      </c>
      <c r="D1426">
        <v>1</v>
      </c>
      <c r="E1426" t="s">
        <v>3696</v>
      </c>
      <c r="F1426" t="s">
        <v>3697</v>
      </c>
      <c r="G1426" s="1"/>
      <c r="H1426" t="str">
        <f>"3250613114435"</f>
        <v>3250613114435</v>
      </c>
      <c r="J1426" t="s">
        <v>4104</v>
      </c>
    </row>
    <row r="1427" spans="1:10" x14ac:dyDescent="0.25">
      <c r="A1427" t="s">
        <v>8</v>
      </c>
      <c r="B1427" t="s">
        <v>4105</v>
      </c>
      <c r="C1427" t="s">
        <v>4106</v>
      </c>
      <c r="D1427">
        <v>1</v>
      </c>
      <c r="E1427" t="s">
        <v>3696</v>
      </c>
      <c r="F1427" t="s">
        <v>3697</v>
      </c>
      <c r="G1427" s="1"/>
      <c r="H1427" t="str">
        <f>"3250613114367"</f>
        <v>3250613114367</v>
      </c>
      <c r="J1427" t="s">
        <v>4107</v>
      </c>
    </row>
    <row r="1428" spans="1:10" x14ac:dyDescent="0.25">
      <c r="A1428" t="s">
        <v>8</v>
      </c>
      <c r="B1428" t="s">
        <v>4108</v>
      </c>
      <c r="C1428" t="s">
        <v>4109</v>
      </c>
      <c r="D1428">
        <v>1</v>
      </c>
      <c r="E1428" t="s">
        <v>3696</v>
      </c>
      <c r="F1428" t="s">
        <v>3697</v>
      </c>
      <c r="G1428" s="1"/>
      <c r="H1428" t="str">
        <f>"3250613114428"</f>
        <v>3250613114428</v>
      </c>
      <c r="J1428" t="s">
        <v>4110</v>
      </c>
    </row>
    <row r="1429" spans="1:10" x14ac:dyDescent="0.25">
      <c r="A1429" t="s">
        <v>8</v>
      </c>
      <c r="B1429" t="s">
        <v>4111</v>
      </c>
      <c r="C1429" t="s">
        <v>4112</v>
      </c>
      <c r="D1429">
        <v>1</v>
      </c>
      <c r="E1429" t="s">
        <v>3696</v>
      </c>
      <c r="F1429" t="s">
        <v>3697</v>
      </c>
      <c r="G1429" s="1"/>
      <c r="H1429" t="str">
        <f>"3250613114350"</f>
        <v>3250613114350</v>
      </c>
      <c r="J1429" t="s">
        <v>4113</v>
      </c>
    </row>
    <row r="1430" spans="1:10" x14ac:dyDescent="0.25">
      <c r="A1430" t="s">
        <v>8</v>
      </c>
      <c r="B1430" t="s">
        <v>4114</v>
      </c>
      <c r="C1430" t="s">
        <v>4115</v>
      </c>
      <c r="D1430">
        <v>1</v>
      </c>
      <c r="E1430" t="s">
        <v>3696</v>
      </c>
      <c r="F1430" t="s">
        <v>3697</v>
      </c>
      <c r="G1430" s="1"/>
      <c r="H1430" t="str">
        <f>"3250613114411"</f>
        <v>3250613114411</v>
      </c>
      <c r="J1430" t="s">
        <v>4116</v>
      </c>
    </row>
    <row r="1431" spans="1:10" x14ac:dyDescent="0.25">
      <c r="A1431" t="s">
        <v>8</v>
      </c>
      <c r="B1431" t="s">
        <v>4117</v>
      </c>
      <c r="C1431" t="s">
        <v>4118</v>
      </c>
      <c r="D1431">
        <v>1</v>
      </c>
      <c r="E1431" t="s">
        <v>3696</v>
      </c>
      <c r="F1431" t="s">
        <v>3697</v>
      </c>
      <c r="G1431" s="1"/>
      <c r="H1431" t="str">
        <f>"3250613114343"</f>
        <v>3250613114343</v>
      </c>
      <c r="J1431" t="s">
        <v>4119</v>
      </c>
    </row>
    <row r="1432" spans="1:10" x14ac:dyDescent="0.25">
      <c r="A1432" t="s">
        <v>8</v>
      </c>
      <c r="B1432" t="s">
        <v>4120</v>
      </c>
      <c r="C1432" t="s">
        <v>4121</v>
      </c>
      <c r="D1432">
        <v>1</v>
      </c>
      <c r="E1432" t="s">
        <v>3696</v>
      </c>
      <c r="F1432" t="s">
        <v>3697</v>
      </c>
      <c r="G1432" s="1"/>
      <c r="H1432" t="str">
        <f>"3250613114282"</f>
        <v>3250613114282</v>
      </c>
      <c r="J1432" t="s">
        <v>4122</v>
      </c>
    </row>
    <row r="1433" spans="1:10" x14ac:dyDescent="0.25">
      <c r="A1433" t="s">
        <v>8</v>
      </c>
      <c r="B1433" t="s">
        <v>4123</v>
      </c>
      <c r="C1433" t="s">
        <v>4124</v>
      </c>
      <c r="D1433">
        <v>1</v>
      </c>
      <c r="E1433" t="s">
        <v>3696</v>
      </c>
      <c r="F1433" t="s">
        <v>3697</v>
      </c>
      <c r="G1433" s="1"/>
      <c r="H1433" t="str">
        <f>"3250613114336"</f>
        <v>3250613114336</v>
      </c>
      <c r="J1433" t="s">
        <v>4125</v>
      </c>
    </row>
    <row r="1434" spans="1:10" x14ac:dyDescent="0.25">
      <c r="A1434" t="s">
        <v>8</v>
      </c>
      <c r="B1434" t="s">
        <v>4126</v>
      </c>
      <c r="C1434" t="s">
        <v>4127</v>
      </c>
      <c r="D1434">
        <v>1</v>
      </c>
      <c r="E1434" t="s">
        <v>3696</v>
      </c>
      <c r="F1434" t="s">
        <v>3697</v>
      </c>
      <c r="G1434" s="1"/>
      <c r="H1434" t="str">
        <f>"3250613114275"</f>
        <v>3250613114275</v>
      </c>
      <c r="J1434" t="s">
        <v>4128</v>
      </c>
    </row>
    <row r="1435" spans="1:10" x14ac:dyDescent="0.25">
      <c r="A1435" t="s">
        <v>8</v>
      </c>
      <c r="B1435" t="s">
        <v>4129</v>
      </c>
      <c r="C1435" t="s">
        <v>4130</v>
      </c>
      <c r="D1435">
        <v>1</v>
      </c>
      <c r="E1435" t="s">
        <v>3696</v>
      </c>
      <c r="F1435" t="s">
        <v>3697</v>
      </c>
      <c r="G1435" s="1"/>
      <c r="H1435" t="str">
        <f>"3250613114404"</f>
        <v>3250613114404</v>
      </c>
      <c r="J1435" t="s">
        <v>4131</v>
      </c>
    </row>
    <row r="1436" spans="1:10" x14ac:dyDescent="0.25">
      <c r="A1436" t="s">
        <v>8</v>
      </c>
      <c r="B1436" t="s">
        <v>4132</v>
      </c>
      <c r="C1436" t="s">
        <v>4133</v>
      </c>
      <c r="D1436">
        <v>1</v>
      </c>
      <c r="E1436" t="s">
        <v>3696</v>
      </c>
      <c r="F1436" t="s">
        <v>3697</v>
      </c>
      <c r="G1436" s="1"/>
      <c r="H1436" t="str">
        <f>"3250613114466"</f>
        <v>3250613114466</v>
      </c>
      <c r="J1436" t="s">
        <v>4134</v>
      </c>
    </row>
    <row r="1437" spans="1:10" x14ac:dyDescent="0.25">
      <c r="A1437" t="s">
        <v>8</v>
      </c>
      <c r="B1437" t="s">
        <v>4135</v>
      </c>
      <c r="C1437" t="s">
        <v>4136</v>
      </c>
      <c r="D1437">
        <v>1</v>
      </c>
      <c r="E1437" t="s">
        <v>3696</v>
      </c>
      <c r="F1437" t="s">
        <v>3697</v>
      </c>
      <c r="G1437" s="1"/>
      <c r="H1437" t="str">
        <f>"3250613114268"</f>
        <v>3250613114268</v>
      </c>
      <c r="J1437" t="s">
        <v>4137</v>
      </c>
    </row>
    <row r="1438" spans="1:10" x14ac:dyDescent="0.25">
      <c r="A1438" t="s">
        <v>8</v>
      </c>
      <c r="B1438" t="s">
        <v>4138</v>
      </c>
      <c r="C1438" t="s">
        <v>4139</v>
      </c>
      <c r="D1438">
        <v>1</v>
      </c>
      <c r="E1438" t="s">
        <v>3696</v>
      </c>
      <c r="F1438" t="s">
        <v>3697</v>
      </c>
      <c r="G1438" s="1"/>
      <c r="H1438" t="str">
        <f>"3250613114398"</f>
        <v>3250613114398</v>
      </c>
      <c r="J1438" t="s">
        <v>4140</v>
      </c>
    </row>
    <row r="1439" spans="1:10" x14ac:dyDescent="0.25">
      <c r="A1439" t="s">
        <v>8</v>
      </c>
      <c r="B1439" t="s">
        <v>4141</v>
      </c>
      <c r="C1439" t="s">
        <v>4142</v>
      </c>
      <c r="D1439">
        <v>1</v>
      </c>
      <c r="E1439" t="s">
        <v>3696</v>
      </c>
      <c r="F1439" t="s">
        <v>3697</v>
      </c>
      <c r="G1439" s="1"/>
      <c r="H1439" t="str">
        <f>"3250613114459"</f>
        <v>3250613114459</v>
      </c>
      <c r="J1439" t="s">
        <v>4143</v>
      </c>
    </row>
    <row r="1440" spans="1:10" x14ac:dyDescent="0.25">
      <c r="A1440" t="s">
        <v>8</v>
      </c>
      <c r="B1440" t="s">
        <v>4144</v>
      </c>
      <c r="C1440" t="s">
        <v>4145</v>
      </c>
      <c r="D1440">
        <v>1</v>
      </c>
      <c r="E1440" t="s">
        <v>3696</v>
      </c>
      <c r="F1440" t="s">
        <v>3697</v>
      </c>
      <c r="G1440" s="1"/>
      <c r="H1440" t="str">
        <f>"3250613114251"</f>
        <v>3250613114251</v>
      </c>
      <c r="J1440" t="s">
        <v>4146</v>
      </c>
    </row>
    <row r="1441" spans="1:10" x14ac:dyDescent="0.25">
      <c r="A1441" t="s">
        <v>8</v>
      </c>
      <c r="B1441" t="s">
        <v>4147</v>
      </c>
      <c r="C1441" t="s">
        <v>4148</v>
      </c>
      <c r="D1441">
        <v>1</v>
      </c>
      <c r="E1441" t="s">
        <v>3696</v>
      </c>
      <c r="F1441" t="s">
        <v>3697</v>
      </c>
      <c r="G1441" s="1"/>
      <c r="H1441" t="str">
        <f>"3250613114381"</f>
        <v>3250613114381</v>
      </c>
      <c r="J1441" t="s">
        <v>4149</v>
      </c>
    </row>
    <row r="1442" spans="1:10" x14ac:dyDescent="0.25">
      <c r="A1442" t="s">
        <v>8</v>
      </c>
      <c r="B1442" t="s">
        <v>4150</v>
      </c>
      <c r="C1442" t="s">
        <v>4151</v>
      </c>
      <c r="D1442">
        <v>1</v>
      </c>
      <c r="E1442" t="s">
        <v>3696</v>
      </c>
      <c r="F1442" t="s">
        <v>3697</v>
      </c>
      <c r="G1442" s="1"/>
      <c r="H1442" t="str">
        <f>"3250613114329"</f>
        <v>3250613114329</v>
      </c>
      <c r="J1442" t="s">
        <v>4122</v>
      </c>
    </row>
    <row r="1443" spans="1:10" x14ac:dyDescent="0.25">
      <c r="A1443" t="s">
        <v>8</v>
      </c>
      <c r="B1443" t="s">
        <v>4152</v>
      </c>
      <c r="C1443" t="s">
        <v>4153</v>
      </c>
      <c r="D1443">
        <v>1</v>
      </c>
      <c r="E1443" t="s">
        <v>3696</v>
      </c>
      <c r="F1443" t="s">
        <v>3697</v>
      </c>
      <c r="G1443" s="1"/>
      <c r="H1443" t="str">
        <f>"3250613114374"</f>
        <v>3250613114374</v>
      </c>
      <c r="J1443" t="s">
        <v>4154</v>
      </c>
    </row>
    <row r="1444" spans="1:10" x14ac:dyDescent="0.25">
      <c r="A1444" t="s">
        <v>8</v>
      </c>
      <c r="B1444" t="s">
        <v>4155</v>
      </c>
      <c r="C1444" t="s">
        <v>4156</v>
      </c>
      <c r="D1444">
        <v>1</v>
      </c>
      <c r="E1444" t="s">
        <v>3696</v>
      </c>
      <c r="F1444" t="s">
        <v>3697</v>
      </c>
      <c r="G1444" s="1"/>
      <c r="H1444" t="str">
        <f>"3250613114312"</f>
        <v>3250613114312</v>
      </c>
      <c r="J1444" t="s">
        <v>4157</v>
      </c>
    </row>
    <row r="1445" spans="1:10" x14ac:dyDescent="0.25">
      <c r="A1445" t="s">
        <v>8</v>
      </c>
      <c r="B1445" t="s">
        <v>4158</v>
      </c>
      <c r="C1445" t="s">
        <v>4159</v>
      </c>
      <c r="D1445">
        <v>1</v>
      </c>
      <c r="E1445" t="s">
        <v>3696</v>
      </c>
      <c r="F1445" t="s">
        <v>3697</v>
      </c>
      <c r="G1445" s="1"/>
      <c r="H1445" t="str">
        <f>"3250613120863"</f>
        <v>3250613120863</v>
      </c>
      <c r="J1445" t="s">
        <v>4160</v>
      </c>
    </row>
    <row r="1446" spans="1:10" x14ac:dyDescent="0.25">
      <c r="A1446" t="s">
        <v>8</v>
      </c>
      <c r="B1446" t="s">
        <v>4161</v>
      </c>
      <c r="C1446" t="s">
        <v>4162</v>
      </c>
      <c r="D1446">
        <v>1</v>
      </c>
      <c r="E1446" t="s">
        <v>3696</v>
      </c>
      <c r="F1446" t="s">
        <v>3697</v>
      </c>
      <c r="G1446" s="1"/>
      <c r="H1446" t="str">
        <f>"3250613120856"</f>
        <v>3250613120856</v>
      </c>
      <c r="J1446" t="s">
        <v>4163</v>
      </c>
    </row>
    <row r="1447" spans="1:10" x14ac:dyDescent="0.25">
      <c r="A1447" t="s">
        <v>8</v>
      </c>
      <c r="B1447" t="s">
        <v>4164</v>
      </c>
      <c r="C1447" t="s">
        <v>4165</v>
      </c>
      <c r="D1447">
        <v>1</v>
      </c>
      <c r="E1447" t="s">
        <v>3696</v>
      </c>
      <c r="F1447" t="s">
        <v>3697</v>
      </c>
      <c r="G1447" s="1"/>
      <c r="H1447" t="str">
        <f>"3250613191375"</f>
        <v>3250613191375</v>
      </c>
      <c r="J1447" t="s">
        <v>4166</v>
      </c>
    </row>
    <row r="1448" spans="1:10" x14ac:dyDescent="0.25">
      <c r="A1448" t="s">
        <v>8</v>
      </c>
      <c r="B1448" t="s">
        <v>4167</v>
      </c>
      <c r="C1448" t="s">
        <v>4168</v>
      </c>
      <c r="D1448">
        <v>1</v>
      </c>
      <c r="E1448" t="s">
        <v>3696</v>
      </c>
      <c r="F1448" t="s">
        <v>3697</v>
      </c>
      <c r="G1448" s="1"/>
      <c r="H1448" t="str">
        <f>"3250613191382"</f>
        <v>3250613191382</v>
      </c>
      <c r="J1448" t="s">
        <v>4169</v>
      </c>
    </row>
    <row r="1449" spans="1:10" x14ac:dyDescent="0.25">
      <c r="A1449" t="s">
        <v>8</v>
      </c>
      <c r="B1449" t="s">
        <v>4170</v>
      </c>
      <c r="C1449" t="s">
        <v>4171</v>
      </c>
      <c r="D1449">
        <v>1</v>
      </c>
      <c r="E1449" t="s">
        <v>3696</v>
      </c>
      <c r="F1449" t="s">
        <v>3697</v>
      </c>
      <c r="G1449" s="1"/>
      <c r="H1449" t="str">
        <f>"3250613191399"</f>
        <v>3250613191399</v>
      </c>
      <c r="J1449" t="s">
        <v>4172</v>
      </c>
    </row>
    <row r="1450" spans="1:10" x14ac:dyDescent="0.25">
      <c r="A1450" t="s">
        <v>8</v>
      </c>
      <c r="B1450" t="s">
        <v>4173</v>
      </c>
      <c r="C1450" t="s">
        <v>4174</v>
      </c>
      <c r="D1450">
        <v>1</v>
      </c>
      <c r="E1450" t="s">
        <v>3696</v>
      </c>
      <c r="F1450" t="s">
        <v>3697</v>
      </c>
      <c r="G1450" s="1"/>
      <c r="H1450" t="str">
        <f>"3250613191405"</f>
        <v>3250613191405</v>
      </c>
      <c r="J1450" t="s">
        <v>4175</v>
      </c>
    </row>
    <row r="1451" spans="1:10" x14ac:dyDescent="0.25">
      <c r="A1451" t="s">
        <v>8</v>
      </c>
      <c r="B1451" t="s">
        <v>4176</v>
      </c>
      <c r="C1451" t="s">
        <v>4177</v>
      </c>
      <c r="D1451">
        <v>1</v>
      </c>
      <c r="E1451" t="s">
        <v>3696</v>
      </c>
      <c r="F1451" t="s">
        <v>3697</v>
      </c>
      <c r="G1451" s="1"/>
      <c r="H1451" t="str">
        <f>"3250613191412"</f>
        <v>3250613191412</v>
      </c>
      <c r="J1451" t="s">
        <v>4178</v>
      </c>
    </row>
    <row r="1452" spans="1:10" x14ac:dyDescent="0.25">
      <c r="A1452" t="s">
        <v>8</v>
      </c>
      <c r="B1452" t="s">
        <v>4179</v>
      </c>
      <c r="C1452" t="s">
        <v>4180</v>
      </c>
      <c r="D1452">
        <v>1</v>
      </c>
      <c r="E1452" t="s">
        <v>3696</v>
      </c>
      <c r="F1452" t="s">
        <v>3697</v>
      </c>
      <c r="G1452" s="1"/>
      <c r="H1452" t="str">
        <f>"3250613191429"</f>
        <v>3250613191429</v>
      </c>
      <c r="J1452" t="s">
        <v>4181</v>
      </c>
    </row>
    <row r="1453" spans="1:10" x14ac:dyDescent="0.25">
      <c r="A1453" t="s">
        <v>8</v>
      </c>
      <c r="B1453" t="s">
        <v>4182</v>
      </c>
      <c r="C1453" t="s">
        <v>4183</v>
      </c>
      <c r="D1453">
        <v>1</v>
      </c>
      <c r="E1453" t="s">
        <v>3696</v>
      </c>
      <c r="F1453" t="s">
        <v>3697</v>
      </c>
      <c r="G1453" s="1"/>
      <c r="H1453" t="str">
        <f>"3250613191436"</f>
        <v>3250613191436</v>
      </c>
      <c r="J1453" t="s">
        <v>4184</v>
      </c>
    </row>
    <row r="1454" spans="1:10" x14ac:dyDescent="0.25">
      <c r="A1454" t="s">
        <v>8</v>
      </c>
      <c r="B1454" t="s">
        <v>4185</v>
      </c>
      <c r="C1454" t="s">
        <v>4186</v>
      </c>
      <c r="D1454">
        <v>1</v>
      </c>
      <c r="E1454" t="s">
        <v>3696</v>
      </c>
      <c r="F1454" t="s">
        <v>3697</v>
      </c>
      <c r="G1454" s="1"/>
      <c r="H1454" t="str">
        <f>"3250613131784"</f>
        <v>3250613131784</v>
      </c>
      <c r="I1454" s="1"/>
      <c r="J1454" t="s">
        <v>4187</v>
      </c>
    </row>
    <row r="1455" spans="1:10" x14ac:dyDescent="0.25">
      <c r="A1455" t="s">
        <v>8</v>
      </c>
      <c r="B1455" t="s">
        <v>4188</v>
      </c>
      <c r="C1455" t="s">
        <v>4189</v>
      </c>
      <c r="D1455">
        <v>1</v>
      </c>
      <c r="E1455" t="s">
        <v>3696</v>
      </c>
      <c r="F1455" t="s">
        <v>3697</v>
      </c>
      <c r="G1455" s="1"/>
      <c r="H1455" t="str">
        <f>"3250613131791"</f>
        <v>3250613131791</v>
      </c>
      <c r="J1455" t="s">
        <v>4190</v>
      </c>
    </row>
    <row r="1456" spans="1:10" x14ac:dyDescent="0.25">
      <c r="A1456" t="s">
        <v>8</v>
      </c>
      <c r="B1456" t="s">
        <v>4191</v>
      </c>
      <c r="C1456" t="s">
        <v>4192</v>
      </c>
      <c r="D1456">
        <v>1</v>
      </c>
      <c r="E1456" t="s">
        <v>3696</v>
      </c>
      <c r="F1456" t="s">
        <v>3697</v>
      </c>
      <c r="G1456" s="1"/>
      <c r="H1456" t="str">
        <f>"3250613131807"</f>
        <v>3250613131807</v>
      </c>
      <c r="J1456" t="s">
        <v>4193</v>
      </c>
    </row>
    <row r="1457" spans="1:10" x14ac:dyDescent="0.25">
      <c r="A1457" t="s">
        <v>8</v>
      </c>
      <c r="B1457" t="s">
        <v>4194</v>
      </c>
      <c r="C1457" t="s">
        <v>4195</v>
      </c>
      <c r="D1457">
        <v>1</v>
      </c>
      <c r="E1457" t="s">
        <v>3696</v>
      </c>
      <c r="F1457" t="s">
        <v>3697</v>
      </c>
      <c r="G1457" s="1"/>
      <c r="H1457" t="str">
        <f>"3250613131814"</f>
        <v>3250613131814</v>
      </c>
      <c r="J1457" t="s">
        <v>4196</v>
      </c>
    </row>
    <row r="1458" spans="1:10" x14ac:dyDescent="0.25">
      <c r="A1458" t="s">
        <v>8</v>
      </c>
      <c r="B1458" t="s">
        <v>4197</v>
      </c>
      <c r="C1458" t="s">
        <v>4198</v>
      </c>
      <c r="D1458">
        <v>1</v>
      </c>
      <c r="E1458" t="s">
        <v>3696</v>
      </c>
      <c r="F1458" t="s">
        <v>3697</v>
      </c>
      <c r="G1458" s="1"/>
      <c r="H1458" t="str">
        <f>"3250613131821"</f>
        <v>3250613131821</v>
      </c>
      <c r="J1458" t="s">
        <v>4199</v>
      </c>
    </row>
    <row r="1459" spans="1:10" x14ac:dyDescent="0.25">
      <c r="A1459" t="s">
        <v>8</v>
      </c>
      <c r="B1459" t="s">
        <v>4200</v>
      </c>
      <c r="C1459" t="s">
        <v>4201</v>
      </c>
      <c r="D1459">
        <v>1</v>
      </c>
      <c r="E1459" t="s">
        <v>3696</v>
      </c>
      <c r="F1459" t="s">
        <v>3697</v>
      </c>
      <c r="G1459" s="1"/>
      <c r="H1459" t="str">
        <f>"3250613131838"</f>
        <v>3250613131838</v>
      </c>
      <c r="J1459" t="s">
        <v>4202</v>
      </c>
    </row>
    <row r="1460" spans="1:10" x14ac:dyDescent="0.25">
      <c r="A1460" t="s">
        <v>8</v>
      </c>
      <c r="B1460" t="s">
        <v>4203</v>
      </c>
      <c r="C1460" t="s">
        <v>4204</v>
      </c>
      <c r="D1460">
        <v>1</v>
      </c>
      <c r="E1460" t="s">
        <v>3696</v>
      </c>
      <c r="F1460" t="s">
        <v>3697</v>
      </c>
      <c r="G1460" s="1"/>
      <c r="H1460" t="str">
        <f>"3250613131845"</f>
        <v>3250613131845</v>
      </c>
      <c r="J1460" t="s">
        <v>4205</v>
      </c>
    </row>
    <row r="1461" spans="1:10" x14ac:dyDescent="0.25">
      <c r="A1461" t="s">
        <v>8</v>
      </c>
      <c r="B1461" t="s">
        <v>4206</v>
      </c>
      <c r="C1461" t="s">
        <v>4207</v>
      </c>
      <c r="D1461">
        <v>1</v>
      </c>
      <c r="E1461" t="s">
        <v>3696</v>
      </c>
      <c r="F1461" t="s">
        <v>3697</v>
      </c>
      <c r="G1461" s="1"/>
      <c r="H1461" t="str">
        <f>"3250613131852"</f>
        <v>3250613131852</v>
      </c>
      <c r="J1461" t="s">
        <v>4208</v>
      </c>
    </row>
    <row r="1462" spans="1:10" x14ac:dyDescent="0.25">
      <c r="A1462" t="s">
        <v>8</v>
      </c>
      <c r="B1462" t="s">
        <v>4209</v>
      </c>
      <c r="C1462" t="s">
        <v>4210</v>
      </c>
      <c r="D1462">
        <v>1</v>
      </c>
      <c r="E1462" t="s">
        <v>3696</v>
      </c>
      <c r="F1462" t="s">
        <v>3697</v>
      </c>
      <c r="G1462" s="1"/>
      <c r="H1462" t="str">
        <f>"3250613131869"</f>
        <v>3250613131869</v>
      </c>
      <c r="J1462" t="s">
        <v>4211</v>
      </c>
    </row>
    <row r="1463" spans="1:10" x14ac:dyDescent="0.25">
      <c r="A1463" t="s">
        <v>8</v>
      </c>
      <c r="B1463" t="s">
        <v>4212</v>
      </c>
      <c r="C1463" t="s">
        <v>4213</v>
      </c>
      <c r="D1463">
        <v>1</v>
      </c>
      <c r="E1463" t="s">
        <v>3696</v>
      </c>
      <c r="F1463" t="s">
        <v>3697</v>
      </c>
      <c r="G1463" s="1"/>
      <c r="H1463" t="str">
        <f>"3250613131876"</f>
        <v>3250613131876</v>
      </c>
      <c r="J1463" t="s">
        <v>4214</v>
      </c>
    </row>
    <row r="1464" spans="1:10" x14ac:dyDescent="0.25">
      <c r="A1464" t="s">
        <v>8</v>
      </c>
      <c r="B1464" t="s">
        <v>4215</v>
      </c>
      <c r="C1464" t="s">
        <v>4216</v>
      </c>
      <c r="D1464">
        <v>1</v>
      </c>
      <c r="E1464" t="s">
        <v>3696</v>
      </c>
      <c r="F1464" t="s">
        <v>3697</v>
      </c>
      <c r="G1464" s="1"/>
      <c r="H1464" t="str">
        <f>"3250613131883"</f>
        <v>3250613131883</v>
      </c>
      <c r="J1464" t="s">
        <v>4217</v>
      </c>
    </row>
    <row r="1465" spans="1:10" x14ac:dyDescent="0.25">
      <c r="A1465" t="s">
        <v>8</v>
      </c>
      <c r="B1465" t="s">
        <v>4218</v>
      </c>
      <c r="C1465" t="s">
        <v>4219</v>
      </c>
      <c r="D1465">
        <v>1</v>
      </c>
      <c r="E1465" t="s">
        <v>3696</v>
      </c>
      <c r="F1465" t="s">
        <v>3697</v>
      </c>
      <c r="G1465" s="1"/>
      <c r="H1465" t="str">
        <f>"3250613131890"</f>
        <v>3250613131890</v>
      </c>
      <c r="J1465" t="s">
        <v>4220</v>
      </c>
    </row>
    <row r="1466" spans="1:10" x14ac:dyDescent="0.25">
      <c r="A1466" t="s">
        <v>8</v>
      </c>
      <c r="B1466" t="s">
        <v>4221</v>
      </c>
      <c r="C1466" t="s">
        <v>4222</v>
      </c>
      <c r="D1466">
        <v>1</v>
      </c>
      <c r="E1466" t="s">
        <v>3696</v>
      </c>
      <c r="F1466" t="s">
        <v>3697</v>
      </c>
      <c r="G1466" s="1"/>
      <c r="H1466" t="str">
        <f>"3250613131906"</f>
        <v>3250613131906</v>
      </c>
      <c r="J1466" t="s">
        <v>4223</v>
      </c>
    </row>
    <row r="1467" spans="1:10" x14ac:dyDescent="0.25">
      <c r="A1467" t="s">
        <v>8</v>
      </c>
      <c r="B1467" t="s">
        <v>4224</v>
      </c>
      <c r="C1467" t="s">
        <v>4225</v>
      </c>
      <c r="D1467">
        <v>1</v>
      </c>
      <c r="E1467" t="s">
        <v>3696</v>
      </c>
      <c r="F1467" t="s">
        <v>3697</v>
      </c>
      <c r="G1467" s="1"/>
      <c r="H1467" t="str">
        <f>"3250613131913"</f>
        <v>3250613131913</v>
      </c>
      <c r="J1467" t="s">
        <v>4226</v>
      </c>
    </row>
    <row r="1468" spans="1:10" x14ac:dyDescent="0.25">
      <c r="A1468" t="s">
        <v>8</v>
      </c>
      <c r="B1468" t="s">
        <v>4227</v>
      </c>
      <c r="C1468" t="s">
        <v>4228</v>
      </c>
      <c r="D1468">
        <v>1</v>
      </c>
      <c r="E1468" t="s">
        <v>3696</v>
      </c>
      <c r="F1468" t="s">
        <v>3697</v>
      </c>
      <c r="G1468" s="1"/>
      <c r="H1468" t="str">
        <f>"3250613150846"</f>
        <v>3250613150846</v>
      </c>
      <c r="J1468" t="s">
        <v>4229</v>
      </c>
    </row>
    <row r="1469" spans="1:10" x14ac:dyDescent="0.25">
      <c r="A1469" t="s">
        <v>8</v>
      </c>
      <c r="B1469" t="s">
        <v>4230</v>
      </c>
      <c r="C1469" t="s">
        <v>4231</v>
      </c>
      <c r="D1469">
        <v>1</v>
      </c>
      <c r="E1469" t="s">
        <v>3696</v>
      </c>
      <c r="F1469" t="s">
        <v>3697</v>
      </c>
      <c r="G1469" s="1"/>
      <c r="H1469" t="str">
        <f>"3250613150860"</f>
        <v>3250613150860</v>
      </c>
      <c r="J1469" t="s">
        <v>4232</v>
      </c>
    </row>
    <row r="1470" spans="1:10" x14ac:dyDescent="0.25">
      <c r="A1470" t="s">
        <v>8</v>
      </c>
      <c r="B1470" t="s">
        <v>4233</v>
      </c>
      <c r="C1470" t="s">
        <v>4234</v>
      </c>
      <c r="D1470">
        <v>1</v>
      </c>
      <c r="E1470" t="s">
        <v>3696</v>
      </c>
      <c r="F1470" t="s">
        <v>3697</v>
      </c>
      <c r="G1470" s="1"/>
      <c r="H1470" t="str">
        <f>"3250613176891"</f>
        <v>3250613176891</v>
      </c>
      <c r="J1470" t="s">
        <v>4235</v>
      </c>
    </row>
    <row r="1471" spans="1:10" x14ac:dyDescent="0.25">
      <c r="A1471" t="s">
        <v>8</v>
      </c>
      <c r="B1471" t="s">
        <v>4236</v>
      </c>
      <c r="C1471" t="s">
        <v>4237</v>
      </c>
      <c r="D1471">
        <v>1</v>
      </c>
      <c r="E1471" t="s">
        <v>3696</v>
      </c>
      <c r="F1471" t="s">
        <v>3697</v>
      </c>
      <c r="G1471" s="1"/>
      <c r="H1471" t="str">
        <f>"3250613176907"</f>
        <v>3250613176907</v>
      </c>
      <c r="J1471" t="s">
        <v>4238</v>
      </c>
    </row>
    <row r="1472" spans="1:10" x14ac:dyDescent="0.25">
      <c r="A1472" t="s">
        <v>8</v>
      </c>
      <c r="B1472" t="s">
        <v>4239</v>
      </c>
      <c r="C1472" t="s">
        <v>4240</v>
      </c>
      <c r="D1472">
        <v>1</v>
      </c>
      <c r="E1472" t="s">
        <v>3696</v>
      </c>
      <c r="F1472" t="s">
        <v>3697</v>
      </c>
      <c r="G1472" s="1"/>
      <c r="H1472" t="str">
        <f>"3250613170066"</f>
        <v>3250613170066</v>
      </c>
      <c r="J1472" t="s">
        <v>4241</v>
      </c>
    </row>
    <row r="1473" spans="1:10" x14ac:dyDescent="0.25">
      <c r="A1473" t="s">
        <v>8</v>
      </c>
      <c r="B1473" t="s">
        <v>4242</v>
      </c>
      <c r="C1473" t="s">
        <v>4243</v>
      </c>
      <c r="D1473">
        <v>1</v>
      </c>
      <c r="E1473" t="s">
        <v>3696</v>
      </c>
      <c r="F1473" t="s">
        <v>3697</v>
      </c>
      <c r="G1473" s="1"/>
      <c r="H1473" t="str">
        <f>"3250613170073"</f>
        <v>3250613170073</v>
      </c>
      <c r="J1473" t="s">
        <v>4244</v>
      </c>
    </row>
    <row r="1474" spans="1:10" x14ac:dyDescent="0.25">
      <c r="A1474" t="s">
        <v>8</v>
      </c>
      <c r="B1474" t="s">
        <v>4245</v>
      </c>
      <c r="C1474" t="s">
        <v>4246</v>
      </c>
      <c r="D1474">
        <v>1</v>
      </c>
      <c r="E1474" t="s">
        <v>3696</v>
      </c>
      <c r="F1474" t="s">
        <v>3697</v>
      </c>
      <c r="G1474" s="1"/>
      <c r="H1474" t="str">
        <f>"3250613176914"</f>
        <v>3250613176914</v>
      </c>
      <c r="J1474" t="s">
        <v>4247</v>
      </c>
    </row>
    <row r="1475" spans="1:10" x14ac:dyDescent="0.25">
      <c r="A1475" t="s">
        <v>8</v>
      </c>
      <c r="B1475" t="s">
        <v>4248</v>
      </c>
      <c r="C1475" t="s">
        <v>4249</v>
      </c>
      <c r="D1475">
        <v>1</v>
      </c>
      <c r="E1475" t="s">
        <v>3696</v>
      </c>
      <c r="F1475" t="s">
        <v>3697</v>
      </c>
      <c r="G1475" s="1"/>
      <c r="H1475" t="str">
        <f>"3250613176921"</f>
        <v>3250613176921</v>
      </c>
      <c r="J1475" t="s">
        <v>4250</v>
      </c>
    </row>
    <row r="1476" spans="1:10" x14ac:dyDescent="0.25">
      <c r="A1476" t="s">
        <v>8</v>
      </c>
      <c r="B1476" t="s">
        <v>4251</v>
      </c>
      <c r="C1476" t="s">
        <v>4252</v>
      </c>
      <c r="D1476">
        <v>1</v>
      </c>
      <c r="E1476" t="s">
        <v>3696</v>
      </c>
      <c r="F1476" t="s">
        <v>3697</v>
      </c>
      <c r="G1476" s="1"/>
      <c r="H1476" t="str">
        <f>"3250613176938"</f>
        <v>3250613176938</v>
      </c>
      <c r="J1476" t="s">
        <v>4253</v>
      </c>
    </row>
    <row r="1477" spans="1:10" x14ac:dyDescent="0.25">
      <c r="A1477" t="s">
        <v>8</v>
      </c>
      <c r="B1477" t="s">
        <v>4254</v>
      </c>
      <c r="C1477" t="s">
        <v>4255</v>
      </c>
      <c r="D1477">
        <v>1</v>
      </c>
      <c r="E1477" t="s">
        <v>3696</v>
      </c>
      <c r="F1477" t="s">
        <v>3697</v>
      </c>
      <c r="G1477" s="1"/>
      <c r="H1477" t="str">
        <f>"3250613176945"</f>
        <v>3250613176945</v>
      </c>
      <c r="J1477" t="s">
        <v>4256</v>
      </c>
    </row>
    <row r="1478" spans="1:10" x14ac:dyDescent="0.25">
      <c r="A1478" t="s">
        <v>8</v>
      </c>
      <c r="B1478" t="s">
        <v>4257</v>
      </c>
      <c r="C1478" t="s">
        <v>4258</v>
      </c>
      <c r="D1478">
        <v>1</v>
      </c>
      <c r="E1478" t="s">
        <v>3696</v>
      </c>
      <c r="F1478" t="s">
        <v>3697</v>
      </c>
      <c r="G1478" s="1"/>
      <c r="H1478" t="str">
        <f>"3250613176952"</f>
        <v>3250613176952</v>
      </c>
      <c r="J1478" t="s">
        <v>4247</v>
      </c>
    </row>
    <row r="1479" spans="1:10" x14ac:dyDescent="0.25">
      <c r="A1479" t="s">
        <v>8</v>
      </c>
      <c r="B1479" t="s">
        <v>4259</v>
      </c>
      <c r="C1479" t="s">
        <v>4260</v>
      </c>
      <c r="D1479">
        <v>1</v>
      </c>
      <c r="E1479" t="s">
        <v>3696</v>
      </c>
      <c r="F1479" t="s">
        <v>3697</v>
      </c>
      <c r="G1479" s="1"/>
      <c r="H1479" t="str">
        <f>"3250613176969"</f>
        <v>3250613176969</v>
      </c>
      <c r="J1479" t="s">
        <v>4250</v>
      </c>
    </row>
    <row r="1480" spans="1:10" x14ac:dyDescent="0.25">
      <c r="A1480" t="s">
        <v>8</v>
      </c>
      <c r="B1480" t="s">
        <v>4261</v>
      </c>
      <c r="C1480" t="s">
        <v>4262</v>
      </c>
      <c r="D1480">
        <v>1</v>
      </c>
      <c r="E1480" t="s">
        <v>3696</v>
      </c>
      <c r="F1480" t="s">
        <v>3697</v>
      </c>
      <c r="G1480" s="1"/>
      <c r="H1480" t="str">
        <f>"3250613145576"</f>
        <v>3250613145576</v>
      </c>
      <c r="J1480" t="s">
        <v>4263</v>
      </c>
    </row>
    <row r="1481" spans="1:10" x14ac:dyDescent="0.25">
      <c r="A1481" t="s">
        <v>8</v>
      </c>
      <c r="B1481" t="s">
        <v>4264</v>
      </c>
      <c r="C1481" t="s">
        <v>4265</v>
      </c>
      <c r="D1481">
        <v>1</v>
      </c>
      <c r="E1481" t="s">
        <v>3696</v>
      </c>
      <c r="F1481" t="s">
        <v>3697</v>
      </c>
      <c r="G1481" s="1"/>
      <c r="H1481" t="str">
        <f>"3250613145583"</f>
        <v>3250613145583</v>
      </c>
      <c r="J1481" t="s">
        <v>4266</v>
      </c>
    </row>
    <row r="1482" spans="1:10" x14ac:dyDescent="0.25">
      <c r="A1482" t="s">
        <v>8</v>
      </c>
      <c r="B1482" t="s">
        <v>4267</v>
      </c>
      <c r="C1482" t="s">
        <v>4268</v>
      </c>
      <c r="D1482">
        <v>1</v>
      </c>
      <c r="E1482" t="s">
        <v>3696</v>
      </c>
      <c r="F1482" t="s">
        <v>3697</v>
      </c>
      <c r="G1482" s="1"/>
      <c r="H1482" t="str">
        <f>"3250613141233"</f>
        <v>3250613141233</v>
      </c>
      <c r="J1482" t="s">
        <v>4269</v>
      </c>
    </row>
    <row r="1483" spans="1:10" x14ac:dyDescent="0.25">
      <c r="A1483" t="s">
        <v>8</v>
      </c>
      <c r="B1483" t="s">
        <v>4270</v>
      </c>
      <c r="C1483" t="s">
        <v>4271</v>
      </c>
      <c r="D1483">
        <v>1</v>
      </c>
      <c r="E1483" t="s">
        <v>3696</v>
      </c>
      <c r="F1483" t="s">
        <v>3697</v>
      </c>
      <c r="G1483" s="1"/>
      <c r="H1483" t="str">
        <f>"3250613176976"</f>
        <v>3250613176976</v>
      </c>
      <c r="J1483" t="s">
        <v>4253</v>
      </c>
    </row>
    <row r="1484" spans="1:10" x14ac:dyDescent="0.25">
      <c r="A1484" t="s">
        <v>8</v>
      </c>
      <c r="B1484" t="s">
        <v>4272</v>
      </c>
      <c r="C1484" t="s">
        <v>4273</v>
      </c>
      <c r="D1484">
        <v>1</v>
      </c>
      <c r="E1484" t="s">
        <v>3696</v>
      </c>
      <c r="F1484" t="s">
        <v>3697</v>
      </c>
      <c r="G1484" s="1"/>
      <c r="H1484" t="str">
        <f>"3250613176983"</f>
        <v>3250613176983</v>
      </c>
      <c r="J1484" t="s">
        <v>4256</v>
      </c>
    </row>
    <row r="1485" spans="1:10" x14ac:dyDescent="0.25">
      <c r="A1485" t="s">
        <v>8</v>
      </c>
      <c r="B1485" t="s">
        <v>4274</v>
      </c>
      <c r="C1485" t="s">
        <v>4275</v>
      </c>
      <c r="D1485">
        <v>1</v>
      </c>
      <c r="E1485" t="s">
        <v>3696</v>
      </c>
      <c r="F1485" t="s">
        <v>3697</v>
      </c>
      <c r="G1485" s="1"/>
      <c r="H1485" t="str">
        <f>"3250613145590"</f>
        <v>3250613145590</v>
      </c>
      <c r="J1485" t="s">
        <v>4276</v>
      </c>
    </row>
    <row r="1486" spans="1:10" x14ac:dyDescent="0.25">
      <c r="A1486" t="s">
        <v>8</v>
      </c>
      <c r="B1486" t="s">
        <v>4277</v>
      </c>
      <c r="C1486" t="s">
        <v>4278</v>
      </c>
      <c r="D1486">
        <v>1</v>
      </c>
      <c r="E1486" t="s">
        <v>3696</v>
      </c>
      <c r="F1486" t="s">
        <v>3697</v>
      </c>
      <c r="G1486" s="1"/>
      <c r="H1486" t="str">
        <f>"3250613145606"</f>
        <v>3250613145606</v>
      </c>
      <c r="J1486" t="s">
        <v>4279</v>
      </c>
    </row>
    <row r="1487" spans="1:10" x14ac:dyDescent="0.25">
      <c r="A1487" t="s">
        <v>8</v>
      </c>
      <c r="B1487" t="s">
        <v>4280</v>
      </c>
      <c r="C1487" t="s">
        <v>4281</v>
      </c>
      <c r="D1487">
        <v>1</v>
      </c>
      <c r="E1487" t="s">
        <v>3696</v>
      </c>
      <c r="F1487" t="s">
        <v>3697</v>
      </c>
      <c r="G1487" s="1"/>
      <c r="H1487" t="str">
        <f>"3250613141240"</f>
        <v>3250613141240</v>
      </c>
      <c r="J1487" t="s">
        <v>4282</v>
      </c>
    </row>
    <row r="1488" spans="1:10" x14ac:dyDescent="0.25">
      <c r="A1488" t="s">
        <v>8</v>
      </c>
      <c r="B1488" t="s">
        <v>4283</v>
      </c>
      <c r="C1488" t="s">
        <v>4284</v>
      </c>
      <c r="D1488">
        <v>1</v>
      </c>
      <c r="E1488" t="s">
        <v>3696</v>
      </c>
      <c r="F1488" t="s">
        <v>3697</v>
      </c>
      <c r="G1488" s="1"/>
      <c r="H1488" t="str">
        <f>"3250613176990"</f>
        <v>3250613176990</v>
      </c>
      <c r="J1488" t="s">
        <v>4247</v>
      </c>
    </row>
    <row r="1489" spans="1:10" x14ac:dyDescent="0.25">
      <c r="A1489" t="s">
        <v>8</v>
      </c>
      <c r="B1489" t="s">
        <v>4285</v>
      </c>
      <c r="C1489" t="s">
        <v>4286</v>
      </c>
      <c r="D1489">
        <v>1</v>
      </c>
      <c r="E1489" t="s">
        <v>3696</v>
      </c>
      <c r="F1489" t="s">
        <v>3697</v>
      </c>
      <c r="G1489" s="1"/>
      <c r="H1489" t="str">
        <f>"3250613177003"</f>
        <v>3250613177003</v>
      </c>
      <c r="J1489" t="s">
        <v>4253</v>
      </c>
    </row>
    <row r="1490" spans="1:10" x14ac:dyDescent="0.25">
      <c r="A1490" t="s">
        <v>8</v>
      </c>
      <c r="B1490" t="s">
        <v>4287</v>
      </c>
      <c r="C1490" t="s">
        <v>4288</v>
      </c>
      <c r="D1490">
        <v>1</v>
      </c>
      <c r="E1490" t="s">
        <v>3696</v>
      </c>
      <c r="F1490" t="s">
        <v>3697</v>
      </c>
      <c r="G1490" s="1"/>
      <c r="H1490" t="str">
        <f>"3250613177010"</f>
        <v>3250613177010</v>
      </c>
      <c r="J1490" t="s">
        <v>4247</v>
      </c>
    </row>
    <row r="1491" spans="1:10" x14ac:dyDescent="0.25">
      <c r="A1491" t="s">
        <v>8</v>
      </c>
      <c r="B1491" t="s">
        <v>4289</v>
      </c>
      <c r="C1491" t="s">
        <v>4290</v>
      </c>
      <c r="D1491">
        <v>1</v>
      </c>
      <c r="E1491" t="s">
        <v>3696</v>
      </c>
      <c r="F1491" t="s">
        <v>3697</v>
      </c>
      <c r="G1491" s="1"/>
      <c r="H1491" t="str">
        <f>"3250613177027"</f>
        <v>3250613177027</v>
      </c>
      <c r="J1491" t="s">
        <v>4250</v>
      </c>
    </row>
    <row r="1492" spans="1:10" x14ac:dyDescent="0.25">
      <c r="A1492" t="s">
        <v>8</v>
      </c>
      <c r="B1492" t="s">
        <v>4291</v>
      </c>
      <c r="C1492" t="s">
        <v>4292</v>
      </c>
      <c r="D1492">
        <v>1</v>
      </c>
      <c r="E1492" t="s">
        <v>3696</v>
      </c>
      <c r="F1492" t="s">
        <v>3697</v>
      </c>
      <c r="G1492" s="1"/>
      <c r="H1492" t="str">
        <f>"3250613177034"</f>
        <v>3250613177034</v>
      </c>
      <c r="J1492" t="s">
        <v>4253</v>
      </c>
    </row>
    <row r="1493" spans="1:10" x14ac:dyDescent="0.25">
      <c r="A1493" t="s">
        <v>8</v>
      </c>
      <c r="B1493" t="s">
        <v>4293</v>
      </c>
      <c r="C1493" t="s">
        <v>4294</v>
      </c>
      <c r="D1493">
        <v>1</v>
      </c>
      <c r="E1493" t="s">
        <v>3696</v>
      </c>
      <c r="F1493" t="s">
        <v>3697</v>
      </c>
      <c r="G1493" s="1"/>
      <c r="H1493" t="str">
        <f>"3250613177041"</f>
        <v>3250613177041</v>
      </c>
      <c r="J1493" t="s">
        <v>4256</v>
      </c>
    </row>
    <row r="1494" spans="1:10" x14ac:dyDescent="0.25">
      <c r="A1494" t="s">
        <v>8</v>
      </c>
      <c r="B1494" t="s">
        <v>4295</v>
      </c>
      <c r="C1494" t="s">
        <v>4296</v>
      </c>
      <c r="D1494">
        <v>1</v>
      </c>
      <c r="E1494" t="s">
        <v>3696</v>
      </c>
      <c r="F1494" t="s">
        <v>3697</v>
      </c>
      <c r="G1494" s="1"/>
      <c r="H1494" t="str">
        <f>"3250613177058"</f>
        <v>3250613177058</v>
      </c>
      <c r="J1494" t="s">
        <v>4247</v>
      </c>
    </row>
    <row r="1495" spans="1:10" x14ac:dyDescent="0.25">
      <c r="A1495" t="s">
        <v>8</v>
      </c>
      <c r="B1495" t="s">
        <v>4297</v>
      </c>
      <c r="C1495" t="s">
        <v>4298</v>
      </c>
      <c r="D1495">
        <v>1</v>
      </c>
      <c r="E1495" t="s">
        <v>3696</v>
      </c>
      <c r="F1495" t="s">
        <v>3697</v>
      </c>
      <c r="G1495" s="1"/>
      <c r="H1495" t="str">
        <f>"3250613177065"</f>
        <v>3250613177065</v>
      </c>
      <c r="J1495" t="s">
        <v>4299</v>
      </c>
    </row>
    <row r="1496" spans="1:10" x14ac:dyDescent="0.25">
      <c r="A1496" t="s">
        <v>8</v>
      </c>
      <c r="B1496" t="s">
        <v>4300</v>
      </c>
      <c r="C1496" t="s">
        <v>4301</v>
      </c>
      <c r="D1496">
        <v>1</v>
      </c>
      <c r="E1496" t="s">
        <v>3696</v>
      </c>
      <c r="F1496" t="s">
        <v>3697</v>
      </c>
      <c r="G1496" s="1"/>
      <c r="H1496" t="str">
        <f>"3250613177072"</f>
        <v>3250613177072</v>
      </c>
      <c r="J1496" t="s">
        <v>4253</v>
      </c>
    </row>
    <row r="1497" spans="1:10" x14ac:dyDescent="0.25">
      <c r="A1497" t="s">
        <v>8</v>
      </c>
      <c r="B1497" t="s">
        <v>4302</v>
      </c>
      <c r="C1497" t="s">
        <v>4303</v>
      </c>
      <c r="D1497">
        <v>1</v>
      </c>
      <c r="E1497" t="s">
        <v>3696</v>
      </c>
      <c r="F1497" t="s">
        <v>3697</v>
      </c>
      <c r="G1497" s="1"/>
      <c r="H1497" t="str">
        <f>"3250613177089"</f>
        <v>3250613177089</v>
      </c>
      <c r="J1497" t="s">
        <v>4304</v>
      </c>
    </row>
    <row r="1498" spans="1:10" x14ac:dyDescent="0.25">
      <c r="A1498" t="s">
        <v>8</v>
      </c>
      <c r="B1498" t="s">
        <v>4305</v>
      </c>
      <c r="C1498" t="s">
        <v>4306</v>
      </c>
      <c r="D1498">
        <v>1</v>
      </c>
      <c r="E1498" t="s">
        <v>3696</v>
      </c>
      <c r="F1498" t="s">
        <v>3697</v>
      </c>
      <c r="G1498" s="1"/>
      <c r="H1498" t="str">
        <f>"3250613177096"</f>
        <v>3250613177096</v>
      </c>
      <c r="I1498" s="1"/>
      <c r="J1498" t="s">
        <v>4307</v>
      </c>
    </row>
    <row r="1499" spans="1:10" x14ac:dyDescent="0.25">
      <c r="A1499" t="s">
        <v>8</v>
      </c>
      <c r="B1499" t="s">
        <v>4308</v>
      </c>
      <c r="C1499" t="s">
        <v>4309</v>
      </c>
      <c r="D1499">
        <v>1</v>
      </c>
      <c r="E1499" t="s">
        <v>3696</v>
      </c>
      <c r="F1499" t="s">
        <v>3697</v>
      </c>
      <c r="G1499" s="1"/>
      <c r="H1499" t="str">
        <f>"3250613177102"</f>
        <v>3250613177102</v>
      </c>
      <c r="J1499" t="s">
        <v>4310</v>
      </c>
    </row>
    <row r="1500" spans="1:10" x14ac:dyDescent="0.25">
      <c r="A1500" t="s">
        <v>8</v>
      </c>
      <c r="B1500" t="s">
        <v>4311</v>
      </c>
      <c r="C1500" t="s">
        <v>4312</v>
      </c>
      <c r="D1500">
        <v>1</v>
      </c>
      <c r="E1500" t="s">
        <v>3696</v>
      </c>
      <c r="F1500" t="s">
        <v>3697</v>
      </c>
      <c r="G1500" s="1"/>
      <c r="H1500" t="str">
        <f>"3250613145613"</f>
        <v>3250613145613</v>
      </c>
      <c r="J1500" t="s">
        <v>4263</v>
      </c>
    </row>
    <row r="1501" spans="1:10" x14ac:dyDescent="0.25">
      <c r="A1501" t="s">
        <v>8</v>
      </c>
      <c r="B1501" t="s">
        <v>4313</v>
      </c>
      <c r="C1501" t="s">
        <v>4314</v>
      </c>
      <c r="D1501">
        <v>1</v>
      </c>
      <c r="E1501" t="s">
        <v>3696</v>
      </c>
      <c r="F1501" t="s">
        <v>3697</v>
      </c>
      <c r="G1501" s="1"/>
      <c r="H1501" t="str">
        <f>"3250613145620"</f>
        <v>3250613145620</v>
      </c>
      <c r="J1501" t="s">
        <v>4315</v>
      </c>
    </row>
    <row r="1502" spans="1:10" x14ac:dyDescent="0.25">
      <c r="A1502" t="s">
        <v>8</v>
      </c>
      <c r="B1502" t="s">
        <v>4316</v>
      </c>
      <c r="C1502" t="s">
        <v>4317</v>
      </c>
      <c r="D1502">
        <v>1</v>
      </c>
      <c r="E1502" t="s">
        <v>3696</v>
      </c>
      <c r="F1502" t="s">
        <v>3697</v>
      </c>
      <c r="G1502" s="1"/>
      <c r="H1502" t="str">
        <f>"3250613141257"</f>
        <v>3250613141257</v>
      </c>
      <c r="J1502" t="s">
        <v>4318</v>
      </c>
    </row>
    <row r="1503" spans="1:10" x14ac:dyDescent="0.25">
      <c r="A1503" t="s">
        <v>8</v>
      </c>
      <c r="B1503" t="s">
        <v>4319</v>
      </c>
      <c r="C1503" t="s">
        <v>4320</v>
      </c>
      <c r="D1503">
        <v>1</v>
      </c>
      <c r="E1503" t="s">
        <v>3696</v>
      </c>
      <c r="F1503" t="s">
        <v>3697</v>
      </c>
      <c r="G1503" s="1"/>
      <c r="H1503" t="str">
        <f>"3250613177119"</f>
        <v>3250613177119</v>
      </c>
      <c r="J1503" t="s">
        <v>4253</v>
      </c>
    </row>
    <row r="1504" spans="1:10" x14ac:dyDescent="0.25">
      <c r="A1504" t="s">
        <v>8</v>
      </c>
      <c r="B1504" t="s">
        <v>4321</v>
      </c>
      <c r="C1504" t="s">
        <v>4322</v>
      </c>
      <c r="D1504">
        <v>1</v>
      </c>
      <c r="E1504" t="s">
        <v>3696</v>
      </c>
      <c r="F1504" t="s">
        <v>3697</v>
      </c>
      <c r="G1504" s="1"/>
      <c r="H1504" t="str">
        <f>"3250613177126"</f>
        <v>3250613177126</v>
      </c>
      <c r="J1504" t="s">
        <v>4323</v>
      </c>
    </row>
    <row r="1505" spans="1:10" x14ac:dyDescent="0.25">
      <c r="A1505" t="s">
        <v>8</v>
      </c>
      <c r="B1505" t="s">
        <v>4324</v>
      </c>
      <c r="C1505" t="s">
        <v>4325</v>
      </c>
      <c r="D1505">
        <v>1</v>
      </c>
      <c r="E1505" t="s">
        <v>3696</v>
      </c>
      <c r="F1505" t="s">
        <v>3697</v>
      </c>
      <c r="G1505" s="1"/>
      <c r="H1505" t="str">
        <f>"3250613145637"</f>
        <v>3250613145637</v>
      </c>
      <c r="J1505" t="s">
        <v>4276</v>
      </c>
    </row>
    <row r="1506" spans="1:10" x14ac:dyDescent="0.25">
      <c r="A1506" t="s">
        <v>8</v>
      </c>
      <c r="B1506" t="s">
        <v>4326</v>
      </c>
      <c r="C1506" t="s">
        <v>4327</v>
      </c>
      <c r="D1506">
        <v>1</v>
      </c>
      <c r="E1506" t="s">
        <v>3696</v>
      </c>
      <c r="F1506" t="s">
        <v>3697</v>
      </c>
      <c r="G1506" s="1"/>
      <c r="H1506" t="str">
        <f>"3250613145644"</f>
        <v>3250613145644</v>
      </c>
      <c r="J1506" t="s">
        <v>4328</v>
      </c>
    </row>
    <row r="1507" spans="1:10" x14ac:dyDescent="0.25">
      <c r="A1507" t="s">
        <v>8</v>
      </c>
      <c r="B1507" t="s">
        <v>4329</v>
      </c>
      <c r="C1507" t="s">
        <v>4330</v>
      </c>
      <c r="D1507">
        <v>1</v>
      </c>
      <c r="E1507" t="s">
        <v>3696</v>
      </c>
      <c r="F1507" t="s">
        <v>3697</v>
      </c>
      <c r="G1507" s="1"/>
      <c r="H1507" t="str">
        <f>"3250613141264"</f>
        <v>3250613141264</v>
      </c>
      <c r="J1507" t="s">
        <v>4331</v>
      </c>
    </row>
    <row r="1508" spans="1:10" x14ac:dyDescent="0.25">
      <c r="A1508" t="s">
        <v>8</v>
      </c>
      <c r="B1508" t="s">
        <v>4332</v>
      </c>
      <c r="C1508" t="s">
        <v>4333</v>
      </c>
      <c r="D1508">
        <v>1</v>
      </c>
      <c r="E1508" t="s">
        <v>3696</v>
      </c>
      <c r="F1508" t="s">
        <v>3697</v>
      </c>
      <c r="G1508" s="1"/>
      <c r="H1508" t="str">
        <f>"3250613177140"</f>
        <v>3250613177140</v>
      </c>
      <c r="J1508" t="s">
        <v>4334</v>
      </c>
    </row>
    <row r="1509" spans="1:10" x14ac:dyDescent="0.25">
      <c r="A1509" t="s">
        <v>8</v>
      </c>
      <c r="B1509" t="s">
        <v>4335</v>
      </c>
      <c r="C1509" t="s">
        <v>4336</v>
      </c>
      <c r="D1509">
        <v>1</v>
      </c>
      <c r="E1509" t="s">
        <v>3696</v>
      </c>
      <c r="F1509" t="s">
        <v>3697</v>
      </c>
      <c r="G1509" s="1"/>
      <c r="H1509" t="str">
        <f>"3250613177157"</f>
        <v>3250613177157</v>
      </c>
      <c r="J1509" t="s">
        <v>4337</v>
      </c>
    </row>
    <row r="1510" spans="1:10" x14ac:dyDescent="0.25">
      <c r="A1510" t="s">
        <v>8</v>
      </c>
      <c r="B1510" t="s">
        <v>4338</v>
      </c>
      <c r="C1510" t="s">
        <v>4339</v>
      </c>
      <c r="D1510">
        <v>1</v>
      </c>
      <c r="E1510" t="s">
        <v>3696</v>
      </c>
      <c r="F1510" t="s">
        <v>3697</v>
      </c>
      <c r="G1510" s="1"/>
      <c r="H1510" t="str">
        <f>"3250613177164"</f>
        <v>3250613177164</v>
      </c>
      <c r="J1510" t="s">
        <v>4340</v>
      </c>
    </row>
    <row r="1511" spans="1:10" x14ac:dyDescent="0.25">
      <c r="A1511" t="s">
        <v>8</v>
      </c>
      <c r="B1511" t="s">
        <v>4341</v>
      </c>
      <c r="C1511" t="s">
        <v>4342</v>
      </c>
      <c r="D1511">
        <v>1</v>
      </c>
      <c r="E1511" t="s">
        <v>3696</v>
      </c>
      <c r="F1511" t="s">
        <v>3697</v>
      </c>
      <c r="G1511" s="1"/>
      <c r="H1511" t="str">
        <f>"3250613177171"</f>
        <v>3250613177171</v>
      </c>
      <c r="J1511" t="s">
        <v>4343</v>
      </c>
    </row>
    <row r="1512" spans="1:10" x14ac:dyDescent="0.25">
      <c r="A1512" t="s">
        <v>8</v>
      </c>
      <c r="B1512" t="s">
        <v>4344</v>
      </c>
      <c r="C1512" t="s">
        <v>4345</v>
      </c>
      <c r="D1512">
        <v>1</v>
      </c>
      <c r="E1512" t="s">
        <v>3696</v>
      </c>
      <c r="F1512" t="s">
        <v>3697</v>
      </c>
      <c r="G1512" s="1"/>
      <c r="H1512" t="str">
        <f>"3250613177195"</f>
        <v>3250613177195</v>
      </c>
      <c r="J1512" t="s">
        <v>4334</v>
      </c>
    </row>
    <row r="1513" spans="1:10" x14ac:dyDescent="0.25">
      <c r="A1513" t="s">
        <v>8</v>
      </c>
      <c r="B1513" t="s">
        <v>4346</v>
      </c>
      <c r="C1513" t="s">
        <v>4347</v>
      </c>
      <c r="D1513">
        <v>1</v>
      </c>
      <c r="E1513" t="s">
        <v>3696</v>
      </c>
      <c r="F1513" t="s">
        <v>3697</v>
      </c>
      <c r="G1513" s="1"/>
      <c r="H1513" t="str">
        <f>"3250613177201"</f>
        <v>3250613177201</v>
      </c>
      <c r="J1513" t="s">
        <v>4348</v>
      </c>
    </row>
    <row r="1514" spans="1:10" x14ac:dyDescent="0.25">
      <c r="A1514" t="s">
        <v>8</v>
      </c>
      <c r="B1514" t="s">
        <v>4349</v>
      </c>
      <c r="C1514" t="s">
        <v>4350</v>
      </c>
      <c r="D1514">
        <v>1</v>
      </c>
      <c r="E1514" t="s">
        <v>3696</v>
      </c>
      <c r="F1514" t="s">
        <v>3697</v>
      </c>
      <c r="G1514" s="1"/>
      <c r="H1514" t="str">
        <f>"3250613145651"</f>
        <v>3250613145651</v>
      </c>
      <c r="J1514" t="s">
        <v>4351</v>
      </c>
    </row>
    <row r="1515" spans="1:10" x14ac:dyDescent="0.25">
      <c r="A1515" t="s">
        <v>8</v>
      </c>
      <c r="B1515" t="s">
        <v>4352</v>
      </c>
      <c r="C1515" t="s">
        <v>4353</v>
      </c>
      <c r="D1515">
        <v>1</v>
      </c>
      <c r="E1515" t="s">
        <v>3696</v>
      </c>
      <c r="F1515" t="s">
        <v>3697</v>
      </c>
      <c r="G1515" s="1"/>
      <c r="H1515" t="str">
        <f>"3250613145668"</f>
        <v>3250613145668</v>
      </c>
      <c r="J1515" t="s">
        <v>4354</v>
      </c>
    </row>
    <row r="1516" spans="1:10" x14ac:dyDescent="0.25">
      <c r="A1516" t="s">
        <v>8</v>
      </c>
      <c r="B1516" t="s">
        <v>4355</v>
      </c>
      <c r="C1516" t="s">
        <v>4356</v>
      </c>
      <c r="D1516">
        <v>1</v>
      </c>
      <c r="E1516" t="s">
        <v>3696</v>
      </c>
      <c r="F1516" t="s">
        <v>3697</v>
      </c>
      <c r="G1516" s="1"/>
      <c r="H1516" t="str">
        <f>"3250613141271"</f>
        <v>3250613141271</v>
      </c>
      <c r="J1516" t="s">
        <v>4357</v>
      </c>
    </row>
    <row r="1517" spans="1:10" x14ac:dyDescent="0.25">
      <c r="A1517" t="s">
        <v>8</v>
      </c>
      <c r="B1517" t="s">
        <v>4358</v>
      </c>
      <c r="C1517" t="s">
        <v>4359</v>
      </c>
      <c r="D1517">
        <v>1</v>
      </c>
      <c r="E1517" t="s">
        <v>3696</v>
      </c>
      <c r="F1517" t="s">
        <v>3697</v>
      </c>
      <c r="G1517" s="1"/>
      <c r="H1517" t="str">
        <f>"3250613177218"</f>
        <v>3250613177218</v>
      </c>
      <c r="J1517" t="s">
        <v>4340</v>
      </c>
    </row>
    <row r="1518" spans="1:10" x14ac:dyDescent="0.25">
      <c r="A1518" t="s">
        <v>8</v>
      </c>
      <c r="B1518" t="s">
        <v>4360</v>
      </c>
      <c r="C1518" t="s">
        <v>4361</v>
      </c>
      <c r="D1518">
        <v>1</v>
      </c>
      <c r="E1518" t="s">
        <v>3696</v>
      </c>
      <c r="F1518" t="s">
        <v>3697</v>
      </c>
      <c r="G1518" s="1"/>
      <c r="H1518" t="str">
        <f>"3250613177225"</f>
        <v>3250613177225</v>
      </c>
      <c r="J1518" t="s">
        <v>4362</v>
      </c>
    </row>
    <row r="1519" spans="1:10" x14ac:dyDescent="0.25">
      <c r="A1519" t="s">
        <v>8</v>
      </c>
      <c r="B1519" t="s">
        <v>4363</v>
      </c>
      <c r="C1519" t="s">
        <v>4364</v>
      </c>
      <c r="D1519">
        <v>1</v>
      </c>
      <c r="E1519" t="s">
        <v>3696</v>
      </c>
      <c r="F1519" t="s">
        <v>3697</v>
      </c>
      <c r="G1519" s="1"/>
      <c r="H1519" t="str">
        <f>"3250613145675"</f>
        <v>3250613145675</v>
      </c>
      <c r="J1519" t="s">
        <v>4365</v>
      </c>
    </row>
    <row r="1520" spans="1:10" x14ac:dyDescent="0.25">
      <c r="A1520" t="s">
        <v>8</v>
      </c>
      <c r="B1520" t="s">
        <v>4366</v>
      </c>
      <c r="C1520" t="s">
        <v>4367</v>
      </c>
      <c r="D1520">
        <v>1</v>
      </c>
      <c r="E1520" t="s">
        <v>3696</v>
      </c>
      <c r="F1520" t="s">
        <v>3697</v>
      </c>
      <c r="G1520" s="1"/>
      <c r="H1520" t="str">
        <f>"3250613145682"</f>
        <v>3250613145682</v>
      </c>
      <c r="J1520" t="s">
        <v>4368</v>
      </c>
    </row>
    <row r="1521" spans="1:10" x14ac:dyDescent="0.25">
      <c r="A1521" t="s">
        <v>8</v>
      </c>
      <c r="B1521" t="s">
        <v>4369</v>
      </c>
      <c r="C1521" t="s">
        <v>4370</v>
      </c>
      <c r="D1521">
        <v>1</v>
      </c>
      <c r="E1521" t="s">
        <v>3696</v>
      </c>
      <c r="F1521" t="s">
        <v>3697</v>
      </c>
      <c r="G1521" s="1"/>
      <c r="H1521" t="str">
        <f>"3250613141288"</f>
        <v>3250613141288</v>
      </c>
      <c r="J1521" t="s">
        <v>4371</v>
      </c>
    </row>
    <row r="1522" spans="1:10" x14ac:dyDescent="0.25">
      <c r="A1522" t="s">
        <v>8</v>
      </c>
      <c r="B1522" t="s">
        <v>4372</v>
      </c>
      <c r="C1522" t="s">
        <v>4373</v>
      </c>
      <c r="D1522">
        <v>1</v>
      </c>
      <c r="E1522" t="s">
        <v>3696</v>
      </c>
      <c r="F1522" t="s">
        <v>3697</v>
      </c>
      <c r="G1522" s="1"/>
      <c r="H1522" t="str">
        <f>"3250613176150"</f>
        <v>3250613176150</v>
      </c>
      <c r="J1522" t="s">
        <v>4374</v>
      </c>
    </row>
    <row r="1523" spans="1:10" x14ac:dyDescent="0.25">
      <c r="A1523" t="s">
        <v>8</v>
      </c>
      <c r="B1523" t="s">
        <v>4375</v>
      </c>
      <c r="C1523" t="s">
        <v>4376</v>
      </c>
      <c r="D1523">
        <v>1</v>
      </c>
      <c r="E1523" t="s">
        <v>3696</v>
      </c>
      <c r="F1523" t="s">
        <v>3697</v>
      </c>
      <c r="G1523" s="1"/>
      <c r="H1523" t="str">
        <f>"3250613176167"</f>
        <v>3250613176167</v>
      </c>
      <c r="J1523" t="s">
        <v>4377</v>
      </c>
    </row>
    <row r="1524" spans="1:10" x14ac:dyDescent="0.25">
      <c r="A1524" t="s">
        <v>8</v>
      </c>
      <c r="B1524" t="s">
        <v>4378</v>
      </c>
      <c r="C1524" t="s">
        <v>4379</v>
      </c>
      <c r="D1524">
        <v>1</v>
      </c>
      <c r="E1524" t="s">
        <v>3696</v>
      </c>
      <c r="F1524" t="s">
        <v>3697</v>
      </c>
      <c r="G1524" s="1"/>
      <c r="H1524" t="str">
        <f>"3250613141714"</f>
        <v>3250613141714</v>
      </c>
      <c r="J1524" t="s">
        <v>4380</v>
      </c>
    </row>
    <row r="1525" spans="1:10" x14ac:dyDescent="0.25">
      <c r="A1525" t="s">
        <v>8</v>
      </c>
      <c r="B1525" t="s">
        <v>4381</v>
      </c>
      <c r="C1525" t="s">
        <v>4382</v>
      </c>
      <c r="D1525">
        <v>1</v>
      </c>
      <c r="E1525" t="s">
        <v>3696</v>
      </c>
      <c r="F1525" t="s">
        <v>3697</v>
      </c>
      <c r="G1525" s="1"/>
      <c r="H1525" t="str">
        <f>"3250613176181"</f>
        <v>3250613176181</v>
      </c>
      <c r="J1525" t="s">
        <v>4383</v>
      </c>
    </row>
    <row r="1526" spans="1:10" x14ac:dyDescent="0.25">
      <c r="A1526" t="s">
        <v>8</v>
      </c>
      <c r="B1526" t="s">
        <v>4384</v>
      </c>
      <c r="C1526" t="s">
        <v>4385</v>
      </c>
      <c r="D1526">
        <v>1</v>
      </c>
      <c r="E1526" t="s">
        <v>3696</v>
      </c>
      <c r="F1526" t="s">
        <v>3697</v>
      </c>
      <c r="G1526" s="1"/>
      <c r="H1526" t="str">
        <f>"3250613176198"</f>
        <v>3250613176198</v>
      </c>
      <c r="J1526" t="s">
        <v>4386</v>
      </c>
    </row>
    <row r="1527" spans="1:10" x14ac:dyDescent="0.25">
      <c r="A1527" t="s">
        <v>8</v>
      </c>
      <c r="B1527" t="s">
        <v>4387</v>
      </c>
      <c r="C1527" t="s">
        <v>4388</v>
      </c>
      <c r="D1527">
        <v>1</v>
      </c>
      <c r="E1527" t="s">
        <v>3696</v>
      </c>
      <c r="F1527" t="s">
        <v>3697</v>
      </c>
      <c r="G1527" s="1"/>
      <c r="H1527" t="str">
        <f>"3250613141721"</f>
        <v>3250613141721</v>
      </c>
      <c r="J1527" t="s">
        <v>4389</v>
      </c>
    </row>
    <row r="1528" spans="1:10" x14ac:dyDescent="0.25">
      <c r="A1528" t="s">
        <v>8</v>
      </c>
      <c r="B1528" t="s">
        <v>4390</v>
      </c>
      <c r="C1528" t="s">
        <v>4391</v>
      </c>
      <c r="D1528">
        <v>1</v>
      </c>
      <c r="E1528" t="s">
        <v>3696</v>
      </c>
      <c r="F1528" t="s">
        <v>3697</v>
      </c>
      <c r="G1528" s="1"/>
      <c r="H1528" t="str">
        <f>"3250613154615"</f>
        <v>3250613154615</v>
      </c>
      <c r="J1528" t="s">
        <v>4392</v>
      </c>
    </row>
    <row r="1529" spans="1:10" x14ac:dyDescent="0.25">
      <c r="A1529" t="s">
        <v>8</v>
      </c>
      <c r="B1529" t="s">
        <v>4393</v>
      </c>
      <c r="C1529" t="s">
        <v>4394</v>
      </c>
      <c r="D1529">
        <v>1</v>
      </c>
      <c r="E1529" t="s">
        <v>3696</v>
      </c>
      <c r="F1529" t="s">
        <v>3697</v>
      </c>
      <c r="G1529" s="1"/>
      <c r="H1529" t="str">
        <f>"3250613154622"</f>
        <v>3250613154622</v>
      </c>
      <c r="J1529" t="s">
        <v>4395</v>
      </c>
    </row>
    <row r="1530" spans="1:10" x14ac:dyDescent="0.25">
      <c r="A1530" t="s">
        <v>8</v>
      </c>
      <c r="B1530" t="s">
        <v>4396</v>
      </c>
      <c r="C1530" t="s">
        <v>4397</v>
      </c>
      <c r="D1530">
        <v>1</v>
      </c>
      <c r="E1530" t="s">
        <v>3696</v>
      </c>
      <c r="F1530" t="s">
        <v>3697</v>
      </c>
      <c r="G1530" s="1"/>
      <c r="H1530" t="str">
        <f>"3250613154639"</f>
        <v>3250613154639</v>
      </c>
      <c r="J1530" t="s">
        <v>4398</v>
      </c>
    </row>
    <row r="1531" spans="1:10" x14ac:dyDescent="0.25">
      <c r="A1531" t="s">
        <v>8</v>
      </c>
      <c r="B1531" t="s">
        <v>4399</v>
      </c>
      <c r="C1531" t="s">
        <v>4400</v>
      </c>
      <c r="D1531">
        <v>1</v>
      </c>
      <c r="E1531" t="s">
        <v>3696</v>
      </c>
      <c r="F1531" t="s">
        <v>3697</v>
      </c>
      <c r="G1531" s="1"/>
      <c r="H1531" t="str">
        <f>"3250613154646"</f>
        <v>3250613154646</v>
      </c>
      <c r="J1531" t="s">
        <v>4401</v>
      </c>
    </row>
    <row r="1532" spans="1:10" x14ac:dyDescent="0.25">
      <c r="A1532" t="s">
        <v>8</v>
      </c>
      <c r="B1532" t="s">
        <v>4402</v>
      </c>
      <c r="C1532" t="s">
        <v>4403</v>
      </c>
      <c r="D1532">
        <v>1</v>
      </c>
      <c r="E1532" t="s">
        <v>3696</v>
      </c>
      <c r="F1532" t="s">
        <v>3697</v>
      </c>
      <c r="G1532" s="1"/>
      <c r="H1532" t="str">
        <f>"3250613170226"</f>
        <v>3250613170226</v>
      </c>
      <c r="J1532" t="s">
        <v>4404</v>
      </c>
    </row>
    <row r="1533" spans="1:10" x14ac:dyDescent="0.25">
      <c r="A1533" t="s">
        <v>8</v>
      </c>
      <c r="B1533" t="s">
        <v>4405</v>
      </c>
      <c r="C1533" t="s">
        <v>4406</v>
      </c>
      <c r="D1533">
        <v>1</v>
      </c>
      <c r="E1533" t="s">
        <v>3696</v>
      </c>
      <c r="F1533" t="s">
        <v>3697</v>
      </c>
      <c r="G1533" s="1"/>
      <c r="H1533" t="str">
        <f>"3250613176211"</f>
        <v>3250613176211</v>
      </c>
      <c r="J1533" t="s">
        <v>4407</v>
      </c>
    </row>
    <row r="1534" spans="1:10" x14ac:dyDescent="0.25">
      <c r="A1534" t="s">
        <v>8</v>
      </c>
      <c r="B1534" t="s">
        <v>4408</v>
      </c>
      <c r="C1534" t="s">
        <v>4409</v>
      </c>
      <c r="D1534">
        <v>1</v>
      </c>
      <c r="E1534" t="s">
        <v>3696</v>
      </c>
      <c r="F1534" t="s">
        <v>3697</v>
      </c>
      <c r="G1534" s="1"/>
      <c r="H1534" t="str">
        <f>"3250613176228"</f>
        <v>3250613176228</v>
      </c>
      <c r="J1534" t="s">
        <v>4410</v>
      </c>
    </row>
    <row r="1535" spans="1:10" x14ac:dyDescent="0.25">
      <c r="A1535" t="s">
        <v>8</v>
      </c>
      <c r="B1535" t="s">
        <v>4411</v>
      </c>
      <c r="C1535" t="s">
        <v>4412</v>
      </c>
      <c r="D1535">
        <v>1</v>
      </c>
      <c r="E1535" t="s">
        <v>3696</v>
      </c>
      <c r="F1535" t="s">
        <v>3697</v>
      </c>
      <c r="G1535" s="1"/>
      <c r="H1535" t="str">
        <f>"3250613141738"</f>
        <v>3250613141738</v>
      </c>
      <c r="J1535" t="s">
        <v>4413</v>
      </c>
    </row>
    <row r="1536" spans="1:10" x14ac:dyDescent="0.25">
      <c r="A1536" t="s">
        <v>8</v>
      </c>
      <c r="B1536" t="s">
        <v>4414</v>
      </c>
      <c r="C1536" t="s">
        <v>4415</v>
      </c>
      <c r="D1536">
        <v>1</v>
      </c>
      <c r="E1536" t="s">
        <v>3696</v>
      </c>
      <c r="F1536" t="s">
        <v>3697</v>
      </c>
      <c r="G1536" s="1"/>
      <c r="H1536" t="str">
        <f>"3250613170295"</f>
        <v>3250613170295</v>
      </c>
      <c r="J1536" t="s">
        <v>4416</v>
      </c>
    </row>
    <row r="1537" spans="1:10" x14ac:dyDescent="0.25">
      <c r="A1537" t="s">
        <v>8</v>
      </c>
      <c r="B1537" t="s">
        <v>4417</v>
      </c>
      <c r="C1537" t="s">
        <v>4418</v>
      </c>
      <c r="D1537">
        <v>1</v>
      </c>
      <c r="E1537" t="s">
        <v>3696</v>
      </c>
      <c r="F1537" t="s">
        <v>3697</v>
      </c>
      <c r="G1537" s="1"/>
      <c r="H1537" t="str">
        <f>"3250613176242"</f>
        <v>3250613176242</v>
      </c>
      <c r="J1537" t="s">
        <v>4419</v>
      </c>
    </row>
    <row r="1538" spans="1:10" x14ac:dyDescent="0.25">
      <c r="A1538" t="s">
        <v>8</v>
      </c>
      <c r="B1538" t="s">
        <v>4420</v>
      </c>
      <c r="C1538" t="s">
        <v>4421</v>
      </c>
      <c r="D1538">
        <v>1</v>
      </c>
      <c r="E1538" t="s">
        <v>3696</v>
      </c>
      <c r="F1538" t="s">
        <v>3697</v>
      </c>
      <c r="G1538" s="1"/>
      <c r="H1538" t="str">
        <f>"3250613176259"</f>
        <v>3250613176259</v>
      </c>
      <c r="J1538" t="s">
        <v>4422</v>
      </c>
    </row>
    <row r="1539" spans="1:10" x14ac:dyDescent="0.25">
      <c r="A1539" t="s">
        <v>8</v>
      </c>
      <c r="B1539" t="s">
        <v>4423</v>
      </c>
      <c r="C1539" t="s">
        <v>4424</v>
      </c>
      <c r="D1539">
        <v>1</v>
      </c>
      <c r="E1539" t="s">
        <v>3696</v>
      </c>
      <c r="F1539" t="s">
        <v>3697</v>
      </c>
      <c r="G1539" s="1"/>
      <c r="H1539" t="str">
        <f>"3250613141745"</f>
        <v>3250613141745</v>
      </c>
      <c r="J1539" t="s">
        <v>4425</v>
      </c>
    </row>
    <row r="1540" spans="1:10" x14ac:dyDescent="0.25">
      <c r="A1540" t="s">
        <v>8</v>
      </c>
      <c r="B1540" t="s">
        <v>4426</v>
      </c>
      <c r="C1540" t="s">
        <v>4427</v>
      </c>
      <c r="D1540">
        <v>1</v>
      </c>
      <c r="E1540" t="s">
        <v>3696</v>
      </c>
      <c r="F1540" t="s">
        <v>3697</v>
      </c>
      <c r="G1540" s="1"/>
      <c r="H1540" t="str">
        <f>"3250613170370"</f>
        <v>3250613170370</v>
      </c>
      <c r="J1540" t="s">
        <v>4428</v>
      </c>
    </row>
    <row r="1541" spans="1:10" x14ac:dyDescent="0.25">
      <c r="A1541" t="s">
        <v>8</v>
      </c>
      <c r="B1541" t="s">
        <v>4429</v>
      </c>
      <c r="C1541" t="s">
        <v>4430</v>
      </c>
      <c r="D1541">
        <v>1</v>
      </c>
      <c r="E1541" t="s">
        <v>3696</v>
      </c>
      <c r="F1541" t="s">
        <v>3697</v>
      </c>
      <c r="G1541" s="1"/>
      <c r="H1541" t="str">
        <f>"3250613170400"</f>
        <v>3250613170400</v>
      </c>
      <c r="J1541" t="s">
        <v>4431</v>
      </c>
    </row>
    <row r="1542" spans="1:10" x14ac:dyDescent="0.25">
      <c r="A1542" t="s">
        <v>8</v>
      </c>
      <c r="B1542" t="s">
        <v>4432</v>
      </c>
      <c r="C1542" t="s">
        <v>4433</v>
      </c>
      <c r="D1542">
        <v>1</v>
      </c>
      <c r="E1542" t="s">
        <v>3696</v>
      </c>
      <c r="F1542" t="s">
        <v>3697</v>
      </c>
      <c r="G1542" s="1"/>
      <c r="H1542" t="str">
        <f>"3250613170462"</f>
        <v>3250613170462</v>
      </c>
      <c r="J1542" t="s">
        <v>4434</v>
      </c>
    </row>
    <row r="1543" spans="1:10" x14ac:dyDescent="0.25">
      <c r="A1543" t="s">
        <v>8</v>
      </c>
      <c r="B1543" t="s">
        <v>4435</v>
      </c>
      <c r="C1543" t="s">
        <v>4436</v>
      </c>
      <c r="D1543">
        <v>1</v>
      </c>
      <c r="E1543" t="s">
        <v>3696</v>
      </c>
      <c r="F1543" t="s">
        <v>3697</v>
      </c>
      <c r="G1543" s="1"/>
      <c r="H1543" t="str">
        <f>"3250613176273"</f>
        <v>3250613176273</v>
      </c>
      <c r="J1543" t="s">
        <v>4437</v>
      </c>
    </row>
    <row r="1544" spans="1:10" x14ac:dyDescent="0.25">
      <c r="A1544" t="s">
        <v>8</v>
      </c>
      <c r="B1544" t="s">
        <v>4438</v>
      </c>
      <c r="C1544" t="s">
        <v>4439</v>
      </c>
      <c r="D1544">
        <v>1</v>
      </c>
      <c r="E1544" t="s">
        <v>3696</v>
      </c>
      <c r="F1544" t="s">
        <v>3697</v>
      </c>
      <c r="G1544" s="1"/>
      <c r="H1544" t="str">
        <f>"3250613176280"</f>
        <v>3250613176280</v>
      </c>
      <c r="J1544" t="s">
        <v>4440</v>
      </c>
    </row>
    <row r="1545" spans="1:10" x14ac:dyDescent="0.25">
      <c r="A1545" t="s">
        <v>8</v>
      </c>
      <c r="B1545" t="s">
        <v>4441</v>
      </c>
      <c r="C1545" t="s">
        <v>4442</v>
      </c>
      <c r="D1545">
        <v>1</v>
      </c>
      <c r="E1545" t="s">
        <v>3696</v>
      </c>
      <c r="F1545" t="s">
        <v>3697</v>
      </c>
      <c r="G1545" s="1"/>
      <c r="H1545" t="str">
        <f>"3250613141752"</f>
        <v>3250613141752</v>
      </c>
      <c r="J1545" t="s">
        <v>4443</v>
      </c>
    </row>
    <row r="1546" spans="1:10" x14ac:dyDescent="0.25">
      <c r="A1546" t="s">
        <v>8</v>
      </c>
      <c r="B1546" t="s">
        <v>4444</v>
      </c>
      <c r="C1546" t="s">
        <v>4445</v>
      </c>
      <c r="D1546">
        <v>1</v>
      </c>
      <c r="E1546" t="s">
        <v>3696</v>
      </c>
      <c r="F1546" t="s">
        <v>3697</v>
      </c>
      <c r="G1546" s="1"/>
      <c r="H1546" t="str">
        <f>"3250613170530"</f>
        <v>3250613170530</v>
      </c>
      <c r="J1546" t="s">
        <v>4446</v>
      </c>
    </row>
    <row r="1547" spans="1:10" x14ac:dyDescent="0.25">
      <c r="A1547" t="s">
        <v>8</v>
      </c>
      <c r="B1547" t="s">
        <v>4447</v>
      </c>
      <c r="C1547" t="s">
        <v>4448</v>
      </c>
      <c r="D1547">
        <v>1</v>
      </c>
      <c r="E1547" t="s">
        <v>3696</v>
      </c>
      <c r="F1547" t="s">
        <v>3697</v>
      </c>
      <c r="G1547" s="1"/>
      <c r="H1547" t="str">
        <f>"3250613176303"</f>
        <v>3250613176303</v>
      </c>
      <c r="J1547" t="s">
        <v>4449</v>
      </c>
    </row>
    <row r="1548" spans="1:10" x14ac:dyDescent="0.25">
      <c r="A1548" t="s">
        <v>8</v>
      </c>
      <c r="B1548" t="s">
        <v>4450</v>
      </c>
      <c r="C1548" t="s">
        <v>4451</v>
      </c>
      <c r="D1548">
        <v>1</v>
      </c>
      <c r="E1548" t="s">
        <v>3696</v>
      </c>
      <c r="F1548" t="s">
        <v>3697</v>
      </c>
      <c r="G1548" s="1"/>
      <c r="H1548" t="str">
        <f>"3250613176310"</f>
        <v>3250613176310</v>
      </c>
      <c r="J1548" t="s">
        <v>4452</v>
      </c>
    </row>
    <row r="1549" spans="1:10" x14ac:dyDescent="0.25">
      <c r="A1549" t="s">
        <v>8</v>
      </c>
      <c r="B1549" t="s">
        <v>4453</v>
      </c>
      <c r="C1549" t="s">
        <v>4454</v>
      </c>
      <c r="D1549">
        <v>1</v>
      </c>
      <c r="E1549" t="s">
        <v>3696</v>
      </c>
      <c r="F1549" t="s">
        <v>3697</v>
      </c>
      <c r="G1549" s="1"/>
      <c r="H1549" t="str">
        <f>"3250613141769"</f>
        <v>3250613141769</v>
      </c>
      <c r="J1549" t="s">
        <v>4455</v>
      </c>
    </row>
    <row r="1550" spans="1:10" x14ac:dyDescent="0.25">
      <c r="A1550" t="s">
        <v>8</v>
      </c>
      <c r="B1550" t="s">
        <v>4456</v>
      </c>
      <c r="C1550" t="s">
        <v>4457</v>
      </c>
      <c r="D1550">
        <v>1</v>
      </c>
      <c r="E1550" t="s">
        <v>3696</v>
      </c>
      <c r="F1550" t="s">
        <v>3697</v>
      </c>
      <c r="G1550" s="1"/>
      <c r="H1550" t="str">
        <f>"3250613170639"</f>
        <v>3250613170639</v>
      </c>
      <c r="J1550" t="s">
        <v>4458</v>
      </c>
    </row>
    <row r="1551" spans="1:10" x14ac:dyDescent="0.25">
      <c r="A1551" t="s">
        <v>8</v>
      </c>
      <c r="B1551" t="s">
        <v>4459</v>
      </c>
      <c r="C1551" t="s">
        <v>4460</v>
      </c>
      <c r="D1551">
        <v>1</v>
      </c>
      <c r="E1551" t="s">
        <v>3696</v>
      </c>
      <c r="F1551" t="s">
        <v>3697</v>
      </c>
      <c r="G1551" s="1"/>
      <c r="H1551" t="str">
        <f>"3250613170660"</f>
        <v>3250613170660</v>
      </c>
      <c r="J1551" t="s">
        <v>4461</v>
      </c>
    </row>
    <row r="1552" spans="1:10" x14ac:dyDescent="0.25">
      <c r="A1552" t="s">
        <v>8</v>
      </c>
      <c r="B1552" t="s">
        <v>4462</v>
      </c>
      <c r="C1552" t="s">
        <v>4463</v>
      </c>
      <c r="D1552">
        <v>1</v>
      </c>
      <c r="E1552" t="s">
        <v>3696</v>
      </c>
      <c r="F1552" t="s">
        <v>3697</v>
      </c>
      <c r="G1552" s="1"/>
      <c r="H1552" t="str">
        <f>"3250613170721"</f>
        <v>3250613170721</v>
      </c>
      <c r="J1552" t="s">
        <v>4458</v>
      </c>
    </row>
    <row r="1553" spans="1:10" x14ac:dyDescent="0.25">
      <c r="A1553" t="s">
        <v>8</v>
      </c>
      <c r="B1553" t="s">
        <v>4464</v>
      </c>
      <c r="C1553" t="s">
        <v>4465</v>
      </c>
      <c r="D1553">
        <v>1</v>
      </c>
      <c r="E1553" t="s">
        <v>3696</v>
      </c>
      <c r="F1553" t="s">
        <v>3697</v>
      </c>
      <c r="G1553" s="1"/>
      <c r="H1553" t="str">
        <f>"3250613176334"</f>
        <v>3250613176334</v>
      </c>
      <c r="J1553" t="s">
        <v>4466</v>
      </c>
    </row>
    <row r="1554" spans="1:10" x14ac:dyDescent="0.25">
      <c r="A1554" t="s">
        <v>8</v>
      </c>
      <c r="B1554" t="s">
        <v>4467</v>
      </c>
      <c r="C1554" t="s">
        <v>4468</v>
      </c>
      <c r="D1554">
        <v>1</v>
      </c>
      <c r="E1554" t="s">
        <v>3696</v>
      </c>
      <c r="F1554" t="s">
        <v>3697</v>
      </c>
      <c r="G1554" s="1"/>
      <c r="H1554" t="str">
        <f>"3250613176341"</f>
        <v>3250613176341</v>
      </c>
      <c r="J1554" t="s">
        <v>4469</v>
      </c>
    </row>
    <row r="1555" spans="1:10" x14ac:dyDescent="0.25">
      <c r="A1555" t="s">
        <v>8</v>
      </c>
      <c r="B1555" t="s">
        <v>4470</v>
      </c>
      <c r="C1555" t="s">
        <v>4471</v>
      </c>
      <c r="D1555">
        <v>1</v>
      </c>
      <c r="E1555" t="s">
        <v>3696</v>
      </c>
      <c r="F1555" t="s">
        <v>3697</v>
      </c>
      <c r="G1555" s="1"/>
      <c r="H1555" t="str">
        <f>"3250613141776"</f>
        <v>3250613141776</v>
      </c>
      <c r="J1555" t="s">
        <v>4472</v>
      </c>
    </row>
    <row r="1556" spans="1:10" x14ac:dyDescent="0.25">
      <c r="A1556" t="s">
        <v>8</v>
      </c>
      <c r="B1556" t="s">
        <v>4473</v>
      </c>
      <c r="C1556" t="s">
        <v>4474</v>
      </c>
      <c r="D1556">
        <v>1</v>
      </c>
      <c r="E1556" t="s">
        <v>3696</v>
      </c>
      <c r="F1556" t="s">
        <v>3697</v>
      </c>
      <c r="G1556" s="1"/>
      <c r="H1556" t="str">
        <f>"3250613170790"</f>
        <v>3250613170790</v>
      </c>
      <c r="J1556" t="s">
        <v>4461</v>
      </c>
    </row>
    <row r="1557" spans="1:10" x14ac:dyDescent="0.25">
      <c r="A1557" t="s">
        <v>8</v>
      </c>
      <c r="B1557" t="s">
        <v>4475</v>
      </c>
      <c r="C1557" t="s">
        <v>4476</v>
      </c>
      <c r="D1557">
        <v>1</v>
      </c>
      <c r="E1557" t="s">
        <v>3696</v>
      </c>
      <c r="F1557" t="s">
        <v>3697</v>
      </c>
      <c r="G1557" s="1"/>
      <c r="H1557" t="str">
        <f>"3250613176365"</f>
        <v>3250613176365</v>
      </c>
      <c r="J1557" t="s">
        <v>4477</v>
      </c>
    </row>
    <row r="1558" spans="1:10" x14ac:dyDescent="0.25">
      <c r="A1558" t="s">
        <v>8</v>
      </c>
      <c r="B1558" t="s">
        <v>4478</v>
      </c>
      <c r="C1558" t="s">
        <v>4479</v>
      </c>
      <c r="D1558">
        <v>1</v>
      </c>
      <c r="E1558" t="s">
        <v>3696</v>
      </c>
      <c r="F1558" t="s">
        <v>3697</v>
      </c>
      <c r="G1558" s="1"/>
      <c r="H1558" t="str">
        <f>"3250613176372"</f>
        <v>3250613176372</v>
      </c>
      <c r="J1558" t="s">
        <v>4480</v>
      </c>
    </row>
    <row r="1559" spans="1:10" x14ac:dyDescent="0.25">
      <c r="A1559" t="s">
        <v>8</v>
      </c>
      <c r="B1559" t="s">
        <v>4481</v>
      </c>
      <c r="C1559" t="s">
        <v>4482</v>
      </c>
      <c r="D1559">
        <v>1</v>
      </c>
      <c r="E1559" t="s">
        <v>3696</v>
      </c>
      <c r="F1559" t="s">
        <v>3697</v>
      </c>
      <c r="G1559" s="1"/>
      <c r="H1559" t="str">
        <f>"3250613141783"</f>
        <v>3250613141783</v>
      </c>
      <c r="J1559" t="s">
        <v>4483</v>
      </c>
    </row>
    <row r="1560" spans="1:10" x14ac:dyDescent="0.25">
      <c r="A1560" t="s">
        <v>8</v>
      </c>
      <c r="B1560" t="s">
        <v>4484</v>
      </c>
      <c r="C1560" t="s">
        <v>4485</v>
      </c>
      <c r="D1560">
        <v>1</v>
      </c>
      <c r="E1560" t="s">
        <v>3696</v>
      </c>
      <c r="F1560" t="s">
        <v>3697</v>
      </c>
      <c r="G1560" s="1"/>
      <c r="H1560" t="str">
        <f>"3250613177904"</f>
        <v>3250613177904</v>
      </c>
      <c r="J1560" t="s">
        <v>4486</v>
      </c>
    </row>
    <row r="1561" spans="1:10" x14ac:dyDescent="0.25">
      <c r="A1561" t="s">
        <v>8</v>
      </c>
      <c r="B1561" t="s">
        <v>4487</v>
      </c>
      <c r="C1561" t="s">
        <v>4488</v>
      </c>
      <c r="D1561">
        <v>1</v>
      </c>
      <c r="E1561" t="s">
        <v>3696</v>
      </c>
      <c r="F1561" t="s">
        <v>3697</v>
      </c>
      <c r="G1561" s="1"/>
      <c r="H1561" t="str">
        <f>"3250613177911"</f>
        <v>3250613177911</v>
      </c>
      <c r="J1561" t="s">
        <v>4489</v>
      </c>
    </row>
    <row r="1562" spans="1:10" x14ac:dyDescent="0.25">
      <c r="A1562" t="s">
        <v>8</v>
      </c>
      <c r="B1562" t="s">
        <v>4490</v>
      </c>
      <c r="C1562" t="s">
        <v>4491</v>
      </c>
      <c r="D1562">
        <v>1</v>
      </c>
      <c r="E1562" t="s">
        <v>3696</v>
      </c>
      <c r="F1562" t="s">
        <v>3697</v>
      </c>
      <c r="G1562" s="1"/>
      <c r="H1562" t="str">
        <f>"3250613177928"</f>
        <v>3250613177928</v>
      </c>
      <c r="J1562" t="s">
        <v>4492</v>
      </c>
    </row>
    <row r="1563" spans="1:10" x14ac:dyDescent="0.25">
      <c r="A1563" t="s">
        <v>8</v>
      </c>
      <c r="B1563" t="s">
        <v>4493</v>
      </c>
      <c r="C1563" t="s">
        <v>4494</v>
      </c>
      <c r="D1563">
        <v>1</v>
      </c>
      <c r="E1563" t="s">
        <v>3696</v>
      </c>
      <c r="F1563" t="s">
        <v>3697</v>
      </c>
      <c r="G1563" s="1"/>
      <c r="H1563" t="str">
        <f>"3250613177935"</f>
        <v>3250613177935</v>
      </c>
      <c r="J1563" t="s">
        <v>4495</v>
      </c>
    </row>
    <row r="1564" spans="1:10" x14ac:dyDescent="0.25">
      <c r="A1564" t="s">
        <v>8</v>
      </c>
      <c r="B1564" t="s">
        <v>4496</v>
      </c>
      <c r="C1564" t="s">
        <v>4497</v>
      </c>
      <c r="D1564">
        <v>1</v>
      </c>
      <c r="E1564" t="s">
        <v>3696</v>
      </c>
      <c r="F1564" t="s">
        <v>3697</v>
      </c>
      <c r="G1564" s="1"/>
      <c r="H1564" t="str">
        <f>"3250613177942"</f>
        <v>3250613177942</v>
      </c>
      <c r="J1564" t="s">
        <v>4498</v>
      </c>
    </row>
    <row r="1565" spans="1:10" x14ac:dyDescent="0.25">
      <c r="A1565" t="s">
        <v>8</v>
      </c>
      <c r="B1565" t="s">
        <v>4499</v>
      </c>
      <c r="C1565" t="s">
        <v>4500</v>
      </c>
      <c r="D1565">
        <v>1</v>
      </c>
      <c r="E1565" t="s">
        <v>3696</v>
      </c>
      <c r="F1565" t="s">
        <v>3697</v>
      </c>
      <c r="G1565" s="1"/>
      <c r="H1565" t="str">
        <f>"3250613177959"</f>
        <v>3250613177959</v>
      </c>
      <c r="J1565" t="s">
        <v>4501</v>
      </c>
    </row>
    <row r="1566" spans="1:10" x14ac:dyDescent="0.25">
      <c r="A1566" t="s">
        <v>8</v>
      </c>
      <c r="B1566" t="s">
        <v>4502</v>
      </c>
      <c r="C1566" t="s">
        <v>4503</v>
      </c>
      <c r="D1566">
        <v>1</v>
      </c>
      <c r="E1566" t="s">
        <v>3696</v>
      </c>
      <c r="F1566" t="s">
        <v>3697</v>
      </c>
      <c r="G1566" s="1"/>
      <c r="H1566" t="str">
        <f>"3250613177966"</f>
        <v>3250613177966</v>
      </c>
      <c r="J1566" t="s">
        <v>4504</v>
      </c>
    </row>
    <row r="1567" spans="1:10" x14ac:dyDescent="0.25">
      <c r="A1567" t="s">
        <v>8</v>
      </c>
      <c r="B1567" t="s">
        <v>4505</v>
      </c>
      <c r="C1567" t="s">
        <v>4506</v>
      </c>
      <c r="D1567">
        <v>1</v>
      </c>
      <c r="E1567" t="s">
        <v>3696</v>
      </c>
      <c r="F1567" t="s">
        <v>3697</v>
      </c>
      <c r="G1567" s="1"/>
      <c r="H1567" t="str">
        <f>"3250613177973"</f>
        <v>3250613177973</v>
      </c>
      <c r="J1567" t="s">
        <v>4507</v>
      </c>
    </row>
    <row r="1568" spans="1:10" x14ac:dyDescent="0.25">
      <c r="A1568" t="s">
        <v>8</v>
      </c>
      <c r="B1568" t="s">
        <v>4508</v>
      </c>
      <c r="C1568" t="s">
        <v>4509</v>
      </c>
      <c r="D1568">
        <v>1</v>
      </c>
      <c r="E1568" t="s">
        <v>3696</v>
      </c>
      <c r="F1568" t="s">
        <v>3697</v>
      </c>
      <c r="G1568" s="1"/>
      <c r="H1568" t="str">
        <f>"3250613177980"</f>
        <v>3250613177980</v>
      </c>
      <c r="J1568" t="s">
        <v>4510</v>
      </c>
    </row>
    <row r="1569" spans="1:10" x14ac:dyDescent="0.25">
      <c r="A1569" t="s">
        <v>8</v>
      </c>
      <c r="B1569" t="s">
        <v>4511</v>
      </c>
      <c r="C1569" t="s">
        <v>4512</v>
      </c>
      <c r="D1569">
        <v>1</v>
      </c>
      <c r="E1569" t="s">
        <v>3696</v>
      </c>
      <c r="F1569" t="s">
        <v>3697</v>
      </c>
      <c r="G1569" s="1"/>
      <c r="H1569" t="str">
        <f>"3250613177997"</f>
        <v>3250613177997</v>
      </c>
      <c r="J1569" t="s">
        <v>4513</v>
      </c>
    </row>
    <row r="1570" spans="1:10" x14ac:dyDescent="0.25">
      <c r="A1570" t="s">
        <v>8</v>
      </c>
      <c r="B1570" t="s">
        <v>4514</v>
      </c>
      <c r="C1570" t="s">
        <v>4515</v>
      </c>
      <c r="D1570">
        <v>1</v>
      </c>
      <c r="E1570" t="s">
        <v>3696</v>
      </c>
      <c r="F1570" t="s">
        <v>3697</v>
      </c>
      <c r="G1570" s="1"/>
      <c r="H1570" t="str">
        <f>"3250613178017"</f>
        <v>3250613178017</v>
      </c>
      <c r="J1570" t="s">
        <v>4516</v>
      </c>
    </row>
    <row r="1571" spans="1:10" x14ac:dyDescent="0.25">
      <c r="A1571" t="s">
        <v>8</v>
      </c>
      <c r="B1571" t="s">
        <v>4517</v>
      </c>
      <c r="C1571" t="s">
        <v>4518</v>
      </c>
      <c r="D1571">
        <v>1</v>
      </c>
      <c r="E1571" t="s">
        <v>3696</v>
      </c>
      <c r="F1571" t="s">
        <v>3697</v>
      </c>
      <c r="G1571" s="1"/>
      <c r="H1571" t="str">
        <f>"3250613178024"</f>
        <v>3250613178024</v>
      </c>
      <c r="J1571" t="s">
        <v>4519</v>
      </c>
    </row>
    <row r="1572" spans="1:10" x14ac:dyDescent="0.25">
      <c r="A1572" t="s">
        <v>8</v>
      </c>
      <c r="B1572" t="s">
        <v>4520</v>
      </c>
      <c r="C1572" t="s">
        <v>4521</v>
      </c>
      <c r="D1572">
        <v>1</v>
      </c>
      <c r="E1572" t="s">
        <v>3696</v>
      </c>
      <c r="F1572" t="s">
        <v>3697</v>
      </c>
      <c r="G1572" s="1"/>
      <c r="H1572" t="str">
        <f>"3250613178048"</f>
        <v>3250613178048</v>
      </c>
      <c r="J1572" t="s">
        <v>4522</v>
      </c>
    </row>
    <row r="1573" spans="1:10" x14ac:dyDescent="0.25">
      <c r="A1573" t="s">
        <v>8</v>
      </c>
      <c r="B1573" t="s">
        <v>4523</v>
      </c>
      <c r="C1573" t="s">
        <v>4524</v>
      </c>
      <c r="D1573">
        <v>1</v>
      </c>
      <c r="E1573" t="s">
        <v>3696</v>
      </c>
      <c r="F1573" t="s">
        <v>3697</v>
      </c>
      <c r="G1573" s="1"/>
      <c r="H1573" t="str">
        <f>"3250613178055"</f>
        <v>3250613178055</v>
      </c>
      <c r="J1573" t="s">
        <v>4525</v>
      </c>
    </row>
    <row r="1574" spans="1:10" x14ac:dyDescent="0.25">
      <c r="A1574" t="s">
        <v>8</v>
      </c>
      <c r="B1574" t="s">
        <v>4526</v>
      </c>
      <c r="C1574" t="s">
        <v>4527</v>
      </c>
      <c r="D1574">
        <v>1</v>
      </c>
      <c r="E1574" t="s">
        <v>3696</v>
      </c>
      <c r="F1574" t="s">
        <v>3697</v>
      </c>
      <c r="G1574" s="1"/>
      <c r="H1574" t="str">
        <f>"3250613200671"</f>
        <v>3250613200671</v>
      </c>
      <c r="J1574" t="s">
        <v>4528</v>
      </c>
    </row>
    <row r="1575" spans="1:10" x14ac:dyDescent="0.25">
      <c r="A1575" t="s">
        <v>8</v>
      </c>
      <c r="B1575" t="s">
        <v>4529</v>
      </c>
      <c r="C1575" t="s">
        <v>4530</v>
      </c>
      <c r="D1575">
        <v>1</v>
      </c>
      <c r="E1575" t="s">
        <v>3696</v>
      </c>
      <c r="F1575" t="s">
        <v>3697</v>
      </c>
      <c r="G1575" s="1"/>
      <c r="H1575" t="str">
        <f>"3250613200749"</f>
        <v>3250613200749</v>
      </c>
      <c r="J1575" t="s">
        <v>4531</v>
      </c>
    </row>
    <row r="1576" spans="1:10" x14ac:dyDescent="0.25">
      <c r="A1576" t="s">
        <v>8</v>
      </c>
      <c r="B1576" t="s">
        <v>4532</v>
      </c>
      <c r="C1576" t="s">
        <v>4533</v>
      </c>
      <c r="D1576">
        <v>1</v>
      </c>
      <c r="E1576" t="s">
        <v>3696</v>
      </c>
      <c r="F1576" t="s">
        <v>3697</v>
      </c>
      <c r="G1576" s="1"/>
      <c r="H1576" t="str">
        <f>"3250613200688"</f>
        <v>3250613200688</v>
      </c>
      <c r="J1576" t="s">
        <v>4534</v>
      </c>
    </row>
    <row r="1577" spans="1:10" x14ac:dyDescent="0.25">
      <c r="A1577" t="s">
        <v>8</v>
      </c>
      <c r="B1577" t="s">
        <v>4535</v>
      </c>
      <c r="C1577" t="s">
        <v>4536</v>
      </c>
      <c r="D1577">
        <v>1</v>
      </c>
      <c r="E1577" t="s">
        <v>3696</v>
      </c>
      <c r="F1577" t="s">
        <v>3697</v>
      </c>
      <c r="G1577" s="1"/>
      <c r="H1577" t="str">
        <f>"3250613200756"</f>
        <v>3250613200756</v>
      </c>
      <c r="J1577" t="s">
        <v>4537</v>
      </c>
    </row>
    <row r="1578" spans="1:10" x14ac:dyDescent="0.25">
      <c r="A1578" t="s">
        <v>8</v>
      </c>
      <c r="B1578" t="s">
        <v>4538</v>
      </c>
      <c r="C1578" t="s">
        <v>4539</v>
      </c>
      <c r="D1578">
        <v>1</v>
      </c>
      <c r="E1578" t="s">
        <v>3696</v>
      </c>
      <c r="F1578" t="s">
        <v>3697</v>
      </c>
      <c r="G1578" s="1"/>
      <c r="H1578" t="str">
        <f>"3250613200701"</f>
        <v>3250613200701</v>
      </c>
      <c r="J1578" t="s">
        <v>4540</v>
      </c>
    </row>
    <row r="1579" spans="1:10" x14ac:dyDescent="0.25">
      <c r="A1579" t="s">
        <v>8</v>
      </c>
      <c r="B1579" t="s">
        <v>4541</v>
      </c>
      <c r="C1579" t="s">
        <v>4542</v>
      </c>
      <c r="D1579">
        <v>1</v>
      </c>
      <c r="E1579" t="s">
        <v>3696</v>
      </c>
      <c r="F1579" t="s">
        <v>3697</v>
      </c>
      <c r="G1579" s="1"/>
      <c r="H1579" t="str">
        <f>"3250613200770"</f>
        <v>3250613200770</v>
      </c>
      <c r="J1579" t="s">
        <v>4543</v>
      </c>
    </row>
    <row r="1580" spans="1:10" x14ac:dyDescent="0.25">
      <c r="A1580" t="s">
        <v>8</v>
      </c>
      <c r="B1580" t="s">
        <v>4544</v>
      </c>
      <c r="C1580" t="s">
        <v>4545</v>
      </c>
      <c r="D1580">
        <v>1</v>
      </c>
      <c r="E1580" t="s">
        <v>3696</v>
      </c>
      <c r="F1580" t="s">
        <v>3697</v>
      </c>
      <c r="G1580" s="1"/>
      <c r="H1580" t="str">
        <f>"3250613200718"</f>
        <v>3250613200718</v>
      </c>
      <c r="J1580" t="s">
        <v>4546</v>
      </c>
    </row>
    <row r="1581" spans="1:10" x14ac:dyDescent="0.25">
      <c r="A1581" t="s">
        <v>8</v>
      </c>
      <c r="B1581" t="s">
        <v>4547</v>
      </c>
      <c r="C1581" t="s">
        <v>4548</v>
      </c>
      <c r="D1581">
        <v>1</v>
      </c>
      <c r="E1581" t="s">
        <v>3696</v>
      </c>
      <c r="F1581" t="s">
        <v>3697</v>
      </c>
      <c r="G1581" s="1"/>
      <c r="H1581" t="str">
        <f>"3250613200725"</f>
        <v>3250613200725</v>
      </c>
      <c r="J1581" t="s">
        <v>4549</v>
      </c>
    </row>
    <row r="1582" spans="1:10" x14ac:dyDescent="0.25">
      <c r="A1582" t="s">
        <v>8</v>
      </c>
      <c r="B1582" t="s">
        <v>4550</v>
      </c>
      <c r="C1582" t="s">
        <v>4551</v>
      </c>
      <c r="D1582">
        <v>1</v>
      </c>
      <c r="E1582" t="s">
        <v>3696</v>
      </c>
      <c r="F1582" t="s">
        <v>3697</v>
      </c>
      <c r="G1582" s="1"/>
      <c r="H1582" t="str">
        <f>"3250613177249"</f>
        <v>3250613177249</v>
      </c>
      <c r="J1582" t="s">
        <v>4552</v>
      </c>
    </row>
    <row r="1583" spans="1:10" x14ac:dyDescent="0.25">
      <c r="A1583" t="s">
        <v>8</v>
      </c>
      <c r="B1583" t="s">
        <v>4553</v>
      </c>
      <c r="C1583" t="s">
        <v>4554</v>
      </c>
      <c r="D1583">
        <v>1</v>
      </c>
      <c r="E1583" t="s">
        <v>3696</v>
      </c>
      <c r="F1583" t="s">
        <v>3697</v>
      </c>
      <c r="G1583" s="1"/>
      <c r="H1583" t="str">
        <f>"3250613177256"</f>
        <v>3250613177256</v>
      </c>
      <c r="J1583" t="s">
        <v>4555</v>
      </c>
    </row>
    <row r="1584" spans="1:10" x14ac:dyDescent="0.25">
      <c r="A1584" t="s">
        <v>8</v>
      </c>
      <c r="B1584" t="s">
        <v>4556</v>
      </c>
      <c r="C1584" t="s">
        <v>4557</v>
      </c>
      <c r="D1584">
        <v>1</v>
      </c>
      <c r="E1584" t="s">
        <v>3696</v>
      </c>
      <c r="F1584" t="s">
        <v>3697</v>
      </c>
      <c r="G1584" s="1"/>
      <c r="H1584" t="str">
        <f>"3250613177263"</f>
        <v>3250613177263</v>
      </c>
      <c r="J1584" t="s">
        <v>4522</v>
      </c>
    </row>
    <row r="1585" spans="1:10" x14ac:dyDescent="0.25">
      <c r="A1585" t="s">
        <v>8</v>
      </c>
      <c r="B1585" t="s">
        <v>4558</v>
      </c>
      <c r="C1585" t="s">
        <v>4559</v>
      </c>
      <c r="D1585">
        <v>1</v>
      </c>
      <c r="E1585" t="s">
        <v>3696</v>
      </c>
      <c r="F1585" t="s">
        <v>3697</v>
      </c>
      <c r="G1585" s="1"/>
      <c r="H1585" t="str">
        <f>"3250613177270"</f>
        <v>3250613177270</v>
      </c>
      <c r="J1585" t="s">
        <v>4560</v>
      </c>
    </row>
    <row r="1586" spans="1:10" x14ac:dyDescent="0.25">
      <c r="A1586" t="s">
        <v>8</v>
      </c>
      <c r="B1586" t="s">
        <v>4561</v>
      </c>
      <c r="C1586" t="s">
        <v>4562</v>
      </c>
      <c r="D1586">
        <v>1</v>
      </c>
      <c r="E1586" t="s">
        <v>3696</v>
      </c>
      <c r="F1586" t="s">
        <v>3697</v>
      </c>
      <c r="G1586" s="1"/>
      <c r="H1586" t="str">
        <f>"3250613177287"</f>
        <v>3250613177287</v>
      </c>
      <c r="J1586" t="s">
        <v>4552</v>
      </c>
    </row>
    <row r="1587" spans="1:10" x14ac:dyDescent="0.25">
      <c r="A1587" t="s">
        <v>8</v>
      </c>
      <c r="B1587" t="s">
        <v>4563</v>
      </c>
      <c r="C1587" t="s">
        <v>4564</v>
      </c>
      <c r="D1587">
        <v>1</v>
      </c>
      <c r="E1587" t="s">
        <v>3696</v>
      </c>
      <c r="F1587" t="s">
        <v>3697</v>
      </c>
      <c r="G1587" s="1"/>
      <c r="H1587" t="str">
        <f>"3250613177294"</f>
        <v>3250613177294</v>
      </c>
      <c r="J1587" t="s">
        <v>4555</v>
      </c>
    </row>
    <row r="1588" spans="1:10" x14ac:dyDescent="0.25">
      <c r="A1588" t="s">
        <v>8</v>
      </c>
      <c r="B1588" t="s">
        <v>4565</v>
      </c>
      <c r="C1588" t="s">
        <v>4566</v>
      </c>
      <c r="D1588">
        <v>1</v>
      </c>
      <c r="E1588" t="s">
        <v>3696</v>
      </c>
      <c r="F1588" t="s">
        <v>3697</v>
      </c>
      <c r="G1588" s="1"/>
      <c r="H1588" t="str">
        <f>"3250613145699"</f>
        <v>3250613145699</v>
      </c>
      <c r="J1588" t="s">
        <v>4567</v>
      </c>
    </row>
    <row r="1589" spans="1:10" x14ac:dyDescent="0.25">
      <c r="A1589" t="s">
        <v>8</v>
      </c>
      <c r="B1589" t="s">
        <v>4568</v>
      </c>
      <c r="C1589" t="s">
        <v>4569</v>
      </c>
      <c r="D1589">
        <v>1</v>
      </c>
      <c r="E1589" t="s">
        <v>3696</v>
      </c>
      <c r="F1589" t="s">
        <v>3697</v>
      </c>
      <c r="G1589" s="1"/>
      <c r="H1589" t="str">
        <f>"3250613145705"</f>
        <v>3250613145705</v>
      </c>
      <c r="J1589" t="s">
        <v>4570</v>
      </c>
    </row>
    <row r="1590" spans="1:10" x14ac:dyDescent="0.25">
      <c r="A1590" t="s">
        <v>8</v>
      </c>
      <c r="B1590" t="s">
        <v>4571</v>
      </c>
      <c r="C1590" t="s">
        <v>4572</v>
      </c>
      <c r="D1590">
        <v>1</v>
      </c>
      <c r="E1590" t="s">
        <v>3696</v>
      </c>
      <c r="F1590" t="s">
        <v>3697</v>
      </c>
      <c r="G1590" s="1"/>
      <c r="H1590" t="str">
        <f>"3250613141295"</f>
        <v>3250613141295</v>
      </c>
      <c r="J1590" t="s">
        <v>4573</v>
      </c>
    </row>
    <row r="1591" spans="1:10" x14ac:dyDescent="0.25">
      <c r="A1591" t="s">
        <v>8</v>
      </c>
      <c r="B1591" t="s">
        <v>4574</v>
      </c>
      <c r="C1591" t="s">
        <v>4575</v>
      </c>
      <c r="D1591">
        <v>1</v>
      </c>
      <c r="E1591" t="s">
        <v>3696</v>
      </c>
      <c r="F1591" t="s">
        <v>3697</v>
      </c>
      <c r="G1591" s="1"/>
      <c r="H1591" t="str">
        <f>"3250613177300"</f>
        <v>3250613177300</v>
      </c>
      <c r="J1591" t="s">
        <v>4522</v>
      </c>
    </row>
    <row r="1592" spans="1:10" x14ac:dyDescent="0.25">
      <c r="A1592" t="s">
        <v>8</v>
      </c>
      <c r="B1592" t="s">
        <v>4576</v>
      </c>
      <c r="C1592" t="s">
        <v>4577</v>
      </c>
      <c r="D1592">
        <v>1</v>
      </c>
      <c r="E1592" t="s">
        <v>3696</v>
      </c>
      <c r="F1592" t="s">
        <v>3697</v>
      </c>
      <c r="G1592" s="1"/>
      <c r="H1592" t="str">
        <f>"3250613177317"</f>
        <v>3250613177317</v>
      </c>
      <c r="J1592" t="s">
        <v>4578</v>
      </c>
    </row>
    <row r="1593" spans="1:10" x14ac:dyDescent="0.25">
      <c r="A1593" t="s">
        <v>8</v>
      </c>
      <c r="B1593" t="s">
        <v>4579</v>
      </c>
      <c r="C1593" t="s">
        <v>4580</v>
      </c>
      <c r="D1593">
        <v>1</v>
      </c>
      <c r="E1593" t="s">
        <v>3696</v>
      </c>
      <c r="F1593" t="s">
        <v>3697</v>
      </c>
      <c r="G1593" s="1"/>
      <c r="H1593" t="str">
        <f>"3250613145712"</f>
        <v>3250613145712</v>
      </c>
      <c r="J1593" t="s">
        <v>4581</v>
      </c>
    </row>
    <row r="1594" spans="1:10" x14ac:dyDescent="0.25">
      <c r="A1594" t="s">
        <v>8</v>
      </c>
      <c r="B1594" t="s">
        <v>4582</v>
      </c>
      <c r="C1594" t="s">
        <v>4583</v>
      </c>
      <c r="D1594">
        <v>1</v>
      </c>
      <c r="E1594" t="s">
        <v>3696</v>
      </c>
      <c r="F1594" t="s">
        <v>3697</v>
      </c>
      <c r="G1594" s="1"/>
      <c r="H1594" t="str">
        <f>"3250613145729"</f>
        <v>3250613145729</v>
      </c>
      <c r="J1594" t="s">
        <v>4584</v>
      </c>
    </row>
    <row r="1595" spans="1:10" x14ac:dyDescent="0.25">
      <c r="A1595" t="s">
        <v>8</v>
      </c>
      <c r="B1595" t="s">
        <v>4585</v>
      </c>
      <c r="C1595" t="s">
        <v>4586</v>
      </c>
      <c r="D1595">
        <v>1</v>
      </c>
      <c r="E1595" t="s">
        <v>3696</v>
      </c>
      <c r="F1595" t="s">
        <v>3697</v>
      </c>
      <c r="G1595" s="1"/>
      <c r="H1595" t="str">
        <f>"3250613141301"</f>
        <v>3250613141301</v>
      </c>
      <c r="J1595" t="s">
        <v>4587</v>
      </c>
    </row>
    <row r="1596" spans="1:10" x14ac:dyDescent="0.25">
      <c r="A1596" t="s">
        <v>8</v>
      </c>
      <c r="B1596" t="s">
        <v>4588</v>
      </c>
      <c r="C1596" t="s">
        <v>4589</v>
      </c>
      <c r="D1596">
        <v>1</v>
      </c>
      <c r="E1596" t="s">
        <v>3696</v>
      </c>
      <c r="F1596" t="s">
        <v>3697</v>
      </c>
      <c r="G1596" s="1"/>
      <c r="H1596" t="str">
        <f>"3250613177324"</f>
        <v>3250613177324</v>
      </c>
      <c r="J1596" t="s">
        <v>4552</v>
      </c>
    </row>
    <row r="1597" spans="1:10" x14ac:dyDescent="0.25">
      <c r="A1597" t="s">
        <v>8</v>
      </c>
      <c r="B1597" t="s">
        <v>4590</v>
      </c>
      <c r="C1597" t="s">
        <v>4591</v>
      </c>
      <c r="D1597">
        <v>1</v>
      </c>
      <c r="E1597" t="s">
        <v>3696</v>
      </c>
      <c r="F1597" t="s">
        <v>3697</v>
      </c>
      <c r="G1597" s="1"/>
      <c r="H1597" t="str">
        <f>"3250613177331"</f>
        <v>3250613177331</v>
      </c>
      <c r="J1597" t="s">
        <v>4522</v>
      </c>
    </row>
    <row r="1598" spans="1:10" x14ac:dyDescent="0.25">
      <c r="A1598" t="s">
        <v>8</v>
      </c>
      <c r="B1598" t="s">
        <v>4592</v>
      </c>
      <c r="C1598" t="s">
        <v>4593</v>
      </c>
      <c r="D1598">
        <v>1</v>
      </c>
      <c r="E1598" t="s">
        <v>3696</v>
      </c>
      <c r="F1598" t="s">
        <v>3697</v>
      </c>
      <c r="G1598" s="1"/>
      <c r="H1598" t="str">
        <f>"3250613177348"</f>
        <v>3250613177348</v>
      </c>
      <c r="J1598" t="s">
        <v>4552</v>
      </c>
    </row>
    <row r="1599" spans="1:10" x14ac:dyDescent="0.25">
      <c r="A1599" t="s">
        <v>8</v>
      </c>
      <c r="B1599" t="s">
        <v>4594</v>
      </c>
      <c r="C1599" t="s">
        <v>4595</v>
      </c>
      <c r="D1599">
        <v>1</v>
      </c>
      <c r="E1599" t="s">
        <v>3696</v>
      </c>
      <c r="F1599" t="s">
        <v>3697</v>
      </c>
      <c r="G1599" s="1"/>
      <c r="H1599" t="str">
        <f>"3250613177355"</f>
        <v>3250613177355</v>
      </c>
      <c r="J1599" t="s">
        <v>4596</v>
      </c>
    </row>
    <row r="1600" spans="1:10" x14ac:dyDescent="0.25">
      <c r="A1600" t="s">
        <v>8</v>
      </c>
      <c r="B1600" t="s">
        <v>4597</v>
      </c>
      <c r="C1600" t="s">
        <v>4598</v>
      </c>
      <c r="D1600">
        <v>1</v>
      </c>
      <c r="E1600" t="s">
        <v>3696</v>
      </c>
      <c r="F1600" t="s">
        <v>3697</v>
      </c>
      <c r="G1600" s="1"/>
      <c r="H1600" t="str">
        <f>"3250613177362"</f>
        <v>3250613177362</v>
      </c>
      <c r="J1600" t="s">
        <v>4522</v>
      </c>
    </row>
    <row r="1601" spans="1:10" x14ac:dyDescent="0.25">
      <c r="A1601" t="s">
        <v>8</v>
      </c>
      <c r="B1601" t="s">
        <v>4599</v>
      </c>
      <c r="C1601" t="s">
        <v>4600</v>
      </c>
      <c r="D1601">
        <v>1</v>
      </c>
      <c r="E1601" t="s">
        <v>3696</v>
      </c>
      <c r="F1601" t="s">
        <v>3697</v>
      </c>
      <c r="G1601" s="1"/>
      <c r="H1601" t="str">
        <f>"3250613177379"</f>
        <v>3250613177379</v>
      </c>
      <c r="J1601" t="s">
        <v>4601</v>
      </c>
    </row>
    <row r="1602" spans="1:10" x14ac:dyDescent="0.25">
      <c r="A1602" t="s">
        <v>8</v>
      </c>
      <c r="B1602" t="s">
        <v>4602</v>
      </c>
      <c r="C1602" t="s">
        <v>4603</v>
      </c>
      <c r="D1602">
        <v>1</v>
      </c>
      <c r="E1602" t="s">
        <v>3696</v>
      </c>
      <c r="F1602" t="s">
        <v>3697</v>
      </c>
      <c r="G1602" s="1"/>
      <c r="H1602" t="str">
        <f>"3250613177386"</f>
        <v>3250613177386</v>
      </c>
      <c r="J1602" t="s">
        <v>4552</v>
      </c>
    </row>
    <row r="1603" spans="1:10" x14ac:dyDescent="0.25">
      <c r="A1603" t="s">
        <v>8</v>
      </c>
      <c r="B1603" t="s">
        <v>4604</v>
      </c>
      <c r="C1603" t="s">
        <v>4605</v>
      </c>
      <c r="D1603">
        <v>1</v>
      </c>
      <c r="E1603" t="s">
        <v>3696</v>
      </c>
      <c r="F1603" t="s">
        <v>3697</v>
      </c>
      <c r="G1603" s="1"/>
      <c r="H1603" t="str">
        <f>"3250613177393"</f>
        <v>3250613177393</v>
      </c>
      <c r="J1603" t="s">
        <v>4606</v>
      </c>
    </row>
    <row r="1604" spans="1:10" x14ac:dyDescent="0.25">
      <c r="A1604" t="s">
        <v>8</v>
      </c>
      <c r="B1604" t="s">
        <v>4607</v>
      </c>
      <c r="C1604" t="s">
        <v>4608</v>
      </c>
      <c r="D1604">
        <v>1</v>
      </c>
      <c r="E1604" t="s">
        <v>3696</v>
      </c>
      <c r="F1604" t="s">
        <v>3697</v>
      </c>
      <c r="G1604" s="1"/>
      <c r="H1604" t="str">
        <f>"3250613177409"</f>
        <v>3250613177409</v>
      </c>
      <c r="J1604" t="s">
        <v>4522</v>
      </c>
    </row>
    <row r="1605" spans="1:10" x14ac:dyDescent="0.25">
      <c r="A1605" t="s">
        <v>8</v>
      </c>
      <c r="B1605" t="s">
        <v>4609</v>
      </c>
      <c r="C1605" t="s">
        <v>4610</v>
      </c>
      <c r="D1605">
        <v>1</v>
      </c>
      <c r="E1605" t="s">
        <v>3696</v>
      </c>
      <c r="F1605" t="s">
        <v>3697</v>
      </c>
      <c r="G1605" s="1"/>
      <c r="H1605" t="str">
        <f>"3250613177416"</f>
        <v>3250613177416</v>
      </c>
      <c r="J1605" t="s">
        <v>4611</v>
      </c>
    </row>
    <row r="1606" spans="1:10" x14ac:dyDescent="0.25">
      <c r="A1606" t="s">
        <v>8</v>
      </c>
      <c r="B1606" t="s">
        <v>4612</v>
      </c>
      <c r="C1606" t="s">
        <v>4613</v>
      </c>
      <c r="D1606">
        <v>1</v>
      </c>
      <c r="E1606" t="s">
        <v>3696</v>
      </c>
      <c r="F1606" t="s">
        <v>3697</v>
      </c>
      <c r="G1606" s="1"/>
      <c r="H1606" t="str">
        <f>"3250613177423"</f>
        <v>3250613177423</v>
      </c>
      <c r="J1606" t="s">
        <v>4552</v>
      </c>
    </row>
    <row r="1607" spans="1:10" x14ac:dyDescent="0.25">
      <c r="A1607" t="s">
        <v>8</v>
      </c>
      <c r="B1607" t="s">
        <v>4614</v>
      </c>
      <c r="C1607" t="s">
        <v>4615</v>
      </c>
      <c r="D1607">
        <v>1</v>
      </c>
      <c r="E1607" t="s">
        <v>3696</v>
      </c>
      <c r="F1607" t="s">
        <v>3697</v>
      </c>
      <c r="G1607" s="1"/>
      <c r="H1607" t="str">
        <f>"3250613177430"</f>
        <v>3250613177430</v>
      </c>
      <c r="J1607" t="s">
        <v>4616</v>
      </c>
    </row>
    <row r="1608" spans="1:10" x14ac:dyDescent="0.25">
      <c r="A1608" t="s">
        <v>8</v>
      </c>
      <c r="B1608" t="s">
        <v>4617</v>
      </c>
      <c r="C1608" t="s">
        <v>4618</v>
      </c>
      <c r="D1608">
        <v>1</v>
      </c>
      <c r="E1608" t="s">
        <v>3696</v>
      </c>
      <c r="F1608" t="s">
        <v>3697</v>
      </c>
      <c r="G1608" s="1"/>
      <c r="H1608" t="str">
        <f>"3250613145736"</f>
        <v>3250613145736</v>
      </c>
      <c r="J1608" t="s">
        <v>4619</v>
      </c>
    </row>
    <row r="1609" spans="1:10" x14ac:dyDescent="0.25">
      <c r="A1609" t="s">
        <v>8</v>
      </c>
      <c r="B1609" t="s">
        <v>4620</v>
      </c>
      <c r="C1609" t="s">
        <v>4621</v>
      </c>
      <c r="D1609">
        <v>1</v>
      </c>
      <c r="E1609" t="s">
        <v>3696</v>
      </c>
      <c r="F1609" t="s">
        <v>3697</v>
      </c>
      <c r="G1609" s="1"/>
      <c r="H1609" t="str">
        <f>"3250613145743"</f>
        <v>3250613145743</v>
      </c>
      <c r="J1609" t="s">
        <v>4622</v>
      </c>
    </row>
    <row r="1610" spans="1:10" x14ac:dyDescent="0.25">
      <c r="A1610" t="s">
        <v>8</v>
      </c>
      <c r="B1610" t="s">
        <v>4623</v>
      </c>
      <c r="C1610" t="s">
        <v>4624</v>
      </c>
      <c r="D1610">
        <v>1</v>
      </c>
      <c r="E1610" t="s">
        <v>3696</v>
      </c>
      <c r="F1610" t="s">
        <v>3697</v>
      </c>
      <c r="G1610" s="1"/>
      <c r="H1610" t="str">
        <f>"3250613141318"</f>
        <v>3250613141318</v>
      </c>
      <c r="J1610" t="s">
        <v>4625</v>
      </c>
    </row>
    <row r="1611" spans="1:10" x14ac:dyDescent="0.25">
      <c r="A1611" t="s">
        <v>8</v>
      </c>
      <c r="B1611" t="s">
        <v>4626</v>
      </c>
      <c r="C1611" t="s">
        <v>4627</v>
      </c>
      <c r="D1611">
        <v>1</v>
      </c>
      <c r="E1611" t="s">
        <v>3696</v>
      </c>
      <c r="F1611" t="s">
        <v>3697</v>
      </c>
      <c r="G1611" s="1"/>
      <c r="H1611" t="str">
        <f>"3250613177447"</f>
        <v>3250613177447</v>
      </c>
      <c r="J1611" t="s">
        <v>4522</v>
      </c>
    </row>
    <row r="1612" spans="1:10" x14ac:dyDescent="0.25">
      <c r="A1612" t="s">
        <v>8</v>
      </c>
      <c r="B1612" t="s">
        <v>4628</v>
      </c>
      <c r="C1612" t="s">
        <v>4629</v>
      </c>
      <c r="D1612">
        <v>1</v>
      </c>
      <c r="E1612" t="s">
        <v>3696</v>
      </c>
      <c r="F1612" t="s">
        <v>3697</v>
      </c>
      <c r="G1612" s="1"/>
      <c r="H1612" t="str">
        <f>"3250613177454"</f>
        <v>3250613177454</v>
      </c>
      <c r="J1612" t="s">
        <v>4630</v>
      </c>
    </row>
    <row r="1613" spans="1:10" x14ac:dyDescent="0.25">
      <c r="A1613" t="s">
        <v>8</v>
      </c>
      <c r="B1613" t="s">
        <v>4631</v>
      </c>
      <c r="C1613" t="s">
        <v>4632</v>
      </c>
      <c r="D1613">
        <v>1</v>
      </c>
      <c r="E1613" t="s">
        <v>3696</v>
      </c>
      <c r="F1613" t="s">
        <v>3697</v>
      </c>
      <c r="G1613" s="1"/>
      <c r="H1613" t="str">
        <f>"3250613145750"</f>
        <v>3250613145750</v>
      </c>
      <c r="J1613" t="s">
        <v>4633</v>
      </c>
    </row>
    <row r="1614" spans="1:10" x14ac:dyDescent="0.25">
      <c r="A1614" t="s">
        <v>8</v>
      </c>
      <c r="B1614" t="s">
        <v>4634</v>
      </c>
      <c r="C1614" t="s">
        <v>4635</v>
      </c>
      <c r="D1614">
        <v>1</v>
      </c>
      <c r="E1614" t="s">
        <v>3696</v>
      </c>
      <c r="F1614" t="s">
        <v>3697</v>
      </c>
      <c r="G1614" s="1"/>
      <c r="H1614" t="str">
        <f>"3250613145767"</f>
        <v>3250613145767</v>
      </c>
      <c r="J1614" t="s">
        <v>4636</v>
      </c>
    </row>
    <row r="1615" spans="1:10" x14ac:dyDescent="0.25">
      <c r="A1615" t="s">
        <v>8</v>
      </c>
      <c r="B1615" t="s">
        <v>4637</v>
      </c>
      <c r="C1615" t="s">
        <v>4638</v>
      </c>
      <c r="D1615">
        <v>1</v>
      </c>
      <c r="E1615" t="s">
        <v>3696</v>
      </c>
      <c r="F1615" t="s">
        <v>3697</v>
      </c>
      <c r="G1615" s="1"/>
      <c r="H1615" t="str">
        <f>"3250613141325"</f>
        <v>3250613141325</v>
      </c>
      <c r="J1615" t="s">
        <v>4639</v>
      </c>
    </row>
    <row r="1616" spans="1:10" x14ac:dyDescent="0.25">
      <c r="A1616" t="s">
        <v>8</v>
      </c>
      <c r="B1616" t="s">
        <v>4640</v>
      </c>
      <c r="C1616" t="s">
        <v>4641</v>
      </c>
      <c r="D1616">
        <v>1</v>
      </c>
      <c r="E1616" t="s">
        <v>3696</v>
      </c>
      <c r="F1616" t="s">
        <v>3697</v>
      </c>
      <c r="G1616" s="1"/>
      <c r="H1616" t="str">
        <f>"3250613177478"</f>
        <v>3250613177478</v>
      </c>
      <c r="J1616" t="s">
        <v>4642</v>
      </c>
    </row>
    <row r="1617" spans="1:10" x14ac:dyDescent="0.25">
      <c r="A1617" t="s">
        <v>8</v>
      </c>
      <c r="B1617" t="s">
        <v>4643</v>
      </c>
      <c r="C1617" t="s">
        <v>4644</v>
      </c>
      <c r="D1617">
        <v>1</v>
      </c>
      <c r="E1617" t="s">
        <v>3696</v>
      </c>
      <c r="F1617" t="s">
        <v>3697</v>
      </c>
      <c r="G1617" s="1"/>
      <c r="H1617" t="str">
        <f>"3250613177485"</f>
        <v>3250613177485</v>
      </c>
      <c r="I1617" s="1"/>
      <c r="J1617" t="s">
        <v>4645</v>
      </c>
    </row>
    <row r="1618" spans="1:10" x14ac:dyDescent="0.25">
      <c r="A1618" t="s">
        <v>8</v>
      </c>
      <c r="B1618" t="s">
        <v>4646</v>
      </c>
      <c r="C1618" t="s">
        <v>4647</v>
      </c>
      <c r="D1618">
        <v>1</v>
      </c>
      <c r="E1618" t="s">
        <v>3696</v>
      </c>
      <c r="F1618" t="s">
        <v>3697</v>
      </c>
      <c r="G1618" s="1"/>
      <c r="H1618" t="str">
        <f>"3250613177492"</f>
        <v>3250613177492</v>
      </c>
      <c r="J1618" t="s">
        <v>4648</v>
      </c>
    </row>
    <row r="1619" spans="1:10" x14ac:dyDescent="0.25">
      <c r="A1619" t="s">
        <v>8</v>
      </c>
      <c r="B1619" t="s">
        <v>4649</v>
      </c>
      <c r="C1619" t="s">
        <v>4650</v>
      </c>
      <c r="D1619">
        <v>1</v>
      </c>
      <c r="E1619" t="s">
        <v>3696</v>
      </c>
      <c r="F1619" t="s">
        <v>3697</v>
      </c>
      <c r="G1619" s="1"/>
      <c r="H1619" t="str">
        <f>"3250613177508"</f>
        <v>3250613177508</v>
      </c>
      <c r="J1619" t="s">
        <v>4573</v>
      </c>
    </row>
    <row r="1620" spans="1:10" x14ac:dyDescent="0.25">
      <c r="A1620" t="s">
        <v>8</v>
      </c>
      <c r="B1620" t="s">
        <v>4651</v>
      </c>
      <c r="C1620" t="s">
        <v>4652</v>
      </c>
      <c r="D1620">
        <v>1</v>
      </c>
      <c r="E1620" t="s">
        <v>3696</v>
      </c>
      <c r="F1620" t="s">
        <v>3697</v>
      </c>
      <c r="G1620" s="1"/>
      <c r="H1620" t="str">
        <f>"3250613177522"</f>
        <v>3250613177522</v>
      </c>
      <c r="J1620" t="s">
        <v>4642</v>
      </c>
    </row>
    <row r="1621" spans="1:10" x14ac:dyDescent="0.25">
      <c r="A1621" t="s">
        <v>8</v>
      </c>
      <c r="B1621" t="s">
        <v>4653</v>
      </c>
      <c r="C1621" t="s">
        <v>4654</v>
      </c>
      <c r="D1621">
        <v>1</v>
      </c>
      <c r="E1621" t="s">
        <v>3696</v>
      </c>
      <c r="F1621" t="s">
        <v>3697</v>
      </c>
      <c r="G1621" s="1"/>
      <c r="H1621" t="str">
        <f>"3250613177539"</f>
        <v>3250613177539</v>
      </c>
      <c r="J1621" t="s">
        <v>4655</v>
      </c>
    </row>
    <row r="1622" spans="1:10" x14ac:dyDescent="0.25">
      <c r="A1622" t="s">
        <v>8</v>
      </c>
      <c r="B1622" t="s">
        <v>4656</v>
      </c>
      <c r="C1622" t="s">
        <v>4657</v>
      </c>
      <c r="D1622">
        <v>1</v>
      </c>
      <c r="E1622" t="s">
        <v>3696</v>
      </c>
      <c r="F1622" t="s">
        <v>3697</v>
      </c>
      <c r="G1622" s="1"/>
      <c r="H1622" t="str">
        <f>"3250613145774"</f>
        <v>3250613145774</v>
      </c>
      <c r="J1622" t="s">
        <v>4658</v>
      </c>
    </row>
    <row r="1623" spans="1:10" x14ac:dyDescent="0.25">
      <c r="A1623" t="s">
        <v>8</v>
      </c>
      <c r="B1623" t="s">
        <v>4659</v>
      </c>
      <c r="C1623" t="s">
        <v>4660</v>
      </c>
      <c r="D1623">
        <v>1</v>
      </c>
      <c r="E1623" t="s">
        <v>3696</v>
      </c>
      <c r="F1623" t="s">
        <v>3697</v>
      </c>
      <c r="G1623" s="1"/>
      <c r="H1623" t="str">
        <f>"3250613145781"</f>
        <v>3250613145781</v>
      </c>
      <c r="J1623" t="s">
        <v>4661</v>
      </c>
    </row>
    <row r="1624" spans="1:10" x14ac:dyDescent="0.25">
      <c r="A1624" t="s">
        <v>8</v>
      </c>
      <c r="B1624" t="s">
        <v>4662</v>
      </c>
      <c r="C1624" t="s">
        <v>4663</v>
      </c>
      <c r="D1624">
        <v>1</v>
      </c>
      <c r="E1624" t="s">
        <v>3696</v>
      </c>
      <c r="F1624" t="s">
        <v>3697</v>
      </c>
      <c r="G1624" s="1"/>
      <c r="H1624" t="str">
        <f>"3250613141332"</f>
        <v>3250613141332</v>
      </c>
      <c r="J1624" t="s">
        <v>4664</v>
      </c>
    </row>
    <row r="1625" spans="1:10" x14ac:dyDescent="0.25">
      <c r="A1625" t="s">
        <v>8</v>
      </c>
      <c r="B1625" t="s">
        <v>4665</v>
      </c>
      <c r="C1625" t="s">
        <v>4666</v>
      </c>
      <c r="D1625">
        <v>1</v>
      </c>
      <c r="E1625" t="s">
        <v>3696</v>
      </c>
      <c r="F1625" t="s">
        <v>3697</v>
      </c>
      <c r="G1625" s="1"/>
      <c r="H1625" t="str">
        <f>"3250613177546"</f>
        <v>3250613177546</v>
      </c>
      <c r="J1625" t="s">
        <v>4648</v>
      </c>
    </row>
    <row r="1626" spans="1:10" x14ac:dyDescent="0.25">
      <c r="A1626" t="s">
        <v>8</v>
      </c>
      <c r="B1626" t="s">
        <v>4667</v>
      </c>
      <c r="C1626" t="s">
        <v>4668</v>
      </c>
      <c r="D1626">
        <v>1</v>
      </c>
      <c r="E1626" t="s">
        <v>3696</v>
      </c>
      <c r="F1626" t="s">
        <v>3697</v>
      </c>
      <c r="G1626" s="1"/>
      <c r="H1626" t="str">
        <f>"3250613177553"</f>
        <v>3250613177553</v>
      </c>
      <c r="J1626" t="s">
        <v>4669</v>
      </c>
    </row>
    <row r="1627" spans="1:10" x14ac:dyDescent="0.25">
      <c r="A1627" t="s">
        <v>8</v>
      </c>
      <c r="B1627" t="s">
        <v>4670</v>
      </c>
      <c r="C1627" t="s">
        <v>4671</v>
      </c>
      <c r="D1627">
        <v>1</v>
      </c>
      <c r="E1627" t="s">
        <v>3696</v>
      </c>
      <c r="F1627" t="s">
        <v>3697</v>
      </c>
      <c r="G1627" s="1"/>
      <c r="H1627" t="str">
        <f>"3250613145798"</f>
        <v>3250613145798</v>
      </c>
      <c r="J1627" t="s">
        <v>4672</v>
      </c>
    </row>
    <row r="1628" spans="1:10" x14ac:dyDescent="0.25">
      <c r="A1628" t="s">
        <v>8</v>
      </c>
      <c r="B1628" t="s">
        <v>4673</v>
      </c>
      <c r="C1628" t="s">
        <v>4674</v>
      </c>
      <c r="D1628">
        <v>1</v>
      </c>
      <c r="E1628" t="s">
        <v>3696</v>
      </c>
      <c r="F1628" t="s">
        <v>3697</v>
      </c>
      <c r="G1628" s="1"/>
      <c r="H1628" t="str">
        <f>"3250613145804"</f>
        <v>3250613145804</v>
      </c>
      <c r="J1628" t="s">
        <v>4675</v>
      </c>
    </row>
    <row r="1629" spans="1:10" x14ac:dyDescent="0.25">
      <c r="A1629" t="s">
        <v>8</v>
      </c>
      <c r="B1629" t="s">
        <v>4676</v>
      </c>
      <c r="C1629" t="s">
        <v>4677</v>
      </c>
      <c r="D1629">
        <v>1</v>
      </c>
      <c r="E1629" t="s">
        <v>3696</v>
      </c>
      <c r="F1629" t="s">
        <v>3697</v>
      </c>
      <c r="G1629" s="1"/>
      <c r="H1629" t="str">
        <f>"3250613141349"</f>
        <v>3250613141349</v>
      </c>
      <c r="J1629" t="s">
        <v>4678</v>
      </c>
    </row>
    <row r="1630" spans="1:10" x14ac:dyDescent="0.25">
      <c r="A1630" t="s">
        <v>8</v>
      </c>
      <c r="B1630" t="s">
        <v>4679</v>
      </c>
      <c r="C1630" t="s">
        <v>4680</v>
      </c>
      <c r="D1630">
        <v>1</v>
      </c>
      <c r="E1630" t="s">
        <v>3696</v>
      </c>
      <c r="F1630" t="s">
        <v>3697</v>
      </c>
      <c r="G1630" s="1"/>
      <c r="H1630" t="str">
        <f>"3250613176396"</f>
        <v>3250613176396</v>
      </c>
      <c r="J1630" t="s">
        <v>4681</v>
      </c>
    </row>
    <row r="1631" spans="1:10" x14ac:dyDescent="0.25">
      <c r="A1631" t="s">
        <v>8</v>
      </c>
      <c r="B1631" t="s">
        <v>4682</v>
      </c>
      <c r="C1631" t="s">
        <v>4683</v>
      </c>
      <c r="D1631">
        <v>1</v>
      </c>
      <c r="E1631" t="s">
        <v>3696</v>
      </c>
      <c r="F1631" t="s">
        <v>3697</v>
      </c>
      <c r="G1631" s="1"/>
      <c r="H1631" t="str">
        <f>"3250613176402"</f>
        <v>3250613176402</v>
      </c>
      <c r="J1631" t="s">
        <v>4684</v>
      </c>
    </row>
    <row r="1632" spans="1:10" x14ac:dyDescent="0.25">
      <c r="A1632" t="s">
        <v>8</v>
      </c>
      <c r="B1632" t="s">
        <v>4685</v>
      </c>
      <c r="C1632" t="s">
        <v>4686</v>
      </c>
      <c r="D1632">
        <v>1</v>
      </c>
      <c r="E1632" t="s">
        <v>3696</v>
      </c>
      <c r="F1632" t="s">
        <v>3697</v>
      </c>
      <c r="G1632" s="1"/>
      <c r="H1632" t="str">
        <f>"3250613141790"</f>
        <v>3250613141790</v>
      </c>
      <c r="J1632" t="s">
        <v>4687</v>
      </c>
    </row>
    <row r="1633" spans="1:10" x14ac:dyDescent="0.25">
      <c r="A1633" t="s">
        <v>8</v>
      </c>
      <c r="B1633" t="s">
        <v>4688</v>
      </c>
      <c r="C1633" t="s">
        <v>4689</v>
      </c>
      <c r="D1633">
        <v>1</v>
      </c>
      <c r="E1633" t="s">
        <v>3696</v>
      </c>
      <c r="F1633" t="s">
        <v>3697</v>
      </c>
      <c r="G1633" s="1"/>
      <c r="H1633" t="str">
        <f>"3250613176426"</f>
        <v>3250613176426</v>
      </c>
      <c r="J1633" t="s">
        <v>4690</v>
      </c>
    </row>
    <row r="1634" spans="1:10" x14ac:dyDescent="0.25">
      <c r="A1634" t="s">
        <v>8</v>
      </c>
      <c r="B1634" t="s">
        <v>4691</v>
      </c>
      <c r="C1634" t="s">
        <v>4692</v>
      </c>
      <c r="D1634">
        <v>1</v>
      </c>
      <c r="E1634" t="s">
        <v>3696</v>
      </c>
      <c r="F1634" t="s">
        <v>3697</v>
      </c>
      <c r="G1634" s="1"/>
      <c r="H1634" t="str">
        <f>"3250613176433"</f>
        <v>3250613176433</v>
      </c>
      <c r="J1634" t="s">
        <v>4693</v>
      </c>
    </row>
    <row r="1635" spans="1:10" x14ac:dyDescent="0.25">
      <c r="A1635" t="s">
        <v>8</v>
      </c>
      <c r="B1635" t="s">
        <v>4694</v>
      </c>
      <c r="C1635" t="s">
        <v>4695</v>
      </c>
      <c r="D1635">
        <v>1</v>
      </c>
      <c r="E1635" t="s">
        <v>3696</v>
      </c>
      <c r="F1635" t="s">
        <v>3697</v>
      </c>
      <c r="G1635" s="1"/>
      <c r="H1635" t="str">
        <f>"3250613141806"</f>
        <v>3250613141806</v>
      </c>
      <c r="J1635" t="s">
        <v>4696</v>
      </c>
    </row>
    <row r="1636" spans="1:10" x14ac:dyDescent="0.25">
      <c r="A1636" t="s">
        <v>8</v>
      </c>
      <c r="B1636" t="s">
        <v>4697</v>
      </c>
      <c r="C1636" t="s">
        <v>4698</v>
      </c>
      <c r="D1636">
        <v>1</v>
      </c>
      <c r="E1636" t="s">
        <v>3696</v>
      </c>
      <c r="F1636" t="s">
        <v>3697</v>
      </c>
      <c r="G1636" s="1"/>
      <c r="H1636" t="str">
        <f>"3250613154707"</f>
        <v>3250613154707</v>
      </c>
      <c r="J1636" t="s">
        <v>4699</v>
      </c>
    </row>
    <row r="1637" spans="1:10" x14ac:dyDescent="0.25">
      <c r="A1637" t="s">
        <v>8</v>
      </c>
      <c r="B1637" t="s">
        <v>4700</v>
      </c>
      <c r="C1637" t="s">
        <v>4701</v>
      </c>
      <c r="D1637">
        <v>1</v>
      </c>
      <c r="E1637" t="s">
        <v>3696</v>
      </c>
      <c r="F1637" t="s">
        <v>3697</v>
      </c>
      <c r="G1637" s="1"/>
      <c r="H1637" t="str">
        <f>"3250613154714"</f>
        <v>3250613154714</v>
      </c>
      <c r="J1637" t="s">
        <v>4702</v>
      </c>
    </row>
    <row r="1638" spans="1:10" x14ac:dyDescent="0.25">
      <c r="A1638" t="s">
        <v>8</v>
      </c>
      <c r="B1638" t="s">
        <v>4703</v>
      </c>
      <c r="C1638" t="s">
        <v>4704</v>
      </c>
      <c r="D1638">
        <v>1</v>
      </c>
      <c r="E1638" t="s">
        <v>3696</v>
      </c>
      <c r="F1638" t="s">
        <v>3697</v>
      </c>
      <c r="G1638" s="1"/>
      <c r="H1638" t="str">
        <f>"3250613154721"</f>
        <v>3250613154721</v>
      </c>
      <c r="J1638" t="s">
        <v>4705</v>
      </c>
    </row>
    <row r="1639" spans="1:10" x14ac:dyDescent="0.25">
      <c r="A1639" t="s">
        <v>8</v>
      </c>
      <c r="B1639" t="s">
        <v>4706</v>
      </c>
      <c r="C1639" t="s">
        <v>4707</v>
      </c>
      <c r="D1639">
        <v>1</v>
      </c>
      <c r="E1639" t="s">
        <v>3696</v>
      </c>
      <c r="F1639" t="s">
        <v>3697</v>
      </c>
      <c r="G1639" s="1"/>
      <c r="H1639" t="str">
        <f>"3250613154738"</f>
        <v>3250613154738</v>
      </c>
      <c r="J1639" t="s">
        <v>4708</v>
      </c>
    </row>
    <row r="1640" spans="1:10" x14ac:dyDescent="0.25">
      <c r="A1640" t="s">
        <v>8</v>
      </c>
      <c r="B1640" t="s">
        <v>4709</v>
      </c>
      <c r="C1640" t="s">
        <v>4710</v>
      </c>
      <c r="D1640">
        <v>1</v>
      </c>
      <c r="E1640" t="s">
        <v>3696</v>
      </c>
      <c r="F1640" t="s">
        <v>3697</v>
      </c>
      <c r="G1640" s="1"/>
      <c r="H1640" t="str">
        <f>"3250613170998"</f>
        <v>3250613170998</v>
      </c>
      <c r="J1640" t="s">
        <v>4711</v>
      </c>
    </row>
    <row r="1641" spans="1:10" x14ac:dyDescent="0.25">
      <c r="A1641" t="s">
        <v>8</v>
      </c>
      <c r="B1641" t="s">
        <v>4712</v>
      </c>
      <c r="C1641" t="s">
        <v>4713</v>
      </c>
      <c r="D1641">
        <v>1</v>
      </c>
      <c r="E1641" t="s">
        <v>3696</v>
      </c>
      <c r="F1641" t="s">
        <v>3697</v>
      </c>
      <c r="G1641" s="1"/>
      <c r="H1641" t="str">
        <f>"3250613176457"</f>
        <v>3250613176457</v>
      </c>
      <c r="J1641" t="s">
        <v>4714</v>
      </c>
    </row>
    <row r="1642" spans="1:10" x14ac:dyDescent="0.25">
      <c r="A1642" t="s">
        <v>8</v>
      </c>
      <c r="B1642" t="s">
        <v>4715</v>
      </c>
      <c r="C1642" t="s">
        <v>4716</v>
      </c>
      <c r="D1642">
        <v>1</v>
      </c>
      <c r="E1642" t="s">
        <v>3696</v>
      </c>
      <c r="F1642" t="s">
        <v>3697</v>
      </c>
      <c r="G1642" s="1"/>
      <c r="H1642" t="str">
        <f>"3250613176464"</f>
        <v>3250613176464</v>
      </c>
      <c r="J1642" t="s">
        <v>4717</v>
      </c>
    </row>
    <row r="1643" spans="1:10" x14ac:dyDescent="0.25">
      <c r="A1643" t="s">
        <v>8</v>
      </c>
      <c r="B1643" t="s">
        <v>4718</v>
      </c>
      <c r="C1643" t="s">
        <v>4719</v>
      </c>
      <c r="D1643">
        <v>1</v>
      </c>
      <c r="E1643" t="s">
        <v>3696</v>
      </c>
      <c r="F1643" t="s">
        <v>3697</v>
      </c>
      <c r="G1643" s="1"/>
      <c r="H1643" t="str">
        <f>"3250613141813"</f>
        <v>3250613141813</v>
      </c>
      <c r="J1643" t="s">
        <v>4720</v>
      </c>
    </row>
    <row r="1644" spans="1:10" x14ac:dyDescent="0.25">
      <c r="A1644" t="s">
        <v>8</v>
      </c>
      <c r="B1644" t="s">
        <v>4721</v>
      </c>
      <c r="C1644" t="s">
        <v>4722</v>
      </c>
      <c r="D1644">
        <v>1</v>
      </c>
      <c r="E1644" t="s">
        <v>3696</v>
      </c>
      <c r="F1644" t="s">
        <v>3697</v>
      </c>
      <c r="G1644" s="1"/>
      <c r="H1644" t="str">
        <f>"3250613171063"</f>
        <v>3250613171063</v>
      </c>
      <c r="J1644" t="s">
        <v>4723</v>
      </c>
    </row>
    <row r="1645" spans="1:10" x14ac:dyDescent="0.25">
      <c r="A1645" t="s">
        <v>8</v>
      </c>
      <c r="B1645" t="s">
        <v>4724</v>
      </c>
      <c r="C1645" t="s">
        <v>4725</v>
      </c>
      <c r="D1645">
        <v>1</v>
      </c>
      <c r="E1645" t="s">
        <v>3696</v>
      </c>
      <c r="F1645" t="s">
        <v>3697</v>
      </c>
      <c r="G1645" s="1"/>
      <c r="H1645" t="str">
        <f>"3250613176488"</f>
        <v>3250613176488</v>
      </c>
      <c r="J1645" t="s">
        <v>4726</v>
      </c>
    </row>
    <row r="1646" spans="1:10" x14ac:dyDescent="0.25">
      <c r="A1646" t="s">
        <v>8</v>
      </c>
      <c r="B1646" t="s">
        <v>4727</v>
      </c>
      <c r="C1646" t="s">
        <v>4728</v>
      </c>
      <c r="D1646">
        <v>1</v>
      </c>
      <c r="E1646" t="s">
        <v>3696</v>
      </c>
      <c r="F1646" t="s">
        <v>3697</v>
      </c>
      <c r="G1646" s="1"/>
      <c r="H1646" t="str">
        <f>"3250613176495"</f>
        <v>3250613176495</v>
      </c>
      <c r="J1646" t="s">
        <v>4729</v>
      </c>
    </row>
    <row r="1647" spans="1:10" x14ac:dyDescent="0.25">
      <c r="A1647" t="s">
        <v>8</v>
      </c>
      <c r="B1647" t="s">
        <v>4730</v>
      </c>
      <c r="C1647" t="s">
        <v>4731</v>
      </c>
      <c r="D1647">
        <v>1</v>
      </c>
      <c r="E1647" t="s">
        <v>3696</v>
      </c>
      <c r="F1647" t="s">
        <v>3697</v>
      </c>
      <c r="G1647" s="1"/>
      <c r="H1647" t="str">
        <f>"3250613141820"</f>
        <v>3250613141820</v>
      </c>
      <c r="J1647" t="s">
        <v>4732</v>
      </c>
    </row>
    <row r="1648" spans="1:10" x14ac:dyDescent="0.25">
      <c r="A1648" t="s">
        <v>8</v>
      </c>
      <c r="B1648" t="s">
        <v>4733</v>
      </c>
      <c r="C1648" t="s">
        <v>4734</v>
      </c>
      <c r="D1648">
        <v>1</v>
      </c>
      <c r="E1648" t="s">
        <v>3696</v>
      </c>
      <c r="F1648" t="s">
        <v>3697</v>
      </c>
      <c r="G1648" s="1"/>
      <c r="H1648" t="str">
        <f>"3250613171148"</f>
        <v>3250613171148</v>
      </c>
      <c r="J1648" t="s">
        <v>4395</v>
      </c>
    </row>
    <row r="1649" spans="1:10" x14ac:dyDescent="0.25">
      <c r="A1649" t="s">
        <v>8</v>
      </c>
      <c r="B1649" t="s">
        <v>4735</v>
      </c>
      <c r="C1649" t="s">
        <v>4736</v>
      </c>
      <c r="D1649">
        <v>1</v>
      </c>
      <c r="E1649" t="s">
        <v>3696</v>
      </c>
      <c r="F1649" t="s">
        <v>3697</v>
      </c>
      <c r="G1649" s="1"/>
      <c r="H1649" t="str">
        <f>"3250613171179"</f>
        <v>3250613171179</v>
      </c>
      <c r="J1649" t="s">
        <v>4737</v>
      </c>
    </row>
    <row r="1650" spans="1:10" x14ac:dyDescent="0.25">
      <c r="A1650" t="s">
        <v>8</v>
      </c>
      <c r="B1650" t="s">
        <v>4738</v>
      </c>
      <c r="C1650" t="s">
        <v>4739</v>
      </c>
      <c r="D1650">
        <v>1</v>
      </c>
      <c r="E1650" t="s">
        <v>3696</v>
      </c>
      <c r="F1650" t="s">
        <v>3697</v>
      </c>
      <c r="G1650" s="1"/>
      <c r="H1650" t="str">
        <f>"3250613171230"</f>
        <v>3250613171230</v>
      </c>
      <c r="J1650" t="s">
        <v>4740</v>
      </c>
    </row>
    <row r="1651" spans="1:10" x14ac:dyDescent="0.25">
      <c r="A1651" t="s">
        <v>8</v>
      </c>
      <c r="B1651" t="s">
        <v>4741</v>
      </c>
      <c r="C1651" t="s">
        <v>4742</v>
      </c>
      <c r="D1651">
        <v>1</v>
      </c>
      <c r="E1651" t="s">
        <v>3696</v>
      </c>
      <c r="F1651" t="s">
        <v>3697</v>
      </c>
      <c r="G1651" s="1"/>
      <c r="H1651" t="str">
        <f>"3250613176518"</f>
        <v>3250613176518</v>
      </c>
      <c r="J1651" t="s">
        <v>4743</v>
      </c>
    </row>
    <row r="1652" spans="1:10" x14ac:dyDescent="0.25">
      <c r="A1652" t="s">
        <v>8</v>
      </c>
      <c r="B1652" t="s">
        <v>4744</v>
      </c>
      <c r="C1652" t="s">
        <v>4745</v>
      </c>
      <c r="D1652">
        <v>1</v>
      </c>
      <c r="E1652" t="s">
        <v>3696</v>
      </c>
      <c r="F1652" t="s">
        <v>3697</v>
      </c>
      <c r="G1652" s="1"/>
      <c r="H1652" t="str">
        <f>"3250613176525"</f>
        <v>3250613176525</v>
      </c>
      <c r="J1652" t="s">
        <v>4746</v>
      </c>
    </row>
    <row r="1653" spans="1:10" x14ac:dyDescent="0.25">
      <c r="A1653" t="s">
        <v>8</v>
      </c>
      <c r="B1653" t="s">
        <v>4747</v>
      </c>
      <c r="C1653" t="s">
        <v>4748</v>
      </c>
      <c r="D1653">
        <v>1</v>
      </c>
      <c r="E1653" t="s">
        <v>3696</v>
      </c>
      <c r="F1653" t="s">
        <v>3697</v>
      </c>
      <c r="G1653" s="1"/>
      <c r="H1653" t="str">
        <f>"3250613141837"</f>
        <v>3250613141837</v>
      </c>
      <c r="J1653" t="s">
        <v>4749</v>
      </c>
    </row>
    <row r="1654" spans="1:10" x14ac:dyDescent="0.25">
      <c r="A1654" t="s">
        <v>8</v>
      </c>
      <c r="B1654" t="s">
        <v>4750</v>
      </c>
      <c r="C1654" t="s">
        <v>4751</v>
      </c>
      <c r="D1654">
        <v>1</v>
      </c>
      <c r="E1654" t="s">
        <v>3696</v>
      </c>
      <c r="F1654" t="s">
        <v>3697</v>
      </c>
      <c r="G1654" s="1"/>
      <c r="H1654" t="str">
        <f>"3250613171308"</f>
        <v>3250613171308</v>
      </c>
      <c r="J1654" t="s">
        <v>4752</v>
      </c>
    </row>
    <row r="1655" spans="1:10" x14ac:dyDescent="0.25">
      <c r="A1655" t="s">
        <v>8</v>
      </c>
      <c r="B1655" t="s">
        <v>4753</v>
      </c>
      <c r="C1655" t="s">
        <v>4754</v>
      </c>
      <c r="D1655">
        <v>1</v>
      </c>
      <c r="E1655" t="s">
        <v>3696</v>
      </c>
      <c r="F1655" t="s">
        <v>3697</v>
      </c>
      <c r="G1655" s="1"/>
      <c r="H1655" t="str">
        <f>"3250613176549"</f>
        <v>3250613176549</v>
      </c>
      <c r="J1655" t="s">
        <v>4755</v>
      </c>
    </row>
    <row r="1656" spans="1:10" x14ac:dyDescent="0.25">
      <c r="A1656" t="s">
        <v>8</v>
      </c>
      <c r="B1656" t="s">
        <v>4756</v>
      </c>
      <c r="C1656" t="s">
        <v>4757</v>
      </c>
      <c r="D1656">
        <v>1</v>
      </c>
      <c r="E1656" t="s">
        <v>3696</v>
      </c>
      <c r="F1656" t="s">
        <v>3697</v>
      </c>
      <c r="G1656" s="1"/>
      <c r="H1656" t="str">
        <f>"3250613176556"</f>
        <v>3250613176556</v>
      </c>
      <c r="J1656" t="s">
        <v>4758</v>
      </c>
    </row>
    <row r="1657" spans="1:10" x14ac:dyDescent="0.25">
      <c r="A1657" t="s">
        <v>8</v>
      </c>
      <c r="B1657" t="s">
        <v>4759</v>
      </c>
      <c r="C1657" t="s">
        <v>4760</v>
      </c>
      <c r="D1657">
        <v>1</v>
      </c>
      <c r="E1657" t="s">
        <v>3696</v>
      </c>
      <c r="F1657" t="s">
        <v>3697</v>
      </c>
      <c r="G1657" s="1"/>
      <c r="H1657" t="str">
        <f>"3250613141844"</f>
        <v>3250613141844</v>
      </c>
      <c r="J1657" t="s">
        <v>4761</v>
      </c>
    </row>
    <row r="1658" spans="1:10" x14ac:dyDescent="0.25">
      <c r="A1658" t="s">
        <v>8</v>
      </c>
      <c r="B1658" t="s">
        <v>4762</v>
      </c>
      <c r="C1658" t="s">
        <v>4763</v>
      </c>
      <c r="D1658">
        <v>1</v>
      </c>
      <c r="E1658" t="s">
        <v>3696</v>
      </c>
      <c r="F1658" t="s">
        <v>3697</v>
      </c>
      <c r="G1658" s="1"/>
      <c r="H1658" t="str">
        <f>"3250613171407"</f>
        <v>3250613171407</v>
      </c>
      <c r="J1658" t="s">
        <v>4764</v>
      </c>
    </row>
    <row r="1659" spans="1:10" x14ac:dyDescent="0.25">
      <c r="A1659" t="s">
        <v>8</v>
      </c>
      <c r="B1659" t="s">
        <v>4765</v>
      </c>
      <c r="C1659" t="s">
        <v>4766</v>
      </c>
      <c r="D1659">
        <v>1</v>
      </c>
      <c r="E1659" t="s">
        <v>3696</v>
      </c>
      <c r="F1659" t="s">
        <v>3697</v>
      </c>
      <c r="G1659" s="1"/>
      <c r="H1659" t="str">
        <f>"3250613171438"</f>
        <v>3250613171438</v>
      </c>
      <c r="J1659" t="s">
        <v>4767</v>
      </c>
    </row>
    <row r="1660" spans="1:10" x14ac:dyDescent="0.25">
      <c r="A1660" t="s">
        <v>8</v>
      </c>
      <c r="B1660" t="s">
        <v>4768</v>
      </c>
      <c r="C1660" t="s">
        <v>4769</v>
      </c>
      <c r="D1660">
        <v>1</v>
      </c>
      <c r="E1660" t="s">
        <v>3696</v>
      </c>
      <c r="F1660" t="s">
        <v>3697</v>
      </c>
      <c r="G1660" s="1"/>
      <c r="H1660" t="str">
        <f>"3250613171490"</f>
        <v>3250613171490</v>
      </c>
      <c r="J1660" t="s">
        <v>4764</v>
      </c>
    </row>
    <row r="1661" spans="1:10" x14ac:dyDescent="0.25">
      <c r="A1661" t="s">
        <v>8</v>
      </c>
      <c r="B1661" t="s">
        <v>4770</v>
      </c>
      <c r="C1661" t="s">
        <v>4771</v>
      </c>
      <c r="D1661">
        <v>1</v>
      </c>
      <c r="E1661" t="s">
        <v>3696</v>
      </c>
      <c r="F1661" t="s">
        <v>3697</v>
      </c>
      <c r="G1661" s="1"/>
      <c r="H1661" t="str">
        <f>"3250613176570"</f>
        <v>3250613176570</v>
      </c>
      <c r="J1661" t="s">
        <v>4772</v>
      </c>
    </row>
    <row r="1662" spans="1:10" x14ac:dyDescent="0.25">
      <c r="A1662" t="s">
        <v>8</v>
      </c>
      <c r="B1662" t="s">
        <v>4773</v>
      </c>
      <c r="C1662" t="s">
        <v>4774</v>
      </c>
      <c r="D1662">
        <v>1</v>
      </c>
      <c r="E1662" t="s">
        <v>3696</v>
      </c>
      <c r="F1662" t="s">
        <v>3697</v>
      </c>
      <c r="G1662" s="1"/>
      <c r="H1662" t="str">
        <f>"3250613176587"</f>
        <v>3250613176587</v>
      </c>
      <c r="J1662" t="s">
        <v>4775</v>
      </c>
    </row>
    <row r="1663" spans="1:10" x14ac:dyDescent="0.25">
      <c r="A1663" t="s">
        <v>8</v>
      </c>
      <c r="B1663" t="s">
        <v>4776</v>
      </c>
      <c r="C1663" t="s">
        <v>4777</v>
      </c>
      <c r="D1663">
        <v>1</v>
      </c>
      <c r="E1663" t="s">
        <v>3696</v>
      </c>
      <c r="F1663" t="s">
        <v>3697</v>
      </c>
      <c r="G1663" s="1"/>
      <c r="H1663" t="str">
        <f>"3250613141851"</f>
        <v>3250613141851</v>
      </c>
      <c r="J1663" t="s">
        <v>4778</v>
      </c>
    </row>
    <row r="1664" spans="1:10" x14ac:dyDescent="0.25">
      <c r="A1664" t="s">
        <v>8</v>
      </c>
      <c r="B1664" t="s">
        <v>4779</v>
      </c>
      <c r="C1664" t="s">
        <v>4780</v>
      </c>
      <c r="D1664">
        <v>1</v>
      </c>
      <c r="E1664" t="s">
        <v>3696</v>
      </c>
      <c r="F1664" t="s">
        <v>3697</v>
      </c>
      <c r="G1664" s="1"/>
      <c r="H1664" t="str">
        <f>"3250613171568"</f>
        <v>3250613171568</v>
      </c>
      <c r="J1664" t="s">
        <v>4767</v>
      </c>
    </row>
    <row r="1665" spans="1:10" x14ac:dyDescent="0.25">
      <c r="A1665" t="s">
        <v>8</v>
      </c>
      <c r="B1665" t="s">
        <v>4781</v>
      </c>
      <c r="C1665" t="s">
        <v>4782</v>
      </c>
      <c r="D1665">
        <v>1</v>
      </c>
      <c r="E1665" t="s">
        <v>3696</v>
      </c>
      <c r="F1665" t="s">
        <v>3697</v>
      </c>
      <c r="G1665" s="1"/>
      <c r="H1665" t="str">
        <f>"3250613176600"</f>
        <v>3250613176600</v>
      </c>
      <c r="J1665" t="s">
        <v>4783</v>
      </c>
    </row>
    <row r="1666" spans="1:10" x14ac:dyDescent="0.25">
      <c r="A1666" t="s">
        <v>8</v>
      </c>
      <c r="B1666" t="s">
        <v>4784</v>
      </c>
      <c r="C1666" t="s">
        <v>4785</v>
      </c>
      <c r="D1666">
        <v>1</v>
      </c>
      <c r="E1666" t="s">
        <v>3696</v>
      </c>
      <c r="F1666" t="s">
        <v>3697</v>
      </c>
      <c r="G1666" s="1"/>
      <c r="H1666" t="str">
        <f>"3250613176617"</f>
        <v>3250613176617</v>
      </c>
      <c r="J1666" t="s">
        <v>4786</v>
      </c>
    </row>
    <row r="1667" spans="1:10" x14ac:dyDescent="0.25">
      <c r="A1667" t="s">
        <v>8</v>
      </c>
      <c r="B1667" t="s">
        <v>4787</v>
      </c>
      <c r="C1667" t="s">
        <v>4788</v>
      </c>
      <c r="D1667">
        <v>1</v>
      </c>
      <c r="E1667" t="s">
        <v>3696</v>
      </c>
      <c r="F1667" t="s">
        <v>3697</v>
      </c>
      <c r="G1667" s="1"/>
      <c r="H1667" t="str">
        <f>"3250613141868"</f>
        <v>3250613141868</v>
      </c>
      <c r="J1667" t="s">
        <v>4789</v>
      </c>
    </row>
    <row r="1668" spans="1:10" x14ac:dyDescent="0.25">
      <c r="A1668" t="s">
        <v>8</v>
      </c>
      <c r="B1668" t="s">
        <v>4790</v>
      </c>
      <c r="C1668" t="s">
        <v>4791</v>
      </c>
      <c r="D1668">
        <v>1</v>
      </c>
      <c r="E1668" t="s">
        <v>3696</v>
      </c>
      <c r="F1668" t="s">
        <v>3697</v>
      </c>
      <c r="G1668" s="1"/>
      <c r="H1668" t="str">
        <f>"3250613150945"</f>
        <v>3250613150945</v>
      </c>
      <c r="J1668" t="s">
        <v>4792</v>
      </c>
    </row>
    <row r="1669" spans="1:10" x14ac:dyDescent="0.25">
      <c r="A1669" t="s">
        <v>8</v>
      </c>
      <c r="B1669" t="s">
        <v>4793</v>
      </c>
      <c r="C1669" t="s">
        <v>4794</v>
      </c>
      <c r="D1669">
        <v>1</v>
      </c>
      <c r="E1669" t="s">
        <v>3696</v>
      </c>
      <c r="F1669" t="s">
        <v>3697</v>
      </c>
      <c r="G1669" s="1"/>
      <c r="H1669" t="str">
        <f>"3250613150969"</f>
        <v>3250613150969</v>
      </c>
      <c r="J1669" t="s">
        <v>4792</v>
      </c>
    </row>
    <row r="1670" spans="1:10" x14ac:dyDescent="0.25">
      <c r="A1670" t="s">
        <v>8</v>
      </c>
      <c r="B1670" t="s">
        <v>4795</v>
      </c>
      <c r="C1670" t="s">
        <v>4796</v>
      </c>
      <c r="D1670">
        <v>1</v>
      </c>
      <c r="E1670" t="s">
        <v>3696</v>
      </c>
      <c r="F1670" t="s">
        <v>3697</v>
      </c>
      <c r="G1670" s="1"/>
      <c r="H1670" t="str">
        <f>"3250613198732"</f>
        <v>3250613198732</v>
      </c>
      <c r="J1670" t="s">
        <v>4797</v>
      </c>
    </row>
    <row r="1671" spans="1:10" x14ac:dyDescent="0.25">
      <c r="A1671" t="s">
        <v>8</v>
      </c>
      <c r="B1671" t="s">
        <v>4798</v>
      </c>
      <c r="C1671" t="s">
        <v>4799</v>
      </c>
      <c r="D1671">
        <v>1</v>
      </c>
      <c r="E1671" t="s">
        <v>3696</v>
      </c>
      <c r="F1671" t="s">
        <v>3697</v>
      </c>
      <c r="G1671" s="1"/>
      <c r="H1671" t="str">
        <f>"3250613198749"</f>
        <v>3250613198749</v>
      </c>
      <c r="J1671" t="s">
        <v>4800</v>
      </c>
    </row>
    <row r="1672" spans="1:10" x14ac:dyDescent="0.25">
      <c r="A1672" t="s">
        <v>8</v>
      </c>
      <c r="B1672" t="s">
        <v>4801</v>
      </c>
      <c r="C1672" t="s">
        <v>4802</v>
      </c>
      <c r="D1672">
        <v>1</v>
      </c>
      <c r="E1672" t="s">
        <v>3696</v>
      </c>
      <c r="F1672" t="s">
        <v>3697</v>
      </c>
      <c r="G1672" s="1"/>
      <c r="H1672" t="str">
        <f>"3250613198756"</f>
        <v>3250613198756</v>
      </c>
      <c r="J1672" t="s">
        <v>4803</v>
      </c>
    </row>
    <row r="1673" spans="1:10" x14ac:dyDescent="0.25">
      <c r="A1673" t="s">
        <v>8</v>
      </c>
      <c r="B1673" t="s">
        <v>4804</v>
      </c>
      <c r="C1673" t="s">
        <v>4805</v>
      </c>
      <c r="D1673">
        <v>1</v>
      </c>
      <c r="E1673" t="s">
        <v>3696</v>
      </c>
      <c r="F1673" t="s">
        <v>3697</v>
      </c>
      <c r="G1673" s="1"/>
      <c r="H1673" t="str">
        <f>"3250613198763"</f>
        <v>3250613198763</v>
      </c>
      <c r="J1673" t="s">
        <v>4806</v>
      </c>
    </row>
    <row r="1674" spans="1:10" x14ac:dyDescent="0.25">
      <c r="A1674" t="s">
        <v>8</v>
      </c>
      <c r="B1674" t="s">
        <v>4807</v>
      </c>
      <c r="C1674" t="s">
        <v>4808</v>
      </c>
      <c r="D1674">
        <v>1</v>
      </c>
      <c r="E1674" t="s">
        <v>3696</v>
      </c>
      <c r="F1674" t="s">
        <v>3697</v>
      </c>
      <c r="G1674" s="1"/>
      <c r="H1674" t="str">
        <f>"3250613197858"</f>
        <v>3250613197858</v>
      </c>
      <c r="J1674" t="s">
        <v>4809</v>
      </c>
    </row>
    <row r="1675" spans="1:10" x14ac:dyDescent="0.25">
      <c r="A1675" t="s">
        <v>8</v>
      </c>
      <c r="B1675" t="s">
        <v>4810</v>
      </c>
      <c r="C1675" t="s">
        <v>4811</v>
      </c>
      <c r="D1675">
        <v>1</v>
      </c>
      <c r="E1675" t="s">
        <v>3696</v>
      </c>
      <c r="F1675" t="s">
        <v>3697</v>
      </c>
      <c r="G1675" s="1"/>
      <c r="H1675" t="str">
        <f>"3250613197377"</f>
        <v>3250613197377</v>
      </c>
      <c r="J1675" t="s">
        <v>4812</v>
      </c>
    </row>
    <row r="1676" spans="1:10" x14ac:dyDescent="0.25">
      <c r="A1676" t="s">
        <v>8</v>
      </c>
      <c r="B1676" t="s">
        <v>4813</v>
      </c>
      <c r="C1676" t="s">
        <v>4814</v>
      </c>
      <c r="D1676">
        <v>1</v>
      </c>
      <c r="E1676" t="s">
        <v>3696</v>
      </c>
      <c r="F1676" t="s">
        <v>3697</v>
      </c>
      <c r="G1676" s="1"/>
      <c r="H1676" t="str">
        <f>"3250613197872"</f>
        <v>3250613197872</v>
      </c>
      <c r="J1676" t="s">
        <v>4815</v>
      </c>
    </row>
    <row r="1677" spans="1:10" x14ac:dyDescent="0.25">
      <c r="A1677" t="s">
        <v>8</v>
      </c>
      <c r="B1677" t="s">
        <v>4816</v>
      </c>
      <c r="C1677" t="s">
        <v>4817</v>
      </c>
      <c r="D1677">
        <v>1</v>
      </c>
      <c r="E1677" t="s">
        <v>3696</v>
      </c>
      <c r="F1677" t="s">
        <v>3697</v>
      </c>
      <c r="G1677" s="1"/>
      <c r="H1677" t="str">
        <f>"3250613197384"</f>
        <v>3250613197384</v>
      </c>
      <c r="J1677" t="s">
        <v>4818</v>
      </c>
    </row>
    <row r="1678" spans="1:10" x14ac:dyDescent="0.25">
      <c r="A1678" t="s">
        <v>8</v>
      </c>
      <c r="B1678" t="s">
        <v>4819</v>
      </c>
      <c r="C1678" t="s">
        <v>4820</v>
      </c>
      <c r="D1678">
        <v>1</v>
      </c>
      <c r="E1678" t="s">
        <v>3696</v>
      </c>
      <c r="F1678" t="s">
        <v>3697</v>
      </c>
      <c r="G1678" s="1"/>
      <c r="H1678" t="str">
        <f>"3250613197896"</f>
        <v>3250613197896</v>
      </c>
      <c r="J1678" t="s">
        <v>4821</v>
      </c>
    </row>
    <row r="1679" spans="1:10" x14ac:dyDescent="0.25">
      <c r="A1679" t="s">
        <v>8</v>
      </c>
      <c r="B1679" t="s">
        <v>4822</v>
      </c>
      <c r="C1679" t="s">
        <v>4823</v>
      </c>
      <c r="D1679">
        <v>1</v>
      </c>
      <c r="E1679" t="s">
        <v>3696</v>
      </c>
      <c r="F1679" t="s">
        <v>3697</v>
      </c>
      <c r="G1679" s="1"/>
      <c r="H1679" t="str">
        <f>"3250613197391"</f>
        <v>3250613197391</v>
      </c>
      <c r="J1679" t="s">
        <v>4818</v>
      </c>
    </row>
    <row r="1680" spans="1:10" x14ac:dyDescent="0.25">
      <c r="A1680" t="s">
        <v>8</v>
      </c>
      <c r="B1680" t="s">
        <v>4824</v>
      </c>
      <c r="C1680" t="s">
        <v>4825</v>
      </c>
      <c r="D1680">
        <v>1</v>
      </c>
      <c r="E1680" t="s">
        <v>3696</v>
      </c>
      <c r="F1680" t="s">
        <v>3697</v>
      </c>
      <c r="G1680" s="1"/>
      <c r="H1680" t="str">
        <f>"3250613197919"</f>
        <v>3250613197919</v>
      </c>
      <c r="J1680" t="s">
        <v>4826</v>
      </c>
    </row>
    <row r="1681" spans="1:10" x14ac:dyDescent="0.25">
      <c r="A1681" t="s">
        <v>8</v>
      </c>
      <c r="B1681" t="s">
        <v>4827</v>
      </c>
      <c r="C1681" t="s">
        <v>4828</v>
      </c>
      <c r="D1681">
        <v>1</v>
      </c>
      <c r="E1681" t="s">
        <v>3696</v>
      </c>
      <c r="F1681" t="s">
        <v>3697</v>
      </c>
      <c r="G1681" s="1"/>
      <c r="H1681" t="str">
        <f>"3250613197407"</f>
        <v>3250613197407</v>
      </c>
      <c r="J1681" t="s">
        <v>4829</v>
      </c>
    </row>
    <row r="1682" spans="1:10" x14ac:dyDescent="0.25">
      <c r="A1682" t="s">
        <v>8</v>
      </c>
      <c r="B1682" t="s">
        <v>4830</v>
      </c>
      <c r="C1682" t="s">
        <v>4831</v>
      </c>
      <c r="D1682">
        <v>1</v>
      </c>
      <c r="E1682" t="s">
        <v>3696</v>
      </c>
      <c r="F1682" t="s">
        <v>3697</v>
      </c>
      <c r="G1682" s="1"/>
      <c r="H1682" t="str">
        <f>"3250613197933"</f>
        <v>3250613197933</v>
      </c>
      <c r="J1682" t="s">
        <v>4832</v>
      </c>
    </row>
    <row r="1683" spans="1:10" x14ac:dyDescent="0.25">
      <c r="A1683" t="s">
        <v>8</v>
      </c>
      <c r="B1683" t="s">
        <v>4833</v>
      </c>
      <c r="C1683" t="s">
        <v>4834</v>
      </c>
      <c r="D1683">
        <v>1</v>
      </c>
      <c r="E1683" t="s">
        <v>3696</v>
      </c>
      <c r="F1683" t="s">
        <v>3697</v>
      </c>
      <c r="G1683" s="1"/>
      <c r="H1683" t="str">
        <f>"3250613197414"</f>
        <v>3250613197414</v>
      </c>
      <c r="J1683" t="s">
        <v>4835</v>
      </c>
    </row>
    <row r="1684" spans="1:10" x14ac:dyDescent="0.25">
      <c r="A1684" t="s">
        <v>8</v>
      </c>
      <c r="B1684" t="s">
        <v>4836</v>
      </c>
      <c r="C1684" t="s">
        <v>4837</v>
      </c>
      <c r="D1684">
        <v>1</v>
      </c>
      <c r="E1684" t="s">
        <v>3696</v>
      </c>
      <c r="F1684" t="s">
        <v>3697</v>
      </c>
      <c r="G1684" s="1"/>
      <c r="H1684" t="str">
        <f>"3250613197957"</f>
        <v>3250613197957</v>
      </c>
      <c r="J1684" t="s">
        <v>4838</v>
      </c>
    </row>
    <row r="1685" spans="1:10" x14ac:dyDescent="0.25">
      <c r="A1685" t="s">
        <v>8</v>
      </c>
      <c r="B1685" t="s">
        <v>4839</v>
      </c>
      <c r="C1685" t="s">
        <v>4840</v>
      </c>
      <c r="D1685">
        <v>1</v>
      </c>
      <c r="E1685" t="s">
        <v>3696</v>
      </c>
      <c r="F1685" t="s">
        <v>3697</v>
      </c>
      <c r="G1685" s="1"/>
      <c r="H1685" t="str">
        <f>"3250613197421"</f>
        <v>3250613197421</v>
      </c>
      <c r="J1685" t="s">
        <v>4841</v>
      </c>
    </row>
    <row r="1686" spans="1:10" x14ac:dyDescent="0.25">
      <c r="A1686" t="s">
        <v>8</v>
      </c>
      <c r="B1686" t="s">
        <v>4842</v>
      </c>
      <c r="C1686" t="s">
        <v>4843</v>
      </c>
      <c r="D1686">
        <v>1</v>
      </c>
      <c r="E1686" t="s">
        <v>3696</v>
      </c>
      <c r="F1686" t="s">
        <v>3697</v>
      </c>
      <c r="G1686" s="1"/>
      <c r="H1686" t="str">
        <f>"3250613201333"</f>
        <v>3250613201333</v>
      </c>
      <c r="J1686" t="s">
        <v>4844</v>
      </c>
    </row>
    <row r="1687" spans="1:10" x14ac:dyDescent="0.25">
      <c r="A1687" t="s">
        <v>8</v>
      </c>
      <c r="B1687" t="s">
        <v>4845</v>
      </c>
      <c r="C1687" t="s">
        <v>4846</v>
      </c>
      <c r="D1687">
        <v>1</v>
      </c>
      <c r="E1687" t="s">
        <v>3696</v>
      </c>
      <c r="F1687" t="s">
        <v>3697</v>
      </c>
      <c r="G1687" s="1"/>
      <c r="H1687" t="str">
        <f>"3250613201357"</f>
        <v>3250613201357</v>
      </c>
      <c r="J1687" t="s">
        <v>4847</v>
      </c>
    </row>
    <row r="1688" spans="1:10" x14ac:dyDescent="0.25">
      <c r="A1688" t="s">
        <v>8</v>
      </c>
      <c r="B1688" t="s">
        <v>4848</v>
      </c>
      <c r="C1688" t="s">
        <v>4849</v>
      </c>
      <c r="D1688">
        <v>1</v>
      </c>
      <c r="E1688" t="s">
        <v>3696</v>
      </c>
      <c r="F1688" t="s">
        <v>3697</v>
      </c>
      <c r="G1688" s="1"/>
      <c r="H1688" t="str">
        <f>"3250613201340"</f>
        <v>3250613201340</v>
      </c>
      <c r="J1688" t="s">
        <v>4850</v>
      </c>
    </row>
    <row r="1689" spans="1:10" x14ac:dyDescent="0.25">
      <c r="A1689" t="s">
        <v>8</v>
      </c>
      <c r="B1689" t="s">
        <v>4851</v>
      </c>
      <c r="C1689" t="s">
        <v>4852</v>
      </c>
      <c r="D1689">
        <v>1</v>
      </c>
      <c r="E1689" t="s">
        <v>3696</v>
      </c>
      <c r="F1689" t="s">
        <v>3697</v>
      </c>
      <c r="G1689" s="1"/>
      <c r="H1689" t="str">
        <f>"3250613201364"</f>
        <v>3250613201364</v>
      </c>
      <c r="J1689" t="s">
        <v>4853</v>
      </c>
    </row>
    <row r="1690" spans="1:10" x14ac:dyDescent="0.25">
      <c r="A1690" t="s">
        <v>8</v>
      </c>
      <c r="B1690" t="s">
        <v>4854</v>
      </c>
      <c r="C1690" t="s">
        <v>4855</v>
      </c>
      <c r="D1690">
        <v>1</v>
      </c>
      <c r="E1690" t="s">
        <v>3696</v>
      </c>
      <c r="F1690" t="s">
        <v>3697</v>
      </c>
      <c r="G1690" s="1"/>
      <c r="H1690" t="str">
        <f>"3250613198152"</f>
        <v>3250613198152</v>
      </c>
      <c r="J1690" t="s">
        <v>4856</v>
      </c>
    </row>
    <row r="1691" spans="1:10" x14ac:dyDescent="0.25">
      <c r="A1691" t="s">
        <v>8</v>
      </c>
      <c r="B1691" t="s">
        <v>4857</v>
      </c>
      <c r="C1691" t="s">
        <v>4858</v>
      </c>
      <c r="D1691">
        <v>1</v>
      </c>
      <c r="E1691" t="s">
        <v>3696</v>
      </c>
      <c r="F1691" t="s">
        <v>3697</v>
      </c>
      <c r="G1691" s="1"/>
      <c r="H1691" t="str">
        <f>"3250613197490"</f>
        <v>3250613197490</v>
      </c>
      <c r="J1691" t="s">
        <v>4859</v>
      </c>
    </row>
    <row r="1692" spans="1:10" x14ac:dyDescent="0.25">
      <c r="A1692" t="s">
        <v>8</v>
      </c>
      <c r="B1692" t="s">
        <v>4860</v>
      </c>
      <c r="C1692" t="s">
        <v>4861</v>
      </c>
      <c r="D1692">
        <v>1</v>
      </c>
      <c r="E1692" t="s">
        <v>3696</v>
      </c>
      <c r="F1692" t="s">
        <v>3697</v>
      </c>
      <c r="G1692" s="1"/>
      <c r="H1692" t="str">
        <f>"3250613198176"</f>
        <v>3250613198176</v>
      </c>
      <c r="J1692" t="s">
        <v>4862</v>
      </c>
    </row>
    <row r="1693" spans="1:10" x14ac:dyDescent="0.25">
      <c r="A1693" t="s">
        <v>8</v>
      </c>
      <c r="B1693" t="s">
        <v>4863</v>
      </c>
      <c r="C1693" t="s">
        <v>4864</v>
      </c>
      <c r="D1693">
        <v>1</v>
      </c>
      <c r="E1693" t="s">
        <v>3696</v>
      </c>
      <c r="F1693" t="s">
        <v>3697</v>
      </c>
      <c r="G1693" s="1"/>
      <c r="H1693" t="str">
        <f>"3250613197506"</f>
        <v>3250613197506</v>
      </c>
      <c r="J1693" t="s">
        <v>4865</v>
      </c>
    </row>
    <row r="1694" spans="1:10" x14ac:dyDescent="0.25">
      <c r="A1694" t="s">
        <v>8</v>
      </c>
      <c r="B1694" t="s">
        <v>4866</v>
      </c>
      <c r="C1694" t="s">
        <v>4867</v>
      </c>
      <c r="D1694">
        <v>1</v>
      </c>
      <c r="E1694" t="s">
        <v>3696</v>
      </c>
      <c r="F1694" t="s">
        <v>3697</v>
      </c>
      <c r="G1694" s="1"/>
      <c r="H1694" t="str">
        <f>"3250613198190"</f>
        <v>3250613198190</v>
      </c>
      <c r="J1694" t="s">
        <v>4868</v>
      </c>
    </row>
    <row r="1695" spans="1:10" x14ac:dyDescent="0.25">
      <c r="A1695" t="s">
        <v>8</v>
      </c>
      <c r="B1695" t="s">
        <v>4869</v>
      </c>
      <c r="C1695" t="s">
        <v>4870</v>
      </c>
      <c r="D1695">
        <v>1</v>
      </c>
      <c r="E1695" t="s">
        <v>3696</v>
      </c>
      <c r="F1695" t="s">
        <v>3697</v>
      </c>
      <c r="G1695" s="1"/>
      <c r="H1695" t="str">
        <f>"3250613197513"</f>
        <v>3250613197513</v>
      </c>
      <c r="J1695" t="s">
        <v>4871</v>
      </c>
    </row>
    <row r="1696" spans="1:10" x14ac:dyDescent="0.25">
      <c r="A1696" t="s">
        <v>8</v>
      </c>
      <c r="B1696" t="s">
        <v>4872</v>
      </c>
      <c r="C1696" t="s">
        <v>4873</v>
      </c>
      <c r="D1696">
        <v>1</v>
      </c>
      <c r="E1696" t="s">
        <v>3696</v>
      </c>
      <c r="F1696" t="s">
        <v>3697</v>
      </c>
      <c r="G1696" s="1"/>
      <c r="H1696" t="str">
        <f>"3250613198213"</f>
        <v>3250613198213</v>
      </c>
      <c r="J1696" t="s">
        <v>4821</v>
      </c>
    </row>
    <row r="1697" spans="1:10" x14ac:dyDescent="0.25">
      <c r="A1697" t="s">
        <v>8</v>
      </c>
      <c r="B1697" t="s">
        <v>4874</v>
      </c>
      <c r="C1697" t="s">
        <v>4875</v>
      </c>
      <c r="D1697">
        <v>1</v>
      </c>
      <c r="E1697" t="s">
        <v>3696</v>
      </c>
      <c r="F1697" t="s">
        <v>3697</v>
      </c>
      <c r="G1697" s="1"/>
      <c r="H1697" t="str">
        <f>"3250613197520"</f>
        <v>3250613197520</v>
      </c>
      <c r="J1697" t="s">
        <v>4876</v>
      </c>
    </row>
    <row r="1698" spans="1:10" x14ac:dyDescent="0.25">
      <c r="A1698" t="s">
        <v>8</v>
      </c>
      <c r="B1698" t="s">
        <v>4877</v>
      </c>
      <c r="C1698" t="s">
        <v>4878</v>
      </c>
      <c r="D1698">
        <v>1</v>
      </c>
      <c r="E1698" t="s">
        <v>3696</v>
      </c>
      <c r="F1698" t="s">
        <v>3697</v>
      </c>
      <c r="G1698" s="1"/>
      <c r="H1698" t="str">
        <f>"3250613198237"</f>
        <v>3250613198237</v>
      </c>
      <c r="J1698" t="s">
        <v>4879</v>
      </c>
    </row>
    <row r="1699" spans="1:10" x14ac:dyDescent="0.25">
      <c r="A1699" t="s">
        <v>8</v>
      </c>
      <c r="B1699" t="s">
        <v>4880</v>
      </c>
      <c r="C1699" t="s">
        <v>4881</v>
      </c>
      <c r="D1699">
        <v>1</v>
      </c>
      <c r="E1699" t="s">
        <v>3696</v>
      </c>
      <c r="F1699" t="s">
        <v>3697</v>
      </c>
      <c r="G1699" s="1"/>
      <c r="H1699" t="str">
        <f>"3250613197537"</f>
        <v>3250613197537</v>
      </c>
      <c r="J1699" t="s">
        <v>4882</v>
      </c>
    </row>
    <row r="1700" spans="1:10" x14ac:dyDescent="0.25">
      <c r="A1700" t="s">
        <v>8</v>
      </c>
      <c r="B1700" t="s">
        <v>4883</v>
      </c>
      <c r="C1700" t="s">
        <v>4884</v>
      </c>
      <c r="D1700">
        <v>1</v>
      </c>
      <c r="E1700" t="s">
        <v>3696</v>
      </c>
      <c r="F1700" t="s">
        <v>3697</v>
      </c>
      <c r="G1700" s="1"/>
      <c r="H1700" t="str">
        <f>"3250613198251"</f>
        <v>3250613198251</v>
      </c>
      <c r="J1700" t="s">
        <v>4829</v>
      </c>
    </row>
    <row r="1701" spans="1:10" x14ac:dyDescent="0.25">
      <c r="A1701" t="s">
        <v>8</v>
      </c>
      <c r="B1701" t="s">
        <v>4885</v>
      </c>
      <c r="C1701" t="s">
        <v>4886</v>
      </c>
      <c r="D1701">
        <v>1</v>
      </c>
      <c r="E1701" t="s">
        <v>3696</v>
      </c>
      <c r="F1701" t="s">
        <v>3697</v>
      </c>
      <c r="G1701" s="1"/>
      <c r="H1701" t="str">
        <f>"3250613197544"</f>
        <v>3250613197544</v>
      </c>
      <c r="J1701" t="s">
        <v>4887</v>
      </c>
    </row>
    <row r="1702" spans="1:10" x14ac:dyDescent="0.25">
      <c r="A1702" t="s">
        <v>8</v>
      </c>
      <c r="B1702" t="s">
        <v>4888</v>
      </c>
      <c r="C1702" t="s">
        <v>4889</v>
      </c>
      <c r="D1702">
        <v>1</v>
      </c>
      <c r="E1702" t="s">
        <v>3696</v>
      </c>
      <c r="F1702" t="s">
        <v>3697</v>
      </c>
      <c r="G1702" s="1"/>
      <c r="H1702" t="str">
        <f>"3250613170615"</f>
        <v>3250613170615</v>
      </c>
      <c r="J1702" t="s">
        <v>4890</v>
      </c>
    </row>
    <row r="1703" spans="1:10" x14ac:dyDescent="0.25">
      <c r="A1703" t="s">
        <v>8</v>
      </c>
      <c r="B1703" t="s">
        <v>4891</v>
      </c>
      <c r="C1703" t="s">
        <v>4892</v>
      </c>
      <c r="D1703">
        <v>1</v>
      </c>
      <c r="E1703" t="s">
        <v>3696</v>
      </c>
      <c r="F1703" t="s">
        <v>3697</v>
      </c>
      <c r="G1703" s="1"/>
      <c r="H1703" t="str">
        <f>"3250613170707"</f>
        <v>3250613170707</v>
      </c>
      <c r="J1703" t="s">
        <v>4890</v>
      </c>
    </row>
    <row r="1704" spans="1:10" x14ac:dyDescent="0.25">
      <c r="A1704" t="s">
        <v>8</v>
      </c>
      <c r="B1704" t="s">
        <v>4893</v>
      </c>
      <c r="C1704" t="s">
        <v>4894</v>
      </c>
      <c r="D1704">
        <v>1</v>
      </c>
      <c r="E1704" t="s">
        <v>3696</v>
      </c>
      <c r="F1704" t="s">
        <v>3697</v>
      </c>
      <c r="G1704" s="1"/>
      <c r="H1704" t="str">
        <f>"3250613171384"</f>
        <v>3250613171384</v>
      </c>
      <c r="J1704" t="s">
        <v>4895</v>
      </c>
    </row>
    <row r="1705" spans="1:10" x14ac:dyDescent="0.25">
      <c r="A1705" t="s">
        <v>8</v>
      </c>
      <c r="B1705" t="s">
        <v>4896</v>
      </c>
      <c r="C1705" t="s">
        <v>4897</v>
      </c>
      <c r="D1705">
        <v>1</v>
      </c>
      <c r="E1705" t="s">
        <v>3696</v>
      </c>
      <c r="F1705" t="s">
        <v>3697</v>
      </c>
      <c r="G1705" s="1"/>
      <c r="H1705" t="str">
        <f>"3250613171476"</f>
        <v>3250613171476</v>
      </c>
      <c r="J1705" t="s">
        <v>4895</v>
      </c>
    </row>
    <row r="1706" spans="1:10" x14ac:dyDescent="0.25">
      <c r="A1706" t="s">
        <v>8</v>
      </c>
      <c r="B1706" t="s">
        <v>4898</v>
      </c>
      <c r="C1706" t="s">
        <v>4899</v>
      </c>
      <c r="D1706">
        <v>1</v>
      </c>
      <c r="E1706" t="s">
        <v>3696</v>
      </c>
      <c r="F1706" t="s">
        <v>3697</v>
      </c>
      <c r="G1706" s="1"/>
      <c r="H1706" t="str">
        <f>"3250615600523"</f>
        <v>3250615600523</v>
      </c>
      <c r="J1706" t="s">
        <v>4900</v>
      </c>
    </row>
    <row r="1707" spans="1:10" x14ac:dyDescent="0.25">
      <c r="A1707" t="s">
        <v>8</v>
      </c>
      <c r="B1707" t="s">
        <v>4901</v>
      </c>
      <c r="C1707" t="s">
        <v>4902</v>
      </c>
      <c r="D1707">
        <v>1</v>
      </c>
      <c r="E1707" t="s">
        <v>3696</v>
      </c>
      <c r="F1707" t="s">
        <v>3697</v>
      </c>
      <c r="G1707" s="1"/>
      <c r="H1707" t="str">
        <f>"3250615600530"</f>
        <v>3250615600530</v>
      </c>
      <c r="J1707" t="s">
        <v>4903</v>
      </c>
    </row>
    <row r="1708" spans="1:10" x14ac:dyDescent="0.25">
      <c r="A1708" t="s">
        <v>8</v>
      </c>
      <c r="B1708" t="s">
        <v>4904</v>
      </c>
      <c r="C1708" t="s">
        <v>4905</v>
      </c>
      <c r="D1708">
        <v>1</v>
      </c>
      <c r="E1708" t="s">
        <v>3696</v>
      </c>
      <c r="F1708" t="s">
        <v>3697</v>
      </c>
      <c r="G1708" s="1"/>
      <c r="H1708" t="str">
        <f>"3250615600547"</f>
        <v>3250615600547</v>
      </c>
      <c r="J1708" t="s">
        <v>4906</v>
      </c>
    </row>
    <row r="1709" spans="1:10" x14ac:dyDescent="0.25">
      <c r="A1709" t="s">
        <v>8</v>
      </c>
      <c r="B1709" t="s">
        <v>4907</v>
      </c>
      <c r="C1709" t="s">
        <v>4908</v>
      </c>
      <c r="D1709">
        <v>1</v>
      </c>
      <c r="E1709" t="s">
        <v>3696</v>
      </c>
      <c r="F1709" t="s">
        <v>3697</v>
      </c>
      <c r="G1709" s="1"/>
      <c r="H1709" t="str">
        <f>"3250615600561"</f>
        <v>3250615600561</v>
      </c>
      <c r="J1709" t="s">
        <v>4909</v>
      </c>
    </row>
    <row r="1710" spans="1:10" x14ac:dyDescent="0.25">
      <c r="A1710" t="s">
        <v>8</v>
      </c>
      <c r="B1710" t="s">
        <v>4910</v>
      </c>
      <c r="C1710" t="s">
        <v>4911</v>
      </c>
      <c r="D1710">
        <v>1</v>
      </c>
      <c r="E1710" t="s">
        <v>3696</v>
      </c>
      <c r="F1710" t="s">
        <v>3697</v>
      </c>
      <c r="G1710" s="1"/>
      <c r="H1710" t="str">
        <f>"3250613144371"</f>
        <v>3250613144371</v>
      </c>
      <c r="J1710" t="s">
        <v>4912</v>
      </c>
    </row>
    <row r="1711" spans="1:10" x14ac:dyDescent="0.25">
      <c r="A1711" t="s">
        <v>8</v>
      </c>
      <c r="B1711" t="s">
        <v>4913</v>
      </c>
      <c r="C1711" t="s">
        <v>4914</v>
      </c>
      <c r="D1711">
        <v>1</v>
      </c>
      <c r="E1711" t="s">
        <v>3696</v>
      </c>
      <c r="F1711" t="s">
        <v>3697</v>
      </c>
      <c r="G1711" s="1"/>
      <c r="H1711" t="str">
        <f>"3250613243869"</f>
        <v>3250613243869</v>
      </c>
      <c r="J1711" t="s">
        <v>4915</v>
      </c>
    </row>
    <row r="1712" spans="1:10" x14ac:dyDescent="0.25">
      <c r="A1712" t="s">
        <v>8</v>
      </c>
      <c r="B1712" t="s">
        <v>4916</v>
      </c>
      <c r="C1712" t="s">
        <v>4917</v>
      </c>
      <c r="D1712">
        <v>1</v>
      </c>
      <c r="E1712" t="s">
        <v>3696</v>
      </c>
      <c r="F1712" t="s">
        <v>3697</v>
      </c>
      <c r="G1712" s="1"/>
      <c r="H1712" t="str">
        <f>"3250613243883"</f>
        <v>3250613243883</v>
      </c>
      <c r="J1712" t="s">
        <v>4918</v>
      </c>
    </row>
    <row r="1713" spans="1:10" x14ac:dyDescent="0.25">
      <c r="A1713" t="s">
        <v>8</v>
      </c>
      <c r="B1713" t="s">
        <v>4919</v>
      </c>
      <c r="C1713" t="s">
        <v>4920</v>
      </c>
      <c r="D1713">
        <v>1</v>
      </c>
      <c r="E1713" t="s">
        <v>3696</v>
      </c>
      <c r="F1713" t="s">
        <v>3697</v>
      </c>
      <c r="G1713" s="1"/>
      <c r="H1713" t="str">
        <f>"3250613243906"</f>
        <v>3250613243906</v>
      </c>
      <c r="J1713" t="s">
        <v>4921</v>
      </c>
    </row>
    <row r="1714" spans="1:10" x14ac:dyDescent="0.25">
      <c r="A1714" t="s">
        <v>8</v>
      </c>
      <c r="B1714" t="s">
        <v>4922</v>
      </c>
      <c r="C1714" t="s">
        <v>4923</v>
      </c>
      <c r="D1714">
        <v>1</v>
      </c>
      <c r="E1714" t="s">
        <v>3696</v>
      </c>
      <c r="F1714" t="s">
        <v>3697</v>
      </c>
      <c r="G1714" s="1"/>
      <c r="H1714" t="str">
        <f>"3250613243913"</f>
        <v>3250613243913</v>
      </c>
      <c r="J1714" t="s">
        <v>4924</v>
      </c>
    </row>
    <row r="1715" spans="1:10" x14ac:dyDescent="0.25">
      <c r="A1715" t="s">
        <v>8</v>
      </c>
      <c r="B1715" t="s">
        <v>4925</v>
      </c>
      <c r="C1715" t="s">
        <v>4926</v>
      </c>
      <c r="D1715">
        <v>1</v>
      </c>
      <c r="E1715" t="s">
        <v>3696</v>
      </c>
      <c r="F1715" t="s">
        <v>3697</v>
      </c>
      <c r="G1715" s="1"/>
      <c r="H1715" t="str">
        <f>"3250613243937"</f>
        <v>3250613243937</v>
      </c>
      <c r="J1715" t="s">
        <v>4927</v>
      </c>
    </row>
    <row r="1716" spans="1:10" x14ac:dyDescent="0.25">
      <c r="A1716" t="s">
        <v>8</v>
      </c>
      <c r="B1716" t="s">
        <v>4928</v>
      </c>
      <c r="C1716" t="s">
        <v>4929</v>
      </c>
      <c r="D1716">
        <v>1</v>
      </c>
      <c r="E1716" t="s">
        <v>3696</v>
      </c>
      <c r="F1716" t="s">
        <v>3697</v>
      </c>
      <c r="G1716" s="1"/>
      <c r="H1716" t="str">
        <f>"3250613243944"</f>
        <v>3250613243944</v>
      </c>
      <c r="J1716" t="s">
        <v>4930</v>
      </c>
    </row>
    <row r="1717" spans="1:10" x14ac:dyDescent="0.25">
      <c r="A1717" t="s">
        <v>8</v>
      </c>
      <c r="B1717" t="s">
        <v>4931</v>
      </c>
      <c r="C1717" t="s">
        <v>4932</v>
      </c>
      <c r="D1717">
        <v>1</v>
      </c>
      <c r="E1717" t="s">
        <v>3696</v>
      </c>
      <c r="F1717" t="s">
        <v>3697</v>
      </c>
      <c r="G1717" s="1"/>
      <c r="H1717" t="str">
        <f>"3250613243968"</f>
        <v>3250613243968</v>
      </c>
      <c r="J1717" t="s">
        <v>4933</v>
      </c>
    </row>
    <row r="1718" spans="1:10" x14ac:dyDescent="0.25">
      <c r="A1718" t="s">
        <v>8</v>
      </c>
      <c r="B1718" t="s">
        <v>4934</v>
      </c>
      <c r="C1718" t="s">
        <v>4935</v>
      </c>
      <c r="D1718">
        <v>1</v>
      </c>
      <c r="E1718" t="s">
        <v>3696</v>
      </c>
      <c r="F1718" t="s">
        <v>3697</v>
      </c>
      <c r="G1718" s="1"/>
      <c r="H1718" t="str">
        <f>"3250613243982"</f>
        <v>3250613243982</v>
      </c>
      <c r="J1718" t="s">
        <v>4936</v>
      </c>
    </row>
    <row r="1719" spans="1:10" x14ac:dyDescent="0.25">
      <c r="A1719" t="s">
        <v>8</v>
      </c>
      <c r="B1719" t="s">
        <v>4937</v>
      </c>
      <c r="C1719" t="s">
        <v>4938</v>
      </c>
      <c r="D1719">
        <v>1</v>
      </c>
      <c r="E1719" t="s">
        <v>3696</v>
      </c>
      <c r="F1719" t="s">
        <v>3697</v>
      </c>
      <c r="G1719" s="1"/>
      <c r="H1719" t="str">
        <f>"3250613244026"</f>
        <v>3250613244026</v>
      </c>
      <c r="J1719" t="s">
        <v>4939</v>
      </c>
    </row>
    <row r="1720" spans="1:10" x14ac:dyDescent="0.25">
      <c r="A1720" t="s">
        <v>8</v>
      </c>
      <c r="B1720" t="s">
        <v>4940</v>
      </c>
      <c r="C1720" t="s">
        <v>4941</v>
      </c>
      <c r="D1720">
        <v>1</v>
      </c>
      <c r="E1720" t="s">
        <v>3696</v>
      </c>
      <c r="F1720" t="s">
        <v>3697</v>
      </c>
      <c r="G1720" s="1"/>
      <c r="H1720" t="str">
        <f>"3250613244057"</f>
        <v>3250613244057</v>
      </c>
      <c r="J1720" t="s">
        <v>4942</v>
      </c>
    </row>
    <row r="1721" spans="1:10" x14ac:dyDescent="0.25">
      <c r="A1721" t="s">
        <v>8</v>
      </c>
      <c r="B1721" t="s">
        <v>4943</v>
      </c>
      <c r="C1721" t="s">
        <v>4944</v>
      </c>
      <c r="D1721">
        <v>1</v>
      </c>
      <c r="E1721" t="s">
        <v>3696</v>
      </c>
      <c r="F1721" t="s">
        <v>3697</v>
      </c>
      <c r="G1721" s="1"/>
      <c r="H1721" t="str">
        <f>"3250613244279"</f>
        <v>3250613244279</v>
      </c>
      <c r="J1721" t="s">
        <v>4945</v>
      </c>
    </row>
    <row r="1722" spans="1:10" x14ac:dyDescent="0.25">
      <c r="A1722" t="s">
        <v>8</v>
      </c>
      <c r="B1722" t="s">
        <v>4946</v>
      </c>
      <c r="C1722" t="s">
        <v>4947</v>
      </c>
      <c r="D1722">
        <v>1</v>
      </c>
      <c r="E1722" t="s">
        <v>3696</v>
      </c>
      <c r="F1722" t="s">
        <v>3697</v>
      </c>
      <c r="G1722" s="1"/>
      <c r="H1722" t="str">
        <f>"3250613244293"</f>
        <v>3250613244293</v>
      </c>
      <c r="J1722" t="s">
        <v>4948</v>
      </c>
    </row>
    <row r="1723" spans="1:10" x14ac:dyDescent="0.25">
      <c r="A1723" t="s">
        <v>8</v>
      </c>
      <c r="B1723" t="s">
        <v>4949</v>
      </c>
      <c r="C1723" t="s">
        <v>4950</v>
      </c>
      <c r="D1723">
        <v>1</v>
      </c>
      <c r="E1723" t="s">
        <v>3696</v>
      </c>
      <c r="F1723" t="s">
        <v>3697</v>
      </c>
      <c r="G1723" s="1"/>
      <c r="H1723" t="str">
        <f>"3250613244316"</f>
        <v>3250613244316</v>
      </c>
      <c r="J1723" t="s">
        <v>4951</v>
      </c>
    </row>
    <row r="1724" spans="1:10" x14ac:dyDescent="0.25">
      <c r="A1724" t="s">
        <v>8</v>
      </c>
      <c r="B1724" t="s">
        <v>4952</v>
      </c>
      <c r="C1724" t="s">
        <v>4953</v>
      </c>
      <c r="D1724">
        <v>1</v>
      </c>
      <c r="E1724" t="s">
        <v>3696</v>
      </c>
      <c r="F1724" t="s">
        <v>3697</v>
      </c>
      <c r="G1724" s="1"/>
      <c r="H1724" t="str">
        <f>"3250613244323"</f>
        <v>3250613244323</v>
      </c>
      <c r="J1724" t="s">
        <v>4954</v>
      </c>
    </row>
    <row r="1725" spans="1:10" x14ac:dyDescent="0.25">
      <c r="A1725" t="s">
        <v>8</v>
      </c>
      <c r="B1725" t="s">
        <v>4955</v>
      </c>
      <c r="C1725" t="s">
        <v>4956</v>
      </c>
      <c r="D1725">
        <v>1</v>
      </c>
      <c r="E1725" t="s">
        <v>3696</v>
      </c>
      <c r="F1725" t="s">
        <v>3697</v>
      </c>
      <c r="G1725" s="1"/>
      <c r="H1725" t="str">
        <f>"3250613244347"</f>
        <v>3250613244347</v>
      </c>
      <c r="J1725" t="s">
        <v>4957</v>
      </c>
    </row>
    <row r="1726" spans="1:10" x14ac:dyDescent="0.25">
      <c r="A1726" t="s">
        <v>8</v>
      </c>
      <c r="B1726" t="s">
        <v>4958</v>
      </c>
      <c r="C1726" t="s">
        <v>4959</v>
      </c>
      <c r="D1726">
        <v>1</v>
      </c>
      <c r="E1726" t="s">
        <v>3696</v>
      </c>
      <c r="F1726" t="s">
        <v>3697</v>
      </c>
      <c r="G1726" s="1"/>
      <c r="H1726" t="str">
        <f>"3250613244354"</f>
        <v>3250613244354</v>
      </c>
      <c r="J1726" t="s">
        <v>4960</v>
      </c>
    </row>
    <row r="1727" spans="1:10" x14ac:dyDescent="0.25">
      <c r="A1727" t="s">
        <v>8</v>
      </c>
      <c r="B1727" t="s">
        <v>4961</v>
      </c>
      <c r="C1727" t="s">
        <v>4962</v>
      </c>
      <c r="D1727">
        <v>1</v>
      </c>
      <c r="E1727" t="s">
        <v>3696</v>
      </c>
      <c r="F1727" t="s">
        <v>3697</v>
      </c>
      <c r="G1727" s="1"/>
      <c r="H1727" t="str">
        <f>"3250613244378"</f>
        <v>3250613244378</v>
      </c>
      <c r="J1727" t="s">
        <v>4930</v>
      </c>
    </row>
    <row r="1728" spans="1:10" x14ac:dyDescent="0.25">
      <c r="A1728" t="s">
        <v>8</v>
      </c>
      <c r="B1728" t="s">
        <v>4963</v>
      </c>
      <c r="C1728" t="s">
        <v>4964</v>
      </c>
      <c r="D1728">
        <v>1</v>
      </c>
      <c r="E1728" t="s">
        <v>3696</v>
      </c>
      <c r="F1728" t="s">
        <v>3697</v>
      </c>
      <c r="G1728" s="1"/>
      <c r="H1728" t="str">
        <f>"3250613244392"</f>
        <v>3250613244392</v>
      </c>
      <c r="J1728" t="s">
        <v>4965</v>
      </c>
    </row>
    <row r="1729" spans="1:10" x14ac:dyDescent="0.25">
      <c r="A1729" t="s">
        <v>8</v>
      </c>
      <c r="B1729" t="s">
        <v>4966</v>
      </c>
      <c r="C1729" t="s">
        <v>4967</v>
      </c>
      <c r="D1729">
        <v>1</v>
      </c>
      <c r="E1729" t="s">
        <v>3696</v>
      </c>
      <c r="F1729" t="s">
        <v>3697</v>
      </c>
      <c r="G1729" s="1"/>
      <c r="H1729" t="str">
        <f>"3250613244439"</f>
        <v>3250613244439</v>
      </c>
      <c r="J1729" t="s">
        <v>4927</v>
      </c>
    </row>
    <row r="1730" spans="1:10" x14ac:dyDescent="0.25">
      <c r="A1730" t="s">
        <v>8</v>
      </c>
      <c r="B1730" t="s">
        <v>4968</v>
      </c>
      <c r="C1730" t="s">
        <v>4969</v>
      </c>
      <c r="D1730">
        <v>1</v>
      </c>
      <c r="E1730" t="s">
        <v>3696</v>
      </c>
      <c r="F1730" t="s">
        <v>3697</v>
      </c>
      <c r="G1730" s="1"/>
      <c r="H1730" t="str">
        <f>"3250613244460"</f>
        <v>3250613244460</v>
      </c>
      <c r="J1730" t="s">
        <v>4970</v>
      </c>
    </row>
    <row r="1731" spans="1:10" x14ac:dyDescent="0.25">
      <c r="A1731" t="s">
        <v>8</v>
      </c>
      <c r="B1731" t="s">
        <v>4971</v>
      </c>
      <c r="C1731" t="s">
        <v>4972</v>
      </c>
      <c r="D1731">
        <v>1</v>
      </c>
      <c r="E1731" t="s">
        <v>3696</v>
      </c>
      <c r="F1731" t="s">
        <v>3697</v>
      </c>
      <c r="G1731" s="1"/>
      <c r="H1731" t="str">
        <f>"3250613166410"</f>
        <v>3250613166410</v>
      </c>
      <c r="J1731" t="s">
        <v>4973</v>
      </c>
    </row>
    <row r="1732" spans="1:10" x14ac:dyDescent="0.25">
      <c r="A1732" t="s">
        <v>8</v>
      </c>
      <c r="B1732" t="s">
        <v>4974</v>
      </c>
      <c r="C1732" t="s">
        <v>4975</v>
      </c>
      <c r="D1732">
        <v>1</v>
      </c>
      <c r="E1732" t="s">
        <v>3696</v>
      </c>
      <c r="F1732" t="s">
        <v>3697</v>
      </c>
      <c r="G1732" s="1"/>
      <c r="H1732" t="str">
        <f>"3250613166427"</f>
        <v>3250613166427</v>
      </c>
      <c r="J1732" t="s">
        <v>4976</v>
      </c>
    </row>
    <row r="1733" spans="1:10" x14ac:dyDescent="0.25">
      <c r="A1733" t="s">
        <v>8</v>
      </c>
      <c r="B1733" t="s">
        <v>4977</v>
      </c>
      <c r="C1733" t="s">
        <v>4978</v>
      </c>
      <c r="D1733">
        <v>1</v>
      </c>
      <c r="E1733" t="s">
        <v>3696</v>
      </c>
      <c r="F1733" t="s">
        <v>3697</v>
      </c>
      <c r="G1733" s="1"/>
      <c r="H1733" t="str">
        <f>"3250613166434"</f>
        <v>3250613166434</v>
      </c>
      <c r="J1733" t="s">
        <v>4979</v>
      </c>
    </row>
    <row r="1734" spans="1:10" x14ac:dyDescent="0.25">
      <c r="A1734" t="s">
        <v>8</v>
      </c>
      <c r="B1734" t="s">
        <v>4980</v>
      </c>
      <c r="C1734" t="s">
        <v>4981</v>
      </c>
      <c r="D1734">
        <v>1</v>
      </c>
      <c r="E1734" t="s">
        <v>3696</v>
      </c>
      <c r="F1734" t="s">
        <v>3697</v>
      </c>
      <c r="G1734" s="1"/>
      <c r="H1734" t="str">
        <f>"3250613166441"</f>
        <v>3250613166441</v>
      </c>
      <c r="J1734" t="s">
        <v>4982</v>
      </c>
    </row>
    <row r="1735" spans="1:10" x14ac:dyDescent="0.25">
      <c r="A1735" t="s">
        <v>8</v>
      </c>
      <c r="B1735" t="s">
        <v>4983</v>
      </c>
      <c r="C1735" t="s">
        <v>4984</v>
      </c>
      <c r="D1735">
        <v>1</v>
      </c>
      <c r="E1735" t="s">
        <v>3696</v>
      </c>
      <c r="F1735" t="s">
        <v>3697</v>
      </c>
      <c r="G1735" s="1"/>
      <c r="H1735" t="str">
        <f>"3250613166458"</f>
        <v>3250613166458</v>
      </c>
      <c r="J1735" t="s">
        <v>4985</v>
      </c>
    </row>
    <row r="1736" spans="1:10" x14ac:dyDescent="0.25">
      <c r="A1736" t="s">
        <v>8</v>
      </c>
      <c r="B1736" t="s">
        <v>4986</v>
      </c>
      <c r="C1736" t="s">
        <v>4987</v>
      </c>
      <c r="D1736">
        <v>1</v>
      </c>
      <c r="E1736" t="s">
        <v>3696</v>
      </c>
      <c r="F1736" t="s">
        <v>3697</v>
      </c>
      <c r="G1736" s="1"/>
      <c r="H1736" t="str">
        <f>"3250613166465"</f>
        <v>3250613166465</v>
      </c>
      <c r="J1736" t="s">
        <v>4988</v>
      </c>
    </row>
    <row r="1737" spans="1:10" x14ac:dyDescent="0.25">
      <c r="A1737" t="s">
        <v>8</v>
      </c>
      <c r="B1737" t="s">
        <v>4989</v>
      </c>
      <c r="C1737" t="s">
        <v>4990</v>
      </c>
      <c r="D1737">
        <v>1</v>
      </c>
      <c r="E1737" t="s">
        <v>3696</v>
      </c>
      <c r="F1737" t="s">
        <v>3697</v>
      </c>
      <c r="G1737" s="1"/>
      <c r="H1737" t="str">
        <f>"3250613144388"</f>
        <v>3250613144388</v>
      </c>
      <c r="J1737" t="s">
        <v>4991</v>
      </c>
    </row>
    <row r="1738" spans="1:10" x14ac:dyDescent="0.25">
      <c r="A1738" t="s">
        <v>8</v>
      </c>
      <c r="B1738" t="s">
        <v>4992</v>
      </c>
      <c r="C1738" t="s">
        <v>4993</v>
      </c>
      <c r="D1738">
        <v>1</v>
      </c>
      <c r="E1738" t="s">
        <v>4994</v>
      </c>
      <c r="F1738" t="s">
        <v>4995</v>
      </c>
      <c r="G1738" s="1"/>
      <c r="H1738" t="str">
        <f>"3250613230104"</f>
        <v>3250613230104</v>
      </c>
      <c r="J1738" t="s">
        <v>4996</v>
      </c>
    </row>
    <row r="1739" spans="1:10" x14ac:dyDescent="0.25">
      <c r="A1739" t="s">
        <v>8</v>
      </c>
      <c r="B1739" t="s">
        <v>4997</v>
      </c>
      <c r="C1739" t="s">
        <v>4998</v>
      </c>
      <c r="D1739">
        <v>1</v>
      </c>
      <c r="E1739" t="s">
        <v>4994</v>
      </c>
      <c r="F1739" t="s">
        <v>4995</v>
      </c>
      <c r="G1739" s="1"/>
      <c r="H1739" t="str">
        <f>"3250613230296"</f>
        <v>3250613230296</v>
      </c>
      <c r="J1739" t="s">
        <v>4999</v>
      </c>
    </row>
    <row r="1740" spans="1:10" x14ac:dyDescent="0.25">
      <c r="A1740" t="s">
        <v>8</v>
      </c>
      <c r="B1740" t="s">
        <v>5000</v>
      </c>
      <c r="C1740" t="s">
        <v>5001</v>
      </c>
      <c r="D1740">
        <v>1</v>
      </c>
      <c r="E1740" t="s">
        <v>4994</v>
      </c>
      <c r="F1740" t="s">
        <v>4995</v>
      </c>
      <c r="G1740" s="1"/>
      <c r="H1740" t="str">
        <f>"3250613230357"</f>
        <v>3250613230357</v>
      </c>
      <c r="J1740" t="s">
        <v>5002</v>
      </c>
    </row>
    <row r="1741" spans="1:10" x14ac:dyDescent="0.25">
      <c r="A1741" t="s">
        <v>8</v>
      </c>
      <c r="B1741" t="s">
        <v>5003</v>
      </c>
      <c r="C1741" t="s">
        <v>5004</v>
      </c>
      <c r="D1741">
        <v>1</v>
      </c>
      <c r="E1741" t="s">
        <v>4994</v>
      </c>
      <c r="F1741" t="s">
        <v>4995</v>
      </c>
      <c r="G1741" s="1"/>
      <c r="H1741" t="str">
        <f>"3250613231972"</f>
        <v>3250613231972</v>
      </c>
      <c r="J1741" t="s">
        <v>5005</v>
      </c>
    </row>
    <row r="1742" spans="1:10" x14ac:dyDescent="0.25">
      <c r="A1742" t="s">
        <v>8</v>
      </c>
      <c r="B1742" t="s">
        <v>5006</v>
      </c>
      <c r="C1742" t="s">
        <v>5007</v>
      </c>
      <c r="D1742">
        <v>1</v>
      </c>
      <c r="E1742" t="s">
        <v>4994</v>
      </c>
      <c r="F1742" t="s">
        <v>4995</v>
      </c>
      <c r="G1742" s="1"/>
      <c r="H1742" t="str">
        <f>"3250614628269"</f>
        <v>3250614628269</v>
      </c>
      <c r="J1742" t="s">
        <v>5008</v>
      </c>
    </row>
    <row r="1743" spans="1:10" x14ac:dyDescent="0.25">
      <c r="A1743" t="s">
        <v>8</v>
      </c>
      <c r="B1743" t="s">
        <v>5009</v>
      </c>
      <c r="C1743" t="s">
        <v>5010</v>
      </c>
      <c r="D1743">
        <v>1</v>
      </c>
      <c r="E1743" t="s">
        <v>4994</v>
      </c>
      <c r="F1743" t="s">
        <v>4995</v>
      </c>
      <c r="G1743" s="1"/>
      <c r="H1743" t="str">
        <f>"3250614628320"</f>
        <v>3250614628320</v>
      </c>
      <c r="J1743" t="s">
        <v>5011</v>
      </c>
    </row>
    <row r="1744" spans="1:10" x14ac:dyDescent="0.25">
      <c r="A1744" t="s">
        <v>8</v>
      </c>
      <c r="B1744" t="s">
        <v>5012</v>
      </c>
      <c r="C1744" t="s">
        <v>5013</v>
      </c>
      <c r="D1744">
        <v>1</v>
      </c>
      <c r="E1744" t="s">
        <v>4994</v>
      </c>
      <c r="F1744" t="s">
        <v>4995</v>
      </c>
      <c r="G1744" s="1"/>
      <c r="H1744" t="str">
        <f>"3250614645617"</f>
        <v>3250614645617</v>
      </c>
      <c r="J1744" t="s">
        <v>5014</v>
      </c>
    </row>
    <row r="1745" spans="1:10" x14ac:dyDescent="0.25">
      <c r="A1745" t="s">
        <v>8</v>
      </c>
      <c r="B1745" t="s">
        <v>5015</v>
      </c>
      <c r="C1745" t="s">
        <v>5016</v>
      </c>
      <c r="D1745">
        <v>1</v>
      </c>
      <c r="E1745" t="s">
        <v>4994</v>
      </c>
      <c r="F1745" t="s">
        <v>4995</v>
      </c>
      <c r="G1745" s="1"/>
      <c r="H1745" t="str">
        <f>"3250614645815"</f>
        <v>3250614645815</v>
      </c>
      <c r="J1745" t="s">
        <v>5017</v>
      </c>
    </row>
    <row r="1746" spans="1:10" x14ac:dyDescent="0.25">
      <c r="A1746" t="s">
        <v>8</v>
      </c>
      <c r="B1746" t="s">
        <v>5018</v>
      </c>
      <c r="C1746" t="s">
        <v>5019</v>
      </c>
      <c r="D1746">
        <v>1</v>
      </c>
      <c r="E1746" t="s">
        <v>4994</v>
      </c>
      <c r="F1746" t="s">
        <v>4995</v>
      </c>
      <c r="G1746" s="1"/>
      <c r="H1746" t="str">
        <f>"3250614645051"</f>
        <v>3250614645051</v>
      </c>
      <c r="J1746" t="s">
        <v>5020</v>
      </c>
    </row>
    <row r="1747" spans="1:10" x14ac:dyDescent="0.25">
      <c r="A1747" t="s">
        <v>8</v>
      </c>
      <c r="B1747" t="s">
        <v>5021</v>
      </c>
      <c r="C1747" t="s">
        <v>5022</v>
      </c>
      <c r="D1747">
        <v>1</v>
      </c>
      <c r="E1747" t="s">
        <v>4994</v>
      </c>
      <c r="F1747" t="s">
        <v>4995</v>
      </c>
      <c r="G1747" s="1"/>
      <c r="H1747" t="str">
        <f>"3250614645167"</f>
        <v>3250614645167</v>
      </c>
      <c r="J1747" t="s">
        <v>5023</v>
      </c>
    </row>
    <row r="1748" spans="1:10" x14ac:dyDescent="0.25">
      <c r="A1748" t="s">
        <v>8</v>
      </c>
      <c r="B1748" t="s">
        <v>5024</v>
      </c>
      <c r="C1748" t="s">
        <v>5025</v>
      </c>
      <c r="D1748">
        <v>1</v>
      </c>
      <c r="E1748" t="s">
        <v>4994</v>
      </c>
      <c r="F1748" t="s">
        <v>4995</v>
      </c>
      <c r="G1748" s="1"/>
      <c r="H1748" t="str">
        <f>"3250614645365"</f>
        <v>3250614645365</v>
      </c>
      <c r="J1748" t="s">
        <v>5026</v>
      </c>
    </row>
    <row r="1749" spans="1:10" x14ac:dyDescent="0.25">
      <c r="A1749" t="s">
        <v>8</v>
      </c>
      <c r="B1749" t="s">
        <v>5027</v>
      </c>
      <c r="C1749" t="s">
        <v>5028</v>
      </c>
      <c r="D1749">
        <v>1</v>
      </c>
      <c r="E1749" t="s">
        <v>4994</v>
      </c>
      <c r="F1749" t="s">
        <v>4995</v>
      </c>
      <c r="G1749" s="1"/>
      <c r="H1749" t="str">
        <f>"3250614646232"</f>
        <v>3250614646232</v>
      </c>
      <c r="J1749" t="s">
        <v>5029</v>
      </c>
    </row>
    <row r="1750" spans="1:10" x14ac:dyDescent="0.25">
      <c r="A1750" t="s">
        <v>8</v>
      </c>
      <c r="B1750" t="s">
        <v>5030</v>
      </c>
      <c r="C1750" t="s">
        <v>5031</v>
      </c>
      <c r="D1750">
        <v>1</v>
      </c>
      <c r="E1750" t="s">
        <v>4994</v>
      </c>
      <c r="F1750" t="s">
        <v>4995</v>
      </c>
      <c r="G1750" s="1"/>
      <c r="H1750" t="str">
        <f>"3250614646423"</f>
        <v>3250614646423</v>
      </c>
      <c r="J1750" t="s">
        <v>5032</v>
      </c>
    </row>
    <row r="1751" spans="1:10" x14ac:dyDescent="0.25">
      <c r="A1751" t="s">
        <v>8</v>
      </c>
      <c r="B1751" t="s">
        <v>5033</v>
      </c>
      <c r="C1751" t="s">
        <v>5034</v>
      </c>
      <c r="D1751">
        <v>1</v>
      </c>
      <c r="E1751" t="s">
        <v>4994</v>
      </c>
      <c r="F1751" t="s">
        <v>4995</v>
      </c>
      <c r="G1751" s="1"/>
      <c r="H1751" t="str">
        <f>"3250613230098"</f>
        <v>3250613230098</v>
      </c>
      <c r="J1751" t="s">
        <v>5035</v>
      </c>
    </row>
    <row r="1752" spans="1:10" x14ac:dyDescent="0.25">
      <c r="A1752" t="s">
        <v>8</v>
      </c>
      <c r="B1752" t="s">
        <v>5036</v>
      </c>
      <c r="C1752" t="s">
        <v>5037</v>
      </c>
      <c r="D1752">
        <v>1</v>
      </c>
      <c r="E1752" t="s">
        <v>4994</v>
      </c>
      <c r="F1752" t="s">
        <v>4995</v>
      </c>
      <c r="G1752" s="1"/>
      <c r="H1752" t="str">
        <f>"3250613230289"</f>
        <v>3250613230289</v>
      </c>
      <c r="J1752" t="s">
        <v>5038</v>
      </c>
    </row>
    <row r="1753" spans="1:10" x14ac:dyDescent="0.25">
      <c r="A1753" t="s">
        <v>8</v>
      </c>
      <c r="B1753" t="s">
        <v>5039</v>
      </c>
      <c r="C1753" t="s">
        <v>5040</v>
      </c>
      <c r="D1753">
        <v>1</v>
      </c>
      <c r="E1753" t="s">
        <v>4994</v>
      </c>
      <c r="F1753" t="s">
        <v>4995</v>
      </c>
      <c r="G1753" s="1"/>
      <c r="H1753" t="str">
        <f>"3250613230340"</f>
        <v>3250613230340</v>
      </c>
      <c r="J1753" t="s">
        <v>5041</v>
      </c>
    </row>
    <row r="1754" spans="1:10" x14ac:dyDescent="0.25">
      <c r="A1754" t="s">
        <v>8</v>
      </c>
      <c r="B1754" t="s">
        <v>5042</v>
      </c>
      <c r="C1754" t="s">
        <v>5043</v>
      </c>
      <c r="D1754">
        <v>1</v>
      </c>
      <c r="E1754" t="s">
        <v>4994</v>
      </c>
      <c r="F1754" t="s">
        <v>4995</v>
      </c>
      <c r="G1754" s="1"/>
      <c r="H1754" t="str">
        <f>"3250613231910"</f>
        <v>3250613231910</v>
      </c>
      <c r="J1754" t="s">
        <v>5044</v>
      </c>
    </row>
    <row r="1755" spans="1:10" x14ac:dyDescent="0.25">
      <c r="A1755" t="s">
        <v>8</v>
      </c>
      <c r="B1755" t="s">
        <v>5045</v>
      </c>
      <c r="C1755" t="s">
        <v>5046</v>
      </c>
      <c r="D1755">
        <v>1</v>
      </c>
      <c r="E1755" t="s">
        <v>4994</v>
      </c>
      <c r="F1755" t="s">
        <v>4995</v>
      </c>
      <c r="G1755" s="1"/>
      <c r="H1755" t="str">
        <f>"3250613232047"</f>
        <v>3250613232047</v>
      </c>
      <c r="J1755" t="s">
        <v>5047</v>
      </c>
    </row>
    <row r="1756" spans="1:10" x14ac:dyDescent="0.25">
      <c r="A1756" t="s">
        <v>8</v>
      </c>
      <c r="B1756" t="s">
        <v>5048</v>
      </c>
      <c r="C1756" t="s">
        <v>5049</v>
      </c>
      <c r="D1756">
        <v>1</v>
      </c>
      <c r="E1756" t="s">
        <v>4994</v>
      </c>
      <c r="F1756" t="s">
        <v>4995</v>
      </c>
      <c r="G1756" s="1"/>
      <c r="H1756" t="str">
        <f>"3250613232108"</f>
        <v>3250613232108</v>
      </c>
      <c r="J1756" t="s">
        <v>5050</v>
      </c>
    </row>
    <row r="1757" spans="1:10" x14ac:dyDescent="0.25">
      <c r="A1757" t="s">
        <v>8</v>
      </c>
      <c r="B1757" t="s">
        <v>5051</v>
      </c>
      <c r="C1757" t="s">
        <v>5052</v>
      </c>
      <c r="D1757">
        <v>1</v>
      </c>
      <c r="E1757" t="s">
        <v>4994</v>
      </c>
      <c r="F1757" t="s">
        <v>4995</v>
      </c>
      <c r="G1757" s="1"/>
      <c r="H1757" t="str">
        <f>"3250614628207"</f>
        <v>3250614628207</v>
      </c>
      <c r="J1757" t="s">
        <v>5053</v>
      </c>
    </row>
    <row r="1758" spans="1:10" x14ac:dyDescent="0.25">
      <c r="A1758" t="s">
        <v>8</v>
      </c>
      <c r="B1758" t="s">
        <v>5054</v>
      </c>
      <c r="C1758" t="s">
        <v>5055</v>
      </c>
      <c r="D1758">
        <v>1</v>
      </c>
      <c r="E1758" t="s">
        <v>4994</v>
      </c>
      <c r="F1758" t="s">
        <v>4995</v>
      </c>
      <c r="G1758" s="1"/>
      <c r="H1758" t="str">
        <f>"3250614628450"</f>
        <v>3250614628450</v>
      </c>
      <c r="J1758" t="s">
        <v>5056</v>
      </c>
    </row>
    <row r="1759" spans="1:10" x14ac:dyDescent="0.25">
      <c r="A1759" t="s">
        <v>8</v>
      </c>
      <c r="B1759" t="s">
        <v>5057</v>
      </c>
      <c r="C1759" t="s">
        <v>5058</v>
      </c>
      <c r="D1759">
        <v>1</v>
      </c>
      <c r="E1759" t="s">
        <v>4994</v>
      </c>
      <c r="F1759" t="s">
        <v>4995</v>
      </c>
      <c r="G1759" s="1"/>
      <c r="H1759" t="str">
        <f>"3250614645730"</f>
        <v>3250614645730</v>
      </c>
      <c r="J1759" t="s">
        <v>5059</v>
      </c>
    </row>
    <row r="1760" spans="1:10" x14ac:dyDescent="0.25">
      <c r="A1760" t="s">
        <v>8</v>
      </c>
      <c r="B1760" t="s">
        <v>5060</v>
      </c>
      <c r="C1760" t="s">
        <v>5061</v>
      </c>
      <c r="D1760">
        <v>1</v>
      </c>
      <c r="E1760" t="s">
        <v>4994</v>
      </c>
      <c r="F1760" t="s">
        <v>4995</v>
      </c>
      <c r="G1760" s="1"/>
      <c r="H1760" t="str">
        <f>"3250614645808"</f>
        <v>3250614645808</v>
      </c>
      <c r="J1760" t="s">
        <v>5062</v>
      </c>
    </row>
    <row r="1761" spans="1:10" x14ac:dyDescent="0.25">
      <c r="A1761" t="s">
        <v>8</v>
      </c>
      <c r="B1761" t="s">
        <v>5063</v>
      </c>
      <c r="C1761" t="s">
        <v>5064</v>
      </c>
      <c r="D1761">
        <v>1</v>
      </c>
      <c r="E1761" t="s">
        <v>4994</v>
      </c>
      <c r="F1761" t="s">
        <v>4995</v>
      </c>
      <c r="G1761" s="1"/>
      <c r="H1761" t="str">
        <f>"3250614645044"</f>
        <v>3250614645044</v>
      </c>
      <c r="J1761" t="s">
        <v>5065</v>
      </c>
    </row>
    <row r="1762" spans="1:10" x14ac:dyDescent="0.25">
      <c r="A1762" t="s">
        <v>8</v>
      </c>
      <c r="B1762" t="s">
        <v>5066</v>
      </c>
      <c r="C1762" t="s">
        <v>5067</v>
      </c>
      <c r="D1762">
        <v>1</v>
      </c>
      <c r="E1762" t="s">
        <v>4994</v>
      </c>
      <c r="F1762" t="s">
        <v>4995</v>
      </c>
      <c r="G1762" s="1"/>
      <c r="H1762" t="str">
        <f>"3250614645358"</f>
        <v>3250614645358</v>
      </c>
      <c r="J1762" t="s">
        <v>5068</v>
      </c>
    </row>
    <row r="1763" spans="1:10" x14ac:dyDescent="0.25">
      <c r="A1763" t="s">
        <v>8</v>
      </c>
      <c r="B1763" t="s">
        <v>5069</v>
      </c>
      <c r="C1763" t="s">
        <v>5070</v>
      </c>
      <c r="D1763">
        <v>1</v>
      </c>
      <c r="E1763" t="s">
        <v>4994</v>
      </c>
      <c r="F1763" t="s">
        <v>4995</v>
      </c>
      <c r="G1763" s="1"/>
      <c r="H1763" t="str">
        <f>"3250614646362"</f>
        <v>3250614646362</v>
      </c>
      <c r="J1763" t="s">
        <v>5071</v>
      </c>
    </row>
    <row r="1764" spans="1:10" x14ac:dyDescent="0.25">
      <c r="A1764" t="s">
        <v>8</v>
      </c>
      <c r="B1764" t="s">
        <v>5072</v>
      </c>
      <c r="C1764" t="s">
        <v>5073</v>
      </c>
      <c r="D1764">
        <v>1</v>
      </c>
      <c r="E1764" t="s">
        <v>4994</v>
      </c>
      <c r="F1764" t="s">
        <v>4995</v>
      </c>
      <c r="G1764" s="1"/>
      <c r="H1764" t="str">
        <f>"3250614646416"</f>
        <v>3250614646416</v>
      </c>
      <c r="J1764" t="s">
        <v>5074</v>
      </c>
    </row>
    <row r="1765" spans="1:10" x14ac:dyDescent="0.25">
      <c r="A1765" t="s">
        <v>8</v>
      </c>
      <c r="B1765" t="s">
        <v>5075</v>
      </c>
      <c r="C1765" t="s">
        <v>5076</v>
      </c>
      <c r="D1765">
        <v>1</v>
      </c>
      <c r="E1765" t="s">
        <v>4994</v>
      </c>
      <c r="F1765" t="s">
        <v>4995</v>
      </c>
      <c r="G1765" s="1"/>
      <c r="H1765" t="str">
        <f>"3250613230081"</f>
        <v>3250613230081</v>
      </c>
      <c r="J1765" t="s">
        <v>5077</v>
      </c>
    </row>
    <row r="1766" spans="1:10" x14ac:dyDescent="0.25">
      <c r="A1766" t="s">
        <v>8</v>
      </c>
      <c r="B1766" t="s">
        <v>5078</v>
      </c>
      <c r="C1766" t="s">
        <v>5079</v>
      </c>
      <c r="D1766">
        <v>1</v>
      </c>
      <c r="E1766" t="s">
        <v>4994</v>
      </c>
      <c r="F1766" t="s">
        <v>4995</v>
      </c>
      <c r="G1766" s="1"/>
      <c r="H1766" t="str">
        <f>"3250613230241"</f>
        <v>3250613230241</v>
      </c>
      <c r="J1766" t="s">
        <v>5080</v>
      </c>
    </row>
    <row r="1767" spans="1:10" x14ac:dyDescent="0.25">
      <c r="A1767" t="s">
        <v>8</v>
      </c>
      <c r="B1767" t="s">
        <v>5081</v>
      </c>
      <c r="C1767" t="s">
        <v>5082</v>
      </c>
      <c r="D1767">
        <v>1</v>
      </c>
      <c r="E1767" t="s">
        <v>4994</v>
      </c>
      <c r="F1767" t="s">
        <v>4995</v>
      </c>
      <c r="G1767" s="1"/>
      <c r="H1767" t="str">
        <f>"3250613231903"</f>
        <v>3250613231903</v>
      </c>
      <c r="J1767" t="s">
        <v>5083</v>
      </c>
    </row>
    <row r="1768" spans="1:10" x14ac:dyDescent="0.25">
      <c r="A1768" t="s">
        <v>8</v>
      </c>
      <c r="B1768" t="s">
        <v>5084</v>
      </c>
      <c r="C1768" t="s">
        <v>5085</v>
      </c>
      <c r="D1768">
        <v>1</v>
      </c>
      <c r="E1768" t="s">
        <v>4994</v>
      </c>
      <c r="F1768" t="s">
        <v>4995</v>
      </c>
      <c r="G1768" s="1"/>
      <c r="H1768" t="str">
        <f>"3250613232092"</f>
        <v>3250613232092</v>
      </c>
      <c r="J1768" t="s">
        <v>5086</v>
      </c>
    </row>
    <row r="1769" spans="1:10" x14ac:dyDescent="0.25">
      <c r="A1769" t="s">
        <v>8</v>
      </c>
      <c r="B1769" t="s">
        <v>5087</v>
      </c>
      <c r="C1769" t="s">
        <v>5088</v>
      </c>
      <c r="D1769">
        <v>1</v>
      </c>
      <c r="E1769" t="s">
        <v>4994</v>
      </c>
      <c r="F1769" t="s">
        <v>4995</v>
      </c>
      <c r="G1769" s="1"/>
      <c r="H1769" t="str">
        <f>"3250614628122"</f>
        <v>3250614628122</v>
      </c>
      <c r="J1769" t="s">
        <v>5089</v>
      </c>
    </row>
    <row r="1770" spans="1:10" x14ac:dyDescent="0.25">
      <c r="A1770" t="s">
        <v>8</v>
      </c>
      <c r="B1770" t="s">
        <v>5090</v>
      </c>
      <c r="C1770" t="s">
        <v>5091</v>
      </c>
      <c r="D1770">
        <v>1</v>
      </c>
      <c r="E1770" t="s">
        <v>4994</v>
      </c>
      <c r="F1770" t="s">
        <v>4995</v>
      </c>
      <c r="G1770" s="1"/>
      <c r="H1770" t="str">
        <f>"3250614628191"</f>
        <v>3250614628191</v>
      </c>
      <c r="J1770" t="s">
        <v>5092</v>
      </c>
    </row>
    <row r="1771" spans="1:10" x14ac:dyDescent="0.25">
      <c r="A1771" t="s">
        <v>8</v>
      </c>
      <c r="B1771" t="s">
        <v>5093</v>
      </c>
      <c r="C1771" t="s">
        <v>5094</v>
      </c>
      <c r="D1771">
        <v>1</v>
      </c>
      <c r="E1771" t="s">
        <v>4994</v>
      </c>
      <c r="F1771" t="s">
        <v>4995</v>
      </c>
      <c r="G1771" s="1"/>
      <c r="H1771" t="str">
        <f>"3250614628443"</f>
        <v>3250614628443</v>
      </c>
      <c r="J1771" t="s">
        <v>5095</v>
      </c>
    </row>
    <row r="1772" spans="1:10" x14ac:dyDescent="0.25">
      <c r="A1772" t="s">
        <v>8</v>
      </c>
      <c r="B1772" t="s">
        <v>5096</v>
      </c>
      <c r="C1772" t="s">
        <v>5097</v>
      </c>
      <c r="D1772">
        <v>1</v>
      </c>
      <c r="E1772" t="s">
        <v>4994</v>
      </c>
      <c r="F1772" t="s">
        <v>4995</v>
      </c>
      <c r="G1772" s="1"/>
      <c r="H1772" t="str">
        <f>"3250614628504"</f>
        <v>3250614628504</v>
      </c>
      <c r="J1772" t="s">
        <v>5098</v>
      </c>
    </row>
    <row r="1773" spans="1:10" x14ac:dyDescent="0.25">
      <c r="A1773" t="s">
        <v>8</v>
      </c>
      <c r="B1773" t="s">
        <v>5099</v>
      </c>
      <c r="C1773" t="s">
        <v>5100</v>
      </c>
      <c r="D1773">
        <v>1</v>
      </c>
      <c r="E1773" t="s">
        <v>4994</v>
      </c>
      <c r="F1773" t="s">
        <v>4995</v>
      </c>
      <c r="G1773" s="1"/>
      <c r="H1773" t="str">
        <f>"3250614645679"</f>
        <v>3250614645679</v>
      </c>
      <c r="J1773" t="s">
        <v>5101</v>
      </c>
    </row>
    <row r="1774" spans="1:10" x14ac:dyDescent="0.25">
      <c r="A1774" t="s">
        <v>8</v>
      </c>
      <c r="B1774" t="s">
        <v>5102</v>
      </c>
      <c r="C1774" t="s">
        <v>5103</v>
      </c>
      <c r="D1774">
        <v>1</v>
      </c>
      <c r="E1774" t="s">
        <v>4994</v>
      </c>
      <c r="F1774" t="s">
        <v>4995</v>
      </c>
      <c r="G1774" s="1"/>
      <c r="H1774" t="str">
        <f>"3250614645792"</f>
        <v>3250614645792</v>
      </c>
      <c r="J1774" t="s">
        <v>5104</v>
      </c>
    </row>
    <row r="1775" spans="1:10" x14ac:dyDescent="0.25">
      <c r="A1775" t="s">
        <v>8</v>
      </c>
      <c r="B1775" t="s">
        <v>5105</v>
      </c>
      <c r="C1775" t="s">
        <v>5106</v>
      </c>
      <c r="D1775">
        <v>1</v>
      </c>
      <c r="E1775" t="s">
        <v>4994</v>
      </c>
      <c r="F1775" t="s">
        <v>4995</v>
      </c>
      <c r="G1775" s="1"/>
      <c r="H1775" t="str">
        <f>"3250614645037"</f>
        <v>3250614645037</v>
      </c>
      <c r="J1775" t="s">
        <v>5107</v>
      </c>
    </row>
    <row r="1776" spans="1:10" x14ac:dyDescent="0.25">
      <c r="A1776" t="s">
        <v>8</v>
      </c>
      <c r="B1776" t="s">
        <v>5108</v>
      </c>
      <c r="C1776" t="s">
        <v>5109</v>
      </c>
      <c r="D1776">
        <v>1</v>
      </c>
      <c r="E1776" t="s">
        <v>4994</v>
      </c>
      <c r="F1776" t="s">
        <v>4995</v>
      </c>
      <c r="G1776" s="1"/>
      <c r="H1776" t="str">
        <f>"3250614645280"</f>
        <v>3250614645280</v>
      </c>
      <c r="J1776" t="s">
        <v>5110</v>
      </c>
    </row>
    <row r="1777" spans="1:10" x14ac:dyDescent="0.25">
      <c r="A1777" t="s">
        <v>8</v>
      </c>
      <c r="B1777" t="s">
        <v>5111</v>
      </c>
      <c r="C1777" t="s">
        <v>5112</v>
      </c>
      <c r="D1777">
        <v>1</v>
      </c>
      <c r="E1777" t="s">
        <v>4994</v>
      </c>
      <c r="F1777" t="s">
        <v>4995</v>
      </c>
      <c r="G1777" s="1"/>
      <c r="H1777" t="str">
        <f>"3250614645341"</f>
        <v>3250614645341</v>
      </c>
      <c r="I1777" s="1"/>
      <c r="J1777" t="s">
        <v>5113</v>
      </c>
    </row>
    <row r="1778" spans="1:10" x14ac:dyDescent="0.25">
      <c r="A1778" t="s">
        <v>8</v>
      </c>
      <c r="B1778" t="s">
        <v>5114</v>
      </c>
      <c r="C1778" t="s">
        <v>5115</v>
      </c>
      <c r="D1778">
        <v>1</v>
      </c>
      <c r="E1778" t="s">
        <v>4994</v>
      </c>
      <c r="F1778" t="s">
        <v>4995</v>
      </c>
      <c r="G1778" s="1"/>
      <c r="H1778" t="str">
        <f>"3250614646348"</f>
        <v>3250614646348</v>
      </c>
      <c r="I1778" s="1"/>
      <c r="J1778" t="s">
        <v>5116</v>
      </c>
    </row>
    <row r="1779" spans="1:10" x14ac:dyDescent="0.25">
      <c r="A1779" t="s">
        <v>8</v>
      </c>
      <c r="B1779" t="s">
        <v>5117</v>
      </c>
      <c r="C1779" t="s">
        <v>5118</v>
      </c>
      <c r="D1779">
        <v>1</v>
      </c>
      <c r="E1779" t="s">
        <v>4994</v>
      </c>
      <c r="F1779" t="s">
        <v>4995</v>
      </c>
      <c r="G1779" s="1"/>
      <c r="H1779" t="str">
        <f>"3250613230180"</f>
        <v>3250613230180</v>
      </c>
      <c r="J1779" t="s">
        <v>5119</v>
      </c>
    </row>
    <row r="1780" spans="1:10" x14ac:dyDescent="0.25">
      <c r="A1780" t="s">
        <v>8</v>
      </c>
      <c r="B1780" t="s">
        <v>5120</v>
      </c>
      <c r="C1780" t="s">
        <v>5121</v>
      </c>
      <c r="D1780">
        <v>1</v>
      </c>
      <c r="E1780" t="s">
        <v>4994</v>
      </c>
      <c r="F1780" t="s">
        <v>4995</v>
      </c>
      <c r="G1780" s="1"/>
      <c r="H1780" t="str">
        <f>"3250613230234"</f>
        <v>3250613230234</v>
      </c>
      <c r="J1780" t="s">
        <v>5122</v>
      </c>
    </row>
    <row r="1781" spans="1:10" x14ac:dyDescent="0.25">
      <c r="A1781" t="s">
        <v>8</v>
      </c>
      <c r="B1781" t="s">
        <v>5123</v>
      </c>
      <c r="C1781" t="s">
        <v>5124</v>
      </c>
      <c r="D1781">
        <v>1</v>
      </c>
      <c r="E1781" t="s">
        <v>4994</v>
      </c>
      <c r="F1781" t="s">
        <v>4995</v>
      </c>
      <c r="G1781" s="1"/>
      <c r="H1781" t="str">
        <f>"3250613231897"</f>
        <v>3250613231897</v>
      </c>
      <c r="J1781" t="s">
        <v>5125</v>
      </c>
    </row>
    <row r="1782" spans="1:10" x14ac:dyDescent="0.25">
      <c r="A1782" t="s">
        <v>8</v>
      </c>
      <c r="B1782" t="s">
        <v>5126</v>
      </c>
      <c r="C1782" t="s">
        <v>5127</v>
      </c>
      <c r="D1782">
        <v>1</v>
      </c>
      <c r="E1782" t="s">
        <v>4994</v>
      </c>
      <c r="F1782" t="s">
        <v>4995</v>
      </c>
      <c r="G1782" s="1"/>
      <c r="H1782" t="str">
        <f>"3250613232023"</f>
        <v>3250613232023</v>
      </c>
      <c r="J1782" t="s">
        <v>5128</v>
      </c>
    </row>
    <row r="1783" spans="1:10" x14ac:dyDescent="0.25">
      <c r="A1783" t="s">
        <v>8</v>
      </c>
      <c r="B1783" t="s">
        <v>5129</v>
      </c>
      <c r="C1783" t="s">
        <v>5130</v>
      </c>
      <c r="D1783">
        <v>1</v>
      </c>
      <c r="E1783" t="s">
        <v>4994</v>
      </c>
      <c r="F1783" t="s">
        <v>4995</v>
      </c>
      <c r="G1783" s="1"/>
      <c r="H1783" t="str">
        <f>"3250614628115"</f>
        <v>3250614628115</v>
      </c>
      <c r="J1783" t="s">
        <v>5131</v>
      </c>
    </row>
    <row r="1784" spans="1:10" x14ac:dyDescent="0.25">
      <c r="A1784" t="s">
        <v>8</v>
      </c>
      <c r="B1784" t="s">
        <v>5132</v>
      </c>
      <c r="C1784" t="s">
        <v>5133</v>
      </c>
      <c r="D1784">
        <v>1</v>
      </c>
      <c r="E1784" t="s">
        <v>4994</v>
      </c>
      <c r="F1784" t="s">
        <v>4995</v>
      </c>
      <c r="G1784" s="1"/>
      <c r="H1784" t="str">
        <f>"3250614628184"</f>
        <v>3250614628184</v>
      </c>
      <c r="J1784" t="s">
        <v>3320</v>
      </c>
    </row>
    <row r="1785" spans="1:10" x14ac:dyDescent="0.25">
      <c r="A1785" t="s">
        <v>8</v>
      </c>
      <c r="B1785" t="s">
        <v>5134</v>
      </c>
      <c r="C1785" t="s">
        <v>5135</v>
      </c>
      <c r="D1785">
        <v>1</v>
      </c>
      <c r="E1785" t="s">
        <v>4994</v>
      </c>
      <c r="F1785" t="s">
        <v>4995</v>
      </c>
      <c r="G1785" s="1"/>
      <c r="H1785" t="str">
        <f>"3250614628429"</f>
        <v>3250614628429</v>
      </c>
      <c r="J1785" t="s">
        <v>5136</v>
      </c>
    </row>
    <row r="1786" spans="1:10" x14ac:dyDescent="0.25">
      <c r="A1786" t="s">
        <v>8</v>
      </c>
      <c r="B1786" t="s">
        <v>5137</v>
      </c>
      <c r="C1786" t="s">
        <v>5138</v>
      </c>
      <c r="D1786">
        <v>1</v>
      </c>
      <c r="E1786" t="s">
        <v>4994</v>
      </c>
      <c r="F1786" t="s">
        <v>4995</v>
      </c>
      <c r="G1786" s="1"/>
      <c r="H1786" t="str">
        <f>"3250614645662"</f>
        <v>3250614645662</v>
      </c>
      <c r="J1786" t="s">
        <v>5139</v>
      </c>
    </row>
    <row r="1787" spans="1:10" x14ac:dyDescent="0.25">
      <c r="A1787" t="s">
        <v>8</v>
      </c>
      <c r="B1787" t="s">
        <v>5140</v>
      </c>
      <c r="C1787" t="s">
        <v>5141</v>
      </c>
      <c r="D1787">
        <v>1</v>
      </c>
      <c r="E1787" t="s">
        <v>4994</v>
      </c>
      <c r="F1787" t="s">
        <v>4995</v>
      </c>
      <c r="G1787" s="1"/>
      <c r="H1787" t="str">
        <f>"3250614645921"</f>
        <v>3250614645921</v>
      </c>
      <c r="J1787" t="s">
        <v>5142</v>
      </c>
    </row>
    <row r="1788" spans="1:10" x14ac:dyDescent="0.25">
      <c r="A1788" t="s">
        <v>8</v>
      </c>
      <c r="B1788" t="s">
        <v>5143</v>
      </c>
      <c r="C1788" t="s">
        <v>5144</v>
      </c>
      <c r="D1788">
        <v>1</v>
      </c>
      <c r="E1788" t="s">
        <v>4994</v>
      </c>
      <c r="F1788" t="s">
        <v>4995</v>
      </c>
      <c r="G1788" s="1"/>
      <c r="H1788" t="str">
        <f>"3250614645976"</f>
        <v>3250614645976</v>
      </c>
      <c r="J1788" t="s">
        <v>5145</v>
      </c>
    </row>
    <row r="1789" spans="1:10" x14ac:dyDescent="0.25">
      <c r="A1789" t="s">
        <v>8</v>
      </c>
      <c r="B1789" t="s">
        <v>5146</v>
      </c>
      <c r="C1789" t="s">
        <v>5147</v>
      </c>
      <c r="D1789">
        <v>1</v>
      </c>
      <c r="E1789" t="s">
        <v>4994</v>
      </c>
      <c r="F1789" t="s">
        <v>4995</v>
      </c>
      <c r="G1789" s="1"/>
      <c r="H1789" t="str">
        <f>"3250614645020"</f>
        <v>3250614645020</v>
      </c>
      <c r="J1789" t="s">
        <v>5148</v>
      </c>
    </row>
    <row r="1790" spans="1:10" x14ac:dyDescent="0.25">
      <c r="A1790" t="s">
        <v>8</v>
      </c>
      <c r="B1790" t="s">
        <v>5149</v>
      </c>
      <c r="C1790" t="s">
        <v>5150</v>
      </c>
      <c r="D1790">
        <v>1</v>
      </c>
      <c r="E1790" t="s">
        <v>4994</v>
      </c>
      <c r="F1790" t="s">
        <v>4995</v>
      </c>
      <c r="G1790" s="1"/>
      <c r="H1790" t="str">
        <f>"3250614645228"</f>
        <v>3250614645228</v>
      </c>
      <c r="J1790" t="s">
        <v>5151</v>
      </c>
    </row>
    <row r="1791" spans="1:10" x14ac:dyDescent="0.25">
      <c r="A1791" t="s">
        <v>8</v>
      </c>
      <c r="B1791" t="s">
        <v>5152</v>
      </c>
      <c r="C1791" t="s">
        <v>5153</v>
      </c>
      <c r="D1791">
        <v>1</v>
      </c>
      <c r="E1791" t="s">
        <v>4994</v>
      </c>
      <c r="F1791" t="s">
        <v>4995</v>
      </c>
      <c r="G1791" s="1"/>
      <c r="H1791" t="str">
        <f>"3250614646225"</f>
        <v>3250614646225</v>
      </c>
      <c r="J1791" t="s">
        <v>5154</v>
      </c>
    </row>
    <row r="1792" spans="1:10" x14ac:dyDescent="0.25">
      <c r="A1792" t="s">
        <v>8</v>
      </c>
      <c r="B1792" t="s">
        <v>5155</v>
      </c>
      <c r="C1792" t="s">
        <v>5156</v>
      </c>
      <c r="D1792">
        <v>1</v>
      </c>
      <c r="E1792" t="s">
        <v>4994</v>
      </c>
      <c r="F1792" t="s">
        <v>4995</v>
      </c>
      <c r="G1792" s="1"/>
      <c r="H1792" t="str">
        <f>"3250614646331"</f>
        <v>3250614646331</v>
      </c>
      <c r="J1792" t="s">
        <v>5157</v>
      </c>
    </row>
    <row r="1793" spans="1:10" x14ac:dyDescent="0.25">
      <c r="A1793" t="s">
        <v>8</v>
      </c>
      <c r="B1793" t="s">
        <v>5158</v>
      </c>
      <c r="C1793" t="s">
        <v>5159</v>
      </c>
      <c r="D1793">
        <v>1</v>
      </c>
      <c r="E1793" t="s">
        <v>4994</v>
      </c>
      <c r="F1793" t="s">
        <v>4995</v>
      </c>
      <c r="G1793" s="1"/>
      <c r="H1793" t="str">
        <f>"3250614646546"</f>
        <v>3250614646546</v>
      </c>
      <c r="J1793" t="s">
        <v>5160</v>
      </c>
    </row>
    <row r="1794" spans="1:10" x14ac:dyDescent="0.25">
      <c r="A1794" t="s">
        <v>8</v>
      </c>
      <c r="B1794" t="s">
        <v>5161</v>
      </c>
      <c r="C1794" t="s">
        <v>5162</v>
      </c>
      <c r="D1794">
        <v>1</v>
      </c>
      <c r="E1794" t="s">
        <v>4994</v>
      </c>
      <c r="F1794" t="s">
        <v>4995</v>
      </c>
      <c r="G1794" s="1"/>
      <c r="H1794" t="str">
        <f>"3250613230173"</f>
        <v>3250613230173</v>
      </c>
      <c r="J1794" t="s">
        <v>5163</v>
      </c>
    </row>
    <row r="1795" spans="1:10" x14ac:dyDescent="0.25">
      <c r="A1795" t="s">
        <v>8</v>
      </c>
      <c r="B1795" t="s">
        <v>5164</v>
      </c>
      <c r="C1795" t="s">
        <v>5165</v>
      </c>
      <c r="D1795">
        <v>1</v>
      </c>
      <c r="E1795" t="s">
        <v>4994</v>
      </c>
      <c r="F1795" t="s">
        <v>4995</v>
      </c>
      <c r="G1795" s="1"/>
      <c r="H1795" t="str">
        <f>"3250613231965"</f>
        <v>3250613231965</v>
      </c>
      <c r="J1795" t="s">
        <v>5166</v>
      </c>
    </row>
    <row r="1796" spans="1:10" x14ac:dyDescent="0.25">
      <c r="A1796" t="s">
        <v>8</v>
      </c>
      <c r="B1796" t="s">
        <v>5167</v>
      </c>
      <c r="C1796" t="s">
        <v>5168</v>
      </c>
      <c r="D1796">
        <v>1</v>
      </c>
      <c r="E1796" t="s">
        <v>4994</v>
      </c>
      <c r="F1796" t="s">
        <v>4995</v>
      </c>
      <c r="G1796" s="1"/>
      <c r="H1796" t="str">
        <f>"3250613232016"</f>
        <v>3250613232016</v>
      </c>
      <c r="J1796" t="s">
        <v>5169</v>
      </c>
    </row>
    <row r="1797" spans="1:10" x14ac:dyDescent="0.25">
      <c r="A1797" t="s">
        <v>8</v>
      </c>
      <c r="B1797" t="s">
        <v>5170</v>
      </c>
      <c r="C1797" t="s">
        <v>5171</v>
      </c>
      <c r="D1797">
        <v>1</v>
      </c>
      <c r="E1797" t="s">
        <v>4994</v>
      </c>
      <c r="F1797" t="s">
        <v>4995</v>
      </c>
      <c r="G1797" s="1"/>
      <c r="H1797" t="str">
        <f>"3250614628313"</f>
        <v>3250614628313</v>
      </c>
      <c r="J1797" t="s">
        <v>5172</v>
      </c>
    </row>
    <row r="1798" spans="1:10" x14ac:dyDescent="0.25">
      <c r="A1798" t="s">
        <v>8</v>
      </c>
      <c r="B1798" t="s">
        <v>5173</v>
      </c>
      <c r="C1798" t="s">
        <v>5174</v>
      </c>
      <c r="D1798">
        <v>1</v>
      </c>
      <c r="E1798" t="s">
        <v>4994</v>
      </c>
      <c r="F1798" t="s">
        <v>4995</v>
      </c>
      <c r="G1798" s="1"/>
      <c r="H1798" t="str">
        <f>"3250614628412"</f>
        <v>3250614628412</v>
      </c>
      <c r="J1798" t="s">
        <v>5175</v>
      </c>
    </row>
    <row r="1799" spans="1:10" x14ac:dyDescent="0.25">
      <c r="A1799" t="s">
        <v>8</v>
      </c>
      <c r="B1799" t="s">
        <v>5176</v>
      </c>
      <c r="C1799" t="s">
        <v>5177</v>
      </c>
      <c r="D1799">
        <v>1</v>
      </c>
      <c r="E1799" t="s">
        <v>4994</v>
      </c>
      <c r="F1799" t="s">
        <v>4995</v>
      </c>
      <c r="G1799" s="1"/>
      <c r="H1799" t="str">
        <f>"3250614645594"</f>
        <v>3250614645594</v>
      </c>
      <c r="J1799" t="s">
        <v>5178</v>
      </c>
    </row>
    <row r="1800" spans="1:10" x14ac:dyDescent="0.25">
      <c r="A1800" t="s">
        <v>8</v>
      </c>
      <c r="B1800" t="s">
        <v>5179</v>
      </c>
      <c r="C1800" t="s">
        <v>5180</v>
      </c>
      <c r="D1800">
        <v>1</v>
      </c>
      <c r="E1800" t="s">
        <v>4994</v>
      </c>
      <c r="F1800" t="s">
        <v>4995</v>
      </c>
      <c r="G1800" s="1"/>
      <c r="H1800" t="str">
        <f>"3250614645655"</f>
        <v>3250614645655</v>
      </c>
      <c r="J1800" t="s">
        <v>5181</v>
      </c>
    </row>
    <row r="1801" spans="1:10" x14ac:dyDescent="0.25">
      <c r="A1801" t="s">
        <v>8</v>
      </c>
      <c r="B1801" t="s">
        <v>5182</v>
      </c>
      <c r="C1801" t="s">
        <v>5183</v>
      </c>
      <c r="D1801">
        <v>1</v>
      </c>
      <c r="E1801" t="s">
        <v>4994</v>
      </c>
      <c r="F1801" t="s">
        <v>4995</v>
      </c>
      <c r="G1801" s="1"/>
      <c r="H1801" t="str">
        <f>"3250614645914"</f>
        <v>3250614645914</v>
      </c>
      <c r="J1801" t="s">
        <v>5184</v>
      </c>
    </row>
    <row r="1802" spans="1:10" x14ac:dyDescent="0.25">
      <c r="A1802" t="s">
        <v>8</v>
      </c>
      <c r="B1802" t="s">
        <v>5185</v>
      </c>
      <c r="C1802" t="s">
        <v>5186</v>
      </c>
      <c r="D1802">
        <v>1</v>
      </c>
      <c r="E1802" t="s">
        <v>4994</v>
      </c>
      <c r="F1802" t="s">
        <v>4995</v>
      </c>
      <c r="G1802" s="1"/>
      <c r="H1802" t="str">
        <f>"3250614645143"</f>
        <v>3250614645143</v>
      </c>
      <c r="J1802" t="s">
        <v>5187</v>
      </c>
    </row>
    <row r="1803" spans="1:10" x14ac:dyDescent="0.25">
      <c r="A1803" t="s">
        <v>8</v>
      </c>
      <c r="B1803" t="s">
        <v>5188</v>
      </c>
      <c r="C1803" t="s">
        <v>5189</v>
      </c>
      <c r="D1803">
        <v>1</v>
      </c>
      <c r="E1803" t="s">
        <v>4994</v>
      </c>
      <c r="F1803" t="s">
        <v>4995</v>
      </c>
      <c r="G1803" s="1"/>
      <c r="H1803" t="str">
        <f>"3250614645211"</f>
        <v>3250614645211</v>
      </c>
      <c r="J1803" t="s">
        <v>5190</v>
      </c>
    </row>
    <row r="1804" spans="1:10" x14ac:dyDescent="0.25">
      <c r="A1804" t="s">
        <v>8</v>
      </c>
      <c r="B1804" t="s">
        <v>5191</v>
      </c>
      <c r="C1804" t="s">
        <v>5192</v>
      </c>
      <c r="D1804">
        <v>1</v>
      </c>
      <c r="E1804" t="s">
        <v>4994</v>
      </c>
      <c r="F1804" t="s">
        <v>4995</v>
      </c>
      <c r="G1804" s="1"/>
      <c r="H1804" t="str">
        <f>"3250614646218"</f>
        <v>3250614646218</v>
      </c>
      <c r="J1804" t="s">
        <v>5154</v>
      </c>
    </row>
    <row r="1805" spans="1:10" x14ac:dyDescent="0.25">
      <c r="A1805" t="s">
        <v>8</v>
      </c>
      <c r="B1805" t="s">
        <v>5193</v>
      </c>
      <c r="C1805" t="s">
        <v>5194</v>
      </c>
      <c r="D1805">
        <v>1</v>
      </c>
      <c r="E1805" t="s">
        <v>4994</v>
      </c>
      <c r="F1805" t="s">
        <v>4995</v>
      </c>
      <c r="G1805" s="1"/>
      <c r="H1805" t="str">
        <f>"3250614646270"</f>
        <v>3250614646270</v>
      </c>
      <c r="J1805" t="s">
        <v>5195</v>
      </c>
    </row>
    <row r="1806" spans="1:10" x14ac:dyDescent="0.25">
      <c r="A1806" t="s">
        <v>8</v>
      </c>
      <c r="B1806" t="s">
        <v>5196</v>
      </c>
      <c r="C1806" t="s">
        <v>5197</v>
      </c>
      <c r="D1806">
        <v>1</v>
      </c>
      <c r="E1806" t="s">
        <v>4994</v>
      </c>
      <c r="F1806" t="s">
        <v>4995</v>
      </c>
      <c r="G1806" s="1"/>
      <c r="H1806" t="str">
        <f>"3250614646539"</f>
        <v>3250614646539</v>
      </c>
      <c r="J1806" t="s">
        <v>5198</v>
      </c>
    </row>
    <row r="1807" spans="1:10" x14ac:dyDescent="0.25">
      <c r="A1807" t="s">
        <v>8</v>
      </c>
      <c r="B1807" t="s">
        <v>5199</v>
      </c>
      <c r="C1807" t="s">
        <v>5200</v>
      </c>
      <c r="D1807">
        <v>1</v>
      </c>
      <c r="E1807" t="s">
        <v>4994</v>
      </c>
      <c r="F1807" t="s">
        <v>4995</v>
      </c>
      <c r="G1807" s="1"/>
      <c r="H1807" t="str">
        <f>"3250613230074"</f>
        <v>3250613230074</v>
      </c>
      <c r="J1807" t="s">
        <v>5201</v>
      </c>
    </row>
    <row r="1808" spans="1:10" x14ac:dyDescent="0.25">
      <c r="A1808" t="s">
        <v>8</v>
      </c>
      <c r="B1808" t="s">
        <v>5202</v>
      </c>
      <c r="C1808" t="s">
        <v>5203</v>
      </c>
      <c r="D1808">
        <v>1</v>
      </c>
      <c r="E1808" t="s">
        <v>4994</v>
      </c>
      <c r="F1808" t="s">
        <v>4995</v>
      </c>
      <c r="G1808" s="1"/>
      <c r="H1808" t="str">
        <f>"3250613230166"</f>
        <v>3250613230166</v>
      </c>
      <c r="J1808" t="s">
        <v>5204</v>
      </c>
    </row>
    <row r="1809" spans="1:10" x14ac:dyDescent="0.25">
      <c r="A1809" t="s">
        <v>8</v>
      </c>
      <c r="B1809" t="s">
        <v>5205</v>
      </c>
      <c r="C1809" t="s">
        <v>5206</v>
      </c>
      <c r="D1809">
        <v>1</v>
      </c>
      <c r="E1809" t="s">
        <v>4994</v>
      </c>
      <c r="F1809" t="s">
        <v>4995</v>
      </c>
      <c r="G1809" s="1"/>
      <c r="H1809" t="str">
        <f>"3250613230333"</f>
        <v>3250613230333</v>
      </c>
      <c r="J1809" t="s">
        <v>5207</v>
      </c>
    </row>
    <row r="1810" spans="1:10" x14ac:dyDescent="0.25">
      <c r="A1810" t="s">
        <v>8</v>
      </c>
      <c r="B1810" t="s">
        <v>5208</v>
      </c>
      <c r="C1810" t="s">
        <v>5209</v>
      </c>
      <c r="D1810">
        <v>1</v>
      </c>
      <c r="E1810" t="s">
        <v>4994</v>
      </c>
      <c r="F1810" t="s">
        <v>4995</v>
      </c>
      <c r="G1810" s="1"/>
      <c r="H1810" t="str">
        <f>"3250614628306"</f>
        <v>3250614628306</v>
      </c>
      <c r="J1810" t="s">
        <v>5210</v>
      </c>
    </row>
    <row r="1811" spans="1:10" x14ac:dyDescent="0.25">
      <c r="A1811" t="s">
        <v>8</v>
      </c>
      <c r="B1811" t="s">
        <v>5211</v>
      </c>
      <c r="C1811" t="s">
        <v>5212</v>
      </c>
      <c r="D1811">
        <v>1</v>
      </c>
      <c r="E1811" t="s">
        <v>4994</v>
      </c>
      <c r="F1811" t="s">
        <v>4995</v>
      </c>
      <c r="G1811" s="1"/>
      <c r="H1811" t="str">
        <f>"3250614645587"</f>
        <v>3250614645587</v>
      </c>
      <c r="J1811" t="s">
        <v>5213</v>
      </c>
    </row>
    <row r="1812" spans="1:10" x14ac:dyDescent="0.25">
      <c r="A1812" t="s">
        <v>8</v>
      </c>
      <c r="B1812" t="s">
        <v>5214</v>
      </c>
      <c r="C1812" t="s">
        <v>5215</v>
      </c>
      <c r="D1812">
        <v>1</v>
      </c>
      <c r="E1812" t="s">
        <v>4994</v>
      </c>
      <c r="F1812" t="s">
        <v>4995</v>
      </c>
      <c r="G1812" s="1"/>
      <c r="H1812" t="str">
        <f>"3250614645785"</f>
        <v>3250614645785</v>
      </c>
      <c r="J1812" t="s">
        <v>5216</v>
      </c>
    </row>
    <row r="1813" spans="1:10" x14ac:dyDescent="0.25">
      <c r="A1813" t="s">
        <v>8</v>
      </c>
      <c r="B1813" t="s">
        <v>5217</v>
      </c>
      <c r="C1813" t="s">
        <v>5218</v>
      </c>
      <c r="D1813">
        <v>1</v>
      </c>
      <c r="E1813" t="s">
        <v>4994</v>
      </c>
      <c r="F1813" t="s">
        <v>4995</v>
      </c>
      <c r="G1813" s="1"/>
      <c r="H1813" t="str">
        <f>"3250614645891"</f>
        <v>3250614645891</v>
      </c>
      <c r="J1813" t="s">
        <v>5219</v>
      </c>
    </row>
    <row r="1814" spans="1:10" x14ac:dyDescent="0.25">
      <c r="A1814" t="s">
        <v>8</v>
      </c>
      <c r="B1814" t="s">
        <v>5220</v>
      </c>
      <c r="C1814" t="s">
        <v>5221</v>
      </c>
      <c r="D1814">
        <v>1</v>
      </c>
      <c r="E1814" t="s">
        <v>4994</v>
      </c>
      <c r="F1814" t="s">
        <v>4995</v>
      </c>
      <c r="G1814" s="1"/>
      <c r="H1814" t="str">
        <f>"3250614645136"</f>
        <v>3250614645136</v>
      </c>
      <c r="J1814" t="s">
        <v>5222</v>
      </c>
    </row>
    <row r="1815" spans="1:10" x14ac:dyDescent="0.25">
      <c r="A1815" t="s">
        <v>8</v>
      </c>
      <c r="B1815" t="s">
        <v>5223</v>
      </c>
      <c r="C1815" t="s">
        <v>5224</v>
      </c>
      <c r="D1815">
        <v>1</v>
      </c>
      <c r="E1815" t="s">
        <v>4994</v>
      </c>
      <c r="F1815" t="s">
        <v>4995</v>
      </c>
      <c r="G1815" s="1"/>
      <c r="H1815" t="str">
        <f>"3250614645204"</f>
        <v>3250614645204</v>
      </c>
      <c r="J1815" t="s">
        <v>5225</v>
      </c>
    </row>
    <row r="1816" spans="1:10" x14ac:dyDescent="0.25">
      <c r="A1816" t="s">
        <v>8</v>
      </c>
      <c r="B1816" t="s">
        <v>5226</v>
      </c>
      <c r="C1816" t="s">
        <v>5227</v>
      </c>
      <c r="D1816">
        <v>1</v>
      </c>
      <c r="E1816" t="s">
        <v>4994</v>
      </c>
      <c r="F1816" t="s">
        <v>4995</v>
      </c>
      <c r="G1816" s="1"/>
      <c r="H1816" t="str">
        <f>"3250614646195"</f>
        <v>3250614646195</v>
      </c>
      <c r="J1816" t="s">
        <v>5228</v>
      </c>
    </row>
    <row r="1817" spans="1:10" x14ac:dyDescent="0.25">
      <c r="A1817" t="s">
        <v>8</v>
      </c>
      <c r="B1817" t="s">
        <v>5229</v>
      </c>
      <c r="C1817" t="s">
        <v>5230</v>
      </c>
      <c r="D1817">
        <v>1</v>
      </c>
      <c r="E1817" t="s">
        <v>4994</v>
      </c>
      <c r="F1817" t="s">
        <v>4995</v>
      </c>
      <c r="G1817" s="1"/>
      <c r="H1817" t="str">
        <f>"3250614646409"</f>
        <v>3250614646409</v>
      </c>
      <c r="J1817" t="s">
        <v>5231</v>
      </c>
    </row>
    <row r="1818" spans="1:10" x14ac:dyDescent="0.25">
      <c r="A1818" t="s">
        <v>8</v>
      </c>
      <c r="B1818" t="s">
        <v>5232</v>
      </c>
      <c r="C1818" t="s">
        <v>5233</v>
      </c>
      <c r="D1818">
        <v>1</v>
      </c>
      <c r="E1818" t="s">
        <v>4994</v>
      </c>
      <c r="F1818" t="s">
        <v>4995</v>
      </c>
      <c r="G1818" s="1"/>
      <c r="H1818" t="str">
        <f>"3250614646522"</f>
        <v>3250614646522</v>
      </c>
      <c r="J1818" t="s">
        <v>5234</v>
      </c>
    </row>
    <row r="1819" spans="1:10" x14ac:dyDescent="0.25">
      <c r="A1819" t="s">
        <v>8</v>
      </c>
      <c r="B1819" t="s">
        <v>5235</v>
      </c>
      <c r="C1819" t="s">
        <v>5236</v>
      </c>
      <c r="D1819">
        <v>1</v>
      </c>
      <c r="E1819" t="s">
        <v>4994</v>
      </c>
      <c r="F1819" t="s">
        <v>4995</v>
      </c>
      <c r="G1819" s="1"/>
      <c r="H1819" t="str">
        <f>"3250613230067"</f>
        <v>3250613230067</v>
      </c>
      <c r="J1819" t="s">
        <v>5237</v>
      </c>
    </row>
    <row r="1820" spans="1:10" x14ac:dyDescent="0.25">
      <c r="A1820" t="s">
        <v>8</v>
      </c>
      <c r="B1820" t="s">
        <v>5238</v>
      </c>
      <c r="C1820" t="s">
        <v>5239</v>
      </c>
      <c r="D1820">
        <v>1</v>
      </c>
      <c r="E1820" t="s">
        <v>4994</v>
      </c>
      <c r="F1820" t="s">
        <v>4995</v>
      </c>
      <c r="G1820" s="1"/>
      <c r="H1820" t="str">
        <f>"3250613230128"</f>
        <v>3250613230128</v>
      </c>
      <c r="J1820" t="s">
        <v>5240</v>
      </c>
    </row>
    <row r="1821" spans="1:10" x14ac:dyDescent="0.25">
      <c r="A1821" t="s">
        <v>8</v>
      </c>
      <c r="B1821" t="s">
        <v>5241</v>
      </c>
      <c r="C1821" t="s">
        <v>5242</v>
      </c>
      <c r="D1821">
        <v>1</v>
      </c>
      <c r="E1821" t="s">
        <v>4994</v>
      </c>
      <c r="F1821" t="s">
        <v>4995</v>
      </c>
      <c r="G1821" s="1"/>
      <c r="H1821" t="str">
        <f>"3250613230326"</f>
        <v>3250613230326</v>
      </c>
      <c r="J1821" t="s">
        <v>5243</v>
      </c>
    </row>
    <row r="1822" spans="1:10" x14ac:dyDescent="0.25">
      <c r="A1822" t="s">
        <v>8</v>
      </c>
      <c r="B1822" t="s">
        <v>5244</v>
      </c>
      <c r="C1822" t="s">
        <v>5245</v>
      </c>
      <c r="D1822">
        <v>1</v>
      </c>
      <c r="E1822" t="s">
        <v>4994</v>
      </c>
      <c r="F1822" t="s">
        <v>4995</v>
      </c>
      <c r="G1822" s="1"/>
      <c r="H1822" t="str">
        <f>"3250613231941"</f>
        <v>3250613231941</v>
      </c>
      <c r="J1822" t="s">
        <v>5246</v>
      </c>
    </row>
    <row r="1823" spans="1:10" x14ac:dyDescent="0.25">
      <c r="A1823" t="s">
        <v>8</v>
      </c>
      <c r="B1823" t="s">
        <v>5247</v>
      </c>
      <c r="C1823" t="s">
        <v>5248</v>
      </c>
      <c r="D1823">
        <v>1</v>
      </c>
      <c r="E1823" t="s">
        <v>4994</v>
      </c>
      <c r="F1823" t="s">
        <v>4995</v>
      </c>
      <c r="G1823" s="1"/>
      <c r="H1823" t="str">
        <f>"3250614628177"</f>
        <v>3250614628177</v>
      </c>
      <c r="J1823" t="s">
        <v>5249</v>
      </c>
    </row>
    <row r="1824" spans="1:10" x14ac:dyDescent="0.25">
      <c r="A1824" t="s">
        <v>8</v>
      </c>
      <c r="B1824" t="s">
        <v>5250</v>
      </c>
      <c r="C1824" t="s">
        <v>5251</v>
      </c>
      <c r="D1824">
        <v>1</v>
      </c>
      <c r="E1824" t="s">
        <v>4994</v>
      </c>
      <c r="F1824" t="s">
        <v>4995</v>
      </c>
      <c r="G1824" s="1"/>
      <c r="H1824" t="str">
        <f>"3250614628290"</f>
        <v>3250614628290</v>
      </c>
      <c r="J1824" t="s">
        <v>5252</v>
      </c>
    </row>
    <row r="1825" spans="1:10" x14ac:dyDescent="0.25">
      <c r="A1825" t="s">
        <v>8</v>
      </c>
      <c r="B1825" t="s">
        <v>5253</v>
      </c>
      <c r="C1825" t="s">
        <v>5254</v>
      </c>
      <c r="D1825">
        <v>1</v>
      </c>
      <c r="E1825" t="s">
        <v>4994</v>
      </c>
      <c r="F1825" t="s">
        <v>4995</v>
      </c>
      <c r="G1825" s="1"/>
      <c r="H1825" t="str">
        <f>"3250614628498"</f>
        <v>3250614628498</v>
      </c>
      <c r="J1825" t="s">
        <v>5255</v>
      </c>
    </row>
    <row r="1826" spans="1:10" x14ac:dyDescent="0.25">
      <c r="A1826" t="s">
        <v>8</v>
      </c>
      <c r="B1826" t="s">
        <v>5256</v>
      </c>
      <c r="C1826" t="s">
        <v>5257</v>
      </c>
      <c r="D1826">
        <v>1</v>
      </c>
      <c r="E1826" t="s">
        <v>4994</v>
      </c>
      <c r="F1826" t="s">
        <v>4995</v>
      </c>
      <c r="G1826" s="1"/>
      <c r="H1826" t="str">
        <f>"3250614645778"</f>
        <v>3250614645778</v>
      </c>
      <c r="J1826" t="s">
        <v>5258</v>
      </c>
    </row>
    <row r="1827" spans="1:10" x14ac:dyDescent="0.25">
      <c r="A1827" t="s">
        <v>8</v>
      </c>
      <c r="B1827" t="s">
        <v>5259</v>
      </c>
      <c r="C1827" t="s">
        <v>5260</v>
      </c>
      <c r="D1827">
        <v>1</v>
      </c>
      <c r="E1827" t="s">
        <v>4994</v>
      </c>
      <c r="F1827" t="s">
        <v>4995</v>
      </c>
      <c r="G1827" s="1"/>
      <c r="H1827" t="str">
        <f>"3250614645884"</f>
        <v>3250614645884</v>
      </c>
      <c r="J1827" t="s">
        <v>5261</v>
      </c>
    </row>
    <row r="1828" spans="1:10" x14ac:dyDescent="0.25">
      <c r="A1828" t="s">
        <v>8</v>
      </c>
      <c r="B1828" t="s">
        <v>5262</v>
      </c>
      <c r="C1828" t="s">
        <v>5263</v>
      </c>
      <c r="D1828">
        <v>1</v>
      </c>
      <c r="E1828" t="s">
        <v>4994</v>
      </c>
      <c r="F1828" t="s">
        <v>4995</v>
      </c>
      <c r="G1828" s="1"/>
      <c r="H1828" t="str">
        <f>"3250614645075"</f>
        <v>3250614645075</v>
      </c>
      <c r="J1828" t="s">
        <v>5264</v>
      </c>
    </row>
    <row r="1829" spans="1:10" x14ac:dyDescent="0.25">
      <c r="A1829" t="s">
        <v>8</v>
      </c>
      <c r="B1829" t="s">
        <v>5265</v>
      </c>
      <c r="C1829" t="s">
        <v>5266</v>
      </c>
      <c r="D1829">
        <v>1</v>
      </c>
      <c r="E1829" t="s">
        <v>4994</v>
      </c>
      <c r="F1829" t="s">
        <v>4995</v>
      </c>
      <c r="G1829" s="1"/>
      <c r="H1829" t="str">
        <f>"3250614645334"</f>
        <v>3250614645334</v>
      </c>
      <c r="J1829" t="s">
        <v>5267</v>
      </c>
    </row>
    <row r="1830" spans="1:10" x14ac:dyDescent="0.25">
      <c r="A1830" t="s">
        <v>8</v>
      </c>
      <c r="B1830" t="s">
        <v>5268</v>
      </c>
      <c r="C1830" t="s">
        <v>5269</v>
      </c>
      <c r="D1830">
        <v>1</v>
      </c>
      <c r="E1830" t="s">
        <v>4994</v>
      </c>
      <c r="F1830" t="s">
        <v>4995</v>
      </c>
      <c r="G1830" s="1"/>
      <c r="H1830" t="str">
        <f>"3250614646188"</f>
        <v>3250614646188</v>
      </c>
      <c r="J1830" t="s">
        <v>5270</v>
      </c>
    </row>
    <row r="1831" spans="1:10" x14ac:dyDescent="0.25">
      <c r="A1831" t="s">
        <v>8</v>
      </c>
      <c r="B1831" t="s">
        <v>5271</v>
      </c>
      <c r="C1831" t="s">
        <v>5272</v>
      </c>
      <c r="D1831">
        <v>1</v>
      </c>
      <c r="E1831" t="s">
        <v>4994</v>
      </c>
      <c r="F1831" t="s">
        <v>4995</v>
      </c>
      <c r="G1831" s="1"/>
      <c r="H1831" t="str">
        <f>"3250614646393"</f>
        <v>3250614646393</v>
      </c>
      <c r="J1831" t="s">
        <v>5071</v>
      </c>
    </row>
    <row r="1832" spans="1:10" x14ac:dyDescent="0.25">
      <c r="A1832" t="s">
        <v>8</v>
      </c>
      <c r="B1832" t="s">
        <v>5273</v>
      </c>
      <c r="C1832" t="s">
        <v>5274</v>
      </c>
      <c r="D1832">
        <v>1</v>
      </c>
      <c r="E1832" t="s">
        <v>4994</v>
      </c>
      <c r="F1832" t="s">
        <v>4995</v>
      </c>
      <c r="G1832" s="1"/>
      <c r="H1832" t="str">
        <f>"3250614646515"</f>
        <v>3250614646515</v>
      </c>
      <c r="J1832" t="s">
        <v>5275</v>
      </c>
    </row>
    <row r="1833" spans="1:10" x14ac:dyDescent="0.25">
      <c r="A1833" t="s">
        <v>8</v>
      </c>
      <c r="B1833" t="s">
        <v>5276</v>
      </c>
      <c r="C1833" t="s">
        <v>5277</v>
      </c>
      <c r="D1833">
        <v>1</v>
      </c>
      <c r="E1833" t="s">
        <v>4994</v>
      </c>
      <c r="F1833" t="s">
        <v>4995</v>
      </c>
      <c r="G1833" s="1"/>
      <c r="H1833" t="str">
        <f>"3250613230050"</f>
        <v>3250613230050</v>
      </c>
      <c r="J1833" t="s">
        <v>5278</v>
      </c>
    </row>
    <row r="1834" spans="1:10" x14ac:dyDescent="0.25">
      <c r="A1834" t="s">
        <v>8</v>
      </c>
      <c r="B1834" t="s">
        <v>5279</v>
      </c>
      <c r="C1834" t="s">
        <v>5280</v>
      </c>
      <c r="D1834">
        <v>1</v>
      </c>
      <c r="E1834" t="s">
        <v>4994</v>
      </c>
      <c r="F1834" t="s">
        <v>4995</v>
      </c>
      <c r="G1834" s="1"/>
      <c r="H1834" t="str">
        <f>"3250613230227"</f>
        <v>3250613230227</v>
      </c>
      <c r="J1834" t="s">
        <v>5281</v>
      </c>
    </row>
    <row r="1835" spans="1:10" x14ac:dyDescent="0.25">
      <c r="A1835" t="s">
        <v>8</v>
      </c>
      <c r="B1835" t="s">
        <v>5282</v>
      </c>
      <c r="C1835" t="s">
        <v>5283</v>
      </c>
      <c r="D1835">
        <v>1</v>
      </c>
      <c r="E1835" t="s">
        <v>4994</v>
      </c>
      <c r="F1835" t="s">
        <v>4995</v>
      </c>
      <c r="G1835" s="1"/>
      <c r="H1835" t="str">
        <f>"3250613230319"</f>
        <v>3250613230319</v>
      </c>
      <c r="J1835" t="s">
        <v>5284</v>
      </c>
    </row>
    <row r="1836" spans="1:10" x14ac:dyDescent="0.25">
      <c r="A1836" t="s">
        <v>8</v>
      </c>
      <c r="B1836" t="s">
        <v>5285</v>
      </c>
      <c r="C1836" t="s">
        <v>5286</v>
      </c>
      <c r="D1836">
        <v>1</v>
      </c>
      <c r="E1836" t="s">
        <v>4994</v>
      </c>
      <c r="F1836" t="s">
        <v>4995</v>
      </c>
      <c r="G1836" s="1"/>
      <c r="H1836" t="str">
        <f>"3250613231934"</f>
        <v>3250613231934</v>
      </c>
      <c r="J1836" t="s">
        <v>5287</v>
      </c>
    </row>
    <row r="1837" spans="1:10" x14ac:dyDescent="0.25">
      <c r="A1837" t="s">
        <v>8</v>
      </c>
      <c r="B1837" t="s">
        <v>5288</v>
      </c>
      <c r="C1837" t="s">
        <v>5289</v>
      </c>
      <c r="D1837">
        <v>1</v>
      </c>
      <c r="E1837" t="s">
        <v>4994</v>
      </c>
      <c r="F1837" t="s">
        <v>4995</v>
      </c>
      <c r="G1837" s="1"/>
      <c r="H1837" t="str">
        <f>"3250613232078"</f>
        <v>3250613232078</v>
      </c>
      <c r="J1837" t="s">
        <v>5290</v>
      </c>
    </row>
    <row r="1838" spans="1:10" x14ac:dyDescent="0.25">
      <c r="A1838" t="s">
        <v>8</v>
      </c>
      <c r="B1838" t="s">
        <v>5291</v>
      </c>
      <c r="C1838" t="s">
        <v>5292</v>
      </c>
      <c r="D1838">
        <v>1</v>
      </c>
      <c r="E1838" t="s">
        <v>4994</v>
      </c>
      <c r="F1838" t="s">
        <v>4995</v>
      </c>
      <c r="G1838" s="1"/>
      <c r="H1838" t="str">
        <f>"3250614628160"</f>
        <v>3250614628160</v>
      </c>
      <c r="J1838" t="s">
        <v>5293</v>
      </c>
    </row>
    <row r="1839" spans="1:10" x14ac:dyDescent="0.25">
      <c r="A1839" t="s">
        <v>8</v>
      </c>
      <c r="B1839" t="s">
        <v>5294</v>
      </c>
      <c r="C1839" t="s">
        <v>5295</v>
      </c>
      <c r="D1839">
        <v>1</v>
      </c>
      <c r="E1839" t="s">
        <v>4994</v>
      </c>
      <c r="F1839" t="s">
        <v>4995</v>
      </c>
      <c r="G1839" s="1"/>
      <c r="H1839" t="str">
        <f>"3250614628276"</f>
        <v>3250614628276</v>
      </c>
      <c r="J1839" t="s">
        <v>5296</v>
      </c>
    </row>
    <row r="1840" spans="1:10" x14ac:dyDescent="0.25">
      <c r="A1840" t="s">
        <v>8</v>
      </c>
      <c r="B1840" t="s">
        <v>5297</v>
      </c>
      <c r="C1840" t="s">
        <v>5298</v>
      </c>
      <c r="D1840">
        <v>1</v>
      </c>
      <c r="E1840" t="s">
        <v>4994</v>
      </c>
      <c r="F1840" t="s">
        <v>4995</v>
      </c>
      <c r="G1840" s="1"/>
      <c r="H1840" t="str">
        <f>"3250614628481"</f>
        <v>3250614628481</v>
      </c>
      <c r="J1840" t="s">
        <v>5299</v>
      </c>
    </row>
    <row r="1841" spans="1:10" x14ac:dyDescent="0.25">
      <c r="A1841" t="s">
        <v>8</v>
      </c>
      <c r="B1841" t="s">
        <v>5300</v>
      </c>
      <c r="C1841" t="s">
        <v>5301</v>
      </c>
      <c r="D1841">
        <v>1</v>
      </c>
      <c r="E1841" t="s">
        <v>4994</v>
      </c>
      <c r="F1841" t="s">
        <v>4995</v>
      </c>
      <c r="G1841" s="1"/>
      <c r="H1841" t="str">
        <f>"3250614645761"</f>
        <v>3250614645761</v>
      </c>
      <c r="J1841" t="s">
        <v>5258</v>
      </c>
    </row>
    <row r="1842" spans="1:10" x14ac:dyDescent="0.25">
      <c r="A1842" t="s">
        <v>8</v>
      </c>
      <c r="B1842" t="s">
        <v>5302</v>
      </c>
      <c r="C1842" t="s">
        <v>5303</v>
      </c>
      <c r="D1842">
        <v>1</v>
      </c>
      <c r="E1842" t="s">
        <v>4994</v>
      </c>
      <c r="F1842" t="s">
        <v>4995</v>
      </c>
      <c r="G1842" s="1"/>
      <c r="H1842" t="str">
        <f>"3250614645969"</f>
        <v>3250614645969</v>
      </c>
      <c r="J1842" t="s">
        <v>5304</v>
      </c>
    </row>
    <row r="1843" spans="1:10" x14ac:dyDescent="0.25">
      <c r="A1843" t="s">
        <v>8</v>
      </c>
      <c r="B1843" t="s">
        <v>5305</v>
      </c>
      <c r="C1843" t="s">
        <v>5306</v>
      </c>
      <c r="D1843">
        <v>1</v>
      </c>
      <c r="E1843" t="s">
        <v>4994</v>
      </c>
      <c r="F1843" t="s">
        <v>4995</v>
      </c>
      <c r="G1843" s="1"/>
      <c r="H1843" t="str">
        <f>"3250614645013"</f>
        <v>3250614645013</v>
      </c>
      <c r="J1843" t="s">
        <v>5307</v>
      </c>
    </row>
    <row r="1844" spans="1:10" x14ac:dyDescent="0.25">
      <c r="A1844" t="s">
        <v>8</v>
      </c>
      <c r="B1844" t="s">
        <v>5308</v>
      </c>
      <c r="C1844" t="s">
        <v>5309</v>
      </c>
      <c r="D1844">
        <v>1</v>
      </c>
      <c r="E1844" t="s">
        <v>4994</v>
      </c>
      <c r="F1844" t="s">
        <v>4995</v>
      </c>
      <c r="G1844" s="1"/>
      <c r="H1844" t="str">
        <f>"3250614645068"</f>
        <v>3250614645068</v>
      </c>
      <c r="J1844" t="s">
        <v>5310</v>
      </c>
    </row>
    <row r="1845" spans="1:10" x14ac:dyDescent="0.25">
      <c r="A1845" t="s">
        <v>8</v>
      </c>
      <c r="B1845" t="s">
        <v>5311</v>
      </c>
      <c r="C1845" t="s">
        <v>5312</v>
      </c>
      <c r="D1845">
        <v>1</v>
      </c>
      <c r="E1845" t="s">
        <v>4994</v>
      </c>
      <c r="F1845" t="s">
        <v>4995</v>
      </c>
      <c r="G1845" s="1"/>
      <c r="H1845" t="str">
        <f>"3250614645327"</f>
        <v>3250614645327</v>
      </c>
      <c r="J1845" t="s">
        <v>5313</v>
      </c>
    </row>
    <row r="1846" spans="1:10" x14ac:dyDescent="0.25">
      <c r="A1846" t="s">
        <v>8</v>
      </c>
      <c r="B1846" t="s">
        <v>5314</v>
      </c>
      <c r="C1846" t="s">
        <v>5315</v>
      </c>
      <c r="D1846">
        <v>1</v>
      </c>
      <c r="E1846" t="s">
        <v>4994</v>
      </c>
      <c r="F1846" t="s">
        <v>4995</v>
      </c>
      <c r="G1846" s="1"/>
      <c r="H1846" t="str">
        <f>"3250614646386"</f>
        <v>3250614646386</v>
      </c>
      <c r="J1846" t="s">
        <v>5316</v>
      </c>
    </row>
    <row r="1847" spans="1:10" x14ac:dyDescent="0.25">
      <c r="A1847" t="s">
        <v>8</v>
      </c>
      <c r="B1847" t="s">
        <v>5317</v>
      </c>
      <c r="C1847" t="s">
        <v>5318</v>
      </c>
      <c r="D1847">
        <v>1</v>
      </c>
      <c r="E1847" t="s">
        <v>4994</v>
      </c>
      <c r="F1847" t="s">
        <v>4995</v>
      </c>
      <c r="G1847" s="1"/>
      <c r="H1847" t="str">
        <f>"3250613230043"</f>
        <v>3250613230043</v>
      </c>
      <c r="J1847" t="s">
        <v>5319</v>
      </c>
    </row>
    <row r="1848" spans="1:10" x14ac:dyDescent="0.25">
      <c r="A1848" t="s">
        <v>8</v>
      </c>
      <c r="B1848" t="s">
        <v>5320</v>
      </c>
      <c r="C1848" t="s">
        <v>5321</v>
      </c>
      <c r="D1848">
        <v>1</v>
      </c>
      <c r="E1848" t="s">
        <v>4994</v>
      </c>
      <c r="F1848" t="s">
        <v>4995</v>
      </c>
      <c r="G1848" s="1"/>
      <c r="H1848" t="str">
        <f>"3250613230210"</f>
        <v>3250613230210</v>
      </c>
      <c r="J1848" t="s">
        <v>5322</v>
      </c>
    </row>
    <row r="1849" spans="1:10" x14ac:dyDescent="0.25">
      <c r="A1849" t="s">
        <v>8</v>
      </c>
      <c r="B1849" t="s">
        <v>5323</v>
      </c>
      <c r="C1849" t="s">
        <v>5324</v>
      </c>
      <c r="D1849">
        <v>1</v>
      </c>
      <c r="E1849" t="s">
        <v>4994</v>
      </c>
      <c r="F1849" t="s">
        <v>4995</v>
      </c>
      <c r="G1849" s="1"/>
      <c r="H1849" t="str">
        <f>"3250613230302"</f>
        <v>3250613230302</v>
      </c>
      <c r="J1849" t="s">
        <v>5325</v>
      </c>
    </row>
    <row r="1850" spans="1:10" x14ac:dyDescent="0.25">
      <c r="A1850" t="s">
        <v>8</v>
      </c>
      <c r="B1850" t="s">
        <v>5326</v>
      </c>
      <c r="C1850" t="s">
        <v>5327</v>
      </c>
      <c r="D1850">
        <v>1</v>
      </c>
      <c r="E1850" t="s">
        <v>4994</v>
      </c>
      <c r="F1850" t="s">
        <v>4995</v>
      </c>
      <c r="G1850" s="1"/>
      <c r="H1850" t="str">
        <f>"3250613232061"</f>
        <v>3250613232061</v>
      </c>
      <c r="J1850" t="s">
        <v>5328</v>
      </c>
    </row>
    <row r="1851" spans="1:10" x14ac:dyDescent="0.25">
      <c r="A1851" t="s">
        <v>8</v>
      </c>
      <c r="B1851" t="s">
        <v>5329</v>
      </c>
      <c r="C1851" t="s">
        <v>5330</v>
      </c>
      <c r="D1851">
        <v>1</v>
      </c>
      <c r="E1851" t="s">
        <v>4994</v>
      </c>
      <c r="F1851" t="s">
        <v>4995</v>
      </c>
      <c r="G1851" s="1"/>
      <c r="H1851" t="str">
        <f>"3250614628153"</f>
        <v>3250614628153</v>
      </c>
      <c r="J1851" t="s">
        <v>5331</v>
      </c>
    </row>
    <row r="1852" spans="1:10" x14ac:dyDescent="0.25">
      <c r="A1852" t="s">
        <v>8</v>
      </c>
      <c r="B1852" t="s">
        <v>5332</v>
      </c>
      <c r="C1852" t="s">
        <v>5333</v>
      </c>
      <c r="D1852">
        <v>1</v>
      </c>
      <c r="E1852" t="s">
        <v>4994</v>
      </c>
      <c r="F1852" t="s">
        <v>4995</v>
      </c>
      <c r="G1852" s="1"/>
      <c r="H1852" t="str">
        <f>"3250614628351"</f>
        <v>3250614628351</v>
      </c>
      <c r="J1852" t="s">
        <v>5334</v>
      </c>
    </row>
    <row r="1853" spans="1:10" x14ac:dyDescent="0.25">
      <c r="A1853" t="s">
        <v>8</v>
      </c>
      <c r="B1853" t="s">
        <v>5335</v>
      </c>
      <c r="C1853" t="s">
        <v>5336</v>
      </c>
      <c r="D1853">
        <v>1</v>
      </c>
      <c r="E1853" t="s">
        <v>4994</v>
      </c>
      <c r="F1853" t="s">
        <v>4995</v>
      </c>
      <c r="G1853" s="1"/>
      <c r="H1853" t="str">
        <f>"3250614628474"</f>
        <v>3250614628474</v>
      </c>
      <c r="I1853" s="1"/>
      <c r="J1853" t="s">
        <v>5337</v>
      </c>
    </row>
    <row r="1854" spans="1:10" x14ac:dyDescent="0.25">
      <c r="A1854" t="s">
        <v>8</v>
      </c>
      <c r="B1854" t="s">
        <v>5338</v>
      </c>
      <c r="C1854" t="s">
        <v>5339</v>
      </c>
      <c r="D1854">
        <v>1</v>
      </c>
      <c r="E1854" t="s">
        <v>4994</v>
      </c>
      <c r="F1854" t="s">
        <v>4995</v>
      </c>
      <c r="G1854" s="1"/>
      <c r="H1854" t="str">
        <f>"3250614645648"</f>
        <v>3250614645648</v>
      </c>
      <c r="J1854" t="s">
        <v>5340</v>
      </c>
    </row>
    <row r="1855" spans="1:10" x14ac:dyDescent="0.25">
      <c r="A1855" t="s">
        <v>8</v>
      </c>
      <c r="B1855" t="s">
        <v>5341</v>
      </c>
      <c r="C1855" t="s">
        <v>5342</v>
      </c>
      <c r="D1855">
        <v>1</v>
      </c>
      <c r="E1855" t="s">
        <v>4994</v>
      </c>
      <c r="F1855" t="s">
        <v>4995</v>
      </c>
      <c r="G1855" s="1"/>
      <c r="H1855" t="str">
        <f>"3250614645747"</f>
        <v>3250614645747</v>
      </c>
      <c r="J1855" t="s">
        <v>5258</v>
      </c>
    </row>
    <row r="1856" spans="1:10" x14ac:dyDescent="0.25">
      <c r="A1856" t="s">
        <v>8</v>
      </c>
      <c r="B1856" t="s">
        <v>5343</v>
      </c>
      <c r="C1856" t="s">
        <v>5344</v>
      </c>
      <c r="D1856">
        <v>1</v>
      </c>
      <c r="E1856" t="s">
        <v>4994</v>
      </c>
      <c r="F1856" t="s">
        <v>4995</v>
      </c>
      <c r="G1856" s="1"/>
      <c r="H1856" t="str">
        <f>"3250614645952"</f>
        <v>3250614645952</v>
      </c>
      <c r="J1856" t="s">
        <v>5345</v>
      </c>
    </row>
    <row r="1857" spans="1:10" x14ac:dyDescent="0.25">
      <c r="A1857" t="s">
        <v>8</v>
      </c>
      <c r="B1857" t="s">
        <v>5346</v>
      </c>
      <c r="C1857" t="s">
        <v>5347</v>
      </c>
      <c r="D1857">
        <v>1</v>
      </c>
      <c r="E1857" t="s">
        <v>4994</v>
      </c>
      <c r="F1857" t="s">
        <v>4995</v>
      </c>
      <c r="G1857" s="1"/>
      <c r="H1857" t="str">
        <f>"3250614644993"</f>
        <v>3250614644993</v>
      </c>
      <c r="J1857" t="s">
        <v>5307</v>
      </c>
    </row>
    <row r="1858" spans="1:10" x14ac:dyDescent="0.25">
      <c r="A1858" t="s">
        <v>8</v>
      </c>
      <c r="B1858" t="s">
        <v>5348</v>
      </c>
      <c r="C1858" t="s">
        <v>5349</v>
      </c>
      <c r="D1858">
        <v>1</v>
      </c>
      <c r="E1858" t="s">
        <v>4994</v>
      </c>
      <c r="F1858" t="s">
        <v>4995</v>
      </c>
      <c r="G1858" s="1"/>
      <c r="H1858" t="str">
        <f>"3250614645198"</f>
        <v>3250614645198</v>
      </c>
      <c r="J1858" t="s">
        <v>5350</v>
      </c>
    </row>
    <row r="1859" spans="1:10" x14ac:dyDescent="0.25">
      <c r="A1859" t="s">
        <v>8</v>
      </c>
      <c r="B1859" t="s">
        <v>5351</v>
      </c>
      <c r="C1859" t="s">
        <v>5352</v>
      </c>
      <c r="D1859">
        <v>1</v>
      </c>
      <c r="E1859" t="s">
        <v>4994</v>
      </c>
      <c r="F1859" t="s">
        <v>4995</v>
      </c>
      <c r="G1859" s="1"/>
      <c r="H1859" t="str">
        <f>"3250614645310"</f>
        <v>3250614645310</v>
      </c>
      <c r="J1859" t="s">
        <v>5353</v>
      </c>
    </row>
    <row r="1860" spans="1:10" x14ac:dyDescent="0.25">
      <c r="A1860" t="s">
        <v>8</v>
      </c>
      <c r="B1860" t="s">
        <v>5354</v>
      </c>
      <c r="C1860" t="s">
        <v>5355</v>
      </c>
      <c r="D1860">
        <v>1</v>
      </c>
      <c r="E1860" t="s">
        <v>4994</v>
      </c>
      <c r="F1860" t="s">
        <v>4995</v>
      </c>
      <c r="G1860" s="1"/>
      <c r="H1860" t="str">
        <f>"3250614646263"</f>
        <v>3250614646263</v>
      </c>
      <c r="J1860" t="s">
        <v>5356</v>
      </c>
    </row>
    <row r="1861" spans="1:10" x14ac:dyDescent="0.25">
      <c r="A1861" t="s">
        <v>8</v>
      </c>
      <c r="B1861" t="s">
        <v>5357</v>
      </c>
      <c r="C1861" t="s">
        <v>5358</v>
      </c>
      <c r="D1861">
        <v>1</v>
      </c>
      <c r="E1861" t="s">
        <v>4994</v>
      </c>
      <c r="F1861" t="s">
        <v>4995</v>
      </c>
      <c r="G1861" s="1"/>
      <c r="H1861" t="str">
        <f>"3250614646379"</f>
        <v>3250614646379</v>
      </c>
      <c r="J1861" t="s">
        <v>5359</v>
      </c>
    </row>
    <row r="1862" spans="1:10" x14ac:dyDescent="0.25">
      <c r="A1862" t="s">
        <v>8</v>
      </c>
      <c r="B1862" t="s">
        <v>5360</v>
      </c>
      <c r="C1862" t="s">
        <v>5361</v>
      </c>
      <c r="D1862">
        <v>1</v>
      </c>
      <c r="E1862" t="s">
        <v>4994</v>
      </c>
      <c r="F1862" t="s">
        <v>4995</v>
      </c>
      <c r="G1862" s="1"/>
      <c r="H1862" t="str">
        <f>"3250614646577"</f>
        <v>3250614646577</v>
      </c>
      <c r="J1862" t="s">
        <v>5362</v>
      </c>
    </row>
    <row r="1863" spans="1:10" x14ac:dyDescent="0.25">
      <c r="A1863" t="s">
        <v>8</v>
      </c>
      <c r="B1863" t="s">
        <v>5363</v>
      </c>
      <c r="C1863" t="s">
        <v>5364</v>
      </c>
      <c r="D1863">
        <v>1</v>
      </c>
      <c r="E1863" t="s">
        <v>4994</v>
      </c>
      <c r="F1863" t="s">
        <v>4995</v>
      </c>
      <c r="G1863" s="1"/>
      <c r="H1863" t="str">
        <f>"3250613230203"</f>
        <v>3250613230203</v>
      </c>
      <c r="J1863" t="s">
        <v>5365</v>
      </c>
    </row>
    <row r="1864" spans="1:10" x14ac:dyDescent="0.25">
      <c r="A1864" t="s">
        <v>8</v>
      </c>
      <c r="B1864" t="s">
        <v>5366</v>
      </c>
      <c r="C1864" t="s">
        <v>5367</v>
      </c>
      <c r="D1864">
        <v>1</v>
      </c>
      <c r="E1864" t="s">
        <v>4994</v>
      </c>
      <c r="F1864" t="s">
        <v>4995</v>
      </c>
      <c r="G1864" s="1"/>
      <c r="H1864" t="str">
        <f>"3250613231996"</f>
        <v>3250613231996</v>
      </c>
      <c r="J1864" t="s">
        <v>5368</v>
      </c>
    </row>
    <row r="1865" spans="1:10" x14ac:dyDescent="0.25">
      <c r="A1865" t="s">
        <v>8</v>
      </c>
      <c r="B1865" t="s">
        <v>5369</v>
      </c>
      <c r="C1865" t="s">
        <v>5370</v>
      </c>
      <c r="D1865">
        <v>1</v>
      </c>
      <c r="E1865" t="s">
        <v>4994</v>
      </c>
      <c r="F1865" t="s">
        <v>4995</v>
      </c>
      <c r="G1865" s="1"/>
      <c r="H1865" t="str">
        <f>"3250613232054"</f>
        <v>3250613232054</v>
      </c>
      <c r="J1865" t="s">
        <v>5371</v>
      </c>
    </row>
    <row r="1866" spans="1:10" x14ac:dyDescent="0.25">
      <c r="A1866" t="s">
        <v>8</v>
      </c>
      <c r="B1866" t="s">
        <v>5372</v>
      </c>
      <c r="C1866" t="s">
        <v>5373</v>
      </c>
      <c r="D1866">
        <v>1</v>
      </c>
      <c r="E1866" t="s">
        <v>4994</v>
      </c>
      <c r="F1866" t="s">
        <v>4995</v>
      </c>
      <c r="G1866" s="1"/>
      <c r="H1866" t="str">
        <f>"3250614628146"</f>
        <v>3250614628146</v>
      </c>
      <c r="J1866" t="s">
        <v>5374</v>
      </c>
    </row>
    <row r="1867" spans="1:10" x14ac:dyDescent="0.25">
      <c r="A1867" t="s">
        <v>8</v>
      </c>
      <c r="B1867" t="s">
        <v>5375</v>
      </c>
      <c r="C1867" t="s">
        <v>5376</v>
      </c>
      <c r="D1867">
        <v>1</v>
      </c>
      <c r="E1867" t="s">
        <v>4994</v>
      </c>
      <c r="F1867" t="s">
        <v>4995</v>
      </c>
      <c r="G1867" s="1"/>
      <c r="H1867" t="str">
        <f>"3250614628344"</f>
        <v>3250614628344</v>
      </c>
      <c r="J1867" t="s">
        <v>5377</v>
      </c>
    </row>
    <row r="1868" spans="1:10" x14ac:dyDescent="0.25">
      <c r="A1868" t="s">
        <v>8</v>
      </c>
      <c r="B1868" t="s">
        <v>5378</v>
      </c>
      <c r="C1868" t="s">
        <v>5379</v>
      </c>
      <c r="D1868">
        <v>1</v>
      </c>
      <c r="E1868" t="s">
        <v>4994</v>
      </c>
      <c r="F1868" t="s">
        <v>4995</v>
      </c>
      <c r="G1868" s="1"/>
      <c r="H1868" t="str">
        <f>"3250614628467"</f>
        <v>3250614628467</v>
      </c>
      <c r="J1868" t="s">
        <v>5380</v>
      </c>
    </row>
    <row r="1869" spans="1:10" x14ac:dyDescent="0.25">
      <c r="A1869" t="s">
        <v>8</v>
      </c>
      <c r="B1869" t="s">
        <v>5381</v>
      </c>
      <c r="C1869" t="s">
        <v>5382</v>
      </c>
      <c r="D1869">
        <v>1</v>
      </c>
      <c r="E1869" t="s">
        <v>4994</v>
      </c>
      <c r="F1869" t="s">
        <v>4995</v>
      </c>
      <c r="G1869" s="1"/>
      <c r="H1869" t="str">
        <f>"3250614645631"</f>
        <v>3250614645631</v>
      </c>
      <c r="J1869" t="s">
        <v>5340</v>
      </c>
    </row>
    <row r="1870" spans="1:10" x14ac:dyDescent="0.25">
      <c r="A1870" t="s">
        <v>8</v>
      </c>
      <c r="B1870" t="s">
        <v>5383</v>
      </c>
      <c r="C1870" t="s">
        <v>5384</v>
      </c>
      <c r="D1870">
        <v>1</v>
      </c>
      <c r="E1870" t="s">
        <v>4994</v>
      </c>
      <c r="F1870" t="s">
        <v>4995</v>
      </c>
      <c r="G1870" s="1"/>
      <c r="H1870" t="str">
        <f>"3250614645945"</f>
        <v>3250614645945</v>
      </c>
      <c r="J1870" t="s">
        <v>5385</v>
      </c>
    </row>
    <row r="1871" spans="1:10" x14ac:dyDescent="0.25">
      <c r="A1871" t="s">
        <v>8</v>
      </c>
      <c r="B1871" t="s">
        <v>5386</v>
      </c>
      <c r="C1871" t="s">
        <v>5387</v>
      </c>
      <c r="D1871">
        <v>1</v>
      </c>
      <c r="E1871" t="s">
        <v>4994</v>
      </c>
      <c r="F1871" t="s">
        <v>4995</v>
      </c>
      <c r="G1871" s="1"/>
      <c r="H1871" t="str">
        <f>"3250614644986"</f>
        <v>3250614644986</v>
      </c>
      <c r="J1871" t="s">
        <v>5388</v>
      </c>
    </row>
    <row r="1872" spans="1:10" x14ac:dyDescent="0.25">
      <c r="A1872" t="s">
        <v>8</v>
      </c>
      <c r="B1872" t="s">
        <v>5389</v>
      </c>
      <c r="C1872" t="s">
        <v>5390</v>
      </c>
      <c r="D1872">
        <v>1</v>
      </c>
      <c r="E1872" t="s">
        <v>4994</v>
      </c>
      <c r="F1872" t="s">
        <v>4995</v>
      </c>
      <c r="G1872" s="1"/>
      <c r="H1872" t="str">
        <f>"3250614645181"</f>
        <v>3250614645181</v>
      </c>
      <c r="J1872" t="s">
        <v>5391</v>
      </c>
    </row>
    <row r="1873" spans="1:10" x14ac:dyDescent="0.25">
      <c r="A1873" t="s">
        <v>8</v>
      </c>
      <c r="B1873" t="s">
        <v>5392</v>
      </c>
      <c r="C1873" t="s">
        <v>5393</v>
      </c>
      <c r="D1873">
        <v>1</v>
      </c>
      <c r="E1873" t="s">
        <v>4994</v>
      </c>
      <c r="F1873" t="s">
        <v>4995</v>
      </c>
      <c r="G1873" s="1"/>
      <c r="H1873" t="str">
        <f>"3250614645297"</f>
        <v>3250614645297</v>
      </c>
      <c r="J1873" t="s">
        <v>5394</v>
      </c>
    </row>
    <row r="1874" spans="1:10" x14ac:dyDescent="0.25">
      <c r="A1874" t="s">
        <v>8</v>
      </c>
      <c r="B1874" t="s">
        <v>5395</v>
      </c>
      <c r="C1874" t="s">
        <v>5396</v>
      </c>
      <c r="D1874">
        <v>1</v>
      </c>
      <c r="E1874" t="s">
        <v>4994</v>
      </c>
      <c r="F1874" t="s">
        <v>4995</v>
      </c>
      <c r="G1874" s="1"/>
      <c r="H1874" t="str">
        <f>"3250614646256"</f>
        <v>3250614646256</v>
      </c>
      <c r="J1874" t="s">
        <v>5397</v>
      </c>
    </row>
    <row r="1875" spans="1:10" x14ac:dyDescent="0.25">
      <c r="A1875" t="s">
        <v>8</v>
      </c>
      <c r="B1875" t="s">
        <v>5398</v>
      </c>
      <c r="C1875" t="s">
        <v>5399</v>
      </c>
      <c r="D1875">
        <v>1</v>
      </c>
      <c r="E1875" t="s">
        <v>4994</v>
      </c>
      <c r="F1875" t="s">
        <v>4995</v>
      </c>
      <c r="G1875" s="1"/>
      <c r="H1875" t="str">
        <f>"3250614646492"</f>
        <v>3250614646492</v>
      </c>
      <c r="J1875" t="s">
        <v>5400</v>
      </c>
    </row>
    <row r="1876" spans="1:10" x14ac:dyDescent="0.25">
      <c r="A1876" t="s">
        <v>8</v>
      </c>
      <c r="B1876" t="s">
        <v>5401</v>
      </c>
      <c r="C1876" t="s">
        <v>5402</v>
      </c>
      <c r="D1876">
        <v>1</v>
      </c>
      <c r="E1876" t="s">
        <v>4994</v>
      </c>
      <c r="F1876" t="s">
        <v>4995</v>
      </c>
      <c r="G1876" s="1"/>
      <c r="H1876" t="str">
        <f>"3250614646560"</f>
        <v>3250614646560</v>
      </c>
      <c r="J1876" t="s">
        <v>5403</v>
      </c>
    </row>
    <row r="1877" spans="1:10" x14ac:dyDescent="0.25">
      <c r="A1877" t="s">
        <v>8</v>
      </c>
      <c r="B1877" t="s">
        <v>5404</v>
      </c>
      <c r="C1877" t="s">
        <v>5405</v>
      </c>
      <c r="D1877">
        <v>1</v>
      </c>
      <c r="E1877" t="s">
        <v>4994</v>
      </c>
      <c r="F1877" t="s">
        <v>4995</v>
      </c>
      <c r="G1877" s="1"/>
      <c r="H1877" t="str">
        <f>"3250613230111"</f>
        <v>3250613230111</v>
      </c>
      <c r="J1877" t="s">
        <v>5406</v>
      </c>
    </row>
    <row r="1878" spans="1:10" x14ac:dyDescent="0.25">
      <c r="A1878" t="s">
        <v>8</v>
      </c>
      <c r="B1878" t="s">
        <v>5407</v>
      </c>
      <c r="C1878" t="s">
        <v>5408</v>
      </c>
      <c r="D1878">
        <v>1</v>
      </c>
      <c r="E1878" t="s">
        <v>4994</v>
      </c>
      <c r="F1878" t="s">
        <v>4995</v>
      </c>
      <c r="G1878" s="1"/>
      <c r="H1878" t="str">
        <f>"3250613230197"</f>
        <v>3250613230197</v>
      </c>
      <c r="J1878" t="s">
        <v>5409</v>
      </c>
    </row>
    <row r="1879" spans="1:10" x14ac:dyDescent="0.25">
      <c r="A1879" t="s">
        <v>8</v>
      </c>
      <c r="B1879" t="s">
        <v>5410</v>
      </c>
      <c r="C1879" t="s">
        <v>5411</v>
      </c>
      <c r="D1879">
        <v>1</v>
      </c>
      <c r="E1879" t="s">
        <v>4994</v>
      </c>
      <c r="F1879" t="s">
        <v>4995</v>
      </c>
      <c r="G1879" s="1"/>
      <c r="H1879" t="str">
        <f>"3250613230364"</f>
        <v>3250613230364</v>
      </c>
      <c r="J1879" t="s">
        <v>5412</v>
      </c>
    </row>
    <row r="1880" spans="1:10" x14ac:dyDescent="0.25">
      <c r="A1880" t="s">
        <v>8</v>
      </c>
      <c r="B1880" t="s">
        <v>5413</v>
      </c>
      <c r="C1880" t="s">
        <v>5414</v>
      </c>
      <c r="D1880">
        <v>1</v>
      </c>
      <c r="E1880" t="s">
        <v>4994</v>
      </c>
      <c r="F1880" t="s">
        <v>4995</v>
      </c>
      <c r="G1880" s="1"/>
      <c r="H1880" t="str">
        <f>"3250613231989"</f>
        <v>3250613231989</v>
      </c>
      <c r="J1880" t="s">
        <v>5415</v>
      </c>
    </row>
    <row r="1881" spans="1:10" x14ac:dyDescent="0.25">
      <c r="A1881" t="s">
        <v>8</v>
      </c>
      <c r="B1881" t="s">
        <v>5416</v>
      </c>
      <c r="C1881" t="s">
        <v>5417</v>
      </c>
      <c r="D1881">
        <v>1</v>
      </c>
      <c r="E1881" t="s">
        <v>4994</v>
      </c>
      <c r="F1881" t="s">
        <v>4995</v>
      </c>
      <c r="G1881" s="1"/>
      <c r="H1881" t="str">
        <f>"3250613232122"</f>
        <v>3250613232122</v>
      </c>
      <c r="J1881" t="s">
        <v>5418</v>
      </c>
    </row>
    <row r="1882" spans="1:10" x14ac:dyDescent="0.25">
      <c r="A1882" t="s">
        <v>8</v>
      </c>
      <c r="B1882" t="s">
        <v>5419</v>
      </c>
      <c r="C1882" t="s">
        <v>5420</v>
      </c>
      <c r="D1882">
        <v>1</v>
      </c>
      <c r="E1882" t="s">
        <v>4994</v>
      </c>
      <c r="F1882" t="s">
        <v>4995</v>
      </c>
      <c r="G1882" s="1"/>
      <c r="H1882" t="str">
        <f>"3250614628337"</f>
        <v>3250614628337</v>
      </c>
      <c r="J1882" t="s">
        <v>5421</v>
      </c>
    </row>
    <row r="1883" spans="1:10" x14ac:dyDescent="0.25">
      <c r="A1883" t="s">
        <v>8</v>
      </c>
      <c r="B1883" t="s">
        <v>5422</v>
      </c>
      <c r="C1883" t="s">
        <v>5423</v>
      </c>
      <c r="D1883">
        <v>1</v>
      </c>
      <c r="E1883" t="s">
        <v>4994</v>
      </c>
      <c r="F1883" t="s">
        <v>4995</v>
      </c>
      <c r="G1883" s="1"/>
      <c r="H1883" t="str">
        <f>"3250614645624"</f>
        <v>3250614645624</v>
      </c>
      <c r="J1883" t="s">
        <v>5424</v>
      </c>
    </row>
    <row r="1884" spans="1:10" x14ac:dyDescent="0.25">
      <c r="A1884" t="s">
        <v>8</v>
      </c>
      <c r="B1884" t="s">
        <v>5425</v>
      </c>
      <c r="C1884" t="s">
        <v>5426</v>
      </c>
      <c r="D1884">
        <v>1</v>
      </c>
      <c r="E1884" t="s">
        <v>4994</v>
      </c>
      <c r="F1884" t="s">
        <v>4995</v>
      </c>
      <c r="G1884" s="1"/>
      <c r="H1884" t="str">
        <f>"3250614645822"</f>
        <v>3250614645822</v>
      </c>
      <c r="J1884" t="s">
        <v>5427</v>
      </c>
    </row>
    <row r="1885" spans="1:10" x14ac:dyDescent="0.25">
      <c r="A1885" t="s">
        <v>8</v>
      </c>
      <c r="B1885" t="s">
        <v>5428</v>
      </c>
      <c r="C1885" t="s">
        <v>5429</v>
      </c>
      <c r="D1885">
        <v>1</v>
      </c>
      <c r="E1885" t="s">
        <v>4994</v>
      </c>
      <c r="F1885" t="s">
        <v>4995</v>
      </c>
      <c r="G1885" s="1"/>
      <c r="H1885" t="str">
        <f>"3250614645938"</f>
        <v>3250614645938</v>
      </c>
      <c r="J1885" t="s">
        <v>5430</v>
      </c>
    </row>
    <row r="1886" spans="1:10" x14ac:dyDescent="0.25">
      <c r="A1886" t="s">
        <v>8</v>
      </c>
      <c r="B1886" t="s">
        <v>5431</v>
      </c>
      <c r="C1886" t="s">
        <v>5432</v>
      </c>
      <c r="D1886">
        <v>1</v>
      </c>
      <c r="E1886" t="s">
        <v>4994</v>
      </c>
      <c r="F1886" t="s">
        <v>4995</v>
      </c>
      <c r="G1886" s="1"/>
      <c r="H1886" t="str">
        <f>"3250614645174"</f>
        <v>3250614645174</v>
      </c>
      <c r="J1886" t="s">
        <v>5433</v>
      </c>
    </row>
    <row r="1887" spans="1:10" x14ac:dyDescent="0.25">
      <c r="A1887" t="s">
        <v>8</v>
      </c>
      <c r="B1887" t="s">
        <v>5434</v>
      </c>
      <c r="C1887" t="s">
        <v>5435</v>
      </c>
      <c r="D1887">
        <v>1</v>
      </c>
      <c r="E1887" t="s">
        <v>4994</v>
      </c>
      <c r="F1887" t="s">
        <v>4995</v>
      </c>
      <c r="G1887" s="1"/>
      <c r="H1887" t="str">
        <f>"3250614645372"</f>
        <v>3250614645372</v>
      </c>
      <c r="J1887" t="s">
        <v>5436</v>
      </c>
    </row>
    <row r="1888" spans="1:10" x14ac:dyDescent="0.25">
      <c r="A1888" t="s">
        <v>8</v>
      </c>
      <c r="B1888" t="s">
        <v>5437</v>
      </c>
      <c r="C1888" t="s">
        <v>5438</v>
      </c>
      <c r="D1888">
        <v>1</v>
      </c>
      <c r="E1888" t="s">
        <v>4994</v>
      </c>
      <c r="F1888" t="s">
        <v>4995</v>
      </c>
      <c r="G1888" s="1"/>
      <c r="H1888" t="str">
        <f>"3250614646249"</f>
        <v>3250614646249</v>
      </c>
      <c r="J1888" t="s">
        <v>5439</v>
      </c>
    </row>
    <row r="1889" spans="1:10" x14ac:dyDescent="0.25">
      <c r="A1889" t="s">
        <v>8</v>
      </c>
      <c r="B1889" t="s">
        <v>5440</v>
      </c>
      <c r="C1889" t="s">
        <v>5441</v>
      </c>
      <c r="D1889">
        <v>1</v>
      </c>
      <c r="E1889" t="s">
        <v>4994</v>
      </c>
      <c r="F1889" t="s">
        <v>4995</v>
      </c>
      <c r="G1889" s="1"/>
      <c r="H1889" t="str">
        <f>"3250614646485"</f>
        <v>3250614646485</v>
      </c>
      <c r="J1889" t="s">
        <v>5442</v>
      </c>
    </row>
    <row r="1890" spans="1:10" x14ac:dyDescent="0.25">
      <c r="A1890" t="s">
        <v>8</v>
      </c>
      <c r="B1890" t="s">
        <v>5443</v>
      </c>
      <c r="C1890" t="s">
        <v>5444</v>
      </c>
      <c r="D1890">
        <v>1</v>
      </c>
      <c r="E1890" t="s">
        <v>4994</v>
      </c>
      <c r="F1890" t="s">
        <v>4995</v>
      </c>
      <c r="G1890" s="1"/>
      <c r="H1890" t="str">
        <f>"3250614646553"</f>
        <v>3250614646553</v>
      </c>
      <c r="J1890" t="s">
        <v>5445</v>
      </c>
    </row>
    <row r="1891" spans="1:10" x14ac:dyDescent="0.25">
      <c r="A1891" t="s">
        <v>8</v>
      </c>
      <c r="B1891" t="s">
        <v>5446</v>
      </c>
      <c r="C1891" t="s">
        <v>5295</v>
      </c>
      <c r="D1891">
        <v>1</v>
      </c>
      <c r="E1891" t="s">
        <v>4994</v>
      </c>
      <c r="F1891" t="s">
        <v>4995</v>
      </c>
      <c r="G1891" s="1"/>
      <c r="H1891" t="str">
        <f>"3250614635656"</f>
        <v>3250614635656</v>
      </c>
      <c r="J1891" t="s">
        <v>5447</v>
      </c>
    </row>
    <row r="1892" spans="1:10" x14ac:dyDescent="0.25">
      <c r="A1892" t="s">
        <v>8</v>
      </c>
      <c r="B1892" t="s">
        <v>5448</v>
      </c>
      <c r="C1892" t="s">
        <v>5449</v>
      </c>
      <c r="D1892">
        <v>1</v>
      </c>
      <c r="E1892" t="s">
        <v>4994</v>
      </c>
      <c r="F1892" t="s">
        <v>4995</v>
      </c>
      <c r="G1892" s="1"/>
      <c r="H1892" t="str">
        <f>"3250614635748"</f>
        <v>3250614635748</v>
      </c>
      <c r="J1892" t="s">
        <v>5450</v>
      </c>
    </row>
    <row r="1893" spans="1:10" x14ac:dyDescent="0.25">
      <c r="A1893" t="s">
        <v>8</v>
      </c>
      <c r="B1893" t="s">
        <v>5451</v>
      </c>
      <c r="C1893" t="s">
        <v>5007</v>
      </c>
      <c r="D1893">
        <v>1</v>
      </c>
      <c r="E1893" t="s">
        <v>4994</v>
      </c>
      <c r="F1893" t="s">
        <v>4995</v>
      </c>
      <c r="G1893" s="1"/>
      <c r="H1893" t="str">
        <f>"3250614635649"</f>
        <v>3250614635649</v>
      </c>
      <c r="J1893" t="s">
        <v>5452</v>
      </c>
    </row>
    <row r="1894" spans="1:10" x14ac:dyDescent="0.25">
      <c r="A1894" t="s">
        <v>8</v>
      </c>
      <c r="B1894" t="s">
        <v>5453</v>
      </c>
      <c r="C1894" t="s">
        <v>5454</v>
      </c>
      <c r="D1894">
        <v>1</v>
      </c>
      <c r="E1894" t="s">
        <v>4994</v>
      </c>
      <c r="F1894" t="s">
        <v>4995</v>
      </c>
      <c r="G1894" s="1"/>
      <c r="H1894" t="str">
        <f>"3250614635731"</f>
        <v>3250614635731</v>
      </c>
      <c r="J1894" t="s">
        <v>5455</v>
      </c>
    </row>
    <row r="1895" spans="1:10" x14ac:dyDescent="0.25">
      <c r="A1895" t="s">
        <v>8</v>
      </c>
      <c r="B1895" t="s">
        <v>5456</v>
      </c>
      <c r="C1895" t="s">
        <v>5457</v>
      </c>
      <c r="D1895">
        <v>1</v>
      </c>
      <c r="E1895" t="s">
        <v>4994</v>
      </c>
      <c r="F1895" t="s">
        <v>4995</v>
      </c>
      <c r="G1895" s="1"/>
      <c r="H1895" t="str">
        <f>"3250614635892"</f>
        <v>3250614635892</v>
      </c>
      <c r="J1895" t="s">
        <v>5458</v>
      </c>
    </row>
    <row r="1896" spans="1:10" x14ac:dyDescent="0.25">
      <c r="A1896" t="s">
        <v>8</v>
      </c>
      <c r="B1896" t="s">
        <v>5459</v>
      </c>
      <c r="C1896" t="s">
        <v>5460</v>
      </c>
      <c r="D1896">
        <v>1</v>
      </c>
      <c r="E1896" t="s">
        <v>4994</v>
      </c>
      <c r="F1896" t="s">
        <v>4995</v>
      </c>
      <c r="G1896" s="1"/>
      <c r="H1896" t="str">
        <f>"3250614635809"</f>
        <v>3250614635809</v>
      </c>
      <c r="J1896" t="s">
        <v>5461</v>
      </c>
    </row>
    <row r="1897" spans="1:10" x14ac:dyDescent="0.25">
      <c r="A1897" t="s">
        <v>8</v>
      </c>
      <c r="B1897" t="s">
        <v>5462</v>
      </c>
      <c r="C1897" t="s">
        <v>5463</v>
      </c>
      <c r="D1897">
        <v>1</v>
      </c>
      <c r="E1897" t="s">
        <v>4994</v>
      </c>
      <c r="F1897" t="s">
        <v>4995</v>
      </c>
      <c r="G1897" s="1"/>
      <c r="H1897" t="str">
        <f>"3250614635885"</f>
        <v>3250614635885</v>
      </c>
      <c r="J1897" t="s">
        <v>5464</v>
      </c>
    </row>
    <row r="1898" spans="1:10" x14ac:dyDescent="0.25">
      <c r="A1898" t="s">
        <v>8</v>
      </c>
      <c r="B1898" t="s">
        <v>5465</v>
      </c>
      <c r="C1898" t="s">
        <v>5466</v>
      </c>
      <c r="D1898">
        <v>1</v>
      </c>
      <c r="E1898" t="s">
        <v>4994</v>
      </c>
      <c r="F1898" t="s">
        <v>4995</v>
      </c>
      <c r="G1898" s="1"/>
      <c r="H1898" t="str">
        <f>"3250614635793"</f>
        <v>3250614635793</v>
      </c>
      <c r="J1898" t="s">
        <v>5467</v>
      </c>
    </row>
    <row r="1899" spans="1:10" x14ac:dyDescent="0.25">
      <c r="A1899" t="s">
        <v>8</v>
      </c>
      <c r="B1899" t="s">
        <v>5468</v>
      </c>
      <c r="C1899" t="s">
        <v>5469</v>
      </c>
      <c r="D1899">
        <v>1</v>
      </c>
      <c r="E1899" t="s">
        <v>4994</v>
      </c>
      <c r="F1899" t="s">
        <v>4995</v>
      </c>
      <c r="G1899" s="1"/>
      <c r="H1899" t="str">
        <f>"3250614635878"</f>
        <v>3250614635878</v>
      </c>
      <c r="J1899" t="s">
        <v>5470</v>
      </c>
    </row>
    <row r="1900" spans="1:10" x14ac:dyDescent="0.25">
      <c r="A1900" t="s">
        <v>8</v>
      </c>
      <c r="B1900" t="s">
        <v>5471</v>
      </c>
      <c r="C1900" t="s">
        <v>5420</v>
      </c>
      <c r="D1900">
        <v>1</v>
      </c>
      <c r="E1900" t="s">
        <v>4994</v>
      </c>
      <c r="F1900" t="s">
        <v>4995</v>
      </c>
      <c r="G1900" s="1"/>
      <c r="H1900" t="str">
        <f>"3250614635700"</f>
        <v>3250614635700</v>
      </c>
      <c r="J1900" t="s">
        <v>5472</v>
      </c>
    </row>
    <row r="1901" spans="1:10" x14ac:dyDescent="0.25">
      <c r="A1901" t="s">
        <v>8</v>
      </c>
      <c r="B1901" t="s">
        <v>5473</v>
      </c>
      <c r="C1901" t="s">
        <v>5474</v>
      </c>
      <c r="D1901">
        <v>1</v>
      </c>
      <c r="E1901" t="s">
        <v>4994</v>
      </c>
      <c r="F1901" t="s">
        <v>4995</v>
      </c>
      <c r="G1901" s="1"/>
      <c r="H1901" t="str">
        <f>"3250614635724"</f>
        <v>3250614635724</v>
      </c>
      <c r="J1901" t="s">
        <v>5475</v>
      </c>
    </row>
    <row r="1902" spans="1:10" x14ac:dyDescent="0.25">
      <c r="A1902" t="s">
        <v>8</v>
      </c>
      <c r="B1902" t="s">
        <v>5476</v>
      </c>
      <c r="C1902" t="s">
        <v>5477</v>
      </c>
      <c r="D1902">
        <v>1</v>
      </c>
      <c r="E1902" t="s">
        <v>4994</v>
      </c>
      <c r="F1902" t="s">
        <v>4995</v>
      </c>
      <c r="G1902" s="1"/>
      <c r="H1902" t="str">
        <f>"3250614635786"</f>
        <v>3250614635786</v>
      </c>
      <c r="J1902" t="s">
        <v>5478</v>
      </c>
    </row>
    <row r="1903" spans="1:10" x14ac:dyDescent="0.25">
      <c r="A1903" t="s">
        <v>8</v>
      </c>
      <c r="B1903" t="s">
        <v>5479</v>
      </c>
      <c r="C1903" t="s">
        <v>5480</v>
      </c>
      <c r="D1903">
        <v>1</v>
      </c>
      <c r="E1903" t="s">
        <v>4994</v>
      </c>
      <c r="F1903" t="s">
        <v>4995</v>
      </c>
      <c r="G1903" s="1"/>
      <c r="H1903" t="str">
        <f>"3250614635861"</f>
        <v>3250614635861</v>
      </c>
      <c r="J1903" t="s">
        <v>5481</v>
      </c>
    </row>
    <row r="1904" spans="1:10" x14ac:dyDescent="0.25">
      <c r="A1904" t="s">
        <v>8</v>
      </c>
      <c r="B1904" t="s">
        <v>5482</v>
      </c>
      <c r="C1904" t="s">
        <v>5010</v>
      </c>
      <c r="D1904">
        <v>1</v>
      </c>
      <c r="E1904" t="s">
        <v>4994</v>
      </c>
      <c r="F1904" t="s">
        <v>4995</v>
      </c>
      <c r="G1904" s="1"/>
      <c r="H1904" t="str">
        <f>"3250614635694"</f>
        <v>3250614635694</v>
      </c>
      <c r="J1904" t="s">
        <v>5483</v>
      </c>
    </row>
    <row r="1905" spans="1:10" x14ac:dyDescent="0.25">
      <c r="A1905" t="s">
        <v>8</v>
      </c>
      <c r="B1905" t="s">
        <v>5484</v>
      </c>
      <c r="C1905" t="s">
        <v>5485</v>
      </c>
      <c r="D1905">
        <v>1</v>
      </c>
      <c r="E1905" t="s">
        <v>4994</v>
      </c>
      <c r="F1905" t="s">
        <v>4995</v>
      </c>
      <c r="G1905" s="1"/>
      <c r="H1905" t="str">
        <f>"3250614635717"</f>
        <v>3250614635717</v>
      </c>
      <c r="J1905" t="s">
        <v>5486</v>
      </c>
    </row>
    <row r="1906" spans="1:10" x14ac:dyDescent="0.25">
      <c r="A1906" t="s">
        <v>8</v>
      </c>
      <c r="B1906" t="s">
        <v>5487</v>
      </c>
      <c r="C1906" t="s">
        <v>5488</v>
      </c>
      <c r="D1906">
        <v>1</v>
      </c>
      <c r="E1906" t="s">
        <v>4994</v>
      </c>
      <c r="F1906" t="s">
        <v>4995</v>
      </c>
      <c r="G1906" s="1"/>
      <c r="H1906" t="str">
        <f>"3250614635779"</f>
        <v>3250614635779</v>
      </c>
      <c r="J1906" t="s">
        <v>5489</v>
      </c>
    </row>
    <row r="1907" spans="1:10" x14ac:dyDescent="0.25">
      <c r="A1907" t="s">
        <v>8</v>
      </c>
      <c r="B1907" t="s">
        <v>5490</v>
      </c>
      <c r="C1907" t="s">
        <v>5171</v>
      </c>
      <c r="D1907">
        <v>1</v>
      </c>
      <c r="E1907" t="s">
        <v>4994</v>
      </c>
      <c r="F1907" t="s">
        <v>4995</v>
      </c>
      <c r="G1907" s="1"/>
      <c r="H1907" t="str">
        <f>"3250614635687"</f>
        <v>3250614635687</v>
      </c>
      <c r="J1907" t="s">
        <v>5491</v>
      </c>
    </row>
    <row r="1908" spans="1:10" x14ac:dyDescent="0.25">
      <c r="A1908" t="s">
        <v>8</v>
      </c>
      <c r="B1908" t="s">
        <v>5492</v>
      </c>
      <c r="C1908" t="s">
        <v>5493</v>
      </c>
      <c r="D1908">
        <v>1</v>
      </c>
      <c r="E1908" t="s">
        <v>4994</v>
      </c>
      <c r="F1908" t="s">
        <v>4995</v>
      </c>
      <c r="G1908" s="1"/>
      <c r="H1908" t="str">
        <f>"3250614635847"</f>
        <v>3250614635847</v>
      </c>
      <c r="J1908" t="s">
        <v>5494</v>
      </c>
    </row>
    <row r="1909" spans="1:10" x14ac:dyDescent="0.25">
      <c r="A1909" t="s">
        <v>8</v>
      </c>
      <c r="B1909" t="s">
        <v>5495</v>
      </c>
      <c r="C1909" t="s">
        <v>5496</v>
      </c>
      <c r="D1909">
        <v>1</v>
      </c>
      <c r="E1909" t="s">
        <v>4994</v>
      </c>
      <c r="F1909" t="s">
        <v>4995</v>
      </c>
      <c r="G1909" s="1"/>
      <c r="H1909" t="str">
        <f>"3250614635830"</f>
        <v>3250614635830</v>
      </c>
      <c r="J1909" t="s">
        <v>5497</v>
      </c>
    </row>
    <row r="1910" spans="1:10" x14ac:dyDescent="0.25">
      <c r="A1910" t="s">
        <v>8</v>
      </c>
      <c r="B1910" t="s">
        <v>5498</v>
      </c>
      <c r="C1910" t="s">
        <v>5499</v>
      </c>
      <c r="D1910">
        <v>1</v>
      </c>
      <c r="E1910" t="s">
        <v>4994</v>
      </c>
      <c r="F1910" t="s">
        <v>4995</v>
      </c>
      <c r="G1910" s="1"/>
      <c r="H1910" t="str">
        <f>"3250614635915"</f>
        <v>3250614635915</v>
      </c>
      <c r="J1910" t="s">
        <v>5500</v>
      </c>
    </row>
    <row r="1911" spans="1:10" x14ac:dyDescent="0.25">
      <c r="A1911" t="s">
        <v>8</v>
      </c>
      <c r="B1911" t="s">
        <v>5501</v>
      </c>
      <c r="C1911" t="s">
        <v>5502</v>
      </c>
      <c r="D1911">
        <v>1</v>
      </c>
      <c r="E1911" t="s">
        <v>4994</v>
      </c>
      <c r="F1911" t="s">
        <v>4995</v>
      </c>
      <c r="G1911" s="1"/>
      <c r="H1911" t="str">
        <f>"3250614635823"</f>
        <v>3250614635823</v>
      </c>
      <c r="J1911" t="s">
        <v>5503</v>
      </c>
    </row>
    <row r="1912" spans="1:10" x14ac:dyDescent="0.25">
      <c r="A1912" t="s">
        <v>8</v>
      </c>
      <c r="B1912" t="s">
        <v>5504</v>
      </c>
      <c r="C1912" t="s">
        <v>5505</v>
      </c>
      <c r="D1912">
        <v>1</v>
      </c>
      <c r="E1912" t="s">
        <v>4994</v>
      </c>
      <c r="F1912" t="s">
        <v>4995</v>
      </c>
      <c r="G1912" s="1"/>
      <c r="H1912" t="str">
        <f>"3250614635854"</f>
        <v>3250614635854</v>
      </c>
      <c r="J1912" t="s">
        <v>5506</v>
      </c>
    </row>
    <row r="1913" spans="1:10" x14ac:dyDescent="0.25">
      <c r="A1913" t="s">
        <v>8</v>
      </c>
      <c r="B1913" t="s">
        <v>5507</v>
      </c>
      <c r="C1913" t="s">
        <v>5508</v>
      </c>
      <c r="D1913">
        <v>1</v>
      </c>
      <c r="E1913" t="s">
        <v>4994</v>
      </c>
      <c r="F1913" t="s">
        <v>4995</v>
      </c>
      <c r="G1913" s="1"/>
      <c r="H1913" t="str">
        <f>"3250614635908"</f>
        <v>3250614635908</v>
      </c>
      <c r="J1913" t="s">
        <v>5509</v>
      </c>
    </row>
    <row r="1914" spans="1:10" x14ac:dyDescent="0.25">
      <c r="A1914" t="s">
        <v>8</v>
      </c>
      <c r="B1914" t="s">
        <v>5510</v>
      </c>
      <c r="C1914" t="s">
        <v>5209</v>
      </c>
      <c r="D1914">
        <v>1</v>
      </c>
      <c r="E1914" t="s">
        <v>4994</v>
      </c>
      <c r="F1914" t="s">
        <v>4995</v>
      </c>
      <c r="G1914" s="1"/>
      <c r="H1914" t="str">
        <f>"3250614635670"</f>
        <v>3250614635670</v>
      </c>
      <c r="J1914" t="s">
        <v>5511</v>
      </c>
    </row>
    <row r="1915" spans="1:10" x14ac:dyDescent="0.25">
      <c r="A1915" t="s">
        <v>8</v>
      </c>
      <c r="B1915" t="s">
        <v>5512</v>
      </c>
      <c r="C1915" t="s">
        <v>5513</v>
      </c>
      <c r="D1915">
        <v>1</v>
      </c>
      <c r="E1915" t="s">
        <v>4994</v>
      </c>
      <c r="F1915" t="s">
        <v>4995</v>
      </c>
      <c r="G1915" s="1"/>
      <c r="H1915" t="str">
        <f>"3250614635762"</f>
        <v>3250614635762</v>
      </c>
      <c r="J1915" t="s">
        <v>5514</v>
      </c>
    </row>
    <row r="1916" spans="1:10" x14ac:dyDescent="0.25">
      <c r="A1916" t="s">
        <v>8</v>
      </c>
      <c r="B1916" t="s">
        <v>5515</v>
      </c>
      <c r="C1916" t="s">
        <v>5516</v>
      </c>
      <c r="D1916">
        <v>1</v>
      </c>
      <c r="E1916" t="s">
        <v>4994</v>
      </c>
      <c r="F1916" t="s">
        <v>4995</v>
      </c>
      <c r="G1916" s="1"/>
      <c r="H1916" t="str">
        <f>"3250614635816"</f>
        <v>3250614635816</v>
      </c>
      <c r="J1916" t="s">
        <v>5517</v>
      </c>
    </row>
    <row r="1917" spans="1:10" x14ac:dyDescent="0.25">
      <c r="A1917" t="s">
        <v>8</v>
      </c>
      <c r="B1917" t="s">
        <v>5518</v>
      </c>
      <c r="C1917" t="s">
        <v>5251</v>
      </c>
      <c r="D1917">
        <v>1</v>
      </c>
      <c r="E1917" t="s">
        <v>4994</v>
      </c>
      <c r="F1917" t="s">
        <v>4995</v>
      </c>
      <c r="G1917" s="1"/>
      <c r="H1917" t="str">
        <f>"3250614635663"</f>
        <v>3250614635663</v>
      </c>
      <c r="J1917" t="s">
        <v>5519</v>
      </c>
    </row>
    <row r="1918" spans="1:10" x14ac:dyDescent="0.25">
      <c r="A1918" t="s">
        <v>8</v>
      </c>
      <c r="B1918" t="s">
        <v>5520</v>
      </c>
      <c r="C1918" t="s">
        <v>5521</v>
      </c>
      <c r="D1918">
        <v>1</v>
      </c>
      <c r="E1918" t="s">
        <v>4994</v>
      </c>
      <c r="F1918" t="s">
        <v>4995</v>
      </c>
      <c r="G1918" s="1"/>
      <c r="H1918" t="str">
        <f>"3250614635755"</f>
        <v>3250614635755</v>
      </c>
      <c r="J1918" t="s">
        <v>5522</v>
      </c>
    </row>
    <row r="1919" spans="1:10" x14ac:dyDescent="0.25">
      <c r="A1919" t="s">
        <v>8</v>
      </c>
      <c r="B1919" t="s">
        <v>5523</v>
      </c>
      <c r="C1919" t="s">
        <v>5524</v>
      </c>
      <c r="D1919">
        <v>1</v>
      </c>
      <c r="E1919" t="s">
        <v>5525</v>
      </c>
      <c r="F1919" t="s">
        <v>5526</v>
      </c>
      <c r="G1919" s="1"/>
      <c r="H1919" t="str">
        <f>"3250613346362"</f>
        <v>3250613346362</v>
      </c>
      <c r="J1919" t="s">
        <v>5527</v>
      </c>
    </row>
    <row r="1920" spans="1:10" x14ac:dyDescent="0.25">
      <c r="A1920" t="s">
        <v>8</v>
      </c>
      <c r="B1920" t="s">
        <v>5528</v>
      </c>
      <c r="C1920" t="s">
        <v>5529</v>
      </c>
      <c r="D1920">
        <v>1</v>
      </c>
      <c r="E1920" t="s">
        <v>5525</v>
      </c>
      <c r="F1920" t="s">
        <v>5526</v>
      </c>
      <c r="G1920" s="1"/>
      <c r="H1920" t="str">
        <f>"3250613346430"</f>
        <v>3250613346430</v>
      </c>
      <c r="J1920" t="s">
        <v>5530</v>
      </c>
    </row>
    <row r="1921" spans="1:10" x14ac:dyDescent="0.25">
      <c r="A1921" t="s">
        <v>8</v>
      </c>
      <c r="B1921" t="s">
        <v>5531</v>
      </c>
      <c r="C1921" t="s">
        <v>5532</v>
      </c>
      <c r="D1921">
        <v>1</v>
      </c>
      <c r="E1921" t="s">
        <v>5525</v>
      </c>
      <c r="F1921" t="s">
        <v>5526</v>
      </c>
      <c r="G1921" s="1"/>
      <c r="H1921" t="str">
        <f>"3250613369415"</f>
        <v>3250613369415</v>
      </c>
      <c r="J1921" t="s">
        <v>5533</v>
      </c>
    </row>
    <row r="1922" spans="1:10" x14ac:dyDescent="0.25">
      <c r="A1922" t="s">
        <v>8</v>
      </c>
      <c r="B1922" t="s">
        <v>5534</v>
      </c>
      <c r="C1922" t="s">
        <v>5535</v>
      </c>
      <c r="D1922">
        <v>1</v>
      </c>
      <c r="E1922" t="s">
        <v>5525</v>
      </c>
      <c r="F1922" t="s">
        <v>5526</v>
      </c>
      <c r="G1922" s="1"/>
      <c r="H1922" t="str">
        <f>"3250613152154"</f>
        <v>3250613152154</v>
      </c>
      <c r="J1922" t="s">
        <v>5536</v>
      </c>
    </row>
    <row r="1923" spans="1:10" x14ac:dyDescent="0.25">
      <c r="A1923" t="s">
        <v>8</v>
      </c>
      <c r="B1923" t="s">
        <v>5537</v>
      </c>
      <c r="C1923" t="s">
        <v>5538</v>
      </c>
      <c r="D1923">
        <v>1</v>
      </c>
      <c r="E1923" t="s">
        <v>5525</v>
      </c>
      <c r="F1923" t="s">
        <v>5526</v>
      </c>
      <c r="G1923" s="1"/>
      <c r="H1923" t="str">
        <f>"3250613370275"</f>
        <v>3250613370275</v>
      </c>
      <c r="J1923" t="s">
        <v>5539</v>
      </c>
    </row>
    <row r="1924" spans="1:10" x14ac:dyDescent="0.25">
      <c r="A1924" t="s">
        <v>8</v>
      </c>
      <c r="B1924" t="s">
        <v>5540</v>
      </c>
      <c r="C1924" t="s">
        <v>5541</v>
      </c>
      <c r="D1924">
        <v>1</v>
      </c>
      <c r="E1924" t="s">
        <v>5525</v>
      </c>
      <c r="F1924" t="s">
        <v>5526</v>
      </c>
      <c r="G1924" s="1"/>
      <c r="H1924" t="str">
        <f>"3250613346706"</f>
        <v>3250613346706</v>
      </c>
      <c r="J1924" t="s">
        <v>5542</v>
      </c>
    </row>
    <row r="1925" spans="1:10" x14ac:dyDescent="0.25">
      <c r="A1925" t="s">
        <v>8</v>
      </c>
      <c r="B1925" t="s">
        <v>5543</v>
      </c>
      <c r="C1925" t="s">
        <v>5544</v>
      </c>
      <c r="D1925">
        <v>1</v>
      </c>
      <c r="E1925" t="s">
        <v>5525</v>
      </c>
      <c r="F1925" t="s">
        <v>5526</v>
      </c>
      <c r="G1925" s="1"/>
      <c r="H1925" t="str">
        <f>"3250613370251"</f>
        <v>3250613370251</v>
      </c>
      <c r="J1925" t="s">
        <v>5545</v>
      </c>
    </row>
    <row r="1926" spans="1:10" x14ac:dyDescent="0.25">
      <c r="A1926" t="s">
        <v>8</v>
      </c>
      <c r="B1926" t="s">
        <v>5546</v>
      </c>
      <c r="C1926" t="s">
        <v>5547</v>
      </c>
      <c r="D1926">
        <v>1</v>
      </c>
      <c r="E1926" t="s">
        <v>5525</v>
      </c>
      <c r="F1926" t="s">
        <v>5526</v>
      </c>
      <c r="G1926" s="1"/>
      <c r="H1926" t="str">
        <f>"3250613370435"</f>
        <v>3250613370435</v>
      </c>
      <c r="J1926" t="s">
        <v>5548</v>
      </c>
    </row>
    <row r="1927" spans="1:10" x14ac:dyDescent="0.25">
      <c r="A1927" t="s">
        <v>8</v>
      </c>
      <c r="B1927" t="s">
        <v>5549</v>
      </c>
      <c r="C1927" t="s">
        <v>5550</v>
      </c>
      <c r="D1927">
        <v>1</v>
      </c>
      <c r="E1927" t="s">
        <v>5525</v>
      </c>
      <c r="F1927" t="s">
        <v>5526</v>
      </c>
      <c r="G1927" s="1"/>
      <c r="H1927" t="str">
        <f>"3250613360665"</f>
        <v>3250613360665</v>
      </c>
      <c r="J1927" t="s">
        <v>5551</v>
      </c>
    </row>
    <row r="1928" spans="1:10" x14ac:dyDescent="0.25">
      <c r="A1928" t="s">
        <v>8</v>
      </c>
      <c r="B1928" t="s">
        <v>5552</v>
      </c>
      <c r="C1928" t="s">
        <v>5553</v>
      </c>
      <c r="D1928">
        <v>1</v>
      </c>
      <c r="E1928" t="s">
        <v>5525</v>
      </c>
      <c r="F1928" t="s">
        <v>5526</v>
      </c>
      <c r="G1928" s="1"/>
      <c r="H1928" t="str">
        <f>"3250613362508"</f>
        <v>3250613362508</v>
      </c>
      <c r="J1928" t="s">
        <v>5554</v>
      </c>
    </row>
    <row r="1929" spans="1:10" x14ac:dyDescent="0.25">
      <c r="A1929" t="s">
        <v>8</v>
      </c>
      <c r="B1929" t="s">
        <v>5555</v>
      </c>
      <c r="C1929" t="s">
        <v>5556</v>
      </c>
      <c r="D1929">
        <v>1</v>
      </c>
      <c r="E1929" t="s">
        <v>5525</v>
      </c>
      <c r="F1929" t="s">
        <v>5526</v>
      </c>
      <c r="G1929" s="1"/>
      <c r="H1929" t="str">
        <f>"3250613362553"</f>
        <v>3250613362553</v>
      </c>
      <c r="J1929" t="s">
        <v>5557</v>
      </c>
    </row>
    <row r="1930" spans="1:10" x14ac:dyDescent="0.25">
      <c r="A1930" t="s">
        <v>8</v>
      </c>
      <c r="B1930" t="s">
        <v>5558</v>
      </c>
      <c r="C1930" t="s">
        <v>5559</v>
      </c>
      <c r="D1930">
        <v>1</v>
      </c>
      <c r="E1930" t="s">
        <v>5525</v>
      </c>
      <c r="F1930" t="s">
        <v>5526</v>
      </c>
      <c r="G1930" s="1"/>
      <c r="H1930" t="str">
        <f>"3250613140779"</f>
        <v>3250613140779</v>
      </c>
      <c r="J1930" t="s">
        <v>5560</v>
      </c>
    </row>
    <row r="1931" spans="1:10" x14ac:dyDescent="0.25">
      <c r="A1931" t="s">
        <v>8</v>
      </c>
      <c r="B1931" t="s">
        <v>5561</v>
      </c>
      <c r="C1931" t="s">
        <v>5562</v>
      </c>
      <c r="D1931">
        <v>1</v>
      </c>
      <c r="E1931" t="s">
        <v>5525</v>
      </c>
      <c r="F1931" t="s">
        <v>5526</v>
      </c>
      <c r="G1931" s="1"/>
      <c r="H1931" t="str">
        <f>"3250613362362"</f>
        <v>3250613362362</v>
      </c>
      <c r="J1931" t="s">
        <v>5563</v>
      </c>
    </row>
    <row r="1932" spans="1:10" x14ac:dyDescent="0.25">
      <c r="A1932" t="s">
        <v>8</v>
      </c>
      <c r="B1932" t="s">
        <v>5564</v>
      </c>
      <c r="C1932" t="s">
        <v>5565</v>
      </c>
      <c r="D1932">
        <v>1</v>
      </c>
      <c r="E1932" t="s">
        <v>5525</v>
      </c>
      <c r="F1932" t="s">
        <v>5526</v>
      </c>
      <c r="G1932" s="1"/>
      <c r="H1932" t="str">
        <f>"3250613362393"</f>
        <v>3250613362393</v>
      </c>
      <c r="J1932" t="s">
        <v>5566</v>
      </c>
    </row>
    <row r="1933" spans="1:10" x14ac:dyDescent="0.25">
      <c r="A1933" t="s">
        <v>8</v>
      </c>
      <c r="B1933" t="s">
        <v>5567</v>
      </c>
      <c r="C1933" t="s">
        <v>5568</v>
      </c>
      <c r="D1933">
        <v>1</v>
      </c>
      <c r="E1933" t="s">
        <v>5525</v>
      </c>
      <c r="F1933" t="s">
        <v>5526</v>
      </c>
      <c r="G1933" s="1"/>
      <c r="H1933" t="str">
        <f>"3250613362959"</f>
        <v>3250613362959</v>
      </c>
      <c r="J1933" t="s">
        <v>5569</v>
      </c>
    </row>
    <row r="1934" spans="1:10" x14ac:dyDescent="0.25">
      <c r="A1934" t="s">
        <v>8</v>
      </c>
      <c r="B1934" t="s">
        <v>5570</v>
      </c>
      <c r="C1934" t="s">
        <v>5571</v>
      </c>
      <c r="D1934">
        <v>1</v>
      </c>
      <c r="E1934" t="s">
        <v>5525</v>
      </c>
      <c r="F1934" t="s">
        <v>5526</v>
      </c>
      <c r="G1934" s="1"/>
      <c r="H1934" t="str">
        <f>"3250613346355"</f>
        <v>3250613346355</v>
      </c>
      <c r="J1934" t="s">
        <v>5572</v>
      </c>
    </row>
    <row r="1935" spans="1:10" x14ac:dyDescent="0.25">
      <c r="A1935" t="s">
        <v>8</v>
      </c>
      <c r="B1935" t="s">
        <v>5573</v>
      </c>
      <c r="C1935" t="s">
        <v>5574</v>
      </c>
      <c r="D1935">
        <v>1</v>
      </c>
      <c r="E1935" t="s">
        <v>5525</v>
      </c>
      <c r="F1935" t="s">
        <v>5526</v>
      </c>
      <c r="G1935" s="1"/>
      <c r="H1935" t="str">
        <f>"3250613346560"</f>
        <v>3250613346560</v>
      </c>
      <c r="J1935" t="s">
        <v>5575</v>
      </c>
    </row>
    <row r="1936" spans="1:10" x14ac:dyDescent="0.25">
      <c r="A1936" t="s">
        <v>8</v>
      </c>
      <c r="B1936" t="s">
        <v>5576</v>
      </c>
      <c r="C1936" t="s">
        <v>5577</v>
      </c>
      <c r="D1936">
        <v>1</v>
      </c>
      <c r="E1936" t="s">
        <v>5525</v>
      </c>
      <c r="F1936" t="s">
        <v>5526</v>
      </c>
      <c r="G1936" s="1"/>
      <c r="H1936" t="str">
        <f>"3250613369545"</f>
        <v>3250613369545</v>
      </c>
      <c r="J1936" t="s">
        <v>5578</v>
      </c>
    </row>
    <row r="1937" spans="1:10" x14ac:dyDescent="0.25">
      <c r="A1937" t="s">
        <v>8</v>
      </c>
      <c r="B1937" t="s">
        <v>5579</v>
      </c>
      <c r="C1937" t="s">
        <v>5580</v>
      </c>
      <c r="D1937">
        <v>1</v>
      </c>
      <c r="E1937" t="s">
        <v>5525</v>
      </c>
      <c r="F1937" t="s">
        <v>5526</v>
      </c>
      <c r="G1937" s="1"/>
      <c r="H1937" t="str">
        <f>"3250613370350"</f>
        <v>3250613370350</v>
      </c>
      <c r="J1937" t="s">
        <v>5581</v>
      </c>
    </row>
    <row r="1938" spans="1:10" x14ac:dyDescent="0.25">
      <c r="A1938" t="s">
        <v>8</v>
      </c>
      <c r="B1938" t="s">
        <v>5582</v>
      </c>
      <c r="C1938" t="s">
        <v>5583</v>
      </c>
      <c r="D1938">
        <v>1</v>
      </c>
      <c r="E1938" t="s">
        <v>5525</v>
      </c>
      <c r="F1938" t="s">
        <v>5526</v>
      </c>
      <c r="G1938" s="1"/>
      <c r="H1938" t="str">
        <f>"3250613346669"</f>
        <v>3250613346669</v>
      </c>
      <c r="J1938" t="s">
        <v>5584</v>
      </c>
    </row>
    <row r="1939" spans="1:10" x14ac:dyDescent="0.25">
      <c r="A1939" t="s">
        <v>8</v>
      </c>
      <c r="B1939" t="s">
        <v>5585</v>
      </c>
      <c r="C1939" t="s">
        <v>5586</v>
      </c>
      <c r="D1939">
        <v>1</v>
      </c>
      <c r="E1939" t="s">
        <v>5525</v>
      </c>
      <c r="F1939" t="s">
        <v>5526</v>
      </c>
      <c r="G1939" s="1"/>
      <c r="H1939" t="str">
        <f>"3250613346737"</f>
        <v>3250613346737</v>
      </c>
      <c r="J1939" t="s">
        <v>5587</v>
      </c>
    </row>
    <row r="1940" spans="1:10" x14ac:dyDescent="0.25">
      <c r="A1940" t="s">
        <v>8</v>
      </c>
      <c r="B1940" t="s">
        <v>5588</v>
      </c>
      <c r="C1940" t="s">
        <v>5589</v>
      </c>
      <c r="D1940">
        <v>1</v>
      </c>
      <c r="E1940" t="s">
        <v>5525</v>
      </c>
      <c r="F1940" t="s">
        <v>5526</v>
      </c>
      <c r="G1940" s="1"/>
      <c r="H1940" t="str">
        <f>"3250613370237"</f>
        <v>3250613370237</v>
      </c>
      <c r="J1940" t="s">
        <v>5590</v>
      </c>
    </row>
    <row r="1941" spans="1:10" x14ac:dyDescent="0.25">
      <c r="A1941" t="s">
        <v>8</v>
      </c>
      <c r="B1941" t="s">
        <v>5591</v>
      </c>
      <c r="C1941" t="s">
        <v>5592</v>
      </c>
      <c r="D1941">
        <v>1</v>
      </c>
      <c r="E1941" t="s">
        <v>5525</v>
      </c>
      <c r="F1941" t="s">
        <v>5526</v>
      </c>
      <c r="G1941" s="1"/>
      <c r="H1941" t="str">
        <f>"3250613360238"</f>
        <v>3250613360238</v>
      </c>
      <c r="J1941" t="s">
        <v>5593</v>
      </c>
    </row>
    <row r="1942" spans="1:10" x14ac:dyDescent="0.25">
      <c r="A1942" t="s">
        <v>8</v>
      </c>
      <c r="B1942" t="s">
        <v>5594</v>
      </c>
      <c r="C1942" t="s">
        <v>5595</v>
      </c>
      <c r="D1942">
        <v>1</v>
      </c>
      <c r="E1942" t="s">
        <v>5525</v>
      </c>
      <c r="F1942" t="s">
        <v>5526</v>
      </c>
      <c r="G1942" s="1"/>
      <c r="H1942" t="str">
        <f>"3250613360375"</f>
        <v>3250613360375</v>
      </c>
      <c r="J1942" t="s">
        <v>5596</v>
      </c>
    </row>
    <row r="1943" spans="1:10" x14ac:dyDescent="0.25">
      <c r="A1943" t="s">
        <v>8</v>
      </c>
      <c r="B1943" t="s">
        <v>5597</v>
      </c>
      <c r="C1943" t="s">
        <v>5598</v>
      </c>
      <c r="D1943">
        <v>1</v>
      </c>
      <c r="E1943" t="s">
        <v>5525</v>
      </c>
      <c r="F1943" t="s">
        <v>5526</v>
      </c>
      <c r="G1943" s="1"/>
      <c r="H1943" t="str">
        <f>"3250613360924"</f>
        <v>3250613360924</v>
      </c>
      <c r="J1943" t="s">
        <v>5599</v>
      </c>
    </row>
    <row r="1944" spans="1:10" x14ac:dyDescent="0.25">
      <c r="A1944" t="s">
        <v>8</v>
      </c>
      <c r="B1944" t="s">
        <v>5600</v>
      </c>
      <c r="C1944" t="s">
        <v>5601</v>
      </c>
      <c r="D1944">
        <v>1</v>
      </c>
      <c r="E1944" t="s">
        <v>5525</v>
      </c>
      <c r="F1944" t="s">
        <v>5526</v>
      </c>
      <c r="G1944" s="1"/>
      <c r="H1944" t="str">
        <f>"3250613361716"</f>
        <v>3250613361716</v>
      </c>
      <c r="J1944" t="s">
        <v>5602</v>
      </c>
    </row>
    <row r="1945" spans="1:10" x14ac:dyDescent="0.25">
      <c r="A1945" t="s">
        <v>8</v>
      </c>
      <c r="B1945" t="s">
        <v>5603</v>
      </c>
      <c r="C1945" t="s">
        <v>5604</v>
      </c>
      <c r="D1945">
        <v>1</v>
      </c>
      <c r="E1945" t="s">
        <v>5525</v>
      </c>
      <c r="F1945" t="s">
        <v>5526</v>
      </c>
      <c r="G1945" s="1"/>
      <c r="H1945" t="str">
        <f>"3250613361648"</f>
        <v>3250613361648</v>
      </c>
      <c r="J1945" t="s">
        <v>5605</v>
      </c>
    </row>
    <row r="1946" spans="1:10" x14ac:dyDescent="0.25">
      <c r="A1946" t="s">
        <v>8</v>
      </c>
      <c r="B1946" t="s">
        <v>5606</v>
      </c>
      <c r="C1946" t="s">
        <v>5607</v>
      </c>
      <c r="D1946">
        <v>1</v>
      </c>
      <c r="E1946" t="s">
        <v>5525</v>
      </c>
      <c r="F1946" t="s">
        <v>5526</v>
      </c>
      <c r="G1946" s="1"/>
      <c r="H1946" t="str">
        <f>"3250613140649"</f>
        <v>3250613140649</v>
      </c>
      <c r="J1946" t="s">
        <v>5608</v>
      </c>
    </row>
    <row r="1947" spans="1:10" x14ac:dyDescent="0.25">
      <c r="A1947" t="s">
        <v>8</v>
      </c>
      <c r="B1947" t="s">
        <v>5609</v>
      </c>
      <c r="C1947" t="s">
        <v>5610</v>
      </c>
      <c r="D1947">
        <v>1</v>
      </c>
      <c r="E1947" t="s">
        <v>5525</v>
      </c>
      <c r="F1947" t="s">
        <v>5526</v>
      </c>
      <c r="G1947" s="1"/>
      <c r="H1947" t="str">
        <f>"3250613140762"</f>
        <v>3250613140762</v>
      </c>
      <c r="J1947" t="s">
        <v>5611</v>
      </c>
    </row>
    <row r="1948" spans="1:10" x14ac:dyDescent="0.25">
      <c r="A1948" t="s">
        <v>8</v>
      </c>
      <c r="B1948" t="s">
        <v>5612</v>
      </c>
      <c r="C1948" t="s">
        <v>5613</v>
      </c>
      <c r="D1948">
        <v>1</v>
      </c>
      <c r="E1948" t="s">
        <v>5525</v>
      </c>
      <c r="F1948" t="s">
        <v>5526</v>
      </c>
      <c r="G1948" s="1"/>
      <c r="H1948" t="str">
        <f>"3250613362652"</f>
        <v>3250613362652</v>
      </c>
      <c r="J1948" t="s">
        <v>5614</v>
      </c>
    </row>
    <row r="1949" spans="1:10" x14ac:dyDescent="0.25">
      <c r="A1949" t="s">
        <v>8</v>
      </c>
      <c r="B1949" t="s">
        <v>5615</v>
      </c>
      <c r="C1949" t="s">
        <v>5616</v>
      </c>
      <c r="D1949">
        <v>1</v>
      </c>
      <c r="E1949" t="s">
        <v>5525</v>
      </c>
      <c r="F1949" t="s">
        <v>5526</v>
      </c>
      <c r="G1949" s="1"/>
      <c r="H1949" t="str">
        <f>"3250613362799"</f>
        <v>3250613362799</v>
      </c>
      <c r="J1949" t="s">
        <v>5617</v>
      </c>
    </row>
    <row r="1950" spans="1:10" x14ac:dyDescent="0.25">
      <c r="A1950" t="s">
        <v>8</v>
      </c>
      <c r="B1950" t="s">
        <v>5618</v>
      </c>
      <c r="C1950" t="s">
        <v>5619</v>
      </c>
      <c r="D1950">
        <v>1</v>
      </c>
      <c r="E1950" t="s">
        <v>5525</v>
      </c>
      <c r="F1950" t="s">
        <v>5526</v>
      </c>
      <c r="G1950" s="1"/>
      <c r="H1950" t="str">
        <f>"3250613346348"</f>
        <v>3250613346348</v>
      </c>
      <c r="J1950" t="s">
        <v>5620</v>
      </c>
    </row>
    <row r="1951" spans="1:10" x14ac:dyDescent="0.25">
      <c r="A1951" t="s">
        <v>8</v>
      </c>
      <c r="B1951" t="s">
        <v>5621</v>
      </c>
      <c r="C1951" t="s">
        <v>5622</v>
      </c>
      <c r="D1951">
        <v>1</v>
      </c>
      <c r="E1951" t="s">
        <v>5525</v>
      </c>
      <c r="F1951" t="s">
        <v>5526</v>
      </c>
      <c r="G1951" s="1"/>
      <c r="H1951" t="str">
        <f>"3250613346553"</f>
        <v>3250613346553</v>
      </c>
      <c r="J1951" t="s">
        <v>5623</v>
      </c>
    </row>
    <row r="1952" spans="1:10" x14ac:dyDescent="0.25">
      <c r="A1952" t="s">
        <v>8</v>
      </c>
      <c r="B1952" t="s">
        <v>5624</v>
      </c>
      <c r="C1952" t="s">
        <v>5625</v>
      </c>
      <c r="D1952">
        <v>1</v>
      </c>
      <c r="E1952" t="s">
        <v>5525</v>
      </c>
      <c r="F1952" t="s">
        <v>5526</v>
      </c>
      <c r="G1952" s="1"/>
      <c r="H1952" t="str">
        <f>"3250613369538"</f>
        <v>3250613369538</v>
      </c>
      <c r="J1952" t="s">
        <v>5626</v>
      </c>
    </row>
    <row r="1953" spans="1:10" x14ac:dyDescent="0.25">
      <c r="A1953" t="s">
        <v>8</v>
      </c>
      <c r="B1953" t="s">
        <v>5627</v>
      </c>
      <c r="C1953" t="s">
        <v>5628</v>
      </c>
      <c r="D1953">
        <v>1</v>
      </c>
      <c r="E1953" t="s">
        <v>5525</v>
      </c>
      <c r="F1953" t="s">
        <v>5526</v>
      </c>
      <c r="G1953" s="1"/>
      <c r="H1953" t="str">
        <f>"3250613370015"</f>
        <v>3250613370015</v>
      </c>
      <c r="J1953" t="s">
        <v>5629</v>
      </c>
    </row>
    <row r="1954" spans="1:10" x14ac:dyDescent="0.25">
      <c r="A1954" t="s">
        <v>8</v>
      </c>
      <c r="B1954" t="s">
        <v>5630</v>
      </c>
      <c r="C1954" t="s">
        <v>5631</v>
      </c>
      <c r="D1954">
        <v>1</v>
      </c>
      <c r="E1954" t="s">
        <v>5525</v>
      </c>
      <c r="F1954" t="s">
        <v>5526</v>
      </c>
      <c r="G1954" s="1"/>
      <c r="H1954" t="str">
        <f>"3250613152260"</f>
        <v>3250613152260</v>
      </c>
      <c r="J1954" t="s">
        <v>5632</v>
      </c>
    </row>
    <row r="1955" spans="1:10" x14ac:dyDescent="0.25">
      <c r="A1955" t="s">
        <v>8</v>
      </c>
      <c r="B1955" t="s">
        <v>5633</v>
      </c>
      <c r="C1955" t="s">
        <v>5634</v>
      </c>
      <c r="D1955">
        <v>1</v>
      </c>
      <c r="E1955" t="s">
        <v>5525</v>
      </c>
      <c r="F1955" t="s">
        <v>5526</v>
      </c>
      <c r="G1955" s="1"/>
      <c r="H1955" t="str">
        <f>"3250613346652"</f>
        <v>3250613346652</v>
      </c>
      <c r="J1955" t="s">
        <v>5635</v>
      </c>
    </row>
    <row r="1956" spans="1:10" x14ac:dyDescent="0.25">
      <c r="A1956" t="s">
        <v>8</v>
      </c>
      <c r="B1956" t="s">
        <v>5636</v>
      </c>
      <c r="C1956" t="s">
        <v>5637</v>
      </c>
      <c r="D1956">
        <v>1</v>
      </c>
      <c r="E1956" t="s">
        <v>5525</v>
      </c>
      <c r="F1956" t="s">
        <v>5526</v>
      </c>
      <c r="G1956" s="1"/>
      <c r="H1956" t="str">
        <f>"3250613370244"</f>
        <v>3250613370244</v>
      </c>
      <c r="J1956" t="s">
        <v>5638</v>
      </c>
    </row>
    <row r="1957" spans="1:10" x14ac:dyDescent="0.25">
      <c r="A1957" t="s">
        <v>8</v>
      </c>
      <c r="B1957" t="s">
        <v>5639</v>
      </c>
      <c r="C1957" t="s">
        <v>5640</v>
      </c>
      <c r="D1957">
        <v>1</v>
      </c>
      <c r="E1957" t="s">
        <v>5525</v>
      </c>
      <c r="F1957" t="s">
        <v>5526</v>
      </c>
      <c r="G1957" s="1"/>
      <c r="H1957" t="str">
        <f>"3250613360221"</f>
        <v>3250613360221</v>
      </c>
      <c r="J1957" t="s">
        <v>5641</v>
      </c>
    </row>
    <row r="1958" spans="1:10" x14ac:dyDescent="0.25">
      <c r="A1958" t="s">
        <v>8</v>
      </c>
      <c r="B1958" t="s">
        <v>5642</v>
      </c>
      <c r="C1958" t="s">
        <v>5643</v>
      </c>
      <c r="D1958">
        <v>1</v>
      </c>
      <c r="E1958" t="s">
        <v>5525</v>
      </c>
      <c r="F1958" t="s">
        <v>5526</v>
      </c>
      <c r="G1958" s="1"/>
      <c r="H1958" t="str">
        <f>"3250613360368"</f>
        <v>3250613360368</v>
      </c>
      <c r="J1958" t="s">
        <v>5644</v>
      </c>
    </row>
    <row r="1959" spans="1:10" x14ac:dyDescent="0.25">
      <c r="A1959" t="s">
        <v>8</v>
      </c>
      <c r="B1959" t="s">
        <v>5645</v>
      </c>
      <c r="C1959" t="s">
        <v>5646</v>
      </c>
      <c r="D1959">
        <v>1</v>
      </c>
      <c r="E1959" t="s">
        <v>5525</v>
      </c>
      <c r="F1959" t="s">
        <v>5526</v>
      </c>
      <c r="G1959" s="1"/>
      <c r="H1959" t="str">
        <f>"3250613360825"</f>
        <v>3250613360825</v>
      </c>
      <c r="J1959" t="s">
        <v>5647</v>
      </c>
    </row>
    <row r="1960" spans="1:10" x14ac:dyDescent="0.25">
      <c r="A1960" t="s">
        <v>8</v>
      </c>
      <c r="B1960" t="s">
        <v>5648</v>
      </c>
      <c r="C1960" t="s">
        <v>5649</v>
      </c>
      <c r="D1960">
        <v>1</v>
      </c>
      <c r="E1960" t="s">
        <v>5525</v>
      </c>
      <c r="F1960" t="s">
        <v>5526</v>
      </c>
      <c r="G1960" s="1"/>
      <c r="H1960" t="str">
        <f>"3250613361600"</f>
        <v>3250613361600</v>
      </c>
      <c r="J1960" t="s">
        <v>5560</v>
      </c>
    </row>
    <row r="1961" spans="1:10" x14ac:dyDescent="0.25">
      <c r="A1961" t="s">
        <v>8</v>
      </c>
      <c r="B1961" t="s">
        <v>5650</v>
      </c>
      <c r="C1961" t="s">
        <v>5651</v>
      </c>
      <c r="D1961">
        <v>1</v>
      </c>
      <c r="E1961" t="s">
        <v>5525</v>
      </c>
      <c r="F1961" t="s">
        <v>5526</v>
      </c>
      <c r="G1961" s="1"/>
      <c r="H1961" t="str">
        <f>"3250613140694"</f>
        <v>3250613140694</v>
      </c>
      <c r="J1961" t="s">
        <v>5652</v>
      </c>
    </row>
    <row r="1962" spans="1:10" x14ac:dyDescent="0.25">
      <c r="A1962" t="s">
        <v>8</v>
      </c>
      <c r="B1962" t="s">
        <v>5653</v>
      </c>
      <c r="C1962" t="s">
        <v>5654</v>
      </c>
      <c r="D1962">
        <v>1</v>
      </c>
      <c r="E1962" t="s">
        <v>5525</v>
      </c>
      <c r="F1962" t="s">
        <v>5526</v>
      </c>
      <c r="G1962" s="1"/>
      <c r="H1962" t="str">
        <f>"3250613140748"</f>
        <v>3250613140748</v>
      </c>
      <c r="J1962" t="s">
        <v>5655</v>
      </c>
    </row>
    <row r="1963" spans="1:10" x14ac:dyDescent="0.25">
      <c r="A1963" t="s">
        <v>8</v>
      </c>
      <c r="B1963" t="s">
        <v>5656</v>
      </c>
      <c r="C1963" t="s">
        <v>5657</v>
      </c>
      <c r="D1963">
        <v>1</v>
      </c>
      <c r="E1963" t="s">
        <v>5525</v>
      </c>
      <c r="F1963" t="s">
        <v>5526</v>
      </c>
      <c r="G1963" s="1"/>
      <c r="H1963" t="str">
        <f>"3250613362720"</f>
        <v>3250613362720</v>
      </c>
      <c r="J1963" t="s">
        <v>5658</v>
      </c>
    </row>
    <row r="1964" spans="1:10" x14ac:dyDescent="0.25">
      <c r="A1964" t="s">
        <v>8</v>
      </c>
      <c r="B1964" t="s">
        <v>5659</v>
      </c>
      <c r="C1964" t="s">
        <v>5660</v>
      </c>
      <c r="D1964">
        <v>1</v>
      </c>
      <c r="E1964" t="s">
        <v>5525</v>
      </c>
      <c r="F1964" t="s">
        <v>5526</v>
      </c>
      <c r="G1964" s="1"/>
      <c r="H1964" t="str">
        <f>"3250613362782"</f>
        <v>3250613362782</v>
      </c>
      <c r="J1964" t="s">
        <v>5661</v>
      </c>
    </row>
    <row r="1965" spans="1:10" x14ac:dyDescent="0.25">
      <c r="A1965" t="s">
        <v>8</v>
      </c>
      <c r="B1965" t="s">
        <v>5662</v>
      </c>
      <c r="C1965" t="s">
        <v>5663</v>
      </c>
      <c r="D1965">
        <v>1</v>
      </c>
      <c r="E1965" t="s">
        <v>5525</v>
      </c>
      <c r="F1965" t="s">
        <v>5526</v>
      </c>
      <c r="G1965" s="1"/>
      <c r="H1965" t="str">
        <f>"3250613362249"</f>
        <v>3250613362249</v>
      </c>
      <c r="J1965" t="s">
        <v>5664</v>
      </c>
    </row>
    <row r="1966" spans="1:10" x14ac:dyDescent="0.25">
      <c r="A1966" t="s">
        <v>8</v>
      </c>
      <c r="B1966" t="s">
        <v>5665</v>
      </c>
      <c r="C1966" t="s">
        <v>5666</v>
      </c>
      <c r="D1966">
        <v>1</v>
      </c>
      <c r="E1966" t="s">
        <v>5525</v>
      </c>
      <c r="F1966" t="s">
        <v>5526</v>
      </c>
      <c r="G1966" s="1"/>
      <c r="H1966" t="str">
        <f>"3250613346539"</f>
        <v>3250613346539</v>
      </c>
      <c r="J1966" t="s">
        <v>5623</v>
      </c>
    </row>
    <row r="1967" spans="1:10" x14ac:dyDescent="0.25">
      <c r="A1967" t="s">
        <v>8</v>
      </c>
      <c r="B1967" t="s">
        <v>5667</v>
      </c>
      <c r="C1967" t="s">
        <v>5668</v>
      </c>
      <c r="D1967">
        <v>1</v>
      </c>
      <c r="E1967" t="s">
        <v>5525</v>
      </c>
      <c r="F1967" t="s">
        <v>5526</v>
      </c>
      <c r="G1967" s="1"/>
      <c r="H1967" t="str">
        <f>"3250613369521"</f>
        <v>3250613369521</v>
      </c>
      <c r="J1967" t="s">
        <v>5669</v>
      </c>
    </row>
    <row r="1968" spans="1:10" x14ac:dyDescent="0.25">
      <c r="A1968" t="s">
        <v>8</v>
      </c>
      <c r="B1968" t="s">
        <v>5670</v>
      </c>
      <c r="C1968" t="s">
        <v>5671</v>
      </c>
      <c r="D1968">
        <v>1</v>
      </c>
      <c r="E1968" t="s">
        <v>5525</v>
      </c>
      <c r="F1968" t="s">
        <v>5526</v>
      </c>
      <c r="G1968" s="1"/>
      <c r="H1968" t="str">
        <f>"3250613152253"</f>
        <v>3250613152253</v>
      </c>
      <c r="J1968" t="s">
        <v>5623</v>
      </c>
    </row>
    <row r="1969" spans="1:10" x14ac:dyDescent="0.25">
      <c r="A1969" t="s">
        <v>8</v>
      </c>
      <c r="B1969" t="s">
        <v>5672</v>
      </c>
      <c r="C1969" t="s">
        <v>5673</v>
      </c>
      <c r="D1969">
        <v>1</v>
      </c>
      <c r="E1969" t="s">
        <v>5525</v>
      </c>
      <c r="F1969" t="s">
        <v>5526</v>
      </c>
      <c r="G1969" s="1"/>
      <c r="H1969" t="str">
        <f>"3250613346782"</f>
        <v>3250613346782</v>
      </c>
      <c r="J1969" t="s">
        <v>5674</v>
      </c>
    </row>
    <row r="1970" spans="1:10" x14ac:dyDescent="0.25">
      <c r="A1970" t="s">
        <v>8</v>
      </c>
      <c r="B1970" t="s">
        <v>5675</v>
      </c>
      <c r="C1970" t="s">
        <v>5676</v>
      </c>
      <c r="D1970">
        <v>1</v>
      </c>
      <c r="E1970" t="s">
        <v>5525</v>
      </c>
      <c r="F1970" t="s">
        <v>5526</v>
      </c>
      <c r="G1970" s="1"/>
      <c r="H1970" t="str">
        <f>"3250613346911"</f>
        <v>3250613346911</v>
      </c>
      <c r="J1970" t="s">
        <v>5677</v>
      </c>
    </row>
    <row r="1971" spans="1:10" x14ac:dyDescent="0.25">
      <c r="A1971" t="s">
        <v>8</v>
      </c>
      <c r="B1971" t="s">
        <v>5678</v>
      </c>
      <c r="C1971" t="s">
        <v>5679</v>
      </c>
      <c r="D1971">
        <v>1</v>
      </c>
      <c r="E1971" t="s">
        <v>5525</v>
      </c>
      <c r="F1971" t="s">
        <v>5526</v>
      </c>
      <c r="G1971" s="1"/>
      <c r="H1971" t="str">
        <f>"3250613370428"</f>
        <v>3250613370428</v>
      </c>
      <c r="J1971" t="s">
        <v>5680</v>
      </c>
    </row>
    <row r="1972" spans="1:10" x14ac:dyDescent="0.25">
      <c r="A1972" t="s">
        <v>8</v>
      </c>
      <c r="B1972" t="s">
        <v>5681</v>
      </c>
      <c r="C1972" t="s">
        <v>5682</v>
      </c>
      <c r="D1972">
        <v>1</v>
      </c>
      <c r="E1972" t="s">
        <v>5525</v>
      </c>
      <c r="F1972" t="s">
        <v>5526</v>
      </c>
      <c r="G1972" s="1"/>
      <c r="H1972" t="str">
        <f>"3250613360351"</f>
        <v>3250613360351</v>
      </c>
      <c r="J1972" t="s">
        <v>5683</v>
      </c>
    </row>
    <row r="1973" spans="1:10" x14ac:dyDescent="0.25">
      <c r="A1973" t="s">
        <v>8</v>
      </c>
      <c r="B1973" t="s">
        <v>5684</v>
      </c>
      <c r="C1973" t="s">
        <v>5685</v>
      </c>
      <c r="D1973">
        <v>1</v>
      </c>
      <c r="E1973" t="s">
        <v>5525</v>
      </c>
      <c r="F1973" t="s">
        <v>5526</v>
      </c>
      <c r="G1973" s="1"/>
      <c r="H1973" t="str">
        <f>"3250613361709"</f>
        <v>3250613361709</v>
      </c>
      <c r="J1973" t="s">
        <v>5686</v>
      </c>
    </row>
    <row r="1974" spans="1:10" x14ac:dyDescent="0.25">
      <c r="A1974" t="s">
        <v>8</v>
      </c>
      <c r="B1974" t="s">
        <v>5687</v>
      </c>
      <c r="C1974" t="s">
        <v>5688</v>
      </c>
      <c r="D1974">
        <v>1</v>
      </c>
      <c r="E1974" t="s">
        <v>5525</v>
      </c>
      <c r="F1974" t="s">
        <v>5526</v>
      </c>
      <c r="G1974" s="1"/>
      <c r="H1974" t="str">
        <f>"3250613361594"</f>
        <v>3250613361594</v>
      </c>
      <c r="J1974" t="s">
        <v>5689</v>
      </c>
    </row>
    <row r="1975" spans="1:10" x14ac:dyDescent="0.25">
      <c r="A1975" t="s">
        <v>8</v>
      </c>
      <c r="B1975" t="s">
        <v>5690</v>
      </c>
      <c r="C1975" t="s">
        <v>5691</v>
      </c>
      <c r="D1975">
        <v>1</v>
      </c>
      <c r="E1975" t="s">
        <v>5525</v>
      </c>
      <c r="F1975" t="s">
        <v>5526</v>
      </c>
      <c r="G1975" s="1"/>
      <c r="H1975" t="str">
        <f>"3250613140670"</f>
        <v>3250613140670</v>
      </c>
      <c r="J1975" t="s">
        <v>5692</v>
      </c>
    </row>
    <row r="1976" spans="1:10" x14ac:dyDescent="0.25">
      <c r="A1976" t="s">
        <v>8</v>
      </c>
      <c r="B1976" t="s">
        <v>5693</v>
      </c>
      <c r="C1976" t="s">
        <v>5694</v>
      </c>
      <c r="D1976">
        <v>1</v>
      </c>
      <c r="E1976" t="s">
        <v>5525</v>
      </c>
      <c r="F1976" t="s">
        <v>5526</v>
      </c>
      <c r="G1976" s="1"/>
      <c r="H1976" t="str">
        <f>"3250613140724"</f>
        <v>3250613140724</v>
      </c>
      <c r="J1976" t="s">
        <v>5695</v>
      </c>
    </row>
    <row r="1977" spans="1:10" x14ac:dyDescent="0.25">
      <c r="A1977" t="s">
        <v>8</v>
      </c>
      <c r="B1977" t="s">
        <v>5696</v>
      </c>
      <c r="C1977" t="s">
        <v>5697</v>
      </c>
      <c r="D1977">
        <v>1</v>
      </c>
      <c r="E1977" t="s">
        <v>5525</v>
      </c>
      <c r="F1977" t="s">
        <v>5526</v>
      </c>
      <c r="G1977" s="1"/>
      <c r="H1977" t="str">
        <f>"3250613362713"</f>
        <v>3250613362713</v>
      </c>
      <c r="J1977" t="s">
        <v>5698</v>
      </c>
    </row>
    <row r="1978" spans="1:10" x14ac:dyDescent="0.25">
      <c r="A1978" t="s">
        <v>8</v>
      </c>
      <c r="B1978" t="s">
        <v>5699</v>
      </c>
      <c r="C1978" t="s">
        <v>5700</v>
      </c>
      <c r="D1978">
        <v>1</v>
      </c>
      <c r="E1978" t="s">
        <v>5525</v>
      </c>
      <c r="F1978" t="s">
        <v>5526</v>
      </c>
      <c r="G1978" s="1"/>
      <c r="H1978" t="str">
        <f>"3250613346423"</f>
        <v>3250613346423</v>
      </c>
      <c r="J1978" t="s">
        <v>5701</v>
      </c>
    </row>
    <row r="1979" spans="1:10" x14ac:dyDescent="0.25">
      <c r="A1979" t="s">
        <v>8</v>
      </c>
      <c r="B1979" t="s">
        <v>5702</v>
      </c>
      <c r="C1979" t="s">
        <v>5703</v>
      </c>
      <c r="D1979">
        <v>1</v>
      </c>
      <c r="E1979" t="s">
        <v>5525</v>
      </c>
      <c r="F1979" t="s">
        <v>5526</v>
      </c>
      <c r="G1979" s="1"/>
      <c r="H1979" t="str">
        <f>"3250613346478"</f>
        <v>3250613346478</v>
      </c>
      <c r="J1979" t="s">
        <v>5704</v>
      </c>
    </row>
    <row r="1980" spans="1:10" x14ac:dyDescent="0.25">
      <c r="A1980" t="s">
        <v>8</v>
      </c>
      <c r="B1980" t="s">
        <v>5705</v>
      </c>
      <c r="C1980" t="s">
        <v>5706</v>
      </c>
      <c r="D1980">
        <v>1</v>
      </c>
      <c r="E1980" t="s">
        <v>5525</v>
      </c>
      <c r="F1980" t="s">
        <v>5526</v>
      </c>
      <c r="G1980" s="1"/>
      <c r="H1980" t="str">
        <f>"3250613369453"</f>
        <v>3250613369453</v>
      </c>
      <c r="J1980" t="s">
        <v>5572</v>
      </c>
    </row>
    <row r="1981" spans="1:10" x14ac:dyDescent="0.25">
      <c r="A1981" t="s">
        <v>8</v>
      </c>
      <c r="B1981" t="s">
        <v>5707</v>
      </c>
      <c r="C1981" t="s">
        <v>5708</v>
      </c>
      <c r="D1981">
        <v>1</v>
      </c>
      <c r="E1981" t="s">
        <v>5525</v>
      </c>
      <c r="F1981" t="s">
        <v>5526</v>
      </c>
      <c r="G1981" s="1"/>
      <c r="H1981" t="str">
        <f>"3250613370268"</f>
        <v>3250613370268</v>
      </c>
      <c r="J1981" t="s">
        <v>5709</v>
      </c>
    </row>
    <row r="1982" spans="1:10" x14ac:dyDescent="0.25">
      <c r="A1982" t="s">
        <v>8</v>
      </c>
      <c r="B1982" t="s">
        <v>5710</v>
      </c>
      <c r="C1982" t="s">
        <v>5711</v>
      </c>
      <c r="D1982">
        <v>1</v>
      </c>
      <c r="E1982" t="s">
        <v>5525</v>
      </c>
      <c r="F1982" t="s">
        <v>5526</v>
      </c>
      <c r="G1982" s="1"/>
      <c r="H1982" t="str">
        <f>"3250613152246"</f>
        <v>3250613152246</v>
      </c>
      <c r="J1982" t="s">
        <v>5623</v>
      </c>
    </row>
    <row r="1983" spans="1:10" x14ac:dyDescent="0.25">
      <c r="A1983" t="s">
        <v>8</v>
      </c>
      <c r="B1983" t="s">
        <v>5712</v>
      </c>
      <c r="C1983" t="s">
        <v>5713</v>
      </c>
      <c r="D1983">
        <v>1</v>
      </c>
      <c r="E1983" t="s">
        <v>5525</v>
      </c>
      <c r="F1983" t="s">
        <v>5526</v>
      </c>
      <c r="G1983" s="1"/>
      <c r="H1983" t="str">
        <f>"3250613346775"</f>
        <v>3250613346775</v>
      </c>
      <c r="J1983" t="s">
        <v>5714</v>
      </c>
    </row>
    <row r="1984" spans="1:10" x14ac:dyDescent="0.25">
      <c r="A1984" t="s">
        <v>8</v>
      </c>
      <c r="B1984" t="s">
        <v>5715</v>
      </c>
      <c r="C1984" t="s">
        <v>5716</v>
      </c>
      <c r="D1984">
        <v>1</v>
      </c>
      <c r="E1984" t="s">
        <v>5525</v>
      </c>
      <c r="F1984" t="s">
        <v>5526</v>
      </c>
      <c r="G1984" s="1"/>
      <c r="H1984" t="str">
        <f>"3250613370596"</f>
        <v>3250613370596</v>
      </c>
      <c r="J1984" t="s">
        <v>5718</v>
      </c>
    </row>
    <row r="1985" spans="1:10" x14ac:dyDescent="0.25">
      <c r="A1985" t="s">
        <v>8</v>
      </c>
      <c r="B1985" t="s">
        <v>5719</v>
      </c>
      <c r="C1985" t="s">
        <v>5720</v>
      </c>
      <c r="D1985">
        <v>1</v>
      </c>
      <c r="E1985" t="s">
        <v>5525</v>
      </c>
      <c r="F1985" t="s">
        <v>5526</v>
      </c>
      <c r="G1985" s="1"/>
      <c r="H1985" t="str">
        <f>"3250613346904"</f>
        <v>3250613346904</v>
      </c>
      <c r="J1985" t="s">
        <v>5721</v>
      </c>
    </row>
    <row r="1986" spans="1:10" x14ac:dyDescent="0.25">
      <c r="A1986" t="s">
        <v>8</v>
      </c>
      <c r="B1986" t="s">
        <v>5722</v>
      </c>
      <c r="C1986" t="s">
        <v>5723</v>
      </c>
      <c r="D1986">
        <v>1</v>
      </c>
      <c r="E1986" t="s">
        <v>5525</v>
      </c>
      <c r="F1986" t="s">
        <v>5526</v>
      </c>
      <c r="G1986" s="1"/>
      <c r="H1986" t="str">
        <f>"3250613370411"</f>
        <v>3250613370411</v>
      </c>
      <c r="J1986" t="s">
        <v>5724</v>
      </c>
    </row>
    <row r="1987" spans="1:10" x14ac:dyDescent="0.25">
      <c r="A1987" t="s">
        <v>8</v>
      </c>
      <c r="B1987" t="s">
        <v>5725</v>
      </c>
      <c r="C1987" t="s">
        <v>5726</v>
      </c>
      <c r="D1987">
        <v>1</v>
      </c>
      <c r="E1987" t="s">
        <v>5525</v>
      </c>
      <c r="F1987" t="s">
        <v>5526</v>
      </c>
      <c r="G1987" s="1"/>
      <c r="H1987" t="str">
        <f>"3250613360344"</f>
        <v>3250613360344</v>
      </c>
      <c r="J1987" t="s">
        <v>5727</v>
      </c>
    </row>
    <row r="1988" spans="1:10" x14ac:dyDescent="0.25">
      <c r="A1988" t="s">
        <v>8</v>
      </c>
      <c r="B1988" t="s">
        <v>5728</v>
      </c>
      <c r="C1988" t="s">
        <v>5729</v>
      </c>
      <c r="D1988">
        <v>1</v>
      </c>
      <c r="E1988" t="s">
        <v>5525</v>
      </c>
      <c r="F1988" t="s">
        <v>5526</v>
      </c>
      <c r="G1988" s="1"/>
      <c r="H1988" t="str">
        <f>"3250613361563"</f>
        <v>3250613361563</v>
      </c>
      <c r="J1988" t="s">
        <v>5730</v>
      </c>
    </row>
    <row r="1989" spans="1:10" x14ac:dyDescent="0.25">
      <c r="A1989" t="s">
        <v>8</v>
      </c>
      <c r="B1989" t="s">
        <v>5731</v>
      </c>
      <c r="C1989" t="s">
        <v>5732</v>
      </c>
      <c r="D1989">
        <v>1</v>
      </c>
      <c r="E1989" t="s">
        <v>5525</v>
      </c>
      <c r="F1989" t="s">
        <v>5526</v>
      </c>
      <c r="G1989" s="1"/>
      <c r="H1989" t="str">
        <f>"3250613140663"</f>
        <v>3250613140663</v>
      </c>
      <c r="J1989" t="s">
        <v>5652</v>
      </c>
    </row>
    <row r="1990" spans="1:10" x14ac:dyDescent="0.25">
      <c r="A1990" t="s">
        <v>8</v>
      </c>
      <c r="B1990" t="s">
        <v>5733</v>
      </c>
      <c r="C1990" t="s">
        <v>5734</v>
      </c>
      <c r="D1990">
        <v>1</v>
      </c>
      <c r="E1990" t="s">
        <v>5525</v>
      </c>
      <c r="F1990" t="s">
        <v>5526</v>
      </c>
      <c r="G1990" s="1"/>
      <c r="H1990" t="str">
        <f>"3250613362706"</f>
        <v>3250613362706</v>
      </c>
      <c r="J1990" t="s">
        <v>5735</v>
      </c>
    </row>
    <row r="1991" spans="1:10" x14ac:dyDescent="0.25">
      <c r="A1991" t="s">
        <v>8</v>
      </c>
      <c r="B1991" t="s">
        <v>5736</v>
      </c>
      <c r="C1991" t="s">
        <v>5737</v>
      </c>
      <c r="D1991">
        <v>1</v>
      </c>
      <c r="E1991" t="s">
        <v>5525</v>
      </c>
      <c r="F1991" t="s">
        <v>5526</v>
      </c>
      <c r="G1991" s="1"/>
      <c r="H1991" t="str">
        <f>"3250613362171"</f>
        <v>3250613362171</v>
      </c>
      <c r="J1991" t="s">
        <v>5738</v>
      </c>
    </row>
    <row r="1992" spans="1:10" x14ac:dyDescent="0.25">
      <c r="A1992" t="s">
        <v>8</v>
      </c>
      <c r="B1992" t="s">
        <v>5739</v>
      </c>
      <c r="C1992" t="s">
        <v>5740</v>
      </c>
      <c r="D1992">
        <v>1</v>
      </c>
      <c r="E1992" t="s">
        <v>5525</v>
      </c>
      <c r="F1992" t="s">
        <v>5526</v>
      </c>
      <c r="G1992" s="1"/>
      <c r="H1992" t="str">
        <f>"3250613362942"</f>
        <v>3250613362942</v>
      </c>
      <c r="J1992" t="s">
        <v>5741</v>
      </c>
    </row>
    <row r="1993" spans="1:10" x14ac:dyDescent="0.25">
      <c r="A1993" t="s">
        <v>8</v>
      </c>
      <c r="B1993" t="s">
        <v>5742</v>
      </c>
      <c r="C1993" t="s">
        <v>5743</v>
      </c>
      <c r="D1993">
        <v>1</v>
      </c>
      <c r="E1993" t="s">
        <v>5525</v>
      </c>
      <c r="F1993" t="s">
        <v>5526</v>
      </c>
      <c r="G1993" s="1"/>
      <c r="H1993" t="str">
        <f>"3250613346416"</f>
        <v>3250613346416</v>
      </c>
      <c r="J1993" t="s">
        <v>5744</v>
      </c>
    </row>
    <row r="1994" spans="1:10" x14ac:dyDescent="0.25">
      <c r="A1994" t="s">
        <v>8</v>
      </c>
      <c r="B1994" t="s">
        <v>5745</v>
      </c>
      <c r="C1994" t="s">
        <v>5746</v>
      </c>
      <c r="D1994">
        <v>1</v>
      </c>
      <c r="E1994" t="s">
        <v>5525</v>
      </c>
      <c r="F1994" t="s">
        <v>5526</v>
      </c>
      <c r="G1994" s="1"/>
      <c r="H1994" t="str">
        <f>"3250613369446"</f>
        <v>3250613369446</v>
      </c>
      <c r="J1994" t="s">
        <v>5747</v>
      </c>
    </row>
    <row r="1995" spans="1:10" x14ac:dyDescent="0.25">
      <c r="A1995" t="s">
        <v>8</v>
      </c>
      <c r="B1995" t="s">
        <v>5748</v>
      </c>
      <c r="C1995" t="s">
        <v>5749</v>
      </c>
      <c r="D1995">
        <v>1</v>
      </c>
      <c r="E1995" t="s">
        <v>5525</v>
      </c>
      <c r="F1995" t="s">
        <v>5526</v>
      </c>
      <c r="G1995" s="1"/>
      <c r="H1995" t="str">
        <f>"3250613152185"</f>
        <v>3250613152185</v>
      </c>
      <c r="J1995" t="s">
        <v>5536</v>
      </c>
    </row>
    <row r="1996" spans="1:10" x14ac:dyDescent="0.25">
      <c r="A1996" t="s">
        <v>8</v>
      </c>
      <c r="B1996" t="s">
        <v>5750</v>
      </c>
      <c r="C1996" t="s">
        <v>5751</v>
      </c>
      <c r="D1996">
        <v>1</v>
      </c>
      <c r="E1996" t="s">
        <v>5525</v>
      </c>
      <c r="F1996" t="s">
        <v>5526</v>
      </c>
      <c r="G1996" s="1"/>
      <c r="H1996" t="str">
        <f>"3250613346768"</f>
        <v>3250613346768</v>
      </c>
      <c r="J1996" t="s">
        <v>5753</v>
      </c>
    </row>
    <row r="1997" spans="1:10" x14ac:dyDescent="0.25">
      <c r="A1997" t="s">
        <v>8</v>
      </c>
      <c r="B1997" t="s">
        <v>5754</v>
      </c>
      <c r="C1997" t="s">
        <v>5755</v>
      </c>
      <c r="D1997">
        <v>1</v>
      </c>
      <c r="E1997" t="s">
        <v>5525</v>
      </c>
      <c r="F1997" t="s">
        <v>5526</v>
      </c>
      <c r="G1997" s="1"/>
      <c r="H1997" t="str">
        <f>"3250613370404"</f>
        <v>3250613370404</v>
      </c>
      <c r="J1997" t="s">
        <v>5756</v>
      </c>
    </row>
    <row r="1998" spans="1:10" x14ac:dyDescent="0.25">
      <c r="A1998" t="s">
        <v>8</v>
      </c>
      <c r="B1998" t="s">
        <v>5757</v>
      </c>
      <c r="C1998" t="s">
        <v>5758</v>
      </c>
      <c r="D1998">
        <v>1</v>
      </c>
      <c r="E1998" t="s">
        <v>5525</v>
      </c>
      <c r="F1998" t="s">
        <v>5526</v>
      </c>
      <c r="G1998" s="1"/>
      <c r="H1998" t="str">
        <f>"3250613360627"</f>
        <v>3250613360627</v>
      </c>
      <c r="J1998" t="s">
        <v>5759</v>
      </c>
    </row>
    <row r="1999" spans="1:10" x14ac:dyDescent="0.25">
      <c r="A1999" t="s">
        <v>8</v>
      </c>
      <c r="B1999" t="s">
        <v>5760</v>
      </c>
      <c r="C1999" t="s">
        <v>5761</v>
      </c>
      <c r="D1999">
        <v>1</v>
      </c>
      <c r="E1999" t="s">
        <v>5525</v>
      </c>
      <c r="F1999" t="s">
        <v>5526</v>
      </c>
      <c r="G1999" s="1"/>
      <c r="H1999" t="str">
        <f>"3250613360696"</f>
        <v>3250613360696</v>
      </c>
      <c r="J1999" t="s">
        <v>5762</v>
      </c>
    </row>
    <row r="2000" spans="1:10" x14ac:dyDescent="0.25">
      <c r="A2000" t="s">
        <v>8</v>
      </c>
      <c r="B2000" t="s">
        <v>5763</v>
      </c>
      <c r="C2000" t="s">
        <v>5764</v>
      </c>
      <c r="D2000">
        <v>1</v>
      </c>
      <c r="E2000" t="s">
        <v>5525</v>
      </c>
      <c r="F2000" t="s">
        <v>5526</v>
      </c>
      <c r="G2000" s="1"/>
      <c r="H2000" t="str">
        <f>"3250613361631"</f>
        <v>3250613361631</v>
      </c>
      <c r="J2000" t="s">
        <v>5765</v>
      </c>
    </row>
    <row r="2001" spans="1:10" x14ac:dyDescent="0.25">
      <c r="A2001" t="s">
        <v>8</v>
      </c>
      <c r="B2001" t="s">
        <v>5766</v>
      </c>
      <c r="C2001" t="s">
        <v>5767</v>
      </c>
      <c r="D2001">
        <v>1</v>
      </c>
      <c r="E2001" t="s">
        <v>5525</v>
      </c>
      <c r="F2001" t="s">
        <v>5526</v>
      </c>
      <c r="G2001" s="1"/>
      <c r="H2001" t="str">
        <f>"3250613140632"</f>
        <v>3250613140632</v>
      </c>
      <c r="J2001" t="s">
        <v>5768</v>
      </c>
    </row>
    <row r="2002" spans="1:10" x14ac:dyDescent="0.25">
      <c r="A2002" t="s">
        <v>8</v>
      </c>
      <c r="B2002" t="s">
        <v>5769</v>
      </c>
      <c r="C2002" t="s">
        <v>5770</v>
      </c>
      <c r="D2002">
        <v>1</v>
      </c>
      <c r="E2002" t="s">
        <v>5525</v>
      </c>
      <c r="F2002" t="s">
        <v>5526</v>
      </c>
      <c r="G2002" s="1"/>
      <c r="H2002" t="str">
        <f>"3250613362317"</f>
        <v>3250613362317</v>
      </c>
      <c r="J2002" t="s">
        <v>5771</v>
      </c>
    </row>
    <row r="2003" spans="1:10" x14ac:dyDescent="0.25">
      <c r="A2003" t="s">
        <v>8</v>
      </c>
      <c r="B2003" t="s">
        <v>5772</v>
      </c>
      <c r="C2003" t="s">
        <v>5773</v>
      </c>
      <c r="D2003">
        <v>1</v>
      </c>
      <c r="E2003" t="s">
        <v>5525</v>
      </c>
      <c r="F2003" t="s">
        <v>5526</v>
      </c>
      <c r="G2003" s="1"/>
      <c r="H2003" t="str">
        <f>"3250613362690"</f>
        <v>3250613362690</v>
      </c>
      <c r="J2003" t="s">
        <v>5774</v>
      </c>
    </row>
    <row r="2004" spans="1:10" x14ac:dyDescent="0.25">
      <c r="A2004" t="s">
        <v>8</v>
      </c>
      <c r="B2004" t="s">
        <v>5775</v>
      </c>
      <c r="C2004" t="s">
        <v>5776</v>
      </c>
      <c r="D2004">
        <v>1</v>
      </c>
      <c r="E2004" t="s">
        <v>5525</v>
      </c>
      <c r="F2004" t="s">
        <v>5526</v>
      </c>
      <c r="G2004" s="1"/>
      <c r="H2004" t="str">
        <f>"3250613362164"</f>
        <v>3250613362164</v>
      </c>
      <c r="J2004" t="s">
        <v>5777</v>
      </c>
    </row>
    <row r="2005" spans="1:10" x14ac:dyDescent="0.25">
      <c r="A2005" t="s">
        <v>8</v>
      </c>
      <c r="B2005" t="s">
        <v>5778</v>
      </c>
      <c r="C2005" t="s">
        <v>5779</v>
      </c>
      <c r="D2005">
        <v>1</v>
      </c>
      <c r="E2005" t="s">
        <v>5525</v>
      </c>
      <c r="F2005" t="s">
        <v>5526</v>
      </c>
      <c r="G2005" s="1"/>
      <c r="H2005" t="str">
        <f>"3250613346331"</f>
        <v>3250613346331</v>
      </c>
      <c r="J2005" t="s">
        <v>5780</v>
      </c>
    </row>
    <row r="2006" spans="1:10" x14ac:dyDescent="0.25">
      <c r="A2006" t="s">
        <v>8</v>
      </c>
      <c r="B2006" t="s">
        <v>5781</v>
      </c>
      <c r="C2006" t="s">
        <v>5782</v>
      </c>
      <c r="D2006">
        <v>1</v>
      </c>
      <c r="E2006" t="s">
        <v>5525</v>
      </c>
      <c r="F2006" t="s">
        <v>5526</v>
      </c>
      <c r="G2006" s="1"/>
      <c r="H2006" t="str">
        <f>"3250613346409"</f>
        <v>3250613346409</v>
      </c>
      <c r="J2006" t="s">
        <v>5527</v>
      </c>
    </row>
    <row r="2007" spans="1:10" x14ac:dyDescent="0.25">
      <c r="A2007" t="s">
        <v>8</v>
      </c>
      <c r="B2007" t="s">
        <v>5783</v>
      </c>
      <c r="C2007" t="s">
        <v>5784</v>
      </c>
      <c r="D2007">
        <v>1</v>
      </c>
      <c r="E2007" t="s">
        <v>5525</v>
      </c>
      <c r="F2007" t="s">
        <v>5526</v>
      </c>
      <c r="G2007" s="1"/>
      <c r="H2007" t="str">
        <f>"3250613369439"</f>
        <v>3250613369439</v>
      </c>
      <c r="J2007" t="s">
        <v>5785</v>
      </c>
    </row>
    <row r="2008" spans="1:10" x14ac:dyDescent="0.25">
      <c r="A2008" t="s">
        <v>8</v>
      </c>
      <c r="B2008" t="s">
        <v>5786</v>
      </c>
      <c r="C2008" t="s">
        <v>5787</v>
      </c>
      <c r="D2008">
        <v>1</v>
      </c>
      <c r="E2008" t="s">
        <v>5525</v>
      </c>
      <c r="F2008" t="s">
        <v>5526</v>
      </c>
      <c r="G2008" s="1"/>
      <c r="H2008" t="str">
        <f>"3250613152178"</f>
        <v>3250613152178</v>
      </c>
      <c r="J2008" t="s">
        <v>5788</v>
      </c>
    </row>
    <row r="2009" spans="1:10" x14ac:dyDescent="0.25">
      <c r="A2009" t="s">
        <v>8</v>
      </c>
      <c r="B2009" t="s">
        <v>5789</v>
      </c>
      <c r="C2009" t="s">
        <v>5790</v>
      </c>
      <c r="D2009">
        <v>1</v>
      </c>
      <c r="E2009" t="s">
        <v>5525</v>
      </c>
      <c r="F2009" t="s">
        <v>5526</v>
      </c>
      <c r="G2009" s="1"/>
      <c r="H2009" t="str">
        <f>"3250613152406"</f>
        <v>3250613152406</v>
      </c>
      <c r="J2009" t="s">
        <v>5632</v>
      </c>
    </row>
    <row r="2010" spans="1:10" x14ac:dyDescent="0.25">
      <c r="A2010" t="s">
        <v>8</v>
      </c>
      <c r="B2010" t="s">
        <v>5791</v>
      </c>
      <c r="C2010" t="s">
        <v>5792</v>
      </c>
      <c r="D2010">
        <v>1</v>
      </c>
      <c r="E2010" t="s">
        <v>5525</v>
      </c>
      <c r="F2010" t="s">
        <v>5526</v>
      </c>
      <c r="G2010" s="1"/>
      <c r="H2010" t="str">
        <f>"3250613346720"</f>
        <v>3250613346720</v>
      </c>
      <c r="J2010" t="s">
        <v>5793</v>
      </c>
    </row>
    <row r="2011" spans="1:10" x14ac:dyDescent="0.25">
      <c r="A2011" t="s">
        <v>8</v>
      </c>
      <c r="B2011" t="s">
        <v>5794</v>
      </c>
      <c r="C2011" t="s">
        <v>5795</v>
      </c>
      <c r="D2011">
        <v>1</v>
      </c>
      <c r="E2011" t="s">
        <v>5525</v>
      </c>
      <c r="F2011" t="s">
        <v>5526</v>
      </c>
      <c r="G2011" s="1"/>
      <c r="H2011" t="str">
        <f>"3250613370220"</f>
        <v>3250613370220</v>
      </c>
      <c r="J2011" t="s">
        <v>5796</v>
      </c>
    </row>
    <row r="2012" spans="1:10" x14ac:dyDescent="0.25">
      <c r="A2012" t="s">
        <v>8</v>
      </c>
      <c r="B2012" t="s">
        <v>5797</v>
      </c>
      <c r="C2012" t="s">
        <v>5798</v>
      </c>
      <c r="D2012">
        <v>1</v>
      </c>
      <c r="E2012" t="s">
        <v>5525</v>
      </c>
      <c r="F2012" t="s">
        <v>5526</v>
      </c>
      <c r="G2012" s="1"/>
      <c r="H2012" t="str">
        <f>"3250613370398"</f>
        <v>3250613370398</v>
      </c>
      <c r="J2012" t="s">
        <v>5724</v>
      </c>
    </row>
    <row r="2013" spans="1:10" x14ac:dyDescent="0.25">
      <c r="A2013" t="s">
        <v>8</v>
      </c>
      <c r="B2013" t="s">
        <v>5799</v>
      </c>
      <c r="C2013" t="s">
        <v>5800</v>
      </c>
      <c r="D2013">
        <v>1</v>
      </c>
      <c r="E2013" t="s">
        <v>5525</v>
      </c>
      <c r="F2013" t="s">
        <v>5526</v>
      </c>
      <c r="G2013" s="1"/>
      <c r="H2013" t="str">
        <f>"3250613360450"</f>
        <v>3250613360450</v>
      </c>
      <c r="J2013" t="s">
        <v>5801</v>
      </c>
    </row>
    <row r="2014" spans="1:10" x14ac:dyDescent="0.25">
      <c r="A2014" t="s">
        <v>8</v>
      </c>
      <c r="B2014" t="s">
        <v>5802</v>
      </c>
      <c r="C2014" t="s">
        <v>5803</v>
      </c>
      <c r="D2014">
        <v>1</v>
      </c>
      <c r="E2014" t="s">
        <v>5525</v>
      </c>
      <c r="F2014" t="s">
        <v>5526</v>
      </c>
      <c r="G2014" s="1"/>
      <c r="H2014" t="str">
        <f>"3250613360689"</f>
        <v>3250613360689</v>
      </c>
      <c r="J2014" t="s">
        <v>5804</v>
      </c>
    </row>
    <row r="2015" spans="1:10" x14ac:dyDescent="0.25">
      <c r="A2015" t="s">
        <v>8</v>
      </c>
      <c r="B2015" t="s">
        <v>5805</v>
      </c>
      <c r="C2015" t="s">
        <v>5806</v>
      </c>
      <c r="D2015">
        <v>1</v>
      </c>
      <c r="E2015" t="s">
        <v>5525</v>
      </c>
      <c r="F2015" t="s">
        <v>5526</v>
      </c>
      <c r="G2015" s="1"/>
      <c r="H2015" t="str">
        <f>"3250613361624"</f>
        <v>3250613361624</v>
      </c>
      <c r="J2015" t="s">
        <v>5807</v>
      </c>
    </row>
    <row r="2016" spans="1:10" x14ac:dyDescent="0.25">
      <c r="A2016" t="s">
        <v>8</v>
      </c>
      <c r="B2016" t="s">
        <v>5808</v>
      </c>
      <c r="C2016" t="s">
        <v>5809</v>
      </c>
      <c r="D2016">
        <v>1</v>
      </c>
      <c r="E2016" t="s">
        <v>5525</v>
      </c>
      <c r="F2016" t="s">
        <v>5526</v>
      </c>
      <c r="G2016" s="1"/>
      <c r="H2016" t="str">
        <f>"3250613140625"</f>
        <v>3250613140625</v>
      </c>
      <c r="J2016" t="s">
        <v>5810</v>
      </c>
    </row>
    <row r="2017" spans="1:10" x14ac:dyDescent="0.25">
      <c r="A2017" t="s">
        <v>8</v>
      </c>
      <c r="B2017" t="s">
        <v>5811</v>
      </c>
      <c r="C2017" t="s">
        <v>5812</v>
      </c>
      <c r="D2017">
        <v>1</v>
      </c>
      <c r="E2017" t="s">
        <v>5525</v>
      </c>
      <c r="F2017" t="s">
        <v>5526</v>
      </c>
      <c r="G2017" s="1"/>
      <c r="H2017" t="str">
        <f>"3250613362621"</f>
        <v>3250613362621</v>
      </c>
      <c r="J2017" t="s">
        <v>5813</v>
      </c>
    </row>
    <row r="2018" spans="1:10" x14ac:dyDescent="0.25">
      <c r="A2018" t="s">
        <v>8</v>
      </c>
      <c r="B2018" t="s">
        <v>5814</v>
      </c>
      <c r="C2018" t="s">
        <v>5815</v>
      </c>
      <c r="D2018">
        <v>1</v>
      </c>
      <c r="E2018" t="s">
        <v>5525</v>
      </c>
      <c r="F2018" t="s">
        <v>5526</v>
      </c>
      <c r="G2018" s="1"/>
      <c r="H2018" t="str">
        <f>"3250613362775"</f>
        <v>3250613362775</v>
      </c>
      <c r="J2018" t="s">
        <v>5816</v>
      </c>
    </row>
    <row r="2019" spans="1:10" x14ac:dyDescent="0.25">
      <c r="A2019" t="s">
        <v>8</v>
      </c>
      <c r="B2019" t="s">
        <v>5817</v>
      </c>
      <c r="C2019" t="s">
        <v>5818</v>
      </c>
      <c r="D2019">
        <v>1</v>
      </c>
      <c r="E2019" t="s">
        <v>5525</v>
      </c>
      <c r="F2019" t="s">
        <v>5526</v>
      </c>
      <c r="G2019" s="1"/>
      <c r="H2019" t="str">
        <f>"3250613362409"</f>
        <v>3250613362409</v>
      </c>
      <c r="J2019" t="s">
        <v>5819</v>
      </c>
    </row>
    <row r="2020" spans="1:10" x14ac:dyDescent="0.25">
      <c r="A2020" t="s">
        <v>8</v>
      </c>
      <c r="B2020" t="s">
        <v>5820</v>
      </c>
      <c r="C2020" t="s">
        <v>5821</v>
      </c>
      <c r="D2020">
        <v>1</v>
      </c>
      <c r="E2020" t="s">
        <v>5525</v>
      </c>
      <c r="F2020" t="s">
        <v>5526</v>
      </c>
      <c r="G2020" s="1"/>
      <c r="H2020" t="str">
        <f>"3250613346324"</f>
        <v>3250613346324</v>
      </c>
      <c r="J2020" t="s">
        <v>5822</v>
      </c>
    </row>
    <row r="2021" spans="1:10" x14ac:dyDescent="0.25">
      <c r="A2021" t="s">
        <v>8</v>
      </c>
      <c r="B2021" t="s">
        <v>5823</v>
      </c>
      <c r="C2021" t="s">
        <v>5824</v>
      </c>
      <c r="D2021">
        <v>1</v>
      </c>
      <c r="E2021" t="s">
        <v>5525</v>
      </c>
      <c r="F2021" t="s">
        <v>5526</v>
      </c>
      <c r="G2021" s="1"/>
      <c r="H2021" t="str">
        <f>"3250613346393"</f>
        <v>3250613346393</v>
      </c>
      <c r="J2021" t="s">
        <v>5527</v>
      </c>
    </row>
    <row r="2022" spans="1:10" x14ac:dyDescent="0.25">
      <c r="A2022" t="s">
        <v>8</v>
      </c>
      <c r="B2022" t="s">
        <v>5825</v>
      </c>
      <c r="C2022" t="s">
        <v>5826</v>
      </c>
      <c r="D2022">
        <v>1</v>
      </c>
      <c r="E2022" t="s">
        <v>5525</v>
      </c>
      <c r="F2022" t="s">
        <v>5526</v>
      </c>
      <c r="G2022" s="1"/>
      <c r="H2022" t="str">
        <f>"3250613369514"</f>
        <v>3250613369514</v>
      </c>
      <c r="J2022" t="s">
        <v>5827</v>
      </c>
    </row>
    <row r="2023" spans="1:10" x14ac:dyDescent="0.25">
      <c r="A2023" t="s">
        <v>8</v>
      </c>
      <c r="B2023" t="s">
        <v>5828</v>
      </c>
      <c r="C2023" t="s">
        <v>5829</v>
      </c>
      <c r="D2023">
        <v>1</v>
      </c>
      <c r="E2023" t="s">
        <v>5525</v>
      </c>
      <c r="F2023" t="s">
        <v>5526</v>
      </c>
      <c r="G2023" s="1"/>
      <c r="H2023" t="str">
        <f>"3250613152161"</f>
        <v>3250613152161</v>
      </c>
      <c r="J2023" t="s">
        <v>5536</v>
      </c>
    </row>
    <row r="2024" spans="1:10" x14ac:dyDescent="0.25">
      <c r="A2024" t="s">
        <v>8</v>
      </c>
      <c r="B2024" t="s">
        <v>5830</v>
      </c>
      <c r="C2024" t="s">
        <v>5831</v>
      </c>
      <c r="D2024">
        <v>1</v>
      </c>
      <c r="E2024" t="s">
        <v>5525</v>
      </c>
      <c r="F2024" t="s">
        <v>5526</v>
      </c>
      <c r="G2024" s="1"/>
      <c r="H2024" t="str">
        <f>"3250613152390"</f>
        <v>3250613152390</v>
      </c>
      <c r="J2024" t="s">
        <v>5623</v>
      </c>
    </row>
    <row r="2025" spans="1:10" x14ac:dyDescent="0.25">
      <c r="A2025" t="s">
        <v>8</v>
      </c>
      <c r="B2025" t="s">
        <v>5832</v>
      </c>
      <c r="C2025" t="s">
        <v>5833</v>
      </c>
      <c r="D2025">
        <v>1</v>
      </c>
      <c r="E2025" t="s">
        <v>5525</v>
      </c>
      <c r="F2025" t="s">
        <v>5526</v>
      </c>
      <c r="G2025" s="1"/>
      <c r="H2025" t="str">
        <f>"3250613346829"</f>
        <v>3250613346829</v>
      </c>
      <c r="J2025" t="s">
        <v>5834</v>
      </c>
    </row>
    <row r="2026" spans="1:10" x14ac:dyDescent="0.25">
      <c r="A2026" t="s">
        <v>8</v>
      </c>
      <c r="B2026" t="s">
        <v>5835</v>
      </c>
      <c r="C2026" t="s">
        <v>5836</v>
      </c>
      <c r="D2026">
        <v>1</v>
      </c>
      <c r="E2026" t="s">
        <v>5525</v>
      </c>
      <c r="F2026" t="s">
        <v>5526</v>
      </c>
      <c r="G2026" s="1"/>
      <c r="H2026" t="str">
        <f>"3250613346751"</f>
        <v>3250613346751</v>
      </c>
      <c r="J2026" t="s">
        <v>5837</v>
      </c>
    </row>
    <row r="2027" spans="1:10" x14ac:dyDescent="0.25">
      <c r="A2027" t="s">
        <v>8</v>
      </c>
      <c r="B2027" t="s">
        <v>5838</v>
      </c>
      <c r="C2027" t="s">
        <v>5839</v>
      </c>
      <c r="D2027">
        <v>1</v>
      </c>
      <c r="E2027" t="s">
        <v>5525</v>
      </c>
      <c r="F2027" t="s">
        <v>5526</v>
      </c>
      <c r="G2027" s="1"/>
      <c r="H2027" t="str">
        <f>"3250613360443"</f>
        <v>3250613360443</v>
      </c>
      <c r="J2027" t="s">
        <v>5840</v>
      </c>
    </row>
    <row r="2028" spans="1:10" x14ac:dyDescent="0.25">
      <c r="A2028" t="s">
        <v>8</v>
      </c>
      <c r="B2028" t="s">
        <v>5841</v>
      </c>
      <c r="C2028" t="s">
        <v>5842</v>
      </c>
      <c r="D2028">
        <v>1</v>
      </c>
      <c r="E2028" t="s">
        <v>5525</v>
      </c>
      <c r="F2028" t="s">
        <v>5526</v>
      </c>
      <c r="G2028" s="1"/>
      <c r="H2028" t="str">
        <f>"3250613360474"</f>
        <v>3250613360474</v>
      </c>
      <c r="J2028" t="s">
        <v>5843</v>
      </c>
    </row>
    <row r="2029" spans="1:10" x14ac:dyDescent="0.25">
      <c r="A2029" t="s">
        <v>8</v>
      </c>
      <c r="B2029" t="s">
        <v>5844</v>
      </c>
      <c r="C2029" t="s">
        <v>5845</v>
      </c>
      <c r="D2029">
        <v>1</v>
      </c>
      <c r="E2029" t="s">
        <v>5525</v>
      </c>
      <c r="F2029" t="s">
        <v>5526</v>
      </c>
      <c r="G2029" s="1"/>
      <c r="H2029" t="str">
        <f>"3250613362546"</f>
        <v>3250613362546</v>
      </c>
      <c r="J2029" t="s">
        <v>5846</v>
      </c>
    </row>
    <row r="2030" spans="1:10" x14ac:dyDescent="0.25">
      <c r="A2030" t="s">
        <v>8</v>
      </c>
      <c r="B2030" t="s">
        <v>5847</v>
      </c>
      <c r="C2030" t="s">
        <v>5848</v>
      </c>
      <c r="D2030">
        <v>1</v>
      </c>
      <c r="E2030" t="s">
        <v>5525</v>
      </c>
      <c r="F2030" t="s">
        <v>5526</v>
      </c>
      <c r="G2030" s="1"/>
      <c r="H2030" t="str">
        <f>"3250613362607"</f>
        <v>3250613362607</v>
      </c>
      <c r="J2030" t="s">
        <v>5849</v>
      </c>
    </row>
    <row r="2031" spans="1:10" x14ac:dyDescent="0.25">
      <c r="A2031" t="s">
        <v>8</v>
      </c>
      <c r="B2031" t="s">
        <v>5850</v>
      </c>
      <c r="C2031" t="s">
        <v>5851</v>
      </c>
      <c r="D2031">
        <v>1</v>
      </c>
      <c r="E2031" t="s">
        <v>5525</v>
      </c>
      <c r="F2031" t="s">
        <v>5526</v>
      </c>
      <c r="G2031" s="1"/>
      <c r="H2031" t="str">
        <f>"3250613362768"</f>
        <v>3250613362768</v>
      </c>
      <c r="J2031" t="s">
        <v>5852</v>
      </c>
    </row>
    <row r="2032" spans="1:10" x14ac:dyDescent="0.25">
      <c r="A2032" t="s">
        <v>8</v>
      </c>
      <c r="B2032" t="s">
        <v>5853</v>
      </c>
      <c r="C2032" t="s">
        <v>5854</v>
      </c>
      <c r="D2032">
        <v>1</v>
      </c>
      <c r="E2032" t="s">
        <v>5525</v>
      </c>
      <c r="F2032" t="s">
        <v>5526</v>
      </c>
      <c r="G2032" s="1"/>
      <c r="H2032" t="str">
        <f>"3250613362386"</f>
        <v>3250613362386</v>
      </c>
      <c r="J2032" t="s">
        <v>5855</v>
      </c>
    </row>
    <row r="2033" spans="1:10" x14ac:dyDescent="0.25">
      <c r="A2033" t="s">
        <v>8</v>
      </c>
      <c r="B2033" t="s">
        <v>5856</v>
      </c>
      <c r="C2033" t="s">
        <v>5857</v>
      </c>
      <c r="D2033">
        <v>1</v>
      </c>
      <c r="E2033" t="s">
        <v>5525</v>
      </c>
      <c r="F2033" t="s">
        <v>5526</v>
      </c>
      <c r="G2033" s="1"/>
      <c r="H2033" t="str">
        <f>"3250613346317"</f>
        <v>3250613346317</v>
      </c>
      <c r="J2033" t="s">
        <v>5858</v>
      </c>
    </row>
    <row r="2034" spans="1:10" x14ac:dyDescent="0.25">
      <c r="A2034" t="s">
        <v>8</v>
      </c>
      <c r="B2034" t="s">
        <v>5859</v>
      </c>
      <c r="C2034" t="s">
        <v>5860</v>
      </c>
      <c r="D2034">
        <v>1</v>
      </c>
      <c r="E2034" t="s">
        <v>5525</v>
      </c>
      <c r="F2034" t="s">
        <v>5526</v>
      </c>
      <c r="G2034" s="1"/>
      <c r="H2034" t="str">
        <f>"3250613346461"</f>
        <v>3250613346461</v>
      </c>
      <c r="J2034" t="s">
        <v>5861</v>
      </c>
    </row>
    <row r="2035" spans="1:10" x14ac:dyDescent="0.25">
      <c r="A2035" t="s">
        <v>8</v>
      </c>
      <c r="B2035" t="s">
        <v>5862</v>
      </c>
      <c r="C2035" t="s">
        <v>5863</v>
      </c>
      <c r="D2035">
        <v>1</v>
      </c>
      <c r="E2035" t="s">
        <v>5525</v>
      </c>
      <c r="F2035" t="s">
        <v>5526</v>
      </c>
      <c r="G2035" s="1"/>
      <c r="H2035" t="str">
        <f>"3250613346577"</f>
        <v>3250613346577</v>
      </c>
      <c r="J2035" t="s">
        <v>5632</v>
      </c>
    </row>
    <row r="2036" spans="1:10" x14ac:dyDescent="0.25">
      <c r="A2036" t="s">
        <v>8</v>
      </c>
      <c r="B2036" t="s">
        <v>5864</v>
      </c>
      <c r="C2036" t="s">
        <v>5865</v>
      </c>
      <c r="D2036">
        <v>1</v>
      </c>
      <c r="E2036" t="s">
        <v>5525</v>
      </c>
      <c r="F2036" t="s">
        <v>5526</v>
      </c>
      <c r="G2036" s="1"/>
      <c r="H2036" t="str">
        <f>"3250613152239"</f>
        <v>3250613152239</v>
      </c>
      <c r="J2036" t="s">
        <v>5623</v>
      </c>
    </row>
    <row r="2037" spans="1:10" x14ac:dyDescent="0.25">
      <c r="A2037" t="s">
        <v>8</v>
      </c>
      <c r="B2037" t="s">
        <v>5866</v>
      </c>
      <c r="C2037" t="s">
        <v>5867</v>
      </c>
      <c r="D2037">
        <v>1</v>
      </c>
      <c r="E2037" t="s">
        <v>5525</v>
      </c>
      <c r="F2037" t="s">
        <v>5526</v>
      </c>
      <c r="G2037" s="1"/>
      <c r="H2037" t="str">
        <f>"3250613152383"</f>
        <v>3250613152383</v>
      </c>
      <c r="J2037" t="s">
        <v>5623</v>
      </c>
    </row>
    <row r="2038" spans="1:10" x14ac:dyDescent="0.25">
      <c r="A2038" t="s">
        <v>8</v>
      </c>
      <c r="B2038" t="s">
        <v>5868</v>
      </c>
      <c r="C2038" t="s">
        <v>5869</v>
      </c>
      <c r="D2038">
        <v>1</v>
      </c>
      <c r="E2038" t="s">
        <v>5525</v>
      </c>
      <c r="F2038" t="s">
        <v>5526</v>
      </c>
      <c r="G2038" s="1"/>
      <c r="H2038" t="str">
        <f>"3250613346812"</f>
        <v>3250613346812</v>
      </c>
      <c r="J2038" t="s">
        <v>5870</v>
      </c>
    </row>
    <row r="2039" spans="1:10" x14ac:dyDescent="0.25">
      <c r="A2039" t="s">
        <v>8</v>
      </c>
      <c r="B2039" t="s">
        <v>5871</v>
      </c>
      <c r="C2039" t="s">
        <v>5872</v>
      </c>
      <c r="D2039">
        <v>1</v>
      </c>
      <c r="E2039" t="s">
        <v>5525</v>
      </c>
      <c r="F2039" t="s">
        <v>5526</v>
      </c>
      <c r="G2039" s="1"/>
      <c r="H2039" t="str">
        <f>"3250613346744"</f>
        <v>3250613346744</v>
      </c>
      <c r="J2039" t="s">
        <v>5873</v>
      </c>
    </row>
    <row r="2040" spans="1:10" x14ac:dyDescent="0.25">
      <c r="A2040" t="s">
        <v>8</v>
      </c>
      <c r="B2040" t="s">
        <v>5874</v>
      </c>
      <c r="C2040" t="s">
        <v>5875</v>
      </c>
      <c r="D2040">
        <v>1</v>
      </c>
      <c r="E2040" t="s">
        <v>5525</v>
      </c>
      <c r="F2040" t="s">
        <v>5526</v>
      </c>
      <c r="G2040" s="1"/>
      <c r="H2040" t="str">
        <f>"3250613360337"</f>
        <v>3250613360337</v>
      </c>
      <c r="J2040" t="s">
        <v>5876</v>
      </c>
    </row>
    <row r="2041" spans="1:10" x14ac:dyDescent="0.25">
      <c r="A2041" t="s">
        <v>8</v>
      </c>
      <c r="B2041" t="s">
        <v>5877</v>
      </c>
      <c r="C2041" t="s">
        <v>5878</v>
      </c>
      <c r="D2041">
        <v>1</v>
      </c>
      <c r="E2041" t="s">
        <v>5525</v>
      </c>
      <c r="F2041" t="s">
        <v>5526</v>
      </c>
      <c r="G2041" s="1"/>
      <c r="H2041" t="str">
        <f>"3250613360436"</f>
        <v>3250613360436</v>
      </c>
      <c r="J2041" t="s">
        <v>5840</v>
      </c>
    </row>
    <row r="2042" spans="1:10" x14ac:dyDescent="0.25">
      <c r="A2042" t="s">
        <v>8</v>
      </c>
      <c r="B2042" t="s">
        <v>5879</v>
      </c>
      <c r="C2042" t="s">
        <v>5880</v>
      </c>
      <c r="D2042">
        <v>1</v>
      </c>
      <c r="E2042" t="s">
        <v>5525</v>
      </c>
      <c r="F2042" t="s">
        <v>5526</v>
      </c>
      <c r="G2042" s="1"/>
      <c r="H2042" t="str">
        <f>"3250613360467"</f>
        <v>3250613360467</v>
      </c>
      <c r="J2042" t="s">
        <v>5881</v>
      </c>
    </row>
    <row r="2043" spans="1:10" x14ac:dyDescent="0.25">
      <c r="A2043" t="s">
        <v>8</v>
      </c>
      <c r="B2043" t="s">
        <v>5882</v>
      </c>
      <c r="C2043" t="s">
        <v>5883</v>
      </c>
      <c r="D2043">
        <v>1</v>
      </c>
      <c r="E2043" t="s">
        <v>5525</v>
      </c>
      <c r="F2043" t="s">
        <v>5526</v>
      </c>
      <c r="G2043" s="1"/>
      <c r="H2043" t="str">
        <f>"3250613361587"</f>
        <v>3250613361587</v>
      </c>
      <c r="J2043" t="s">
        <v>5884</v>
      </c>
    </row>
    <row r="2044" spans="1:10" x14ac:dyDescent="0.25">
      <c r="A2044" t="s">
        <v>8</v>
      </c>
      <c r="B2044" t="s">
        <v>5885</v>
      </c>
      <c r="C2044" t="s">
        <v>5886</v>
      </c>
      <c r="D2044">
        <v>1</v>
      </c>
      <c r="E2044" t="s">
        <v>5525</v>
      </c>
      <c r="F2044" t="s">
        <v>5526</v>
      </c>
      <c r="G2044" s="1"/>
      <c r="H2044" t="str">
        <f>"3250613362539"</f>
        <v>3250613362539</v>
      </c>
      <c r="J2044" t="s">
        <v>5887</v>
      </c>
    </row>
    <row r="2045" spans="1:10" x14ac:dyDescent="0.25">
      <c r="A2045" t="s">
        <v>8</v>
      </c>
      <c r="B2045" t="s">
        <v>5888</v>
      </c>
      <c r="C2045" t="s">
        <v>5889</v>
      </c>
      <c r="D2045">
        <v>1</v>
      </c>
      <c r="E2045" t="s">
        <v>5525</v>
      </c>
      <c r="F2045" t="s">
        <v>5526</v>
      </c>
      <c r="G2045" s="1"/>
      <c r="H2045" t="str">
        <f>"3250613362584"</f>
        <v>3250613362584</v>
      </c>
      <c r="J2045" t="s">
        <v>5890</v>
      </c>
    </row>
    <row r="2046" spans="1:10" x14ac:dyDescent="0.25">
      <c r="A2046" t="s">
        <v>8</v>
      </c>
      <c r="B2046" t="s">
        <v>5891</v>
      </c>
      <c r="C2046" t="s">
        <v>5892</v>
      </c>
      <c r="D2046">
        <v>1</v>
      </c>
      <c r="E2046" t="s">
        <v>5525</v>
      </c>
      <c r="F2046" t="s">
        <v>5526</v>
      </c>
      <c r="G2046" s="1"/>
      <c r="H2046" t="str">
        <f>"3250613362744"</f>
        <v>3250613362744</v>
      </c>
      <c r="J2046" t="s">
        <v>5893</v>
      </c>
    </row>
    <row r="2047" spans="1:10" x14ac:dyDescent="0.25">
      <c r="A2047" t="s">
        <v>8</v>
      </c>
      <c r="B2047" t="s">
        <v>5894</v>
      </c>
      <c r="C2047" t="s">
        <v>5895</v>
      </c>
      <c r="D2047">
        <v>1</v>
      </c>
      <c r="E2047" t="s">
        <v>5525</v>
      </c>
      <c r="F2047" t="s">
        <v>5526</v>
      </c>
      <c r="G2047" s="1"/>
      <c r="H2047" t="str">
        <f>"3250613362935"</f>
        <v>3250613362935</v>
      </c>
      <c r="J2047" t="s">
        <v>5896</v>
      </c>
    </row>
    <row r="2048" spans="1:10" x14ac:dyDescent="0.25">
      <c r="A2048" t="s">
        <v>8</v>
      </c>
      <c r="B2048" t="s">
        <v>5897</v>
      </c>
      <c r="C2048" t="s">
        <v>5898</v>
      </c>
      <c r="D2048">
        <v>1</v>
      </c>
      <c r="E2048" t="s">
        <v>5525</v>
      </c>
      <c r="F2048" t="s">
        <v>5526</v>
      </c>
      <c r="G2048" s="1"/>
      <c r="H2048" t="str">
        <f>"3250613346454"</f>
        <v>3250613346454</v>
      </c>
      <c r="J2048" t="s">
        <v>5899</v>
      </c>
    </row>
    <row r="2049" spans="1:10" x14ac:dyDescent="0.25">
      <c r="A2049" t="s">
        <v>8</v>
      </c>
      <c r="B2049" t="s">
        <v>5900</v>
      </c>
      <c r="C2049" t="s">
        <v>5901</v>
      </c>
      <c r="D2049">
        <v>1</v>
      </c>
      <c r="E2049" t="s">
        <v>5525</v>
      </c>
      <c r="F2049" t="s">
        <v>5526</v>
      </c>
      <c r="G2049" s="1"/>
      <c r="H2049" t="str">
        <f>"3250613370305"</f>
        <v>3250613370305</v>
      </c>
      <c r="J2049" t="s">
        <v>5902</v>
      </c>
    </row>
    <row r="2050" spans="1:10" x14ac:dyDescent="0.25">
      <c r="A2050" t="s">
        <v>8</v>
      </c>
      <c r="B2050" t="s">
        <v>5903</v>
      </c>
      <c r="C2050" t="s">
        <v>5904</v>
      </c>
      <c r="D2050">
        <v>1</v>
      </c>
      <c r="E2050" t="s">
        <v>5525</v>
      </c>
      <c r="F2050" t="s">
        <v>5526</v>
      </c>
      <c r="G2050" s="1"/>
      <c r="H2050" t="str">
        <f>"3250613152376"</f>
        <v>3250613152376</v>
      </c>
      <c r="J2050" t="s">
        <v>5623</v>
      </c>
    </row>
    <row r="2051" spans="1:10" x14ac:dyDescent="0.25">
      <c r="A2051" t="s">
        <v>8</v>
      </c>
      <c r="B2051" t="s">
        <v>5905</v>
      </c>
      <c r="C2051" t="s">
        <v>5906</v>
      </c>
      <c r="D2051">
        <v>1</v>
      </c>
      <c r="E2051" t="s">
        <v>5525</v>
      </c>
      <c r="F2051" t="s">
        <v>5526</v>
      </c>
      <c r="G2051" s="1"/>
      <c r="H2051" t="str">
        <f>"3250613346805"</f>
        <v>3250613346805</v>
      </c>
      <c r="J2051" t="s">
        <v>5907</v>
      </c>
    </row>
    <row r="2052" spans="1:10" x14ac:dyDescent="0.25">
      <c r="A2052" t="s">
        <v>8</v>
      </c>
      <c r="B2052" t="s">
        <v>5908</v>
      </c>
      <c r="C2052" t="s">
        <v>5909</v>
      </c>
      <c r="D2052">
        <v>1</v>
      </c>
      <c r="E2052" t="s">
        <v>5525</v>
      </c>
      <c r="F2052" t="s">
        <v>5526</v>
      </c>
      <c r="G2052" s="1"/>
      <c r="H2052" t="str">
        <f>"3250613362300"</f>
        <v>3250613362300</v>
      </c>
      <c r="J2052" t="s">
        <v>5557</v>
      </c>
    </row>
    <row r="2053" spans="1:10" x14ac:dyDescent="0.25">
      <c r="A2053" t="s">
        <v>8</v>
      </c>
      <c r="B2053" t="s">
        <v>5910</v>
      </c>
      <c r="C2053" t="s">
        <v>5911</v>
      </c>
      <c r="D2053">
        <v>1</v>
      </c>
      <c r="E2053" t="s">
        <v>5525</v>
      </c>
      <c r="F2053" t="s">
        <v>5526</v>
      </c>
      <c r="G2053" s="1"/>
      <c r="H2053" t="str">
        <f>"3250613140700"</f>
        <v>3250613140700</v>
      </c>
      <c r="J2053" t="s">
        <v>5692</v>
      </c>
    </row>
    <row r="2054" spans="1:10" x14ac:dyDescent="0.25">
      <c r="A2054" t="s">
        <v>8</v>
      </c>
      <c r="B2054" t="s">
        <v>5912</v>
      </c>
      <c r="C2054" t="s">
        <v>5913</v>
      </c>
      <c r="D2054">
        <v>1</v>
      </c>
      <c r="E2054" t="s">
        <v>5525</v>
      </c>
      <c r="F2054" t="s">
        <v>5526</v>
      </c>
      <c r="G2054" s="1"/>
      <c r="H2054" t="str">
        <f>"3250613362591"</f>
        <v>3250613362591</v>
      </c>
      <c r="J2054" t="s">
        <v>5914</v>
      </c>
    </row>
    <row r="2055" spans="1:10" x14ac:dyDescent="0.25">
      <c r="A2055" t="s">
        <v>8</v>
      </c>
      <c r="B2055" t="s">
        <v>5915</v>
      </c>
      <c r="C2055" t="s">
        <v>5916</v>
      </c>
      <c r="D2055">
        <v>1</v>
      </c>
      <c r="E2055" t="s">
        <v>5525</v>
      </c>
      <c r="F2055" t="s">
        <v>5526</v>
      </c>
      <c r="G2055" s="1"/>
      <c r="H2055" t="str">
        <f>"3250613362683"</f>
        <v>3250613362683</v>
      </c>
      <c r="J2055" t="s">
        <v>5917</v>
      </c>
    </row>
    <row r="2056" spans="1:10" x14ac:dyDescent="0.25">
      <c r="A2056" t="s">
        <v>8</v>
      </c>
      <c r="B2056" t="s">
        <v>5918</v>
      </c>
      <c r="C2056" t="s">
        <v>5919</v>
      </c>
      <c r="D2056">
        <v>1</v>
      </c>
      <c r="E2056" t="s">
        <v>5525</v>
      </c>
      <c r="F2056" t="s">
        <v>5526</v>
      </c>
      <c r="G2056" s="1"/>
      <c r="H2056" t="str">
        <f>"3250613362737"</f>
        <v>3250613362737</v>
      </c>
      <c r="J2056" t="s">
        <v>5920</v>
      </c>
    </row>
    <row r="2057" spans="1:10" x14ac:dyDescent="0.25">
      <c r="A2057" t="s">
        <v>8</v>
      </c>
      <c r="B2057" t="s">
        <v>5921</v>
      </c>
      <c r="C2057" t="s">
        <v>5922</v>
      </c>
      <c r="D2057">
        <v>1</v>
      </c>
      <c r="E2057" t="s">
        <v>5525</v>
      </c>
      <c r="F2057" t="s">
        <v>5526</v>
      </c>
      <c r="G2057" s="1"/>
      <c r="H2057" t="str">
        <f>"3250613362928"</f>
        <v>3250613362928</v>
      </c>
      <c r="J2057" t="s">
        <v>5923</v>
      </c>
    </row>
    <row r="2058" spans="1:10" x14ac:dyDescent="0.25">
      <c r="A2058" t="s">
        <v>8</v>
      </c>
      <c r="B2058" t="s">
        <v>5924</v>
      </c>
      <c r="C2058" t="s">
        <v>5925</v>
      </c>
      <c r="D2058">
        <v>1</v>
      </c>
      <c r="E2058" t="s">
        <v>5525</v>
      </c>
      <c r="F2058" t="s">
        <v>5526</v>
      </c>
      <c r="G2058" s="1"/>
      <c r="H2058" t="str">
        <f>"3250613346386"</f>
        <v>3250613346386</v>
      </c>
      <c r="J2058" t="s">
        <v>5926</v>
      </c>
    </row>
    <row r="2059" spans="1:10" x14ac:dyDescent="0.25">
      <c r="A2059" t="s">
        <v>8</v>
      </c>
      <c r="B2059" t="s">
        <v>5927</v>
      </c>
      <c r="C2059" t="s">
        <v>5928</v>
      </c>
      <c r="D2059">
        <v>1</v>
      </c>
      <c r="E2059" t="s">
        <v>5525</v>
      </c>
      <c r="F2059" t="s">
        <v>5526</v>
      </c>
      <c r="G2059" s="1"/>
      <c r="H2059" t="str">
        <f>"3250613346447"</f>
        <v>3250613346447</v>
      </c>
      <c r="J2059" t="s">
        <v>5929</v>
      </c>
    </row>
    <row r="2060" spans="1:10" x14ac:dyDescent="0.25">
      <c r="A2060" t="s">
        <v>8</v>
      </c>
      <c r="B2060" t="s">
        <v>5930</v>
      </c>
      <c r="C2060" t="s">
        <v>5931</v>
      </c>
      <c r="D2060">
        <v>1</v>
      </c>
      <c r="E2060" t="s">
        <v>5525</v>
      </c>
      <c r="F2060" t="s">
        <v>5526</v>
      </c>
      <c r="G2060" s="1"/>
      <c r="H2060" t="str">
        <f>"3250613369422"</f>
        <v>3250613369422</v>
      </c>
      <c r="J2060" t="s">
        <v>5932</v>
      </c>
    </row>
    <row r="2061" spans="1:10" x14ac:dyDescent="0.25">
      <c r="A2061" t="s">
        <v>8</v>
      </c>
      <c r="B2061" t="s">
        <v>5933</v>
      </c>
      <c r="C2061" t="s">
        <v>5934</v>
      </c>
      <c r="D2061">
        <v>1</v>
      </c>
      <c r="E2061" t="s">
        <v>5525</v>
      </c>
      <c r="F2061" t="s">
        <v>5526</v>
      </c>
      <c r="G2061" s="1"/>
      <c r="H2061" t="str">
        <f>"3250613370299"</f>
        <v>3250613370299</v>
      </c>
      <c r="J2061" t="s">
        <v>5935</v>
      </c>
    </row>
    <row r="2062" spans="1:10" x14ac:dyDescent="0.25">
      <c r="A2062" t="s">
        <v>8</v>
      </c>
      <c r="B2062" t="s">
        <v>5936</v>
      </c>
      <c r="C2062" t="s">
        <v>5937</v>
      </c>
      <c r="D2062">
        <v>1</v>
      </c>
      <c r="E2062" t="s">
        <v>5525</v>
      </c>
      <c r="F2062" t="s">
        <v>5526</v>
      </c>
      <c r="G2062" s="1"/>
      <c r="H2062" t="str">
        <f>"3250613346713"</f>
        <v>3250613346713</v>
      </c>
      <c r="J2062" t="s">
        <v>5938</v>
      </c>
    </row>
    <row r="2063" spans="1:10" x14ac:dyDescent="0.25">
      <c r="A2063" t="s">
        <v>8</v>
      </c>
      <c r="B2063" t="s">
        <v>5939</v>
      </c>
      <c r="C2063" t="s">
        <v>5940</v>
      </c>
      <c r="D2063">
        <v>1</v>
      </c>
      <c r="E2063" t="s">
        <v>5525</v>
      </c>
      <c r="F2063" t="s">
        <v>5526</v>
      </c>
      <c r="G2063" s="1"/>
      <c r="H2063" t="str">
        <f>"3250613346799"</f>
        <v>3250613346799</v>
      </c>
      <c r="J2063" t="s">
        <v>5941</v>
      </c>
    </row>
    <row r="2064" spans="1:10" x14ac:dyDescent="0.25">
      <c r="A2064" t="s">
        <v>8</v>
      </c>
      <c r="B2064" t="s">
        <v>5942</v>
      </c>
      <c r="C2064" t="s">
        <v>5943</v>
      </c>
      <c r="D2064">
        <v>1</v>
      </c>
      <c r="E2064" t="s">
        <v>5525</v>
      </c>
      <c r="F2064" t="s">
        <v>5526</v>
      </c>
      <c r="G2064" s="1"/>
      <c r="H2064" t="str">
        <f>"3250613370381"</f>
        <v>3250613370381</v>
      </c>
      <c r="J2064" t="s">
        <v>5756</v>
      </c>
    </row>
    <row r="2065" spans="1:10" x14ac:dyDescent="0.25">
      <c r="A2065" t="s">
        <v>8</v>
      </c>
      <c r="B2065" t="s">
        <v>5944</v>
      </c>
      <c r="C2065" t="s">
        <v>5945</v>
      </c>
      <c r="D2065">
        <v>1</v>
      </c>
      <c r="E2065" t="s">
        <v>5525</v>
      </c>
      <c r="F2065" t="s">
        <v>5526</v>
      </c>
      <c r="G2065" s="1"/>
      <c r="H2065" t="str">
        <f>"3250613360078"</f>
        <v>3250613360078</v>
      </c>
      <c r="J2065" t="s">
        <v>1297</v>
      </c>
    </row>
    <row r="2066" spans="1:10" x14ac:dyDescent="0.25">
      <c r="A2066" t="s">
        <v>8</v>
      </c>
      <c r="B2066" t="s">
        <v>5946</v>
      </c>
      <c r="C2066" t="s">
        <v>5947</v>
      </c>
      <c r="D2066">
        <v>1</v>
      </c>
      <c r="E2066" t="s">
        <v>5525</v>
      </c>
      <c r="F2066" t="s">
        <v>5526</v>
      </c>
      <c r="G2066" s="1"/>
      <c r="H2066" t="str">
        <f>"3250613360672"</f>
        <v>3250613360672</v>
      </c>
      <c r="J2066" t="s">
        <v>5948</v>
      </c>
    </row>
    <row r="2067" spans="1:10" x14ac:dyDescent="0.25">
      <c r="A2067" t="s">
        <v>8</v>
      </c>
      <c r="B2067" t="s">
        <v>5949</v>
      </c>
      <c r="C2067" t="s">
        <v>5950</v>
      </c>
      <c r="D2067">
        <v>1</v>
      </c>
      <c r="E2067" t="s">
        <v>5525</v>
      </c>
      <c r="F2067" t="s">
        <v>5526</v>
      </c>
      <c r="G2067" s="1"/>
      <c r="H2067" t="str">
        <f>"3250613361570"</f>
        <v>3250613361570</v>
      </c>
      <c r="J2067" t="s">
        <v>5951</v>
      </c>
    </row>
    <row r="2068" spans="1:10" x14ac:dyDescent="0.25">
      <c r="A2068" t="s">
        <v>8</v>
      </c>
      <c r="B2068" t="s">
        <v>5952</v>
      </c>
      <c r="C2068" t="s">
        <v>5953</v>
      </c>
      <c r="D2068">
        <v>1</v>
      </c>
      <c r="E2068" t="s">
        <v>5525</v>
      </c>
      <c r="F2068" t="s">
        <v>5526</v>
      </c>
      <c r="G2068" s="1"/>
      <c r="H2068" t="str">
        <f>"3250613362348"</f>
        <v>3250613362348</v>
      </c>
      <c r="J2068" t="s">
        <v>5954</v>
      </c>
    </row>
    <row r="2069" spans="1:10" x14ac:dyDescent="0.25">
      <c r="A2069" t="s">
        <v>8</v>
      </c>
      <c r="B2069" t="s">
        <v>5955</v>
      </c>
      <c r="C2069" t="s">
        <v>5956</v>
      </c>
      <c r="D2069">
        <v>1</v>
      </c>
      <c r="E2069" t="s">
        <v>5525</v>
      </c>
      <c r="F2069" t="s">
        <v>5526</v>
      </c>
      <c r="G2069" s="1"/>
      <c r="H2069" t="str">
        <f>"3250613362560"</f>
        <v>3250613362560</v>
      </c>
      <c r="J2069" t="s">
        <v>5771</v>
      </c>
    </row>
    <row r="2070" spans="1:10" x14ac:dyDescent="0.25">
      <c r="A2070" t="s">
        <v>8</v>
      </c>
      <c r="B2070" t="s">
        <v>5957</v>
      </c>
      <c r="C2070" t="s">
        <v>5958</v>
      </c>
      <c r="D2070">
        <v>1</v>
      </c>
      <c r="E2070" t="s">
        <v>5525</v>
      </c>
      <c r="F2070" t="s">
        <v>5526</v>
      </c>
      <c r="G2070" s="1"/>
      <c r="H2070" t="str">
        <f>"3250613362676"</f>
        <v>3250613362676</v>
      </c>
      <c r="J2070" t="s">
        <v>5959</v>
      </c>
    </row>
    <row r="2071" spans="1:10" x14ac:dyDescent="0.25">
      <c r="A2071" t="s">
        <v>8</v>
      </c>
      <c r="B2071" t="s">
        <v>5960</v>
      </c>
      <c r="C2071" t="s">
        <v>5961</v>
      </c>
      <c r="D2071">
        <v>1</v>
      </c>
      <c r="E2071" t="s">
        <v>5525</v>
      </c>
      <c r="F2071" t="s">
        <v>5526</v>
      </c>
      <c r="G2071" s="1"/>
      <c r="H2071" t="str">
        <f>"3250613362911"</f>
        <v>3250613362911</v>
      </c>
      <c r="J2071" t="s">
        <v>5962</v>
      </c>
    </row>
    <row r="2072" spans="1:10" x14ac:dyDescent="0.25">
      <c r="A2072" t="s">
        <v>8</v>
      </c>
      <c r="B2072" t="s">
        <v>5963</v>
      </c>
      <c r="C2072" t="s">
        <v>5547</v>
      </c>
      <c r="D2072">
        <v>1</v>
      </c>
      <c r="E2072" t="s">
        <v>5525</v>
      </c>
      <c r="F2072" t="s">
        <v>5526</v>
      </c>
      <c r="G2072" s="1"/>
      <c r="H2072" t="str">
        <f>"3250613152284"</f>
        <v>3250613152284</v>
      </c>
      <c r="J2072" t="s">
        <v>5964</v>
      </c>
    </row>
    <row r="2073" spans="1:10" x14ac:dyDescent="0.25">
      <c r="A2073" t="s">
        <v>8</v>
      </c>
      <c r="B2073" t="s">
        <v>5965</v>
      </c>
      <c r="C2073" t="s">
        <v>5679</v>
      </c>
      <c r="D2073">
        <v>1</v>
      </c>
      <c r="E2073" t="s">
        <v>5525</v>
      </c>
      <c r="F2073" t="s">
        <v>5526</v>
      </c>
      <c r="G2073" s="1"/>
      <c r="H2073" t="str">
        <f>"3250613152277"</f>
        <v>3250613152277</v>
      </c>
      <c r="J2073" t="s">
        <v>5966</v>
      </c>
    </row>
    <row r="2074" spans="1:10" x14ac:dyDescent="0.25">
      <c r="A2074" t="s">
        <v>8</v>
      </c>
      <c r="B2074" t="s">
        <v>5967</v>
      </c>
      <c r="C2074" t="s">
        <v>5968</v>
      </c>
      <c r="D2074">
        <v>1</v>
      </c>
      <c r="E2074" t="s">
        <v>5525</v>
      </c>
      <c r="F2074" t="s">
        <v>5526</v>
      </c>
      <c r="G2074" s="1"/>
      <c r="H2074" t="str">
        <f>"3250613362195"</f>
        <v>3250613362195</v>
      </c>
      <c r="J2074" t="s">
        <v>5969</v>
      </c>
    </row>
    <row r="2075" spans="1:10" x14ac:dyDescent="0.25">
      <c r="A2075" t="s">
        <v>8</v>
      </c>
      <c r="B2075" t="s">
        <v>5970</v>
      </c>
      <c r="C2075" t="s">
        <v>5971</v>
      </c>
      <c r="D2075">
        <v>1</v>
      </c>
      <c r="E2075" t="s">
        <v>5525</v>
      </c>
      <c r="F2075" t="s">
        <v>5526</v>
      </c>
      <c r="G2075" s="1"/>
      <c r="H2075" t="str">
        <f>"3250613362188"</f>
        <v>3250613362188</v>
      </c>
      <c r="J2075" t="s">
        <v>5972</v>
      </c>
    </row>
    <row r="2076" spans="1:10" x14ac:dyDescent="0.25">
      <c r="A2076" t="s">
        <v>8</v>
      </c>
      <c r="B2076" t="s">
        <v>5973</v>
      </c>
      <c r="C2076" t="s">
        <v>5974</v>
      </c>
      <c r="D2076">
        <v>1</v>
      </c>
      <c r="E2076" t="s">
        <v>5525</v>
      </c>
      <c r="F2076" t="s">
        <v>5526</v>
      </c>
      <c r="G2076" s="1"/>
      <c r="H2076" t="str">
        <f>"3250613362331"</f>
        <v>3250613362331</v>
      </c>
      <c r="J2076" t="s">
        <v>5975</v>
      </c>
    </row>
    <row r="2077" spans="1:10" x14ac:dyDescent="0.25">
      <c r="A2077" t="s">
        <v>8</v>
      </c>
      <c r="B2077" t="s">
        <v>5976</v>
      </c>
      <c r="C2077" t="s">
        <v>5977</v>
      </c>
      <c r="D2077">
        <v>1</v>
      </c>
      <c r="E2077" t="s">
        <v>5525</v>
      </c>
      <c r="F2077" t="s">
        <v>5526</v>
      </c>
      <c r="G2077" s="1"/>
      <c r="H2077" t="str">
        <f>"3250613370466"</f>
        <v>3250613370466</v>
      </c>
      <c r="J2077" t="s">
        <v>5978</v>
      </c>
    </row>
    <row r="2078" spans="1:10" x14ac:dyDescent="0.25">
      <c r="A2078" t="s">
        <v>8</v>
      </c>
      <c r="B2078" t="s">
        <v>5979</v>
      </c>
      <c r="C2078" t="s">
        <v>5980</v>
      </c>
      <c r="D2078">
        <v>1</v>
      </c>
      <c r="E2078" t="s">
        <v>5525</v>
      </c>
      <c r="F2078" t="s">
        <v>5526</v>
      </c>
      <c r="G2078" s="1"/>
      <c r="H2078" t="str">
        <f>"3250613370459"</f>
        <v>3250613370459</v>
      </c>
      <c r="J2078" t="s">
        <v>5981</v>
      </c>
    </row>
    <row r="2079" spans="1:10" x14ac:dyDescent="0.25">
      <c r="A2079" t="s">
        <v>8</v>
      </c>
      <c r="B2079" t="s">
        <v>5982</v>
      </c>
      <c r="C2079" t="s">
        <v>5983</v>
      </c>
      <c r="D2079">
        <v>1</v>
      </c>
      <c r="E2079" t="s">
        <v>5525</v>
      </c>
      <c r="F2079" t="s">
        <v>5526</v>
      </c>
      <c r="G2079" s="1"/>
      <c r="H2079" t="str">
        <f>"3250613370442"</f>
        <v>3250613370442</v>
      </c>
      <c r="J2079" t="s">
        <v>5984</v>
      </c>
    </row>
    <row r="2080" spans="1:10" x14ac:dyDescent="0.25">
      <c r="A2080" t="s">
        <v>8</v>
      </c>
      <c r="B2080" t="s">
        <v>5985</v>
      </c>
      <c r="C2080" t="s">
        <v>5986</v>
      </c>
      <c r="D2080">
        <v>1</v>
      </c>
      <c r="E2080" t="s">
        <v>5525</v>
      </c>
      <c r="F2080" t="s">
        <v>5526</v>
      </c>
      <c r="G2080" s="1"/>
      <c r="H2080" t="str">
        <f>"3250613362324"</f>
        <v>3250613362324</v>
      </c>
      <c r="J2080" t="s">
        <v>5987</v>
      </c>
    </row>
    <row r="2081" spans="1:10" x14ac:dyDescent="0.25">
      <c r="A2081" t="s">
        <v>8</v>
      </c>
      <c r="B2081" t="s">
        <v>5988</v>
      </c>
      <c r="C2081" t="s">
        <v>5989</v>
      </c>
      <c r="D2081">
        <v>1</v>
      </c>
      <c r="E2081" t="s">
        <v>5525</v>
      </c>
      <c r="F2081" t="s">
        <v>5526</v>
      </c>
      <c r="G2081" s="1"/>
      <c r="H2081" t="str">
        <f>"3250613370602"</f>
        <v>3250613370602</v>
      </c>
      <c r="J2081" t="s">
        <v>5990</v>
      </c>
    </row>
    <row r="2082" spans="1:10" x14ac:dyDescent="0.25">
      <c r="A2082" t="s">
        <v>8</v>
      </c>
      <c r="B2082" t="s">
        <v>5991</v>
      </c>
      <c r="C2082" t="s">
        <v>5992</v>
      </c>
      <c r="D2082">
        <v>1</v>
      </c>
      <c r="E2082" t="s">
        <v>5525</v>
      </c>
      <c r="F2082" t="s">
        <v>5526</v>
      </c>
      <c r="G2082" s="1"/>
      <c r="H2082" t="str">
        <f>"3250613121501"</f>
        <v>3250613121501</v>
      </c>
      <c r="J2082" t="s">
        <v>5993</v>
      </c>
    </row>
    <row r="2083" spans="1:10" x14ac:dyDescent="0.25">
      <c r="A2083" t="s">
        <v>8</v>
      </c>
      <c r="B2083" t="s">
        <v>5994</v>
      </c>
      <c r="C2083" t="s">
        <v>5995</v>
      </c>
      <c r="D2083">
        <v>1</v>
      </c>
      <c r="E2083" t="s">
        <v>5525</v>
      </c>
      <c r="F2083" t="s">
        <v>5526</v>
      </c>
      <c r="G2083" s="1"/>
      <c r="H2083" t="str">
        <f>"3250613121495"</f>
        <v>3250613121495</v>
      </c>
      <c r="J2083" t="s">
        <v>5996</v>
      </c>
    </row>
    <row r="2084" spans="1:10" x14ac:dyDescent="0.25">
      <c r="A2084" t="s">
        <v>8</v>
      </c>
      <c r="B2084" t="s">
        <v>5997</v>
      </c>
      <c r="C2084" t="s">
        <v>5998</v>
      </c>
      <c r="D2084">
        <v>1</v>
      </c>
      <c r="E2084" t="s">
        <v>5525</v>
      </c>
      <c r="F2084" t="s">
        <v>5526</v>
      </c>
      <c r="G2084" s="1"/>
      <c r="H2084" t="str">
        <f>"3250613121549"</f>
        <v>3250613121549</v>
      </c>
      <c r="J2084" t="s">
        <v>5999</v>
      </c>
    </row>
    <row r="2085" spans="1:10" x14ac:dyDescent="0.25">
      <c r="A2085" t="s">
        <v>8</v>
      </c>
      <c r="B2085" t="s">
        <v>6000</v>
      </c>
      <c r="C2085" t="s">
        <v>6001</v>
      </c>
      <c r="D2085">
        <v>1</v>
      </c>
      <c r="E2085" t="s">
        <v>5525</v>
      </c>
      <c r="F2085" t="s">
        <v>5526</v>
      </c>
      <c r="G2085" s="1"/>
      <c r="H2085" t="str">
        <f>"3250613121488"</f>
        <v>3250613121488</v>
      </c>
      <c r="J2085" t="s">
        <v>6002</v>
      </c>
    </row>
    <row r="2086" spans="1:10" x14ac:dyDescent="0.25">
      <c r="A2086" t="s">
        <v>8</v>
      </c>
      <c r="B2086" t="s">
        <v>6003</v>
      </c>
      <c r="C2086" t="s">
        <v>6004</v>
      </c>
      <c r="D2086">
        <v>1</v>
      </c>
      <c r="E2086" t="s">
        <v>5525</v>
      </c>
      <c r="F2086" t="s">
        <v>5526</v>
      </c>
      <c r="G2086" s="1"/>
      <c r="H2086" t="str">
        <f>"3250613121532"</f>
        <v>3250613121532</v>
      </c>
      <c r="J2086" t="s">
        <v>6005</v>
      </c>
    </row>
    <row r="2087" spans="1:10" x14ac:dyDescent="0.25">
      <c r="A2087" t="s">
        <v>8</v>
      </c>
      <c r="B2087" t="s">
        <v>6006</v>
      </c>
      <c r="C2087" t="s">
        <v>6007</v>
      </c>
      <c r="D2087">
        <v>1</v>
      </c>
      <c r="E2087" t="s">
        <v>5525</v>
      </c>
      <c r="F2087" t="s">
        <v>5526</v>
      </c>
      <c r="G2087" s="1"/>
      <c r="H2087" t="str">
        <f>"3250613113438"</f>
        <v>3250613113438</v>
      </c>
      <c r="J2087" t="s">
        <v>6008</v>
      </c>
    </row>
    <row r="2088" spans="1:10" x14ac:dyDescent="0.25">
      <c r="A2088" t="s">
        <v>8</v>
      </c>
      <c r="B2088" t="s">
        <v>6009</v>
      </c>
      <c r="C2088" t="s">
        <v>6010</v>
      </c>
      <c r="D2088">
        <v>1</v>
      </c>
      <c r="E2088" t="s">
        <v>5525</v>
      </c>
      <c r="F2088" t="s">
        <v>5526</v>
      </c>
      <c r="G2088" s="1"/>
      <c r="H2088" t="str">
        <f>"3250613113445"</f>
        <v>3250613113445</v>
      </c>
      <c r="J2088" t="s">
        <v>6011</v>
      </c>
    </row>
    <row r="2089" spans="1:10" x14ac:dyDescent="0.25">
      <c r="A2089" t="s">
        <v>8</v>
      </c>
      <c r="B2089" t="s">
        <v>6012</v>
      </c>
      <c r="C2089" t="s">
        <v>6013</v>
      </c>
      <c r="D2089">
        <v>1</v>
      </c>
      <c r="E2089" t="s">
        <v>5525</v>
      </c>
      <c r="F2089" t="s">
        <v>5526</v>
      </c>
      <c r="G2089" s="1"/>
      <c r="H2089" t="str">
        <f>"3250613113452"</f>
        <v>3250613113452</v>
      </c>
      <c r="J2089" t="s">
        <v>6014</v>
      </c>
    </row>
    <row r="2090" spans="1:10" x14ac:dyDescent="0.25">
      <c r="A2090" t="s">
        <v>8</v>
      </c>
      <c r="B2090" t="s">
        <v>6015</v>
      </c>
      <c r="C2090" t="s">
        <v>6016</v>
      </c>
      <c r="D2090">
        <v>1</v>
      </c>
      <c r="E2090" t="s">
        <v>5525</v>
      </c>
      <c r="F2090" t="s">
        <v>5526</v>
      </c>
      <c r="G2090" s="1"/>
      <c r="H2090" t="str">
        <f>"3250613113469"</f>
        <v>3250613113469</v>
      </c>
      <c r="J2090" t="s">
        <v>6017</v>
      </c>
    </row>
    <row r="2091" spans="1:10" x14ac:dyDescent="0.25">
      <c r="A2091" t="s">
        <v>8</v>
      </c>
      <c r="B2091" t="s">
        <v>6018</v>
      </c>
      <c r="C2091" t="s">
        <v>6019</v>
      </c>
      <c r="D2091">
        <v>1</v>
      </c>
      <c r="E2091" t="s">
        <v>5525</v>
      </c>
      <c r="F2091" t="s">
        <v>5526</v>
      </c>
      <c r="G2091" s="1"/>
      <c r="H2091" t="str">
        <f>"3250613113476"</f>
        <v>3250613113476</v>
      </c>
      <c r="J2091" t="s">
        <v>6014</v>
      </c>
    </row>
    <row r="2092" spans="1:10" x14ac:dyDescent="0.25">
      <c r="A2092" t="s">
        <v>8</v>
      </c>
      <c r="B2092" t="s">
        <v>6020</v>
      </c>
      <c r="C2092" t="s">
        <v>6021</v>
      </c>
      <c r="D2092">
        <v>1</v>
      </c>
      <c r="E2092" t="s">
        <v>5525</v>
      </c>
      <c r="F2092" t="s">
        <v>5526</v>
      </c>
      <c r="G2092" s="1"/>
      <c r="H2092" t="str">
        <f>"3250613113483"</f>
        <v>3250613113483</v>
      </c>
      <c r="J2092" t="s">
        <v>6014</v>
      </c>
    </row>
    <row r="2093" spans="1:10" x14ac:dyDescent="0.25">
      <c r="A2093" t="s">
        <v>8</v>
      </c>
      <c r="B2093" t="s">
        <v>6022</v>
      </c>
      <c r="C2093" t="s">
        <v>6023</v>
      </c>
      <c r="D2093">
        <v>1</v>
      </c>
      <c r="E2093" t="s">
        <v>5525</v>
      </c>
      <c r="F2093" t="s">
        <v>5526</v>
      </c>
      <c r="G2093" s="1"/>
      <c r="H2093" t="str">
        <f>"3250613370473"</f>
        <v>3250613370473</v>
      </c>
      <c r="J2093" t="s">
        <v>6024</v>
      </c>
    </row>
    <row r="2094" spans="1:10" x14ac:dyDescent="0.25">
      <c r="A2094" t="s">
        <v>8</v>
      </c>
      <c r="B2094" t="s">
        <v>6025</v>
      </c>
      <c r="C2094" t="s">
        <v>6026</v>
      </c>
      <c r="D2094">
        <v>1</v>
      </c>
      <c r="E2094" t="s">
        <v>5525</v>
      </c>
      <c r="F2094" t="s">
        <v>5526</v>
      </c>
      <c r="G2094" s="1"/>
      <c r="H2094" t="str">
        <f>"3250613370480"</f>
        <v>3250613370480</v>
      </c>
      <c r="J2094" t="s">
        <v>6024</v>
      </c>
    </row>
    <row r="2095" spans="1:10" x14ac:dyDescent="0.25">
      <c r="A2095" t="s">
        <v>8</v>
      </c>
      <c r="B2095" t="s">
        <v>6027</v>
      </c>
      <c r="C2095" t="s">
        <v>6028</v>
      </c>
      <c r="D2095">
        <v>1</v>
      </c>
      <c r="E2095" t="s">
        <v>5525</v>
      </c>
      <c r="F2095" t="s">
        <v>5526</v>
      </c>
      <c r="G2095" s="1"/>
      <c r="H2095" t="str">
        <f>"3250613360566"</f>
        <v>3250613360566</v>
      </c>
      <c r="J2095" t="s">
        <v>6029</v>
      </c>
    </row>
    <row r="2096" spans="1:10" x14ac:dyDescent="0.25">
      <c r="A2096" t="s">
        <v>8</v>
      </c>
      <c r="B2096" t="s">
        <v>6030</v>
      </c>
      <c r="C2096" t="s">
        <v>6031</v>
      </c>
      <c r="D2096">
        <v>1</v>
      </c>
      <c r="E2096" t="s">
        <v>5525</v>
      </c>
      <c r="F2096" t="s">
        <v>5526</v>
      </c>
      <c r="G2096" s="1"/>
      <c r="H2096" t="str">
        <f>"3250613360573"</f>
        <v>3250613360573</v>
      </c>
      <c r="J2096" t="s">
        <v>6032</v>
      </c>
    </row>
    <row r="2097" spans="1:10" x14ac:dyDescent="0.25">
      <c r="A2097" t="s">
        <v>8</v>
      </c>
      <c r="B2097" t="s">
        <v>6033</v>
      </c>
      <c r="C2097" t="s">
        <v>6034</v>
      </c>
      <c r="D2097">
        <v>1</v>
      </c>
      <c r="E2097" t="s">
        <v>5525</v>
      </c>
      <c r="F2097" t="s">
        <v>5526</v>
      </c>
      <c r="G2097" s="1"/>
      <c r="H2097" t="str">
        <f>"3250613360580"</f>
        <v>3250613360580</v>
      </c>
      <c r="J2097" t="s">
        <v>6035</v>
      </c>
    </row>
    <row r="2098" spans="1:10" x14ac:dyDescent="0.25">
      <c r="A2098" t="s">
        <v>8</v>
      </c>
      <c r="B2098" t="s">
        <v>6036</v>
      </c>
      <c r="C2098" t="s">
        <v>6037</v>
      </c>
      <c r="D2098">
        <v>1</v>
      </c>
      <c r="E2098" t="s">
        <v>5525</v>
      </c>
      <c r="F2098" t="s">
        <v>5526</v>
      </c>
      <c r="G2098" s="1"/>
      <c r="H2098" t="str">
        <f>"3250613360597"</f>
        <v>3250613360597</v>
      </c>
      <c r="J2098" t="s">
        <v>6038</v>
      </c>
    </row>
    <row r="2099" spans="1:10" x14ac:dyDescent="0.25">
      <c r="A2099" t="s">
        <v>8</v>
      </c>
      <c r="B2099" t="s">
        <v>6039</v>
      </c>
      <c r="C2099" t="s">
        <v>6040</v>
      </c>
      <c r="D2099">
        <v>1</v>
      </c>
      <c r="E2099" t="s">
        <v>5525</v>
      </c>
      <c r="F2099" t="s">
        <v>5526</v>
      </c>
      <c r="G2099" s="1"/>
      <c r="H2099" t="str">
        <f>"3250613360603"</f>
        <v>3250613360603</v>
      </c>
      <c r="J2099" t="s">
        <v>5756</v>
      </c>
    </row>
    <row r="2100" spans="1:10" x14ac:dyDescent="0.25">
      <c r="A2100" t="s">
        <v>8</v>
      </c>
      <c r="B2100" t="s">
        <v>6041</v>
      </c>
      <c r="C2100" t="s">
        <v>6042</v>
      </c>
      <c r="D2100">
        <v>1</v>
      </c>
      <c r="E2100" t="s">
        <v>5525</v>
      </c>
      <c r="F2100" t="s">
        <v>5526</v>
      </c>
      <c r="G2100" s="1"/>
      <c r="H2100" t="str">
        <f>"3250613360610"</f>
        <v>3250613360610</v>
      </c>
      <c r="J2100" t="s">
        <v>5724</v>
      </c>
    </row>
    <row r="2101" spans="1:10" x14ac:dyDescent="0.25">
      <c r="A2101" t="s">
        <v>8</v>
      </c>
      <c r="B2101" t="s">
        <v>6043</v>
      </c>
      <c r="C2101" t="s">
        <v>6044</v>
      </c>
      <c r="D2101">
        <v>1</v>
      </c>
      <c r="E2101" t="s">
        <v>5525</v>
      </c>
      <c r="F2101" t="s">
        <v>5526</v>
      </c>
      <c r="G2101" s="1"/>
      <c r="H2101" t="str">
        <f>"3250613111687"</f>
        <v>3250613111687</v>
      </c>
      <c r="J2101" t="s">
        <v>6045</v>
      </c>
    </row>
    <row r="2102" spans="1:10" x14ac:dyDescent="0.25">
      <c r="A2102" t="s">
        <v>8</v>
      </c>
      <c r="B2102" t="s">
        <v>6046</v>
      </c>
      <c r="C2102" t="s">
        <v>6047</v>
      </c>
      <c r="D2102">
        <v>1</v>
      </c>
      <c r="E2102" t="s">
        <v>5525</v>
      </c>
      <c r="F2102" t="s">
        <v>5526</v>
      </c>
      <c r="G2102" s="1"/>
      <c r="H2102" t="str">
        <f>"3250613111694"</f>
        <v>3250613111694</v>
      </c>
      <c r="J2102" t="s">
        <v>6045</v>
      </c>
    </row>
    <row r="2103" spans="1:10" x14ac:dyDescent="0.25">
      <c r="A2103" t="s">
        <v>8</v>
      </c>
      <c r="B2103" t="s">
        <v>6048</v>
      </c>
      <c r="C2103" t="s">
        <v>6049</v>
      </c>
      <c r="D2103">
        <v>1</v>
      </c>
      <c r="E2103" t="s">
        <v>5525</v>
      </c>
      <c r="F2103" t="s">
        <v>5526</v>
      </c>
      <c r="G2103" s="1"/>
      <c r="H2103" t="str">
        <f>"3250613112936"</f>
        <v>3250613112936</v>
      </c>
      <c r="J2103" t="s">
        <v>6050</v>
      </c>
    </row>
    <row r="2104" spans="1:10" x14ac:dyDescent="0.25">
      <c r="A2104" t="s">
        <v>8</v>
      </c>
      <c r="B2104" t="s">
        <v>6051</v>
      </c>
      <c r="C2104" t="s">
        <v>6052</v>
      </c>
      <c r="D2104">
        <v>1</v>
      </c>
      <c r="E2104" t="s">
        <v>5525</v>
      </c>
      <c r="F2104" t="s">
        <v>5526</v>
      </c>
      <c r="G2104" s="1"/>
      <c r="H2104" t="str">
        <f>"3250613112943"</f>
        <v>3250613112943</v>
      </c>
      <c r="I2104" s="1"/>
      <c r="J2104" t="s">
        <v>6053</v>
      </c>
    </row>
    <row r="2105" spans="1:10" x14ac:dyDescent="0.25">
      <c r="A2105" t="s">
        <v>8</v>
      </c>
      <c r="B2105" t="s">
        <v>6054</v>
      </c>
      <c r="C2105" t="s">
        <v>6055</v>
      </c>
      <c r="D2105">
        <v>1</v>
      </c>
      <c r="E2105" t="s">
        <v>5525</v>
      </c>
      <c r="F2105" t="s">
        <v>5526</v>
      </c>
      <c r="G2105" s="1"/>
      <c r="H2105" t="str">
        <f>"3250613111700"</f>
        <v>3250613111700</v>
      </c>
      <c r="J2105" t="s">
        <v>6056</v>
      </c>
    </row>
    <row r="2106" spans="1:10" x14ac:dyDescent="0.25">
      <c r="A2106" t="s">
        <v>8</v>
      </c>
      <c r="B2106" t="s">
        <v>6057</v>
      </c>
      <c r="C2106" t="s">
        <v>6058</v>
      </c>
      <c r="D2106">
        <v>1</v>
      </c>
      <c r="E2106" t="s">
        <v>5525</v>
      </c>
      <c r="F2106" t="s">
        <v>5526</v>
      </c>
      <c r="G2106" s="1"/>
      <c r="H2106" t="str">
        <f>"3250613112974"</f>
        <v>3250613112974</v>
      </c>
      <c r="J2106" t="s">
        <v>6059</v>
      </c>
    </row>
    <row r="2107" spans="1:10" x14ac:dyDescent="0.25">
      <c r="A2107" t="s">
        <v>8</v>
      </c>
      <c r="B2107" t="s">
        <v>6060</v>
      </c>
      <c r="C2107" t="s">
        <v>6061</v>
      </c>
      <c r="D2107">
        <v>1</v>
      </c>
      <c r="E2107" t="s">
        <v>5525</v>
      </c>
      <c r="F2107" t="s">
        <v>5526</v>
      </c>
      <c r="G2107" s="1"/>
      <c r="H2107" t="str">
        <f>"3250613363598"</f>
        <v>3250613363598</v>
      </c>
      <c r="J2107" t="s">
        <v>6062</v>
      </c>
    </row>
    <row r="2108" spans="1:10" x14ac:dyDescent="0.25">
      <c r="A2108" t="s">
        <v>8</v>
      </c>
      <c r="B2108" t="s">
        <v>6063</v>
      </c>
      <c r="C2108" t="s">
        <v>6064</v>
      </c>
      <c r="D2108">
        <v>1</v>
      </c>
      <c r="E2108" t="s">
        <v>5525</v>
      </c>
      <c r="F2108" t="s">
        <v>5526</v>
      </c>
      <c r="G2108" s="1"/>
      <c r="H2108" t="str">
        <f>"3250613363604"</f>
        <v>3250613363604</v>
      </c>
      <c r="J2108" t="s">
        <v>6065</v>
      </c>
    </row>
    <row r="2109" spans="1:10" x14ac:dyDescent="0.25">
      <c r="A2109" t="s">
        <v>8</v>
      </c>
      <c r="B2109" t="s">
        <v>6066</v>
      </c>
      <c r="C2109" t="s">
        <v>6067</v>
      </c>
      <c r="D2109">
        <v>1</v>
      </c>
      <c r="E2109" t="s">
        <v>5525</v>
      </c>
      <c r="F2109" t="s">
        <v>5526</v>
      </c>
      <c r="G2109" s="1"/>
      <c r="H2109" t="str">
        <f>"3250613363611"</f>
        <v>3250613363611</v>
      </c>
      <c r="J2109" t="s">
        <v>6068</v>
      </c>
    </row>
    <row r="2110" spans="1:10" x14ac:dyDescent="0.25">
      <c r="A2110" t="s">
        <v>8</v>
      </c>
      <c r="B2110" t="s">
        <v>6069</v>
      </c>
      <c r="C2110" t="s">
        <v>6070</v>
      </c>
      <c r="D2110">
        <v>1</v>
      </c>
      <c r="E2110" t="s">
        <v>5525</v>
      </c>
      <c r="F2110" t="s">
        <v>5526</v>
      </c>
      <c r="G2110" s="1"/>
      <c r="H2110" t="str">
        <f>"3250613363628"</f>
        <v>3250613363628</v>
      </c>
      <c r="J2110" t="s">
        <v>6071</v>
      </c>
    </row>
    <row r="2111" spans="1:10" x14ac:dyDescent="0.25">
      <c r="A2111" t="s">
        <v>8</v>
      </c>
      <c r="B2111" t="s">
        <v>6072</v>
      </c>
      <c r="C2111" t="s">
        <v>6073</v>
      </c>
      <c r="D2111">
        <v>1</v>
      </c>
      <c r="E2111" t="s">
        <v>5525</v>
      </c>
      <c r="F2111" t="s">
        <v>5526</v>
      </c>
      <c r="G2111" s="1"/>
      <c r="H2111" t="str">
        <f>"3250613363635"</f>
        <v>3250613363635</v>
      </c>
      <c r="J2111" t="s">
        <v>6074</v>
      </c>
    </row>
    <row r="2112" spans="1:10" x14ac:dyDescent="0.25">
      <c r="A2112" t="s">
        <v>8</v>
      </c>
      <c r="B2112" t="s">
        <v>6075</v>
      </c>
      <c r="C2112" t="s">
        <v>6076</v>
      </c>
      <c r="D2112">
        <v>1</v>
      </c>
      <c r="E2112" t="s">
        <v>5525</v>
      </c>
      <c r="F2112" t="s">
        <v>5526</v>
      </c>
      <c r="G2112" s="1"/>
      <c r="H2112" t="str">
        <f>"3250613363642"</f>
        <v>3250613363642</v>
      </c>
      <c r="J2112" t="s">
        <v>6077</v>
      </c>
    </row>
    <row r="2113" spans="1:10" x14ac:dyDescent="0.25">
      <c r="A2113" t="s">
        <v>8</v>
      </c>
      <c r="B2113" t="s">
        <v>6078</v>
      </c>
      <c r="C2113" t="s">
        <v>6079</v>
      </c>
      <c r="D2113">
        <v>1</v>
      </c>
      <c r="E2113" t="s">
        <v>5525</v>
      </c>
      <c r="F2113" t="s">
        <v>5526</v>
      </c>
      <c r="G2113" s="1"/>
      <c r="H2113" t="str">
        <f>"3250613363659"</f>
        <v>3250613363659</v>
      </c>
      <c r="J2113" t="s">
        <v>6080</v>
      </c>
    </row>
    <row r="2114" spans="1:10" x14ac:dyDescent="0.25">
      <c r="A2114" t="s">
        <v>8</v>
      </c>
      <c r="B2114" t="s">
        <v>6081</v>
      </c>
      <c r="C2114" t="s">
        <v>6082</v>
      </c>
      <c r="D2114">
        <v>1</v>
      </c>
      <c r="E2114" t="s">
        <v>5525</v>
      </c>
      <c r="F2114" t="s">
        <v>5526</v>
      </c>
      <c r="G2114" s="1"/>
      <c r="H2114" t="str">
        <f>"3250613138820"</f>
        <v>3250613138820</v>
      </c>
      <c r="J2114" t="s">
        <v>6083</v>
      </c>
    </row>
    <row r="2115" spans="1:10" x14ac:dyDescent="0.25">
      <c r="A2115" t="s">
        <v>8</v>
      </c>
      <c r="B2115" t="s">
        <v>6084</v>
      </c>
      <c r="C2115" t="s">
        <v>6085</v>
      </c>
      <c r="D2115">
        <v>1</v>
      </c>
      <c r="E2115" t="s">
        <v>5525</v>
      </c>
      <c r="F2115" t="s">
        <v>5526</v>
      </c>
      <c r="G2115" s="1"/>
      <c r="H2115" t="str">
        <f>"3250613114473"</f>
        <v>3250613114473</v>
      </c>
      <c r="J2115" t="s">
        <v>6086</v>
      </c>
    </row>
    <row r="2116" spans="1:10" x14ac:dyDescent="0.25">
      <c r="A2116" t="s">
        <v>8</v>
      </c>
      <c r="B2116" t="s">
        <v>6087</v>
      </c>
      <c r="C2116" t="s">
        <v>6088</v>
      </c>
      <c r="D2116">
        <v>1</v>
      </c>
      <c r="E2116" t="s">
        <v>5525</v>
      </c>
      <c r="F2116" t="s">
        <v>5526</v>
      </c>
      <c r="G2116" s="1"/>
      <c r="H2116" t="str">
        <f>"3250613346928"</f>
        <v>3250613346928</v>
      </c>
      <c r="J2116" t="s">
        <v>6090</v>
      </c>
    </row>
    <row r="2117" spans="1:10" x14ac:dyDescent="0.25">
      <c r="A2117" t="s">
        <v>8</v>
      </c>
      <c r="B2117" t="s">
        <v>6091</v>
      </c>
      <c r="C2117" t="s">
        <v>6092</v>
      </c>
      <c r="D2117">
        <v>1</v>
      </c>
      <c r="E2117" t="s">
        <v>5525</v>
      </c>
      <c r="F2117" t="s">
        <v>5526</v>
      </c>
      <c r="G2117" s="1"/>
      <c r="H2117" t="str">
        <f>"3250613346935"</f>
        <v>3250613346935</v>
      </c>
      <c r="J2117" t="s">
        <v>6093</v>
      </c>
    </row>
    <row r="2118" spans="1:10" x14ac:dyDescent="0.25">
      <c r="A2118" t="s">
        <v>8</v>
      </c>
      <c r="B2118" t="s">
        <v>6094</v>
      </c>
      <c r="C2118" t="s">
        <v>6095</v>
      </c>
      <c r="D2118">
        <v>1</v>
      </c>
      <c r="E2118" t="s">
        <v>5525</v>
      </c>
      <c r="F2118" t="s">
        <v>5526</v>
      </c>
      <c r="G2118" s="1"/>
      <c r="H2118" t="str">
        <f>"3250613346942"</f>
        <v>3250613346942</v>
      </c>
      <c r="J2118" t="s">
        <v>6093</v>
      </c>
    </row>
    <row r="2119" spans="1:10" x14ac:dyDescent="0.25">
      <c r="A2119" t="s">
        <v>8</v>
      </c>
      <c r="B2119" t="s">
        <v>6096</v>
      </c>
      <c r="C2119" t="s">
        <v>6097</v>
      </c>
      <c r="D2119">
        <v>1</v>
      </c>
      <c r="E2119" t="s">
        <v>5525</v>
      </c>
      <c r="F2119" t="s">
        <v>5526</v>
      </c>
      <c r="G2119" s="1"/>
      <c r="H2119" t="str">
        <f>"3250613346959"</f>
        <v>3250613346959</v>
      </c>
      <c r="J2119" t="s">
        <v>6093</v>
      </c>
    </row>
    <row r="2120" spans="1:10" x14ac:dyDescent="0.25">
      <c r="A2120" t="s">
        <v>8</v>
      </c>
      <c r="B2120" t="s">
        <v>6098</v>
      </c>
      <c r="C2120" t="s">
        <v>6099</v>
      </c>
      <c r="D2120">
        <v>1</v>
      </c>
      <c r="E2120" t="s">
        <v>5525</v>
      </c>
      <c r="F2120" t="s">
        <v>5526</v>
      </c>
      <c r="G2120" s="1"/>
      <c r="H2120" t="str">
        <f>"3250613116699"</f>
        <v>3250613116699</v>
      </c>
      <c r="J2120" t="s">
        <v>6100</v>
      </c>
    </row>
    <row r="2121" spans="1:10" x14ac:dyDescent="0.25">
      <c r="A2121" t="s">
        <v>8</v>
      </c>
      <c r="B2121" t="s">
        <v>6101</v>
      </c>
      <c r="C2121" t="s">
        <v>6102</v>
      </c>
      <c r="D2121">
        <v>1</v>
      </c>
      <c r="E2121" t="s">
        <v>5525</v>
      </c>
      <c r="F2121" t="s">
        <v>5526</v>
      </c>
      <c r="G2121" s="1"/>
      <c r="H2121" t="str">
        <f>"3250613116705"</f>
        <v>3250613116705</v>
      </c>
      <c r="J2121" t="s">
        <v>6103</v>
      </c>
    </row>
    <row r="2122" spans="1:10" x14ac:dyDescent="0.25">
      <c r="A2122" t="s">
        <v>8</v>
      </c>
      <c r="B2122" t="s">
        <v>6104</v>
      </c>
      <c r="C2122" t="s">
        <v>6105</v>
      </c>
      <c r="D2122">
        <v>1</v>
      </c>
      <c r="E2122" t="s">
        <v>5525</v>
      </c>
      <c r="F2122" t="s">
        <v>5526</v>
      </c>
      <c r="G2122" s="1"/>
      <c r="H2122" t="str">
        <f>"3250613346966"</f>
        <v>3250613346966</v>
      </c>
      <c r="J2122" t="s">
        <v>6090</v>
      </c>
    </row>
    <row r="2123" spans="1:10" x14ac:dyDescent="0.25">
      <c r="A2123" t="s">
        <v>8</v>
      </c>
      <c r="B2123" t="s">
        <v>6106</v>
      </c>
      <c r="C2123" t="s">
        <v>6107</v>
      </c>
      <c r="D2123">
        <v>1</v>
      </c>
      <c r="E2123" t="s">
        <v>5525</v>
      </c>
      <c r="F2123" t="s">
        <v>5526</v>
      </c>
      <c r="G2123" s="1"/>
      <c r="H2123" t="str">
        <f>"3250613346973"</f>
        <v>3250613346973</v>
      </c>
      <c r="J2123" t="s">
        <v>6093</v>
      </c>
    </row>
    <row r="2124" spans="1:10" x14ac:dyDescent="0.25">
      <c r="A2124" t="s">
        <v>8</v>
      </c>
      <c r="B2124" t="s">
        <v>6108</v>
      </c>
      <c r="C2124" t="s">
        <v>6109</v>
      </c>
      <c r="D2124">
        <v>1</v>
      </c>
      <c r="E2124" t="s">
        <v>5525</v>
      </c>
      <c r="F2124" t="s">
        <v>5526</v>
      </c>
      <c r="G2124" s="1"/>
      <c r="H2124" t="str">
        <f>"3250613346980"</f>
        <v>3250613346980</v>
      </c>
      <c r="J2124" t="s">
        <v>6110</v>
      </c>
    </row>
    <row r="2125" spans="1:10" x14ac:dyDescent="0.25">
      <c r="A2125" t="s">
        <v>8</v>
      </c>
      <c r="B2125" t="s">
        <v>6111</v>
      </c>
      <c r="C2125" t="s">
        <v>6112</v>
      </c>
      <c r="D2125">
        <v>1</v>
      </c>
      <c r="E2125" t="s">
        <v>5525</v>
      </c>
      <c r="F2125" t="s">
        <v>5526</v>
      </c>
      <c r="G2125" s="1"/>
      <c r="H2125" t="str">
        <f>"3250613346997"</f>
        <v>3250613346997</v>
      </c>
      <c r="J2125" t="s">
        <v>6113</v>
      </c>
    </row>
    <row r="2126" spans="1:10" x14ac:dyDescent="0.25">
      <c r="A2126" t="s">
        <v>8</v>
      </c>
      <c r="B2126" t="s">
        <v>6114</v>
      </c>
      <c r="C2126" t="s">
        <v>6115</v>
      </c>
      <c r="D2126">
        <v>1</v>
      </c>
      <c r="E2126" t="s">
        <v>5525</v>
      </c>
      <c r="F2126" t="s">
        <v>5526</v>
      </c>
      <c r="G2126" s="1"/>
      <c r="H2126" t="str">
        <f>"3250613347000"</f>
        <v>3250613347000</v>
      </c>
      <c r="J2126" t="s">
        <v>6117</v>
      </c>
    </row>
    <row r="2127" spans="1:10" x14ac:dyDescent="0.25">
      <c r="A2127" t="s">
        <v>8</v>
      </c>
      <c r="B2127" t="s">
        <v>6118</v>
      </c>
      <c r="C2127" t="s">
        <v>6119</v>
      </c>
      <c r="D2127">
        <v>1</v>
      </c>
      <c r="E2127" t="s">
        <v>5525</v>
      </c>
      <c r="F2127" t="s">
        <v>5526</v>
      </c>
      <c r="G2127" s="1"/>
      <c r="H2127" t="str">
        <f>"3250613111519"</f>
        <v>3250613111519</v>
      </c>
      <c r="J2127" t="s">
        <v>6120</v>
      </c>
    </row>
    <row r="2128" spans="1:10" x14ac:dyDescent="0.25">
      <c r="A2128" t="s">
        <v>8</v>
      </c>
      <c r="B2128" t="s">
        <v>6121</v>
      </c>
      <c r="C2128" t="s">
        <v>6122</v>
      </c>
      <c r="D2128">
        <v>1</v>
      </c>
      <c r="E2128" t="s">
        <v>5525</v>
      </c>
      <c r="F2128" t="s">
        <v>5526</v>
      </c>
      <c r="G2128" s="1"/>
      <c r="H2128" t="str">
        <f>"3250613152420"</f>
        <v>3250613152420</v>
      </c>
      <c r="J2128" t="s">
        <v>6123</v>
      </c>
    </row>
    <row r="2129" spans="1:10" x14ac:dyDescent="0.25">
      <c r="A2129" t="s">
        <v>8</v>
      </c>
      <c r="B2129" t="s">
        <v>6124</v>
      </c>
      <c r="C2129" t="s">
        <v>6125</v>
      </c>
      <c r="D2129">
        <v>1</v>
      </c>
      <c r="E2129" t="s">
        <v>5525</v>
      </c>
      <c r="F2129" t="s">
        <v>5526</v>
      </c>
      <c r="G2129" s="1"/>
      <c r="H2129" t="str">
        <f>"3250613152437"</f>
        <v>3250613152437</v>
      </c>
      <c r="J2129" t="s">
        <v>6126</v>
      </c>
    </row>
    <row r="2130" spans="1:10" x14ac:dyDescent="0.25">
      <c r="A2130" t="s">
        <v>8</v>
      </c>
      <c r="B2130" t="s">
        <v>6127</v>
      </c>
      <c r="C2130" t="s">
        <v>6128</v>
      </c>
      <c r="D2130">
        <v>1</v>
      </c>
      <c r="E2130" t="s">
        <v>5525</v>
      </c>
      <c r="F2130" t="s">
        <v>5526</v>
      </c>
      <c r="G2130" s="1"/>
      <c r="H2130" t="str">
        <f>"3250613152444"</f>
        <v>3250613152444</v>
      </c>
      <c r="J2130" t="s">
        <v>6129</v>
      </c>
    </row>
    <row r="2131" spans="1:10" x14ac:dyDescent="0.25">
      <c r="A2131" t="s">
        <v>8</v>
      </c>
      <c r="B2131" t="s">
        <v>6130</v>
      </c>
      <c r="C2131" t="s">
        <v>6131</v>
      </c>
      <c r="D2131">
        <v>1</v>
      </c>
      <c r="E2131" t="s">
        <v>5525</v>
      </c>
      <c r="F2131" t="s">
        <v>5526</v>
      </c>
      <c r="G2131" s="1"/>
      <c r="H2131" t="str">
        <f>"3250613138851"</f>
        <v>3250613138851</v>
      </c>
      <c r="J2131" t="s">
        <v>6123</v>
      </c>
    </row>
    <row r="2132" spans="1:10" x14ac:dyDescent="0.25">
      <c r="A2132" t="s">
        <v>8</v>
      </c>
      <c r="B2132" t="s">
        <v>6132</v>
      </c>
      <c r="C2132" t="s">
        <v>6133</v>
      </c>
      <c r="D2132">
        <v>1</v>
      </c>
      <c r="E2132" t="s">
        <v>5525</v>
      </c>
      <c r="F2132" t="s">
        <v>5526</v>
      </c>
      <c r="G2132" s="1"/>
      <c r="H2132" t="str">
        <f>"3250613138868"</f>
        <v>3250613138868</v>
      </c>
      <c r="J2132" t="s">
        <v>6134</v>
      </c>
    </row>
    <row r="2133" spans="1:10" x14ac:dyDescent="0.25">
      <c r="A2133" t="s">
        <v>8</v>
      </c>
      <c r="B2133" t="s">
        <v>6135</v>
      </c>
      <c r="C2133" t="s">
        <v>6136</v>
      </c>
      <c r="D2133">
        <v>1</v>
      </c>
      <c r="E2133" t="s">
        <v>5525</v>
      </c>
      <c r="F2133" t="s">
        <v>5526</v>
      </c>
      <c r="G2133" s="1"/>
      <c r="H2133" t="str">
        <f>"3250613138875"</f>
        <v>3250613138875</v>
      </c>
      <c r="J2133" t="s">
        <v>6137</v>
      </c>
    </row>
    <row r="2134" spans="1:10" x14ac:dyDescent="0.25">
      <c r="A2134" t="s">
        <v>8</v>
      </c>
      <c r="B2134" t="s">
        <v>6138</v>
      </c>
      <c r="C2134" t="s">
        <v>6139</v>
      </c>
      <c r="D2134">
        <v>1</v>
      </c>
      <c r="E2134" t="s">
        <v>5525</v>
      </c>
      <c r="F2134" t="s">
        <v>5526</v>
      </c>
      <c r="G2134" s="1"/>
      <c r="H2134" t="str">
        <f>"3250613152451"</f>
        <v>3250613152451</v>
      </c>
      <c r="J2134" t="s">
        <v>6129</v>
      </c>
    </row>
    <row r="2135" spans="1:10" x14ac:dyDescent="0.25">
      <c r="A2135" t="s">
        <v>8</v>
      </c>
      <c r="B2135" t="s">
        <v>6140</v>
      </c>
      <c r="C2135" t="s">
        <v>6141</v>
      </c>
      <c r="D2135">
        <v>1</v>
      </c>
      <c r="E2135" t="s">
        <v>5525</v>
      </c>
      <c r="F2135" t="s">
        <v>5526</v>
      </c>
      <c r="G2135" s="1"/>
      <c r="H2135" t="str">
        <f>"3250613114480"</f>
        <v>3250613114480</v>
      </c>
      <c r="J2135" t="s">
        <v>6142</v>
      </c>
    </row>
    <row r="2136" spans="1:10" x14ac:dyDescent="0.25">
      <c r="A2136" t="s">
        <v>8</v>
      </c>
      <c r="B2136" t="s">
        <v>6143</v>
      </c>
      <c r="C2136" t="s">
        <v>6144</v>
      </c>
      <c r="D2136">
        <v>1</v>
      </c>
      <c r="E2136" t="s">
        <v>5525</v>
      </c>
      <c r="F2136" t="s">
        <v>5526</v>
      </c>
      <c r="G2136" s="1"/>
      <c r="H2136" t="str">
        <f>"3250613152802"</f>
        <v>3250613152802</v>
      </c>
      <c r="J2136" t="s">
        <v>6145</v>
      </c>
    </row>
    <row r="2137" spans="1:10" x14ac:dyDescent="0.25">
      <c r="A2137" t="s">
        <v>8</v>
      </c>
      <c r="B2137" t="s">
        <v>6146</v>
      </c>
      <c r="C2137" t="s">
        <v>6147</v>
      </c>
      <c r="D2137">
        <v>1</v>
      </c>
      <c r="E2137" t="s">
        <v>5525</v>
      </c>
      <c r="F2137" t="s">
        <v>5526</v>
      </c>
      <c r="G2137" s="1"/>
      <c r="H2137" t="str">
        <f>"3250613152819"</f>
        <v>3250613152819</v>
      </c>
      <c r="J2137" t="s">
        <v>6148</v>
      </c>
    </row>
    <row r="2138" spans="1:10" x14ac:dyDescent="0.25">
      <c r="A2138" t="s">
        <v>8</v>
      </c>
      <c r="B2138" t="s">
        <v>6149</v>
      </c>
      <c r="C2138" t="s">
        <v>6150</v>
      </c>
      <c r="D2138">
        <v>1</v>
      </c>
      <c r="E2138" t="s">
        <v>5525</v>
      </c>
      <c r="F2138" t="s">
        <v>5526</v>
      </c>
      <c r="G2138" s="1"/>
      <c r="H2138" t="str">
        <f>"3250613197193"</f>
        <v>3250613197193</v>
      </c>
      <c r="J2138" t="s">
        <v>6151</v>
      </c>
    </row>
    <row r="2139" spans="1:10" x14ac:dyDescent="0.25">
      <c r="A2139" t="s">
        <v>8</v>
      </c>
      <c r="B2139" t="s">
        <v>6152</v>
      </c>
      <c r="C2139" t="s">
        <v>6153</v>
      </c>
      <c r="D2139">
        <v>1</v>
      </c>
      <c r="E2139" t="s">
        <v>5525</v>
      </c>
      <c r="F2139" t="s">
        <v>5526</v>
      </c>
      <c r="G2139" s="1"/>
      <c r="H2139" t="str">
        <f>"3250613151560"</f>
        <v>3250613151560</v>
      </c>
      <c r="J2139" t="s">
        <v>6154</v>
      </c>
    </row>
    <row r="2140" spans="1:10" x14ac:dyDescent="0.25">
      <c r="A2140" t="s">
        <v>8</v>
      </c>
      <c r="B2140" t="s">
        <v>6155</v>
      </c>
      <c r="C2140" t="s">
        <v>6156</v>
      </c>
      <c r="D2140">
        <v>1</v>
      </c>
      <c r="E2140" t="s">
        <v>5525</v>
      </c>
      <c r="F2140" t="s">
        <v>5526</v>
      </c>
      <c r="G2140" s="1"/>
      <c r="H2140" t="str">
        <f>"3250613151577"</f>
        <v>3250613151577</v>
      </c>
      <c r="J2140" t="s">
        <v>6157</v>
      </c>
    </row>
    <row r="2141" spans="1:10" x14ac:dyDescent="0.25">
      <c r="A2141" t="s">
        <v>8</v>
      </c>
      <c r="B2141" t="s">
        <v>6158</v>
      </c>
      <c r="C2141" t="s">
        <v>6159</v>
      </c>
      <c r="D2141">
        <v>1</v>
      </c>
      <c r="E2141" t="s">
        <v>5525</v>
      </c>
      <c r="F2141" t="s">
        <v>5526</v>
      </c>
      <c r="G2141" s="1"/>
      <c r="H2141" t="str">
        <f>"3250613151584"</f>
        <v>3250613151584</v>
      </c>
      <c r="J2141" t="s">
        <v>6160</v>
      </c>
    </row>
    <row r="2142" spans="1:10" x14ac:dyDescent="0.25">
      <c r="A2142" t="s">
        <v>8</v>
      </c>
      <c r="B2142" t="s">
        <v>6161</v>
      </c>
      <c r="C2142" t="s">
        <v>6162</v>
      </c>
      <c r="D2142">
        <v>1</v>
      </c>
      <c r="E2142" t="s">
        <v>5525</v>
      </c>
      <c r="F2142" t="s">
        <v>5526</v>
      </c>
      <c r="G2142" s="1"/>
      <c r="H2142" t="str">
        <f>"3250613197209"</f>
        <v>3250613197209</v>
      </c>
      <c r="J2142" t="s">
        <v>6163</v>
      </c>
    </row>
    <row r="2143" spans="1:10" x14ac:dyDescent="0.25">
      <c r="A2143" t="s">
        <v>8</v>
      </c>
      <c r="B2143" t="s">
        <v>6164</v>
      </c>
      <c r="C2143" t="s">
        <v>6165</v>
      </c>
      <c r="D2143">
        <v>1</v>
      </c>
      <c r="E2143" t="s">
        <v>5525</v>
      </c>
      <c r="F2143" t="s">
        <v>5526</v>
      </c>
      <c r="G2143" s="1"/>
      <c r="H2143" t="str">
        <f>"3250613197216"</f>
        <v>3250613197216</v>
      </c>
      <c r="J2143" t="s">
        <v>6163</v>
      </c>
    </row>
    <row r="2144" spans="1:10" x14ac:dyDescent="0.25">
      <c r="A2144" t="s">
        <v>8</v>
      </c>
      <c r="B2144" t="s">
        <v>6166</v>
      </c>
      <c r="C2144" t="s">
        <v>6167</v>
      </c>
      <c r="D2144">
        <v>1</v>
      </c>
      <c r="E2144" t="s">
        <v>5525</v>
      </c>
      <c r="F2144" t="s">
        <v>5526</v>
      </c>
      <c r="G2144" s="1"/>
      <c r="H2144" t="str">
        <f>"3250613197353"</f>
        <v>3250613197353</v>
      </c>
      <c r="J2144" t="s">
        <v>6168</v>
      </c>
    </row>
    <row r="2145" spans="1:10" x14ac:dyDescent="0.25">
      <c r="A2145" t="s">
        <v>8</v>
      </c>
      <c r="B2145" t="s">
        <v>6169</v>
      </c>
      <c r="C2145" t="s">
        <v>6170</v>
      </c>
      <c r="D2145">
        <v>1</v>
      </c>
      <c r="E2145" t="s">
        <v>5525</v>
      </c>
      <c r="F2145" t="s">
        <v>5526</v>
      </c>
      <c r="G2145" s="1"/>
      <c r="H2145" t="str">
        <f>"3250613152833"</f>
        <v>3250613152833</v>
      </c>
      <c r="J2145" t="s">
        <v>6171</v>
      </c>
    </row>
    <row r="2146" spans="1:10" x14ac:dyDescent="0.25">
      <c r="A2146" t="s">
        <v>8</v>
      </c>
      <c r="B2146" t="s">
        <v>6172</v>
      </c>
      <c r="C2146" t="s">
        <v>6173</v>
      </c>
      <c r="D2146">
        <v>1</v>
      </c>
      <c r="E2146" t="s">
        <v>5525</v>
      </c>
      <c r="F2146" t="s">
        <v>5526</v>
      </c>
      <c r="G2146" s="1"/>
      <c r="H2146" t="str">
        <f>"3250613152840"</f>
        <v>3250613152840</v>
      </c>
      <c r="J2146" t="s">
        <v>6174</v>
      </c>
    </row>
    <row r="2147" spans="1:10" x14ac:dyDescent="0.25">
      <c r="A2147" t="s">
        <v>8</v>
      </c>
      <c r="B2147" t="s">
        <v>6175</v>
      </c>
      <c r="C2147" t="s">
        <v>6176</v>
      </c>
      <c r="D2147">
        <v>1</v>
      </c>
      <c r="E2147" t="s">
        <v>5525</v>
      </c>
      <c r="F2147" t="s">
        <v>5526</v>
      </c>
      <c r="G2147" s="1"/>
      <c r="H2147" t="str">
        <f>"3250613154882"</f>
        <v>3250613154882</v>
      </c>
      <c r="J2147" t="s">
        <v>6177</v>
      </c>
    </row>
    <row r="2148" spans="1:10" x14ac:dyDescent="0.25">
      <c r="A2148" t="s">
        <v>8</v>
      </c>
      <c r="B2148" t="s">
        <v>6178</v>
      </c>
      <c r="C2148" t="s">
        <v>6179</v>
      </c>
      <c r="D2148">
        <v>1</v>
      </c>
      <c r="E2148" t="s">
        <v>5525</v>
      </c>
      <c r="F2148" t="s">
        <v>5526</v>
      </c>
      <c r="G2148" s="1"/>
      <c r="H2148" t="str">
        <f>"3250613154899"</f>
        <v>3250613154899</v>
      </c>
      <c r="J2148" t="s">
        <v>6180</v>
      </c>
    </row>
    <row r="2149" spans="1:10" x14ac:dyDescent="0.25">
      <c r="A2149" t="s">
        <v>8</v>
      </c>
      <c r="B2149" t="s">
        <v>6181</v>
      </c>
      <c r="C2149" t="s">
        <v>6182</v>
      </c>
      <c r="D2149">
        <v>1</v>
      </c>
      <c r="E2149" t="s">
        <v>5525</v>
      </c>
      <c r="F2149" t="s">
        <v>5526</v>
      </c>
      <c r="G2149" s="1"/>
      <c r="H2149" t="str">
        <f>"3250613154905"</f>
        <v>3250613154905</v>
      </c>
      <c r="J2149" t="s">
        <v>6183</v>
      </c>
    </row>
    <row r="2150" spans="1:10" x14ac:dyDescent="0.25">
      <c r="A2150" t="s">
        <v>8</v>
      </c>
      <c r="B2150" t="s">
        <v>6184</v>
      </c>
      <c r="C2150" t="s">
        <v>6185</v>
      </c>
      <c r="D2150">
        <v>1</v>
      </c>
      <c r="E2150" t="s">
        <v>5525</v>
      </c>
      <c r="F2150" t="s">
        <v>5526</v>
      </c>
      <c r="G2150" s="1"/>
      <c r="H2150" t="str">
        <f>"3250613154912"</f>
        <v>3250613154912</v>
      </c>
      <c r="J2150" t="s">
        <v>6186</v>
      </c>
    </row>
    <row r="2151" spans="1:10" x14ac:dyDescent="0.25">
      <c r="A2151" t="s">
        <v>8</v>
      </c>
      <c r="B2151" t="s">
        <v>6187</v>
      </c>
      <c r="C2151" t="s">
        <v>6188</v>
      </c>
      <c r="D2151">
        <v>1</v>
      </c>
      <c r="E2151" t="s">
        <v>5525</v>
      </c>
      <c r="F2151" t="s">
        <v>5526</v>
      </c>
      <c r="G2151" s="1"/>
      <c r="H2151" t="str">
        <f>"3250613154929"</f>
        <v>3250613154929</v>
      </c>
      <c r="J2151" t="s">
        <v>6189</v>
      </c>
    </row>
    <row r="2152" spans="1:10" x14ac:dyDescent="0.25">
      <c r="A2152" t="s">
        <v>8</v>
      </c>
      <c r="B2152" t="s">
        <v>6190</v>
      </c>
      <c r="C2152" t="s">
        <v>6191</v>
      </c>
      <c r="D2152">
        <v>1</v>
      </c>
      <c r="E2152" t="s">
        <v>5525</v>
      </c>
      <c r="F2152" t="s">
        <v>5526</v>
      </c>
      <c r="G2152" s="1"/>
      <c r="H2152" t="str">
        <f>"3250613154936"</f>
        <v>3250613154936</v>
      </c>
      <c r="J2152" t="s">
        <v>6192</v>
      </c>
    </row>
    <row r="2153" spans="1:10" x14ac:dyDescent="0.25">
      <c r="A2153" t="s">
        <v>8</v>
      </c>
      <c r="B2153" t="s">
        <v>6193</v>
      </c>
      <c r="C2153" t="s">
        <v>6194</v>
      </c>
      <c r="D2153">
        <v>1</v>
      </c>
      <c r="E2153" t="s">
        <v>5525</v>
      </c>
      <c r="F2153" t="s">
        <v>5526</v>
      </c>
      <c r="G2153" s="1"/>
      <c r="H2153" t="str">
        <f>"3250613154943"</f>
        <v>3250613154943</v>
      </c>
      <c r="J2153" t="s">
        <v>6177</v>
      </c>
    </row>
    <row r="2154" spans="1:10" x14ac:dyDescent="0.25">
      <c r="A2154" t="s">
        <v>8</v>
      </c>
      <c r="B2154" t="s">
        <v>6195</v>
      </c>
      <c r="C2154" t="s">
        <v>6196</v>
      </c>
      <c r="D2154">
        <v>1</v>
      </c>
      <c r="E2154" t="s">
        <v>5525</v>
      </c>
      <c r="F2154" t="s">
        <v>5526</v>
      </c>
      <c r="G2154" s="1"/>
      <c r="H2154" t="str">
        <f>"3250613154950"</f>
        <v>3250613154950</v>
      </c>
      <c r="J2154" t="s">
        <v>6197</v>
      </c>
    </row>
    <row r="2155" spans="1:10" x14ac:dyDescent="0.25">
      <c r="A2155" t="s">
        <v>8</v>
      </c>
      <c r="B2155" t="s">
        <v>6198</v>
      </c>
      <c r="C2155" t="s">
        <v>6199</v>
      </c>
      <c r="D2155">
        <v>1</v>
      </c>
      <c r="E2155" t="s">
        <v>5525</v>
      </c>
      <c r="F2155" t="s">
        <v>5526</v>
      </c>
      <c r="G2155" s="1"/>
      <c r="H2155" t="str">
        <f>"3250613154967"</f>
        <v>3250613154967</v>
      </c>
      <c r="J2155" t="s">
        <v>6200</v>
      </c>
    </row>
    <row r="2156" spans="1:10" x14ac:dyDescent="0.25">
      <c r="A2156" t="s">
        <v>8</v>
      </c>
      <c r="B2156" t="s">
        <v>6201</v>
      </c>
      <c r="C2156" t="s">
        <v>6202</v>
      </c>
      <c r="D2156">
        <v>1</v>
      </c>
      <c r="E2156" t="s">
        <v>5525</v>
      </c>
      <c r="F2156" t="s">
        <v>5526</v>
      </c>
      <c r="G2156" s="1"/>
      <c r="H2156" t="str">
        <f>"3250613154981"</f>
        <v>3250613154981</v>
      </c>
      <c r="J2156" t="s">
        <v>6200</v>
      </c>
    </row>
    <row r="2157" spans="1:10" x14ac:dyDescent="0.25">
      <c r="A2157" t="s">
        <v>8</v>
      </c>
      <c r="B2157" t="s">
        <v>6203</v>
      </c>
      <c r="C2157" t="s">
        <v>6204</v>
      </c>
      <c r="D2157">
        <v>1</v>
      </c>
      <c r="E2157" t="s">
        <v>5525</v>
      </c>
      <c r="F2157" t="s">
        <v>5526</v>
      </c>
      <c r="G2157" s="1"/>
      <c r="H2157" t="str">
        <f>"3250613154998"</f>
        <v>3250613154998</v>
      </c>
      <c r="J2157" t="s">
        <v>6205</v>
      </c>
    </row>
    <row r="2158" spans="1:10" x14ac:dyDescent="0.25">
      <c r="A2158" t="s">
        <v>8</v>
      </c>
      <c r="B2158" t="s">
        <v>6206</v>
      </c>
      <c r="C2158" t="s">
        <v>6207</v>
      </c>
      <c r="D2158">
        <v>1</v>
      </c>
      <c r="E2158" t="s">
        <v>5525</v>
      </c>
      <c r="F2158" t="s">
        <v>5526</v>
      </c>
      <c r="G2158" s="1"/>
      <c r="H2158" t="str">
        <f>"3250613155001"</f>
        <v>3250613155001</v>
      </c>
      <c r="J2158" t="s">
        <v>6183</v>
      </c>
    </row>
    <row r="2159" spans="1:10" x14ac:dyDescent="0.25">
      <c r="A2159" t="s">
        <v>8</v>
      </c>
      <c r="B2159" t="s">
        <v>6208</v>
      </c>
      <c r="C2159" t="s">
        <v>6209</v>
      </c>
      <c r="D2159">
        <v>1</v>
      </c>
      <c r="E2159" t="s">
        <v>5525</v>
      </c>
      <c r="F2159" t="s">
        <v>5526</v>
      </c>
      <c r="G2159" s="1"/>
      <c r="H2159" t="str">
        <f>"3250613155018"</f>
        <v>3250613155018</v>
      </c>
      <c r="J2159" t="s">
        <v>6186</v>
      </c>
    </row>
    <row r="2160" spans="1:10" x14ac:dyDescent="0.25">
      <c r="A2160" t="s">
        <v>8</v>
      </c>
      <c r="B2160" t="s">
        <v>6210</v>
      </c>
      <c r="C2160" t="s">
        <v>6211</v>
      </c>
      <c r="D2160">
        <v>1</v>
      </c>
      <c r="E2160" t="s">
        <v>5525</v>
      </c>
      <c r="F2160" t="s">
        <v>5526</v>
      </c>
      <c r="G2160" s="1"/>
      <c r="H2160" t="str">
        <f>"3250613155025"</f>
        <v>3250613155025</v>
      </c>
      <c r="J2160" t="s">
        <v>6200</v>
      </c>
    </row>
    <row r="2161" spans="1:10" x14ac:dyDescent="0.25">
      <c r="A2161" t="s">
        <v>8</v>
      </c>
      <c r="B2161" t="s">
        <v>6212</v>
      </c>
      <c r="C2161" t="s">
        <v>6213</v>
      </c>
      <c r="D2161">
        <v>1</v>
      </c>
      <c r="E2161" t="s">
        <v>5525</v>
      </c>
      <c r="F2161" t="s">
        <v>5526</v>
      </c>
      <c r="G2161" s="1"/>
      <c r="H2161" t="str">
        <f>"3250613155032"</f>
        <v>3250613155032</v>
      </c>
      <c r="J2161" t="s">
        <v>6205</v>
      </c>
    </row>
    <row r="2162" spans="1:10" x14ac:dyDescent="0.25">
      <c r="A2162" t="s">
        <v>8</v>
      </c>
      <c r="B2162" t="s">
        <v>6214</v>
      </c>
      <c r="C2162" t="s">
        <v>6215</v>
      </c>
      <c r="D2162">
        <v>1</v>
      </c>
      <c r="E2162" t="s">
        <v>5525</v>
      </c>
      <c r="F2162" t="s">
        <v>5526</v>
      </c>
      <c r="G2162" s="1"/>
      <c r="H2162" t="str">
        <f>"3250613197223"</f>
        <v>3250613197223</v>
      </c>
      <c r="J2162" t="s">
        <v>6151</v>
      </c>
    </row>
    <row r="2163" spans="1:10" x14ac:dyDescent="0.25">
      <c r="A2163" t="s">
        <v>8</v>
      </c>
      <c r="B2163" t="s">
        <v>6216</v>
      </c>
      <c r="C2163" t="s">
        <v>6217</v>
      </c>
      <c r="D2163">
        <v>1</v>
      </c>
      <c r="E2163" t="s">
        <v>5525</v>
      </c>
      <c r="F2163" t="s">
        <v>5526</v>
      </c>
      <c r="G2163" s="1"/>
      <c r="H2163" t="str">
        <f>"3250613197230"</f>
        <v>3250613197230</v>
      </c>
      <c r="J2163" t="s">
        <v>6163</v>
      </c>
    </row>
    <row r="2164" spans="1:10" x14ac:dyDescent="0.25">
      <c r="A2164" t="s">
        <v>8</v>
      </c>
      <c r="B2164" t="s">
        <v>6218</v>
      </c>
      <c r="C2164" t="s">
        <v>6219</v>
      </c>
      <c r="D2164">
        <v>1</v>
      </c>
      <c r="E2164" t="s">
        <v>5525</v>
      </c>
      <c r="F2164" t="s">
        <v>5526</v>
      </c>
      <c r="G2164" s="1"/>
      <c r="H2164" t="str">
        <f>"3250613197247"</f>
        <v>3250613197247</v>
      </c>
      <c r="J2164" t="s">
        <v>6163</v>
      </c>
    </row>
    <row r="2165" spans="1:10" x14ac:dyDescent="0.25">
      <c r="A2165" t="s">
        <v>8</v>
      </c>
      <c r="B2165" t="s">
        <v>6220</v>
      </c>
      <c r="C2165" t="s">
        <v>6221</v>
      </c>
      <c r="D2165">
        <v>1</v>
      </c>
      <c r="E2165" t="s">
        <v>5525</v>
      </c>
      <c r="F2165" t="s">
        <v>5526</v>
      </c>
      <c r="G2165" s="1"/>
      <c r="H2165" t="str">
        <f>"3250613197148"</f>
        <v>3250613197148</v>
      </c>
      <c r="J2165" t="s">
        <v>6222</v>
      </c>
    </row>
    <row r="2166" spans="1:10" x14ac:dyDescent="0.25">
      <c r="A2166" t="s">
        <v>8</v>
      </c>
      <c r="B2166" t="s">
        <v>6223</v>
      </c>
      <c r="C2166" t="s">
        <v>6224</v>
      </c>
      <c r="D2166">
        <v>1</v>
      </c>
      <c r="E2166" t="s">
        <v>5525</v>
      </c>
      <c r="F2166" t="s">
        <v>5526</v>
      </c>
      <c r="G2166" s="1"/>
      <c r="H2166" t="str">
        <f>"3250613155186"</f>
        <v>3250613155186</v>
      </c>
      <c r="J2166" t="s">
        <v>6225</v>
      </c>
    </row>
    <row r="2167" spans="1:10" x14ac:dyDescent="0.25">
      <c r="A2167" t="s">
        <v>8</v>
      </c>
      <c r="B2167" t="s">
        <v>6226</v>
      </c>
      <c r="C2167" t="s">
        <v>6227</v>
      </c>
      <c r="D2167">
        <v>1</v>
      </c>
      <c r="E2167" t="s">
        <v>5525</v>
      </c>
      <c r="F2167" t="s">
        <v>5526</v>
      </c>
      <c r="G2167" s="1"/>
      <c r="H2167" t="str">
        <f>"3250613155193"</f>
        <v>3250613155193</v>
      </c>
      <c r="J2167" t="s">
        <v>6228</v>
      </c>
    </row>
    <row r="2168" spans="1:10" x14ac:dyDescent="0.25">
      <c r="A2168" t="s">
        <v>8</v>
      </c>
      <c r="B2168" t="s">
        <v>6229</v>
      </c>
      <c r="C2168" t="s">
        <v>6230</v>
      </c>
      <c r="D2168">
        <v>1</v>
      </c>
      <c r="E2168" t="s">
        <v>5525</v>
      </c>
      <c r="F2168" t="s">
        <v>5526</v>
      </c>
      <c r="G2168" s="1"/>
      <c r="H2168" t="str">
        <f>"3250613151546"</f>
        <v>3250613151546</v>
      </c>
      <c r="J2168" t="s">
        <v>6231</v>
      </c>
    </row>
    <row r="2169" spans="1:10" x14ac:dyDescent="0.25">
      <c r="A2169" t="s">
        <v>8</v>
      </c>
      <c r="B2169" t="s">
        <v>6232</v>
      </c>
      <c r="C2169" t="s">
        <v>6233</v>
      </c>
      <c r="D2169">
        <v>1</v>
      </c>
      <c r="E2169" t="s">
        <v>5525</v>
      </c>
      <c r="F2169" t="s">
        <v>5526</v>
      </c>
      <c r="G2169" s="1"/>
      <c r="H2169" t="str">
        <f>"3250613151553"</f>
        <v>3250613151553</v>
      </c>
      <c r="J2169" t="s">
        <v>6228</v>
      </c>
    </row>
    <row r="2170" spans="1:10" x14ac:dyDescent="0.25">
      <c r="A2170" t="s">
        <v>8</v>
      </c>
      <c r="B2170" t="s">
        <v>6234</v>
      </c>
      <c r="C2170" t="s">
        <v>6235</v>
      </c>
      <c r="D2170">
        <v>1</v>
      </c>
      <c r="E2170" t="s">
        <v>5525</v>
      </c>
      <c r="F2170" t="s">
        <v>5526</v>
      </c>
      <c r="G2170" s="1"/>
      <c r="H2170" t="str">
        <f>"3250613155209"</f>
        <v>3250613155209</v>
      </c>
      <c r="J2170" t="s">
        <v>6236</v>
      </c>
    </row>
    <row r="2171" spans="1:10" x14ac:dyDescent="0.25">
      <c r="A2171" t="s">
        <v>8</v>
      </c>
      <c r="B2171" t="s">
        <v>6237</v>
      </c>
      <c r="C2171" t="s">
        <v>6238</v>
      </c>
      <c r="D2171">
        <v>1</v>
      </c>
      <c r="E2171" t="s">
        <v>5525</v>
      </c>
      <c r="F2171" t="s">
        <v>5526</v>
      </c>
      <c r="G2171" s="1"/>
      <c r="H2171" t="str">
        <f>"3250613155148"</f>
        <v>3250613155148</v>
      </c>
      <c r="J2171" t="s">
        <v>6117</v>
      </c>
    </row>
    <row r="2172" spans="1:10" x14ac:dyDescent="0.25">
      <c r="A2172" t="s">
        <v>8</v>
      </c>
      <c r="B2172" t="s">
        <v>6239</v>
      </c>
      <c r="C2172" t="s">
        <v>6240</v>
      </c>
      <c r="D2172">
        <v>1</v>
      </c>
      <c r="E2172" t="s">
        <v>5525</v>
      </c>
      <c r="F2172" t="s">
        <v>5526</v>
      </c>
      <c r="G2172" s="1"/>
      <c r="H2172" t="str">
        <f>"3250613196820"</f>
        <v>3250613196820</v>
      </c>
      <c r="J2172" t="s">
        <v>6241</v>
      </c>
    </row>
    <row r="2173" spans="1:10" x14ac:dyDescent="0.25">
      <c r="A2173" t="s">
        <v>8</v>
      </c>
      <c r="B2173" t="s">
        <v>6242</v>
      </c>
      <c r="C2173" t="s">
        <v>6243</v>
      </c>
      <c r="D2173">
        <v>1</v>
      </c>
      <c r="E2173" t="s">
        <v>5525</v>
      </c>
      <c r="F2173" t="s">
        <v>5526</v>
      </c>
      <c r="G2173" s="1"/>
      <c r="H2173" t="str">
        <f>"3250613196837"</f>
        <v>3250613196837</v>
      </c>
      <c r="J2173" t="s">
        <v>6244</v>
      </c>
    </row>
    <row r="2174" spans="1:10" x14ac:dyDescent="0.25">
      <c r="A2174" t="s">
        <v>8</v>
      </c>
      <c r="B2174" t="s">
        <v>6245</v>
      </c>
      <c r="C2174" t="s">
        <v>6246</v>
      </c>
      <c r="D2174">
        <v>1</v>
      </c>
      <c r="E2174" t="s">
        <v>5525</v>
      </c>
      <c r="F2174" t="s">
        <v>5526</v>
      </c>
      <c r="G2174" s="1"/>
      <c r="H2174" t="str">
        <f>"3250613196844"</f>
        <v>3250613196844</v>
      </c>
      <c r="J2174" t="s">
        <v>6241</v>
      </c>
    </row>
    <row r="2175" spans="1:10" x14ac:dyDescent="0.25">
      <c r="A2175" t="s">
        <v>8</v>
      </c>
      <c r="B2175" t="s">
        <v>6247</v>
      </c>
      <c r="C2175" t="s">
        <v>6248</v>
      </c>
      <c r="D2175">
        <v>1</v>
      </c>
      <c r="E2175" t="s">
        <v>5525</v>
      </c>
      <c r="F2175" t="s">
        <v>5526</v>
      </c>
      <c r="G2175" s="1"/>
      <c r="H2175" t="str">
        <f>"3250613196851"</f>
        <v>3250613196851</v>
      </c>
      <c r="J2175" t="s">
        <v>6244</v>
      </c>
    </row>
    <row r="2176" spans="1:10" x14ac:dyDescent="0.25">
      <c r="A2176" t="s">
        <v>8</v>
      </c>
      <c r="B2176" t="s">
        <v>6249</v>
      </c>
      <c r="C2176" t="s">
        <v>6250</v>
      </c>
      <c r="D2176">
        <v>1</v>
      </c>
      <c r="E2176" t="s">
        <v>5525</v>
      </c>
      <c r="F2176" t="s">
        <v>5526</v>
      </c>
      <c r="G2176" s="1"/>
      <c r="H2176" t="str">
        <f>"3250613196868"</f>
        <v>3250613196868</v>
      </c>
      <c r="J2176" t="s">
        <v>6251</v>
      </c>
    </row>
    <row r="2177" spans="1:10" x14ac:dyDescent="0.25">
      <c r="A2177" t="s">
        <v>8</v>
      </c>
      <c r="B2177" t="s">
        <v>6252</v>
      </c>
      <c r="C2177" t="s">
        <v>6253</v>
      </c>
      <c r="D2177">
        <v>1</v>
      </c>
      <c r="E2177" t="s">
        <v>5525</v>
      </c>
      <c r="F2177" t="s">
        <v>5526</v>
      </c>
      <c r="G2177" s="1"/>
      <c r="H2177" t="str">
        <f>"3250613196875"</f>
        <v>3250613196875</v>
      </c>
      <c r="J2177" t="s">
        <v>6254</v>
      </c>
    </row>
    <row r="2178" spans="1:10" x14ac:dyDescent="0.25">
      <c r="A2178" t="s">
        <v>8</v>
      </c>
      <c r="B2178" t="s">
        <v>6255</v>
      </c>
      <c r="C2178" t="s">
        <v>6256</v>
      </c>
      <c r="D2178">
        <v>1</v>
      </c>
      <c r="E2178" t="s">
        <v>5525</v>
      </c>
      <c r="F2178" t="s">
        <v>5526</v>
      </c>
      <c r="G2178" s="1"/>
      <c r="H2178" t="str">
        <f>"3250613196813"</f>
        <v>3250613196813</v>
      </c>
      <c r="J2178" t="s">
        <v>6257</v>
      </c>
    </row>
    <row r="2179" spans="1:10" x14ac:dyDescent="0.25">
      <c r="A2179" t="s">
        <v>8</v>
      </c>
      <c r="B2179" t="s">
        <v>6258</v>
      </c>
      <c r="C2179" t="s">
        <v>6259</v>
      </c>
      <c r="D2179">
        <v>1</v>
      </c>
      <c r="E2179" t="s">
        <v>5525</v>
      </c>
      <c r="F2179" t="s">
        <v>5526</v>
      </c>
      <c r="G2179" s="1"/>
      <c r="H2179" t="str">
        <f>"3250613196882"</f>
        <v>3250613196882</v>
      </c>
      <c r="J2179" t="s">
        <v>6260</v>
      </c>
    </row>
    <row r="2180" spans="1:10" x14ac:dyDescent="0.25">
      <c r="A2180" t="s">
        <v>8</v>
      </c>
      <c r="B2180" t="s">
        <v>6261</v>
      </c>
      <c r="C2180" t="s">
        <v>6262</v>
      </c>
      <c r="D2180">
        <v>1</v>
      </c>
      <c r="E2180" t="s">
        <v>5525</v>
      </c>
      <c r="F2180" t="s">
        <v>5526</v>
      </c>
      <c r="G2180" s="1"/>
      <c r="H2180" t="str">
        <f>"3250613196899"</f>
        <v>3250613196899</v>
      </c>
      <c r="J2180" t="s">
        <v>6263</v>
      </c>
    </row>
    <row r="2181" spans="1:10" x14ac:dyDescent="0.25">
      <c r="A2181" t="s">
        <v>8</v>
      </c>
      <c r="B2181" t="s">
        <v>6264</v>
      </c>
      <c r="C2181" t="s">
        <v>6265</v>
      </c>
      <c r="D2181">
        <v>1</v>
      </c>
      <c r="E2181" t="s">
        <v>5525</v>
      </c>
      <c r="F2181" t="s">
        <v>5526</v>
      </c>
      <c r="G2181" s="1"/>
      <c r="H2181" t="str">
        <f>"3250613196905"</f>
        <v>3250613196905</v>
      </c>
      <c r="J2181" t="s">
        <v>6260</v>
      </c>
    </row>
    <row r="2182" spans="1:10" x14ac:dyDescent="0.25">
      <c r="A2182" t="s">
        <v>8</v>
      </c>
      <c r="B2182" t="s">
        <v>6266</v>
      </c>
      <c r="C2182" t="s">
        <v>6267</v>
      </c>
      <c r="D2182">
        <v>1</v>
      </c>
      <c r="E2182" t="s">
        <v>5525</v>
      </c>
      <c r="F2182" t="s">
        <v>5526</v>
      </c>
      <c r="G2182" s="1"/>
      <c r="H2182" t="str">
        <f>"3250613196912"</f>
        <v>3250613196912</v>
      </c>
      <c r="J2182" t="s">
        <v>6268</v>
      </c>
    </row>
    <row r="2183" spans="1:10" x14ac:dyDescent="0.25">
      <c r="A2183" t="s">
        <v>8</v>
      </c>
      <c r="B2183" t="s">
        <v>6269</v>
      </c>
      <c r="C2183" t="s">
        <v>6270</v>
      </c>
      <c r="D2183">
        <v>1</v>
      </c>
      <c r="E2183" t="s">
        <v>5525</v>
      </c>
      <c r="F2183" t="s">
        <v>5526</v>
      </c>
      <c r="G2183" s="1"/>
      <c r="H2183" t="str">
        <f>"3250613155223"</f>
        <v>3250613155223</v>
      </c>
      <c r="J2183" t="s">
        <v>6271</v>
      </c>
    </row>
    <row r="2184" spans="1:10" x14ac:dyDescent="0.25">
      <c r="A2184" t="s">
        <v>8</v>
      </c>
      <c r="B2184" t="s">
        <v>6272</v>
      </c>
      <c r="C2184" t="s">
        <v>6273</v>
      </c>
      <c r="D2184">
        <v>1</v>
      </c>
      <c r="E2184" t="s">
        <v>5525</v>
      </c>
      <c r="F2184" t="s">
        <v>5526</v>
      </c>
      <c r="G2184" s="1"/>
      <c r="H2184" t="str">
        <f>"3250613155230"</f>
        <v>3250613155230</v>
      </c>
      <c r="J2184" t="s">
        <v>6274</v>
      </c>
    </row>
    <row r="2185" spans="1:10" x14ac:dyDescent="0.25">
      <c r="A2185" t="s">
        <v>8</v>
      </c>
      <c r="B2185" t="s">
        <v>6275</v>
      </c>
      <c r="C2185" t="s">
        <v>6276</v>
      </c>
      <c r="D2185">
        <v>1</v>
      </c>
      <c r="E2185" t="s">
        <v>5525</v>
      </c>
      <c r="F2185" t="s">
        <v>5526</v>
      </c>
      <c r="G2185" s="1"/>
      <c r="H2185" t="str">
        <f>"3250613196790"</f>
        <v>3250613196790</v>
      </c>
      <c r="J2185" t="s">
        <v>6277</v>
      </c>
    </row>
    <row r="2186" spans="1:10" x14ac:dyDescent="0.25">
      <c r="A2186" t="s">
        <v>8</v>
      </c>
      <c r="B2186" t="s">
        <v>6278</v>
      </c>
      <c r="C2186" t="s">
        <v>6279</v>
      </c>
      <c r="D2186">
        <v>1</v>
      </c>
      <c r="E2186" t="s">
        <v>5525</v>
      </c>
      <c r="F2186" t="s">
        <v>5526</v>
      </c>
      <c r="G2186" s="1"/>
      <c r="H2186" t="str">
        <f>"3250613196806"</f>
        <v>3250613196806</v>
      </c>
      <c r="J2186" t="s">
        <v>6280</v>
      </c>
    </row>
    <row r="2187" spans="1:10" x14ac:dyDescent="0.25">
      <c r="A2187" t="s">
        <v>8</v>
      </c>
      <c r="B2187" t="s">
        <v>6281</v>
      </c>
      <c r="C2187" t="s">
        <v>6282</v>
      </c>
      <c r="D2187">
        <v>1</v>
      </c>
      <c r="E2187" t="s">
        <v>5525</v>
      </c>
      <c r="F2187" t="s">
        <v>5526</v>
      </c>
      <c r="G2187" s="1"/>
      <c r="H2187" t="str">
        <f>"3250613197049"</f>
        <v>3250613197049</v>
      </c>
      <c r="J2187" t="s">
        <v>6283</v>
      </c>
    </row>
    <row r="2188" spans="1:10" x14ac:dyDescent="0.25">
      <c r="A2188" t="s">
        <v>8</v>
      </c>
      <c r="B2188" t="s">
        <v>6284</v>
      </c>
      <c r="C2188" t="s">
        <v>6285</v>
      </c>
      <c r="D2188">
        <v>1</v>
      </c>
      <c r="E2188" t="s">
        <v>5525</v>
      </c>
      <c r="F2188" t="s">
        <v>5526</v>
      </c>
      <c r="G2188" s="1"/>
      <c r="H2188" t="str">
        <f>"3250613197056"</f>
        <v>3250613197056</v>
      </c>
      <c r="J2188" t="s">
        <v>6286</v>
      </c>
    </row>
    <row r="2189" spans="1:10" x14ac:dyDescent="0.25">
      <c r="A2189" t="s">
        <v>8</v>
      </c>
      <c r="B2189" t="s">
        <v>6287</v>
      </c>
      <c r="C2189" t="s">
        <v>6288</v>
      </c>
      <c r="D2189">
        <v>1</v>
      </c>
      <c r="E2189" t="s">
        <v>5525</v>
      </c>
      <c r="F2189" t="s">
        <v>5526</v>
      </c>
      <c r="G2189" s="1"/>
      <c r="H2189" t="str">
        <f>"3250613155384"</f>
        <v>3250613155384</v>
      </c>
      <c r="J2189" t="s">
        <v>6113</v>
      </c>
    </row>
    <row r="2190" spans="1:10" x14ac:dyDescent="0.25">
      <c r="A2190" t="s">
        <v>8</v>
      </c>
      <c r="B2190" t="s">
        <v>6289</v>
      </c>
      <c r="C2190" t="s">
        <v>6290</v>
      </c>
      <c r="D2190">
        <v>1</v>
      </c>
      <c r="E2190" t="s">
        <v>5525</v>
      </c>
      <c r="F2190" t="s">
        <v>5526</v>
      </c>
      <c r="G2190" s="1"/>
      <c r="H2190" t="str">
        <f>"3250613197063"</f>
        <v>3250613197063</v>
      </c>
      <c r="J2190" t="s">
        <v>6291</v>
      </c>
    </row>
    <row r="2191" spans="1:10" x14ac:dyDescent="0.25">
      <c r="A2191" t="s">
        <v>8</v>
      </c>
      <c r="B2191" t="s">
        <v>6292</v>
      </c>
      <c r="C2191" t="s">
        <v>6293</v>
      </c>
      <c r="D2191">
        <v>1</v>
      </c>
      <c r="E2191" t="s">
        <v>5525</v>
      </c>
      <c r="F2191" t="s">
        <v>5526</v>
      </c>
      <c r="G2191" s="1"/>
      <c r="H2191" t="str">
        <f>"3250613197070"</f>
        <v>3250613197070</v>
      </c>
      <c r="J2191" t="s">
        <v>6294</v>
      </c>
    </row>
    <row r="2192" spans="1:10" x14ac:dyDescent="0.25">
      <c r="A2192" t="s">
        <v>8</v>
      </c>
      <c r="B2192" t="s">
        <v>6295</v>
      </c>
      <c r="C2192" t="s">
        <v>6296</v>
      </c>
      <c r="D2192">
        <v>1</v>
      </c>
      <c r="E2192" t="s">
        <v>5525</v>
      </c>
      <c r="F2192" t="s">
        <v>5526</v>
      </c>
      <c r="G2192" s="1"/>
      <c r="H2192" t="str">
        <f>"3250613197025"</f>
        <v>3250613197025</v>
      </c>
      <c r="J2192" t="s">
        <v>6251</v>
      </c>
    </row>
    <row r="2193" spans="1:10" x14ac:dyDescent="0.25">
      <c r="A2193" t="s">
        <v>8</v>
      </c>
      <c r="B2193" t="s">
        <v>6297</v>
      </c>
      <c r="C2193" t="s">
        <v>6298</v>
      </c>
      <c r="D2193">
        <v>1</v>
      </c>
      <c r="E2193" t="s">
        <v>5525</v>
      </c>
      <c r="F2193" t="s">
        <v>5526</v>
      </c>
      <c r="G2193" s="1"/>
      <c r="H2193" t="str">
        <f>"3250613197032"</f>
        <v>3250613197032</v>
      </c>
      <c r="J2193" t="s">
        <v>6254</v>
      </c>
    </row>
    <row r="2194" spans="1:10" x14ac:dyDescent="0.25">
      <c r="A2194" t="s">
        <v>8</v>
      </c>
      <c r="B2194" t="s">
        <v>6299</v>
      </c>
      <c r="C2194" t="s">
        <v>6300</v>
      </c>
      <c r="D2194">
        <v>1</v>
      </c>
      <c r="E2194" t="s">
        <v>5525</v>
      </c>
      <c r="F2194" t="s">
        <v>5526</v>
      </c>
      <c r="G2194" s="1"/>
      <c r="H2194" t="str">
        <f>"3250613155124"</f>
        <v>3250613155124</v>
      </c>
      <c r="J2194" t="s">
        <v>6301</v>
      </c>
    </row>
    <row r="2195" spans="1:10" x14ac:dyDescent="0.25">
      <c r="A2195" t="s">
        <v>8</v>
      </c>
      <c r="B2195" t="s">
        <v>6302</v>
      </c>
      <c r="C2195" t="s">
        <v>6303</v>
      </c>
      <c r="D2195">
        <v>1</v>
      </c>
      <c r="E2195" t="s">
        <v>5525</v>
      </c>
      <c r="F2195" t="s">
        <v>5526</v>
      </c>
      <c r="G2195" s="1"/>
      <c r="H2195" t="str">
        <f>"3250613155261"</f>
        <v>3250613155261</v>
      </c>
      <c r="J2195" t="s">
        <v>6241</v>
      </c>
    </row>
    <row r="2196" spans="1:10" x14ac:dyDescent="0.25">
      <c r="A2196" t="s">
        <v>8</v>
      </c>
      <c r="B2196" t="s">
        <v>6304</v>
      </c>
      <c r="C2196" t="s">
        <v>6305</v>
      </c>
      <c r="D2196">
        <v>1</v>
      </c>
      <c r="E2196" t="s">
        <v>5525</v>
      </c>
      <c r="F2196" t="s">
        <v>5526</v>
      </c>
      <c r="G2196" s="1"/>
      <c r="H2196" t="str">
        <f>"3250613155278"</f>
        <v>3250613155278</v>
      </c>
      <c r="J2196" t="s">
        <v>6306</v>
      </c>
    </row>
    <row r="2197" spans="1:10" x14ac:dyDescent="0.25">
      <c r="A2197" t="s">
        <v>8</v>
      </c>
      <c r="B2197" t="s">
        <v>6307</v>
      </c>
      <c r="C2197" t="s">
        <v>6308</v>
      </c>
      <c r="D2197">
        <v>1</v>
      </c>
      <c r="E2197" t="s">
        <v>5525</v>
      </c>
      <c r="F2197" t="s">
        <v>5526</v>
      </c>
      <c r="G2197" s="1"/>
      <c r="H2197" t="str">
        <f>"3250613155285"</f>
        <v>3250613155285</v>
      </c>
      <c r="J2197" t="s">
        <v>6309</v>
      </c>
    </row>
    <row r="2198" spans="1:10" x14ac:dyDescent="0.25">
      <c r="A2198" t="s">
        <v>8</v>
      </c>
      <c r="B2198" t="s">
        <v>6310</v>
      </c>
      <c r="C2198" t="s">
        <v>6311</v>
      </c>
      <c r="D2198">
        <v>1</v>
      </c>
      <c r="E2198" t="s">
        <v>5525</v>
      </c>
      <c r="F2198" t="s">
        <v>5526</v>
      </c>
      <c r="G2198" s="1"/>
      <c r="H2198" t="str">
        <f>"3250613155292"</f>
        <v>3250613155292</v>
      </c>
      <c r="J2198" t="s">
        <v>6312</v>
      </c>
    </row>
    <row r="2199" spans="1:10" x14ac:dyDescent="0.25">
      <c r="A2199" t="s">
        <v>8</v>
      </c>
      <c r="B2199" t="s">
        <v>6313</v>
      </c>
      <c r="C2199" t="s">
        <v>6314</v>
      </c>
      <c r="D2199">
        <v>1</v>
      </c>
      <c r="E2199" t="s">
        <v>5525</v>
      </c>
      <c r="F2199" t="s">
        <v>5526</v>
      </c>
      <c r="G2199" s="1"/>
      <c r="H2199" t="str">
        <f>"3250613155308"</f>
        <v>3250613155308</v>
      </c>
      <c r="J2199" t="s">
        <v>6315</v>
      </c>
    </row>
    <row r="2200" spans="1:10" x14ac:dyDescent="0.25">
      <c r="A2200" t="s">
        <v>8</v>
      </c>
      <c r="B2200" t="s">
        <v>6316</v>
      </c>
      <c r="C2200" t="s">
        <v>6317</v>
      </c>
      <c r="D2200">
        <v>1</v>
      </c>
      <c r="E2200" t="s">
        <v>5525</v>
      </c>
      <c r="F2200" t="s">
        <v>5526</v>
      </c>
      <c r="G2200" s="1"/>
      <c r="H2200" t="str">
        <f>"3250613155315"</f>
        <v>3250613155315</v>
      </c>
      <c r="J2200" t="s">
        <v>6318</v>
      </c>
    </row>
    <row r="2201" spans="1:10" x14ac:dyDescent="0.25">
      <c r="A2201" t="s">
        <v>8</v>
      </c>
      <c r="B2201" t="s">
        <v>6319</v>
      </c>
      <c r="C2201" t="s">
        <v>6320</v>
      </c>
      <c r="D2201">
        <v>1</v>
      </c>
      <c r="E2201" t="s">
        <v>5525</v>
      </c>
      <c r="F2201" t="s">
        <v>5526</v>
      </c>
      <c r="G2201" s="1"/>
      <c r="H2201" t="str">
        <f>"3250613155407"</f>
        <v>3250613155407</v>
      </c>
      <c r="J2201" t="s">
        <v>6321</v>
      </c>
    </row>
    <row r="2202" spans="1:10" x14ac:dyDescent="0.25">
      <c r="A2202" t="s">
        <v>8</v>
      </c>
      <c r="B2202" t="s">
        <v>6322</v>
      </c>
      <c r="C2202" t="s">
        <v>6323</v>
      </c>
      <c r="D2202">
        <v>1</v>
      </c>
      <c r="E2202" t="s">
        <v>5525</v>
      </c>
      <c r="F2202" t="s">
        <v>5526</v>
      </c>
      <c r="G2202" s="1"/>
      <c r="H2202" t="str">
        <f>"3250613196929"</f>
        <v>3250613196929</v>
      </c>
      <c r="J2202" t="s">
        <v>6251</v>
      </c>
    </row>
    <row r="2203" spans="1:10" x14ac:dyDescent="0.25">
      <c r="A2203" t="s">
        <v>8</v>
      </c>
      <c r="B2203" t="s">
        <v>6324</v>
      </c>
      <c r="C2203" t="s">
        <v>6325</v>
      </c>
      <c r="D2203">
        <v>1</v>
      </c>
      <c r="E2203" t="s">
        <v>5525</v>
      </c>
      <c r="F2203" t="s">
        <v>5526</v>
      </c>
      <c r="G2203" s="1"/>
      <c r="H2203" t="str">
        <f>"3250613196936"</f>
        <v>3250613196936</v>
      </c>
      <c r="J2203" t="s">
        <v>6254</v>
      </c>
    </row>
    <row r="2204" spans="1:10" x14ac:dyDescent="0.25">
      <c r="A2204" t="s">
        <v>8</v>
      </c>
      <c r="B2204" t="s">
        <v>6326</v>
      </c>
      <c r="C2204" t="s">
        <v>6327</v>
      </c>
      <c r="D2204">
        <v>1</v>
      </c>
      <c r="E2204" t="s">
        <v>5525</v>
      </c>
      <c r="F2204" t="s">
        <v>5526</v>
      </c>
      <c r="G2204" s="1"/>
      <c r="H2204" t="str">
        <f>"3250613196943"</f>
        <v>3250613196943</v>
      </c>
      <c r="J2204" t="s">
        <v>6251</v>
      </c>
    </row>
    <row r="2205" spans="1:10" x14ac:dyDescent="0.25">
      <c r="A2205" t="s">
        <v>8</v>
      </c>
      <c r="B2205" t="s">
        <v>6328</v>
      </c>
      <c r="C2205" t="s">
        <v>6329</v>
      </c>
      <c r="D2205">
        <v>1</v>
      </c>
      <c r="E2205" t="s">
        <v>5525</v>
      </c>
      <c r="F2205" t="s">
        <v>5526</v>
      </c>
      <c r="G2205" s="1"/>
      <c r="H2205" t="str">
        <f>"3250613196950"</f>
        <v>3250613196950</v>
      </c>
      <c r="J2205" t="s">
        <v>6254</v>
      </c>
    </row>
    <row r="2206" spans="1:10" x14ac:dyDescent="0.25">
      <c r="A2206" t="s">
        <v>8</v>
      </c>
      <c r="B2206" t="s">
        <v>6330</v>
      </c>
      <c r="C2206" t="s">
        <v>6331</v>
      </c>
      <c r="D2206">
        <v>1</v>
      </c>
      <c r="E2206" t="s">
        <v>5525</v>
      </c>
      <c r="F2206" t="s">
        <v>5526</v>
      </c>
      <c r="G2206" s="1"/>
      <c r="H2206" t="str">
        <f>"3250613196967"</f>
        <v>3250613196967</v>
      </c>
      <c r="J2206" t="s">
        <v>6251</v>
      </c>
    </row>
    <row r="2207" spans="1:10" x14ac:dyDescent="0.25">
      <c r="A2207" t="s">
        <v>8</v>
      </c>
      <c r="B2207" t="s">
        <v>6332</v>
      </c>
      <c r="C2207" t="s">
        <v>6333</v>
      </c>
      <c r="D2207">
        <v>1</v>
      </c>
      <c r="E2207" t="s">
        <v>5525</v>
      </c>
      <c r="F2207" t="s">
        <v>5526</v>
      </c>
      <c r="G2207" s="1"/>
      <c r="H2207" t="str">
        <f>"3250613196974"</f>
        <v>3250613196974</v>
      </c>
      <c r="J2207" t="s">
        <v>6254</v>
      </c>
    </row>
    <row r="2208" spans="1:10" x14ac:dyDescent="0.25">
      <c r="A2208" t="s">
        <v>8</v>
      </c>
      <c r="B2208" t="s">
        <v>6334</v>
      </c>
      <c r="C2208" t="s">
        <v>6335</v>
      </c>
      <c r="D2208">
        <v>1</v>
      </c>
      <c r="E2208" t="s">
        <v>5525</v>
      </c>
      <c r="F2208" t="s">
        <v>5526</v>
      </c>
      <c r="G2208" s="1"/>
      <c r="H2208" t="str">
        <f>"3250613310004"</f>
        <v>3250613310004</v>
      </c>
      <c r="J2208" t="s">
        <v>6257</v>
      </c>
    </row>
    <row r="2209" spans="1:10" x14ac:dyDescent="0.25">
      <c r="A2209" t="s">
        <v>8</v>
      </c>
      <c r="B2209" t="s">
        <v>6336</v>
      </c>
      <c r="C2209" t="s">
        <v>6337</v>
      </c>
      <c r="D2209">
        <v>1</v>
      </c>
      <c r="E2209" t="s">
        <v>5525</v>
      </c>
      <c r="F2209" t="s">
        <v>5526</v>
      </c>
      <c r="G2209" s="1"/>
      <c r="H2209" t="str">
        <f>"3250613196981"</f>
        <v>3250613196981</v>
      </c>
      <c r="J2209" t="s">
        <v>6260</v>
      </c>
    </row>
    <row r="2210" spans="1:10" x14ac:dyDescent="0.25">
      <c r="A2210" t="s">
        <v>8</v>
      </c>
      <c r="B2210" t="s">
        <v>6338</v>
      </c>
      <c r="C2210" t="s">
        <v>6339</v>
      </c>
      <c r="D2210">
        <v>1</v>
      </c>
      <c r="E2210" t="s">
        <v>5525</v>
      </c>
      <c r="F2210" t="s">
        <v>5526</v>
      </c>
      <c r="G2210" s="1"/>
      <c r="H2210" t="str">
        <f>"3250613196998"</f>
        <v>3250613196998</v>
      </c>
      <c r="J2210" t="s">
        <v>6301</v>
      </c>
    </row>
    <row r="2211" spans="1:10" x14ac:dyDescent="0.25">
      <c r="A2211" t="s">
        <v>8</v>
      </c>
      <c r="B2211" t="s">
        <v>6340</v>
      </c>
      <c r="C2211" t="s">
        <v>6341</v>
      </c>
      <c r="D2211">
        <v>1</v>
      </c>
      <c r="E2211" t="s">
        <v>5525</v>
      </c>
      <c r="F2211" t="s">
        <v>5526</v>
      </c>
      <c r="G2211" s="1"/>
      <c r="H2211" t="str">
        <f>"3250613197001"</f>
        <v>3250613197001</v>
      </c>
      <c r="J2211" t="s">
        <v>6254</v>
      </c>
    </row>
    <row r="2212" spans="1:10" x14ac:dyDescent="0.25">
      <c r="A2212" t="s">
        <v>8</v>
      </c>
      <c r="B2212" t="s">
        <v>6342</v>
      </c>
      <c r="C2212" t="s">
        <v>6343</v>
      </c>
      <c r="D2212">
        <v>1</v>
      </c>
      <c r="E2212" t="s">
        <v>5525</v>
      </c>
      <c r="F2212" t="s">
        <v>5526</v>
      </c>
      <c r="G2212" s="1"/>
      <c r="H2212" t="str">
        <f>"3250613197018"</f>
        <v>3250613197018</v>
      </c>
      <c r="J2212" t="s">
        <v>6251</v>
      </c>
    </row>
    <row r="2213" spans="1:10" x14ac:dyDescent="0.25">
      <c r="A2213" t="s">
        <v>8</v>
      </c>
      <c r="B2213" t="s">
        <v>6344</v>
      </c>
      <c r="C2213" t="s">
        <v>6345</v>
      </c>
      <c r="D2213">
        <v>1</v>
      </c>
      <c r="E2213" t="s">
        <v>5525</v>
      </c>
      <c r="F2213" t="s">
        <v>5526</v>
      </c>
      <c r="G2213" s="1"/>
      <c r="H2213" t="str">
        <f>"3250613155322"</f>
        <v>3250613155322</v>
      </c>
      <c r="J2213" t="s">
        <v>6271</v>
      </c>
    </row>
    <row r="2214" spans="1:10" x14ac:dyDescent="0.25">
      <c r="A2214" t="s">
        <v>8</v>
      </c>
      <c r="B2214" t="s">
        <v>6346</v>
      </c>
      <c r="C2214" t="s">
        <v>6347</v>
      </c>
      <c r="D2214">
        <v>1</v>
      </c>
      <c r="E2214" t="s">
        <v>5525</v>
      </c>
      <c r="F2214" t="s">
        <v>5526</v>
      </c>
      <c r="G2214" s="1"/>
      <c r="H2214" t="str">
        <f>"3250613155339"</f>
        <v>3250613155339</v>
      </c>
      <c r="J2214" t="s">
        <v>6274</v>
      </c>
    </row>
    <row r="2215" spans="1:10" x14ac:dyDescent="0.25">
      <c r="A2215" t="s">
        <v>8</v>
      </c>
      <c r="B2215" t="s">
        <v>6348</v>
      </c>
      <c r="C2215" t="s">
        <v>6349</v>
      </c>
      <c r="D2215">
        <v>1</v>
      </c>
      <c r="E2215" t="s">
        <v>5525</v>
      </c>
      <c r="F2215" t="s">
        <v>5526</v>
      </c>
      <c r="G2215" s="1"/>
      <c r="H2215" t="str">
        <f>"3250613197100"</f>
        <v>3250613197100</v>
      </c>
      <c r="J2215" t="s">
        <v>6283</v>
      </c>
    </row>
    <row r="2216" spans="1:10" x14ac:dyDescent="0.25">
      <c r="A2216" t="s">
        <v>8</v>
      </c>
      <c r="B2216" t="s">
        <v>6350</v>
      </c>
      <c r="C2216" t="s">
        <v>6351</v>
      </c>
      <c r="D2216">
        <v>1</v>
      </c>
      <c r="E2216" t="s">
        <v>5525</v>
      </c>
      <c r="F2216" t="s">
        <v>5526</v>
      </c>
      <c r="G2216" s="1"/>
      <c r="H2216" t="str">
        <f>"3250613197117"</f>
        <v>3250613197117</v>
      </c>
      <c r="J2216" t="s">
        <v>6286</v>
      </c>
    </row>
    <row r="2217" spans="1:10" x14ac:dyDescent="0.25">
      <c r="A2217" t="s">
        <v>8</v>
      </c>
      <c r="B2217" t="s">
        <v>6352</v>
      </c>
      <c r="C2217" t="s">
        <v>6353</v>
      </c>
      <c r="D2217">
        <v>1</v>
      </c>
      <c r="E2217" t="s">
        <v>5525</v>
      </c>
      <c r="F2217" t="s">
        <v>5526</v>
      </c>
      <c r="G2217" s="1"/>
      <c r="H2217" t="str">
        <f>"3250613197124"</f>
        <v>3250613197124</v>
      </c>
      <c r="J2217" t="s">
        <v>6291</v>
      </c>
    </row>
    <row r="2218" spans="1:10" x14ac:dyDescent="0.25">
      <c r="A2218" t="s">
        <v>8</v>
      </c>
      <c r="B2218" t="s">
        <v>6354</v>
      </c>
      <c r="C2218" t="s">
        <v>6355</v>
      </c>
      <c r="D2218">
        <v>1</v>
      </c>
      <c r="E2218" t="s">
        <v>5525</v>
      </c>
      <c r="F2218" t="s">
        <v>5526</v>
      </c>
      <c r="G2218" s="1"/>
      <c r="H2218" t="str">
        <f>"3250613197131"</f>
        <v>3250613197131</v>
      </c>
      <c r="J2218" t="s">
        <v>6294</v>
      </c>
    </row>
    <row r="2219" spans="1:10" x14ac:dyDescent="0.25">
      <c r="A2219" t="s">
        <v>8</v>
      </c>
      <c r="B2219" t="s">
        <v>6356</v>
      </c>
      <c r="C2219" t="s">
        <v>6357</v>
      </c>
      <c r="D2219">
        <v>1</v>
      </c>
      <c r="E2219" t="s">
        <v>5525</v>
      </c>
      <c r="F2219" t="s">
        <v>5526</v>
      </c>
      <c r="G2219" s="1"/>
      <c r="H2219" t="str">
        <f>"3250613155131"</f>
        <v>3250613155131</v>
      </c>
      <c r="J2219" t="s">
        <v>6301</v>
      </c>
    </row>
    <row r="2220" spans="1:10" x14ac:dyDescent="0.25">
      <c r="A2220" t="s">
        <v>8</v>
      </c>
      <c r="B2220" t="s">
        <v>6358</v>
      </c>
      <c r="C2220" t="s">
        <v>6359</v>
      </c>
      <c r="D2220">
        <v>1</v>
      </c>
      <c r="E2220" t="s">
        <v>5525</v>
      </c>
      <c r="F2220" t="s">
        <v>5526</v>
      </c>
      <c r="G2220" s="1"/>
      <c r="H2220" t="str">
        <f>"3250613197155"</f>
        <v>3250613197155</v>
      </c>
      <c r="J2220" t="s">
        <v>6283</v>
      </c>
    </row>
    <row r="2221" spans="1:10" x14ac:dyDescent="0.25">
      <c r="A2221" t="s">
        <v>8</v>
      </c>
      <c r="B2221" t="s">
        <v>6360</v>
      </c>
      <c r="C2221" t="s">
        <v>6361</v>
      </c>
      <c r="D2221">
        <v>1</v>
      </c>
      <c r="E2221" t="s">
        <v>5525</v>
      </c>
      <c r="F2221" t="s">
        <v>5526</v>
      </c>
      <c r="G2221" s="1"/>
      <c r="H2221" t="str">
        <f>"3250613197162"</f>
        <v>3250613197162</v>
      </c>
      <c r="J2221" t="s">
        <v>6286</v>
      </c>
    </row>
    <row r="2222" spans="1:10" x14ac:dyDescent="0.25">
      <c r="A2222" t="s">
        <v>8</v>
      </c>
      <c r="B2222" t="s">
        <v>6362</v>
      </c>
      <c r="C2222" t="s">
        <v>6363</v>
      </c>
      <c r="D2222">
        <v>1</v>
      </c>
      <c r="E2222" t="s">
        <v>5525</v>
      </c>
      <c r="F2222" t="s">
        <v>5526</v>
      </c>
      <c r="G2222" s="1"/>
      <c r="H2222" t="str">
        <f>"3250613197179"</f>
        <v>3250613197179</v>
      </c>
      <c r="J2222" t="s">
        <v>6171</v>
      </c>
    </row>
    <row r="2223" spans="1:10" x14ac:dyDescent="0.25">
      <c r="A2223" t="s">
        <v>8</v>
      </c>
      <c r="B2223" t="s">
        <v>6364</v>
      </c>
      <c r="C2223" t="s">
        <v>6365</v>
      </c>
      <c r="D2223">
        <v>1</v>
      </c>
      <c r="E2223" t="s">
        <v>5525</v>
      </c>
      <c r="F2223" t="s">
        <v>5526</v>
      </c>
      <c r="G2223" s="1"/>
      <c r="H2223" t="str">
        <f>"3250613197186"</f>
        <v>3250613197186</v>
      </c>
      <c r="J2223" t="s">
        <v>6366</v>
      </c>
    </row>
    <row r="2224" spans="1:10" x14ac:dyDescent="0.25">
      <c r="A2224" t="s">
        <v>8</v>
      </c>
      <c r="B2224" t="s">
        <v>6367</v>
      </c>
      <c r="C2224" t="s">
        <v>6368</v>
      </c>
      <c r="D2224">
        <v>1</v>
      </c>
      <c r="E2224" t="s">
        <v>5525</v>
      </c>
      <c r="F2224" t="s">
        <v>5526</v>
      </c>
      <c r="G2224" s="1"/>
      <c r="H2224" t="str">
        <f>"3250613154974"</f>
        <v>3250613154974</v>
      </c>
      <c r="J2224" t="s">
        <v>6205</v>
      </c>
    </row>
    <row r="2225" spans="1:10" x14ac:dyDescent="0.25">
      <c r="A2225" t="s">
        <v>8</v>
      </c>
      <c r="B2225" t="s">
        <v>6369</v>
      </c>
      <c r="C2225" t="s">
        <v>6370</v>
      </c>
      <c r="D2225">
        <v>1</v>
      </c>
      <c r="E2225" t="s">
        <v>5525</v>
      </c>
      <c r="F2225" t="s">
        <v>5526</v>
      </c>
      <c r="G2225" s="1"/>
      <c r="H2225" t="str">
        <f>"3250613350772"</f>
        <v>3250613350772</v>
      </c>
      <c r="J2225" t="s">
        <v>6371</v>
      </c>
    </row>
    <row r="2226" spans="1:10" x14ac:dyDescent="0.25">
      <c r="A2226" t="s">
        <v>8</v>
      </c>
      <c r="B2226" t="s">
        <v>6372</v>
      </c>
      <c r="C2226" t="s">
        <v>6373</v>
      </c>
      <c r="D2226">
        <v>1</v>
      </c>
      <c r="E2226" t="s">
        <v>5525</v>
      </c>
      <c r="F2226" t="s">
        <v>5526</v>
      </c>
      <c r="G2226" s="1"/>
      <c r="H2226" t="str">
        <f>"3250613197346"</f>
        <v>3250613197346</v>
      </c>
      <c r="J2226" t="s">
        <v>6374</v>
      </c>
    </row>
    <row r="2227" spans="1:10" x14ac:dyDescent="0.25">
      <c r="A2227" t="s">
        <v>8</v>
      </c>
      <c r="B2227" t="s">
        <v>6375</v>
      </c>
      <c r="C2227" t="s">
        <v>6376</v>
      </c>
      <c r="D2227">
        <v>1</v>
      </c>
      <c r="E2227" t="s">
        <v>5525</v>
      </c>
      <c r="F2227" t="s">
        <v>5526</v>
      </c>
      <c r="G2227" s="1"/>
      <c r="H2227" t="str">
        <f>"3250613152895"</f>
        <v>3250613152895</v>
      </c>
      <c r="J2227" t="s">
        <v>6377</v>
      </c>
    </row>
    <row r="2228" spans="1:10" x14ac:dyDescent="0.25">
      <c r="A2228" t="s">
        <v>8</v>
      </c>
      <c r="B2228" t="s">
        <v>6378</v>
      </c>
      <c r="C2228" t="s">
        <v>6379</v>
      </c>
      <c r="D2228">
        <v>1</v>
      </c>
      <c r="E2228" t="s">
        <v>5525</v>
      </c>
      <c r="F2228" t="s">
        <v>5526</v>
      </c>
      <c r="G2228" s="1"/>
      <c r="H2228" t="str">
        <f>"3250613152901"</f>
        <v>3250613152901</v>
      </c>
      <c r="J2228" t="s">
        <v>6380</v>
      </c>
    </row>
    <row r="2229" spans="1:10" x14ac:dyDescent="0.25">
      <c r="A2229" t="s">
        <v>8</v>
      </c>
      <c r="B2229" t="s">
        <v>6381</v>
      </c>
      <c r="C2229" t="s">
        <v>6382</v>
      </c>
      <c r="D2229">
        <v>1</v>
      </c>
      <c r="E2229" t="s">
        <v>5525</v>
      </c>
      <c r="F2229" t="s">
        <v>5526</v>
      </c>
      <c r="G2229" s="1"/>
      <c r="H2229" t="str">
        <f>"3250613200787"</f>
        <v>3250613200787</v>
      </c>
      <c r="J2229" t="s">
        <v>6383</v>
      </c>
    </row>
    <row r="2230" spans="1:10" x14ac:dyDescent="0.25">
      <c r="A2230" t="s">
        <v>8</v>
      </c>
      <c r="B2230" t="s">
        <v>6384</v>
      </c>
      <c r="C2230" t="s">
        <v>6385</v>
      </c>
      <c r="D2230">
        <v>1</v>
      </c>
      <c r="E2230" t="s">
        <v>5525</v>
      </c>
      <c r="F2230" t="s">
        <v>5526</v>
      </c>
      <c r="G2230" s="1"/>
      <c r="H2230" t="str">
        <f>"3250613200817"</f>
        <v>3250613200817</v>
      </c>
      <c r="J2230" t="s">
        <v>6386</v>
      </c>
    </row>
    <row r="2231" spans="1:10" x14ac:dyDescent="0.25">
      <c r="A2231" t="s">
        <v>8</v>
      </c>
      <c r="B2231" t="s">
        <v>6387</v>
      </c>
      <c r="C2231" t="s">
        <v>6388</v>
      </c>
      <c r="D2231">
        <v>1</v>
      </c>
      <c r="E2231" t="s">
        <v>5525</v>
      </c>
      <c r="F2231" t="s">
        <v>5526</v>
      </c>
      <c r="G2231" s="1"/>
      <c r="H2231" t="str">
        <f>"3250613200824"</f>
        <v>3250613200824</v>
      </c>
      <c r="J2231" t="s">
        <v>6389</v>
      </c>
    </row>
    <row r="2232" spans="1:10" x14ac:dyDescent="0.25">
      <c r="A2232" t="s">
        <v>8</v>
      </c>
      <c r="B2232" t="s">
        <v>6390</v>
      </c>
      <c r="C2232" t="s">
        <v>6391</v>
      </c>
      <c r="D2232">
        <v>1</v>
      </c>
      <c r="E2232" t="s">
        <v>5525</v>
      </c>
      <c r="F2232" t="s">
        <v>5526</v>
      </c>
      <c r="G2232" s="1"/>
      <c r="H2232" t="str">
        <f>"3250613200831"</f>
        <v>3250613200831</v>
      </c>
      <c r="J2232" t="s">
        <v>6386</v>
      </c>
    </row>
    <row r="2233" spans="1:10" x14ac:dyDescent="0.25">
      <c r="A2233" t="s">
        <v>8</v>
      </c>
      <c r="B2233" t="s">
        <v>6392</v>
      </c>
      <c r="C2233" t="s">
        <v>6393</v>
      </c>
      <c r="D2233">
        <v>1</v>
      </c>
      <c r="E2233" t="s">
        <v>5525</v>
      </c>
      <c r="F2233" t="s">
        <v>5526</v>
      </c>
      <c r="G2233" s="1"/>
      <c r="H2233" t="str">
        <f>"3250613200848"</f>
        <v>3250613200848</v>
      </c>
      <c r="J2233" t="s">
        <v>6389</v>
      </c>
    </row>
    <row r="2234" spans="1:10" x14ac:dyDescent="0.25">
      <c r="A2234" t="s">
        <v>8</v>
      </c>
      <c r="B2234" t="s">
        <v>6394</v>
      </c>
      <c r="C2234" t="s">
        <v>6395</v>
      </c>
      <c r="D2234">
        <v>1</v>
      </c>
      <c r="E2234" t="s">
        <v>5525</v>
      </c>
      <c r="F2234" t="s">
        <v>5526</v>
      </c>
      <c r="G2234" s="1"/>
      <c r="H2234" t="str">
        <f>"3250613200855"</f>
        <v>3250613200855</v>
      </c>
      <c r="J2234" t="s">
        <v>6386</v>
      </c>
    </row>
    <row r="2235" spans="1:10" x14ac:dyDescent="0.25">
      <c r="A2235" t="s">
        <v>8</v>
      </c>
      <c r="B2235" t="s">
        <v>6396</v>
      </c>
      <c r="C2235" t="s">
        <v>6397</v>
      </c>
      <c r="D2235">
        <v>1</v>
      </c>
      <c r="E2235" t="s">
        <v>5525</v>
      </c>
      <c r="F2235" t="s">
        <v>5526</v>
      </c>
      <c r="G2235" s="1"/>
      <c r="H2235" t="str">
        <f>"3250613200862"</f>
        <v>3250613200862</v>
      </c>
      <c r="J2235" t="s">
        <v>6389</v>
      </c>
    </row>
    <row r="2236" spans="1:10" x14ac:dyDescent="0.25">
      <c r="A2236" t="s">
        <v>8</v>
      </c>
      <c r="B2236" t="s">
        <v>6398</v>
      </c>
      <c r="C2236" t="s">
        <v>6399</v>
      </c>
      <c r="D2236">
        <v>1</v>
      </c>
      <c r="E2236" t="s">
        <v>5525</v>
      </c>
      <c r="F2236" t="s">
        <v>5526</v>
      </c>
      <c r="G2236" s="1"/>
      <c r="H2236" t="str">
        <f>"3250613200879"</f>
        <v>3250613200879</v>
      </c>
      <c r="J2236" t="s">
        <v>6386</v>
      </c>
    </row>
    <row r="2237" spans="1:10" x14ac:dyDescent="0.25">
      <c r="A2237" t="s">
        <v>8</v>
      </c>
      <c r="B2237" t="s">
        <v>6400</v>
      </c>
      <c r="C2237" t="s">
        <v>6401</v>
      </c>
      <c r="D2237">
        <v>1</v>
      </c>
      <c r="E2237" t="s">
        <v>5525</v>
      </c>
      <c r="F2237" t="s">
        <v>5526</v>
      </c>
      <c r="G2237" s="1"/>
      <c r="H2237" t="str">
        <f>"3250613200886"</f>
        <v>3250613200886</v>
      </c>
      <c r="J2237" t="s">
        <v>6389</v>
      </c>
    </row>
    <row r="2238" spans="1:10" x14ac:dyDescent="0.25">
      <c r="A2238" t="s">
        <v>8</v>
      </c>
      <c r="B2238" t="s">
        <v>6402</v>
      </c>
      <c r="C2238" t="s">
        <v>6403</v>
      </c>
      <c r="D2238">
        <v>1</v>
      </c>
      <c r="E2238" t="s">
        <v>5525</v>
      </c>
      <c r="F2238" t="s">
        <v>5526</v>
      </c>
      <c r="G2238" s="1"/>
      <c r="H2238" t="str">
        <f>"3250613200893"</f>
        <v>3250613200893</v>
      </c>
      <c r="J2238" t="s">
        <v>6386</v>
      </c>
    </row>
    <row r="2239" spans="1:10" x14ac:dyDescent="0.25">
      <c r="A2239" t="s">
        <v>8</v>
      </c>
      <c r="B2239" t="s">
        <v>6404</v>
      </c>
      <c r="C2239" t="s">
        <v>6405</v>
      </c>
      <c r="D2239">
        <v>1</v>
      </c>
      <c r="E2239" t="s">
        <v>5525</v>
      </c>
      <c r="F2239" t="s">
        <v>5526</v>
      </c>
      <c r="G2239" s="1"/>
      <c r="H2239" t="str">
        <f>"3250613200909"</f>
        <v>3250613200909</v>
      </c>
      <c r="J2239" t="s">
        <v>6389</v>
      </c>
    </row>
    <row r="2240" spans="1:10" x14ac:dyDescent="0.25">
      <c r="A2240" t="s">
        <v>8</v>
      </c>
      <c r="B2240" t="s">
        <v>6406</v>
      </c>
      <c r="C2240" t="s">
        <v>6407</v>
      </c>
      <c r="D2240">
        <v>1</v>
      </c>
      <c r="E2240" t="s">
        <v>5525</v>
      </c>
      <c r="F2240" t="s">
        <v>5526</v>
      </c>
      <c r="G2240" s="1"/>
      <c r="H2240" t="str">
        <f>"3250613200916"</f>
        <v>3250613200916</v>
      </c>
      <c r="J2240" t="s">
        <v>6386</v>
      </c>
    </row>
    <row r="2241" spans="1:10" x14ac:dyDescent="0.25">
      <c r="A2241" t="s">
        <v>8</v>
      </c>
      <c r="B2241" t="s">
        <v>6408</v>
      </c>
      <c r="C2241" t="s">
        <v>6409</v>
      </c>
      <c r="D2241">
        <v>1</v>
      </c>
      <c r="E2241" t="s">
        <v>5525</v>
      </c>
      <c r="F2241" t="s">
        <v>5526</v>
      </c>
      <c r="G2241" s="1"/>
      <c r="H2241" t="str">
        <f>"3250613200923"</f>
        <v>3250613200923</v>
      </c>
      <c r="J2241" t="s">
        <v>6389</v>
      </c>
    </row>
    <row r="2242" spans="1:10" x14ac:dyDescent="0.25">
      <c r="A2242" t="s">
        <v>8</v>
      </c>
      <c r="B2242" t="s">
        <v>6410</v>
      </c>
      <c r="C2242" t="s">
        <v>6411</v>
      </c>
      <c r="D2242">
        <v>1</v>
      </c>
      <c r="E2242" t="s">
        <v>5525</v>
      </c>
      <c r="F2242" t="s">
        <v>5526</v>
      </c>
      <c r="G2242" s="1"/>
      <c r="H2242" t="str">
        <f>"3250613200930"</f>
        <v>3250613200930</v>
      </c>
      <c r="J2242" t="s">
        <v>6412</v>
      </c>
    </row>
    <row r="2243" spans="1:10" x14ac:dyDescent="0.25">
      <c r="A2243" t="s">
        <v>8</v>
      </c>
      <c r="B2243" t="s">
        <v>6413</v>
      </c>
      <c r="C2243" t="s">
        <v>6414</v>
      </c>
      <c r="D2243">
        <v>1</v>
      </c>
      <c r="E2243" t="s">
        <v>5525</v>
      </c>
      <c r="F2243" t="s">
        <v>5526</v>
      </c>
      <c r="G2243" s="1"/>
      <c r="H2243" t="str">
        <f>"3250613200947"</f>
        <v>3250613200947</v>
      </c>
      <c r="J2243" t="s">
        <v>6412</v>
      </c>
    </row>
    <row r="2244" spans="1:10" x14ac:dyDescent="0.25">
      <c r="A2244" t="s">
        <v>8</v>
      </c>
      <c r="B2244" t="s">
        <v>6415</v>
      </c>
      <c r="C2244" t="s">
        <v>6416</v>
      </c>
      <c r="D2244">
        <v>1</v>
      </c>
      <c r="E2244" t="s">
        <v>5525</v>
      </c>
      <c r="F2244" t="s">
        <v>5526</v>
      </c>
      <c r="G2244" s="1"/>
      <c r="H2244" t="str">
        <f>"3250613160197"</f>
        <v>3250613160197</v>
      </c>
      <c r="J2244" t="s">
        <v>6417</v>
      </c>
    </row>
    <row r="2245" spans="1:10" x14ac:dyDescent="0.25">
      <c r="A2245" t="s">
        <v>8</v>
      </c>
      <c r="B2245" t="s">
        <v>6418</v>
      </c>
      <c r="C2245" t="s">
        <v>6419</v>
      </c>
      <c r="D2245">
        <v>1</v>
      </c>
      <c r="E2245" t="s">
        <v>5525</v>
      </c>
      <c r="F2245" t="s">
        <v>5526</v>
      </c>
      <c r="G2245" s="1"/>
      <c r="H2245" t="str">
        <f>"3250613155162"</f>
        <v>3250613155162</v>
      </c>
      <c r="J2245" t="s">
        <v>6420</v>
      </c>
    </row>
    <row r="2246" spans="1:10" x14ac:dyDescent="0.25">
      <c r="A2246" t="s">
        <v>8</v>
      </c>
      <c r="B2246" t="s">
        <v>6421</v>
      </c>
      <c r="C2246" t="s">
        <v>6422</v>
      </c>
      <c r="D2246">
        <v>1</v>
      </c>
      <c r="E2246" t="s">
        <v>5525</v>
      </c>
      <c r="F2246" t="s">
        <v>5526</v>
      </c>
      <c r="G2246" s="1"/>
      <c r="H2246" t="str">
        <f>"3250613155179"</f>
        <v>3250613155179</v>
      </c>
      <c r="J2246" t="s">
        <v>6423</v>
      </c>
    </row>
    <row r="2247" spans="1:10" x14ac:dyDescent="0.25">
      <c r="A2247" t="s">
        <v>8</v>
      </c>
      <c r="B2247" t="s">
        <v>6424</v>
      </c>
      <c r="C2247" t="s">
        <v>6425</v>
      </c>
      <c r="D2247">
        <v>1</v>
      </c>
      <c r="E2247" t="s">
        <v>5525</v>
      </c>
      <c r="F2247" t="s">
        <v>5526</v>
      </c>
      <c r="G2247" s="1"/>
      <c r="H2247" t="str">
        <f>"3250613200954"</f>
        <v>3250613200954</v>
      </c>
      <c r="J2247" t="s">
        <v>6380</v>
      </c>
    </row>
    <row r="2248" spans="1:10" x14ac:dyDescent="0.25">
      <c r="A2248" t="s">
        <v>8</v>
      </c>
      <c r="B2248" t="s">
        <v>6426</v>
      </c>
      <c r="C2248" t="s">
        <v>6427</v>
      </c>
      <c r="D2248">
        <v>1</v>
      </c>
      <c r="E2248" t="s">
        <v>5525</v>
      </c>
      <c r="F2248" t="s">
        <v>5526</v>
      </c>
      <c r="G2248" s="1"/>
      <c r="H2248" t="str">
        <f>"3250613200961"</f>
        <v>3250613200961</v>
      </c>
      <c r="J2248" t="s">
        <v>6380</v>
      </c>
    </row>
    <row r="2249" spans="1:10" x14ac:dyDescent="0.25">
      <c r="A2249" t="s">
        <v>8</v>
      </c>
      <c r="B2249" t="s">
        <v>6428</v>
      </c>
      <c r="C2249" t="s">
        <v>6429</v>
      </c>
      <c r="D2249">
        <v>1</v>
      </c>
      <c r="E2249" t="s">
        <v>5525</v>
      </c>
      <c r="F2249" t="s">
        <v>5526</v>
      </c>
      <c r="G2249" s="1"/>
      <c r="H2249" t="str">
        <f>"3250613200978"</f>
        <v>3250613200978</v>
      </c>
      <c r="J2249" t="s">
        <v>6380</v>
      </c>
    </row>
    <row r="2250" spans="1:10" x14ac:dyDescent="0.25">
      <c r="A2250" t="s">
        <v>8</v>
      </c>
      <c r="B2250" t="s">
        <v>6430</v>
      </c>
      <c r="C2250" t="s">
        <v>6431</v>
      </c>
      <c r="D2250">
        <v>1</v>
      </c>
      <c r="E2250" t="s">
        <v>5525</v>
      </c>
      <c r="F2250" t="s">
        <v>5526</v>
      </c>
      <c r="G2250" s="1"/>
      <c r="H2250" t="str">
        <f>"3250613200985"</f>
        <v>3250613200985</v>
      </c>
      <c r="J2250" t="s">
        <v>6380</v>
      </c>
    </row>
    <row r="2251" spans="1:10" x14ac:dyDescent="0.25">
      <c r="A2251" t="s">
        <v>8</v>
      </c>
      <c r="B2251" t="s">
        <v>6432</v>
      </c>
      <c r="C2251" t="s">
        <v>6433</v>
      </c>
      <c r="D2251">
        <v>1</v>
      </c>
      <c r="E2251" t="s">
        <v>5525</v>
      </c>
      <c r="F2251" t="s">
        <v>5526</v>
      </c>
      <c r="G2251" s="1"/>
      <c r="H2251" t="str">
        <f>"3250613201029"</f>
        <v>3250613201029</v>
      </c>
      <c r="J2251" t="s">
        <v>6434</v>
      </c>
    </row>
    <row r="2252" spans="1:10" x14ac:dyDescent="0.25">
      <c r="A2252" t="s">
        <v>8</v>
      </c>
      <c r="B2252" t="s">
        <v>6435</v>
      </c>
      <c r="C2252" t="s">
        <v>6436</v>
      </c>
      <c r="D2252">
        <v>1</v>
      </c>
      <c r="E2252" t="s">
        <v>5525</v>
      </c>
      <c r="F2252" t="s">
        <v>5526</v>
      </c>
      <c r="G2252" s="1"/>
      <c r="H2252" t="str">
        <f>"3250613201036"</f>
        <v>3250613201036</v>
      </c>
      <c r="J2252" t="s">
        <v>6437</v>
      </c>
    </row>
    <row r="2253" spans="1:10" x14ac:dyDescent="0.25">
      <c r="A2253" t="s">
        <v>8</v>
      </c>
      <c r="B2253" t="s">
        <v>6438</v>
      </c>
      <c r="C2253" t="s">
        <v>6439</v>
      </c>
      <c r="D2253">
        <v>1</v>
      </c>
      <c r="E2253" t="s">
        <v>5525</v>
      </c>
      <c r="F2253" t="s">
        <v>5526</v>
      </c>
      <c r="G2253" s="1"/>
      <c r="H2253" t="str">
        <f>"3250613201043"</f>
        <v>3250613201043</v>
      </c>
      <c r="J2253" t="s">
        <v>6434</v>
      </c>
    </row>
    <row r="2254" spans="1:10" x14ac:dyDescent="0.25">
      <c r="A2254" t="s">
        <v>8</v>
      </c>
      <c r="B2254" t="s">
        <v>6440</v>
      </c>
      <c r="C2254" t="s">
        <v>6441</v>
      </c>
      <c r="D2254">
        <v>1</v>
      </c>
      <c r="E2254" t="s">
        <v>5525</v>
      </c>
      <c r="F2254" t="s">
        <v>5526</v>
      </c>
      <c r="G2254" s="1"/>
      <c r="H2254" t="str">
        <f>"3250613201050"</f>
        <v>3250613201050</v>
      </c>
      <c r="J2254" t="s">
        <v>6442</v>
      </c>
    </row>
    <row r="2255" spans="1:10" x14ac:dyDescent="0.25">
      <c r="A2255" t="s">
        <v>8</v>
      </c>
      <c r="B2255" t="s">
        <v>6443</v>
      </c>
      <c r="C2255" t="s">
        <v>6444</v>
      </c>
      <c r="D2255">
        <v>1</v>
      </c>
      <c r="E2255" t="s">
        <v>5525</v>
      </c>
      <c r="F2255" t="s">
        <v>5526</v>
      </c>
      <c r="G2255" s="1"/>
      <c r="H2255" t="str">
        <f>"3250613201067"</f>
        <v>3250613201067</v>
      </c>
      <c r="J2255" t="s">
        <v>6445</v>
      </c>
    </row>
    <row r="2256" spans="1:10" x14ac:dyDescent="0.25">
      <c r="A2256" t="s">
        <v>8</v>
      </c>
      <c r="B2256" t="s">
        <v>6446</v>
      </c>
      <c r="C2256" t="s">
        <v>6447</v>
      </c>
      <c r="D2256">
        <v>1</v>
      </c>
      <c r="E2256" t="s">
        <v>5525</v>
      </c>
      <c r="F2256" t="s">
        <v>5526</v>
      </c>
      <c r="G2256" s="1"/>
      <c r="H2256" t="str">
        <f>"3250613201074"</f>
        <v>3250613201074</v>
      </c>
      <c r="J2256" t="s">
        <v>6448</v>
      </c>
    </row>
    <row r="2257" spans="1:10" x14ac:dyDescent="0.25">
      <c r="A2257" t="s">
        <v>8</v>
      </c>
      <c r="B2257" t="s">
        <v>6449</v>
      </c>
      <c r="C2257" t="s">
        <v>6450</v>
      </c>
      <c r="D2257">
        <v>1</v>
      </c>
      <c r="E2257" t="s">
        <v>5525</v>
      </c>
      <c r="F2257" t="s">
        <v>5526</v>
      </c>
      <c r="G2257" s="1"/>
      <c r="H2257" t="str">
        <f>"3250613201081"</f>
        <v>3250613201081</v>
      </c>
      <c r="J2257" t="s">
        <v>6445</v>
      </c>
    </row>
    <row r="2258" spans="1:10" x14ac:dyDescent="0.25">
      <c r="A2258" t="s">
        <v>8</v>
      </c>
      <c r="B2258" t="s">
        <v>6451</v>
      </c>
      <c r="C2258" t="s">
        <v>6452</v>
      </c>
      <c r="D2258">
        <v>1</v>
      </c>
      <c r="E2258" t="s">
        <v>5525</v>
      </c>
      <c r="F2258" t="s">
        <v>5526</v>
      </c>
      <c r="G2258" s="1"/>
      <c r="H2258" t="str">
        <f>"3250613201098"</f>
        <v>3250613201098</v>
      </c>
      <c r="J2258" t="s">
        <v>6448</v>
      </c>
    </row>
    <row r="2259" spans="1:10" x14ac:dyDescent="0.25">
      <c r="A2259" t="s">
        <v>8</v>
      </c>
      <c r="B2259" t="s">
        <v>6453</v>
      </c>
      <c r="C2259" t="s">
        <v>6454</v>
      </c>
      <c r="D2259">
        <v>1</v>
      </c>
      <c r="E2259" t="s">
        <v>5525</v>
      </c>
      <c r="F2259" t="s">
        <v>5526</v>
      </c>
      <c r="G2259" s="1"/>
      <c r="H2259" t="str">
        <f>"3250613201104"</f>
        <v>3250613201104</v>
      </c>
      <c r="J2259" t="s">
        <v>6445</v>
      </c>
    </row>
    <row r="2260" spans="1:10" x14ac:dyDescent="0.25">
      <c r="A2260" t="s">
        <v>8</v>
      </c>
      <c r="B2260" t="s">
        <v>6455</v>
      </c>
      <c r="C2260" t="s">
        <v>6456</v>
      </c>
      <c r="D2260">
        <v>1</v>
      </c>
      <c r="E2260" t="s">
        <v>5525</v>
      </c>
      <c r="F2260" t="s">
        <v>5526</v>
      </c>
      <c r="G2260" s="1"/>
      <c r="H2260" t="str">
        <f>"3250613201111"</f>
        <v>3250613201111</v>
      </c>
      <c r="J2260" t="s">
        <v>6448</v>
      </c>
    </row>
    <row r="2261" spans="1:10" x14ac:dyDescent="0.25">
      <c r="A2261" t="s">
        <v>8</v>
      </c>
      <c r="B2261" t="s">
        <v>6457</v>
      </c>
      <c r="C2261" t="s">
        <v>6458</v>
      </c>
      <c r="D2261">
        <v>1</v>
      </c>
      <c r="E2261" t="s">
        <v>5525</v>
      </c>
      <c r="F2261" t="s">
        <v>5526</v>
      </c>
      <c r="G2261" s="1"/>
      <c r="H2261" t="str">
        <f>"3250613138929"</f>
        <v>3250613138929</v>
      </c>
      <c r="J2261" t="s">
        <v>6459</v>
      </c>
    </row>
    <row r="2262" spans="1:10" x14ac:dyDescent="0.25">
      <c r="A2262" t="s">
        <v>8</v>
      </c>
      <c r="B2262" t="s">
        <v>6460</v>
      </c>
      <c r="C2262" t="s">
        <v>6461</v>
      </c>
      <c r="D2262">
        <v>1</v>
      </c>
      <c r="E2262" t="s">
        <v>5525</v>
      </c>
      <c r="F2262" t="s">
        <v>5526</v>
      </c>
      <c r="G2262" s="1"/>
      <c r="H2262" t="str">
        <f>"3250613138936"</f>
        <v>3250613138936</v>
      </c>
      <c r="J2262" t="s">
        <v>6459</v>
      </c>
    </row>
    <row r="2263" spans="1:10" x14ac:dyDescent="0.25">
      <c r="A2263" t="s">
        <v>8</v>
      </c>
      <c r="B2263" t="s">
        <v>6462</v>
      </c>
      <c r="C2263" t="s">
        <v>6463</v>
      </c>
      <c r="D2263">
        <v>1</v>
      </c>
      <c r="E2263" t="s">
        <v>5525</v>
      </c>
      <c r="F2263" t="s">
        <v>5526</v>
      </c>
      <c r="G2263" s="1"/>
      <c r="H2263" t="str">
        <f>"3250613138943"</f>
        <v>3250613138943</v>
      </c>
      <c r="J2263" t="s">
        <v>6459</v>
      </c>
    </row>
    <row r="2264" spans="1:10" x14ac:dyDescent="0.25">
      <c r="A2264" t="s">
        <v>8</v>
      </c>
      <c r="B2264" t="s">
        <v>6464</v>
      </c>
      <c r="C2264" t="s">
        <v>6465</v>
      </c>
      <c r="D2264">
        <v>1</v>
      </c>
      <c r="E2264" t="s">
        <v>5525</v>
      </c>
      <c r="F2264" t="s">
        <v>5526</v>
      </c>
      <c r="G2264" s="1"/>
      <c r="H2264" t="str">
        <f>"3250613138950"</f>
        <v>3250613138950</v>
      </c>
      <c r="J2264" t="s">
        <v>6459</v>
      </c>
    </row>
    <row r="2265" spans="1:10" x14ac:dyDescent="0.25">
      <c r="A2265" t="s">
        <v>8</v>
      </c>
      <c r="B2265" t="s">
        <v>6466</v>
      </c>
      <c r="C2265" t="s">
        <v>6467</v>
      </c>
      <c r="D2265">
        <v>1</v>
      </c>
      <c r="E2265" t="s">
        <v>5525</v>
      </c>
      <c r="F2265" t="s">
        <v>5526</v>
      </c>
      <c r="G2265" s="1"/>
      <c r="H2265" t="str">
        <f>"3250613201142"</f>
        <v>3250613201142</v>
      </c>
      <c r="J2265" t="s">
        <v>6468</v>
      </c>
    </row>
    <row r="2266" spans="1:10" x14ac:dyDescent="0.25">
      <c r="A2266" t="s">
        <v>8</v>
      </c>
      <c r="B2266" t="s">
        <v>6469</v>
      </c>
      <c r="C2266" t="s">
        <v>6470</v>
      </c>
      <c r="D2266">
        <v>1</v>
      </c>
      <c r="E2266" t="s">
        <v>5525</v>
      </c>
      <c r="F2266" t="s">
        <v>5526</v>
      </c>
      <c r="G2266" s="1"/>
      <c r="H2266" t="str">
        <f>"3250613201159"</f>
        <v>3250613201159</v>
      </c>
      <c r="J2266" t="s">
        <v>6471</v>
      </c>
    </row>
    <row r="2267" spans="1:10" x14ac:dyDescent="0.25">
      <c r="A2267" t="s">
        <v>8</v>
      </c>
      <c r="B2267" t="s">
        <v>6472</v>
      </c>
      <c r="C2267" t="s">
        <v>6473</v>
      </c>
      <c r="D2267">
        <v>1</v>
      </c>
      <c r="E2267" t="s">
        <v>5525</v>
      </c>
      <c r="F2267" t="s">
        <v>5526</v>
      </c>
      <c r="G2267" s="1"/>
      <c r="H2267" t="str">
        <f>"3250613201166"</f>
        <v>3250613201166</v>
      </c>
      <c r="J2267" t="s">
        <v>6459</v>
      </c>
    </row>
    <row r="2268" spans="1:10" x14ac:dyDescent="0.25">
      <c r="A2268" t="s">
        <v>8</v>
      </c>
      <c r="B2268" t="s">
        <v>6474</v>
      </c>
      <c r="C2268" t="s">
        <v>6475</v>
      </c>
      <c r="D2268">
        <v>1</v>
      </c>
      <c r="E2268" t="s">
        <v>5525</v>
      </c>
      <c r="F2268" t="s">
        <v>5526</v>
      </c>
      <c r="G2268" s="1"/>
      <c r="H2268" t="str">
        <f>"3250613201210"</f>
        <v>3250613201210</v>
      </c>
      <c r="J2268" t="s">
        <v>6476</v>
      </c>
    </row>
    <row r="2269" spans="1:10" x14ac:dyDescent="0.25">
      <c r="A2269" t="s">
        <v>8</v>
      </c>
      <c r="B2269" t="s">
        <v>6477</v>
      </c>
      <c r="C2269" t="s">
        <v>6478</v>
      </c>
      <c r="D2269">
        <v>1</v>
      </c>
      <c r="E2269" t="s">
        <v>5525</v>
      </c>
      <c r="F2269" t="s">
        <v>5526</v>
      </c>
      <c r="G2269" s="1"/>
      <c r="H2269" t="str">
        <f>"3250613201227"</f>
        <v>3250613201227</v>
      </c>
      <c r="J2269" t="s">
        <v>6468</v>
      </c>
    </row>
    <row r="2270" spans="1:10" x14ac:dyDescent="0.25">
      <c r="A2270" t="s">
        <v>8</v>
      </c>
      <c r="B2270" t="s">
        <v>6479</v>
      </c>
      <c r="C2270" t="s">
        <v>6480</v>
      </c>
      <c r="D2270">
        <v>1</v>
      </c>
      <c r="E2270" t="s">
        <v>5525</v>
      </c>
      <c r="F2270" t="s">
        <v>5526</v>
      </c>
      <c r="G2270" s="1"/>
      <c r="H2270" t="str">
        <f>"3250613201234"</f>
        <v>3250613201234</v>
      </c>
      <c r="J2270" t="s">
        <v>6471</v>
      </c>
    </row>
    <row r="2271" spans="1:10" x14ac:dyDescent="0.25">
      <c r="A2271" t="s">
        <v>8</v>
      </c>
      <c r="B2271" t="s">
        <v>6481</v>
      </c>
      <c r="C2271" t="s">
        <v>6482</v>
      </c>
      <c r="D2271">
        <v>1</v>
      </c>
      <c r="E2271" t="s">
        <v>5525</v>
      </c>
      <c r="F2271" t="s">
        <v>5526</v>
      </c>
      <c r="G2271" s="1"/>
      <c r="H2271" t="str">
        <f>"3250613201241"</f>
        <v>3250613201241</v>
      </c>
      <c r="J2271" t="s">
        <v>6468</v>
      </c>
    </row>
    <row r="2272" spans="1:10" x14ac:dyDescent="0.25">
      <c r="A2272" t="s">
        <v>8</v>
      </c>
      <c r="B2272" t="s">
        <v>6483</v>
      </c>
      <c r="C2272" t="s">
        <v>6484</v>
      </c>
      <c r="D2272">
        <v>1</v>
      </c>
      <c r="E2272" t="s">
        <v>5525</v>
      </c>
      <c r="F2272" t="s">
        <v>5526</v>
      </c>
      <c r="G2272" s="1"/>
      <c r="H2272" t="str">
        <f>"3250613201258"</f>
        <v>3250613201258</v>
      </c>
      <c r="J2272" t="s">
        <v>6471</v>
      </c>
    </row>
    <row r="2273" spans="1:10" x14ac:dyDescent="0.25">
      <c r="A2273" t="s">
        <v>8</v>
      </c>
      <c r="B2273" t="s">
        <v>6485</v>
      </c>
      <c r="C2273" t="s">
        <v>6486</v>
      </c>
      <c r="D2273">
        <v>1</v>
      </c>
      <c r="E2273" t="s">
        <v>5525</v>
      </c>
      <c r="F2273" t="s">
        <v>5526</v>
      </c>
      <c r="G2273" s="1"/>
      <c r="H2273" t="str">
        <f>"3250613140076"</f>
        <v>3250613140076</v>
      </c>
      <c r="J2273" t="s">
        <v>6487</v>
      </c>
    </row>
    <row r="2274" spans="1:10" x14ac:dyDescent="0.25">
      <c r="A2274" t="s">
        <v>8</v>
      </c>
      <c r="B2274" t="s">
        <v>6488</v>
      </c>
      <c r="C2274" t="s">
        <v>6489</v>
      </c>
      <c r="D2274">
        <v>1</v>
      </c>
      <c r="E2274" t="s">
        <v>5525</v>
      </c>
      <c r="F2274" t="s">
        <v>5526</v>
      </c>
      <c r="G2274" s="1"/>
      <c r="H2274" t="str">
        <f>"3250613201975"</f>
        <v>3250613201975</v>
      </c>
      <c r="J2274" t="s">
        <v>6490</v>
      </c>
    </row>
    <row r="2275" spans="1:10" x14ac:dyDescent="0.25">
      <c r="A2275" t="s">
        <v>8</v>
      </c>
      <c r="B2275" t="s">
        <v>6491</v>
      </c>
      <c r="C2275" t="s">
        <v>6492</v>
      </c>
      <c r="D2275">
        <v>1</v>
      </c>
      <c r="E2275" t="s">
        <v>5525</v>
      </c>
      <c r="F2275" t="s">
        <v>5526</v>
      </c>
      <c r="G2275" s="1"/>
      <c r="H2275" t="str">
        <f>"3250613201289"</f>
        <v>3250613201289</v>
      </c>
      <c r="J2275" t="s">
        <v>6151</v>
      </c>
    </row>
    <row r="2276" spans="1:10" x14ac:dyDescent="0.25">
      <c r="A2276" t="s">
        <v>8</v>
      </c>
      <c r="B2276" t="s">
        <v>6493</v>
      </c>
      <c r="C2276" t="s">
        <v>6494</v>
      </c>
      <c r="D2276">
        <v>1</v>
      </c>
      <c r="E2276" t="s">
        <v>5525</v>
      </c>
      <c r="F2276" t="s">
        <v>5526</v>
      </c>
      <c r="G2276" s="1"/>
      <c r="H2276" t="str">
        <f>"3250613201296"</f>
        <v>3250613201296</v>
      </c>
      <c r="J2276" t="s">
        <v>6163</v>
      </c>
    </row>
    <row r="2277" spans="1:10" x14ac:dyDescent="0.25">
      <c r="A2277" t="s">
        <v>8</v>
      </c>
      <c r="B2277" t="s">
        <v>6495</v>
      </c>
      <c r="C2277" t="s">
        <v>6496</v>
      </c>
      <c r="D2277">
        <v>1</v>
      </c>
      <c r="E2277" t="s">
        <v>5525</v>
      </c>
      <c r="F2277" t="s">
        <v>5526</v>
      </c>
      <c r="G2277" s="1"/>
      <c r="H2277" t="str">
        <f>"3250613201302"</f>
        <v>3250613201302</v>
      </c>
      <c r="J2277" t="s">
        <v>6163</v>
      </c>
    </row>
    <row r="2278" spans="1:10" x14ac:dyDescent="0.25">
      <c r="A2278" t="s">
        <v>8</v>
      </c>
      <c r="B2278" t="s">
        <v>6497</v>
      </c>
      <c r="C2278" t="s">
        <v>6498</v>
      </c>
      <c r="D2278">
        <v>1</v>
      </c>
      <c r="E2278" t="s">
        <v>5525</v>
      </c>
      <c r="F2278" t="s">
        <v>5526</v>
      </c>
      <c r="G2278" s="1"/>
      <c r="H2278" t="str">
        <f>"3250613201173"</f>
        <v>3250613201173</v>
      </c>
      <c r="J2278" t="s">
        <v>6499</v>
      </c>
    </row>
    <row r="2279" spans="1:10" x14ac:dyDescent="0.25">
      <c r="A2279" t="s">
        <v>8</v>
      </c>
      <c r="B2279" t="s">
        <v>6500</v>
      </c>
      <c r="C2279" t="s">
        <v>6501</v>
      </c>
      <c r="D2279">
        <v>1</v>
      </c>
      <c r="E2279" t="s">
        <v>5525</v>
      </c>
      <c r="F2279" t="s">
        <v>5526</v>
      </c>
      <c r="G2279" s="1"/>
      <c r="H2279" t="str">
        <f>"3250613201180"</f>
        <v>3250613201180</v>
      </c>
      <c r="J2279" t="s">
        <v>6502</v>
      </c>
    </row>
    <row r="2280" spans="1:10" x14ac:dyDescent="0.25">
      <c r="A2280" t="s">
        <v>8</v>
      </c>
      <c r="B2280" t="s">
        <v>6503</v>
      </c>
      <c r="C2280" t="s">
        <v>6504</v>
      </c>
      <c r="D2280">
        <v>1</v>
      </c>
      <c r="E2280" t="s">
        <v>5525</v>
      </c>
      <c r="F2280" t="s">
        <v>5526</v>
      </c>
      <c r="G2280" s="1"/>
      <c r="H2280" t="str">
        <f>"3250613362287"</f>
        <v>3250613362287</v>
      </c>
      <c r="J2280" t="s">
        <v>6505</v>
      </c>
    </row>
    <row r="2281" spans="1:10" x14ac:dyDescent="0.25">
      <c r="A2281" t="s">
        <v>8</v>
      </c>
      <c r="B2281" t="s">
        <v>6506</v>
      </c>
      <c r="C2281" t="s">
        <v>6507</v>
      </c>
      <c r="D2281">
        <v>1</v>
      </c>
      <c r="E2281" t="s">
        <v>5525</v>
      </c>
      <c r="F2281" t="s">
        <v>5526</v>
      </c>
      <c r="G2281" s="1"/>
      <c r="H2281" t="str">
        <f>"3250613197339"</f>
        <v>3250613197339</v>
      </c>
      <c r="J2281" t="s">
        <v>6508</v>
      </c>
    </row>
    <row r="2282" spans="1:10" x14ac:dyDescent="0.25">
      <c r="A2282" t="s">
        <v>8</v>
      </c>
      <c r="B2282" t="s">
        <v>6509</v>
      </c>
      <c r="C2282" t="s">
        <v>6510</v>
      </c>
      <c r="D2282">
        <v>1</v>
      </c>
      <c r="E2282" t="s">
        <v>5525</v>
      </c>
      <c r="F2282" t="s">
        <v>5526</v>
      </c>
      <c r="G2282" s="1"/>
      <c r="H2282" t="str">
        <f>"3250613197254"</f>
        <v>3250613197254</v>
      </c>
      <c r="J2282" t="s">
        <v>6511</v>
      </c>
    </row>
    <row r="2283" spans="1:10" x14ac:dyDescent="0.25">
      <c r="A2283" t="s">
        <v>8</v>
      </c>
      <c r="B2283" t="s">
        <v>6512</v>
      </c>
      <c r="C2283" t="s">
        <v>6513</v>
      </c>
      <c r="D2283">
        <v>1</v>
      </c>
      <c r="E2283" t="s">
        <v>5525</v>
      </c>
      <c r="F2283" t="s">
        <v>5526</v>
      </c>
      <c r="G2283" s="1"/>
      <c r="H2283" t="str">
        <f>"3250613197285"</f>
        <v>3250613197285</v>
      </c>
      <c r="J2283" t="s">
        <v>6514</v>
      </c>
    </row>
    <row r="2284" spans="1:10" x14ac:dyDescent="0.25">
      <c r="A2284" t="s">
        <v>8</v>
      </c>
      <c r="B2284" t="s">
        <v>6515</v>
      </c>
      <c r="C2284" t="s">
        <v>6516</v>
      </c>
      <c r="D2284">
        <v>1</v>
      </c>
      <c r="E2284" t="s">
        <v>5525</v>
      </c>
      <c r="F2284" t="s">
        <v>5526</v>
      </c>
      <c r="G2284" s="1"/>
      <c r="H2284" t="str">
        <f>"3250613197292"</f>
        <v>3250613197292</v>
      </c>
      <c r="J2284" t="s">
        <v>6517</v>
      </c>
    </row>
    <row r="2285" spans="1:10" x14ac:dyDescent="0.25">
      <c r="A2285" t="s">
        <v>8</v>
      </c>
      <c r="B2285" t="s">
        <v>6518</v>
      </c>
      <c r="C2285" t="s">
        <v>6519</v>
      </c>
      <c r="D2285">
        <v>1</v>
      </c>
      <c r="E2285" t="s">
        <v>5525</v>
      </c>
      <c r="F2285" t="s">
        <v>5526</v>
      </c>
      <c r="G2285" s="1"/>
      <c r="H2285" t="str">
        <f>"3250613197308"</f>
        <v>3250613197308</v>
      </c>
      <c r="J2285" t="s">
        <v>6520</v>
      </c>
    </row>
    <row r="2286" spans="1:10" x14ac:dyDescent="0.25">
      <c r="A2286" t="s">
        <v>8</v>
      </c>
      <c r="B2286" t="s">
        <v>6521</v>
      </c>
      <c r="C2286" t="s">
        <v>6522</v>
      </c>
      <c r="D2286">
        <v>1</v>
      </c>
      <c r="E2286" t="s">
        <v>5525</v>
      </c>
      <c r="F2286" t="s">
        <v>5526</v>
      </c>
      <c r="G2286" s="1"/>
      <c r="H2286" t="str">
        <f>"3250613197315"</f>
        <v>3250613197315</v>
      </c>
      <c r="J2286" t="s">
        <v>6523</v>
      </c>
    </row>
    <row r="2287" spans="1:10" x14ac:dyDescent="0.25">
      <c r="A2287" t="s">
        <v>8</v>
      </c>
      <c r="B2287" t="s">
        <v>6524</v>
      </c>
      <c r="C2287" t="s">
        <v>6525</v>
      </c>
      <c r="D2287">
        <v>1</v>
      </c>
      <c r="E2287" t="s">
        <v>5525</v>
      </c>
      <c r="F2287" t="s">
        <v>5526</v>
      </c>
      <c r="G2287" s="1"/>
      <c r="H2287" t="str">
        <f>"3250613160210"</f>
        <v>3250613160210</v>
      </c>
      <c r="J2287" t="s">
        <v>6526</v>
      </c>
    </row>
    <row r="2288" spans="1:10" x14ac:dyDescent="0.25">
      <c r="A2288" t="s">
        <v>8</v>
      </c>
      <c r="B2288" t="s">
        <v>6527</v>
      </c>
      <c r="C2288" t="s">
        <v>6528</v>
      </c>
      <c r="D2288">
        <v>1</v>
      </c>
      <c r="E2288" t="s">
        <v>5525</v>
      </c>
      <c r="F2288" t="s">
        <v>5526</v>
      </c>
      <c r="G2288" s="1"/>
      <c r="H2288" t="str">
        <f>"3250613160234"</f>
        <v>3250613160234</v>
      </c>
      <c r="J2288" t="s">
        <v>6529</v>
      </c>
    </row>
    <row r="2289" spans="1:10" x14ac:dyDescent="0.25">
      <c r="A2289" t="s">
        <v>8</v>
      </c>
      <c r="B2289" t="s">
        <v>6530</v>
      </c>
      <c r="C2289" t="s">
        <v>6531</v>
      </c>
      <c r="D2289">
        <v>1</v>
      </c>
      <c r="E2289" t="s">
        <v>5525</v>
      </c>
      <c r="F2289" t="s">
        <v>5526</v>
      </c>
      <c r="G2289" s="1"/>
      <c r="H2289" t="str">
        <f>"3250613160265"</f>
        <v>3250613160265</v>
      </c>
      <c r="J2289" t="s">
        <v>6532</v>
      </c>
    </row>
    <row r="2290" spans="1:10" x14ac:dyDescent="0.25">
      <c r="A2290" t="s">
        <v>8</v>
      </c>
      <c r="B2290" t="s">
        <v>6533</v>
      </c>
      <c r="C2290" t="s">
        <v>6534</v>
      </c>
      <c r="D2290">
        <v>1</v>
      </c>
      <c r="E2290" t="s">
        <v>5525</v>
      </c>
      <c r="F2290" t="s">
        <v>5526</v>
      </c>
      <c r="G2290" s="1"/>
      <c r="H2290" t="str">
        <f>"3250613363673"</f>
        <v>3250613363673</v>
      </c>
      <c r="J2290" t="s">
        <v>6535</v>
      </c>
    </row>
    <row r="2291" spans="1:10" x14ac:dyDescent="0.25">
      <c r="A2291" t="s">
        <v>8</v>
      </c>
      <c r="B2291" t="s">
        <v>6536</v>
      </c>
      <c r="C2291" t="s">
        <v>6537</v>
      </c>
      <c r="D2291">
        <v>1</v>
      </c>
      <c r="E2291" t="s">
        <v>5525</v>
      </c>
      <c r="F2291" t="s">
        <v>5526</v>
      </c>
      <c r="G2291" s="1"/>
      <c r="H2291" t="str">
        <f>"3250613113919"</f>
        <v>3250613113919</v>
      </c>
      <c r="J2291" t="s">
        <v>6538</v>
      </c>
    </row>
    <row r="2292" spans="1:10" x14ac:dyDescent="0.25">
      <c r="A2292" t="s">
        <v>8</v>
      </c>
      <c r="B2292" t="s">
        <v>6539</v>
      </c>
      <c r="C2292" t="s">
        <v>6540</v>
      </c>
      <c r="D2292">
        <v>1</v>
      </c>
      <c r="E2292" t="s">
        <v>5525</v>
      </c>
      <c r="F2292" t="s">
        <v>5526</v>
      </c>
      <c r="G2292" s="1"/>
      <c r="H2292" t="str">
        <f>"3250613362577"</f>
        <v>3250613362577</v>
      </c>
      <c r="J2292" t="s">
        <v>6541</v>
      </c>
    </row>
    <row r="2293" spans="1:10" x14ac:dyDescent="0.25">
      <c r="A2293" t="s">
        <v>8</v>
      </c>
      <c r="B2293" t="s">
        <v>6542</v>
      </c>
      <c r="C2293" t="s">
        <v>6543</v>
      </c>
      <c r="D2293">
        <v>1</v>
      </c>
      <c r="E2293" t="s">
        <v>5525</v>
      </c>
      <c r="F2293" t="s">
        <v>5526</v>
      </c>
      <c r="G2293" s="1"/>
      <c r="H2293" t="str">
        <f>"3250613362157"</f>
        <v>3250613362157</v>
      </c>
      <c r="J2293" t="s">
        <v>6544</v>
      </c>
    </row>
    <row r="2294" spans="1:10" x14ac:dyDescent="0.25">
      <c r="A2294" t="s">
        <v>8</v>
      </c>
      <c r="B2294" t="s">
        <v>6545</v>
      </c>
      <c r="C2294" t="s">
        <v>6546</v>
      </c>
      <c r="D2294">
        <v>1</v>
      </c>
      <c r="E2294" t="s">
        <v>5525</v>
      </c>
      <c r="F2294" t="s">
        <v>5526</v>
      </c>
      <c r="G2294" s="1"/>
      <c r="H2294" t="str">
        <f>"3250613114558"</f>
        <v>3250613114558</v>
      </c>
      <c r="J2294" t="s">
        <v>6547</v>
      </c>
    </row>
    <row r="2295" spans="1:10" x14ac:dyDescent="0.25">
      <c r="A2295" t="s">
        <v>8</v>
      </c>
      <c r="B2295" t="s">
        <v>6548</v>
      </c>
      <c r="C2295" t="s">
        <v>6549</v>
      </c>
      <c r="D2295">
        <v>1</v>
      </c>
      <c r="E2295" t="s">
        <v>5525</v>
      </c>
      <c r="F2295" t="s">
        <v>5526</v>
      </c>
      <c r="G2295" s="1"/>
      <c r="H2295" t="str">
        <f>"3250613370701"</f>
        <v>3250613370701</v>
      </c>
      <c r="J2295" t="s">
        <v>6550</v>
      </c>
    </row>
    <row r="2296" spans="1:10" x14ac:dyDescent="0.25">
      <c r="A2296" t="s">
        <v>8</v>
      </c>
      <c r="B2296" t="s">
        <v>6551</v>
      </c>
      <c r="C2296" t="s">
        <v>6552</v>
      </c>
      <c r="D2296">
        <v>1</v>
      </c>
      <c r="E2296" t="s">
        <v>5525</v>
      </c>
      <c r="F2296" t="s">
        <v>5526</v>
      </c>
      <c r="G2296" s="1"/>
      <c r="H2296" t="str">
        <f>"3250613370718"</f>
        <v>3250613370718</v>
      </c>
      <c r="J2296" t="s">
        <v>6553</v>
      </c>
    </row>
    <row r="2297" spans="1:10" x14ac:dyDescent="0.25">
      <c r="A2297" t="s">
        <v>8</v>
      </c>
      <c r="B2297" t="s">
        <v>6554</v>
      </c>
      <c r="C2297" t="s">
        <v>6555</v>
      </c>
      <c r="D2297">
        <v>1</v>
      </c>
      <c r="E2297" t="s">
        <v>5525</v>
      </c>
      <c r="F2297" t="s">
        <v>5526</v>
      </c>
      <c r="G2297" s="1"/>
      <c r="H2297" t="str">
        <f>"3250613362614"</f>
        <v>3250613362614</v>
      </c>
      <c r="J2297" t="s">
        <v>5813</v>
      </c>
    </row>
    <row r="2298" spans="1:10" x14ac:dyDescent="0.25">
      <c r="A2298" t="s">
        <v>8</v>
      </c>
      <c r="B2298" t="s">
        <v>6556</v>
      </c>
      <c r="C2298" t="s">
        <v>6557</v>
      </c>
      <c r="D2298">
        <v>1</v>
      </c>
      <c r="E2298" t="s">
        <v>5525</v>
      </c>
      <c r="F2298" t="s">
        <v>5526</v>
      </c>
      <c r="G2298" s="1"/>
      <c r="H2298" t="str">
        <f>"3250610000571"</f>
        <v>3250610000571</v>
      </c>
      <c r="J2298" t="s">
        <v>6558</v>
      </c>
    </row>
    <row r="2299" spans="1:10" x14ac:dyDescent="0.25">
      <c r="A2299" t="s">
        <v>8</v>
      </c>
      <c r="B2299" t="s">
        <v>6559</v>
      </c>
      <c r="C2299" t="s">
        <v>6560</v>
      </c>
      <c r="D2299">
        <v>1</v>
      </c>
      <c r="E2299" t="s">
        <v>5525</v>
      </c>
      <c r="F2299" t="s">
        <v>5526</v>
      </c>
      <c r="G2299" s="1"/>
      <c r="H2299" t="str">
        <f>"3250610016640"</f>
        <v>3250610016640</v>
      </c>
      <c r="J2299" t="s">
        <v>6561</v>
      </c>
    </row>
    <row r="2300" spans="1:10" x14ac:dyDescent="0.25">
      <c r="A2300" t="s">
        <v>8</v>
      </c>
      <c r="B2300" t="s">
        <v>6562</v>
      </c>
      <c r="C2300" t="s">
        <v>6563</v>
      </c>
      <c r="D2300">
        <v>1</v>
      </c>
      <c r="E2300" t="s">
        <v>5525</v>
      </c>
      <c r="F2300" t="s">
        <v>5526</v>
      </c>
      <c r="G2300" s="1"/>
      <c r="H2300" t="str">
        <f>"3250613152550"</f>
        <v>3250613152550</v>
      </c>
      <c r="J2300" t="s">
        <v>6564</v>
      </c>
    </row>
    <row r="2301" spans="1:10" x14ac:dyDescent="0.25">
      <c r="A2301" t="s">
        <v>8</v>
      </c>
      <c r="B2301" t="s">
        <v>6565</v>
      </c>
      <c r="C2301" t="s">
        <v>6566</v>
      </c>
      <c r="D2301">
        <v>1</v>
      </c>
      <c r="E2301" t="s">
        <v>5525</v>
      </c>
      <c r="F2301" t="s">
        <v>5526</v>
      </c>
      <c r="G2301" s="1"/>
      <c r="H2301" t="str">
        <f>"3250613152567"</f>
        <v>3250613152567</v>
      </c>
      <c r="J2301" t="s">
        <v>6567</v>
      </c>
    </row>
    <row r="2302" spans="1:10" x14ac:dyDescent="0.25">
      <c r="A2302" t="s">
        <v>8</v>
      </c>
      <c r="B2302" t="s">
        <v>6568</v>
      </c>
      <c r="C2302" t="s">
        <v>6569</v>
      </c>
      <c r="D2302">
        <v>1</v>
      </c>
      <c r="E2302" t="s">
        <v>5525</v>
      </c>
      <c r="F2302" t="s">
        <v>5526</v>
      </c>
      <c r="G2302" s="1"/>
      <c r="H2302" t="str">
        <f>"3250613144395"</f>
        <v>3250613144395</v>
      </c>
      <c r="J2302" t="s">
        <v>6570</v>
      </c>
    </row>
    <row r="2303" spans="1:10" x14ac:dyDescent="0.25">
      <c r="A2303" t="s">
        <v>8</v>
      </c>
      <c r="B2303" t="s">
        <v>6571</v>
      </c>
      <c r="C2303" t="s">
        <v>6572</v>
      </c>
      <c r="D2303">
        <v>1</v>
      </c>
      <c r="E2303" t="s">
        <v>5525</v>
      </c>
      <c r="F2303" t="s">
        <v>5526</v>
      </c>
      <c r="G2303" s="1"/>
      <c r="H2303" t="str">
        <f>"3250613152574"</f>
        <v>3250613152574</v>
      </c>
      <c r="J2303" t="s">
        <v>6573</v>
      </c>
    </row>
    <row r="2304" spans="1:10" x14ac:dyDescent="0.25">
      <c r="A2304" t="s">
        <v>8</v>
      </c>
      <c r="B2304" t="s">
        <v>6574</v>
      </c>
      <c r="C2304" t="s">
        <v>6575</v>
      </c>
      <c r="D2304">
        <v>1</v>
      </c>
      <c r="E2304" t="s">
        <v>5525</v>
      </c>
      <c r="F2304" t="s">
        <v>5526</v>
      </c>
      <c r="G2304" s="1"/>
      <c r="H2304" t="str">
        <f>"3250613152581"</f>
        <v>3250613152581</v>
      </c>
      <c r="J2304" t="s">
        <v>6573</v>
      </c>
    </row>
    <row r="2305" spans="1:10" x14ac:dyDescent="0.25">
      <c r="A2305" t="s">
        <v>8</v>
      </c>
      <c r="B2305" t="s">
        <v>6576</v>
      </c>
      <c r="C2305" t="s">
        <v>6577</v>
      </c>
      <c r="D2305">
        <v>1</v>
      </c>
      <c r="E2305" t="s">
        <v>5525</v>
      </c>
      <c r="F2305" t="s">
        <v>5526</v>
      </c>
      <c r="G2305" s="1"/>
      <c r="H2305" t="str">
        <f>"3250613152598"</f>
        <v>3250613152598</v>
      </c>
      <c r="J2305" t="s">
        <v>6573</v>
      </c>
    </row>
    <row r="2306" spans="1:10" x14ac:dyDescent="0.25">
      <c r="A2306" t="s">
        <v>8</v>
      </c>
      <c r="B2306" t="s">
        <v>6578</v>
      </c>
      <c r="C2306" t="s">
        <v>6579</v>
      </c>
      <c r="D2306">
        <v>1</v>
      </c>
      <c r="E2306" t="s">
        <v>5525</v>
      </c>
      <c r="F2306" t="s">
        <v>5526</v>
      </c>
      <c r="G2306" s="1"/>
      <c r="H2306" t="str">
        <f>"3250610087145"</f>
        <v>3250610087145</v>
      </c>
      <c r="J2306" t="s">
        <v>6580</v>
      </c>
    </row>
    <row r="2307" spans="1:10" x14ac:dyDescent="0.25">
      <c r="A2307" t="s">
        <v>8</v>
      </c>
      <c r="B2307" t="s">
        <v>6581</v>
      </c>
      <c r="C2307" t="s">
        <v>6582</v>
      </c>
      <c r="D2307">
        <v>1</v>
      </c>
      <c r="E2307" t="s">
        <v>5525</v>
      </c>
      <c r="F2307" t="s">
        <v>5526</v>
      </c>
      <c r="G2307" s="1"/>
      <c r="H2307" t="str">
        <f>"3250610024133"</f>
        <v>3250610024133</v>
      </c>
      <c r="J2307" t="s">
        <v>6583</v>
      </c>
    </row>
    <row r="2308" spans="1:10" x14ac:dyDescent="0.25">
      <c r="A2308" t="s">
        <v>8</v>
      </c>
      <c r="B2308" t="s">
        <v>6584</v>
      </c>
      <c r="C2308" t="s">
        <v>6585</v>
      </c>
      <c r="D2308">
        <v>1</v>
      </c>
      <c r="E2308" t="s">
        <v>5525</v>
      </c>
      <c r="F2308" t="s">
        <v>5526</v>
      </c>
      <c r="G2308" s="1"/>
      <c r="H2308" t="str">
        <f>"3250613152604"</f>
        <v>3250613152604</v>
      </c>
      <c r="J2308" t="s">
        <v>6586</v>
      </c>
    </row>
    <row r="2309" spans="1:10" x14ac:dyDescent="0.25">
      <c r="A2309" t="s">
        <v>8</v>
      </c>
      <c r="B2309" t="s">
        <v>6587</v>
      </c>
      <c r="C2309" t="s">
        <v>6588</v>
      </c>
      <c r="D2309">
        <v>1</v>
      </c>
      <c r="E2309" t="s">
        <v>5525</v>
      </c>
      <c r="F2309" t="s">
        <v>5526</v>
      </c>
      <c r="G2309" s="1"/>
      <c r="H2309" t="str">
        <f>"3250613119911"</f>
        <v>3250613119911</v>
      </c>
      <c r="J2309" t="s">
        <v>6589</v>
      </c>
    </row>
    <row r="2310" spans="1:10" x14ac:dyDescent="0.25">
      <c r="A2310" t="s">
        <v>8</v>
      </c>
      <c r="B2310" t="s">
        <v>6590</v>
      </c>
      <c r="C2310" t="s">
        <v>6591</v>
      </c>
      <c r="D2310">
        <v>1</v>
      </c>
      <c r="E2310" t="s">
        <v>5525</v>
      </c>
      <c r="F2310" t="s">
        <v>5526</v>
      </c>
      <c r="G2310" s="1"/>
      <c r="H2310" t="str">
        <f>"3250613144401"</f>
        <v>3250613144401</v>
      </c>
      <c r="J2310" t="s">
        <v>6592</v>
      </c>
    </row>
    <row r="2311" spans="1:10" x14ac:dyDescent="0.25">
      <c r="A2311" t="s">
        <v>8</v>
      </c>
      <c r="B2311" t="s">
        <v>6593</v>
      </c>
      <c r="C2311" t="s">
        <v>6594</v>
      </c>
      <c r="D2311">
        <v>1</v>
      </c>
      <c r="E2311" t="s">
        <v>5525</v>
      </c>
      <c r="F2311" t="s">
        <v>5526</v>
      </c>
      <c r="G2311" s="1"/>
      <c r="H2311" t="str">
        <f>"3250613235192"</f>
        <v>3250613235192</v>
      </c>
      <c r="J2311" t="s">
        <v>6595</v>
      </c>
    </row>
    <row r="2312" spans="1:10" x14ac:dyDescent="0.25">
      <c r="A2312" t="s">
        <v>8</v>
      </c>
      <c r="B2312" t="s">
        <v>6596</v>
      </c>
      <c r="C2312" t="s">
        <v>6597</v>
      </c>
      <c r="D2312">
        <v>1</v>
      </c>
      <c r="E2312" t="s">
        <v>5525</v>
      </c>
      <c r="F2312" t="s">
        <v>5526</v>
      </c>
      <c r="G2312" s="1"/>
      <c r="H2312" t="str">
        <f>"3250613235208"</f>
        <v>3250613235208</v>
      </c>
      <c r="J2312" t="s">
        <v>6598</v>
      </c>
    </row>
    <row r="2313" spans="1:10" x14ac:dyDescent="0.25">
      <c r="A2313" t="s">
        <v>8</v>
      </c>
      <c r="B2313" t="s">
        <v>6599</v>
      </c>
      <c r="C2313" t="s">
        <v>6600</v>
      </c>
      <c r="D2313">
        <v>1</v>
      </c>
      <c r="E2313" t="s">
        <v>5525</v>
      </c>
      <c r="F2313" t="s">
        <v>5526</v>
      </c>
      <c r="G2313" s="1"/>
      <c r="H2313" t="str">
        <f>"3250613235215"</f>
        <v>3250613235215</v>
      </c>
      <c r="J2313" t="s">
        <v>6601</v>
      </c>
    </row>
    <row r="2314" spans="1:10" x14ac:dyDescent="0.25">
      <c r="A2314" t="s">
        <v>8</v>
      </c>
      <c r="B2314" t="s">
        <v>6602</v>
      </c>
      <c r="C2314" t="s">
        <v>6603</v>
      </c>
      <c r="D2314">
        <v>1</v>
      </c>
      <c r="E2314" t="s">
        <v>5525</v>
      </c>
      <c r="F2314" t="s">
        <v>5526</v>
      </c>
      <c r="G2314" s="1"/>
      <c r="H2314" t="str">
        <f>"3250613235222"</f>
        <v>3250613235222</v>
      </c>
      <c r="J2314" t="s">
        <v>6604</v>
      </c>
    </row>
    <row r="2315" spans="1:10" x14ac:dyDescent="0.25">
      <c r="A2315" t="s">
        <v>8</v>
      </c>
      <c r="B2315" t="s">
        <v>6605</v>
      </c>
      <c r="C2315" t="s">
        <v>6606</v>
      </c>
      <c r="D2315">
        <v>1</v>
      </c>
      <c r="E2315" t="s">
        <v>5525</v>
      </c>
      <c r="F2315" t="s">
        <v>5526</v>
      </c>
      <c r="G2315" s="1"/>
      <c r="H2315" t="str">
        <f>"3250610000830"</f>
        <v>3250610000830</v>
      </c>
      <c r="J2315" t="s">
        <v>6592</v>
      </c>
    </row>
    <row r="2316" spans="1:10" x14ac:dyDescent="0.25">
      <c r="A2316" t="s">
        <v>8</v>
      </c>
      <c r="B2316" t="s">
        <v>6607</v>
      </c>
      <c r="C2316" t="s">
        <v>6608</v>
      </c>
      <c r="D2316">
        <v>1</v>
      </c>
      <c r="E2316" t="s">
        <v>5525</v>
      </c>
      <c r="F2316" t="s">
        <v>5526</v>
      </c>
      <c r="G2316" s="1"/>
      <c r="H2316" t="str">
        <f>"3250610000847"</f>
        <v>3250610000847</v>
      </c>
      <c r="J2316" t="s">
        <v>6592</v>
      </c>
    </row>
    <row r="2317" spans="1:10" x14ac:dyDescent="0.25">
      <c r="A2317" t="s">
        <v>8</v>
      </c>
      <c r="B2317" t="s">
        <v>6609</v>
      </c>
      <c r="C2317" t="s">
        <v>6610</v>
      </c>
      <c r="D2317">
        <v>1</v>
      </c>
      <c r="E2317" t="s">
        <v>5525</v>
      </c>
      <c r="F2317" t="s">
        <v>5526</v>
      </c>
      <c r="G2317" s="1"/>
      <c r="H2317" t="str">
        <f>"3250610000854"</f>
        <v>3250610000854</v>
      </c>
      <c r="J2317" t="s">
        <v>6592</v>
      </c>
    </row>
    <row r="2318" spans="1:10" x14ac:dyDescent="0.25">
      <c r="A2318" t="s">
        <v>8</v>
      </c>
      <c r="B2318" t="s">
        <v>6611</v>
      </c>
      <c r="C2318" t="s">
        <v>6612</v>
      </c>
      <c r="D2318">
        <v>1</v>
      </c>
      <c r="E2318" t="s">
        <v>5525</v>
      </c>
      <c r="F2318" t="s">
        <v>5526</v>
      </c>
      <c r="G2318" s="1"/>
      <c r="H2318" t="str">
        <f>"3250613235253"</f>
        <v>3250613235253</v>
      </c>
      <c r="J2318" t="s">
        <v>6613</v>
      </c>
    </row>
    <row r="2319" spans="1:10" x14ac:dyDescent="0.25">
      <c r="A2319" t="s">
        <v>8</v>
      </c>
      <c r="B2319" t="s">
        <v>6614</v>
      </c>
      <c r="C2319" t="s">
        <v>6615</v>
      </c>
      <c r="D2319">
        <v>1</v>
      </c>
      <c r="E2319" t="s">
        <v>5525</v>
      </c>
      <c r="F2319" t="s">
        <v>5526</v>
      </c>
      <c r="G2319" s="1"/>
      <c r="H2319" t="str">
        <f>"3250613235260"</f>
        <v>3250613235260</v>
      </c>
      <c r="J2319" t="s">
        <v>6613</v>
      </c>
    </row>
    <row r="2320" spans="1:10" x14ac:dyDescent="0.25">
      <c r="A2320" t="s">
        <v>8</v>
      </c>
      <c r="B2320" t="s">
        <v>6616</v>
      </c>
      <c r="C2320" t="s">
        <v>6617</v>
      </c>
      <c r="D2320">
        <v>1</v>
      </c>
      <c r="E2320" t="s">
        <v>5525</v>
      </c>
      <c r="F2320" t="s">
        <v>5526</v>
      </c>
      <c r="G2320" s="1"/>
      <c r="H2320" t="str">
        <f>"3250613235277"</f>
        <v>3250613235277</v>
      </c>
      <c r="J2320" t="s">
        <v>6613</v>
      </c>
    </row>
    <row r="2321" spans="1:10" x14ac:dyDescent="0.25">
      <c r="A2321" t="s">
        <v>8</v>
      </c>
      <c r="B2321" t="s">
        <v>6618</v>
      </c>
      <c r="C2321" t="s">
        <v>6619</v>
      </c>
      <c r="D2321">
        <v>1</v>
      </c>
      <c r="E2321" t="s">
        <v>5525</v>
      </c>
      <c r="F2321" t="s">
        <v>5526</v>
      </c>
      <c r="G2321" s="1"/>
      <c r="H2321" t="str">
        <f>"3250613235284"</f>
        <v>3250613235284</v>
      </c>
      <c r="J2321" t="s">
        <v>6570</v>
      </c>
    </row>
    <row r="2322" spans="1:10" x14ac:dyDescent="0.25">
      <c r="A2322" t="s">
        <v>8</v>
      </c>
      <c r="B2322" t="s">
        <v>6620</v>
      </c>
      <c r="C2322" t="s">
        <v>6621</v>
      </c>
      <c r="D2322">
        <v>1</v>
      </c>
      <c r="E2322" t="s">
        <v>5525</v>
      </c>
      <c r="F2322" t="s">
        <v>5526</v>
      </c>
      <c r="G2322" s="1"/>
      <c r="H2322" t="str">
        <f>"3250610000861"</f>
        <v>3250610000861</v>
      </c>
      <c r="J2322" t="s">
        <v>6592</v>
      </c>
    </row>
    <row r="2323" spans="1:10" x14ac:dyDescent="0.25">
      <c r="A2323" t="s">
        <v>8</v>
      </c>
      <c r="B2323" t="s">
        <v>6622</v>
      </c>
      <c r="C2323" t="s">
        <v>6623</v>
      </c>
      <c r="D2323">
        <v>1</v>
      </c>
      <c r="E2323" t="s">
        <v>6624</v>
      </c>
      <c r="F2323" t="s">
        <v>6625</v>
      </c>
      <c r="G2323" s="1"/>
      <c r="H2323" t="str">
        <f>"4010330712227"</f>
        <v>4010330712227</v>
      </c>
      <c r="J2323" t="s">
        <v>6626</v>
      </c>
    </row>
    <row r="2324" spans="1:10" x14ac:dyDescent="0.25">
      <c r="A2324" t="s">
        <v>8</v>
      </c>
      <c r="B2324" t="s">
        <v>6627</v>
      </c>
      <c r="C2324" t="s">
        <v>6628</v>
      </c>
      <c r="D2324">
        <v>1</v>
      </c>
      <c r="E2324" t="s">
        <v>6624</v>
      </c>
      <c r="F2324" t="s">
        <v>6625</v>
      </c>
      <c r="G2324" s="1"/>
      <c r="H2324" t="str">
        <f>"4010330712234"</f>
        <v>4010330712234</v>
      </c>
      <c r="J2324" t="s">
        <v>6629</v>
      </c>
    </row>
    <row r="2325" spans="1:10" x14ac:dyDescent="0.25">
      <c r="A2325" t="s">
        <v>8</v>
      </c>
      <c r="B2325" t="s">
        <v>6630</v>
      </c>
      <c r="C2325" t="s">
        <v>6631</v>
      </c>
      <c r="D2325">
        <v>1</v>
      </c>
      <c r="E2325" t="s">
        <v>6624</v>
      </c>
      <c r="F2325" t="s">
        <v>6625</v>
      </c>
      <c r="G2325" s="1"/>
      <c r="H2325" t="str">
        <f>"3250610711279"</f>
        <v>3250610711279</v>
      </c>
      <c r="J2325" t="s">
        <v>6632</v>
      </c>
    </row>
    <row r="2326" spans="1:10" x14ac:dyDescent="0.25">
      <c r="A2326" t="s">
        <v>8</v>
      </c>
      <c r="B2326" t="s">
        <v>6633</v>
      </c>
      <c r="C2326" t="s">
        <v>6634</v>
      </c>
      <c r="D2326">
        <v>1</v>
      </c>
      <c r="E2326" t="s">
        <v>6624</v>
      </c>
      <c r="F2326" t="s">
        <v>6625</v>
      </c>
      <c r="G2326" s="1"/>
      <c r="H2326" t="str">
        <f>"4010330712135"</f>
        <v>4010330712135</v>
      </c>
      <c r="J2326" t="s">
        <v>6635</v>
      </c>
    </row>
    <row r="2327" spans="1:10" x14ac:dyDescent="0.25">
      <c r="A2327" t="s">
        <v>8</v>
      </c>
      <c r="B2327" t="s">
        <v>6636</v>
      </c>
      <c r="C2327" t="s">
        <v>6637</v>
      </c>
      <c r="D2327">
        <v>1</v>
      </c>
      <c r="E2327" t="s">
        <v>6624</v>
      </c>
      <c r="F2327" t="s">
        <v>6625</v>
      </c>
      <c r="G2327" s="1"/>
      <c r="H2327" t="str">
        <f>"3250613720322"</f>
        <v>3250613720322</v>
      </c>
      <c r="J2327" t="s">
        <v>5587</v>
      </c>
    </row>
    <row r="2328" spans="1:10" x14ac:dyDescent="0.25">
      <c r="A2328" t="s">
        <v>8</v>
      </c>
      <c r="B2328" t="s">
        <v>6638</v>
      </c>
      <c r="C2328" t="s">
        <v>6639</v>
      </c>
      <c r="D2328">
        <v>1</v>
      </c>
      <c r="E2328" t="s">
        <v>6624</v>
      </c>
      <c r="F2328" t="s">
        <v>6625</v>
      </c>
      <c r="G2328" s="1"/>
      <c r="H2328" t="str">
        <f>"3250613720124"</f>
        <v>3250613720124</v>
      </c>
      <c r="J2328" t="s">
        <v>6640</v>
      </c>
    </row>
    <row r="2329" spans="1:10" x14ac:dyDescent="0.25">
      <c r="A2329" t="s">
        <v>8</v>
      </c>
      <c r="B2329" t="s">
        <v>6641</v>
      </c>
      <c r="C2329" t="s">
        <v>6642</v>
      </c>
      <c r="D2329">
        <v>1</v>
      </c>
      <c r="E2329" t="s">
        <v>6624</v>
      </c>
      <c r="F2329" t="s">
        <v>6625</v>
      </c>
      <c r="G2329" s="1"/>
      <c r="H2329" t="str">
        <f>"3250613740443"</f>
        <v>3250613740443</v>
      </c>
      <c r="J2329" t="s">
        <v>6643</v>
      </c>
    </row>
    <row r="2330" spans="1:10" x14ac:dyDescent="0.25">
      <c r="A2330" t="s">
        <v>8</v>
      </c>
      <c r="B2330" t="s">
        <v>6644</v>
      </c>
      <c r="C2330" t="s">
        <v>6645</v>
      </c>
      <c r="D2330">
        <v>1</v>
      </c>
      <c r="E2330" t="s">
        <v>6624</v>
      </c>
      <c r="F2330" t="s">
        <v>6625</v>
      </c>
      <c r="G2330" s="1"/>
      <c r="H2330" t="str">
        <f>"3250613960223"</f>
        <v>3250613960223</v>
      </c>
      <c r="J2330" t="s">
        <v>6646</v>
      </c>
    </row>
    <row r="2331" spans="1:10" x14ac:dyDescent="0.25">
      <c r="A2331" t="s">
        <v>8</v>
      </c>
      <c r="B2331" t="s">
        <v>6647</v>
      </c>
      <c r="C2331" t="s">
        <v>6648</v>
      </c>
      <c r="D2331">
        <v>1</v>
      </c>
      <c r="E2331" t="s">
        <v>6624</v>
      </c>
      <c r="F2331" t="s">
        <v>6625</v>
      </c>
      <c r="G2331" s="1"/>
      <c r="H2331" t="str">
        <f>"3250613960599"</f>
        <v>3250613960599</v>
      </c>
      <c r="J2331" t="s">
        <v>6649</v>
      </c>
    </row>
    <row r="2332" spans="1:10" x14ac:dyDescent="0.25">
      <c r="A2332" t="s">
        <v>8</v>
      </c>
      <c r="B2332" t="s">
        <v>6650</v>
      </c>
      <c r="C2332" t="s">
        <v>6651</v>
      </c>
      <c r="D2332">
        <v>1</v>
      </c>
      <c r="E2332" t="s">
        <v>6624</v>
      </c>
      <c r="F2332" t="s">
        <v>6625</v>
      </c>
      <c r="G2332" s="1"/>
      <c r="H2332" t="str">
        <f>"3250610711262"</f>
        <v>3250610711262</v>
      </c>
      <c r="J2332" t="s">
        <v>6652</v>
      </c>
    </row>
    <row r="2333" spans="1:10" x14ac:dyDescent="0.25">
      <c r="A2333" t="s">
        <v>8</v>
      </c>
      <c r="B2333" t="s">
        <v>6653</v>
      </c>
      <c r="C2333" t="s">
        <v>6654</v>
      </c>
      <c r="D2333">
        <v>1</v>
      </c>
      <c r="E2333" t="s">
        <v>6624</v>
      </c>
      <c r="F2333" t="s">
        <v>6625</v>
      </c>
      <c r="G2333" s="1"/>
      <c r="H2333" t="str">
        <f>"4010330712180"</f>
        <v>4010330712180</v>
      </c>
      <c r="J2333" t="s">
        <v>6655</v>
      </c>
    </row>
    <row r="2334" spans="1:10" x14ac:dyDescent="0.25">
      <c r="A2334" t="s">
        <v>8</v>
      </c>
      <c r="B2334" t="s">
        <v>6656</v>
      </c>
      <c r="C2334" t="s">
        <v>6657</v>
      </c>
      <c r="D2334">
        <v>1</v>
      </c>
      <c r="E2334" t="s">
        <v>6624</v>
      </c>
      <c r="F2334" t="s">
        <v>6625</v>
      </c>
      <c r="G2334" s="1"/>
      <c r="H2334" t="str">
        <f>"3250613720117"</f>
        <v>3250613720117</v>
      </c>
      <c r="J2334" t="s">
        <v>6658</v>
      </c>
    </row>
    <row r="2335" spans="1:10" x14ac:dyDescent="0.25">
      <c r="A2335" t="s">
        <v>8</v>
      </c>
      <c r="B2335" t="s">
        <v>6659</v>
      </c>
      <c r="C2335" t="s">
        <v>6660</v>
      </c>
      <c r="D2335">
        <v>1</v>
      </c>
      <c r="E2335" t="s">
        <v>6624</v>
      </c>
      <c r="F2335" t="s">
        <v>6625</v>
      </c>
      <c r="G2335" s="1"/>
      <c r="H2335" t="str">
        <f>"3250613960216"</f>
        <v>3250613960216</v>
      </c>
      <c r="J2335" t="s">
        <v>6661</v>
      </c>
    </row>
    <row r="2336" spans="1:10" x14ac:dyDescent="0.25">
      <c r="A2336" t="s">
        <v>8</v>
      </c>
      <c r="B2336" t="s">
        <v>6662</v>
      </c>
      <c r="C2336" t="s">
        <v>6663</v>
      </c>
      <c r="D2336">
        <v>1</v>
      </c>
      <c r="E2336" t="s">
        <v>6624</v>
      </c>
      <c r="F2336" t="s">
        <v>6625</v>
      </c>
      <c r="G2336" s="1"/>
      <c r="H2336" t="str">
        <f>"3250613961725"</f>
        <v>3250613961725</v>
      </c>
      <c r="J2336" t="s">
        <v>6664</v>
      </c>
    </row>
    <row r="2337" spans="1:10" x14ac:dyDescent="0.25">
      <c r="A2337" t="s">
        <v>8</v>
      </c>
      <c r="B2337" t="s">
        <v>6665</v>
      </c>
      <c r="C2337" t="s">
        <v>6666</v>
      </c>
      <c r="D2337">
        <v>1</v>
      </c>
      <c r="E2337" t="s">
        <v>6624</v>
      </c>
      <c r="F2337" t="s">
        <v>6625</v>
      </c>
      <c r="G2337" s="1"/>
      <c r="H2337" t="str">
        <f>"3250610710142"</f>
        <v>3250610710142</v>
      </c>
      <c r="J2337" t="s">
        <v>6668</v>
      </c>
    </row>
    <row r="2338" spans="1:10" x14ac:dyDescent="0.25">
      <c r="A2338" t="s">
        <v>8</v>
      </c>
      <c r="B2338" t="s">
        <v>6669</v>
      </c>
      <c r="C2338" t="s">
        <v>6670</v>
      </c>
      <c r="D2338">
        <v>1</v>
      </c>
      <c r="E2338" t="s">
        <v>6624</v>
      </c>
      <c r="F2338" t="s">
        <v>6625</v>
      </c>
      <c r="G2338" s="1"/>
      <c r="H2338" t="str">
        <f>"3250610711989"</f>
        <v>3250610711989</v>
      </c>
      <c r="J2338" t="s">
        <v>6671</v>
      </c>
    </row>
    <row r="2339" spans="1:10" x14ac:dyDescent="0.25">
      <c r="A2339" t="s">
        <v>8</v>
      </c>
      <c r="B2339" t="s">
        <v>6672</v>
      </c>
      <c r="C2339" t="s">
        <v>6673</v>
      </c>
      <c r="D2339">
        <v>1</v>
      </c>
      <c r="E2339" t="s">
        <v>6624</v>
      </c>
      <c r="F2339" t="s">
        <v>6625</v>
      </c>
      <c r="G2339" s="1"/>
      <c r="H2339" t="str">
        <f>"4010330711374"</f>
        <v>4010330711374</v>
      </c>
      <c r="J2339" t="s">
        <v>6674</v>
      </c>
    </row>
    <row r="2340" spans="1:10" x14ac:dyDescent="0.25">
      <c r="A2340" t="s">
        <v>8</v>
      </c>
      <c r="B2340" t="s">
        <v>6675</v>
      </c>
      <c r="C2340" t="s">
        <v>6676</v>
      </c>
      <c r="D2340">
        <v>1</v>
      </c>
      <c r="E2340" t="s">
        <v>6624</v>
      </c>
      <c r="F2340" t="s">
        <v>6625</v>
      </c>
      <c r="G2340" s="1"/>
      <c r="H2340" t="str">
        <f>"3250613720605"</f>
        <v>3250613720605</v>
      </c>
      <c r="I2340" s="1"/>
      <c r="J2340" t="s">
        <v>6677</v>
      </c>
    </row>
    <row r="2341" spans="1:10" x14ac:dyDescent="0.25">
      <c r="A2341" t="s">
        <v>8</v>
      </c>
      <c r="B2341" t="s">
        <v>6678</v>
      </c>
      <c r="C2341" t="s">
        <v>6679</v>
      </c>
      <c r="D2341">
        <v>1</v>
      </c>
      <c r="E2341" t="s">
        <v>6624</v>
      </c>
      <c r="F2341" t="s">
        <v>6625</v>
      </c>
      <c r="G2341" s="1"/>
      <c r="H2341" t="str">
        <f>"3250613800208"</f>
        <v>3250613800208</v>
      </c>
      <c r="J2341" t="s">
        <v>6680</v>
      </c>
    </row>
    <row r="2342" spans="1:10" x14ac:dyDescent="0.25">
      <c r="A2342" t="s">
        <v>8</v>
      </c>
      <c r="B2342" t="s">
        <v>6681</v>
      </c>
      <c r="C2342" t="s">
        <v>6682</v>
      </c>
      <c r="D2342">
        <v>1</v>
      </c>
      <c r="E2342" t="s">
        <v>6624</v>
      </c>
      <c r="F2342" t="s">
        <v>6625</v>
      </c>
      <c r="G2342" s="1"/>
      <c r="H2342" t="str">
        <f>"3250613800277"</f>
        <v>3250613800277</v>
      </c>
      <c r="J2342" t="s">
        <v>6683</v>
      </c>
    </row>
    <row r="2343" spans="1:10" x14ac:dyDescent="0.25">
      <c r="A2343" t="s">
        <v>8</v>
      </c>
      <c r="B2343" t="s">
        <v>6684</v>
      </c>
      <c r="C2343" t="s">
        <v>6685</v>
      </c>
      <c r="D2343">
        <v>1</v>
      </c>
      <c r="E2343" t="s">
        <v>6624</v>
      </c>
      <c r="F2343" t="s">
        <v>6625</v>
      </c>
      <c r="G2343" s="1"/>
      <c r="H2343" t="str">
        <f>"3250613890124"</f>
        <v>3250613890124</v>
      </c>
      <c r="J2343" t="s">
        <v>6686</v>
      </c>
    </row>
    <row r="2344" spans="1:10" x14ac:dyDescent="0.25">
      <c r="A2344" t="s">
        <v>8</v>
      </c>
      <c r="B2344" t="s">
        <v>6687</v>
      </c>
      <c r="C2344" t="s">
        <v>6688</v>
      </c>
      <c r="D2344">
        <v>1</v>
      </c>
      <c r="E2344" t="s">
        <v>6624</v>
      </c>
      <c r="F2344" t="s">
        <v>6625</v>
      </c>
      <c r="G2344" s="1"/>
      <c r="H2344" t="str">
        <f>"3250613961718"</f>
        <v>3250613961718</v>
      </c>
      <c r="J2344" t="s">
        <v>6664</v>
      </c>
    </row>
    <row r="2345" spans="1:10" x14ac:dyDescent="0.25">
      <c r="A2345" t="s">
        <v>8</v>
      </c>
      <c r="B2345" t="s">
        <v>6689</v>
      </c>
      <c r="C2345" t="s">
        <v>6690</v>
      </c>
      <c r="D2345">
        <v>1</v>
      </c>
      <c r="E2345" t="s">
        <v>6624</v>
      </c>
      <c r="F2345" t="s">
        <v>6625</v>
      </c>
      <c r="G2345" s="1"/>
      <c r="H2345" t="str">
        <f>"4010330711220"</f>
        <v>4010330711220</v>
      </c>
      <c r="J2345" t="s">
        <v>6691</v>
      </c>
    </row>
    <row r="2346" spans="1:10" x14ac:dyDescent="0.25">
      <c r="A2346" t="s">
        <v>8</v>
      </c>
      <c r="B2346" t="s">
        <v>6692</v>
      </c>
      <c r="C2346" t="s">
        <v>6693</v>
      </c>
      <c r="D2346">
        <v>1</v>
      </c>
      <c r="E2346" t="s">
        <v>6624</v>
      </c>
      <c r="F2346" t="s">
        <v>6625</v>
      </c>
      <c r="G2346" s="1"/>
      <c r="H2346" t="str">
        <f>"4010330712128"</f>
        <v>4010330712128</v>
      </c>
      <c r="J2346" t="s">
        <v>6694</v>
      </c>
    </row>
    <row r="2347" spans="1:10" x14ac:dyDescent="0.25">
      <c r="A2347" t="s">
        <v>8</v>
      </c>
      <c r="B2347" t="s">
        <v>6695</v>
      </c>
      <c r="C2347" t="s">
        <v>6696</v>
      </c>
      <c r="D2347">
        <v>1</v>
      </c>
      <c r="E2347" t="s">
        <v>6624</v>
      </c>
      <c r="F2347" t="s">
        <v>6625</v>
      </c>
      <c r="G2347" s="1"/>
      <c r="H2347" t="str">
        <f>"4010330711350"</f>
        <v>4010330711350</v>
      </c>
      <c r="J2347" t="s">
        <v>6697</v>
      </c>
    </row>
    <row r="2348" spans="1:10" x14ac:dyDescent="0.25">
      <c r="A2348" t="s">
        <v>8</v>
      </c>
      <c r="B2348" t="s">
        <v>6698</v>
      </c>
      <c r="C2348" t="s">
        <v>6699</v>
      </c>
      <c r="D2348">
        <v>1</v>
      </c>
      <c r="E2348" t="s">
        <v>6624</v>
      </c>
      <c r="F2348" t="s">
        <v>6625</v>
      </c>
      <c r="G2348" s="1"/>
      <c r="H2348" t="str">
        <f>"3250610712276"</f>
        <v>3250610712276</v>
      </c>
      <c r="J2348" t="s">
        <v>6700</v>
      </c>
    </row>
    <row r="2349" spans="1:10" x14ac:dyDescent="0.25">
      <c r="A2349" t="s">
        <v>8</v>
      </c>
      <c r="B2349" t="s">
        <v>6701</v>
      </c>
      <c r="C2349" t="s">
        <v>6702</v>
      </c>
      <c r="D2349">
        <v>1</v>
      </c>
      <c r="E2349" t="s">
        <v>6624</v>
      </c>
      <c r="F2349" t="s">
        <v>6625</v>
      </c>
      <c r="G2349" s="1"/>
      <c r="H2349" t="str">
        <f>"3250613720599"</f>
        <v>3250613720599</v>
      </c>
      <c r="I2349" s="1"/>
      <c r="J2349" t="s">
        <v>6677</v>
      </c>
    </row>
    <row r="2350" spans="1:10" x14ac:dyDescent="0.25">
      <c r="A2350" t="s">
        <v>8</v>
      </c>
      <c r="B2350" t="s">
        <v>6703</v>
      </c>
      <c r="C2350" t="s">
        <v>6704</v>
      </c>
      <c r="D2350">
        <v>1</v>
      </c>
      <c r="E2350" t="s">
        <v>6624</v>
      </c>
      <c r="F2350" t="s">
        <v>6625</v>
      </c>
      <c r="G2350" s="1"/>
      <c r="H2350" t="str">
        <f>"3250613800260"</f>
        <v>3250613800260</v>
      </c>
      <c r="J2350" t="s">
        <v>6705</v>
      </c>
    </row>
    <row r="2351" spans="1:10" x14ac:dyDescent="0.25">
      <c r="A2351" t="s">
        <v>8</v>
      </c>
      <c r="B2351" t="s">
        <v>6706</v>
      </c>
      <c r="C2351" t="s">
        <v>6707</v>
      </c>
      <c r="D2351">
        <v>1</v>
      </c>
      <c r="E2351" t="s">
        <v>6624</v>
      </c>
      <c r="F2351" t="s">
        <v>6625</v>
      </c>
      <c r="G2351" s="1"/>
      <c r="H2351" t="str">
        <f>"3250613890117"</f>
        <v>3250613890117</v>
      </c>
      <c r="J2351" t="s">
        <v>6708</v>
      </c>
    </row>
    <row r="2352" spans="1:10" x14ac:dyDescent="0.25">
      <c r="A2352" t="s">
        <v>8</v>
      </c>
      <c r="B2352" t="s">
        <v>6709</v>
      </c>
      <c r="C2352" t="s">
        <v>6710</v>
      </c>
      <c r="D2352">
        <v>1</v>
      </c>
      <c r="E2352" t="s">
        <v>6624</v>
      </c>
      <c r="F2352" t="s">
        <v>6625</v>
      </c>
      <c r="G2352" s="1"/>
      <c r="H2352" t="str">
        <f>"3250613960056"</f>
        <v>3250613960056</v>
      </c>
      <c r="J2352" t="s">
        <v>6711</v>
      </c>
    </row>
    <row r="2353" spans="1:10" x14ac:dyDescent="0.25">
      <c r="A2353" t="s">
        <v>8</v>
      </c>
      <c r="B2353" t="s">
        <v>6712</v>
      </c>
      <c r="C2353" t="s">
        <v>6713</v>
      </c>
      <c r="D2353">
        <v>1</v>
      </c>
      <c r="E2353" t="s">
        <v>6624</v>
      </c>
      <c r="F2353" t="s">
        <v>6625</v>
      </c>
      <c r="G2353" s="1"/>
      <c r="H2353" t="str">
        <f>"3250613960759"</f>
        <v>3250613960759</v>
      </c>
      <c r="J2353" t="s">
        <v>6714</v>
      </c>
    </row>
    <row r="2354" spans="1:10" x14ac:dyDescent="0.25">
      <c r="A2354" t="s">
        <v>8</v>
      </c>
      <c r="B2354" t="s">
        <v>6715</v>
      </c>
      <c r="C2354" t="s">
        <v>6716</v>
      </c>
      <c r="D2354">
        <v>1</v>
      </c>
      <c r="E2354" t="s">
        <v>6624</v>
      </c>
      <c r="F2354" t="s">
        <v>6625</v>
      </c>
      <c r="G2354" s="1"/>
      <c r="H2354" t="str">
        <f>"4010330710995"</f>
        <v>4010330710995</v>
      </c>
      <c r="J2354" t="s">
        <v>6717</v>
      </c>
    </row>
    <row r="2355" spans="1:10" x14ac:dyDescent="0.25">
      <c r="A2355" t="s">
        <v>8</v>
      </c>
      <c r="B2355" t="s">
        <v>6718</v>
      </c>
      <c r="C2355" t="s">
        <v>6719</v>
      </c>
      <c r="D2355">
        <v>1</v>
      </c>
      <c r="E2355" t="s">
        <v>6624</v>
      </c>
      <c r="F2355" t="s">
        <v>6625</v>
      </c>
      <c r="G2355" s="1"/>
      <c r="H2355" t="str">
        <f>"4010330730092"</f>
        <v>4010330730092</v>
      </c>
      <c r="J2355" t="s">
        <v>6137</v>
      </c>
    </row>
    <row r="2356" spans="1:10" x14ac:dyDescent="0.25">
      <c r="A2356" t="s">
        <v>8</v>
      </c>
      <c r="B2356" t="s">
        <v>6720</v>
      </c>
      <c r="C2356" t="s">
        <v>6721</v>
      </c>
      <c r="D2356">
        <v>1</v>
      </c>
      <c r="E2356" t="s">
        <v>6624</v>
      </c>
      <c r="F2356" t="s">
        <v>6625</v>
      </c>
      <c r="G2356" s="1"/>
      <c r="H2356" t="str">
        <f>"4010330712111"</f>
        <v>4010330712111</v>
      </c>
      <c r="J2356" t="s">
        <v>6722</v>
      </c>
    </row>
    <row r="2357" spans="1:10" x14ac:dyDescent="0.25">
      <c r="A2357" t="s">
        <v>8</v>
      </c>
      <c r="B2357" t="s">
        <v>6723</v>
      </c>
      <c r="C2357" t="s">
        <v>6724</v>
      </c>
      <c r="D2357">
        <v>1</v>
      </c>
      <c r="E2357" t="s">
        <v>6624</v>
      </c>
      <c r="F2357" t="s">
        <v>6625</v>
      </c>
      <c r="G2357" s="1"/>
      <c r="H2357" t="str">
        <f>"4010330712173"</f>
        <v>4010330712173</v>
      </c>
      <c r="J2357" t="s">
        <v>6725</v>
      </c>
    </row>
    <row r="2358" spans="1:10" x14ac:dyDescent="0.25">
      <c r="A2358" t="s">
        <v>8</v>
      </c>
      <c r="B2358" t="s">
        <v>6726</v>
      </c>
      <c r="C2358" t="s">
        <v>6727</v>
      </c>
      <c r="D2358">
        <v>1</v>
      </c>
      <c r="E2358" t="s">
        <v>6624</v>
      </c>
      <c r="F2358" t="s">
        <v>6625</v>
      </c>
      <c r="G2358" s="1"/>
      <c r="H2358" t="str">
        <f>"3250610712269"</f>
        <v>3250610712269</v>
      </c>
      <c r="J2358" t="s">
        <v>6728</v>
      </c>
    </row>
    <row r="2359" spans="1:10" x14ac:dyDescent="0.25">
      <c r="A2359" t="s">
        <v>8</v>
      </c>
      <c r="B2359" t="s">
        <v>6729</v>
      </c>
      <c r="C2359" t="s">
        <v>6730</v>
      </c>
      <c r="D2359">
        <v>1</v>
      </c>
      <c r="E2359" t="s">
        <v>6624</v>
      </c>
      <c r="F2359" t="s">
        <v>6625</v>
      </c>
      <c r="G2359" s="1"/>
      <c r="H2359" t="str">
        <f>"3250613720100"</f>
        <v>3250613720100</v>
      </c>
      <c r="J2359" t="s">
        <v>6731</v>
      </c>
    </row>
    <row r="2360" spans="1:10" x14ac:dyDescent="0.25">
      <c r="A2360" t="s">
        <v>8</v>
      </c>
      <c r="B2360" t="s">
        <v>6732</v>
      </c>
      <c r="C2360" t="s">
        <v>6733</v>
      </c>
      <c r="D2360">
        <v>1</v>
      </c>
      <c r="E2360" t="s">
        <v>6624</v>
      </c>
      <c r="F2360" t="s">
        <v>6625</v>
      </c>
      <c r="G2360" s="1"/>
      <c r="H2360" t="str">
        <f>"3250613720179"</f>
        <v>3250613720179</v>
      </c>
      <c r="J2360" t="s">
        <v>6734</v>
      </c>
    </row>
    <row r="2361" spans="1:10" x14ac:dyDescent="0.25">
      <c r="A2361" t="s">
        <v>8</v>
      </c>
      <c r="B2361" t="s">
        <v>6735</v>
      </c>
      <c r="C2361" t="s">
        <v>6736</v>
      </c>
      <c r="D2361">
        <v>1</v>
      </c>
      <c r="E2361" t="s">
        <v>6624</v>
      </c>
      <c r="F2361" t="s">
        <v>6625</v>
      </c>
      <c r="G2361" s="1"/>
      <c r="H2361" t="str">
        <f>"3250613740436"</f>
        <v>3250613740436</v>
      </c>
      <c r="J2361" t="s">
        <v>6737</v>
      </c>
    </row>
    <row r="2362" spans="1:10" x14ac:dyDescent="0.25">
      <c r="A2362" t="s">
        <v>8</v>
      </c>
      <c r="B2362" t="s">
        <v>6738</v>
      </c>
      <c r="C2362" t="s">
        <v>6739</v>
      </c>
      <c r="D2362">
        <v>1</v>
      </c>
      <c r="E2362" t="s">
        <v>6624</v>
      </c>
      <c r="F2362" t="s">
        <v>6625</v>
      </c>
      <c r="G2362" s="1"/>
      <c r="H2362" t="str">
        <f>"3250613760076"</f>
        <v>3250613760076</v>
      </c>
      <c r="J2362" t="s">
        <v>6740</v>
      </c>
    </row>
    <row r="2363" spans="1:10" x14ac:dyDescent="0.25">
      <c r="A2363" t="s">
        <v>8</v>
      </c>
      <c r="B2363" t="s">
        <v>6741</v>
      </c>
      <c r="C2363" t="s">
        <v>6742</v>
      </c>
      <c r="D2363">
        <v>1</v>
      </c>
      <c r="E2363" t="s">
        <v>6624</v>
      </c>
      <c r="F2363" t="s">
        <v>6625</v>
      </c>
      <c r="G2363" s="1"/>
      <c r="H2363" t="str">
        <f>"3250613890087"</f>
        <v>3250613890087</v>
      </c>
      <c r="J2363" t="s">
        <v>6743</v>
      </c>
    </row>
    <row r="2364" spans="1:10" x14ac:dyDescent="0.25">
      <c r="A2364" t="s">
        <v>8</v>
      </c>
      <c r="B2364" t="s">
        <v>6744</v>
      </c>
      <c r="C2364" t="s">
        <v>6745</v>
      </c>
      <c r="D2364">
        <v>1</v>
      </c>
      <c r="E2364" t="s">
        <v>6624</v>
      </c>
      <c r="F2364" t="s">
        <v>6625</v>
      </c>
      <c r="G2364" s="1"/>
      <c r="H2364" t="str">
        <f>"3250613960049"</f>
        <v>3250613960049</v>
      </c>
      <c r="J2364" t="s">
        <v>6747</v>
      </c>
    </row>
    <row r="2365" spans="1:10" x14ac:dyDescent="0.25">
      <c r="A2365" t="s">
        <v>8</v>
      </c>
      <c r="B2365" t="s">
        <v>6748</v>
      </c>
      <c r="C2365" t="s">
        <v>6749</v>
      </c>
      <c r="D2365">
        <v>1</v>
      </c>
      <c r="E2365" t="s">
        <v>6624</v>
      </c>
      <c r="F2365" t="s">
        <v>6625</v>
      </c>
      <c r="G2365" s="1"/>
      <c r="H2365" t="str">
        <f>"3250613960520"</f>
        <v>3250613960520</v>
      </c>
      <c r="J2365" t="s">
        <v>6750</v>
      </c>
    </row>
    <row r="2366" spans="1:10" x14ac:dyDescent="0.25">
      <c r="A2366" t="s">
        <v>8</v>
      </c>
      <c r="B2366" t="s">
        <v>6751</v>
      </c>
      <c r="C2366" t="s">
        <v>6752</v>
      </c>
      <c r="D2366">
        <v>1</v>
      </c>
      <c r="E2366" t="s">
        <v>6624</v>
      </c>
      <c r="F2366" t="s">
        <v>6625</v>
      </c>
      <c r="G2366" s="1"/>
      <c r="H2366" t="str">
        <f>"3250613960742"</f>
        <v>3250613960742</v>
      </c>
      <c r="J2366" t="s">
        <v>6753</v>
      </c>
    </row>
    <row r="2367" spans="1:10" x14ac:dyDescent="0.25">
      <c r="A2367" t="s">
        <v>8</v>
      </c>
      <c r="B2367" t="s">
        <v>6754</v>
      </c>
      <c r="C2367" t="s">
        <v>6755</v>
      </c>
      <c r="D2367">
        <v>1</v>
      </c>
      <c r="E2367" t="s">
        <v>6624</v>
      </c>
      <c r="F2367" t="s">
        <v>6625</v>
      </c>
      <c r="G2367" s="1"/>
      <c r="H2367" t="str">
        <f>"4010330710988"</f>
        <v>4010330710988</v>
      </c>
      <c r="J2367" t="s">
        <v>6756</v>
      </c>
    </row>
    <row r="2368" spans="1:10" x14ac:dyDescent="0.25">
      <c r="A2368" t="s">
        <v>8</v>
      </c>
      <c r="B2368" t="s">
        <v>6757</v>
      </c>
      <c r="C2368" t="s">
        <v>6758</v>
      </c>
      <c r="D2368">
        <v>1</v>
      </c>
      <c r="E2368" t="s">
        <v>6624</v>
      </c>
      <c r="F2368" t="s">
        <v>6625</v>
      </c>
      <c r="G2368" s="1"/>
      <c r="H2368" t="str">
        <f>"4010330730085"</f>
        <v>4010330730085</v>
      </c>
      <c r="J2368" t="s">
        <v>6759</v>
      </c>
    </row>
    <row r="2369" spans="1:10" x14ac:dyDescent="0.25">
      <c r="A2369" t="s">
        <v>8</v>
      </c>
      <c r="B2369" t="s">
        <v>6760</v>
      </c>
      <c r="C2369" t="s">
        <v>6761</v>
      </c>
      <c r="D2369">
        <v>1</v>
      </c>
      <c r="E2369" t="s">
        <v>6624</v>
      </c>
      <c r="F2369" t="s">
        <v>6625</v>
      </c>
      <c r="G2369" s="1"/>
      <c r="H2369" t="str">
        <f>"3250610711309"</f>
        <v>3250610711309</v>
      </c>
      <c r="J2369" t="s">
        <v>6762</v>
      </c>
    </row>
    <row r="2370" spans="1:10" x14ac:dyDescent="0.25">
      <c r="A2370" t="s">
        <v>8</v>
      </c>
      <c r="B2370" t="s">
        <v>6763</v>
      </c>
      <c r="C2370" t="s">
        <v>6764</v>
      </c>
      <c r="D2370">
        <v>1</v>
      </c>
      <c r="E2370" t="s">
        <v>6624</v>
      </c>
      <c r="F2370" t="s">
        <v>6625</v>
      </c>
      <c r="G2370" s="1"/>
      <c r="H2370" t="str">
        <f>"3250610712252"</f>
        <v>3250610712252</v>
      </c>
      <c r="J2370" t="s">
        <v>6765</v>
      </c>
    </row>
    <row r="2371" spans="1:10" x14ac:dyDescent="0.25">
      <c r="A2371" t="s">
        <v>8</v>
      </c>
      <c r="B2371" t="s">
        <v>6766</v>
      </c>
      <c r="C2371" t="s">
        <v>6767</v>
      </c>
      <c r="D2371">
        <v>1</v>
      </c>
      <c r="E2371" t="s">
        <v>6624</v>
      </c>
      <c r="F2371" t="s">
        <v>6625</v>
      </c>
      <c r="G2371" s="1"/>
      <c r="H2371" t="str">
        <f>"3250613720346"</f>
        <v>3250613720346</v>
      </c>
      <c r="J2371" t="s">
        <v>6768</v>
      </c>
    </row>
    <row r="2372" spans="1:10" x14ac:dyDescent="0.25">
      <c r="A2372" t="s">
        <v>8</v>
      </c>
      <c r="B2372" t="s">
        <v>6769</v>
      </c>
      <c r="C2372" t="s">
        <v>6770</v>
      </c>
      <c r="D2372">
        <v>1</v>
      </c>
      <c r="E2372" t="s">
        <v>6624</v>
      </c>
      <c r="F2372" t="s">
        <v>6625</v>
      </c>
      <c r="G2372" s="1"/>
      <c r="H2372" t="str">
        <f>"3250613720162"</f>
        <v>3250613720162</v>
      </c>
      <c r="J2372" t="s">
        <v>6771</v>
      </c>
    </row>
    <row r="2373" spans="1:10" x14ac:dyDescent="0.25">
      <c r="A2373" t="s">
        <v>8</v>
      </c>
      <c r="B2373" t="s">
        <v>6772</v>
      </c>
      <c r="C2373" t="s">
        <v>6773</v>
      </c>
      <c r="D2373">
        <v>1</v>
      </c>
      <c r="E2373" t="s">
        <v>6624</v>
      </c>
      <c r="F2373" t="s">
        <v>6625</v>
      </c>
      <c r="G2373" s="1"/>
      <c r="H2373" t="str">
        <f>"3250613740429"</f>
        <v>3250613740429</v>
      </c>
      <c r="J2373" t="s">
        <v>6774</v>
      </c>
    </row>
    <row r="2374" spans="1:10" x14ac:dyDescent="0.25">
      <c r="A2374" t="s">
        <v>8</v>
      </c>
      <c r="B2374" t="s">
        <v>6775</v>
      </c>
      <c r="C2374" t="s">
        <v>6776</v>
      </c>
      <c r="D2374">
        <v>1</v>
      </c>
      <c r="E2374" t="s">
        <v>6624</v>
      </c>
      <c r="F2374" t="s">
        <v>6625</v>
      </c>
      <c r="G2374" s="1"/>
      <c r="H2374" t="str">
        <f>"3250613960513"</f>
        <v>3250613960513</v>
      </c>
      <c r="J2374" t="s">
        <v>6750</v>
      </c>
    </row>
    <row r="2375" spans="1:10" x14ac:dyDescent="0.25">
      <c r="A2375" t="s">
        <v>8</v>
      </c>
      <c r="B2375" t="s">
        <v>6777</v>
      </c>
      <c r="C2375" t="s">
        <v>6778</v>
      </c>
      <c r="D2375">
        <v>1</v>
      </c>
      <c r="E2375" t="s">
        <v>6624</v>
      </c>
      <c r="F2375" t="s">
        <v>6625</v>
      </c>
      <c r="G2375" s="1"/>
      <c r="H2375" t="str">
        <f>"4010330710971"</f>
        <v>4010330710971</v>
      </c>
      <c r="J2375" t="s">
        <v>6779</v>
      </c>
    </row>
    <row r="2376" spans="1:10" x14ac:dyDescent="0.25">
      <c r="A2376" t="s">
        <v>8</v>
      </c>
      <c r="B2376" t="s">
        <v>6780</v>
      </c>
      <c r="C2376" t="s">
        <v>6781</v>
      </c>
      <c r="D2376">
        <v>1</v>
      </c>
      <c r="E2376" t="s">
        <v>6624</v>
      </c>
      <c r="F2376" t="s">
        <v>6625</v>
      </c>
      <c r="G2376" s="1"/>
      <c r="H2376" t="str">
        <f>"3250610711972"</f>
        <v>3250610711972</v>
      </c>
      <c r="J2376" t="s">
        <v>6782</v>
      </c>
    </row>
    <row r="2377" spans="1:10" x14ac:dyDescent="0.25">
      <c r="A2377" t="s">
        <v>8</v>
      </c>
      <c r="B2377" t="s">
        <v>6783</v>
      </c>
      <c r="C2377" t="s">
        <v>6784</v>
      </c>
      <c r="D2377">
        <v>1</v>
      </c>
      <c r="E2377" t="s">
        <v>6624</v>
      </c>
      <c r="F2377" t="s">
        <v>6625</v>
      </c>
      <c r="G2377" s="1"/>
      <c r="H2377" t="str">
        <f>"3250610711293"</f>
        <v>3250610711293</v>
      </c>
      <c r="J2377" t="s">
        <v>6785</v>
      </c>
    </row>
    <row r="2378" spans="1:10" x14ac:dyDescent="0.25">
      <c r="A2378" t="s">
        <v>8</v>
      </c>
      <c r="B2378" t="s">
        <v>6786</v>
      </c>
      <c r="C2378" t="s">
        <v>6787</v>
      </c>
      <c r="D2378">
        <v>1</v>
      </c>
      <c r="E2378" t="s">
        <v>6624</v>
      </c>
      <c r="F2378" t="s">
        <v>6625</v>
      </c>
      <c r="G2378" s="1"/>
      <c r="H2378" t="str">
        <f>"3250613720339"</f>
        <v>3250613720339</v>
      </c>
      <c r="J2378" t="s">
        <v>6788</v>
      </c>
    </row>
    <row r="2379" spans="1:10" x14ac:dyDescent="0.25">
      <c r="A2379" t="s">
        <v>8</v>
      </c>
      <c r="B2379" t="s">
        <v>6789</v>
      </c>
      <c r="C2379" t="s">
        <v>6790</v>
      </c>
      <c r="D2379">
        <v>1</v>
      </c>
      <c r="E2379" t="s">
        <v>6624</v>
      </c>
      <c r="F2379" t="s">
        <v>6625</v>
      </c>
      <c r="G2379" s="1"/>
      <c r="H2379" t="str">
        <f>"3250613740481"</f>
        <v>3250613740481</v>
      </c>
      <c r="J2379" t="s">
        <v>6791</v>
      </c>
    </row>
    <row r="2380" spans="1:10" x14ac:dyDescent="0.25">
      <c r="A2380" t="s">
        <v>8</v>
      </c>
      <c r="B2380" t="s">
        <v>6792</v>
      </c>
      <c r="C2380" t="s">
        <v>6793</v>
      </c>
      <c r="D2380">
        <v>1</v>
      </c>
      <c r="E2380" t="s">
        <v>6624</v>
      </c>
      <c r="F2380" t="s">
        <v>6625</v>
      </c>
      <c r="G2380" s="1"/>
      <c r="H2380" t="str">
        <f>"3250613760205"</f>
        <v>3250613760205</v>
      </c>
      <c r="J2380" t="s">
        <v>6795</v>
      </c>
    </row>
    <row r="2381" spans="1:10" x14ac:dyDescent="0.25">
      <c r="A2381" t="s">
        <v>8</v>
      </c>
      <c r="B2381" t="s">
        <v>6796</v>
      </c>
      <c r="C2381" t="s">
        <v>6797</v>
      </c>
      <c r="D2381">
        <v>1</v>
      </c>
      <c r="E2381" t="s">
        <v>6624</v>
      </c>
      <c r="F2381" t="s">
        <v>6625</v>
      </c>
      <c r="G2381" s="1"/>
      <c r="H2381" t="str">
        <f>"3250613960247"</f>
        <v>3250613960247</v>
      </c>
      <c r="J2381" t="s">
        <v>6798</v>
      </c>
    </row>
    <row r="2382" spans="1:10" x14ac:dyDescent="0.25">
      <c r="A2382" t="s">
        <v>8</v>
      </c>
      <c r="B2382" t="s">
        <v>6799</v>
      </c>
      <c r="C2382" t="s">
        <v>6800</v>
      </c>
      <c r="D2382">
        <v>1</v>
      </c>
      <c r="E2382" t="s">
        <v>6624</v>
      </c>
      <c r="F2382" t="s">
        <v>6625</v>
      </c>
      <c r="G2382" s="1"/>
      <c r="H2382" t="str">
        <f>"4010330710964"</f>
        <v>4010330710964</v>
      </c>
      <c r="J2382" t="s">
        <v>6801</v>
      </c>
    </row>
    <row r="2383" spans="1:10" x14ac:dyDescent="0.25">
      <c r="A2383" t="s">
        <v>8</v>
      </c>
      <c r="B2383" t="s">
        <v>6802</v>
      </c>
      <c r="C2383" t="s">
        <v>6803</v>
      </c>
      <c r="D2383">
        <v>1</v>
      </c>
      <c r="E2383" t="s">
        <v>6624</v>
      </c>
      <c r="F2383" t="s">
        <v>6625</v>
      </c>
      <c r="G2383" s="1"/>
      <c r="H2383" t="str">
        <f>"4010330712203"</f>
        <v>4010330712203</v>
      </c>
      <c r="J2383" t="s">
        <v>6804</v>
      </c>
    </row>
    <row r="2384" spans="1:10" x14ac:dyDescent="0.25">
      <c r="A2384" t="s">
        <v>8</v>
      </c>
      <c r="B2384" t="s">
        <v>6805</v>
      </c>
      <c r="C2384" t="s">
        <v>6806</v>
      </c>
      <c r="D2384">
        <v>1</v>
      </c>
      <c r="E2384" t="s">
        <v>6624</v>
      </c>
      <c r="F2384" t="s">
        <v>6625</v>
      </c>
      <c r="G2384" s="1"/>
      <c r="H2384" t="str">
        <f>"3250613720315"</f>
        <v>3250613720315</v>
      </c>
      <c r="J2384" t="s">
        <v>1849</v>
      </c>
    </row>
    <row r="2385" spans="1:10" x14ac:dyDescent="0.25">
      <c r="A2385" t="s">
        <v>8</v>
      </c>
      <c r="B2385" t="s">
        <v>6807</v>
      </c>
      <c r="C2385" t="s">
        <v>6808</v>
      </c>
      <c r="D2385">
        <v>1</v>
      </c>
      <c r="E2385" t="s">
        <v>6624</v>
      </c>
      <c r="F2385" t="s">
        <v>6625</v>
      </c>
      <c r="G2385" s="1"/>
      <c r="H2385" t="str">
        <f>"3250613760199"</f>
        <v>3250613760199</v>
      </c>
      <c r="J2385" t="s">
        <v>6809</v>
      </c>
    </row>
    <row r="2386" spans="1:10" x14ac:dyDescent="0.25">
      <c r="A2386" t="s">
        <v>8</v>
      </c>
      <c r="B2386" t="s">
        <v>6810</v>
      </c>
      <c r="C2386" t="s">
        <v>6811</v>
      </c>
      <c r="D2386">
        <v>1</v>
      </c>
      <c r="E2386" t="s">
        <v>6624</v>
      </c>
      <c r="F2386" t="s">
        <v>6625</v>
      </c>
      <c r="G2386" s="1"/>
      <c r="H2386" t="str">
        <f>"3250613802868"</f>
        <v>3250613802868</v>
      </c>
      <c r="J2386" t="s">
        <v>6812</v>
      </c>
    </row>
    <row r="2387" spans="1:10" x14ac:dyDescent="0.25">
      <c r="A2387" t="s">
        <v>8</v>
      </c>
      <c r="B2387" t="s">
        <v>6813</v>
      </c>
      <c r="C2387" t="s">
        <v>6814</v>
      </c>
      <c r="D2387">
        <v>1</v>
      </c>
      <c r="E2387" t="s">
        <v>6624</v>
      </c>
      <c r="F2387" t="s">
        <v>6625</v>
      </c>
      <c r="G2387" s="1"/>
      <c r="H2387" t="str">
        <f>"4010330711213"</f>
        <v>4010330711213</v>
      </c>
      <c r="J2387" t="s">
        <v>1745</v>
      </c>
    </row>
    <row r="2388" spans="1:10" x14ac:dyDescent="0.25">
      <c r="A2388" t="s">
        <v>8</v>
      </c>
      <c r="B2388" t="s">
        <v>6815</v>
      </c>
      <c r="C2388" t="s">
        <v>6816</v>
      </c>
      <c r="D2388">
        <v>1</v>
      </c>
      <c r="E2388" t="s">
        <v>6624</v>
      </c>
      <c r="F2388" t="s">
        <v>6625</v>
      </c>
      <c r="G2388" s="1"/>
      <c r="H2388" t="str">
        <f>"4010330712166"</f>
        <v>4010330712166</v>
      </c>
      <c r="J2388" t="s">
        <v>6817</v>
      </c>
    </row>
    <row r="2389" spans="1:10" x14ac:dyDescent="0.25">
      <c r="A2389" t="s">
        <v>8</v>
      </c>
      <c r="B2389" t="s">
        <v>6818</v>
      </c>
      <c r="C2389" t="s">
        <v>6819</v>
      </c>
      <c r="D2389">
        <v>1</v>
      </c>
      <c r="E2389" t="s">
        <v>6624</v>
      </c>
      <c r="F2389" t="s">
        <v>6625</v>
      </c>
      <c r="G2389" s="1"/>
      <c r="H2389" t="str">
        <f>"4010330712197"</f>
        <v>4010330712197</v>
      </c>
      <c r="J2389" t="s">
        <v>6820</v>
      </c>
    </row>
    <row r="2390" spans="1:10" x14ac:dyDescent="0.25">
      <c r="A2390" t="s">
        <v>8</v>
      </c>
      <c r="B2390" t="s">
        <v>6821</v>
      </c>
      <c r="C2390" t="s">
        <v>6822</v>
      </c>
      <c r="D2390">
        <v>1</v>
      </c>
      <c r="E2390" t="s">
        <v>6624</v>
      </c>
      <c r="F2390" t="s">
        <v>6625</v>
      </c>
      <c r="G2390" s="1"/>
      <c r="H2390" t="str">
        <f>"3250610712306"</f>
        <v>3250610712306</v>
      </c>
      <c r="J2390" t="s">
        <v>6728</v>
      </c>
    </row>
    <row r="2391" spans="1:10" x14ac:dyDescent="0.25">
      <c r="A2391" t="s">
        <v>8</v>
      </c>
      <c r="B2391" t="s">
        <v>6823</v>
      </c>
      <c r="C2391" t="s">
        <v>6824</v>
      </c>
      <c r="D2391">
        <v>1</v>
      </c>
      <c r="E2391" t="s">
        <v>6624</v>
      </c>
      <c r="F2391" t="s">
        <v>6625</v>
      </c>
      <c r="G2391" s="1"/>
      <c r="H2391" t="str">
        <f>"3250613720803"</f>
        <v>3250613720803</v>
      </c>
      <c r="J2391" t="s">
        <v>6825</v>
      </c>
    </row>
    <row r="2392" spans="1:10" x14ac:dyDescent="0.25">
      <c r="A2392" t="s">
        <v>8</v>
      </c>
      <c r="B2392" t="s">
        <v>6826</v>
      </c>
      <c r="C2392" t="s">
        <v>6827</v>
      </c>
      <c r="D2392">
        <v>1</v>
      </c>
      <c r="E2392" t="s">
        <v>6624</v>
      </c>
      <c r="F2392" t="s">
        <v>6625</v>
      </c>
      <c r="G2392" s="1"/>
      <c r="H2392" t="str">
        <f>"3250613740979"</f>
        <v>3250613740979</v>
      </c>
      <c r="J2392" t="s">
        <v>6828</v>
      </c>
    </row>
    <row r="2393" spans="1:10" x14ac:dyDescent="0.25">
      <c r="A2393" t="s">
        <v>8</v>
      </c>
      <c r="B2393" t="s">
        <v>6829</v>
      </c>
      <c r="C2393" t="s">
        <v>6830</v>
      </c>
      <c r="D2393">
        <v>1</v>
      </c>
      <c r="E2393" t="s">
        <v>6624</v>
      </c>
      <c r="F2393" t="s">
        <v>6625</v>
      </c>
      <c r="G2393" s="1"/>
      <c r="H2393" t="str">
        <f>"3250613880347"</f>
        <v>3250613880347</v>
      </c>
      <c r="J2393" t="s">
        <v>6831</v>
      </c>
    </row>
    <row r="2394" spans="1:10" x14ac:dyDescent="0.25">
      <c r="A2394" t="s">
        <v>8</v>
      </c>
      <c r="B2394" t="s">
        <v>6832</v>
      </c>
      <c r="C2394" t="s">
        <v>6833</v>
      </c>
      <c r="D2394">
        <v>1</v>
      </c>
      <c r="E2394" t="s">
        <v>6624</v>
      </c>
      <c r="F2394" t="s">
        <v>6625</v>
      </c>
      <c r="G2394" s="1"/>
      <c r="H2394" t="str">
        <f>"3250613960025"</f>
        <v>3250613960025</v>
      </c>
      <c r="J2394" t="s">
        <v>6834</v>
      </c>
    </row>
    <row r="2395" spans="1:10" x14ac:dyDescent="0.25">
      <c r="A2395" t="s">
        <v>8</v>
      </c>
      <c r="B2395" t="s">
        <v>6835</v>
      </c>
      <c r="C2395" t="s">
        <v>6836</v>
      </c>
      <c r="D2395">
        <v>1</v>
      </c>
      <c r="E2395" t="s">
        <v>6624</v>
      </c>
      <c r="F2395" t="s">
        <v>6625</v>
      </c>
      <c r="G2395" s="1"/>
      <c r="H2395" t="str">
        <f>"3250613961756"</f>
        <v>3250613961756</v>
      </c>
      <c r="J2395" t="s">
        <v>6837</v>
      </c>
    </row>
    <row r="2396" spans="1:10" x14ac:dyDescent="0.25">
      <c r="A2396" t="s">
        <v>8</v>
      </c>
      <c r="B2396" t="s">
        <v>6838</v>
      </c>
      <c r="C2396" t="s">
        <v>6839</v>
      </c>
      <c r="D2396">
        <v>1</v>
      </c>
      <c r="E2396" t="s">
        <v>6624</v>
      </c>
      <c r="F2396" t="s">
        <v>6625</v>
      </c>
      <c r="G2396" s="1"/>
      <c r="H2396" t="str">
        <f>"4010330712241"</f>
        <v>4010330712241</v>
      </c>
      <c r="J2396" t="s">
        <v>6840</v>
      </c>
    </row>
    <row r="2397" spans="1:10" x14ac:dyDescent="0.25">
      <c r="A2397" t="s">
        <v>8</v>
      </c>
      <c r="B2397" t="s">
        <v>6841</v>
      </c>
      <c r="C2397" t="s">
        <v>6842</v>
      </c>
      <c r="D2397">
        <v>1</v>
      </c>
      <c r="E2397" t="s">
        <v>6624</v>
      </c>
      <c r="F2397" t="s">
        <v>6625</v>
      </c>
      <c r="G2397" s="1"/>
      <c r="H2397" t="str">
        <f>"4010330712159"</f>
        <v>4010330712159</v>
      </c>
      <c r="J2397" t="s">
        <v>6843</v>
      </c>
    </row>
    <row r="2398" spans="1:10" x14ac:dyDescent="0.25">
      <c r="A2398" t="s">
        <v>8</v>
      </c>
      <c r="B2398" t="s">
        <v>6844</v>
      </c>
      <c r="C2398" t="s">
        <v>6845</v>
      </c>
      <c r="D2398">
        <v>1</v>
      </c>
      <c r="E2398" t="s">
        <v>6624</v>
      </c>
      <c r="F2398" t="s">
        <v>6625</v>
      </c>
      <c r="G2398" s="1"/>
      <c r="H2398" t="str">
        <f>"3250610712290"</f>
        <v>3250610712290</v>
      </c>
      <c r="J2398" t="s">
        <v>6846</v>
      </c>
    </row>
    <row r="2399" spans="1:10" x14ac:dyDescent="0.25">
      <c r="A2399" t="s">
        <v>8</v>
      </c>
      <c r="B2399" t="s">
        <v>6847</v>
      </c>
      <c r="C2399" t="s">
        <v>6848</v>
      </c>
      <c r="D2399">
        <v>1</v>
      </c>
      <c r="E2399" t="s">
        <v>6624</v>
      </c>
      <c r="F2399" t="s">
        <v>6625</v>
      </c>
      <c r="G2399" s="1"/>
      <c r="H2399" t="str">
        <f>"3250613720155"</f>
        <v>3250613720155</v>
      </c>
      <c r="J2399" t="s">
        <v>6849</v>
      </c>
    </row>
    <row r="2400" spans="1:10" x14ac:dyDescent="0.25">
      <c r="A2400" t="s">
        <v>8</v>
      </c>
      <c r="B2400" t="s">
        <v>6850</v>
      </c>
      <c r="C2400" t="s">
        <v>6851</v>
      </c>
      <c r="D2400">
        <v>1</v>
      </c>
      <c r="E2400" t="s">
        <v>6624</v>
      </c>
      <c r="F2400" t="s">
        <v>6625</v>
      </c>
      <c r="G2400" s="1"/>
      <c r="H2400" t="str">
        <f>"3250613720797"</f>
        <v>3250613720797</v>
      </c>
      <c r="J2400" t="s">
        <v>6852</v>
      </c>
    </row>
    <row r="2401" spans="1:10" x14ac:dyDescent="0.25">
      <c r="A2401" t="s">
        <v>8</v>
      </c>
      <c r="B2401" t="s">
        <v>6853</v>
      </c>
      <c r="C2401" t="s">
        <v>6854</v>
      </c>
      <c r="D2401">
        <v>1</v>
      </c>
      <c r="E2401" t="s">
        <v>6624</v>
      </c>
      <c r="F2401" t="s">
        <v>6625</v>
      </c>
      <c r="G2401" s="1"/>
      <c r="H2401" t="str">
        <f>"3250613740962"</f>
        <v>3250613740962</v>
      </c>
      <c r="J2401" t="s">
        <v>6855</v>
      </c>
    </row>
    <row r="2402" spans="1:10" x14ac:dyDescent="0.25">
      <c r="A2402" t="s">
        <v>8</v>
      </c>
      <c r="B2402" t="s">
        <v>6856</v>
      </c>
      <c r="C2402" t="s">
        <v>6857</v>
      </c>
      <c r="D2402">
        <v>1</v>
      </c>
      <c r="E2402" t="s">
        <v>6624</v>
      </c>
      <c r="F2402" t="s">
        <v>6625</v>
      </c>
      <c r="G2402" s="1"/>
      <c r="H2402" t="str">
        <f>"3250613849108"</f>
        <v>3250613849108</v>
      </c>
      <c r="J2402" t="s">
        <v>6859</v>
      </c>
    </row>
    <row r="2403" spans="1:10" x14ac:dyDescent="0.25">
      <c r="A2403" t="s">
        <v>8</v>
      </c>
      <c r="B2403" t="s">
        <v>6860</v>
      </c>
      <c r="C2403" t="s">
        <v>6861</v>
      </c>
      <c r="D2403">
        <v>1</v>
      </c>
      <c r="E2403" t="s">
        <v>6624</v>
      </c>
      <c r="F2403" t="s">
        <v>6625</v>
      </c>
      <c r="G2403" s="1"/>
      <c r="H2403" t="str">
        <f>"3250613880354"</f>
        <v>3250613880354</v>
      </c>
      <c r="J2403" t="s">
        <v>6862</v>
      </c>
    </row>
    <row r="2404" spans="1:10" x14ac:dyDescent="0.25">
      <c r="A2404" t="s">
        <v>8</v>
      </c>
      <c r="B2404" t="s">
        <v>6863</v>
      </c>
      <c r="C2404" t="s">
        <v>6864</v>
      </c>
      <c r="D2404">
        <v>1</v>
      </c>
      <c r="E2404" t="s">
        <v>6624</v>
      </c>
      <c r="F2404" t="s">
        <v>6625</v>
      </c>
      <c r="G2404" s="1"/>
      <c r="H2404" t="str">
        <f>"3250613960018"</f>
        <v>3250613960018</v>
      </c>
      <c r="J2404" t="s">
        <v>6865</v>
      </c>
    </row>
    <row r="2405" spans="1:10" x14ac:dyDescent="0.25">
      <c r="A2405" t="s">
        <v>8</v>
      </c>
      <c r="B2405" t="s">
        <v>6866</v>
      </c>
      <c r="C2405" t="s">
        <v>6867</v>
      </c>
      <c r="D2405">
        <v>1</v>
      </c>
      <c r="E2405" t="s">
        <v>6624</v>
      </c>
      <c r="F2405" t="s">
        <v>6625</v>
      </c>
      <c r="G2405" s="1"/>
      <c r="H2405" t="str">
        <f>"3250613960070"</f>
        <v>3250613960070</v>
      </c>
      <c r="J2405" t="s">
        <v>6868</v>
      </c>
    </row>
    <row r="2406" spans="1:10" x14ac:dyDescent="0.25">
      <c r="A2406" t="s">
        <v>8</v>
      </c>
      <c r="B2406" t="s">
        <v>6869</v>
      </c>
      <c r="C2406" t="s">
        <v>6870</v>
      </c>
      <c r="D2406">
        <v>1</v>
      </c>
      <c r="E2406" t="s">
        <v>6624</v>
      </c>
      <c r="F2406" t="s">
        <v>6625</v>
      </c>
      <c r="G2406" s="1"/>
      <c r="H2406" t="str">
        <f>"4010330711015"</f>
        <v>4010330711015</v>
      </c>
      <c r="J2406" t="s">
        <v>6871</v>
      </c>
    </row>
    <row r="2407" spans="1:10" x14ac:dyDescent="0.25">
      <c r="A2407" t="s">
        <v>8</v>
      </c>
      <c r="B2407" t="s">
        <v>6872</v>
      </c>
      <c r="C2407" t="s">
        <v>6873</v>
      </c>
      <c r="D2407">
        <v>1</v>
      </c>
      <c r="E2407" t="s">
        <v>6624</v>
      </c>
      <c r="F2407" t="s">
        <v>6625</v>
      </c>
      <c r="G2407" s="1"/>
      <c r="H2407" t="str">
        <f>"3250610711286"</f>
        <v>3250610711286</v>
      </c>
      <c r="J2407" t="s">
        <v>6874</v>
      </c>
    </row>
    <row r="2408" spans="1:10" x14ac:dyDescent="0.25">
      <c r="A2408" t="s">
        <v>8</v>
      </c>
      <c r="B2408" t="s">
        <v>6875</v>
      </c>
      <c r="C2408" t="s">
        <v>6876</v>
      </c>
      <c r="D2408">
        <v>1</v>
      </c>
      <c r="E2408" t="s">
        <v>6624</v>
      </c>
      <c r="F2408" t="s">
        <v>6625</v>
      </c>
      <c r="G2408" s="1"/>
      <c r="H2408" t="str">
        <f>"4010330712142"</f>
        <v>4010330712142</v>
      </c>
      <c r="J2408" t="s">
        <v>6878</v>
      </c>
    </row>
    <row r="2409" spans="1:10" x14ac:dyDescent="0.25">
      <c r="A2409" t="s">
        <v>8</v>
      </c>
      <c r="B2409" t="s">
        <v>6879</v>
      </c>
      <c r="C2409" t="s">
        <v>6880</v>
      </c>
      <c r="D2409">
        <v>1</v>
      </c>
      <c r="E2409" t="s">
        <v>6624</v>
      </c>
      <c r="F2409" t="s">
        <v>6625</v>
      </c>
      <c r="G2409" s="1"/>
      <c r="H2409" t="str">
        <f>"3250610712283"</f>
        <v>3250610712283</v>
      </c>
      <c r="J2409" t="s">
        <v>6728</v>
      </c>
    </row>
    <row r="2410" spans="1:10" x14ac:dyDescent="0.25">
      <c r="A2410" t="s">
        <v>8</v>
      </c>
      <c r="B2410" t="s">
        <v>6881</v>
      </c>
      <c r="C2410" t="s">
        <v>6882</v>
      </c>
      <c r="D2410">
        <v>1</v>
      </c>
      <c r="E2410" t="s">
        <v>6624</v>
      </c>
      <c r="F2410" t="s">
        <v>6625</v>
      </c>
      <c r="G2410" s="1"/>
      <c r="H2410" t="str">
        <f>"3250613720131"</f>
        <v>3250613720131</v>
      </c>
      <c r="J2410" t="s">
        <v>6883</v>
      </c>
    </row>
    <row r="2411" spans="1:10" x14ac:dyDescent="0.25">
      <c r="A2411" t="s">
        <v>8</v>
      </c>
      <c r="B2411" t="s">
        <v>6884</v>
      </c>
      <c r="C2411" t="s">
        <v>6885</v>
      </c>
      <c r="D2411">
        <v>1</v>
      </c>
      <c r="E2411" t="s">
        <v>6624</v>
      </c>
      <c r="F2411" t="s">
        <v>6625</v>
      </c>
      <c r="G2411" s="1"/>
      <c r="H2411" t="str">
        <f>"3250613740955"</f>
        <v>3250613740955</v>
      </c>
      <c r="J2411" t="s">
        <v>6886</v>
      </c>
    </row>
    <row r="2412" spans="1:10" x14ac:dyDescent="0.25">
      <c r="A2412" t="s">
        <v>8</v>
      </c>
      <c r="B2412" t="s">
        <v>6887</v>
      </c>
      <c r="C2412" t="s">
        <v>6888</v>
      </c>
      <c r="D2412">
        <v>1</v>
      </c>
      <c r="E2412" t="s">
        <v>6624</v>
      </c>
      <c r="F2412" t="s">
        <v>6625</v>
      </c>
      <c r="G2412" s="1"/>
      <c r="H2412" t="str">
        <f>"3250613800246"</f>
        <v>3250613800246</v>
      </c>
      <c r="J2412" t="s">
        <v>6889</v>
      </c>
    </row>
    <row r="2413" spans="1:10" x14ac:dyDescent="0.25">
      <c r="A2413" t="s">
        <v>8</v>
      </c>
      <c r="B2413" t="s">
        <v>6890</v>
      </c>
      <c r="C2413" t="s">
        <v>6891</v>
      </c>
      <c r="D2413">
        <v>1</v>
      </c>
      <c r="E2413" t="s">
        <v>6624</v>
      </c>
      <c r="F2413" t="s">
        <v>6625</v>
      </c>
      <c r="G2413" s="1"/>
      <c r="H2413" t="str">
        <f>"3250613849009"</f>
        <v>3250613849009</v>
      </c>
      <c r="J2413" t="s">
        <v>6892</v>
      </c>
    </row>
    <row r="2414" spans="1:10" x14ac:dyDescent="0.25">
      <c r="A2414" t="s">
        <v>8</v>
      </c>
      <c r="B2414" t="s">
        <v>6893</v>
      </c>
      <c r="C2414" t="s">
        <v>6894</v>
      </c>
      <c r="D2414">
        <v>1</v>
      </c>
      <c r="E2414" t="s">
        <v>6624</v>
      </c>
      <c r="F2414" t="s">
        <v>6625</v>
      </c>
      <c r="G2414" s="1"/>
      <c r="H2414" t="str">
        <f>"3250613960766"</f>
        <v>3250613960766</v>
      </c>
      <c r="J2414" t="s">
        <v>6798</v>
      </c>
    </row>
    <row r="2415" spans="1:10" x14ac:dyDescent="0.25">
      <c r="A2415" t="s">
        <v>8</v>
      </c>
      <c r="B2415" t="s">
        <v>6895</v>
      </c>
      <c r="C2415" t="s">
        <v>6896</v>
      </c>
      <c r="D2415">
        <v>1</v>
      </c>
      <c r="E2415" t="s">
        <v>6624</v>
      </c>
      <c r="F2415" t="s">
        <v>6625</v>
      </c>
      <c r="G2415" s="1"/>
      <c r="H2415" t="str">
        <f>"3250613960933"</f>
        <v>3250613960933</v>
      </c>
      <c r="J2415" t="s">
        <v>6897</v>
      </c>
    </row>
    <row r="2416" spans="1:10" x14ac:dyDescent="0.25">
      <c r="A2416" t="s">
        <v>8</v>
      </c>
      <c r="B2416" t="s">
        <v>6898</v>
      </c>
      <c r="C2416" t="s">
        <v>6899</v>
      </c>
      <c r="D2416">
        <v>1</v>
      </c>
      <c r="E2416" t="s">
        <v>6624</v>
      </c>
      <c r="F2416" t="s">
        <v>6625</v>
      </c>
      <c r="G2416" s="1"/>
      <c r="H2416" t="str">
        <f>"4010330700309"</f>
        <v>4010330700309</v>
      </c>
      <c r="J2416" t="s">
        <v>6900</v>
      </c>
    </row>
    <row r="2417" spans="1:10" x14ac:dyDescent="0.25">
      <c r="A2417" t="s">
        <v>8</v>
      </c>
      <c r="B2417" t="s">
        <v>6901</v>
      </c>
      <c r="C2417" t="s">
        <v>6902</v>
      </c>
      <c r="D2417">
        <v>1</v>
      </c>
      <c r="E2417" t="s">
        <v>6624</v>
      </c>
      <c r="F2417" t="s">
        <v>6625</v>
      </c>
      <c r="G2417" s="1"/>
      <c r="H2417" t="str">
        <f>"3250613931209"</f>
        <v>3250613931209</v>
      </c>
      <c r="J2417" t="s">
        <v>6903</v>
      </c>
    </row>
    <row r="2418" spans="1:10" x14ac:dyDescent="0.25">
      <c r="A2418" t="s">
        <v>8</v>
      </c>
      <c r="B2418" t="s">
        <v>6904</v>
      </c>
      <c r="C2418" t="s">
        <v>6905</v>
      </c>
      <c r="D2418">
        <v>1</v>
      </c>
      <c r="E2418" t="s">
        <v>6624</v>
      </c>
      <c r="F2418" t="s">
        <v>6625</v>
      </c>
      <c r="G2418" s="1"/>
      <c r="H2418" t="str">
        <f>"3250613941710"</f>
        <v>3250613941710</v>
      </c>
      <c r="J2418" t="s">
        <v>6906</v>
      </c>
    </row>
    <row r="2419" spans="1:10" x14ac:dyDescent="0.25">
      <c r="A2419" t="s">
        <v>8</v>
      </c>
      <c r="B2419" t="s">
        <v>6907</v>
      </c>
      <c r="C2419" t="s">
        <v>6908</v>
      </c>
      <c r="D2419">
        <v>1</v>
      </c>
      <c r="E2419" t="s">
        <v>6624</v>
      </c>
      <c r="F2419" t="s">
        <v>6625</v>
      </c>
      <c r="G2419" s="1"/>
      <c r="H2419" t="str">
        <f>"3250613720872"</f>
        <v>3250613720872</v>
      </c>
      <c r="J2419" t="s">
        <v>6909</v>
      </c>
    </row>
    <row r="2420" spans="1:10" x14ac:dyDescent="0.25">
      <c r="A2420" t="s">
        <v>8</v>
      </c>
      <c r="B2420" t="s">
        <v>6910</v>
      </c>
      <c r="C2420" t="s">
        <v>6911</v>
      </c>
      <c r="D2420">
        <v>1</v>
      </c>
      <c r="E2420" t="s">
        <v>6624</v>
      </c>
      <c r="F2420" t="s">
        <v>6625</v>
      </c>
      <c r="G2420" s="1"/>
      <c r="H2420" t="str">
        <f>"3250613720865"</f>
        <v>3250613720865</v>
      </c>
      <c r="J2420" t="s">
        <v>6912</v>
      </c>
    </row>
    <row r="2421" spans="1:10" x14ac:dyDescent="0.25">
      <c r="A2421" t="s">
        <v>8</v>
      </c>
      <c r="B2421" t="s">
        <v>6913</v>
      </c>
      <c r="C2421" t="s">
        <v>6914</v>
      </c>
      <c r="D2421">
        <v>1</v>
      </c>
      <c r="E2421" t="s">
        <v>6624</v>
      </c>
      <c r="F2421" t="s">
        <v>6625</v>
      </c>
      <c r="G2421" s="1"/>
      <c r="H2421" t="str">
        <f>"3250613760090"</f>
        <v>3250613760090</v>
      </c>
      <c r="J2421" t="s">
        <v>6916</v>
      </c>
    </row>
    <row r="2422" spans="1:10" x14ac:dyDescent="0.25">
      <c r="A2422" t="s">
        <v>8</v>
      </c>
      <c r="B2422" t="s">
        <v>6917</v>
      </c>
      <c r="C2422" t="s">
        <v>6918</v>
      </c>
      <c r="D2422">
        <v>1</v>
      </c>
      <c r="E2422" t="s">
        <v>6624</v>
      </c>
      <c r="F2422" t="s">
        <v>6625</v>
      </c>
      <c r="G2422" s="1"/>
      <c r="H2422" t="str">
        <f>"3250613931254"</f>
        <v>3250613931254</v>
      </c>
      <c r="J2422" t="s">
        <v>6919</v>
      </c>
    </row>
    <row r="2423" spans="1:10" x14ac:dyDescent="0.25">
      <c r="A2423" t="s">
        <v>8</v>
      </c>
      <c r="B2423" t="s">
        <v>6920</v>
      </c>
      <c r="C2423" t="s">
        <v>6921</v>
      </c>
      <c r="D2423">
        <v>1</v>
      </c>
      <c r="E2423" t="s">
        <v>6624</v>
      </c>
      <c r="F2423" t="s">
        <v>6625</v>
      </c>
      <c r="G2423" s="1"/>
      <c r="H2423" t="str">
        <f>"3250613941895"</f>
        <v>3250613941895</v>
      </c>
      <c r="J2423" t="s">
        <v>6922</v>
      </c>
    </row>
    <row r="2424" spans="1:10" x14ac:dyDescent="0.25">
      <c r="A2424" t="s">
        <v>8</v>
      </c>
      <c r="B2424" t="s">
        <v>6923</v>
      </c>
      <c r="C2424" t="s">
        <v>6924</v>
      </c>
      <c r="D2424">
        <v>1</v>
      </c>
      <c r="E2424" t="s">
        <v>6624</v>
      </c>
      <c r="F2424" t="s">
        <v>6625</v>
      </c>
      <c r="G2424" s="1"/>
      <c r="H2424" t="str">
        <f>"3250613931223"</f>
        <v>3250613931223</v>
      </c>
      <c r="J2424" t="s">
        <v>6925</v>
      </c>
    </row>
    <row r="2425" spans="1:10" x14ac:dyDescent="0.25">
      <c r="A2425" t="s">
        <v>8</v>
      </c>
      <c r="B2425" t="s">
        <v>6926</v>
      </c>
      <c r="C2425" t="s">
        <v>6927</v>
      </c>
      <c r="D2425">
        <v>1</v>
      </c>
      <c r="E2425" t="s">
        <v>6624</v>
      </c>
      <c r="F2425" t="s">
        <v>6625</v>
      </c>
      <c r="G2425" s="1"/>
      <c r="H2425" t="str">
        <f>"3250613941826"</f>
        <v>3250613941826</v>
      </c>
      <c r="J2425" t="s">
        <v>6928</v>
      </c>
    </row>
    <row r="2426" spans="1:10" x14ac:dyDescent="0.25">
      <c r="A2426" t="s">
        <v>8</v>
      </c>
      <c r="B2426" t="s">
        <v>6929</v>
      </c>
      <c r="C2426" t="s">
        <v>6930</v>
      </c>
      <c r="D2426">
        <v>1</v>
      </c>
      <c r="E2426" t="s">
        <v>6624</v>
      </c>
      <c r="F2426" t="s">
        <v>6625</v>
      </c>
      <c r="G2426" s="1"/>
      <c r="H2426" t="str">
        <f>"3250613931216"</f>
        <v>3250613931216</v>
      </c>
      <c r="J2426" t="s">
        <v>6931</v>
      </c>
    </row>
    <row r="2427" spans="1:10" x14ac:dyDescent="0.25">
      <c r="A2427" t="s">
        <v>8</v>
      </c>
      <c r="B2427" t="s">
        <v>6932</v>
      </c>
      <c r="C2427" t="s">
        <v>6933</v>
      </c>
      <c r="D2427">
        <v>1</v>
      </c>
      <c r="E2427" t="s">
        <v>6624</v>
      </c>
      <c r="F2427" t="s">
        <v>6625</v>
      </c>
      <c r="G2427" s="1"/>
      <c r="H2427" t="str">
        <f>"3250613941796"</f>
        <v>3250613941796</v>
      </c>
      <c r="J2427" t="s">
        <v>6934</v>
      </c>
    </row>
    <row r="2428" spans="1:10" x14ac:dyDescent="0.25">
      <c r="A2428" t="s">
        <v>8</v>
      </c>
      <c r="B2428" t="s">
        <v>6935</v>
      </c>
      <c r="C2428" t="s">
        <v>6936</v>
      </c>
      <c r="D2428">
        <v>1</v>
      </c>
      <c r="E2428" t="s">
        <v>6624</v>
      </c>
      <c r="F2428" t="s">
        <v>6625</v>
      </c>
      <c r="G2428" s="1"/>
      <c r="H2428" t="str">
        <f>"3250613931360"</f>
        <v>3250613931360</v>
      </c>
      <c r="J2428" t="s">
        <v>6937</v>
      </c>
    </row>
    <row r="2429" spans="1:10" x14ac:dyDescent="0.25">
      <c r="A2429" t="s">
        <v>8</v>
      </c>
      <c r="B2429" t="s">
        <v>6938</v>
      </c>
      <c r="C2429" t="s">
        <v>6939</v>
      </c>
      <c r="D2429">
        <v>1</v>
      </c>
      <c r="E2429" t="s">
        <v>6624</v>
      </c>
      <c r="F2429" t="s">
        <v>6625</v>
      </c>
      <c r="G2429" s="1"/>
      <c r="H2429" t="str">
        <f>"3250613941949"</f>
        <v>3250613941949</v>
      </c>
      <c r="J2429" t="s">
        <v>6940</v>
      </c>
    </row>
    <row r="2430" spans="1:10" x14ac:dyDescent="0.25">
      <c r="A2430" t="s">
        <v>8</v>
      </c>
      <c r="B2430" t="s">
        <v>6941</v>
      </c>
      <c r="C2430" t="s">
        <v>6942</v>
      </c>
      <c r="D2430">
        <v>1</v>
      </c>
      <c r="E2430" t="s">
        <v>6624</v>
      </c>
      <c r="F2430" t="s">
        <v>6625</v>
      </c>
      <c r="G2430" s="1"/>
      <c r="H2430" t="str">
        <f>"3250613931339"</f>
        <v>3250613931339</v>
      </c>
      <c r="J2430" t="s">
        <v>6943</v>
      </c>
    </row>
    <row r="2431" spans="1:10" x14ac:dyDescent="0.25">
      <c r="A2431" t="s">
        <v>8</v>
      </c>
      <c r="B2431" t="s">
        <v>6944</v>
      </c>
      <c r="C2431" t="s">
        <v>6945</v>
      </c>
      <c r="D2431">
        <v>1</v>
      </c>
      <c r="E2431" t="s">
        <v>6624</v>
      </c>
      <c r="F2431" t="s">
        <v>6625</v>
      </c>
      <c r="G2431" s="1"/>
      <c r="H2431" t="str">
        <f>"3250613931353"</f>
        <v>3250613931353</v>
      </c>
      <c r="J2431" t="s">
        <v>6946</v>
      </c>
    </row>
    <row r="2432" spans="1:10" x14ac:dyDescent="0.25">
      <c r="A2432" t="s">
        <v>8</v>
      </c>
      <c r="B2432" t="s">
        <v>6947</v>
      </c>
      <c r="C2432" t="s">
        <v>6948</v>
      </c>
      <c r="D2432">
        <v>1</v>
      </c>
      <c r="E2432" t="s">
        <v>6624</v>
      </c>
      <c r="F2432" t="s">
        <v>6625</v>
      </c>
      <c r="G2432" s="1"/>
      <c r="H2432" t="str">
        <f>"3250613941918"</f>
        <v>3250613941918</v>
      </c>
      <c r="J2432" t="s">
        <v>6950</v>
      </c>
    </row>
    <row r="2433" spans="1:10" x14ac:dyDescent="0.25">
      <c r="A2433" t="s">
        <v>8</v>
      </c>
      <c r="B2433" t="s">
        <v>6951</v>
      </c>
      <c r="C2433" t="s">
        <v>6952</v>
      </c>
      <c r="D2433">
        <v>1</v>
      </c>
      <c r="E2433" t="s">
        <v>6624</v>
      </c>
      <c r="F2433" t="s">
        <v>6625</v>
      </c>
      <c r="G2433" s="1"/>
      <c r="H2433" t="str">
        <f>"3250613941987"</f>
        <v>3250613941987</v>
      </c>
      <c r="J2433" t="s">
        <v>6953</v>
      </c>
    </row>
    <row r="2434" spans="1:10" x14ac:dyDescent="0.25">
      <c r="A2434" t="s">
        <v>8</v>
      </c>
      <c r="B2434" t="s">
        <v>6954</v>
      </c>
      <c r="C2434" t="s">
        <v>6955</v>
      </c>
      <c r="D2434">
        <v>1</v>
      </c>
      <c r="E2434" t="s">
        <v>6624</v>
      </c>
      <c r="F2434" t="s">
        <v>6625</v>
      </c>
      <c r="G2434" s="1"/>
      <c r="H2434" t="str">
        <f>"3250613931322"</f>
        <v>3250613931322</v>
      </c>
      <c r="J2434" t="s">
        <v>6956</v>
      </c>
    </row>
    <row r="2435" spans="1:10" x14ac:dyDescent="0.25">
      <c r="A2435" t="s">
        <v>8</v>
      </c>
      <c r="B2435" t="s">
        <v>6957</v>
      </c>
      <c r="C2435" t="s">
        <v>6958</v>
      </c>
      <c r="D2435">
        <v>1</v>
      </c>
      <c r="E2435" t="s">
        <v>6624</v>
      </c>
      <c r="F2435" t="s">
        <v>6625</v>
      </c>
      <c r="G2435" s="1"/>
      <c r="H2435" t="str">
        <f>"3250613941932"</f>
        <v>3250613941932</v>
      </c>
      <c r="J2435" t="s">
        <v>6959</v>
      </c>
    </row>
    <row r="2436" spans="1:10" x14ac:dyDescent="0.25">
      <c r="A2436" t="s">
        <v>8</v>
      </c>
      <c r="B2436" t="s">
        <v>6960</v>
      </c>
      <c r="C2436" t="s">
        <v>6961</v>
      </c>
      <c r="D2436">
        <v>1</v>
      </c>
      <c r="E2436" t="s">
        <v>6624</v>
      </c>
      <c r="F2436" t="s">
        <v>6625</v>
      </c>
      <c r="G2436" s="1"/>
      <c r="H2436" t="str">
        <f>"3250613941772"</f>
        <v>3250613941772</v>
      </c>
      <c r="J2436" t="s">
        <v>6962</v>
      </c>
    </row>
    <row r="2437" spans="1:10" x14ac:dyDescent="0.25">
      <c r="A2437" t="s">
        <v>8</v>
      </c>
      <c r="B2437" t="s">
        <v>6963</v>
      </c>
      <c r="C2437" t="s">
        <v>6964</v>
      </c>
      <c r="D2437">
        <v>1</v>
      </c>
      <c r="E2437" t="s">
        <v>6624</v>
      </c>
      <c r="F2437" t="s">
        <v>6625</v>
      </c>
      <c r="G2437" s="1"/>
      <c r="H2437" t="str">
        <f>"3250613941901"</f>
        <v>3250613941901</v>
      </c>
      <c r="J2437" t="s">
        <v>6965</v>
      </c>
    </row>
    <row r="2438" spans="1:10" x14ac:dyDescent="0.25">
      <c r="A2438" t="s">
        <v>8</v>
      </c>
      <c r="B2438" t="s">
        <v>6966</v>
      </c>
      <c r="C2438" t="s">
        <v>6967</v>
      </c>
      <c r="D2438">
        <v>1</v>
      </c>
      <c r="E2438" t="s">
        <v>6624</v>
      </c>
      <c r="F2438" t="s">
        <v>6625</v>
      </c>
      <c r="G2438" s="1"/>
      <c r="H2438" t="str">
        <f>"3250613941734"</f>
        <v>3250613941734</v>
      </c>
      <c r="J2438" t="s">
        <v>6968</v>
      </c>
    </row>
    <row r="2439" spans="1:10" x14ac:dyDescent="0.25">
      <c r="A2439" t="s">
        <v>8</v>
      </c>
      <c r="B2439" t="s">
        <v>6969</v>
      </c>
      <c r="C2439" t="s">
        <v>6970</v>
      </c>
      <c r="D2439">
        <v>1</v>
      </c>
      <c r="E2439" t="s">
        <v>6624</v>
      </c>
      <c r="F2439" t="s">
        <v>6625</v>
      </c>
      <c r="G2439" s="1"/>
      <c r="H2439" t="str">
        <f>"3250613941963"</f>
        <v>3250613941963</v>
      </c>
      <c r="J2439" t="s">
        <v>6971</v>
      </c>
    </row>
    <row r="2440" spans="1:10" x14ac:dyDescent="0.25">
      <c r="A2440" t="s">
        <v>8</v>
      </c>
      <c r="B2440" t="s">
        <v>6972</v>
      </c>
      <c r="C2440" t="s">
        <v>6973</v>
      </c>
      <c r="D2440">
        <v>1</v>
      </c>
      <c r="E2440" t="s">
        <v>6624</v>
      </c>
      <c r="F2440" t="s">
        <v>6625</v>
      </c>
      <c r="G2440" s="1"/>
      <c r="H2440" t="str">
        <f>"3250613931346"</f>
        <v>3250613931346</v>
      </c>
      <c r="J2440" t="s">
        <v>6974</v>
      </c>
    </row>
    <row r="2441" spans="1:10" x14ac:dyDescent="0.25">
      <c r="A2441" t="s">
        <v>8</v>
      </c>
      <c r="B2441" t="s">
        <v>6975</v>
      </c>
      <c r="C2441" t="s">
        <v>6976</v>
      </c>
      <c r="D2441">
        <v>1</v>
      </c>
      <c r="E2441" t="s">
        <v>6624</v>
      </c>
      <c r="F2441" t="s">
        <v>6625</v>
      </c>
      <c r="G2441" s="1"/>
      <c r="H2441" t="str">
        <f>"3250613941741"</f>
        <v>3250613941741</v>
      </c>
      <c r="J2441" t="s">
        <v>6977</v>
      </c>
    </row>
    <row r="2442" spans="1:10" x14ac:dyDescent="0.25">
      <c r="A2442" t="s">
        <v>8</v>
      </c>
      <c r="B2442" t="s">
        <v>6978</v>
      </c>
      <c r="C2442" t="s">
        <v>6979</v>
      </c>
      <c r="D2442">
        <v>1</v>
      </c>
      <c r="E2442" t="s">
        <v>6624</v>
      </c>
      <c r="F2442" t="s">
        <v>6625</v>
      </c>
      <c r="G2442" s="1"/>
      <c r="H2442" t="str">
        <f>"3250613941819"</f>
        <v>3250613941819</v>
      </c>
      <c r="J2442" t="s">
        <v>6980</v>
      </c>
    </row>
    <row r="2443" spans="1:10" x14ac:dyDescent="0.25">
      <c r="A2443" t="s">
        <v>8</v>
      </c>
      <c r="B2443" t="s">
        <v>6981</v>
      </c>
      <c r="C2443" t="s">
        <v>6982</v>
      </c>
      <c r="D2443">
        <v>1</v>
      </c>
      <c r="E2443" t="s">
        <v>6624</v>
      </c>
      <c r="F2443" t="s">
        <v>6625</v>
      </c>
      <c r="G2443" s="1"/>
      <c r="H2443" t="str">
        <f>"3250613931261"</f>
        <v>3250613931261</v>
      </c>
      <c r="J2443" t="s">
        <v>6983</v>
      </c>
    </row>
    <row r="2444" spans="1:10" x14ac:dyDescent="0.25">
      <c r="A2444" t="s">
        <v>8</v>
      </c>
      <c r="B2444" t="s">
        <v>6984</v>
      </c>
      <c r="C2444" t="s">
        <v>6985</v>
      </c>
      <c r="D2444">
        <v>1</v>
      </c>
      <c r="E2444" t="s">
        <v>6624</v>
      </c>
      <c r="F2444" t="s">
        <v>6625</v>
      </c>
      <c r="G2444" s="1"/>
      <c r="H2444" t="str">
        <f>"3250613931230"</f>
        <v>3250613931230</v>
      </c>
      <c r="J2444" t="s">
        <v>6925</v>
      </c>
    </row>
    <row r="2445" spans="1:10" x14ac:dyDescent="0.25">
      <c r="A2445" t="s">
        <v>8</v>
      </c>
      <c r="B2445" t="s">
        <v>6986</v>
      </c>
      <c r="C2445" t="s">
        <v>6987</v>
      </c>
      <c r="D2445">
        <v>1</v>
      </c>
      <c r="E2445" t="s">
        <v>6624</v>
      </c>
      <c r="F2445" t="s">
        <v>6625</v>
      </c>
      <c r="G2445" s="1"/>
      <c r="H2445" t="str">
        <f>"3250613941970"</f>
        <v>3250613941970</v>
      </c>
      <c r="J2445" t="s">
        <v>6988</v>
      </c>
    </row>
    <row r="2446" spans="1:10" x14ac:dyDescent="0.25">
      <c r="A2446" t="s">
        <v>8</v>
      </c>
      <c r="B2446" t="s">
        <v>6989</v>
      </c>
      <c r="C2446" t="s">
        <v>6990</v>
      </c>
      <c r="D2446">
        <v>1</v>
      </c>
      <c r="E2446" t="s">
        <v>6624</v>
      </c>
      <c r="F2446" t="s">
        <v>6625</v>
      </c>
      <c r="G2446" s="1"/>
      <c r="H2446" t="str">
        <f>"3250613931315"</f>
        <v>3250613931315</v>
      </c>
      <c r="J2446" t="s">
        <v>6991</v>
      </c>
    </row>
    <row r="2447" spans="1:10" x14ac:dyDescent="0.25">
      <c r="A2447" t="s">
        <v>8</v>
      </c>
      <c r="B2447" t="s">
        <v>6992</v>
      </c>
      <c r="C2447" t="s">
        <v>6993</v>
      </c>
      <c r="D2447">
        <v>1</v>
      </c>
      <c r="E2447" t="s">
        <v>6624</v>
      </c>
      <c r="F2447" t="s">
        <v>6625</v>
      </c>
      <c r="G2447" s="1"/>
      <c r="H2447" t="str">
        <f>"3250613941871"</f>
        <v>3250613941871</v>
      </c>
      <c r="J2447" t="s">
        <v>6994</v>
      </c>
    </row>
    <row r="2448" spans="1:10" x14ac:dyDescent="0.25">
      <c r="A2448" t="s">
        <v>8</v>
      </c>
      <c r="B2448" t="s">
        <v>6995</v>
      </c>
      <c r="C2448" t="s">
        <v>6996</v>
      </c>
      <c r="D2448">
        <v>1</v>
      </c>
      <c r="E2448" t="s">
        <v>6624</v>
      </c>
      <c r="F2448" t="s">
        <v>6625</v>
      </c>
      <c r="G2448" s="1"/>
      <c r="H2448" t="str">
        <f>"3250613941956"</f>
        <v>3250613941956</v>
      </c>
      <c r="J2448" t="s">
        <v>6997</v>
      </c>
    </row>
    <row r="2449" spans="1:10" x14ac:dyDescent="0.25">
      <c r="A2449" t="s">
        <v>8</v>
      </c>
      <c r="B2449" t="s">
        <v>6998</v>
      </c>
      <c r="C2449" t="s">
        <v>6999</v>
      </c>
      <c r="D2449">
        <v>1</v>
      </c>
      <c r="E2449" t="s">
        <v>6624</v>
      </c>
      <c r="F2449" t="s">
        <v>6625</v>
      </c>
      <c r="G2449" s="1"/>
      <c r="H2449" t="str">
        <f>"3250613961787"</f>
        <v>3250613961787</v>
      </c>
      <c r="J2449" t="s">
        <v>7000</v>
      </c>
    </row>
    <row r="2450" spans="1:10" x14ac:dyDescent="0.25">
      <c r="A2450" t="s">
        <v>8</v>
      </c>
      <c r="B2450" t="s">
        <v>7001</v>
      </c>
      <c r="C2450" t="s">
        <v>7002</v>
      </c>
      <c r="D2450">
        <v>1</v>
      </c>
      <c r="E2450" t="s">
        <v>6624</v>
      </c>
      <c r="F2450" t="s">
        <v>6625</v>
      </c>
      <c r="G2450" s="1"/>
      <c r="H2450" t="str">
        <f>"3250613803544"</f>
        <v>3250613803544</v>
      </c>
      <c r="J2450" t="s">
        <v>7003</v>
      </c>
    </row>
    <row r="2451" spans="1:10" x14ac:dyDescent="0.25">
      <c r="A2451" t="s">
        <v>8</v>
      </c>
      <c r="B2451" t="s">
        <v>7004</v>
      </c>
      <c r="C2451" t="s">
        <v>7005</v>
      </c>
      <c r="D2451">
        <v>1</v>
      </c>
      <c r="E2451" t="s">
        <v>6624</v>
      </c>
      <c r="F2451" t="s">
        <v>6625</v>
      </c>
      <c r="G2451" s="1"/>
      <c r="H2451" t="str">
        <f>"3250613803568"</f>
        <v>3250613803568</v>
      </c>
      <c r="J2451" t="s">
        <v>7006</v>
      </c>
    </row>
    <row r="2452" spans="1:10" x14ac:dyDescent="0.25">
      <c r="A2452" t="s">
        <v>8</v>
      </c>
      <c r="B2452" t="s">
        <v>7007</v>
      </c>
      <c r="C2452" t="s">
        <v>7008</v>
      </c>
      <c r="D2452">
        <v>1</v>
      </c>
      <c r="E2452" t="s">
        <v>6624</v>
      </c>
      <c r="F2452" t="s">
        <v>6625</v>
      </c>
      <c r="G2452" s="1"/>
      <c r="H2452" t="str">
        <f>"3250613803582"</f>
        <v>3250613803582</v>
      </c>
      <c r="J2452" t="s">
        <v>7009</v>
      </c>
    </row>
    <row r="2453" spans="1:10" x14ac:dyDescent="0.25">
      <c r="A2453" t="s">
        <v>8</v>
      </c>
      <c r="B2453" t="s">
        <v>7010</v>
      </c>
      <c r="C2453" t="s">
        <v>7011</v>
      </c>
      <c r="D2453">
        <v>1</v>
      </c>
      <c r="E2453" t="s">
        <v>6624</v>
      </c>
      <c r="F2453" t="s">
        <v>6625</v>
      </c>
      <c r="G2453" s="1"/>
      <c r="H2453" t="str">
        <f>"3250613803742"</f>
        <v>3250613803742</v>
      </c>
      <c r="J2453" t="s">
        <v>7012</v>
      </c>
    </row>
    <row r="2454" spans="1:10" x14ac:dyDescent="0.25">
      <c r="A2454" t="s">
        <v>8</v>
      </c>
      <c r="B2454" t="s">
        <v>7013</v>
      </c>
      <c r="C2454" t="s">
        <v>7014</v>
      </c>
      <c r="D2454">
        <v>1</v>
      </c>
      <c r="E2454" t="s">
        <v>6624</v>
      </c>
      <c r="F2454" t="s">
        <v>6625</v>
      </c>
      <c r="G2454" s="1"/>
      <c r="H2454" t="str">
        <f>"3250613803728"</f>
        <v>3250613803728</v>
      </c>
      <c r="J2454" t="s">
        <v>7015</v>
      </c>
    </row>
    <row r="2455" spans="1:10" x14ac:dyDescent="0.25">
      <c r="A2455" t="s">
        <v>8</v>
      </c>
      <c r="B2455" t="s">
        <v>7016</v>
      </c>
      <c r="C2455" t="s">
        <v>7017</v>
      </c>
      <c r="D2455">
        <v>1</v>
      </c>
      <c r="E2455" t="s">
        <v>6624</v>
      </c>
      <c r="F2455" t="s">
        <v>6625</v>
      </c>
      <c r="G2455" s="1"/>
      <c r="H2455" t="str">
        <f>"3250613803704"</f>
        <v>3250613803704</v>
      </c>
      <c r="J2455" t="s">
        <v>7018</v>
      </c>
    </row>
    <row r="2456" spans="1:10" x14ac:dyDescent="0.25">
      <c r="A2456" t="s">
        <v>8</v>
      </c>
      <c r="B2456" t="s">
        <v>7019</v>
      </c>
      <c r="C2456" t="s">
        <v>7020</v>
      </c>
      <c r="D2456">
        <v>1</v>
      </c>
      <c r="E2456" t="s">
        <v>6624</v>
      </c>
      <c r="F2456" t="s">
        <v>6625</v>
      </c>
      <c r="G2456" s="1"/>
      <c r="H2456" t="str">
        <f>"3250613804428"</f>
        <v>3250613804428</v>
      </c>
      <c r="J2456" t="s">
        <v>7021</v>
      </c>
    </row>
    <row r="2457" spans="1:10" x14ac:dyDescent="0.25">
      <c r="A2457" t="s">
        <v>8</v>
      </c>
      <c r="B2457" t="s">
        <v>7022</v>
      </c>
      <c r="C2457" t="s">
        <v>7023</v>
      </c>
      <c r="D2457">
        <v>1</v>
      </c>
      <c r="E2457" t="s">
        <v>6624</v>
      </c>
      <c r="F2457" t="s">
        <v>6625</v>
      </c>
      <c r="G2457" s="1"/>
      <c r="H2457" t="str">
        <f>"3250613760144"</f>
        <v>3250613760144</v>
      </c>
      <c r="J2457" t="s">
        <v>7024</v>
      </c>
    </row>
    <row r="2458" spans="1:10" x14ac:dyDescent="0.25">
      <c r="A2458" t="s">
        <v>8</v>
      </c>
      <c r="B2458" t="s">
        <v>7025</v>
      </c>
      <c r="C2458" t="s">
        <v>7026</v>
      </c>
      <c r="D2458">
        <v>1</v>
      </c>
      <c r="E2458" t="s">
        <v>6624</v>
      </c>
      <c r="F2458" t="s">
        <v>6625</v>
      </c>
      <c r="G2458" s="1"/>
      <c r="H2458" t="str">
        <f>"3250610144466"</f>
        <v>3250610144466</v>
      </c>
      <c r="J2458" t="s">
        <v>7027</v>
      </c>
    </row>
    <row r="2459" spans="1:10" x14ac:dyDescent="0.25">
      <c r="A2459" t="s">
        <v>8</v>
      </c>
      <c r="B2459" t="s">
        <v>7028</v>
      </c>
      <c r="C2459" t="s">
        <v>7029</v>
      </c>
      <c r="D2459">
        <v>1</v>
      </c>
      <c r="E2459" t="s">
        <v>6624</v>
      </c>
      <c r="F2459" t="s">
        <v>6625</v>
      </c>
      <c r="G2459" s="1"/>
      <c r="H2459" t="str">
        <f>"3250610134061"</f>
        <v>3250610134061</v>
      </c>
      <c r="J2459" t="s">
        <v>6919</v>
      </c>
    </row>
    <row r="2460" spans="1:10" x14ac:dyDescent="0.25">
      <c r="A2460" t="s">
        <v>8</v>
      </c>
      <c r="B2460" t="s">
        <v>7030</v>
      </c>
      <c r="C2460" t="s">
        <v>7031</v>
      </c>
      <c r="D2460">
        <v>1</v>
      </c>
      <c r="E2460" t="s">
        <v>6624</v>
      </c>
      <c r="F2460" t="s">
        <v>6625</v>
      </c>
      <c r="G2460" s="1"/>
      <c r="H2460" t="str">
        <f>"3250610134269"</f>
        <v>3250610134269</v>
      </c>
      <c r="J2460" t="s">
        <v>7032</v>
      </c>
    </row>
    <row r="2461" spans="1:10" x14ac:dyDescent="0.25">
      <c r="A2461" t="s">
        <v>8</v>
      </c>
      <c r="B2461" t="s">
        <v>7033</v>
      </c>
      <c r="C2461" t="s">
        <v>7034</v>
      </c>
      <c r="D2461">
        <v>1</v>
      </c>
      <c r="E2461" t="s">
        <v>6624</v>
      </c>
      <c r="F2461" t="s">
        <v>6625</v>
      </c>
      <c r="G2461" s="1"/>
      <c r="H2461" t="str">
        <f>"3250610133941"</f>
        <v>3250610133941</v>
      </c>
      <c r="J2461" t="s">
        <v>7035</v>
      </c>
    </row>
    <row r="2462" spans="1:10" x14ac:dyDescent="0.25">
      <c r="A2462" t="s">
        <v>8</v>
      </c>
      <c r="B2462" t="s">
        <v>7036</v>
      </c>
      <c r="C2462" t="s">
        <v>7037</v>
      </c>
      <c r="D2462">
        <v>1</v>
      </c>
      <c r="E2462" t="s">
        <v>6624</v>
      </c>
      <c r="F2462" t="s">
        <v>6625</v>
      </c>
      <c r="G2462" s="1"/>
      <c r="H2462" t="str">
        <f>"3250610133439"</f>
        <v>3250610133439</v>
      </c>
      <c r="J2462" t="s">
        <v>6968</v>
      </c>
    </row>
    <row r="2463" spans="1:10" x14ac:dyDescent="0.25">
      <c r="A2463" t="s">
        <v>8</v>
      </c>
      <c r="B2463" t="s">
        <v>7038</v>
      </c>
      <c r="C2463" t="s">
        <v>7039</v>
      </c>
      <c r="D2463">
        <v>1</v>
      </c>
      <c r="E2463" t="s">
        <v>6624</v>
      </c>
      <c r="F2463" t="s">
        <v>6625</v>
      </c>
      <c r="G2463" s="1"/>
      <c r="H2463" t="str">
        <f>"3250610133514"</f>
        <v>3250610133514</v>
      </c>
      <c r="J2463" t="s">
        <v>6962</v>
      </c>
    </row>
    <row r="2464" spans="1:10" x14ac:dyDescent="0.25">
      <c r="A2464" t="s">
        <v>8</v>
      </c>
      <c r="B2464" t="s">
        <v>7040</v>
      </c>
      <c r="C2464" t="s">
        <v>7041</v>
      </c>
      <c r="D2464">
        <v>1</v>
      </c>
      <c r="E2464" t="s">
        <v>6624</v>
      </c>
      <c r="F2464" t="s">
        <v>6625</v>
      </c>
      <c r="G2464" s="1"/>
      <c r="H2464" t="str">
        <f>"3250610133590"</f>
        <v>3250610133590</v>
      </c>
      <c r="J2464" t="s">
        <v>7042</v>
      </c>
    </row>
    <row r="2465" spans="1:10" x14ac:dyDescent="0.25">
      <c r="A2465" t="s">
        <v>8</v>
      </c>
      <c r="B2465" t="s">
        <v>7043</v>
      </c>
      <c r="C2465" t="s">
        <v>7044</v>
      </c>
      <c r="D2465">
        <v>1</v>
      </c>
      <c r="E2465" t="s">
        <v>6624</v>
      </c>
      <c r="F2465" t="s">
        <v>6625</v>
      </c>
      <c r="G2465" s="1"/>
      <c r="H2465" t="str">
        <f>"3250610134313"</f>
        <v>3250610134313</v>
      </c>
      <c r="J2465" t="s">
        <v>7045</v>
      </c>
    </row>
    <row r="2466" spans="1:10" x14ac:dyDescent="0.25">
      <c r="A2466" t="s">
        <v>8</v>
      </c>
      <c r="B2466" t="s">
        <v>7046</v>
      </c>
      <c r="C2466" t="s">
        <v>7047</v>
      </c>
      <c r="D2466">
        <v>1</v>
      </c>
      <c r="E2466" t="s">
        <v>6624</v>
      </c>
      <c r="F2466" t="s">
        <v>6625</v>
      </c>
      <c r="G2466" s="1"/>
      <c r="H2466" t="str">
        <f>"3250610134320"</f>
        <v>3250610134320</v>
      </c>
      <c r="J2466" t="s">
        <v>7045</v>
      </c>
    </row>
    <row r="2467" spans="1:10" x14ac:dyDescent="0.25">
      <c r="A2467" t="s">
        <v>8</v>
      </c>
      <c r="B2467" t="s">
        <v>7048</v>
      </c>
      <c r="C2467" t="s">
        <v>7049</v>
      </c>
      <c r="D2467">
        <v>1</v>
      </c>
      <c r="E2467" t="s">
        <v>6624</v>
      </c>
      <c r="F2467" t="s">
        <v>6625</v>
      </c>
      <c r="G2467" s="1"/>
      <c r="H2467" t="str">
        <f>"3250610133446"</f>
        <v>3250610133446</v>
      </c>
      <c r="J2467" t="s">
        <v>6934</v>
      </c>
    </row>
    <row r="2468" spans="1:10" x14ac:dyDescent="0.25">
      <c r="A2468" t="s">
        <v>8</v>
      </c>
      <c r="B2468" t="s">
        <v>7050</v>
      </c>
      <c r="C2468" t="s">
        <v>7051</v>
      </c>
      <c r="D2468">
        <v>1</v>
      </c>
      <c r="E2468" t="s">
        <v>6624</v>
      </c>
      <c r="F2468" t="s">
        <v>6625</v>
      </c>
      <c r="G2468" s="1"/>
      <c r="H2468" t="str">
        <f>"3250610133521"</f>
        <v>3250610133521</v>
      </c>
      <c r="J2468" t="s">
        <v>6928</v>
      </c>
    </row>
    <row r="2469" spans="1:10" x14ac:dyDescent="0.25">
      <c r="A2469" t="s">
        <v>8</v>
      </c>
      <c r="B2469" t="s">
        <v>7052</v>
      </c>
      <c r="C2469" t="s">
        <v>6979</v>
      </c>
      <c r="D2469">
        <v>1</v>
      </c>
      <c r="E2469" t="s">
        <v>6624</v>
      </c>
      <c r="F2469" t="s">
        <v>6625</v>
      </c>
      <c r="G2469" s="1"/>
      <c r="H2469" t="str">
        <f>"3250610133606"</f>
        <v>3250610133606</v>
      </c>
      <c r="J2469" t="s">
        <v>7053</v>
      </c>
    </row>
    <row r="2470" spans="1:10" x14ac:dyDescent="0.25">
      <c r="A2470" t="s">
        <v>8</v>
      </c>
      <c r="B2470" t="s">
        <v>7054</v>
      </c>
      <c r="C2470" t="s">
        <v>7055</v>
      </c>
      <c r="D2470">
        <v>1</v>
      </c>
      <c r="E2470" t="s">
        <v>6624</v>
      </c>
      <c r="F2470" t="s">
        <v>6625</v>
      </c>
      <c r="G2470" s="1"/>
      <c r="H2470" t="str">
        <f>"3250610134009"</f>
        <v>3250610134009</v>
      </c>
      <c r="J2470" t="s">
        <v>1947</v>
      </c>
    </row>
    <row r="2471" spans="1:10" x14ac:dyDescent="0.25">
      <c r="A2471" t="s">
        <v>8</v>
      </c>
      <c r="B2471" t="s">
        <v>7056</v>
      </c>
      <c r="C2471" t="s">
        <v>7057</v>
      </c>
      <c r="D2471">
        <v>1</v>
      </c>
      <c r="E2471" t="s">
        <v>6624</v>
      </c>
      <c r="F2471" t="s">
        <v>6625</v>
      </c>
      <c r="G2471" s="1"/>
      <c r="H2471" t="str">
        <f>"3250610133460"</f>
        <v>3250610133460</v>
      </c>
      <c r="J2471" t="s">
        <v>7058</v>
      </c>
    </row>
    <row r="2472" spans="1:10" x14ac:dyDescent="0.25">
      <c r="A2472" t="s">
        <v>8</v>
      </c>
      <c r="B2472" t="s">
        <v>7059</v>
      </c>
      <c r="C2472" t="s">
        <v>7060</v>
      </c>
      <c r="D2472">
        <v>1</v>
      </c>
      <c r="E2472" t="s">
        <v>6624</v>
      </c>
      <c r="F2472" t="s">
        <v>6625</v>
      </c>
      <c r="G2472" s="1"/>
      <c r="H2472" t="str">
        <f>"3250610133545"</f>
        <v>3250610133545</v>
      </c>
      <c r="J2472" t="s">
        <v>7061</v>
      </c>
    </row>
    <row r="2473" spans="1:10" x14ac:dyDescent="0.25">
      <c r="A2473" t="s">
        <v>8</v>
      </c>
      <c r="B2473" t="s">
        <v>7062</v>
      </c>
      <c r="C2473" t="s">
        <v>6921</v>
      </c>
      <c r="D2473">
        <v>1</v>
      </c>
      <c r="E2473" t="s">
        <v>6624</v>
      </c>
      <c r="F2473" t="s">
        <v>6625</v>
      </c>
      <c r="G2473" s="1"/>
      <c r="H2473" t="str">
        <f>"3250610133620"</f>
        <v>3250610133620</v>
      </c>
      <c r="J2473" t="s">
        <v>1742</v>
      </c>
    </row>
    <row r="2474" spans="1:10" x14ac:dyDescent="0.25">
      <c r="A2474" t="s">
        <v>8</v>
      </c>
      <c r="B2474" t="s">
        <v>7063</v>
      </c>
      <c r="C2474" t="s">
        <v>7064</v>
      </c>
      <c r="D2474">
        <v>1</v>
      </c>
      <c r="E2474" t="s">
        <v>6624</v>
      </c>
      <c r="F2474" t="s">
        <v>6625</v>
      </c>
      <c r="G2474" s="1"/>
      <c r="H2474" t="str">
        <f>"3250610133477"</f>
        <v>3250610133477</v>
      </c>
      <c r="J2474" t="s">
        <v>6950</v>
      </c>
    </row>
    <row r="2475" spans="1:10" x14ac:dyDescent="0.25">
      <c r="A2475" t="s">
        <v>8</v>
      </c>
      <c r="B2475" t="s">
        <v>7065</v>
      </c>
      <c r="C2475" t="s">
        <v>7066</v>
      </c>
      <c r="D2475">
        <v>1</v>
      </c>
      <c r="E2475" t="s">
        <v>6624</v>
      </c>
      <c r="F2475" t="s">
        <v>6625</v>
      </c>
      <c r="G2475" s="1"/>
      <c r="H2475" t="str">
        <f>"3250610133552"</f>
        <v>3250610133552</v>
      </c>
      <c r="J2475" t="s">
        <v>6940</v>
      </c>
    </row>
    <row r="2476" spans="1:10" x14ac:dyDescent="0.25">
      <c r="A2476" t="s">
        <v>8</v>
      </c>
      <c r="B2476" t="s">
        <v>7067</v>
      </c>
      <c r="C2476" t="s">
        <v>6958</v>
      </c>
      <c r="D2476">
        <v>1</v>
      </c>
      <c r="E2476" t="s">
        <v>6624</v>
      </c>
      <c r="F2476" t="s">
        <v>6625</v>
      </c>
      <c r="G2476" s="1"/>
      <c r="H2476" t="str">
        <f>"3250610133637"</f>
        <v>3250610133637</v>
      </c>
      <c r="J2476" t="s">
        <v>7068</v>
      </c>
    </row>
    <row r="2477" spans="1:10" x14ac:dyDescent="0.25">
      <c r="A2477" t="s">
        <v>8</v>
      </c>
      <c r="B2477" t="s">
        <v>7069</v>
      </c>
      <c r="C2477" t="s">
        <v>7070</v>
      </c>
      <c r="D2477">
        <v>1</v>
      </c>
      <c r="E2477" t="s">
        <v>6624</v>
      </c>
      <c r="F2477" t="s">
        <v>6625</v>
      </c>
      <c r="G2477" s="1"/>
      <c r="H2477" t="str">
        <f>"3250610133491"</f>
        <v>3250610133491</v>
      </c>
      <c r="J2477" t="s">
        <v>7071</v>
      </c>
    </row>
    <row r="2478" spans="1:10" x14ac:dyDescent="0.25">
      <c r="A2478" t="s">
        <v>8</v>
      </c>
      <c r="B2478" t="s">
        <v>7072</v>
      </c>
      <c r="C2478" t="s">
        <v>7073</v>
      </c>
      <c r="D2478">
        <v>1</v>
      </c>
      <c r="E2478" t="s">
        <v>6624</v>
      </c>
      <c r="F2478" t="s">
        <v>6625</v>
      </c>
      <c r="G2478" s="1"/>
      <c r="H2478" t="str">
        <f>"3250610133576"</f>
        <v>3250610133576</v>
      </c>
      <c r="J2478" t="s">
        <v>7074</v>
      </c>
    </row>
    <row r="2479" spans="1:10" x14ac:dyDescent="0.25">
      <c r="A2479" t="s">
        <v>8</v>
      </c>
      <c r="B2479" t="s">
        <v>7075</v>
      </c>
      <c r="C2479" t="s">
        <v>6970</v>
      </c>
      <c r="D2479">
        <v>1</v>
      </c>
      <c r="E2479" t="s">
        <v>6624</v>
      </c>
      <c r="F2479" t="s">
        <v>6625</v>
      </c>
      <c r="G2479" s="1"/>
      <c r="H2479" t="str">
        <f>"3250610133651"</f>
        <v>3250610133651</v>
      </c>
      <c r="J2479" t="s">
        <v>7076</v>
      </c>
    </row>
    <row r="2480" spans="1:10" x14ac:dyDescent="0.25">
      <c r="A2480" t="s">
        <v>8</v>
      </c>
      <c r="B2480" t="s">
        <v>7077</v>
      </c>
      <c r="C2480" t="s">
        <v>7078</v>
      </c>
      <c r="D2480">
        <v>1</v>
      </c>
      <c r="E2480" t="s">
        <v>6624</v>
      </c>
      <c r="F2480" t="s">
        <v>6625</v>
      </c>
      <c r="G2480" s="1"/>
      <c r="H2480" t="str">
        <f>"3250610133507"</f>
        <v>3250610133507</v>
      </c>
      <c r="J2480" t="s">
        <v>7079</v>
      </c>
    </row>
    <row r="2481" spans="1:10" x14ac:dyDescent="0.25">
      <c r="A2481" t="s">
        <v>8</v>
      </c>
      <c r="B2481" t="s">
        <v>7080</v>
      </c>
      <c r="C2481" t="s">
        <v>7081</v>
      </c>
      <c r="D2481">
        <v>1</v>
      </c>
      <c r="E2481" t="s">
        <v>7082</v>
      </c>
      <c r="F2481" t="s">
        <v>7083</v>
      </c>
      <c r="G2481" s="1"/>
      <c r="H2481" t="str">
        <f>"3250613730130"</f>
        <v>3250613730130</v>
      </c>
      <c r="J2481" t="s">
        <v>7084</v>
      </c>
    </row>
    <row r="2482" spans="1:10" x14ac:dyDescent="0.25">
      <c r="A2482" t="s">
        <v>8</v>
      </c>
      <c r="B2482" t="s">
        <v>7085</v>
      </c>
      <c r="C2482" t="s">
        <v>7086</v>
      </c>
      <c r="D2482">
        <v>1</v>
      </c>
      <c r="E2482" t="s">
        <v>7082</v>
      </c>
      <c r="F2482" t="s">
        <v>7083</v>
      </c>
      <c r="G2482" s="1"/>
      <c r="H2482" t="str">
        <f>"3250613831066"</f>
        <v>3250613831066</v>
      </c>
      <c r="J2482" t="s">
        <v>7087</v>
      </c>
    </row>
    <row r="2483" spans="1:10" x14ac:dyDescent="0.25">
      <c r="A2483" t="s">
        <v>8</v>
      </c>
      <c r="B2483" t="s">
        <v>7088</v>
      </c>
      <c r="C2483" t="s">
        <v>7089</v>
      </c>
      <c r="D2483">
        <v>1</v>
      </c>
      <c r="E2483" t="s">
        <v>7082</v>
      </c>
      <c r="F2483" t="s">
        <v>7083</v>
      </c>
      <c r="G2483" s="1"/>
      <c r="H2483" t="str">
        <f>"3250613831134"</f>
        <v>3250613831134</v>
      </c>
      <c r="J2483" t="s">
        <v>7090</v>
      </c>
    </row>
    <row r="2484" spans="1:10" x14ac:dyDescent="0.25">
      <c r="A2484" t="s">
        <v>8</v>
      </c>
      <c r="B2484" t="s">
        <v>7091</v>
      </c>
      <c r="C2484" t="s">
        <v>7092</v>
      </c>
      <c r="D2484">
        <v>1</v>
      </c>
      <c r="E2484" t="s">
        <v>7082</v>
      </c>
      <c r="F2484" t="s">
        <v>7083</v>
      </c>
      <c r="G2484" s="1"/>
      <c r="H2484" t="str">
        <f>"3250613849504"</f>
        <v>3250613849504</v>
      </c>
      <c r="J2484" t="s">
        <v>7093</v>
      </c>
    </row>
    <row r="2485" spans="1:10" x14ac:dyDescent="0.25">
      <c r="A2485" t="s">
        <v>8</v>
      </c>
      <c r="B2485" t="s">
        <v>7094</v>
      </c>
      <c r="C2485" t="s">
        <v>7095</v>
      </c>
      <c r="D2485">
        <v>1</v>
      </c>
      <c r="E2485" t="s">
        <v>7082</v>
      </c>
      <c r="F2485" t="s">
        <v>7083</v>
      </c>
      <c r="G2485" s="1"/>
      <c r="H2485" t="str">
        <f>"3250613849313"</f>
        <v>3250613849313</v>
      </c>
      <c r="J2485" t="s">
        <v>7096</v>
      </c>
    </row>
    <row r="2486" spans="1:10" x14ac:dyDescent="0.25">
      <c r="A2486" t="s">
        <v>8</v>
      </c>
      <c r="B2486" t="s">
        <v>7097</v>
      </c>
      <c r="C2486" t="s">
        <v>7098</v>
      </c>
      <c r="D2486">
        <v>1</v>
      </c>
      <c r="E2486" t="s">
        <v>7082</v>
      </c>
      <c r="F2486" t="s">
        <v>7083</v>
      </c>
      <c r="G2486" s="1"/>
      <c r="H2486" t="str">
        <f>"3250613849351"</f>
        <v>3250613849351</v>
      </c>
      <c r="J2486" t="s">
        <v>7099</v>
      </c>
    </row>
    <row r="2487" spans="1:10" x14ac:dyDescent="0.25">
      <c r="A2487" t="s">
        <v>8</v>
      </c>
      <c r="B2487" t="s">
        <v>7100</v>
      </c>
      <c r="C2487" t="s">
        <v>7101</v>
      </c>
      <c r="D2487">
        <v>1</v>
      </c>
      <c r="E2487" t="s">
        <v>7082</v>
      </c>
      <c r="F2487" t="s">
        <v>7083</v>
      </c>
      <c r="G2487" s="1"/>
      <c r="H2487" t="str">
        <f>"3250613720018"</f>
        <v>3250613720018</v>
      </c>
      <c r="J2487" t="s">
        <v>7102</v>
      </c>
    </row>
    <row r="2488" spans="1:10" x14ac:dyDescent="0.25">
      <c r="A2488" t="s">
        <v>8</v>
      </c>
      <c r="B2488" t="s">
        <v>7103</v>
      </c>
      <c r="C2488" t="s">
        <v>7104</v>
      </c>
      <c r="D2488">
        <v>1</v>
      </c>
      <c r="E2488" t="s">
        <v>7082</v>
      </c>
      <c r="F2488" t="s">
        <v>7083</v>
      </c>
      <c r="G2488" s="1"/>
      <c r="H2488" t="str">
        <f>"3250613730208"</f>
        <v>3250613730208</v>
      </c>
      <c r="J2488" t="s">
        <v>7105</v>
      </c>
    </row>
    <row r="2489" spans="1:10" x14ac:dyDescent="0.25">
      <c r="A2489" t="s">
        <v>8</v>
      </c>
      <c r="B2489" t="s">
        <v>7106</v>
      </c>
      <c r="C2489" t="s">
        <v>6793</v>
      </c>
      <c r="D2489">
        <v>1</v>
      </c>
      <c r="E2489" t="s">
        <v>7082</v>
      </c>
      <c r="F2489" t="s">
        <v>7083</v>
      </c>
      <c r="G2489" s="1"/>
      <c r="H2489" t="str">
        <f>"3250613760038"</f>
        <v>3250613760038</v>
      </c>
      <c r="J2489" t="s">
        <v>7107</v>
      </c>
    </row>
    <row r="2490" spans="1:10" x14ac:dyDescent="0.25">
      <c r="A2490" t="s">
        <v>8</v>
      </c>
      <c r="B2490" t="s">
        <v>7108</v>
      </c>
      <c r="C2490" t="s">
        <v>7109</v>
      </c>
      <c r="D2490">
        <v>1</v>
      </c>
      <c r="E2490" t="s">
        <v>7082</v>
      </c>
      <c r="F2490" t="s">
        <v>7083</v>
      </c>
      <c r="G2490" s="1"/>
      <c r="H2490" t="str">
        <f>"3250613831011"</f>
        <v>3250613831011</v>
      </c>
      <c r="J2490" t="s">
        <v>7110</v>
      </c>
    </row>
    <row r="2491" spans="1:10" x14ac:dyDescent="0.25">
      <c r="A2491" t="s">
        <v>8</v>
      </c>
      <c r="B2491" t="s">
        <v>7111</v>
      </c>
      <c r="C2491" t="s">
        <v>7112</v>
      </c>
      <c r="D2491">
        <v>1</v>
      </c>
      <c r="E2491" t="s">
        <v>7082</v>
      </c>
      <c r="F2491" t="s">
        <v>7083</v>
      </c>
      <c r="G2491" s="1"/>
      <c r="H2491" t="str">
        <f>"3250613831127"</f>
        <v>3250613831127</v>
      </c>
      <c r="J2491" t="s">
        <v>7113</v>
      </c>
    </row>
    <row r="2492" spans="1:10" x14ac:dyDescent="0.25">
      <c r="A2492" t="s">
        <v>8</v>
      </c>
      <c r="B2492" t="s">
        <v>7114</v>
      </c>
      <c r="C2492" t="s">
        <v>7115</v>
      </c>
      <c r="D2492">
        <v>1</v>
      </c>
      <c r="E2492" t="s">
        <v>7082</v>
      </c>
      <c r="F2492" t="s">
        <v>7083</v>
      </c>
      <c r="G2492" s="1"/>
      <c r="H2492" t="str">
        <f>"3250613831264"</f>
        <v>3250613831264</v>
      </c>
      <c r="J2492" t="s">
        <v>7116</v>
      </c>
    </row>
    <row r="2493" spans="1:10" x14ac:dyDescent="0.25">
      <c r="A2493" t="s">
        <v>8</v>
      </c>
      <c r="B2493" t="s">
        <v>7117</v>
      </c>
      <c r="C2493" t="s">
        <v>7118</v>
      </c>
      <c r="D2493">
        <v>1</v>
      </c>
      <c r="E2493" t="s">
        <v>7082</v>
      </c>
      <c r="F2493" t="s">
        <v>7083</v>
      </c>
      <c r="G2493" s="1"/>
      <c r="H2493" t="str">
        <f>"3250613849139"</f>
        <v>3250613849139</v>
      </c>
      <c r="J2493" t="s">
        <v>7119</v>
      </c>
    </row>
    <row r="2494" spans="1:10" x14ac:dyDescent="0.25">
      <c r="A2494" t="s">
        <v>8</v>
      </c>
      <c r="B2494" t="s">
        <v>7120</v>
      </c>
      <c r="C2494" t="s">
        <v>7121</v>
      </c>
      <c r="D2494">
        <v>1</v>
      </c>
      <c r="E2494" t="s">
        <v>7082</v>
      </c>
      <c r="F2494" t="s">
        <v>7083</v>
      </c>
      <c r="G2494" s="1"/>
      <c r="H2494" t="str">
        <f>"3250613849153"</f>
        <v>3250613849153</v>
      </c>
      <c r="J2494" t="s">
        <v>7099</v>
      </c>
    </row>
    <row r="2495" spans="1:10" x14ac:dyDescent="0.25">
      <c r="A2495" t="s">
        <v>8</v>
      </c>
      <c r="B2495" t="s">
        <v>7122</v>
      </c>
      <c r="C2495" t="s">
        <v>7123</v>
      </c>
      <c r="D2495">
        <v>1</v>
      </c>
      <c r="E2495" t="s">
        <v>7082</v>
      </c>
      <c r="F2495" t="s">
        <v>7083</v>
      </c>
      <c r="G2495" s="1"/>
      <c r="H2495" t="str">
        <f>"3250613720025"</f>
        <v>3250613720025</v>
      </c>
      <c r="J2495" t="s">
        <v>7102</v>
      </c>
    </row>
    <row r="2496" spans="1:10" x14ac:dyDescent="0.25">
      <c r="A2496" t="s">
        <v>8</v>
      </c>
      <c r="B2496" t="s">
        <v>7124</v>
      </c>
      <c r="C2496" t="s">
        <v>7125</v>
      </c>
      <c r="D2496">
        <v>1</v>
      </c>
      <c r="E2496" t="s">
        <v>7082</v>
      </c>
      <c r="F2496" t="s">
        <v>7083</v>
      </c>
      <c r="G2496" s="1"/>
      <c r="H2496" t="str">
        <f>"3250613730192"</f>
        <v>3250613730192</v>
      </c>
      <c r="J2496" t="s">
        <v>7126</v>
      </c>
    </row>
    <row r="2497" spans="1:10" x14ac:dyDescent="0.25">
      <c r="A2497" t="s">
        <v>8</v>
      </c>
      <c r="B2497" t="s">
        <v>7127</v>
      </c>
      <c r="C2497" t="s">
        <v>7128</v>
      </c>
      <c r="D2497">
        <v>1</v>
      </c>
      <c r="E2497" t="s">
        <v>7082</v>
      </c>
      <c r="F2497" t="s">
        <v>7083</v>
      </c>
      <c r="G2497" s="1"/>
      <c r="H2497" t="str">
        <f>"3250613760021"</f>
        <v>3250613760021</v>
      </c>
      <c r="J2497" t="s">
        <v>7129</v>
      </c>
    </row>
    <row r="2498" spans="1:10" x14ac:dyDescent="0.25">
      <c r="A2498" t="s">
        <v>8</v>
      </c>
      <c r="B2498" t="s">
        <v>7130</v>
      </c>
      <c r="C2498" t="s">
        <v>7131</v>
      </c>
      <c r="D2498">
        <v>1</v>
      </c>
      <c r="E2498" t="s">
        <v>7082</v>
      </c>
      <c r="F2498" t="s">
        <v>7083</v>
      </c>
      <c r="G2498" s="1"/>
      <c r="H2498" t="str">
        <f>"3250613831196"</f>
        <v>3250613831196</v>
      </c>
      <c r="J2498" t="s">
        <v>7132</v>
      </c>
    </row>
    <row r="2499" spans="1:10" x14ac:dyDescent="0.25">
      <c r="A2499" t="s">
        <v>8</v>
      </c>
      <c r="B2499" t="s">
        <v>7133</v>
      </c>
      <c r="C2499" t="s">
        <v>7134</v>
      </c>
      <c r="D2499">
        <v>1</v>
      </c>
      <c r="E2499" t="s">
        <v>7082</v>
      </c>
      <c r="F2499" t="s">
        <v>7083</v>
      </c>
      <c r="G2499" s="1"/>
      <c r="H2499" t="str">
        <f>"3250613831271"</f>
        <v>3250613831271</v>
      </c>
      <c r="J2499" t="s">
        <v>7136</v>
      </c>
    </row>
    <row r="2500" spans="1:10" x14ac:dyDescent="0.25">
      <c r="A2500" t="s">
        <v>8</v>
      </c>
      <c r="B2500" t="s">
        <v>7137</v>
      </c>
      <c r="C2500" t="s">
        <v>7138</v>
      </c>
      <c r="D2500">
        <v>1</v>
      </c>
      <c r="E2500" t="s">
        <v>7082</v>
      </c>
      <c r="F2500" t="s">
        <v>7083</v>
      </c>
      <c r="G2500" s="1"/>
      <c r="H2500" t="str">
        <f>"3250613849030"</f>
        <v>3250613849030</v>
      </c>
      <c r="J2500" t="s">
        <v>7119</v>
      </c>
    </row>
    <row r="2501" spans="1:10" x14ac:dyDescent="0.25">
      <c r="A2501" t="s">
        <v>8</v>
      </c>
      <c r="B2501" t="s">
        <v>7139</v>
      </c>
      <c r="C2501" t="s">
        <v>7140</v>
      </c>
      <c r="D2501">
        <v>1</v>
      </c>
      <c r="E2501" t="s">
        <v>7082</v>
      </c>
      <c r="F2501" t="s">
        <v>7083</v>
      </c>
      <c r="G2501" s="1"/>
      <c r="H2501" t="str">
        <f>"3250613849054"</f>
        <v>3250613849054</v>
      </c>
      <c r="J2501" t="s">
        <v>7099</v>
      </c>
    </row>
    <row r="2502" spans="1:10" x14ac:dyDescent="0.25">
      <c r="A2502" t="s">
        <v>8</v>
      </c>
      <c r="B2502" t="s">
        <v>7141</v>
      </c>
      <c r="C2502" t="s">
        <v>7142</v>
      </c>
      <c r="D2502">
        <v>1</v>
      </c>
      <c r="E2502" t="s">
        <v>7082</v>
      </c>
      <c r="F2502" t="s">
        <v>7083</v>
      </c>
      <c r="G2502" s="1"/>
      <c r="H2502" t="str">
        <f>"3250613960148"</f>
        <v>3250613960148</v>
      </c>
      <c r="J2502" t="s">
        <v>7143</v>
      </c>
    </row>
    <row r="2503" spans="1:10" x14ac:dyDescent="0.25">
      <c r="A2503" t="s">
        <v>8</v>
      </c>
      <c r="B2503" t="s">
        <v>7144</v>
      </c>
      <c r="C2503" t="s">
        <v>7145</v>
      </c>
      <c r="D2503">
        <v>1</v>
      </c>
      <c r="E2503" t="s">
        <v>7082</v>
      </c>
      <c r="F2503" t="s">
        <v>7083</v>
      </c>
      <c r="G2503" s="1"/>
      <c r="H2503" t="str">
        <f>"3250613760014"</f>
        <v>3250613760014</v>
      </c>
      <c r="J2503" t="s">
        <v>7146</v>
      </c>
    </row>
    <row r="2504" spans="1:10" x14ac:dyDescent="0.25">
      <c r="A2504" t="s">
        <v>8</v>
      </c>
      <c r="B2504" t="s">
        <v>7147</v>
      </c>
      <c r="C2504" t="s">
        <v>7112</v>
      </c>
      <c r="D2504">
        <v>1</v>
      </c>
      <c r="E2504" t="s">
        <v>7082</v>
      </c>
      <c r="F2504" t="s">
        <v>7083</v>
      </c>
      <c r="G2504" s="1"/>
      <c r="H2504" t="str">
        <f>"3250613831189"</f>
        <v>3250613831189</v>
      </c>
      <c r="J2504" t="s">
        <v>7148</v>
      </c>
    </row>
    <row r="2505" spans="1:10" x14ac:dyDescent="0.25">
      <c r="A2505" t="s">
        <v>8</v>
      </c>
      <c r="B2505" t="s">
        <v>7149</v>
      </c>
      <c r="C2505" t="s">
        <v>7150</v>
      </c>
      <c r="D2505">
        <v>1</v>
      </c>
      <c r="E2505" t="s">
        <v>7082</v>
      </c>
      <c r="F2505" t="s">
        <v>7083</v>
      </c>
      <c r="G2505" s="1"/>
      <c r="H2505" t="str">
        <f>"3250613831240"</f>
        <v>3250613831240</v>
      </c>
      <c r="J2505" t="s">
        <v>7151</v>
      </c>
    </row>
    <row r="2506" spans="1:10" x14ac:dyDescent="0.25">
      <c r="A2506" t="s">
        <v>8</v>
      </c>
      <c r="B2506" t="s">
        <v>7152</v>
      </c>
      <c r="C2506" t="s">
        <v>7153</v>
      </c>
      <c r="D2506">
        <v>1</v>
      </c>
      <c r="E2506" t="s">
        <v>7082</v>
      </c>
      <c r="F2506" t="s">
        <v>7083</v>
      </c>
      <c r="G2506" s="1"/>
      <c r="H2506" t="str">
        <f>"3250613849320"</f>
        <v>3250613849320</v>
      </c>
      <c r="J2506" t="s">
        <v>7155</v>
      </c>
    </row>
    <row r="2507" spans="1:10" x14ac:dyDescent="0.25">
      <c r="A2507" t="s">
        <v>8</v>
      </c>
      <c r="B2507" t="s">
        <v>7156</v>
      </c>
      <c r="C2507" t="s">
        <v>7157</v>
      </c>
      <c r="D2507">
        <v>1</v>
      </c>
      <c r="E2507" t="s">
        <v>7082</v>
      </c>
      <c r="F2507" t="s">
        <v>7083</v>
      </c>
      <c r="G2507" s="1"/>
      <c r="H2507" t="str">
        <f>"3250613849214"</f>
        <v>3250613849214</v>
      </c>
      <c r="J2507" t="s">
        <v>7158</v>
      </c>
    </row>
    <row r="2508" spans="1:10" x14ac:dyDescent="0.25">
      <c r="A2508" t="s">
        <v>8</v>
      </c>
      <c r="B2508" t="s">
        <v>7159</v>
      </c>
      <c r="C2508" t="s">
        <v>7160</v>
      </c>
      <c r="D2508">
        <v>1</v>
      </c>
      <c r="E2508" t="s">
        <v>7082</v>
      </c>
      <c r="F2508" t="s">
        <v>7083</v>
      </c>
      <c r="G2508" s="1"/>
      <c r="H2508" t="str">
        <f>"3250613831202"</f>
        <v>3250613831202</v>
      </c>
      <c r="J2508" t="s">
        <v>7162</v>
      </c>
    </row>
    <row r="2509" spans="1:10" x14ac:dyDescent="0.25">
      <c r="A2509" t="s">
        <v>8</v>
      </c>
      <c r="B2509" t="s">
        <v>7163</v>
      </c>
      <c r="C2509" t="s">
        <v>7164</v>
      </c>
      <c r="D2509">
        <v>1</v>
      </c>
      <c r="E2509" t="s">
        <v>7082</v>
      </c>
      <c r="F2509" t="s">
        <v>7083</v>
      </c>
      <c r="G2509" s="1"/>
      <c r="H2509" t="str">
        <f>"3250613849115"</f>
        <v>3250613849115</v>
      </c>
      <c r="J2509" t="s">
        <v>7096</v>
      </c>
    </row>
    <row r="2510" spans="1:10" x14ac:dyDescent="0.25">
      <c r="A2510" t="s">
        <v>8</v>
      </c>
      <c r="B2510" t="s">
        <v>7165</v>
      </c>
      <c r="C2510" t="s">
        <v>7166</v>
      </c>
      <c r="D2510">
        <v>1</v>
      </c>
      <c r="E2510" t="s">
        <v>7082</v>
      </c>
      <c r="F2510" t="s">
        <v>7083</v>
      </c>
      <c r="G2510" s="1"/>
      <c r="H2510" t="str">
        <f>"3250613849122"</f>
        <v>3250613849122</v>
      </c>
      <c r="J2510" t="s">
        <v>7155</v>
      </c>
    </row>
    <row r="2511" spans="1:10" x14ac:dyDescent="0.25">
      <c r="A2511" t="s">
        <v>8</v>
      </c>
      <c r="B2511" t="s">
        <v>7167</v>
      </c>
      <c r="C2511" t="s">
        <v>7168</v>
      </c>
      <c r="D2511">
        <v>1</v>
      </c>
      <c r="E2511" t="s">
        <v>7082</v>
      </c>
      <c r="F2511" t="s">
        <v>7083</v>
      </c>
      <c r="G2511" s="1"/>
      <c r="H2511" t="str">
        <f>"3250613849207"</f>
        <v>3250613849207</v>
      </c>
      <c r="J2511" t="s">
        <v>7158</v>
      </c>
    </row>
    <row r="2512" spans="1:10" x14ac:dyDescent="0.25">
      <c r="A2512" t="s">
        <v>8</v>
      </c>
      <c r="B2512" t="s">
        <v>7169</v>
      </c>
      <c r="C2512" t="s">
        <v>7170</v>
      </c>
      <c r="D2512">
        <v>1</v>
      </c>
      <c r="E2512" t="s">
        <v>7082</v>
      </c>
      <c r="F2512" t="s">
        <v>7083</v>
      </c>
      <c r="G2512" s="1"/>
      <c r="H2512" t="str">
        <f>"3250613760045"</f>
        <v>3250613760045</v>
      </c>
      <c r="J2512" t="s">
        <v>7171</v>
      </c>
    </row>
    <row r="2513" spans="1:10" x14ac:dyDescent="0.25">
      <c r="A2513" t="s">
        <v>8</v>
      </c>
      <c r="B2513" t="s">
        <v>7172</v>
      </c>
      <c r="C2513" t="s">
        <v>7173</v>
      </c>
      <c r="D2513">
        <v>1</v>
      </c>
      <c r="E2513" t="s">
        <v>7082</v>
      </c>
      <c r="F2513" t="s">
        <v>7083</v>
      </c>
      <c r="G2513" s="1"/>
      <c r="H2513" t="str">
        <f>"3250613831110"</f>
        <v>3250613831110</v>
      </c>
      <c r="J2513" t="s">
        <v>7174</v>
      </c>
    </row>
    <row r="2514" spans="1:10" x14ac:dyDescent="0.25">
      <c r="A2514" t="s">
        <v>8</v>
      </c>
      <c r="B2514" t="s">
        <v>7175</v>
      </c>
      <c r="C2514" t="s">
        <v>7176</v>
      </c>
      <c r="D2514">
        <v>1</v>
      </c>
      <c r="E2514" t="s">
        <v>7082</v>
      </c>
      <c r="F2514" t="s">
        <v>7083</v>
      </c>
      <c r="G2514" s="1"/>
      <c r="H2514" t="str">
        <f>"3250613831080"</f>
        <v>3250613831080</v>
      </c>
      <c r="J2514" t="s">
        <v>7177</v>
      </c>
    </row>
    <row r="2515" spans="1:10" x14ac:dyDescent="0.25">
      <c r="A2515" t="s">
        <v>8</v>
      </c>
      <c r="B2515" t="s">
        <v>7178</v>
      </c>
      <c r="C2515" t="s">
        <v>7179</v>
      </c>
      <c r="D2515">
        <v>1</v>
      </c>
      <c r="E2515" t="s">
        <v>7082</v>
      </c>
      <c r="F2515" t="s">
        <v>7083</v>
      </c>
      <c r="G2515" s="1"/>
      <c r="H2515" t="str">
        <f>"3250613849016"</f>
        <v>3250613849016</v>
      </c>
      <c r="J2515" t="s">
        <v>7096</v>
      </c>
    </row>
    <row r="2516" spans="1:10" x14ac:dyDescent="0.25">
      <c r="A2516" t="s">
        <v>8</v>
      </c>
      <c r="B2516" t="s">
        <v>7180</v>
      </c>
      <c r="C2516" t="s">
        <v>7181</v>
      </c>
      <c r="D2516">
        <v>1</v>
      </c>
      <c r="E2516" t="s">
        <v>7082</v>
      </c>
      <c r="F2516" t="s">
        <v>7083</v>
      </c>
      <c r="G2516" s="1"/>
      <c r="H2516" t="str">
        <f>"3250613849368"</f>
        <v>3250613849368</v>
      </c>
      <c r="J2516" t="s">
        <v>7182</v>
      </c>
    </row>
    <row r="2517" spans="1:10" x14ac:dyDescent="0.25">
      <c r="A2517" t="s">
        <v>8</v>
      </c>
      <c r="B2517" t="s">
        <v>7183</v>
      </c>
      <c r="C2517" t="s">
        <v>7184</v>
      </c>
      <c r="D2517">
        <v>1</v>
      </c>
      <c r="E2517" t="s">
        <v>7082</v>
      </c>
      <c r="F2517" t="s">
        <v>7083</v>
      </c>
      <c r="G2517" s="1"/>
      <c r="H2517" t="str">
        <f>"3250613730161"</f>
        <v>3250613730161</v>
      </c>
      <c r="J2517" t="s">
        <v>7185</v>
      </c>
    </row>
    <row r="2518" spans="1:10" x14ac:dyDescent="0.25">
      <c r="A2518" t="s">
        <v>8</v>
      </c>
      <c r="B2518" t="s">
        <v>7186</v>
      </c>
      <c r="C2518" t="s">
        <v>7187</v>
      </c>
      <c r="D2518">
        <v>1</v>
      </c>
      <c r="E2518" t="s">
        <v>7082</v>
      </c>
      <c r="F2518" t="s">
        <v>7083</v>
      </c>
      <c r="G2518" s="1"/>
      <c r="H2518" t="str">
        <f>"3250613831028"</f>
        <v>3250613831028</v>
      </c>
      <c r="J2518" t="s">
        <v>7188</v>
      </c>
    </row>
    <row r="2519" spans="1:10" x14ac:dyDescent="0.25">
      <c r="A2519" t="s">
        <v>8</v>
      </c>
      <c r="B2519" t="s">
        <v>7189</v>
      </c>
      <c r="C2519" t="s">
        <v>7190</v>
      </c>
      <c r="D2519">
        <v>1</v>
      </c>
      <c r="E2519" t="s">
        <v>7082</v>
      </c>
      <c r="F2519" t="s">
        <v>7083</v>
      </c>
      <c r="G2519" s="1"/>
      <c r="H2519" t="str">
        <f>"3250613831257"</f>
        <v>3250613831257</v>
      </c>
      <c r="J2519" t="s">
        <v>7191</v>
      </c>
    </row>
    <row r="2520" spans="1:10" x14ac:dyDescent="0.25">
      <c r="A2520" t="s">
        <v>8</v>
      </c>
      <c r="B2520" t="s">
        <v>7192</v>
      </c>
      <c r="C2520" t="s">
        <v>7193</v>
      </c>
      <c r="D2520">
        <v>1</v>
      </c>
      <c r="E2520" t="s">
        <v>7082</v>
      </c>
      <c r="F2520" t="s">
        <v>7083</v>
      </c>
      <c r="G2520" s="1"/>
      <c r="H2520" t="str">
        <f>"3250613849252"</f>
        <v>3250613849252</v>
      </c>
      <c r="J2520" t="s">
        <v>7194</v>
      </c>
    </row>
    <row r="2521" spans="1:10" x14ac:dyDescent="0.25">
      <c r="A2521" t="s">
        <v>8</v>
      </c>
      <c r="B2521" t="s">
        <v>7195</v>
      </c>
      <c r="C2521" t="s">
        <v>7196</v>
      </c>
      <c r="D2521">
        <v>1</v>
      </c>
      <c r="E2521" t="s">
        <v>7082</v>
      </c>
      <c r="F2521" t="s">
        <v>7083</v>
      </c>
      <c r="G2521" s="1"/>
      <c r="H2521" t="str">
        <f>"3250613849344"</f>
        <v>3250613849344</v>
      </c>
      <c r="J2521" t="s">
        <v>7197</v>
      </c>
    </row>
    <row r="2522" spans="1:10" x14ac:dyDescent="0.25">
      <c r="A2522" t="s">
        <v>8</v>
      </c>
      <c r="B2522" t="s">
        <v>7198</v>
      </c>
      <c r="C2522" t="s">
        <v>7199</v>
      </c>
      <c r="D2522">
        <v>1</v>
      </c>
      <c r="E2522" t="s">
        <v>7082</v>
      </c>
      <c r="F2522" t="s">
        <v>7083</v>
      </c>
      <c r="G2522" s="1"/>
      <c r="H2522" t="str">
        <f>"3250613849160"</f>
        <v>3250613849160</v>
      </c>
      <c r="J2522" t="s">
        <v>7182</v>
      </c>
    </row>
    <row r="2523" spans="1:10" x14ac:dyDescent="0.25">
      <c r="A2523" t="s">
        <v>8</v>
      </c>
      <c r="B2523" t="s">
        <v>7200</v>
      </c>
      <c r="C2523" t="s">
        <v>7201</v>
      </c>
      <c r="D2523">
        <v>1</v>
      </c>
      <c r="E2523" t="s">
        <v>7082</v>
      </c>
      <c r="F2523" t="s">
        <v>7083</v>
      </c>
      <c r="G2523" s="1"/>
      <c r="H2523" t="str">
        <f>"3250613960131"</f>
        <v>3250613960131</v>
      </c>
      <c r="J2523" t="s">
        <v>7143</v>
      </c>
    </row>
    <row r="2524" spans="1:10" x14ac:dyDescent="0.25">
      <c r="A2524" t="s">
        <v>8</v>
      </c>
      <c r="B2524" t="s">
        <v>7202</v>
      </c>
      <c r="C2524" t="s">
        <v>7203</v>
      </c>
      <c r="D2524">
        <v>1</v>
      </c>
      <c r="E2524" t="s">
        <v>7082</v>
      </c>
      <c r="F2524" t="s">
        <v>7083</v>
      </c>
      <c r="G2524" s="1"/>
      <c r="H2524" t="str">
        <f>"3250613720681"</f>
        <v>3250613720681</v>
      </c>
      <c r="J2524" t="s">
        <v>7204</v>
      </c>
    </row>
    <row r="2525" spans="1:10" x14ac:dyDescent="0.25">
      <c r="A2525" t="s">
        <v>8</v>
      </c>
      <c r="B2525" t="s">
        <v>7205</v>
      </c>
      <c r="C2525" t="s">
        <v>7206</v>
      </c>
      <c r="D2525">
        <v>1</v>
      </c>
      <c r="E2525" t="s">
        <v>7082</v>
      </c>
      <c r="F2525" t="s">
        <v>7083</v>
      </c>
      <c r="G2525" s="1"/>
      <c r="H2525" t="str">
        <f>"3250613730154"</f>
        <v>3250613730154</v>
      </c>
      <c r="J2525" t="s">
        <v>7207</v>
      </c>
    </row>
    <row r="2526" spans="1:10" x14ac:dyDescent="0.25">
      <c r="A2526" t="s">
        <v>8</v>
      </c>
      <c r="B2526" t="s">
        <v>7208</v>
      </c>
      <c r="C2526" t="s">
        <v>7209</v>
      </c>
      <c r="D2526">
        <v>1</v>
      </c>
      <c r="E2526" t="s">
        <v>7082</v>
      </c>
      <c r="F2526" t="s">
        <v>7083</v>
      </c>
      <c r="G2526" s="1"/>
      <c r="H2526" t="str">
        <f>"3250613831059"</f>
        <v>3250613831059</v>
      </c>
      <c r="J2526" t="s">
        <v>7210</v>
      </c>
    </row>
    <row r="2527" spans="1:10" x14ac:dyDescent="0.25">
      <c r="A2527" t="s">
        <v>8</v>
      </c>
      <c r="B2527" t="s">
        <v>7211</v>
      </c>
      <c r="C2527" t="s">
        <v>7212</v>
      </c>
      <c r="D2527">
        <v>1</v>
      </c>
      <c r="E2527" t="s">
        <v>7082</v>
      </c>
      <c r="F2527" t="s">
        <v>7083</v>
      </c>
      <c r="G2527" s="1"/>
      <c r="H2527" t="str">
        <f>"3250613831219"</f>
        <v>3250613831219</v>
      </c>
      <c r="J2527" t="s">
        <v>7213</v>
      </c>
    </row>
    <row r="2528" spans="1:10" x14ac:dyDescent="0.25">
      <c r="A2528" t="s">
        <v>8</v>
      </c>
      <c r="B2528" t="s">
        <v>7214</v>
      </c>
      <c r="C2528" t="s">
        <v>7215</v>
      </c>
      <c r="D2528">
        <v>1</v>
      </c>
      <c r="E2528" t="s">
        <v>7082</v>
      </c>
      <c r="F2528" t="s">
        <v>7083</v>
      </c>
      <c r="G2528" s="1"/>
      <c r="H2528" t="str">
        <f>"3250613849269"</f>
        <v>3250613849269</v>
      </c>
      <c r="J2528" t="s">
        <v>7194</v>
      </c>
    </row>
    <row r="2529" spans="1:10" x14ac:dyDescent="0.25">
      <c r="A2529" t="s">
        <v>8</v>
      </c>
      <c r="B2529" t="s">
        <v>7216</v>
      </c>
      <c r="C2529" t="s">
        <v>7217</v>
      </c>
      <c r="D2529">
        <v>1</v>
      </c>
      <c r="E2529" t="s">
        <v>7082</v>
      </c>
      <c r="F2529" t="s">
        <v>7083</v>
      </c>
      <c r="G2529" s="1"/>
      <c r="H2529" t="str">
        <f>"3250613849146"</f>
        <v>3250613849146</v>
      </c>
      <c r="J2529" t="s">
        <v>7197</v>
      </c>
    </row>
    <row r="2530" spans="1:10" x14ac:dyDescent="0.25">
      <c r="A2530" t="s">
        <v>8</v>
      </c>
      <c r="B2530" t="s">
        <v>7218</v>
      </c>
      <c r="C2530" t="s">
        <v>7219</v>
      </c>
      <c r="D2530">
        <v>1</v>
      </c>
      <c r="E2530" t="s">
        <v>7082</v>
      </c>
      <c r="F2530" t="s">
        <v>7083</v>
      </c>
      <c r="G2530" s="1"/>
      <c r="H2530" t="str">
        <f>"3250613960124"</f>
        <v>3250613960124</v>
      </c>
      <c r="J2530" t="s">
        <v>7221</v>
      </c>
    </row>
    <row r="2531" spans="1:10" x14ac:dyDescent="0.25">
      <c r="A2531" t="s">
        <v>8</v>
      </c>
      <c r="B2531" t="s">
        <v>7222</v>
      </c>
      <c r="C2531" t="s">
        <v>7223</v>
      </c>
      <c r="D2531">
        <v>1</v>
      </c>
      <c r="E2531" t="s">
        <v>7082</v>
      </c>
      <c r="F2531" t="s">
        <v>7083</v>
      </c>
      <c r="G2531" s="1"/>
      <c r="H2531" t="str">
        <f>"3250613760106"</f>
        <v>3250613760106</v>
      </c>
      <c r="J2531" t="s">
        <v>7224</v>
      </c>
    </row>
    <row r="2532" spans="1:10" x14ac:dyDescent="0.25">
      <c r="A2532" t="s">
        <v>8</v>
      </c>
      <c r="B2532" t="s">
        <v>7225</v>
      </c>
      <c r="C2532" t="s">
        <v>7226</v>
      </c>
      <c r="D2532">
        <v>1</v>
      </c>
      <c r="E2532" t="s">
        <v>7082</v>
      </c>
      <c r="F2532" t="s">
        <v>7083</v>
      </c>
      <c r="G2532" s="1"/>
      <c r="H2532" t="str">
        <f>"3250613831073"</f>
        <v>3250613831073</v>
      </c>
      <c r="J2532" t="s">
        <v>7227</v>
      </c>
    </row>
    <row r="2533" spans="1:10" x14ac:dyDescent="0.25">
      <c r="A2533" t="s">
        <v>8</v>
      </c>
      <c r="B2533" t="s">
        <v>7228</v>
      </c>
      <c r="C2533" t="s">
        <v>7229</v>
      </c>
      <c r="D2533">
        <v>1</v>
      </c>
      <c r="E2533" t="s">
        <v>7082</v>
      </c>
      <c r="F2533" t="s">
        <v>7083</v>
      </c>
      <c r="G2533" s="1"/>
      <c r="H2533" t="str">
        <f>"3250613831226"</f>
        <v>3250613831226</v>
      </c>
      <c r="J2533" t="s">
        <v>7230</v>
      </c>
    </row>
    <row r="2534" spans="1:10" x14ac:dyDescent="0.25">
      <c r="A2534" t="s">
        <v>8</v>
      </c>
      <c r="B2534" t="s">
        <v>7231</v>
      </c>
      <c r="C2534" t="s">
        <v>7232</v>
      </c>
      <c r="D2534">
        <v>1</v>
      </c>
      <c r="E2534" t="s">
        <v>7082</v>
      </c>
      <c r="F2534" t="s">
        <v>7083</v>
      </c>
      <c r="G2534" s="1"/>
      <c r="H2534" t="str">
        <f>"3250613849023"</f>
        <v>3250613849023</v>
      </c>
      <c r="J2534" t="s">
        <v>7155</v>
      </c>
    </row>
    <row r="2535" spans="1:10" x14ac:dyDescent="0.25">
      <c r="A2535" t="s">
        <v>8</v>
      </c>
      <c r="B2535" t="s">
        <v>7233</v>
      </c>
      <c r="C2535" t="s">
        <v>7234</v>
      </c>
      <c r="D2535">
        <v>1</v>
      </c>
      <c r="E2535" t="s">
        <v>7082</v>
      </c>
      <c r="F2535" t="s">
        <v>7083</v>
      </c>
      <c r="G2535" s="1"/>
      <c r="H2535" t="str">
        <f>"3250613849047"</f>
        <v>3250613849047</v>
      </c>
      <c r="J2535" t="s">
        <v>7197</v>
      </c>
    </row>
    <row r="2536" spans="1:10" x14ac:dyDescent="0.25">
      <c r="A2536" t="s">
        <v>8</v>
      </c>
      <c r="B2536" t="s">
        <v>7235</v>
      </c>
      <c r="C2536" t="s">
        <v>7236</v>
      </c>
      <c r="D2536">
        <v>1</v>
      </c>
      <c r="E2536" t="s">
        <v>7082</v>
      </c>
      <c r="F2536" t="s">
        <v>7083</v>
      </c>
      <c r="G2536" s="1"/>
      <c r="H2536" t="str">
        <f>"3250613960629"</f>
        <v>3250613960629</v>
      </c>
      <c r="J2536" t="s">
        <v>7237</v>
      </c>
    </row>
    <row r="2537" spans="1:10" x14ac:dyDescent="0.25">
      <c r="A2537" t="s">
        <v>8</v>
      </c>
      <c r="B2537" t="s">
        <v>7238</v>
      </c>
      <c r="C2537" t="s">
        <v>7239</v>
      </c>
      <c r="D2537">
        <v>1</v>
      </c>
      <c r="E2537" t="s">
        <v>7082</v>
      </c>
      <c r="F2537" t="s">
        <v>7083</v>
      </c>
      <c r="G2537" s="1"/>
      <c r="H2537" t="str">
        <f>"3250613831103"</f>
        <v>3250613831103</v>
      </c>
      <c r="J2537" t="s">
        <v>7240</v>
      </c>
    </row>
    <row r="2538" spans="1:10" x14ac:dyDescent="0.25">
      <c r="A2538" t="s">
        <v>8</v>
      </c>
      <c r="B2538" t="s">
        <v>7241</v>
      </c>
      <c r="C2538" t="s">
        <v>7173</v>
      </c>
      <c r="D2538">
        <v>1</v>
      </c>
      <c r="E2538" t="s">
        <v>7082</v>
      </c>
      <c r="F2538" t="s">
        <v>7083</v>
      </c>
      <c r="G2538" s="1"/>
      <c r="H2538" t="str">
        <f>"3250613831172"</f>
        <v>3250613831172</v>
      </c>
      <c r="J2538" t="s">
        <v>7242</v>
      </c>
    </row>
    <row r="2539" spans="1:10" x14ac:dyDescent="0.25">
      <c r="A2539" t="s">
        <v>8</v>
      </c>
      <c r="B2539" t="s">
        <v>7243</v>
      </c>
      <c r="C2539" t="s">
        <v>7244</v>
      </c>
      <c r="D2539">
        <v>1</v>
      </c>
      <c r="E2539" t="s">
        <v>7082</v>
      </c>
      <c r="F2539" t="s">
        <v>7083</v>
      </c>
      <c r="G2539" s="1"/>
      <c r="H2539" t="str">
        <f>"3250613849337"</f>
        <v>3250613849337</v>
      </c>
      <c r="J2539" t="s">
        <v>7119</v>
      </c>
    </row>
    <row r="2540" spans="1:10" x14ac:dyDescent="0.25">
      <c r="A2540" t="s">
        <v>8</v>
      </c>
      <c r="B2540" t="s">
        <v>7245</v>
      </c>
      <c r="C2540" t="s">
        <v>7246</v>
      </c>
      <c r="D2540">
        <v>1</v>
      </c>
      <c r="E2540" t="s">
        <v>7082</v>
      </c>
      <c r="F2540" t="s">
        <v>7083</v>
      </c>
      <c r="G2540" s="1"/>
      <c r="H2540" t="str">
        <f>"3250613960612"</f>
        <v>3250613960612</v>
      </c>
      <c r="J2540" t="s">
        <v>7247</v>
      </c>
    </row>
    <row r="2541" spans="1:10" x14ac:dyDescent="0.25">
      <c r="A2541" t="s">
        <v>8</v>
      </c>
      <c r="B2541" t="s">
        <v>7248</v>
      </c>
      <c r="C2541" t="s">
        <v>7249</v>
      </c>
      <c r="D2541">
        <v>1</v>
      </c>
      <c r="E2541" t="s">
        <v>7082</v>
      </c>
      <c r="F2541" t="s">
        <v>7083</v>
      </c>
      <c r="G2541" s="1"/>
      <c r="H2541" t="str">
        <f>"3250613730147"</f>
        <v>3250613730147</v>
      </c>
      <c r="J2541" t="s">
        <v>7250</v>
      </c>
    </row>
    <row r="2542" spans="1:10" x14ac:dyDescent="0.25">
      <c r="A2542" t="s">
        <v>8</v>
      </c>
      <c r="B2542" t="s">
        <v>7251</v>
      </c>
      <c r="C2542" t="s">
        <v>7252</v>
      </c>
      <c r="D2542">
        <v>1</v>
      </c>
      <c r="E2542" t="s">
        <v>7082</v>
      </c>
      <c r="F2542" t="s">
        <v>7083</v>
      </c>
      <c r="G2542" s="1"/>
      <c r="H2542" t="str">
        <f>"3250613831097"</f>
        <v>3250613831097</v>
      </c>
      <c r="J2542" t="s">
        <v>7253</v>
      </c>
    </row>
    <row r="2543" spans="1:10" x14ac:dyDescent="0.25">
      <c r="A2543" t="s">
        <v>8</v>
      </c>
      <c r="B2543" t="s">
        <v>7254</v>
      </c>
      <c r="C2543" t="s">
        <v>7255</v>
      </c>
      <c r="D2543">
        <v>1</v>
      </c>
      <c r="E2543" t="s">
        <v>7082</v>
      </c>
      <c r="F2543" t="s">
        <v>7083</v>
      </c>
      <c r="G2543" s="1"/>
      <c r="H2543" t="str">
        <f>"3250613849061"</f>
        <v>3250613849061</v>
      </c>
      <c r="J2543" t="s">
        <v>7182</v>
      </c>
    </row>
    <row r="2544" spans="1:10" x14ac:dyDescent="0.25">
      <c r="A2544" t="s">
        <v>8</v>
      </c>
      <c r="B2544" t="s">
        <v>7256</v>
      </c>
      <c r="C2544" t="s">
        <v>7257</v>
      </c>
      <c r="D2544">
        <v>1</v>
      </c>
      <c r="E2544" t="s">
        <v>7082</v>
      </c>
      <c r="F2544" t="s">
        <v>7083</v>
      </c>
      <c r="G2544" s="1"/>
      <c r="H2544" t="str">
        <f>"3250613849221"</f>
        <v>3250613849221</v>
      </c>
      <c r="J2544" t="s">
        <v>7158</v>
      </c>
    </row>
    <row r="2545" spans="1:10" x14ac:dyDescent="0.25">
      <c r="A2545" t="s">
        <v>8</v>
      </c>
      <c r="B2545" t="s">
        <v>7258</v>
      </c>
      <c r="C2545" t="s">
        <v>7259</v>
      </c>
      <c r="D2545">
        <v>1</v>
      </c>
      <c r="E2545" t="s">
        <v>7082</v>
      </c>
      <c r="F2545" t="s">
        <v>7083</v>
      </c>
      <c r="G2545" s="1"/>
      <c r="H2545" t="str">
        <f>"3250613720049"</f>
        <v>3250613720049</v>
      </c>
      <c r="J2545" t="s">
        <v>7260</v>
      </c>
    </row>
    <row r="2546" spans="1:10" x14ac:dyDescent="0.25">
      <c r="A2546" t="s">
        <v>8</v>
      </c>
      <c r="B2546" t="s">
        <v>7261</v>
      </c>
      <c r="C2546" t="s">
        <v>7262</v>
      </c>
      <c r="D2546">
        <v>1</v>
      </c>
      <c r="E2546" t="s">
        <v>7082</v>
      </c>
      <c r="F2546" t="s">
        <v>7083</v>
      </c>
      <c r="G2546" s="1"/>
      <c r="H2546" t="str">
        <f>"3250613720032"</f>
        <v>3250613720032</v>
      </c>
      <c r="J2546" t="s">
        <v>7260</v>
      </c>
    </row>
    <row r="2547" spans="1:10" x14ac:dyDescent="0.25">
      <c r="A2547" t="s">
        <v>8</v>
      </c>
      <c r="B2547" t="s">
        <v>7263</v>
      </c>
      <c r="C2547" t="s">
        <v>7264</v>
      </c>
      <c r="D2547">
        <v>1</v>
      </c>
      <c r="E2547" t="s">
        <v>7082</v>
      </c>
      <c r="F2547" t="s">
        <v>7083</v>
      </c>
      <c r="G2547" s="1"/>
      <c r="H2547" t="str">
        <f>"3250613720810"</f>
        <v>3250613720810</v>
      </c>
      <c r="J2547" t="s">
        <v>7265</v>
      </c>
    </row>
    <row r="2548" spans="1:10" x14ac:dyDescent="0.25">
      <c r="A2548" t="s">
        <v>8</v>
      </c>
      <c r="B2548" t="s">
        <v>7266</v>
      </c>
      <c r="C2548" t="s">
        <v>7267</v>
      </c>
      <c r="D2548">
        <v>1</v>
      </c>
      <c r="E2548" t="s">
        <v>7082</v>
      </c>
      <c r="F2548" t="s">
        <v>7083</v>
      </c>
      <c r="G2548" s="1"/>
      <c r="H2548" t="str">
        <f>"3250613735067"</f>
        <v>3250613735067</v>
      </c>
      <c r="J2548" t="s">
        <v>7268</v>
      </c>
    </row>
    <row r="2549" spans="1:10" x14ac:dyDescent="0.25">
      <c r="A2549" t="s">
        <v>8</v>
      </c>
      <c r="B2549" t="s">
        <v>7269</v>
      </c>
      <c r="C2549" t="s">
        <v>7270</v>
      </c>
      <c r="D2549">
        <v>1</v>
      </c>
      <c r="E2549" t="s">
        <v>7271</v>
      </c>
      <c r="F2549" t="s">
        <v>7272</v>
      </c>
      <c r="G2549" s="1"/>
      <c r="H2549" t="str">
        <f>"3250614196041"</f>
        <v>3250614196041</v>
      </c>
      <c r="J2549" t="s">
        <v>7273</v>
      </c>
    </row>
    <row r="2550" spans="1:10" x14ac:dyDescent="0.25">
      <c r="A2550" t="s">
        <v>8</v>
      </c>
      <c r="B2550" t="s">
        <v>7274</v>
      </c>
      <c r="C2550" t="s">
        <v>7275</v>
      </c>
      <c r="D2550">
        <v>1</v>
      </c>
      <c r="E2550" t="s">
        <v>7271</v>
      </c>
      <c r="F2550" t="s">
        <v>7272</v>
      </c>
      <c r="G2550" s="1"/>
      <c r="H2550" t="str">
        <f>"3250614565168"</f>
        <v>3250614565168</v>
      </c>
      <c r="J2550" t="s">
        <v>7276</v>
      </c>
    </row>
    <row r="2551" spans="1:10" x14ac:dyDescent="0.25">
      <c r="A2551" t="s">
        <v>8</v>
      </c>
      <c r="B2551" t="s">
        <v>7277</v>
      </c>
      <c r="C2551" t="s">
        <v>7278</v>
      </c>
      <c r="D2551">
        <v>1</v>
      </c>
      <c r="E2551" t="s">
        <v>7271</v>
      </c>
      <c r="F2551" t="s">
        <v>7272</v>
      </c>
      <c r="G2551" s="1"/>
      <c r="H2551" t="str">
        <f>"3250615514400"</f>
        <v>3250615514400</v>
      </c>
      <c r="J2551" t="s">
        <v>7279</v>
      </c>
    </row>
    <row r="2552" spans="1:10" x14ac:dyDescent="0.25">
      <c r="A2552" t="s">
        <v>8</v>
      </c>
      <c r="B2552" t="s">
        <v>7280</v>
      </c>
      <c r="C2552" t="s">
        <v>7281</v>
      </c>
      <c r="D2552">
        <v>1</v>
      </c>
      <c r="E2552" t="s">
        <v>7271</v>
      </c>
      <c r="F2552" t="s">
        <v>7272</v>
      </c>
      <c r="G2552" s="1"/>
      <c r="H2552" t="str">
        <f>"3250610100363"</f>
        <v>3250610100363</v>
      </c>
      <c r="J2552" t="s">
        <v>7282</v>
      </c>
    </row>
    <row r="2553" spans="1:10" x14ac:dyDescent="0.25">
      <c r="A2553" t="s">
        <v>8</v>
      </c>
      <c r="B2553" t="s">
        <v>7283</v>
      </c>
      <c r="C2553" t="s">
        <v>7284</v>
      </c>
      <c r="D2553">
        <v>1</v>
      </c>
      <c r="E2553" t="s">
        <v>7271</v>
      </c>
      <c r="F2553" t="s">
        <v>7272</v>
      </c>
      <c r="G2553" s="1"/>
      <c r="H2553" t="str">
        <f>"3250614196034"</f>
        <v>3250614196034</v>
      </c>
      <c r="J2553" t="s">
        <v>7285</v>
      </c>
    </row>
    <row r="2554" spans="1:10" x14ac:dyDescent="0.25">
      <c r="A2554" t="s">
        <v>8</v>
      </c>
      <c r="B2554" t="s">
        <v>7286</v>
      </c>
      <c r="C2554" t="s">
        <v>7287</v>
      </c>
      <c r="D2554">
        <v>1</v>
      </c>
      <c r="E2554" t="s">
        <v>7271</v>
      </c>
      <c r="F2554" t="s">
        <v>7272</v>
      </c>
      <c r="G2554" s="1"/>
      <c r="H2554" t="str">
        <f>"3250614562037"</f>
        <v>3250614562037</v>
      </c>
      <c r="J2554" t="s">
        <v>7288</v>
      </c>
    </row>
    <row r="2555" spans="1:10" x14ac:dyDescent="0.25">
      <c r="A2555" t="s">
        <v>8</v>
      </c>
      <c r="B2555" t="s">
        <v>7289</v>
      </c>
      <c r="C2555" t="s">
        <v>7290</v>
      </c>
      <c r="D2555">
        <v>1</v>
      </c>
      <c r="E2555" t="s">
        <v>7271</v>
      </c>
      <c r="F2555" t="s">
        <v>7272</v>
      </c>
      <c r="G2555" s="1"/>
      <c r="H2555" t="str">
        <f>"3250614565106"</f>
        <v>3250614565106</v>
      </c>
      <c r="J2555" t="s">
        <v>7291</v>
      </c>
    </row>
    <row r="2556" spans="1:10" x14ac:dyDescent="0.25">
      <c r="A2556" t="s">
        <v>8</v>
      </c>
      <c r="B2556" t="s">
        <v>7292</v>
      </c>
      <c r="C2556" t="s">
        <v>7293</v>
      </c>
      <c r="D2556">
        <v>1</v>
      </c>
      <c r="E2556" t="s">
        <v>7271</v>
      </c>
      <c r="F2556" t="s">
        <v>7272</v>
      </c>
      <c r="G2556" s="1"/>
      <c r="H2556" t="str">
        <f>"3250614316302"</f>
        <v>3250614316302</v>
      </c>
      <c r="J2556" t="s">
        <v>7294</v>
      </c>
    </row>
    <row r="2557" spans="1:10" x14ac:dyDescent="0.25">
      <c r="A2557" t="s">
        <v>8</v>
      </c>
      <c r="B2557" t="s">
        <v>7295</v>
      </c>
      <c r="C2557" t="s">
        <v>7296</v>
      </c>
      <c r="D2557">
        <v>1</v>
      </c>
      <c r="E2557" t="s">
        <v>7271</v>
      </c>
      <c r="F2557" t="s">
        <v>7272</v>
      </c>
      <c r="G2557" s="1"/>
      <c r="H2557" t="str">
        <f>"3250615512802"</f>
        <v>3250615512802</v>
      </c>
      <c r="J2557" t="s">
        <v>7297</v>
      </c>
    </row>
    <row r="2558" spans="1:10" x14ac:dyDescent="0.25">
      <c r="A2558" t="s">
        <v>8</v>
      </c>
      <c r="B2558" t="s">
        <v>7298</v>
      </c>
      <c r="C2558" t="s">
        <v>7299</v>
      </c>
      <c r="D2558">
        <v>1</v>
      </c>
      <c r="E2558" t="s">
        <v>7271</v>
      </c>
      <c r="F2558" t="s">
        <v>7272</v>
      </c>
      <c r="G2558" s="1"/>
      <c r="H2558" t="str">
        <f>"3250610100356"</f>
        <v>3250610100356</v>
      </c>
      <c r="J2558" t="s">
        <v>7300</v>
      </c>
    </row>
    <row r="2559" spans="1:10" x14ac:dyDescent="0.25">
      <c r="A2559" t="s">
        <v>8</v>
      </c>
      <c r="B2559" t="s">
        <v>7301</v>
      </c>
      <c r="C2559" t="s">
        <v>7302</v>
      </c>
      <c r="D2559">
        <v>1</v>
      </c>
      <c r="E2559" t="s">
        <v>7271</v>
      </c>
      <c r="F2559" t="s">
        <v>7272</v>
      </c>
      <c r="G2559" s="1"/>
      <c r="H2559" t="str">
        <f>"3250614197024"</f>
        <v>3250614197024</v>
      </c>
      <c r="J2559" t="s">
        <v>7303</v>
      </c>
    </row>
    <row r="2560" spans="1:10" x14ac:dyDescent="0.25">
      <c r="A2560" t="s">
        <v>8</v>
      </c>
      <c r="B2560" t="s">
        <v>7304</v>
      </c>
      <c r="C2560" t="s">
        <v>7305</v>
      </c>
      <c r="D2560">
        <v>1</v>
      </c>
      <c r="E2560" t="s">
        <v>7271</v>
      </c>
      <c r="F2560" t="s">
        <v>7272</v>
      </c>
      <c r="G2560" s="1"/>
      <c r="H2560" t="str">
        <f>"3250614260605"</f>
        <v>3250614260605</v>
      </c>
      <c r="J2560" t="s">
        <v>7306</v>
      </c>
    </row>
    <row r="2561" spans="1:10" x14ac:dyDescent="0.25">
      <c r="A2561" t="s">
        <v>8</v>
      </c>
      <c r="B2561" t="s">
        <v>7307</v>
      </c>
      <c r="C2561" t="s">
        <v>7308</v>
      </c>
      <c r="D2561">
        <v>1</v>
      </c>
      <c r="E2561" t="s">
        <v>7271</v>
      </c>
      <c r="F2561" t="s">
        <v>7272</v>
      </c>
      <c r="G2561" s="1"/>
      <c r="H2561" t="str">
        <f>"3250614562020"</f>
        <v>3250614562020</v>
      </c>
      <c r="J2561" t="s">
        <v>7309</v>
      </c>
    </row>
    <row r="2562" spans="1:10" x14ac:dyDescent="0.25">
      <c r="A2562" t="s">
        <v>8</v>
      </c>
      <c r="B2562" t="s">
        <v>7310</v>
      </c>
      <c r="C2562" t="s">
        <v>7311</v>
      </c>
      <c r="D2562">
        <v>1</v>
      </c>
      <c r="E2562" t="s">
        <v>7271</v>
      </c>
      <c r="F2562" t="s">
        <v>7272</v>
      </c>
      <c r="G2562" s="1"/>
      <c r="H2562" t="str">
        <f>"3250614197017"</f>
        <v>3250614197017</v>
      </c>
      <c r="J2562" t="s">
        <v>7312</v>
      </c>
    </row>
    <row r="2563" spans="1:10" x14ac:dyDescent="0.25">
      <c r="A2563" t="s">
        <v>8</v>
      </c>
      <c r="B2563" t="s">
        <v>7313</v>
      </c>
      <c r="C2563" t="s">
        <v>7314</v>
      </c>
      <c r="D2563">
        <v>1</v>
      </c>
      <c r="E2563" t="s">
        <v>7271</v>
      </c>
      <c r="F2563" t="s">
        <v>7272</v>
      </c>
      <c r="G2563" s="1"/>
      <c r="H2563" t="str">
        <f>"3250614197710"</f>
        <v>3250614197710</v>
      </c>
      <c r="J2563" t="s">
        <v>7315</v>
      </c>
    </row>
    <row r="2564" spans="1:10" x14ac:dyDescent="0.25">
      <c r="A2564" t="s">
        <v>8</v>
      </c>
      <c r="B2564" t="s">
        <v>7316</v>
      </c>
      <c r="C2564" t="s">
        <v>7317</v>
      </c>
      <c r="D2564">
        <v>1</v>
      </c>
      <c r="E2564" t="s">
        <v>7271</v>
      </c>
      <c r="F2564" t="s">
        <v>7272</v>
      </c>
      <c r="G2564" s="1"/>
      <c r="H2564" t="str">
        <f>"3250614562013"</f>
        <v>3250614562013</v>
      </c>
      <c r="J2564" t="s">
        <v>7318</v>
      </c>
    </row>
    <row r="2565" spans="1:10" x14ac:dyDescent="0.25">
      <c r="A2565" t="s">
        <v>8</v>
      </c>
      <c r="B2565" t="s">
        <v>7319</v>
      </c>
      <c r="C2565" t="s">
        <v>7320</v>
      </c>
      <c r="D2565">
        <v>1</v>
      </c>
      <c r="E2565" t="s">
        <v>7271</v>
      </c>
      <c r="F2565" t="s">
        <v>7272</v>
      </c>
      <c r="G2565" s="1"/>
      <c r="H2565" t="str">
        <f>"3250614565151"</f>
        <v>3250614565151</v>
      </c>
      <c r="J2565" t="s">
        <v>7321</v>
      </c>
    </row>
    <row r="2566" spans="1:10" x14ac:dyDescent="0.25">
      <c r="A2566" t="s">
        <v>8</v>
      </c>
      <c r="B2566" t="s">
        <v>7322</v>
      </c>
      <c r="C2566" t="s">
        <v>7323</v>
      </c>
      <c r="D2566">
        <v>1</v>
      </c>
      <c r="E2566" t="s">
        <v>7271</v>
      </c>
      <c r="F2566" t="s">
        <v>7272</v>
      </c>
      <c r="G2566" s="1"/>
      <c r="H2566" t="str">
        <f>"3250610100844"</f>
        <v>3250610100844</v>
      </c>
      <c r="J2566" t="s">
        <v>7324</v>
      </c>
    </row>
    <row r="2567" spans="1:10" x14ac:dyDescent="0.25">
      <c r="A2567" t="s">
        <v>8</v>
      </c>
      <c r="B2567" t="s">
        <v>7325</v>
      </c>
      <c r="C2567" t="s">
        <v>7326</v>
      </c>
      <c r="D2567">
        <v>1</v>
      </c>
      <c r="E2567" t="s">
        <v>7271</v>
      </c>
      <c r="F2567" t="s">
        <v>7272</v>
      </c>
      <c r="G2567" s="1"/>
      <c r="H2567" t="str">
        <f>"3250614196720"</f>
        <v>3250614196720</v>
      </c>
      <c r="J2567" t="s">
        <v>7327</v>
      </c>
    </row>
    <row r="2568" spans="1:10" x14ac:dyDescent="0.25">
      <c r="A2568" t="s">
        <v>8</v>
      </c>
      <c r="B2568" t="s">
        <v>7328</v>
      </c>
      <c r="C2568" t="s">
        <v>7329</v>
      </c>
      <c r="D2568">
        <v>1</v>
      </c>
      <c r="E2568" t="s">
        <v>7271</v>
      </c>
      <c r="F2568" t="s">
        <v>7272</v>
      </c>
      <c r="G2568" s="1"/>
      <c r="H2568" t="str">
        <f>"3250614565144"</f>
        <v>3250614565144</v>
      </c>
      <c r="J2568" t="s">
        <v>7330</v>
      </c>
    </row>
    <row r="2569" spans="1:10" x14ac:dyDescent="0.25">
      <c r="A2569" t="s">
        <v>8</v>
      </c>
      <c r="B2569" t="s">
        <v>7331</v>
      </c>
      <c r="C2569" t="s">
        <v>7332</v>
      </c>
      <c r="D2569">
        <v>1</v>
      </c>
      <c r="E2569" t="s">
        <v>7271</v>
      </c>
      <c r="F2569" t="s">
        <v>7272</v>
      </c>
      <c r="G2569" s="1"/>
      <c r="H2569" t="str">
        <f>"3250614560088"</f>
        <v>3250614560088</v>
      </c>
      <c r="J2569" t="s">
        <v>7333</v>
      </c>
    </row>
    <row r="2570" spans="1:10" x14ac:dyDescent="0.25">
      <c r="A2570" t="s">
        <v>8</v>
      </c>
      <c r="B2570" t="s">
        <v>7334</v>
      </c>
      <c r="C2570" t="s">
        <v>7335</v>
      </c>
      <c r="D2570">
        <v>1</v>
      </c>
      <c r="E2570" t="s">
        <v>7271</v>
      </c>
      <c r="F2570" t="s">
        <v>7272</v>
      </c>
      <c r="G2570" s="1"/>
      <c r="H2570" t="str">
        <f>"3250615512635"</f>
        <v>3250615512635</v>
      </c>
      <c r="J2570" t="s">
        <v>7336</v>
      </c>
    </row>
    <row r="2571" spans="1:10" x14ac:dyDescent="0.25">
      <c r="A2571" t="s">
        <v>8</v>
      </c>
      <c r="B2571" t="s">
        <v>7337</v>
      </c>
      <c r="C2571" t="s">
        <v>7338</v>
      </c>
      <c r="D2571">
        <v>1</v>
      </c>
      <c r="E2571" t="s">
        <v>7271</v>
      </c>
      <c r="F2571" t="s">
        <v>7272</v>
      </c>
      <c r="G2571" s="1"/>
      <c r="H2571" t="str">
        <f>"3250610100813"</f>
        <v>3250610100813</v>
      </c>
      <c r="J2571" t="s">
        <v>7339</v>
      </c>
    </row>
    <row r="2572" spans="1:10" x14ac:dyDescent="0.25">
      <c r="A2572" t="s">
        <v>8</v>
      </c>
      <c r="B2572" t="s">
        <v>7340</v>
      </c>
      <c r="C2572" t="s">
        <v>7341</v>
      </c>
      <c r="D2572">
        <v>1</v>
      </c>
      <c r="E2572" t="s">
        <v>7271</v>
      </c>
      <c r="F2572" t="s">
        <v>7272</v>
      </c>
      <c r="G2572" s="1"/>
      <c r="H2572" t="str">
        <f>"3250614123870"</f>
        <v>3250614123870</v>
      </c>
      <c r="J2572" t="s">
        <v>7342</v>
      </c>
    </row>
    <row r="2573" spans="1:10" x14ac:dyDescent="0.25">
      <c r="A2573" t="s">
        <v>8</v>
      </c>
      <c r="B2573" t="s">
        <v>7343</v>
      </c>
      <c r="C2573" t="s">
        <v>7344</v>
      </c>
      <c r="D2573">
        <v>1</v>
      </c>
      <c r="E2573" t="s">
        <v>7271</v>
      </c>
      <c r="F2573" t="s">
        <v>7272</v>
      </c>
      <c r="G2573" s="1"/>
      <c r="H2573" t="str">
        <f>"3250614196027"</f>
        <v>3250614196027</v>
      </c>
      <c r="J2573" t="s">
        <v>7345</v>
      </c>
    </row>
    <row r="2574" spans="1:10" x14ac:dyDescent="0.25">
      <c r="A2574" t="s">
        <v>8</v>
      </c>
      <c r="B2574" t="s">
        <v>7346</v>
      </c>
      <c r="C2574" t="s">
        <v>7347</v>
      </c>
      <c r="D2574">
        <v>1</v>
      </c>
      <c r="E2574" t="s">
        <v>7271</v>
      </c>
      <c r="F2574" t="s">
        <v>7272</v>
      </c>
      <c r="G2574" s="1"/>
      <c r="H2574" t="str">
        <f>"3250614196713"</f>
        <v>3250614196713</v>
      </c>
      <c r="J2574" t="s">
        <v>5893</v>
      </c>
    </row>
    <row r="2575" spans="1:10" x14ac:dyDescent="0.25">
      <c r="A2575" t="s">
        <v>8</v>
      </c>
      <c r="B2575" t="s">
        <v>7348</v>
      </c>
      <c r="C2575" t="s">
        <v>7349</v>
      </c>
      <c r="D2575">
        <v>1</v>
      </c>
      <c r="E2575" t="s">
        <v>7271</v>
      </c>
      <c r="F2575" t="s">
        <v>7272</v>
      </c>
      <c r="G2575" s="1"/>
      <c r="H2575" t="str">
        <f>"3250614565120"</f>
        <v>3250614565120</v>
      </c>
      <c r="J2575" t="s">
        <v>7350</v>
      </c>
    </row>
    <row r="2576" spans="1:10" x14ac:dyDescent="0.25">
      <c r="A2576" t="s">
        <v>8</v>
      </c>
      <c r="B2576" t="s">
        <v>7351</v>
      </c>
      <c r="C2576" t="s">
        <v>7352</v>
      </c>
      <c r="D2576">
        <v>1</v>
      </c>
      <c r="E2576" t="s">
        <v>7271</v>
      </c>
      <c r="F2576" t="s">
        <v>7272</v>
      </c>
      <c r="G2576" s="1"/>
      <c r="H2576" t="str">
        <f>"3250614560071"</f>
        <v>3250614560071</v>
      </c>
      <c r="J2576" t="s">
        <v>7353</v>
      </c>
    </row>
    <row r="2577" spans="1:10" x14ac:dyDescent="0.25">
      <c r="A2577" t="s">
        <v>8</v>
      </c>
      <c r="B2577" t="s">
        <v>7354</v>
      </c>
      <c r="C2577" t="s">
        <v>7355</v>
      </c>
      <c r="D2577">
        <v>1</v>
      </c>
      <c r="E2577" t="s">
        <v>7271</v>
      </c>
      <c r="F2577" t="s">
        <v>7272</v>
      </c>
      <c r="G2577" s="1"/>
      <c r="H2577" t="str">
        <f>"3250615512406"</f>
        <v>3250615512406</v>
      </c>
      <c r="J2577" t="s">
        <v>7356</v>
      </c>
    </row>
    <row r="2578" spans="1:10" x14ac:dyDescent="0.25">
      <c r="A2578" t="s">
        <v>8</v>
      </c>
      <c r="B2578" t="s">
        <v>7357</v>
      </c>
      <c r="C2578" t="s">
        <v>7358</v>
      </c>
      <c r="D2578">
        <v>1</v>
      </c>
      <c r="E2578" t="s">
        <v>7271</v>
      </c>
      <c r="F2578" t="s">
        <v>7272</v>
      </c>
      <c r="G2578" s="1"/>
      <c r="H2578" t="str">
        <f>"3250610100769"</f>
        <v>3250610100769</v>
      </c>
      <c r="J2578" t="s">
        <v>7359</v>
      </c>
    </row>
    <row r="2579" spans="1:10" x14ac:dyDescent="0.25">
      <c r="A2579" t="s">
        <v>8</v>
      </c>
      <c r="B2579" t="s">
        <v>7360</v>
      </c>
      <c r="C2579" t="s">
        <v>7361</v>
      </c>
      <c r="D2579">
        <v>1</v>
      </c>
      <c r="E2579" t="s">
        <v>7271</v>
      </c>
      <c r="F2579" t="s">
        <v>7272</v>
      </c>
      <c r="G2579" s="1"/>
      <c r="H2579" t="str">
        <f>"3250610100394"</f>
        <v>3250610100394</v>
      </c>
      <c r="J2579" t="s">
        <v>7362</v>
      </c>
    </row>
    <row r="2580" spans="1:10" x14ac:dyDescent="0.25">
      <c r="A2580" t="s">
        <v>8</v>
      </c>
      <c r="B2580" t="s">
        <v>7363</v>
      </c>
      <c r="C2580" t="s">
        <v>7364</v>
      </c>
      <c r="D2580">
        <v>1</v>
      </c>
      <c r="E2580" t="s">
        <v>7271</v>
      </c>
      <c r="F2580" t="s">
        <v>7272</v>
      </c>
      <c r="G2580" s="1"/>
      <c r="H2580" t="str">
        <f>"3250614196010"</f>
        <v>3250614196010</v>
      </c>
      <c r="J2580" t="s">
        <v>7365</v>
      </c>
    </row>
    <row r="2581" spans="1:10" x14ac:dyDescent="0.25">
      <c r="A2581" t="s">
        <v>8</v>
      </c>
      <c r="B2581" t="s">
        <v>7366</v>
      </c>
      <c r="C2581" t="s">
        <v>7367</v>
      </c>
      <c r="D2581">
        <v>1</v>
      </c>
      <c r="E2581" t="s">
        <v>7271</v>
      </c>
      <c r="F2581" t="s">
        <v>7272</v>
      </c>
      <c r="G2581" s="1"/>
      <c r="H2581" t="str">
        <f>"3250614197703"</f>
        <v>3250614197703</v>
      </c>
      <c r="J2581" t="s">
        <v>6691</v>
      </c>
    </row>
    <row r="2582" spans="1:10" x14ac:dyDescent="0.25">
      <c r="A2582" t="s">
        <v>8</v>
      </c>
      <c r="B2582" t="s">
        <v>7368</v>
      </c>
      <c r="C2582" t="s">
        <v>7369</v>
      </c>
      <c r="D2582">
        <v>1</v>
      </c>
      <c r="E2582" t="s">
        <v>7271</v>
      </c>
      <c r="F2582" t="s">
        <v>7272</v>
      </c>
      <c r="G2582" s="1"/>
      <c r="H2582" t="str">
        <f>"3250614562068"</f>
        <v>3250614562068</v>
      </c>
      <c r="J2582" t="s">
        <v>7370</v>
      </c>
    </row>
    <row r="2583" spans="1:10" x14ac:dyDescent="0.25">
      <c r="A2583" t="s">
        <v>8</v>
      </c>
      <c r="B2583" t="s">
        <v>7371</v>
      </c>
      <c r="C2583" t="s">
        <v>7372</v>
      </c>
      <c r="D2583">
        <v>1</v>
      </c>
      <c r="E2583" t="s">
        <v>7271</v>
      </c>
      <c r="F2583" t="s">
        <v>7272</v>
      </c>
      <c r="G2583" s="1"/>
      <c r="H2583" t="str">
        <f>"3250614319938"</f>
        <v>3250614319938</v>
      </c>
      <c r="J2583" t="s">
        <v>7373</v>
      </c>
    </row>
    <row r="2584" spans="1:10" x14ac:dyDescent="0.25">
      <c r="A2584" t="s">
        <v>8</v>
      </c>
      <c r="B2584" t="s">
        <v>7374</v>
      </c>
      <c r="C2584" t="s">
        <v>7375</v>
      </c>
      <c r="D2584">
        <v>1</v>
      </c>
      <c r="E2584" t="s">
        <v>7271</v>
      </c>
      <c r="F2584" t="s">
        <v>7272</v>
      </c>
      <c r="G2584" s="1"/>
      <c r="H2584" t="str">
        <f>"3250610100738"</f>
        <v>3250610100738</v>
      </c>
      <c r="J2584" t="s">
        <v>7377</v>
      </c>
    </row>
    <row r="2585" spans="1:10" x14ac:dyDescent="0.25">
      <c r="A2585" t="s">
        <v>8</v>
      </c>
      <c r="B2585" t="s">
        <v>7378</v>
      </c>
      <c r="C2585" t="s">
        <v>7379</v>
      </c>
      <c r="D2585">
        <v>1</v>
      </c>
      <c r="E2585" t="s">
        <v>7271</v>
      </c>
      <c r="F2585" t="s">
        <v>7272</v>
      </c>
      <c r="G2585" s="1"/>
      <c r="H2585" t="str">
        <f>"3250610100387"</f>
        <v>3250610100387</v>
      </c>
      <c r="J2585" t="s">
        <v>7380</v>
      </c>
    </row>
    <row r="2586" spans="1:10" x14ac:dyDescent="0.25">
      <c r="A2586" t="s">
        <v>8</v>
      </c>
      <c r="B2586" t="s">
        <v>7381</v>
      </c>
      <c r="C2586" t="s">
        <v>7382</v>
      </c>
      <c r="D2586">
        <v>1</v>
      </c>
      <c r="E2586" t="s">
        <v>7271</v>
      </c>
      <c r="F2586" t="s">
        <v>7272</v>
      </c>
      <c r="G2586" s="1"/>
      <c r="H2586" t="str">
        <f>"3250614197123"</f>
        <v>3250614197123</v>
      </c>
      <c r="J2586" t="s">
        <v>7383</v>
      </c>
    </row>
    <row r="2587" spans="1:10" x14ac:dyDescent="0.25">
      <c r="A2587" t="s">
        <v>8</v>
      </c>
      <c r="B2587" t="s">
        <v>7384</v>
      </c>
      <c r="C2587" t="s">
        <v>7385</v>
      </c>
      <c r="D2587">
        <v>1</v>
      </c>
      <c r="E2587" t="s">
        <v>7271</v>
      </c>
      <c r="F2587" t="s">
        <v>7272</v>
      </c>
      <c r="G2587" s="1"/>
      <c r="H2587" t="str">
        <f>"3250614319921"</f>
        <v>3250614319921</v>
      </c>
      <c r="J2587" t="s">
        <v>7386</v>
      </c>
    </row>
    <row r="2588" spans="1:10" x14ac:dyDescent="0.25">
      <c r="A2588" t="s">
        <v>8</v>
      </c>
      <c r="B2588" t="s">
        <v>7387</v>
      </c>
      <c r="C2588" t="s">
        <v>7388</v>
      </c>
      <c r="D2588">
        <v>1</v>
      </c>
      <c r="E2588" t="s">
        <v>7271</v>
      </c>
      <c r="F2588" t="s">
        <v>7272</v>
      </c>
      <c r="G2588" s="1"/>
      <c r="H2588" t="str">
        <f>"3250610100370"</f>
        <v>3250610100370</v>
      </c>
      <c r="J2588" t="s">
        <v>7389</v>
      </c>
    </row>
    <row r="2589" spans="1:10" x14ac:dyDescent="0.25">
      <c r="A2589" t="s">
        <v>8</v>
      </c>
      <c r="B2589" t="s">
        <v>7390</v>
      </c>
      <c r="C2589" t="s">
        <v>7391</v>
      </c>
      <c r="D2589">
        <v>1</v>
      </c>
      <c r="E2589" t="s">
        <v>7271</v>
      </c>
      <c r="F2589" t="s">
        <v>7272</v>
      </c>
      <c r="G2589" s="1"/>
      <c r="H2589" t="str">
        <f>"3250614197048"</f>
        <v>3250614197048</v>
      </c>
      <c r="J2589" t="s">
        <v>7392</v>
      </c>
    </row>
    <row r="2590" spans="1:10" x14ac:dyDescent="0.25">
      <c r="A2590" t="s">
        <v>8</v>
      </c>
      <c r="B2590" t="s">
        <v>7393</v>
      </c>
      <c r="C2590" t="s">
        <v>7394</v>
      </c>
      <c r="D2590">
        <v>1</v>
      </c>
      <c r="E2590" t="s">
        <v>7271</v>
      </c>
      <c r="F2590" t="s">
        <v>7272</v>
      </c>
      <c r="G2590" s="1"/>
      <c r="H2590" t="str">
        <f>"3250614562044"</f>
        <v>3250614562044</v>
      </c>
      <c r="J2590" t="s">
        <v>7395</v>
      </c>
    </row>
    <row r="2591" spans="1:10" x14ac:dyDescent="0.25">
      <c r="A2591" t="s">
        <v>8</v>
      </c>
      <c r="B2591" t="s">
        <v>7396</v>
      </c>
      <c r="C2591" t="s">
        <v>7397</v>
      </c>
      <c r="D2591">
        <v>1</v>
      </c>
      <c r="E2591" t="s">
        <v>7271</v>
      </c>
      <c r="F2591" t="s">
        <v>7272</v>
      </c>
      <c r="G2591" s="1"/>
      <c r="H2591" t="str">
        <f>"3250614196706"</f>
        <v>3250614196706</v>
      </c>
      <c r="J2591" t="s">
        <v>7398</v>
      </c>
    </row>
    <row r="2592" spans="1:10" x14ac:dyDescent="0.25">
      <c r="A2592" t="s">
        <v>8</v>
      </c>
      <c r="B2592" t="s">
        <v>7399</v>
      </c>
      <c r="C2592" t="s">
        <v>7400</v>
      </c>
      <c r="D2592">
        <v>1</v>
      </c>
      <c r="E2592" t="s">
        <v>7271</v>
      </c>
      <c r="F2592" t="s">
        <v>7272</v>
      </c>
      <c r="G2592" s="1"/>
      <c r="H2592" t="str">
        <f>"3250614197031"</f>
        <v>3250614197031</v>
      </c>
      <c r="J2592" t="s">
        <v>7401</v>
      </c>
    </row>
    <row r="2593" spans="1:10" x14ac:dyDescent="0.25">
      <c r="A2593" t="s">
        <v>8</v>
      </c>
      <c r="B2593" t="s">
        <v>7402</v>
      </c>
      <c r="C2593" t="s">
        <v>7403</v>
      </c>
      <c r="D2593">
        <v>1</v>
      </c>
      <c r="E2593" t="s">
        <v>7271</v>
      </c>
      <c r="F2593" t="s">
        <v>7272</v>
      </c>
      <c r="G2593" s="1"/>
      <c r="H2593" t="str">
        <f>"3250614565137"</f>
        <v>3250614565137</v>
      </c>
      <c r="J2593" t="s">
        <v>7404</v>
      </c>
    </row>
    <row r="2594" spans="1:10" x14ac:dyDescent="0.25">
      <c r="A2594" t="s">
        <v>8</v>
      </c>
      <c r="B2594" t="s">
        <v>7405</v>
      </c>
      <c r="C2594" t="s">
        <v>7406</v>
      </c>
      <c r="D2594">
        <v>1</v>
      </c>
      <c r="E2594" t="s">
        <v>7271</v>
      </c>
      <c r="F2594" t="s">
        <v>7272</v>
      </c>
      <c r="G2594" s="1"/>
      <c r="H2594" t="str">
        <f>"3250614565182"</f>
        <v>3250614565182</v>
      </c>
      <c r="J2594" t="s">
        <v>7407</v>
      </c>
    </row>
    <row r="2595" spans="1:10" x14ac:dyDescent="0.25">
      <c r="A2595" t="s">
        <v>8</v>
      </c>
      <c r="B2595" t="s">
        <v>7408</v>
      </c>
      <c r="C2595" t="s">
        <v>7409</v>
      </c>
      <c r="D2595">
        <v>1</v>
      </c>
      <c r="E2595" t="s">
        <v>7271</v>
      </c>
      <c r="F2595" t="s">
        <v>7272</v>
      </c>
      <c r="G2595" s="1"/>
      <c r="H2595" t="str">
        <f>"3250615514806"</f>
        <v>3250615514806</v>
      </c>
      <c r="J2595" t="s">
        <v>7410</v>
      </c>
    </row>
    <row r="2596" spans="1:10" x14ac:dyDescent="0.25">
      <c r="A2596" t="s">
        <v>8</v>
      </c>
      <c r="B2596" t="s">
        <v>7411</v>
      </c>
      <c r="C2596" t="s">
        <v>7412</v>
      </c>
      <c r="D2596">
        <v>1</v>
      </c>
      <c r="E2596" t="s">
        <v>7271</v>
      </c>
      <c r="F2596" t="s">
        <v>7272</v>
      </c>
      <c r="G2596" s="1"/>
      <c r="H2596" t="str">
        <f>"3250610661895"</f>
        <v>3250610661895</v>
      </c>
      <c r="J2596" t="s">
        <v>7413</v>
      </c>
    </row>
    <row r="2597" spans="1:10" x14ac:dyDescent="0.25">
      <c r="A2597" t="s">
        <v>8</v>
      </c>
      <c r="B2597" t="s">
        <v>7414</v>
      </c>
      <c r="C2597" t="s">
        <v>7415</v>
      </c>
      <c r="D2597">
        <v>1</v>
      </c>
      <c r="E2597" t="s">
        <v>7271</v>
      </c>
      <c r="F2597" t="s">
        <v>7272</v>
      </c>
      <c r="G2597" s="1"/>
      <c r="H2597" t="str">
        <f>"3250614196126"</f>
        <v>3250614196126</v>
      </c>
      <c r="J2597" t="s">
        <v>7417</v>
      </c>
    </row>
    <row r="2598" spans="1:10" x14ac:dyDescent="0.25">
      <c r="A2598" t="s">
        <v>8</v>
      </c>
      <c r="B2598" t="s">
        <v>7418</v>
      </c>
      <c r="C2598" t="s">
        <v>7419</v>
      </c>
      <c r="D2598">
        <v>1</v>
      </c>
      <c r="E2598" t="s">
        <v>7271</v>
      </c>
      <c r="F2598" t="s">
        <v>7272</v>
      </c>
      <c r="G2598" s="1"/>
      <c r="H2598" t="str">
        <f>"3250614565113"</f>
        <v>3250614565113</v>
      </c>
      <c r="J2598" t="s">
        <v>7420</v>
      </c>
    </row>
    <row r="2599" spans="1:10" x14ac:dyDescent="0.25">
      <c r="A2599" t="s">
        <v>8</v>
      </c>
      <c r="B2599" t="s">
        <v>7421</v>
      </c>
      <c r="C2599" t="s">
        <v>7422</v>
      </c>
      <c r="D2599">
        <v>1</v>
      </c>
      <c r="E2599" t="s">
        <v>7271</v>
      </c>
      <c r="F2599" t="s">
        <v>7272</v>
      </c>
      <c r="G2599" s="1"/>
      <c r="H2599" t="str">
        <f>"3250614565175"</f>
        <v>3250614565175</v>
      </c>
      <c r="J2599" t="s">
        <v>7423</v>
      </c>
    </row>
    <row r="2600" spans="1:10" x14ac:dyDescent="0.25">
      <c r="A2600" t="s">
        <v>8</v>
      </c>
      <c r="B2600" t="s">
        <v>7424</v>
      </c>
      <c r="C2600" t="s">
        <v>7425</v>
      </c>
      <c r="D2600">
        <v>1</v>
      </c>
      <c r="E2600" t="s">
        <v>7271</v>
      </c>
      <c r="F2600" t="s">
        <v>7272</v>
      </c>
      <c r="G2600" s="1"/>
      <c r="H2600" t="str">
        <f>"3250615514639"</f>
        <v>3250615514639</v>
      </c>
      <c r="J2600" t="s">
        <v>7426</v>
      </c>
    </row>
    <row r="2601" spans="1:10" x14ac:dyDescent="0.25">
      <c r="A2601" t="s">
        <v>8</v>
      </c>
      <c r="B2601" t="s">
        <v>7427</v>
      </c>
      <c r="C2601" t="s">
        <v>7428</v>
      </c>
      <c r="D2601">
        <v>1</v>
      </c>
      <c r="E2601" t="s">
        <v>7271</v>
      </c>
      <c r="F2601" t="s">
        <v>7272</v>
      </c>
      <c r="G2601" s="1"/>
      <c r="H2601" t="str">
        <f>"3250614061516"</f>
        <v>3250614061516</v>
      </c>
      <c r="J2601" t="s">
        <v>7429</v>
      </c>
    </row>
    <row r="2602" spans="1:10" x14ac:dyDescent="0.25">
      <c r="A2602" t="s">
        <v>8</v>
      </c>
      <c r="B2602" t="s">
        <v>7430</v>
      </c>
      <c r="C2602" t="s">
        <v>7431</v>
      </c>
      <c r="D2602">
        <v>1</v>
      </c>
      <c r="E2602" t="s">
        <v>7271</v>
      </c>
      <c r="F2602" t="s">
        <v>7272</v>
      </c>
      <c r="G2602" s="1"/>
      <c r="H2602" t="str">
        <f>"3250614062070"</f>
        <v>3250614062070</v>
      </c>
      <c r="J2602" t="s">
        <v>7058</v>
      </c>
    </row>
    <row r="2603" spans="1:10" x14ac:dyDescent="0.25">
      <c r="A2603" t="s">
        <v>8</v>
      </c>
      <c r="B2603" t="s">
        <v>7432</v>
      </c>
      <c r="C2603" t="s">
        <v>7433</v>
      </c>
      <c r="D2603">
        <v>1</v>
      </c>
      <c r="E2603" t="s">
        <v>7271</v>
      </c>
      <c r="F2603" t="s">
        <v>7272</v>
      </c>
      <c r="G2603" s="1"/>
      <c r="H2603" t="str">
        <f>"3250614062445"</f>
        <v>3250614062445</v>
      </c>
      <c r="J2603" t="s">
        <v>7434</v>
      </c>
    </row>
    <row r="2604" spans="1:10" x14ac:dyDescent="0.25">
      <c r="A2604" t="s">
        <v>8</v>
      </c>
      <c r="B2604" t="s">
        <v>7435</v>
      </c>
      <c r="C2604" t="s">
        <v>7436</v>
      </c>
      <c r="D2604">
        <v>1</v>
      </c>
      <c r="E2604" t="s">
        <v>7271</v>
      </c>
      <c r="F2604" t="s">
        <v>7272</v>
      </c>
      <c r="G2604" s="1"/>
      <c r="H2604" t="str">
        <f>"3250614062513"</f>
        <v>3250614062513</v>
      </c>
      <c r="J2604" t="s">
        <v>7438</v>
      </c>
    </row>
    <row r="2605" spans="1:10" x14ac:dyDescent="0.25">
      <c r="A2605" t="s">
        <v>8</v>
      </c>
      <c r="B2605" t="s">
        <v>7439</v>
      </c>
      <c r="C2605" t="s">
        <v>7440</v>
      </c>
      <c r="D2605">
        <v>1</v>
      </c>
      <c r="E2605" t="s">
        <v>7271</v>
      </c>
      <c r="F2605" t="s">
        <v>7272</v>
      </c>
      <c r="G2605" s="1"/>
      <c r="H2605" t="str">
        <f>"3250614062544"</f>
        <v>3250614062544</v>
      </c>
      <c r="J2605" t="s">
        <v>7441</v>
      </c>
    </row>
    <row r="2606" spans="1:10" x14ac:dyDescent="0.25">
      <c r="A2606" t="s">
        <v>8</v>
      </c>
      <c r="B2606" t="s">
        <v>7442</v>
      </c>
      <c r="C2606" t="s">
        <v>7443</v>
      </c>
      <c r="D2606">
        <v>1</v>
      </c>
      <c r="E2606" t="s">
        <v>7271</v>
      </c>
      <c r="F2606" t="s">
        <v>7272</v>
      </c>
      <c r="G2606" s="1"/>
      <c r="H2606" t="str">
        <f>"3250614062261"</f>
        <v>3250614062261</v>
      </c>
      <c r="J2606" t="s">
        <v>7444</v>
      </c>
    </row>
    <row r="2607" spans="1:10" x14ac:dyDescent="0.25">
      <c r="A2607" t="s">
        <v>8</v>
      </c>
      <c r="B2607" t="s">
        <v>7445</v>
      </c>
      <c r="C2607" t="s">
        <v>7446</v>
      </c>
      <c r="D2607">
        <v>1</v>
      </c>
      <c r="E2607" t="s">
        <v>7271</v>
      </c>
      <c r="F2607" t="s">
        <v>7272</v>
      </c>
      <c r="G2607" s="1"/>
      <c r="H2607" t="str">
        <f>"3250614062339"</f>
        <v>3250614062339</v>
      </c>
      <c r="J2607" t="s">
        <v>7447</v>
      </c>
    </row>
    <row r="2608" spans="1:10" x14ac:dyDescent="0.25">
      <c r="A2608" t="s">
        <v>8</v>
      </c>
      <c r="B2608" t="s">
        <v>7448</v>
      </c>
      <c r="C2608" t="s">
        <v>7449</v>
      </c>
      <c r="D2608">
        <v>1</v>
      </c>
      <c r="E2608" t="s">
        <v>7271</v>
      </c>
      <c r="F2608" t="s">
        <v>7272</v>
      </c>
      <c r="G2608" s="1"/>
      <c r="H2608" t="str">
        <f>"3250614062001"</f>
        <v>3250614062001</v>
      </c>
      <c r="J2608" t="s">
        <v>7450</v>
      </c>
    </row>
    <row r="2609" spans="1:10" x14ac:dyDescent="0.25">
      <c r="A2609" t="s">
        <v>8</v>
      </c>
      <c r="B2609" t="s">
        <v>7451</v>
      </c>
      <c r="C2609" t="s">
        <v>7452</v>
      </c>
      <c r="D2609">
        <v>1</v>
      </c>
      <c r="E2609" t="s">
        <v>7271</v>
      </c>
      <c r="F2609" t="s">
        <v>7272</v>
      </c>
      <c r="G2609" s="1"/>
      <c r="H2609" t="str">
        <f>"3250614061509"</f>
        <v>3250614061509</v>
      </c>
      <c r="J2609" t="s">
        <v>7429</v>
      </c>
    </row>
    <row r="2610" spans="1:10" x14ac:dyDescent="0.25">
      <c r="A2610" t="s">
        <v>8</v>
      </c>
      <c r="B2610" t="s">
        <v>7453</v>
      </c>
      <c r="C2610" t="s">
        <v>7454</v>
      </c>
      <c r="D2610">
        <v>1</v>
      </c>
      <c r="E2610" t="s">
        <v>7271</v>
      </c>
      <c r="F2610" t="s">
        <v>7272</v>
      </c>
      <c r="G2610" s="1"/>
      <c r="H2610" t="str">
        <f>"3250614062421"</f>
        <v>3250614062421</v>
      </c>
      <c r="J2610" t="s">
        <v>1950</v>
      </c>
    </row>
    <row r="2611" spans="1:10" x14ac:dyDescent="0.25">
      <c r="A2611" t="s">
        <v>8</v>
      </c>
      <c r="B2611" t="s">
        <v>7455</v>
      </c>
      <c r="C2611" t="s">
        <v>7456</v>
      </c>
      <c r="D2611">
        <v>1</v>
      </c>
      <c r="E2611" t="s">
        <v>7271</v>
      </c>
      <c r="F2611" t="s">
        <v>7272</v>
      </c>
      <c r="G2611" s="1"/>
      <c r="H2611" t="str">
        <f>"3250614062155"</f>
        <v>3250614062155</v>
      </c>
      <c r="J2611" t="s">
        <v>7457</v>
      </c>
    </row>
    <row r="2612" spans="1:10" x14ac:dyDescent="0.25">
      <c r="A2612" t="s">
        <v>8</v>
      </c>
      <c r="B2612" t="s">
        <v>7458</v>
      </c>
      <c r="C2612" t="s">
        <v>7459</v>
      </c>
      <c r="D2612">
        <v>1</v>
      </c>
      <c r="E2612" t="s">
        <v>7271</v>
      </c>
      <c r="F2612" t="s">
        <v>7272</v>
      </c>
      <c r="G2612" s="1"/>
      <c r="H2612" t="str">
        <f>"3250614062223"</f>
        <v>3250614062223</v>
      </c>
      <c r="J2612" t="s">
        <v>7441</v>
      </c>
    </row>
    <row r="2613" spans="1:10" x14ac:dyDescent="0.25">
      <c r="A2613" t="s">
        <v>8</v>
      </c>
      <c r="B2613" t="s">
        <v>7460</v>
      </c>
      <c r="C2613" t="s">
        <v>7461</v>
      </c>
      <c r="D2613">
        <v>1</v>
      </c>
      <c r="E2613" t="s">
        <v>7271</v>
      </c>
      <c r="F2613" t="s">
        <v>7272</v>
      </c>
      <c r="G2613" s="1"/>
      <c r="H2613" t="str">
        <f>"3250614062612"</f>
        <v>3250614062612</v>
      </c>
      <c r="J2613" t="s">
        <v>7462</v>
      </c>
    </row>
    <row r="2614" spans="1:10" x14ac:dyDescent="0.25">
      <c r="A2614" t="s">
        <v>8</v>
      </c>
      <c r="B2614" t="s">
        <v>7463</v>
      </c>
      <c r="C2614" t="s">
        <v>7464</v>
      </c>
      <c r="D2614">
        <v>1</v>
      </c>
      <c r="E2614" t="s">
        <v>7271</v>
      </c>
      <c r="F2614" t="s">
        <v>7272</v>
      </c>
      <c r="G2614" s="1"/>
      <c r="H2614" t="str">
        <f>"3250614062742"</f>
        <v>3250614062742</v>
      </c>
      <c r="J2614" t="s">
        <v>7466</v>
      </c>
    </row>
    <row r="2615" spans="1:10" x14ac:dyDescent="0.25">
      <c r="A2615" t="s">
        <v>8</v>
      </c>
      <c r="B2615" t="s">
        <v>7467</v>
      </c>
      <c r="C2615" t="s">
        <v>7468</v>
      </c>
      <c r="D2615">
        <v>1</v>
      </c>
      <c r="E2615" t="s">
        <v>7271</v>
      </c>
      <c r="F2615" t="s">
        <v>7272</v>
      </c>
      <c r="G2615" s="1"/>
      <c r="H2615" t="str">
        <f>"3250614062353"</f>
        <v>3250614062353</v>
      </c>
      <c r="J2615" t="s">
        <v>7469</v>
      </c>
    </row>
    <row r="2616" spans="1:10" x14ac:dyDescent="0.25">
      <c r="A2616" t="s">
        <v>8</v>
      </c>
      <c r="B2616" t="s">
        <v>7470</v>
      </c>
      <c r="C2616" t="s">
        <v>7471</v>
      </c>
      <c r="D2616">
        <v>1</v>
      </c>
      <c r="E2616" t="s">
        <v>7271</v>
      </c>
      <c r="F2616" t="s">
        <v>7272</v>
      </c>
      <c r="G2616" s="1"/>
      <c r="H2616" t="str">
        <f>"3250614061530"</f>
        <v>3250614061530</v>
      </c>
      <c r="J2616" t="s">
        <v>7472</v>
      </c>
    </row>
    <row r="2617" spans="1:10" x14ac:dyDescent="0.25">
      <c r="A2617" t="s">
        <v>8</v>
      </c>
      <c r="B2617" t="s">
        <v>7473</v>
      </c>
      <c r="C2617" t="s">
        <v>7474</v>
      </c>
      <c r="D2617">
        <v>1</v>
      </c>
      <c r="E2617" t="s">
        <v>7271</v>
      </c>
      <c r="F2617" t="s">
        <v>7272</v>
      </c>
      <c r="G2617" s="1"/>
      <c r="H2617" t="str">
        <f>"3250614061554"</f>
        <v>3250614061554</v>
      </c>
      <c r="J2617" t="s">
        <v>7475</v>
      </c>
    </row>
    <row r="2618" spans="1:10" x14ac:dyDescent="0.25">
      <c r="A2618" t="s">
        <v>8</v>
      </c>
      <c r="B2618" t="s">
        <v>7476</v>
      </c>
      <c r="C2618" t="s">
        <v>7477</v>
      </c>
      <c r="D2618">
        <v>1</v>
      </c>
      <c r="E2618" t="s">
        <v>7271</v>
      </c>
      <c r="F2618" t="s">
        <v>7272</v>
      </c>
      <c r="G2618" s="1"/>
      <c r="H2618" t="str">
        <f>"3250614062124"</f>
        <v>3250614062124</v>
      </c>
      <c r="J2618" t="s">
        <v>7478</v>
      </c>
    </row>
    <row r="2619" spans="1:10" x14ac:dyDescent="0.25">
      <c r="A2619" t="s">
        <v>8</v>
      </c>
      <c r="B2619" t="s">
        <v>7479</v>
      </c>
      <c r="C2619" t="s">
        <v>7480</v>
      </c>
      <c r="D2619">
        <v>1</v>
      </c>
      <c r="E2619" t="s">
        <v>7271</v>
      </c>
      <c r="F2619" t="s">
        <v>7272</v>
      </c>
      <c r="G2619" s="1"/>
      <c r="H2619" t="str">
        <f>"3250614062506"</f>
        <v>3250614062506</v>
      </c>
      <c r="J2619" t="s">
        <v>7481</v>
      </c>
    </row>
    <row r="2620" spans="1:10" x14ac:dyDescent="0.25">
      <c r="A2620" t="s">
        <v>8</v>
      </c>
      <c r="B2620" t="s">
        <v>7482</v>
      </c>
      <c r="C2620" t="s">
        <v>7483</v>
      </c>
      <c r="D2620">
        <v>1</v>
      </c>
      <c r="E2620" t="s">
        <v>7271</v>
      </c>
      <c r="F2620" t="s">
        <v>7272</v>
      </c>
      <c r="G2620" s="1"/>
      <c r="H2620" t="str">
        <f>"3250614062575"</f>
        <v>3250614062575</v>
      </c>
      <c r="J2620" t="s">
        <v>7484</v>
      </c>
    </row>
    <row r="2621" spans="1:10" x14ac:dyDescent="0.25">
      <c r="A2621" t="s">
        <v>8</v>
      </c>
      <c r="B2621" t="s">
        <v>7485</v>
      </c>
      <c r="C2621" t="s">
        <v>7486</v>
      </c>
      <c r="D2621">
        <v>1</v>
      </c>
      <c r="E2621" t="s">
        <v>7271</v>
      </c>
      <c r="F2621" t="s">
        <v>7272</v>
      </c>
      <c r="G2621" s="1"/>
      <c r="H2621" t="str">
        <f>"3250614062322"</f>
        <v>3250614062322</v>
      </c>
      <c r="J2621" t="s">
        <v>7487</v>
      </c>
    </row>
    <row r="2622" spans="1:10" x14ac:dyDescent="0.25">
      <c r="A2622" t="s">
        <v>8</v>
      </c>
      <c r="B2622" t="s">
        <v>7488</v>
      </c>
      <c r="C2622" t="s">
        <v>7489</v>
      </c>
      <c r="D2622">
        <v>1</v>
      </c>
      <c r="E2622" t="s">
        <v>7271</v>
      </c>
      <c r="F2622" t="s">
        <v>7272</v>
      </c>
      <c r="G2622" s="1"/>
      <c r="H2622" t="str">
        <f>"3250614062049"</f>
        <v>3250614062049</v>
      </c>
      <c r="J2622" t="s">
        <v>7490</v>
      </c>
    </row>
    <row r="2623" spans="1:10" x14ac:dyDescent="0.25">
      <c r="A2623" t="s">
        <v>8</v>
      </c>
      <c r="B2623" t="s">
        <v>7491</v>
      </c>
      <c r="C2623" t="s">
        <v>7492</v>
      </c>
      <c r="D2623">
        <v>1</v>
      </c>
      <c r="E2623" t="s">
        <v>7271</v>
      </c>
      <c r="F2623" t="s">
        <v>7272</v>
      </c>
      <c r="G2623" s="1"/>
      <c r="H2623" t="str">
        <f>"3250614062063"</f>
        <v>3250614062063</v>
      </c>
      <c r="J2623" t="s">
        <v>7490</v>
      </c>
    </row>
    <row r="2624" spans="1:10" x14ac:dyDescent="0.25">
      <c r="A2624" t="s">
        <v>8</v>
      </c>
      <c r="B2624" t="s">
        <v>7493</v>
      </c>
      <c r="C2624" t="s">
        <v>7494</v>
      </c>
      <c r="D2624">
        <v>1</v>
      </c>
      <c r="E2624" t="s">
        <v>7271</v>
      </c>
      <c r="F2624" t="s">
        <v>7272</v>
      </c>
      <c r="G2624" s="1"/>
      <c r="H2624" t="str">
        <f>"3250614062476"</f>
        <v>3250614062476</v>
      </c>
      <c r="J2624" t="s">
        <v>7441</v>
      </c>
    </row>
    <row r="2625" spans="1:10" x14ac:dyDescent="0.25">
      <c r="A2625" t="s">
        <v>8</v>
      </c>
      <c r="B2625" t="s">
        <v>7495</v>
      </c>
      <c r="C2625" t="s">
        <v>7496</v>
      </c>
      <c r="D2625">
        <v>1</v>
      </c>
      <c r="E2625" t="s">
        <v>7271</v>
      </c>
      <c r="F2625" t="s">
        <v>7272</v>
      </c>
      <c r="G2625" s="1"/>
      <c r="H2625" t="str">
        <f>"3250614062186"</f>
        <v>3250614062186</v>
      </c>
      <c r="J2625" t="s">
        <v>7478</v>
      </c>
    </row>
    <row r="2626" spans="1:10" x14ac:dyDescent="0.25">
      <c r="A2626" t="s">
        <v>8</v>
      </c>
      <c r="B2626" t="s">
        <v>7497</v>
      </c>
      <c r="C2626" t="s">
        <v>7498</v>
      </c>
      <c r="D2626">
        <v>1</v>
      </c>
      <c r="E2626" t="s">
        <v>7271</v>
      </c>
      <c r="F2626" t="s">
        <v>7272</v>
      </c>
      <c r="G2626" s="1"/>
      <c r="H2626" t="str">
        <f>"3250614062216"</f>
        <v>3250614062216</v>
      </c>
      <c r="J2626" t="s">
        <v>7441</v>
      </c>
    </row>
    <row r="2627" spans="1:10" x14ac:dyDescent="0.25">
      <c r="A2627" t="s">
        <v>8</v>
      </c>
      <c r="B2627" t="s">
        <v>7499</v>
      </c>
      <c r="C2627" t="s">
        <v>7500</v>
      </c>
      <c r="D2627">
        <v>1</v>
      </c>
      <c r="E2627" t="s">
        <v>7271</v>
      </c>
      <c r="F2627" t="s">
        <v>7272</v>
      </c>
      <c r="G2627" s="1"/>
      <c r="H2627" t="str">
        <f>"3250614062292"</f>
        <v>3250614062292</v>
      </c>
      <c r="J2627" t="s">
        <v>7501</v>
      </c>
    </row>
    <row r="2628" spans="1:10" x14ac:dyDescent="0.25">
      <c r="A2628" t="s">
        <v>8</v>
      </c>
      <c r="B2628" t="s">
        <v>7502</v>
      </c>
      <c r="C2628" t="s">
        <v>7503</v>
      </c>
      <c r="D2628">
        <v>1</v>
      </c>
      <c r="E2628" t="s">
        <v>7271</v>
      </c>
      <c r="F2628" t="s">
        <v>7272</v>
      </c>
      <c r="G2628" s="1"/>
      <c r="H2628" t="str">
        <f>"3250614062735"</f>
        <v>3250614062735</v>
      </c>
      <c r="I2628" s="1"/>
      <c r="J2628" t="s">
        <v>7504</v>
      </c>
    </row>
    <row r="2629" spans="1:10" x14ac:dyDescent="0.25">
      <c r="A2629" t="s">
        <v>8</v>
      </c>
      <c r="B2629" t="s">
        <v>7505</v>
      </c>
      <c r="C2629" t="s">
        <v>7506</v>
      </c>
      <c r="D2629">
        <v>1</v>
      </c>
      <c r="E2629" t="s">
        <v>7271</v>
      </c>
      <c r="F2629" t="s">
        <v>7272</v>
      </c>
      <c r="G2629" s="1"/>
      <c r="H2629" t="str">
        <f>"3250614062391"</f>
        <v>3250614062391</v>
      </c>
      <c r="J2629" t="s">
        <v>7507</v>
      </c>
    </row>
    <row r="2630" spans="1:10" x14ac:dyDescent="0.25">
      <c r="A2630" t="s">
        <v>8</v>
      </c>
      <c r="B2630" t="s">
        <v>7508</v>
      </c>
      <c r="C2630" t="s">
        <v>7509</v>
      </c>
      <c r="D2630">
        <v>1</v>
      </c>
      <c r="E2630" t="s">
        <v>7271</v>
      </c>
      <c r="F2630" t="s">
        <v>7272</v>
      </c>
      <c r="G2630" s="1"/>
      <c r="H2630" t="str">
        <f>"3250614061578"</f>
        <v>3250614061578</v>
      </c>
      <c r="J2630" t="s">
        <v>6321</v>
      </c>
    </row>
    <row r="2631" spans="1:10" x14ac:dyDescent="0.25">
      <c r="A2631" t="s">
        <v>8</v>
      </c>
      <c r="B2631" t="s">
        <v>7510</v>
      </c>
      <c r="C2631" t="s">
        <v>7511</v>
      </c>
      <c r="D2631">
        <v>1</v>
      </c>
      <c r="E2631" t="s">
        <v>7271</v>
      </c>
      <c r="F2631" t="s">
        <v>7272</v>
      </c>
      <c r="G2631" s="1"/>
      <c r="H2631" t="str">
        <f>"3250614062469"</f>
        <v>3250614062469</v>
      </c>
      <c r="J2631" t="s">
        <v>7434</v>
      </c>
    </row>
    <row r="2632" spans="1:10" x14ac:dyDescent="0.25">
      <c r="A2632" t="s">
        <v>8</v>
      </c>
      <c r="B2632" t="s">
        <v>7512</v>
      </c>
      <c r="C2632" t="s">
        <v>7513</v>
      </c>
      <c r="D2632">
        <v>1</v>
      </c>
      <c r="E2632" t="s">
        <v>7271</v>
      </c>
      <c r="F2632" t="s">
        <v>7272</v>
      </c>
      <c r="G2632" s="1"/>
      <c r="H2632" t="str">
        <f>"3250614062537"</f>
        <v>3250614062537</v>
      </c>
      <c r="J2632" t="s">
        <v>7514</v>
      </c>
    </row>
    <row r="2633" spans="1:10" x14ac:dyDescent="0.25">
      <c r="A2633" t="s">
        <v>8</v>
      </c>
      <c r="B2633" t="s">
        <v>7515</v>
      </c>
      <c r="C2633" t="s">
        <v>7516</v>
      </c>
      <c r="D2633">
        <v>1</v>
      </c>
      <c r="E2633" t="s">
        <v>7271</v>
      </c>
      <c r="F2633" t="s">
        <v>7272</v>
      </c>
      <c r="G2633" s="1"/>
      <c r="H2633" t="str">
        <f>"3250614062568"</f>
        <v>3250614062568</v>
      </c>
      <c r="J2633" t="s">
        <v>7484</v>
      </c>
    </row>
    <row r="2634" spans="1:10" x14ac:dyDescent="0.25">
      <c r="A2634" t="s">
        <v>8</v>
      </c>
      <c r="B2634" t="s">
        <v>7517</v>
      </c>
      <c r="C2634" t="s">
        <v>7518</v>
      </c>
      <c r="D2634">
        <v>1</v>
      </c>
      <c r="E2634" t="s">
        <v>7271</v>
      </c>
      <c r="F2634" t="s">
        <v>7272</v>
      </c>
      <c r="G2634" s="1"/>
      <c r="H2634" t="str">
        <f>"3250614062704"</f>
        <v>3250614062704</v>
      </c>
      <c r="J2634" t="s">
        <v>7519</v>
      </c>
    </row>
    <row r="2635" spans="1:10" x14ac:dyDescent="0.25">
      <c r="A2635" t="s">
        <v>8</v>
      </c>
      <c r="B2635" t="s">
        <v>7520</v>
      </c>
      <c r="C2635" t="s">
        <v>7521</v>
      </c>
      <c r="D2635">
        <v>1</v>
      </c>
      <c r="E2635" t="s">
        <v>7271</v>
      </c>
      <c r="F2635" t="s">
        <v>7272</v>
      </c>
      <c r="G2635" s="1"/>
      <c r="H2635" t="str">
        <f>"3250614062025"</f>
        <v>3250614062025</v>
      </c>
      <c r="J2635" t="s">
        <v>7058</v>
      </c>
    </row>
    <row r="2636" spans="1:10" x14ac:dyDescent="0.25">
      <c r="A2636" t="s">
        <v>8</v>
      </c>
      <c r="B2636" t="s">
        <v>7522</v>
      </c>
      <c r="C2636" t="s">
        <v>7523</v>
      </c>
      <c r="D2636">
        <v>1</v>
      </c>
      <c r="E2636" t="s">
        <v>7271</v>
      </c>
      <c r="F2636" t="s">
        <v>7272</v>
      </c>
      <c r="G2636" s="1"/>
      <c r="H2636" t="str">
        <f>"3250614061523"</f>
        <v>3250614061523</v>
      </c>
      <c r="J2636" t="s">
        <v>7472</v>
      </c>
    </row>
    <row r="2637" spans="1:10" x14ac:dyDescent="0.25">
      <c r="A2637" t="s">
        <v>8</v>
      </c>
      <c r="B2637" t="s">
        <v>7524</v>
      </c>
      <c r="C2637" t="s">
        <v>7525</v>
      </c>
      <c r="D2637">
        <v>1</v>
      </c>
      <c r="E2637" t="s">
        <v>7271</v>
      </c>
      <c r="F2637" t="s">
        <v>7272</v>
      </c>
      <c r="G2637" s="1"/>
      <c r="H2637" t="str">
        <f>"3250614062087"</f>
        <v>3250614062087</v>
      </c>
      <c r="J2637" t="s">
        <v>7526</v>
      </c>
    </row>
    <row r="2638" spans="1:10" x14ac:dyDescent="0.25">
      <c r="A2638" t="s">
        <v>8</v>
      </c>
      <c r="B2638" t="s">
        <v>7527</v>
      </c>
      <c r="C2638" t="s">
        <v>7528</v>
      </c>
      <c r="D2638">
        <v>1</v>
      </c>
      <c r="E2638" t="s">
        <v>7271</v>
      </c>
      <c r="F2638" t="s">
        <v>7272</v>
      </c>
      <c r="G2638" s="1"/>
      <c r="H2638" t="str">
        <f>"3250614062100"</f>
        <v>3250614062100</v>
      </c>
      <c r="J2638" t="s">
        <v>7529</v>
      </c>
    </row>
    <row r="2639" spans="1:10" x14ac:dyDescent="0.25">
      <c r="A2639" t="s">
        <v>8</v>
      </c>
      <c r="B2639" t="s">
        <v>7530</v>
      </c>
      <c r="C2639" t="s">
        <v>7531</v>
      </c>
      <c r="D2639">
        <v>1</v>
      </c>
      <c r="E2639" t="s">
        <v>7271</v>
      </c>
      <c r="F2639" t="s">
        <v>7272</v>
      </c>
      <c r="G2639" s="1"/>
      <c r="H2639" t="str">
        <f>"3250614062254"</f>
        <v>3250614062254</v>
      </c>
      <c r="J2639" t="s">
        <v>7444</v>
      </c>
    </row>
    <row r="2640" spans="1:10" x14ac:dyDescent="0.25">
      <c r="A2640" t="s">
        <v>8</v>
      </c>
      <c r="B2640" t="s">
        <v>7532</v>
      </c>
      <c r="C2640" t="s">
        <v>7533</v>
      </c>
      <c r="D2640">
        <v>1</v>
      </c>
      <c r="E2640" t="s">
        <v>7271</v>
      </c>
      <c r="F2640" t="s">
        <v>7272</v>
      </c>
      <c r="G2640" s="1"/>
      <c r="H2640" t="str">
        <f>"3250614062285"</f>
        <v>3250614062285</v>
      </c>
      <c r="J2640" t="s">
        <v>7501</v>
      </c>
    </row>
    <row r="2641" spans="1:10" x14ac:dyDescent="0.25">
      <c r="A2641" t="s">
        <v>8</v>
      </c>
      <c r="B2641" t="s">
        <v>7534</v>
      </c>
      <c r="C2641" t="s">
        <v>7535</v>
      </c>
      <c r="D2641">
        <v>1</v>
      </c>
      <c r="E2641" t="s">
        <v>7271</v>
      </c>
      <c r="F2641" t="s">
        <v>7272</v>
      </c>
      <c r="G2641" s="1"/>
      <c r="H2641" t="str">
        <f>"3250614062377"</f>
        <v>3250614062377</v>
      </c>
      <c r="J2641" t="s">
        <v>1950</v>
      </c>
    </row>
    <row r="2642" spans="1:10" x14ac:dyDescent="0.25">
      <c r="A2642" t="s">
        <v>8</v>
      </c>
      <c r="B2642" t="s">
        <v>7536</v>
      </c>
      <c r="C2642" t="s">
        <v>7537</v>
      </c>
      <c r="D2642">
        <v>1</v>
      </c>
      <c r="E2642" t="s">
        <v>7271</v>
      </c>
      <c r="F2642" t="s">
        <v>7272</v>
      </c>
      <c r="G2642" s="1"/>
      <c r="H2642" t="str">
        <f>"3250614062438"</f>
        <v>3250614062438</v>
      </c>
      <c r="J2642" t="s">
        <v>7434</v>
      </c>
    </row>
    <row r="2643" spans="1:10" x14ac:dyDescent="0.25">
      <c r="A2643" t="s">
        <v>8</v>
      </c>
      <c r="B2643" t="s">
        <v>7538</v>
      </c>
      <c r="C2643" t="s">
        <v>7539</v>
      </c>
      <c r="D2643">
        <v>1</v>
      </c>
      <c r="E2643" t="s">
        <v>7271</v>
      </c>
      <c r="F2643" t="s">
        <v>7272</v>
      </c>
      <c r="G2643" s="1"/>
      <c r="H2643" t="str">
        <f>"3250614062148"</f>
        <v>3250614062148</v>
      </c>
      <c r="J2643" t="s">
        <v>7457</v>
      </c>
    </row>
    <row r="2644" spans="1:10" x14ac:dyDescent="0.25">
      <c r="A2644" t="s">
        <v>8</v>
      </c>
      <c r="B2644" t="s">
        <v>7540</v>
      </c>
      <c r="C2644" t="s">
        <v>7541</v>
      </c>
      <c r="D2644">
        <v>1</v>
      </c>
      <c r="E2644" t="s">
        <v>7271</v>
      </c>
      <c r="F2644" t="s">
        <v>7272</v>
      </c>
      <c r="G2644" s="1"/>
      <c r="H2644" t="str">
        <f>"3250614062520"</f>
        <v>3250614062520</v>
      </c>
      <c r="J2644" t="s">
        <v>7514</v>
      </c>
    </row>
    <row r="2645" spans="1:10" x14ac:dyDescent="0.25">
      <c r="A2645" t="s">
        <v>8</v>
      </c>
      <c r="B2645" t="s">
        <v>7542</v>
      </c>
      <c r="C2645" t="s">
        <v>7543</v>
      </c>
      <c r="D2645">
        <v>1</v>
      </c>
      <c r="E2645" t="s">
        <v>7271</v>
      </c>
      <c r="F2645" t="s">
        <v>7272</v>
      </c>
      <c r="G2645" s="1"/>
      <c r="H2645" t="str">
        <f>"3250614062605"</f>
        <v>3250614062605</v>
      </c>
      <c r="J2645" t="s">
        <v>7462</v>
      </c>
    </row>
    <row r="2646" spans="1:10" x14ac:dyDescent="0.25">
      <c r="A2646" t="s">
        <v>8</v>
      </c>
      <c r="B2646" t="s">
        <v>7544</v>
      </c>
      <c r="C2646" t="s">
        <v>7545</v>
      </c>
      <c r="D2646">
        <v>1</v>
      </c>
      <c r="E2646" t="s">
        <v>7271</v>
      </c>
      <c r="F2646" t="s">
        <v>7272</v>
      </c>
      <c r="G2646" s="1"/>
      <c r="H2646" t="str">
        <f>"3250614062636"</f>
        <v>3250614062636</v>
      </c>
      <c r="J2646" t="s">
        <v>7519</v>
      </c>
    </row>
    <row r="2647" spans="1:10" x14ac:dyDescent="0.25">
      <c r="A2647" t="s">
        <v>8</v>
      </c>
      <c r="B2647" t="s">
        <v>7546</v>
      </c>
      <c r="C2647" t="s">
        <v>7547</v>
      </c>
      <c r="D2647">
        <v>1</v>
      </c>
      <c r="E2647" t="s">
        <v>7271</v>
      </c>
      <c r="F2647" t="s">
        <v>7272</v>
      </c>
      <c r="G2647" s="1"/>
      <c r="H2647" t="str">
        <f>"3250614062346"</f>
        <v>3250614062346</v>
      </c>
      <c r="J2647" t="s">
        <v>7447</v>
      </c>
    </row>
    <row r="2648" spans="1:10" x14ac:dyDescent="0.25">
      <c r="A2648" t="s">
        <v>8</v>
      </c>
      <c r="B2648" t="s">
        <v>7548</v>
      </c>
      <c r="C2648" t="s">
        <v>7549</v>
      </c>
      <c r="D2648">
        <v>1</v>
      </c>
      <c r="E2648" t="s">
        <v>7271</v>
      </c>
      <c r="F2648" t="s">
        <v>7272</v>
      </c>
      <c r="G2648" s="1"/>
      <c r="H2648" t="str">
        <f>"3250614124822"</f>
        <v>3250614124822</v>
      </c>
      <c r="J2648" t="s">
        <v>7550</v>
      </c>
    </row>
    <row r="2649" spans="1:10" x14ac:dyDescent="0.25">
      <c r="A2649" t="s">
        <v>8</v>
      </c>
      <c r="B2649" t="s">
        <v>7551</v>
      </c>
      <c r="C2649" t="s">
        <v>7552</v>
      </c>
      <c r="D2649">
        <v>1</v>
      </c>
      <c r="E2649" t="s">
        <v>7271</v>
      </c>
      <c r="F2649" t="s">
        <v>7272</v>
      </c>
      <c r="G2649" s="1"/>
      <c r="H2649" t="str">
        <f>"3250614062018"</f>
        <v>3250614062018</v>
      </c>
      <c r="J2649" t="s">
        <v>7553</v>
      </c>
    </row>
    <row r="2650" spans="1:10" x14ac:dyDescent="0.25">
      <c r="A2650" t="s">
        <v>8</v>
      </c>
      <c r="B2650" t="s">
        <v>7554</v>
      </c>
      <c r="C2650" t="s">
        <v>7555</v>
      </c>
      <c r="D2650">
        <v>1</v>
      </c>
      <c r="E2650" t="s">
        <v>7271</v>
      </c>
      <c r="F2650" t="s">
        <v>7272</v>
      </c>
      <c r="G2650" s="1"/>
      <c r="H2650" t="str">
        <f>"3250614062414"</f>
        <v>3250614062414</v>
      </c>
      <c r="J2650" t="s">
        <v>7507</v>
      </c>
    </row>
    <row r="2651" spans="1:10" x14ac:dyDescent="0.25">
      <c r="A2651" t="s">
        <v>8</v>
      </c>
      <c r="B2651" t="s">
        <v>7556</v>
      </c>
      <c r="C2651" t="s">
        <v>7557</v>
      </c>
      <c r="D2651">
        <v>1</v>
      </c>
      <c r="E2651" t="s">
        <v>7271</v>
      </c>
      <c r="F2651" t="s">
        <v>7272</v>
      </c>
      <c r="G2651" s="1"/>
      <c r="H2651" t="str">
        <f>"3250614061561"</f>
        <v>3250614061561</v>
      </c>
      <c r="J2651" t="s">
        <v>6321</v>
      </c>
    </row>
    <row r="2652" spans="1:10" x14ac:dyDescent="0.25">
      <c r="A2652" t="s">
        <v>8</v>
      </c>
      <c r="B2652" t="s">
        <v>7558</v>
      </c>
      <c r="C2652" t="s">
        <v>7559</v>
      </c>
      <c r="D2652">
        <v>1</v>
      </c>
      <c r="E2652" t="s">
        <v>7271</v>
      </c>
      <c r="F2652" t="s">
        <v>7272</v>
      </c>
      <c r="G2652" s="1"/>
      <c r="H2652" t="str">
        <f>"3250614062490"</f>
        <v>3250614062490</v>
      </c>
      <c r="J2652" t="s">
        <v>7481</v>
      </c>
    </row>
    <row r="2653" spans="1:10" x14ac:dyDescent="0.25">
      <c r="A2653" t="s">
        <v>8</v>
      </c>
      <c r="B2653" t="s">
        <v>7560</v>
      </c>
      <c r="C2653" t="s">
        <v>7561</v>
      </c>
      <c r="D2653">
        <v>1</v>
      </c>
      <c r="E2653" t="s">
        <v>7271</v>
      </c>
      <c r="F2653" t="s">
        <v>7272</v>
      </c>
      <c r="G2653" s="1"/>
      <c r="H2653" t="str">
        <f>"3250614062247"</f>
        <v>3250614062247</v>
      </c>
      <c r="J2653" t="s">
        <v>7441</v>
      </c>
    </row>
    <row r="2654" spans="1:10" x14ac:dyDescent="0.25">
      <c r="A2654" t="s">
        <v>8</v>
      </c>
      <c r="B2654" t="s">
        <v>7562</v>
      </c>
      <c r="C2654" t="s">
        <v>7563</v>
      </c>
      <c r="D2654">
        <v>1</v>
      </c>
      <c r="E2654" t="s">
        <v>7271</v>
      </c>
      <c r="F2654" t="s">
        <v>7272</v>
      </c>
      <c r="G2654" s="1"/>
      <c r="H2654" t="str">
        <f>"3250614062315"</f>
        <v>3250614062315</v>
      </c>
      <c r="J2654" t="s">
        <v>7487</v>
      </c>
    </row>
    <row r="2655" spans="1:10" x14ac:dyDescent="0.25">
      <c r="A2655" t="s">
        <v>8</v>
      </c>
      <c r="B2655" t="s">
        <v>7564</v>
      </c>
      <c r="C2655" t="s">
        <v>7565</v>
      </c>
      <c r="D2655">
        <v>1</v>
      </c>
      <c r="E2655" t="s">
        <v>7271</v>
      </c>
      <c r="F2655" t="s">
        <v>7272</v>
      </c>
      <c r="G2655" s="1"/>
      <c r="H2655" t="str">
        <f>"3250614062759"</f>
        <v>3250614062759</v>
      </c>
      <c r="J2655" t="s">
        <v>7447</v>
      </c>
    </row>
    <row r="2656" spans="1:10" x14ac:dyDescent="0.25">
      <c r="A2656" t="s">
        <v>8</v>
      </c>
      <c r="B2656" t="s">
        <v>7566</v>
      </c>
      <c r="C2656" t="s">
        <v>7567</v>
      </c>
      <c r="D2656">
        <v>1</v>
      </c>
      <c r="E2656" t="s">
        <v>7271</v>
      </c>
      <c r="F2656" t="s">
        <v>7272</v>
      </c>
      <c r="G2656" s="1"/>
      <c r="H2656" t="str">
        <f>"3250614124815"</f>
        <v>3250614124815</v>
      </c>
      <c r="J2656" t="s">
        <v>7568</v>
      </c>
    </row>
    <row r="2657" spans="1:10" x14ac:dyDescent="0.25">
      <c r="A2657" t="s">
        <v>8</v>
      </c>
      <c r="B2657" t="s">
        <v>7569</v>
      </c>
      <c r="C2657" t="s">
        <v>7570</v>
      </c>
      <c r="D2657">
        <v>1</v>
      </c>
      <c r="E2657" t="s">
        <v>7271</v>
      </c>
      <c r="F2657" t="s">
        <v>7272</v>
      </c>
      <c r="G2657" s="1"/>
      <c r="H2657" t="str">
        <f>"3250614062360"</f>
        <v>3250614062360</v>
      </c>
      <c r="J2657" t="s">
        <v>7571</v>
      </c>
    </row>
    <row r="2658" spans="1:10" x14ac:dyDescent="0.25">
      <c r="A2658" t="s">
        <v>8</v>
      </c>
      <c r="B2658" t="s">
        <v>7572</v>
      </c>
      <c r="C2658" t="s">
        <v>7573</v>
      </c>
      <c r="D2658">
        <v>1</v>
      </c>
      <c r="E2658" t="s">
        <v>7271</v>
      </c>
      <c r="F2658" t="s">
        <v>7272</v>
      </c>
      <c r="G2658" s="1"/>
      <c r="H2658" t="str">
        <f>"3250614061547"</f>
        <v>3250614061547</v>
      </c>
      <c r="J2658" t="s">
        <v>7472</v>
      </c>
    </row>
    <row r="2659" spans="1:10" x14ac:dyDescent="0.25">
      <c r="A2659" t="s">
        <v>8</v>
      </c>
      <c r="B2659" t="s">
        <v>7574</v>
      </c>
      <c r="C2659" t="s">
        <v>7575</v>
      </c>
      <c r="D2659">
        <v>1</v>
      </c>
      <c r="E2659" t="s">
        <v>7271</v>
      </c>
      <c r="F2659" t="s">
        <v>7272</v>
      </c>
      <c r="G2659" s="1"/>
      <c r="H2659" t="str">
        <f>"3250614062452"</f>
        <v>3250614062452</v>
      </c>
      <c r="J2659" t="s">
        <v>7529</v>
      </c>
    </row>
    <row r="2660" spans="1:10" x14ac:dyDescent="0.25">
      <c r="A2660" t="s">
        <v>8</v>
      </c>
      <c r="B2660" t="s">
        <v>7576</v>
      </c>
      <c r="C2660" t="s">
        <v>7577</v>
      </c>
      <c r="D2660">
        <v>1</v>
      </c>
      <c r="E2660" t="s">
        <v>7271</v>
      </c>
      <c r="F2660" t="s">
        <v>7272</v>
      </c>
      <c r="G2660" s="1"/>
      <c r="H2660" t="str">
        <f>"3250614062131"</f>
        <v>3250614062131</v>
      </c>
      <c r="J2660" t="s">
        <v>7481</v>
      </c>
    </row>
    <row r="2661" spans="1:10" x14ac:dyDescent="0.25">
      <c r="A2661" t="s">
        <v>8</v>
      </c>
      <c r="B2661" t="s">
        <v>7578</v>
      </c>
      <c r="C2661" t="s">
        <v>7579</v>
      </c>
      <c r="D2661">
        <v>1</v>
      </c>
      <c r="E2661" t="s">
        <v>7271</v>
      </c>
      <c r="F2661" t="s">
        <v>7272</v>
      </c>
      <c r="G2661" s="1"/>
      <c r="H2661" t="str">
        <f>"3250614062209"</f>
        <v>3250614062209</v>
      </c>
      <c r="J2661" t="s">
        <v>7580</v>
      </c>
    </row>
    <row r="2662" spans="1:10" x14ac:dyDescent="0.25">
      <c r="A2662" t="s">
        <v>8</v>
      </c>
      <c r="B2662" t="s">
        <v>7581</v>
      </c>
      <c r="C2662" t="s">
        <v>7582</v>
      </c>
      <c r="D2662">
        <v>1</v>
      </c>
      <c r="E2662" t="s">
        <v>7271</v>
      </c>
      <c r="F2662" t="s">
        <v>7272</v>
      </c>
      <c r="G2662" s="1"/>
      <c r="H2662" t="str">
        <f>"3250614062599"</f>
        <v>3250614062599</v>
      </c>
      <c r="J2662" t="s">
        <v>7484</v>
      </c>
    </row>
    <row r="2663" spans="1:10" x14ac:dyDescent="0.25">
      <c r="A2663" t="s">
        <v>8</v>
      </c>
      <c r="B2663" t="s">
        <v>7583</v>
      </c>
      <c r="C2663" t="s">
        <v>7584</v>
      </c>
      <c r="D2663">
        <v>1</v>
      </c>
      <c r="E2663" t="s">
        <v>7271</v>
      </c>
      <c r="F2663" t="s">
        <v>7272</v>
      </c>
      <c r="G2663" s="1"/>
      <c r="H2663" t="str">
        <f>"3250614062728"</f>
        <v>3250614062728</v>
      </c>
      <c r="I2663" s="1"/>
      <c r="J2663" t="s">
        <v>7504</v>
      </c>
    </row>
    <row r="2664" spans="1:10" x14ac:dyDescent="0.25">
      <c r="A2664" t="s">
        <v>8</v>
      </c>
      <c r="B2664" t="s">
        <v>7585</v>
      </c>
      <c r="C2664" t="s">
        <v>7586</v>
      </c>
      <c r="D2664">
        <v>1</v>
      </c>
      <c r="E2664" t="s">
        <v>7271</v>
      </c>
      <c r="F2664" t="s">
        <v>7272</v>
      </c>
      <c r="G2664" s="1"/>
      <c r="H2664" t="str">
        <f>"3250614062032"</f>
        <v>3250614062032</v>
      </c>
      <c r="J2664" t="s">
        <v>7490</v>
      </c>
    </row>
    <row r="2665" spans="1:10" x14ac:dyDescent="0.25">
      <c r="A2665" t="s">
        <v>8</v>
      </c>
      <c r="B2665" t="s">
        <v>7587</v>
      </c>
      <c r="C2665" t="s">
        <v>7588</v>
      </c>
      <c r="D2665">
        <v>1</v>
      </c>
      <c r="E2665" t="s">
        <v>7271</v>
      </c>
      <c r="F2665" t="s">
        <v>7272</v>
      </c>
      <c r="G2665" s="1"/>
      <c r="H2665" t="str">
        <f>"3250614062056"</f>
        <v>3250614062056</v>
      </c>
      <c r="J2665" t="s">
        <v>7490</v>
      </c>
    </row>
    <row r="2666" spans="1:10" x14ac:dyDescent="0.25">
      <c r="A2666" t="s">
        <v>8</v>
      </c>
      <c r="B2666" t="s">
        <v>7589</v>
      </c>
      <c r="C2666" t="s">
        <v>7590</v>
      </c>
      <c r="D2666">
        <v>1</v>
      </c>
      <c r="E2666" t="s">
        <v>7271</v>
      </c>
      <c r="F2666" t="s">
        <v>7272</v>
      </c>
      <c r="G2666" s="1"/>
      <c r="H2666" t="str">
        <f>"3250614061585"</f>
        <v>3250614061585</v>
      </c>
      <c r="J2666" t="s">
        <v>6321</v>
      </c>
    </row>
    <row r="2667" spans="1:10" x14ac:dyDescent="0.25">
      <c r="A2667" t="s">
        <v>8</v>
      </c>
      <c r="B2667" t="s">
        <v>7591</v>
      </c>
      <c r="C2667" t="s">
        <v>7592</v>
      </c>
      <c r="D2667">
        <v>1</v>
      </c>
      <c r="E2667" t="s">
        <v>7271</v>
      </c>
      <c r="F2667" t="s">
        <v>7272</v>
      </c>
      <c r="G2667" s="1"/>
      <c r="H2667" t="str">
        <f>"3250614062483"</f>
        <v>3250614062483</v>
      </c>
      <c r="J2667" t="s">
        <v>7481</v>
      </c>
    </row>
    <row r="2668" spans="1:10" x14ac:dyDescent="0.25">
      <c r="A2668" t="s">
        <v>8</v>
      </c>
      <c r="B2668" t="s">
        <v>7593</v>
      </c>
      <c r="C2668" t="s">
        <v>7594</v>
      </c>
      <c r="D2668">
        <v>1</v>
      </c>
      <c r="E2668" t="s">
        <v>7271</v>
      </c>
      <c r="F2668" t="s">
        <v>7272</v>
      </c>
      <c r="G2668" s="1"/>
      <c r="H2668" t="str">
        <f>"3250614062551"</f>
        <v>3250614062551</v>
      </c>
      <c r="J2668" t="s">
        <v>7595</v>
      </c>
    </row>
    <row r="2669" spans="1:10" x14ac:dyDescent="0.25">
      <c r="A2669" t="s">
        <v>8</v>
      </c>
      <c r="B2669" t="s">
        <v>7596</v>
      </c>
      <c r="C2669" t="s">
        <v>7597</v>
      </c>
      <c r="D2669">
        <v>1</v>
      </c>
      <c r="E2669" t="s">
        <v>7271</v>
      </c>
      <c r="F2669" t="s">
        <v>7272</v>
      </c>
      <c r="G2669" s="1"/>
      <c r="H2669" t="str">
        <f>"3250614062278"</f>
        <v>3250614062278</v>
      </c>
      <c r="J2669" t="s">
        <v>7598</v>
      </c>
    </row>
    <row r="2670" spans="1:10" x14ac:dyDescent="0.25">
      <c r="A2670" t="s">
        <v>8</v>
      </c>
      <c r="B2670" t="s">
        <v>7599</v>
      </c>
      <c r="C2670" t="s">
        <v>7486</v>
      </c>
      <c r="D2670">
        <v>1</v>
      </c>
      <c r="E2670" t="s">
        <v>7271</v>
      </c>
      <c r="F2670" t="s">
        <v>7272</v>
      </c>
      <c r="G2670" s="1"/>
      <c r="H2670" t="str">
        <f>"3250614062308"</f>
        <v>3250614062308</v>
      </c>
      <c r="J2670" t="s">
        <v>7501</v>
      </c>
    </row>
    <row r="2671" spans="1:10" x14ac:dyDescent="0.25">
      <c r="A2671" t="s">
        <v>8</v>
      </c>
      <c r="B2671" t="s">
        <v>7600</v>
      </c>
      <c r="C2671" t="s">
        <v>7601</v>
      </c>
      <c r="D2671">
        <v>1</v>
      </c>
      <c r="E2671" t="s">
        <v>7271</v>
      </c>
      <c r="F2671" t="s">
        <v>7272</v>
      </c>
      <c r="G2671" s="1"/>
      <c r="H2671" t="str">
        <f>"3250614062384"</f>
        <v>3250614062384</v>
      </c>
      <c r="J2671" t="s">
        <v>7507</v>
      </c>
    </row>
    <row r="2672" spans="1:10" x14ac:dyDescent="0.25">
      <c r="A2672" t="s">
        <v>8</v>
      </c>
      <c r="B2672" t="s">
        <v>7602</v>
      </c>
      <c r="C2672" t="s">
        <v>7603</v>
      </c>
      <c r="D2672">
        <v>1</v>
      </c>
      <c r="E2672" t="s">
        <v>7271</v>
      </c>
      <c r="F2672" t="s">
        <v>7272</v>
      </c>
      <c r="G2672" s="1"/>
      <c r="H2672" t="str">
        <f>"3250614062407"</f>
        <v>3250614062407</v>
      </c>
      <c r="J2672" t="s">
        <v>7507</v>
      </c>
    </row>
    <row r="2673" spans="1:10" x14ac:dyDescent="0.25">
      <c r="A2673" t="s">
        <v>8</v>
      </c>
      <c r="B2673" t="s">
        <v>7604</v>
      </c>
      <c r="C2673" t="s">
        <v>7605</v>
      </c>
      <c r="D2673">
        <v>1</v>
      </c>
      <c r="E2673" t="s">
        <v>7271</v>
      </c>
      <c r="F2673" t="s">
        <v>7272</v>
      </c>
      <c r="G2673" s="1"/>
      <c r="H2673" t="str">
        <f>"3250614062094"</f>
        <v>3250614062094</v>
      </c>
      <c r="J2673" t="s">
        <v>1950</v>
      </c>
    </row>
    <row r="2674" spans="1:10" x14ac:dyDescent="0.25">
      <c r="A2674" t="s">
        <v>8</v>
      </c>
      <c r="B2674" t="s">
        <v>7606</v>
      </c>
      <c r="C2674" t="s">
        <v>7607</v>
      </c>
      <c r="D2674">
        <v>1</v>
      </c>
      <c r="E2674" t="s">
        <v>7271</v>
      </c>
      <c r="F2674" t="s">
        <v>7272</v>
      </c>
      <c r="G2674" s="1"/>
      <c r="H2674" t="str">
        <f>"3250614062162"</f>
        <v>3250614062162</v>
      </c>
      <c r="J2674" t="s">
        <v>7457</v>
      </c>
    </row>
    <row r="2675" spans="1:10" x14ac:dyDescent="0.25">
      <c r="A2675" t="s">
        <v>8</v>
      </c>
      <c r="B2675" t="s">
        <v>7608</v>
      </c>
      <c r="C2675" t="s">
        <v>7609</v>
      </c>
      <c r="D2675">
        <v>1</v>
      </c>
      <c r="E2675" t="s">
        <v>7271</v>
      </c>
      <c r="F2675" t="s">
        <v>7272</v>
      </c>
      <c r="G2675" s="1"/>
      <c r="H2675" t="str">
        <f>"3250614062193"</f>
        <v>3250614062193</v>
      </c>
      <c r="J2675" t="s">
        <v>7478</v>
      </c>
    </row>
    <row r="2676" spans="1:10" x14ac:dyDescent="0.25">
      <c r="A2676" t="s">
        <v>8</v>
      </c>
      <c r="B2676" t="s">
        <v>7610</v>
      </c>
      <c r="C2676" t="s">
        <v>7611</v>
      </c>
      <c r="D2676">
        <v>1</v>
      </c>
      <c r="E2676" t="s">
        <v>7271</v>
      </c>
      <c r="F2676" t="s">
        <v>7272</v>
      </c>
      <c r="G2676" s="1"/>
      <c r="H2676" t="str">
        <f>"3250614062629"</f>
        <v>3250614062629</v>
      </c>
      <c r="J2676" t="s">
        <v>7612</v>
      </c>
    </row>
    <row r="2677" spans="1:10" x14ac:dyDescent="0.25">
      <c r="A2677" t="s">
        <v>8</v>
      </c>
      <c r="B2677" t="s">
        <v>7613</v>
      </c>
      <c r="C2677" t="s">
        <v>7614</v>
      </c>
      <c r="D2677">
        <v>1</v>
      </c>
      <c r="E2677" t="s">
        <v>7271</v>
      </c>
      <c r="F2677" t="s">
        <v>7272</v>
      </c>
      <c r="G2677" s="1"/>
      <c r="H2677" t="str">
        <f>"3250614062711"</f>
        <v>3250614062711</v>
      </c>
      <c r="J2677" t="s">
        <v>7519</v>
      </c>
    </row>
    <row r="2678" spans="1:10" x14ac:dyDescent="0.25">
      <c r="A2678" t="s">
        <v>8</v>
      </c>
      <c r="B2678" t="s">
        <v>7615</v>
      </c>
      <c r="C2678" t="s">
        <v>7616</v>
      </c>
      <c r="D2678">
        <v>1</v>
      </c>
      <c r="E2678" t="s">
        <v>7271</v>
      </c>
      <c r="F2678" t="s">
        <v>7272</v>
      </c>
      <c r="G2678" s="1"/>
      <c r="H2678" t="str">
        <f>"3250614562129"</f>
        <v>3250614562129</v>
      </c>
      <c r="J2678" t="s">
        <v>7617</v>
      </c>
    </row>
    <row r="2679" spans="1:10" x14ac:dyDescent="0.25">
      <c r="A2679" t="s">
        <v>8</v>
      </c>
      <c r="B2679" t="s">
        <v>7618</v>
      </c>
      <c r="C2679" t="s">
        <v>7619</v>
      </c>
      <c r="D2679">
        <v>1</v>
      </c>
      <c r="E2679" t="s">
        <v>7271</v>
      </c>
      <c r="F2679" t="s">
        <v>7272</v>
      </c>
      <c r="G2679" s="1"/>
      <c r="H2679" t="str">
        <f>"3250614120015"</f>
        <v>3250614120015</v>
      </c>
      <c r="J2679" t="s">
        <v>7620</v>
      </c>
    </row>
    <row r="2680" spans="1:10" x14ac:dyDescent="0.25">
      <c r="A2680" t="s">
        <v>8</v>
      </c>
      <c r="B2680" t="s">
        <v>7621</v>
      </c>
      <c r="C2680" t="s">
        <v>7622</v>
      </c>
      <c r="D2680">
        <v>1</v>
      </c>
      <c r="E2680" t="s">
        <v>7271</v>
      </c>
      <c r="F2680" t="s">
        <v>7272</v>
      </c>
      <c r="G2680" s="1"/>
      <c r="H2680" t="str">
        <f>"3250614120022"</f>
        <v>3250614120022</v>
      </c>
      <c r="J2680" t="s">
        <v>7623</v>
      </c>
    </row>
    <row r="2681" spans="1:10" x14ac:dyDescent="0.25">
      <c r="A2681" t="s">
        <v>8</v>
      </c>
      <c r="B2681" t="s">
        <v>7624</v>
      </c>
      <c r="C2681" t="s">
        <v>7625</v>
      </c>
      <c r="D2681">
        <v>1</v>
      </c>
      <c r="E2681" t="s">
        <v>7271</v>
      </c>
      <c r="F2681" t="s">
        <v>7272</v>
      </c>
      <c r="G2681" s="1"/>
      <c r="H2681" t="str">
        <f>"3250614120039"</f>
        <v>3250614120039</v>
      </c>
      <c r="J2681" t="s">
        <v>7626</v>
      </c>
    </row>
    <row r="2682" spans="1:10" x14ac:dyDescent="0.25">
      <c r="A2682" t="s">
        <v>8</v>
      </c>
      <c r="B2682" t="s">
        <v>7627</v>
      </c>
      <c r="C2682" t="s">
        <v>7628</v>
      </c>
      <c r="D2682">
        <v>1</v>
      </c>
      <c r="E2682" t="s">
        <v>7271</v>
      </c>
      <c r="F2682" t="s">
        <v>7272</v>
      </c>
      <c r="G2682" s="1"/>
      <c r="H2682" t="str">
        <f>"3250614120046"</f>
        <v>3250614120046</v>
      </c>
      <c r="J2682" t="s">
        <v>7629</v>
      </c>
    </row>
    <row r="2683" spans="1:10" x14ac:dyDescent="0.25">
      <c r="A2683" t="s">
        <v>8</v>
      </c>
      <c r="B2683" t="s">
        <v>7630</v>
      </c>
      <c r="C2683" t="s">
        <v>7631</v>
      </c>
      <c r="D2683">
        <v>1</v>
      </c>
      <c r="E2683" t="s">
        <v>7271</v>
      </c>
      <c r="F2683" t="s">
        <v>7272</v>
      </c>
      <c r="G2683" s="1"/>
      <c r="H2683" t="str">
        <f>"3250614120053"</f>
        <v>3250614120053</v>
      </c>
      <c r="J2683" t="s">
        <v>7632</v>
      </c>
    </row>
    <row r="2684" spans="1:10" x14ac:dyDescent="0.25">
      <c r="A2684" t="s">
        <v>8</v>
      </c>
      <c r="B2684" t="s">
        <v>7633</v>
      </c>
      <c r="C2684" t="s">
        <v>7634</v>
      </c>
      <c r="D2684">
        <v>1</v>
      </c>
      <c r="E2684" t="s">
        <v>7271</v>
      </c>
      <c r="F2684" t="s">
        <v>7272</v>
      </c>
      <c r="G2684" s="1"/>
      <c r="H2684" t="str">
        <f>"3250614120060"</f>
        <v>3250614120060</v>
      </c>
      <c r="J2684" t="s">
        <v>7386</v>
      </c>
    </row>
    <row r="2685" spans="1:10" x14ac:dyDescent="0.25">
      <c r="A2685" t="s">
        <v>8</v>
      </c>
      <c r="B2685" t="s">
        <v>7635</v>
      </c>
      <c r="C2685" t="s">
        <v>7636</v>
      </c>
      <c r="D2685">
        <v>1</v>
      </c>
      <c r="E2685" t="s">
        <v>7271</v>
      </c>
      <c r="F2685" t="s">
        <v>7272</v>
      </c>
      <c r="G2685" s="1"/>
      <c r="H2685" t="str">
        <f>"3250614120077"</f>
        <v>3250614120077</v>
      </c>
      <c r="J2685" t="s">
        <v>7637</v>
      </c>
    </row>
    <row r="2686" spans="1:10" x14ac:dyDescent="0.25">
      <c r="A2686" t="s">
        <v>8</v>
      </c>
      <c r="B2686" t="s">
        <v>7638</v>
      </c>
      <c r="C2686" t="s">
        <v>7639</v>
      </c>
      <c r="D2686">
        <v>1</v>
      </c>
      <c r="E2686" t="s">
        <v>7271</v>
      </c>
      <c r="F2686" t="s">
        <v>7272</v>
      </c>
      <c r="G2686" s="1"/>
      <c r="H2686" t="str">
        <f>"3250614120084"</f>
        <v>3250614120084</v>
      </c>
      <c r="J2686" t="s">
        <v>7640</v>
      </c>
    </row>
    <row r="2687" spans="1:10" x14ac:dyDescent="0.25">
      <c r="A2687" t="s">
        <v>8</v>
      </c>
      <c r="B2687" t="s">
        <v>7641</v>
      </c>
      <c r="C2687" t="s">
        <v>7642</v>
      </c>
      <c r="D2687">
        <v>1</v>
      </c>
      <c r="E2687" t="s">
        <v>7271</v>
      </c>
      <c r="F2687" t="s">
        <v>7272</v>
      </c>
      <c r="G2687" s="1"/>
      <c r="H2687" t="str">
        <f>"3250614120091"</f>
        <v>3250614120091</v>
      </c>
      <c r="J2687" t="s">
        <v>7643</v>
      </c>
    </row>
    <row r="2688" spans="1:10" x14ac:dyDescent="0.25">
      <c r="A2688" t="s">
        <v>8</v>
      </c>
      <c r="B2688" t="s">
        <v>7644</v>
      </c>
      <c r="C2688" t="s">
        <v>7645</v>
      </c>
      <c r="D2688">
        <v>1</v>
      </c>
      <c r="E2688" t="s">
        <v>7271</v>
      </c>
      <c r="F2688" t="s">
        <v>7272</v>
      </c>
      <c r="G2688" s="1"/>
      <c r="H2688" t="str">
        <f>"3250614120107"</f>
        <v>3250614120107</v>
      </c>
      <c r="J2688" t="s">
        <v>7646</v>
      </c>
    </row>
    <row r="2689" spans="1:10" x14ac:dyDescent="0.25">
      <c r="A2689" t="s">
        <v>8</v>
      </c>
      <c r="B2689" t="s">
        <v>7647</v>
      </c>
      <c r="C2689" t="s">
        <v>7648</v>
      </c>
      <c r="D2689">
        <v>1</v>
      </c>
      <c r="E2689" t="s">
        <v>7271</v>
      </c>
      <c r="F2689" t="s">
        <v>7272</v>
      </c>
      <c r="G2689" s="1"/>
      <c r="H2689" t="str">
        <f>"3250614120114"</f>
        <v>3250614120114</v>
      </c>
      <c r="J2689" t="s">
        <v>7649</v>
      </c>
    </row>
    <row r="2690" spans="1:10" x14ac:dyDescent="0.25">
      <c r="A2690" t="s">
        <v>8</v>
      </c>
      <c r="B2690" t="s">
        <v>7650</v>
      </c>
      <c r="C2690" t="s">
        <v>7651</v>
      </c>
      <c r="D2690">
        <v>1</v>
      </c>
      <c r="E2690" t="s">
        <v>7271</v>
      </c>
      <c r="F2690" t="s">
        <v>7272</v>
      </c>
      <c r="G2690" s="1"/>
      <c r="H2690" t="str">
        <f>"3250614120121"</f>
        <v>3250614120121</v>
      </c>
      <c r="J2690" t="s">
        <v>7652</v>
      </c>
    </row>
    <row r="2691" spans="1:10" x14ac:dyDescent="0.25">
      <c r="A2691" t="s">
        <v>8</v>
      </c>
      <c r="B2691" t="s">
        <v>7653</v>
      </c>
      <c r="C2691" t="s">
        <v>7654</v>
      </c>
      <c r="D2691">
        <v>1</v>
      </c>
      <c r="E2691" t="s">
        <v>7271</v>
      </c>
      <c r="F2691" t="s">
        <v>7272</v>
      </c>
      <c r="G2691" s="1"/>
      <c r="H2691" t="str">
        <f>"3250614120138"</f>
        <v>3250614120138</v>
      </c>
      <c r="J2691" t="s">
        <v>7655</v>
      </c>
    </row>
    <row r="2692" spans="1:10" x14ac:dyDescent="0.25">
      <c r="A2692" t="s">
        <v>8</v>
      </c>
      <c r="B2692" t="s">
        <v>7656</v>
      </c>
      <c r="C2692" t="s">
        <v>7657</v>
      </c>
      <c r="D2692">
        <v>1</v>
      </c>
      <c r="E2692" t="s">
        <v>7658</v>
      </c>
      <c r="F2692" t="s">
        <v>7659</v>
      </c>
      <c r="G2692" s="1"/>
      <c r="H2692" t="str">
        <f>"3250614318306"</f>
        <v>3250614318306</v>
      </c>
      <c r="J2692" t="s">
        <v>7660</v>
      </c>
    </row>
    <row r="2693" spans="1:10" x14ac:dyDescent="0.25">
      <c r="A2693" t="s">
        <v>8</v>
      </c>
      <c r="B2693" t="s">
        <v>7661</v>
      </c>
      <c r="C2693" t="s">
        <v>7662</v>
      </c>
      <c r="D2693">
        <v>1</v>
      </c>
      <c r="E2693" t="s">
        <v>7658</v>
      </c>
      <c r="F2693" t="s">
        <v>7659</v>
      </c>
      <c r="G2693" s="1"/>
      <c r="H2693" t="str">
        <f>"3250614318382"</f>
        <v>3250614318382</v>
      </c>
      <c r="J2693" t="s">
        <v>7663</v>
      </c>
    </row>
    <row r="2694" spans="1:10" x14ac:dyDescent="0.25">
      <c r="A2694" t="s">
        <v>8</v>
      </c>
      <c r="B2694" t="s">
        <v>7664</v>
      </c>
      <c r="C2694" t="s">
        <v>7665</v>
      </c>
      <c r="D2694">
        <v>1</v>
      </c>
      <c r="E2694" t="s">
        <v>7658</v>
      </c>
      <c r="F2694" t="s">
        <v>7659</v>
      </c>
      <c r="G2694" s="1"/>
      <c r="H2694" t="str">
        <f>"3250614318375"</f>
        <v>3250614318375</v>
      </c>
      <c r="J2694" t="s">
        <v>7666</v>
      </c>
    </row>
    <row r="2695" spans="1:10" x14ac:dyDescent="0.25">
      <c r="A2695" t="s">
        <v>8</v>
      </c>
      <c r="B2695" t="s">
        <v>7667</v>
      </c>
      <c r="C2695" t="s">
        <v>7668</v>
      </c>
      <c r="D2695">
        <v>1</v>
      </c>
      <c r="E2695" t="s">
        <v>7658</v>
      </c>
      <c r="F2695" t="s">
        <v>7659</v>
      </c>
      <c r="G2695" s="1"/>
      <c r="H2695" t="str">
        <f>"3250614318368"</f>
        <v>3250614318368</v>
      </c>
      <c r="J2695" t="s">
        <v>7669</v>
      </c>
    </row>
    <row r="2696" spans="1:10" x14ac:dyDescent="0.25">
      <c r="A2696" t="s">
        <v>8</v>
      </c>
      <c r="B2696" t="s">
        <v>7670</v>
      </c>
      <c r="C2696" t="s">
        <v>7671</v>
      </c>
      <c r="D2696">
        <v>1</v>
      </c>
      <c r="E2696" t="s">
        <v>7658</v>
      </c>
      <c r="F2696" t="s">
        <v>7659</v>
      </c>
      <c r="G2696" s="1"/>
      <c r="H2696" t="str">
        <f>"3250614318351"</f>
        <v>3250614318351</v>
      </c>
      <c r="J2696" t="s">
        <v>7669</v>
      </c>
    </row>
    <row r="2697" spans="1:10" x14ac:dyDescent="0.25">
      <c r="A2697" t="s">
        <v>8</v>
      </c>
      <c r="B2697" t="s">
        <v>7672</v>
      </c>
      <c r="C2697" t="s">
        <v>7673</v>
      </c>
      <c r="D2697">
        <v>1</v>
      </c>
      <c r="E2697" t="s">
        <v>7658</v>
      </c>
      <c r="F2697" t="s">
        <v>7659</v>
      </c>
      <c r="G2697" s="1"/>
      <c r="H2697" t="str">
        <f>"3250614318337"</f>
        <v>3250614318337</v>
      </c>
      <c r="J2697" t="s">
        <v>7669</v>
      </c>
    </row>
    <row r="2698" spans="1:10" x14ac:dyDescent="0.25">
      <c r="A2698" t="s">
        <v>8</v>
      </c>
      <c r="B2698" t="s">
        <v>7674</v>
      </c>
      <c r="C2698" t="s">
        <v>7675</v>
      </c>
      <c r="D2698">
        <v>1</v>
      </c>
      <c r="E2698" t="s">
        <v>7658</v>
      </c>
      <c r="F2698" t="s">
        <v>7659</v>
      </c>
      <c r="G2698" s="1"/>
      <c r="H2698" t="str">
        <f>"3250614318320"</f>
        <v>3250614318320</v>
      </c>
      <c r="J2698" t="s">
        <v>7676</v>
      </c>
    </row>
    <row r="2699" spans="1:10" x14ac:dyDescent="0.25">
      <c r="A2699" t="s">
        <v>8</v>
      </c>
      <c r="B2699" t="s">
        <v>7677</v>
      </c>
      <c r="C2699" t="s">
        <v>7678</v>
      </c>
      <c r="D2699">
        <v>1</v>
      </c>
      <c r="E2699" t="s">
        <v>7679</v>
      </c>
      <c r="F2699" t="s">
        <v>7680</v>
      </c>
      <c r="G2699" s="1"/>
      <c r="H2699" t="str">
        <f>"3250614319440"</f>
        <v>3250614319440</v>
      </c>
      <c r="J2699" t="s">
        <v>7681</v>
      </c>
    </row>
    <row r="2700" spans="1:10" x14ac:dyDescent="0.25">
      <c r="A2700" t="s">
        <v>8</v>
      </c>
      <c r="B2700" t="s">
        <v>7682</v>
      </c>
      <c r="C2700" t="s">
        <v>7683</v>
      </c>
      <c r="D2700">
        <v>1</v>
      </c>
      <c r="E2700" t="s">
        <v>7679</v>
      </c>
      <c r="F2700" t="s">
        <v>7680</v>
      </c>
      <c r="G2700" s="1"/>
      <c r="H2700" t="str">
        <f>"3250614319433"</f>
        <v>3250614319433</v>
      </c>
      <c r="J2700" t="s">
        <v>7684</v>
      </c>
    </row>
    <row r="2701" spans="1:10" x14ac:dyDescent="0.25">
      <c r="A2701" t="s">
        <v>8</v>
      </c>
      <c r="B2701" t="s">
        <v>7685</v>
      </c>
      <c r="C2701" t="s">
        <v>7686</v>
      </c>
      <c r="D2701">
        <v>1</v>
      </c>
      <c r="E2701" t="s">
        <v>7679</v>
      </c>
      <c r="F2701" t="s">
        <v>7680</v>
      </c>
      <c r="G2701" s="1"/>
      <c r="H2701" t="str">
        <f>"3250614319419"</f>
        <v>3250614319419</v>
      </c>
      <c r="J2701" t="s">
        <v>7687</v>
      </c>
    </row>
    <row r="2702" spans="1:10" x14ac:dyDescent="0.25">
      <c r="A2702" t="s">
        <v>8</v>
      </c>
      <c r="B2702" t="s">
        <v>7688</v>
      </c>
      <c r="C2702" t="s">
        <v>7689</v>
      </c>
      <c r="D2702">
        <v>1</v>
      </c>
      <c r="E2702" t="s">
        <v>7679</v>
      </c>
      <c r="F2702" t="s">
        <v>7680</v>
      </c>
      <c r="G2702" s="1"/>
      <c r="H2702" t="str">
        <f>"3250614319495"</f>
        <v>3250614319495</v>
      </c>
      <c r="J2702" t="s">
        <v>7690</v>
      </c>
    </row>
    <row r="2703" spans="1:10" x14ac:dyDescent="0.25">
      <c r="A2703" t="s">
        <v>8</v>
      </c>
      <c r="B2703" t="s">
        <v>7691</v>
      </c>
      <c r="C2703" t="s">
        <v>7692</v>
      </c>
      <c r="D2703">
        <v>1</v>
      </c>
      <c r="E2703" t="s">
        <v>7679</v>
      </c>
      <c r="F2703" t="s">
        <v>7680</v>
      </c>
      <c r="G2703" s="1"/>
      <c r="H2703" t="str">
        <f>"3250614319488"</f>
        <v>3250614319488</v>
      </c>
      <c r="J2703" t="s">
        <v>7693</v>
      </c>
    </row>
    <row r="2704" spans="1:10" x14ac:dyDescent="0.25">
      <c r="A2704" t="s">
        <v>8</v>
      </c>
      <c r="B2704" t="s">
        <v>7694</v>
      </c>
      <c r="C2704" t="s">
        <v>7695</v>
      </c>
      <c r="D2704">
        <v>1</v>
      </c>
      <c r="E2704" t="s">
        <v>7679</v>
      </c>
      <c r="F2704" t="s">
        <v>7680</v>
      </c>
      <c r="G2704" s="1"/>
      <c r="H2704" t="str">
        <f>"3250614319471"</f>
        <v>3250614319471</v>
      </c>
      <c r="J2704" t="s">
        <v>7681</v>
      </c>
    </row>
    <row r="2705" spans="1:10" x14ac:dyDescent="0.25">
      <c r="A2705" t="s">
        <v>8</v>
      </c>
      <c r="B2705" t="s">
        <v>7696</v>
      </c>
      <c r="C2705" t="s">
        <v>7697</v>
      </c>
      <c r="D2705">
        <v>1</v>
      </c>
      <c r="E2705" t="s">
        <v>7679</v>
      </c>
      <c r="F2705" t="s">
        <v>7680</v>
      </c>
      <c r="G2705" s="1"/>
      <c r="H2705" t="str">
        <f>"3250614319464"</f>
        <v>3250614319464</v>
      </c>
      <c r="J2705" t="s">
        <v>7681</v>
      </c>
    </row>
    <row r="2706" spans="1:10" x14ac:dyDescent="0.25">
      <c r="A2706" t="s">
        <v>8</v>
      </c>
      <c r="B2706" t="s">
        <v>7698</v>
      </c>
      <c r="C2706" t="s">
        <v>7699</v>
      </c>
      <c r="D2706">
        <v>1</v>
      </c>
      <c r="E2706" t="s">
        <v>7700</v>
      </c>
      <c r="F2706" t="s">
        <v>7701</v>
      </c>
      <c r="G2706" s="1"/>
      <c r="H2706" t="str">
        <f>"3250614435201"</f>
        <v>3250614435201</v>
      </c>
      <c r="J2706" t="s">
        <v>7702</v>
      </c>
    </row>
    <row r="2707" spans="1:10" x14ac:dyDescent="0.25">
      <c r="A2707" t="s">
        <v>8</v>
      </c>
      <c r="B2707" t="s">
        <v>7703</v>
      </c>
      <c r="C2707" t="s">
        <v>7704</v>
      </c>
      <c r="D2707">
        <v>1</v>
      </c>
      <c r="E2707" t="s">
        <v>7700</v>
      </c>
      <c r="F2707" t="s">
        <v>7701</v>
      </c>
      <c r="G2707" s="1"/>
      <c r="H2707" t="str">
        <f>"3250614435256"</f>
        <v>3250614435256</v>
      </c>
      <c r="J2707" t="s">
        <v>7705</v>
      </c>
    </row>
    <row r="2708" spans="1:10" x14ac:dyDescent="0.25">
      <c r="A2708" t="s">
        <v>8</v>
      </c>
      <c r="B2708" t="s">
        <v>7706</v>
      </c>
      <c r="C2708" t="s">
        <v>7707</v>
      </c>
      <c r="D2708">
        <v>1</v>
      </c>
      <c r="E2708" t="s">
        <v>7700</v>
      </c>
      <c r="F2708" t="s">
        <v>7701</v>
      </c>
      <c r="G2708" s="1"/>
      <c r="H2708" t="str">
        <f>"3250614435195"</f>
        <v>3250614435195</v>
      </c>
      <c r="J2708" t="s">
        <v>7708</v>
      </c>
    </row>
    <row r="2709" spans="1:10" x14ac:dyDescent="0.25">
      <c r="A2709" t="s">
        <v>8</v>
      </c>
      <c r="B2709" t="s">
        <v>7709</v>
      </c>
      <c r="C2709" t="s">
        <v>7710</v>
      </c>
      <c r="D2709">
        <v>1</v>
      </c>
      <c r="E2709" t="s">
        <v>7700</v>
      </c>
      <c r="F2709" t="s">
        <v>7701</v>
      </c>
      <c r="G2709" s="1"/>
      <c r="H2709" t="str">
        <f>"3250614435188"</f>
        <v>3250614435188</v>
      </c>
      <c r="J2709" t="s">
        <v>7711</v>
      </c>
    </row>
    <row r="2710" spans="1:10" x14ac:dyDescent="0.25">
      <c r="A2710" t="s">
        <v>8</v>
      </c>
      <c r="B2710" t="s">
        <v>7712</v>
      </c>
      <c r="C2710" t="s">
        <v>7713</v>
      </c>
      <c r="D2710">
        <v>1</v>
      </c>
      <c r="E2710" t="s">
        <v>7700</v>
      </c>
      <c r="F2710" t="s">
        <v>7701</v>
      </c>
      <c r="G2710" s="1"/>
      <c r="H2710" t="str">
        <f>"3250614440052"</f>
        <v>3250614440052</v>
      </c>
      <c r="J2710" t="s">
        <v>7714</v>
      </c>
    </row>
    <row r="2711" spans="1:10" x14ac:dyDescent="0.25">
      <c r="A2711" t="s">
        <v>8</v>
      </c>
      <c r="B2711" t="s">
        <v>7715</v>
      </c>
      <c r="C2711" t="s">
        <v>7716</v>
      </c>
      <c r="D2711">
        <v>1</v>
      </c>
      <c r="E2711" t="s">
        <v>7700</v>
      </c>
      <c r="F2711" t="s">
        <v>7701</v>
      </c>
      <c r="G2711" s="1"/>
      <c r="H2711" t="str">
        <f>"3250614435171"</f>
        <v>3250614435171</v>
      </c>
      <c r="J2711" t="s">
        <v>7717</v>
      </c>
    </row>
    <row r="2712" spans="1:10" x14ac:dyDescent="0.25">
      <c r="A2712" t="s">
        <v>8</v>
      </c>
      <c r="B2712" t="s">
        <v>7718</v>
      </c>
      <c r="C2712" t="s">
        <v>7719</v>
      </c>
      <c r="D2712">
        <v>1</v>
      </c>
      <c r="E2712" t="s">
        <v>7700</v>
      </c>
      <c r="F2712" t="s">
        <v>7701</v>
      </c>
      <c r="G2712" s="1"/>
      <c r="H2712" t="str">
        <f>"3250614440175"</f>
        <v>3250614440175</v>
      </c>
      <c r="J2712" t="s">
        <v>7720</v>
      </c>
    </row>
    <row r="2713" spans="1:10" x14ac:dyDescent="0.25">
      <c r="A2713" t="s">
        <v>8</v>
      </c>
      <c r="B2713" t="s">
        <v>7721</v>
      </c>
      <c r="C2713" t="s">
        <v>7722</v>
      </c>
      <c r="D2713">
        <v>1</v>
      </c>
      <c r="E2713" t="s">
        <v>7700</v>
      </c>
      <c r="F2713" t="s">
        <v>7701</v>
      </c>
      <c r="G2713" s="1"/>
      <c r="H2713" t="str">
        <f>"3250614435249"</f>
        <v>3250614435249</v>
      </c>
      <c r="J2713" t="s">
        <v>7723</v>
      </c>
    </row>
    <row r="2714" spans="1:10" x14ac:dyDescent="0.25">
      <c r="A2714" t="s">
        <v>8</v>
      </c>
      <c r="B2714" t="s">
        <v>7724</v>
      </c>
      <c r="C2714" t="s">
        <v>7725</v>
      </c>
      <c r="D2714">
        <v>1</v>
      </c>
      <c r="E2714" t="s">
        <v>7700</v>
      </c>
      <c r="F2714" t="s">
        <v>7701</v>
      </c>
      <c r="G2714" s="1"/>
      <c r="H2714" t="str">
        <f>"3250614440168"</f>
        <v>3250614440168</v>
      </c>
      <c r="J2714" t="s">
        <v>7726</v>
      </c>
    </row>
    <row r="2715" spans="1:10" x14ac:dyDescent="0.25">
      <c r="A2715" t="s">
        <v>8</v>
      </c>
      <c r="B2715" t="s">
        <v>7727</v>
      </c>
      <c r="C2715" t="s">
        <v>7728</v>
      </c>
      <c r="D2715">
        <v>1</v>
      </c>
      <c r="E2715" t="s">
        <v>7700</v>
      </c>
      <c r="F2715" t="s">
        <v>7701</v>
      </c>
      <c r="G2715" s="1"/>
      <c r="H2715" t="str">
        <f>"3250614435232"</f>
        <v>3250614435232</v>
      </c>
      <c r="J2715" t="s">
        <v>7729</v>
      </c>
    </row>
    <row r="2716" spans="1:10" x14ac:dyDescent="0.25">
      <c r="A2716" t="s">
        <v>8</v>
      </c>
      <c r="B2716" t="s">
        <v>7730</v>
      </c>
      <c r="C2716" t="s">
        <v>7731</v>
      </c>
      <c r="D2716">
        <v>1</v>
      </c>
      <c r="E2716" t="s">
        <v>7700</v>
      </c>
      <c r="F2716" t="s">
        <v>7701</v>
      </c>
      <c r="G2716" s="1"/>
      <c r="H2716" t="str">
        <f>"3250614435225"</f>
        <v>3250614435225</v>
      </c>
      <c r="J2716" t="s">
        <v>7708</v>
      </c>
    </row>
    <row r="2717" spans="1:10" x14ac:dyDescent="0.25">
      <c r="A2717" t="s">
        <v>8</v>
      </c>
      <c r="B2717" t="s">
        <v>7732</v>
      </c>
      <c r="C2717" t="s">
        <v>7733</v>
      </c>
      <c r="D2717">
        <v>1</v>
      </c>
      <c r="E2717" t="s">
        <v>7700</v>
      </c>
      <c r="F2717" t="s">
        <v>7701</v>
      </c>
      <c r="G2717" s="1"/>
      <c r="H2717" t="str">
        <f>"3250614440090"</f>
        <v>3250614440090</v>
      </c>
      <c r="J2717" t="s">
        <v>7734</v>
      </c>
    </row>
    <row r="2718" spans="1:10" x14ac:dyDescent="0.25">
      <c r="A2718" t="s">
        <v>8</v>
      </c>
      <c r="B2718" t="s">
        <v>7735</v>
      </c>
      <c r="C2718" t="s">
        <v>7736</v>
      </c>
      <c r="D2718">
        <v>1</v>
      </c>
      <c r="E2718" t="s">
        <v>7700</v>
      </c>
      <c r="F2718" t="s">
        <v>7701</v>
      </c>
      <c r="G2718" s="1"/>
      <c r="H2718" t="str">
        <f>"3250614435164"</f>
        <v>3250614435164</v>
      </c>
      <c r="J2718" t="s">
        <v>7737</v>
      </c>
    </row>
    <row r="2719" spans="1:10" x14ac:dyDescent="0.25">
      <c r="A2719" t="s">
        <v>8</v>
      </c>
      <c r="B2719" t="s">
        <v>7738</v>
      </c>
      <c r="C2719" t="s">
        <v>7739</v>
      </c>
      <c r="D2719">
        <v>1</v>
      </c>
      <c r="E2719" t="s">
        <v>7700</v>
      </c>
      <c r="F2719" t="s">
        <v>7701</v>
      </c>
      <c r="G2719" s="1"/>
      <c r="H2719" t="str">
        <f>"3250614435218"</f>
        <v>3250614435218</v>
      </c>
      <c r="J2719" t="s">
        <v>7740</v>
      </c>
    </row>
    <row r="2720" spans="1:10" x14ac:dyDescent="0.25">
      <c r="A2720" t="s">
        <v>8</v>
      </c>
      <c r="B2720" t="s">
        <v>7741</v>
      </c>
      <c r="C2720" t="s">
        <v>7742</v>
      </c>
      <c r="D2720">
        <v>1</v>
      </c>
      <c r="E2720" t="s">
        <v>7700</v>
      </c>
      <c r="F2720" t="s">
        <v>7701</v>
      </c>
      <c r="G2720" s="1"/>
      <c r="H2720" t="str">
        <f>"3250614440083"</f>
        <v>3250614440083</v>
      </c>
      <c r="J2720" t="s">
        <v>7743</v>
      </c>
    </row>
    <row r="2721" spans="1:10" x14ac:dyDescent="0.25">
      <c r="A2721" t="s">
        <v>8</v>
      </c>
      <c r="B2721" t="s">
        <v>7744</v>
      </c>
      <c r="C2721" t="s">
        <v>7745</v>
      </c>
      <c r="D2721">
        <v>1</v>
      </c>
      <c r="E2721" t="s">
        <v>7700</v>
      </c>
      <c r="F2721" t="s">
        <v>7701</v>
      </c>
      <c r="G2721" s="1"/>
      <c r="H2721" t="str">
        <f>"3250614435157"</f>
        <v>3250614435157</v>
      </c>
      <c r="J2721" t="s">
        <v>7746</v>
      </c>
    </row>
    <row r="2722" spans="1:10" x14ac:dyDescent="0.25">
      <c r="A2722" t="s">
        <v>8</v>
      </c>
      <c r="B2722" t="s">
        <v>7747</v>
      </c>
      <c r="C2722" t="s">
        <v>7748</v>
      </c>
      <c r="D2722">
        <v>1</v>
      </c>
      <c r="E2722" t="s">
        <v>7700</v>
      </c>
      <c r="F2722" t="s">
        <v>7701</v>
      </c>
      <c r="G2722" s="1"/>
      <c r="H2722" t="str">
        <f>"3250614435140"</f>
        <v>3250614435140</v>
      </c>
      <c r="J2722" t="s">
        <v>7746</v>
      </c>
    </row>
    <row r="2723" spans="1:10" x14ac:dyDescent="0.25">
      <c r="A2723" t="s">
        <v>8</v>
      </c>
      <c r="B2723" t="s">
        <v>7749</v>
      </c>
      <c r="C2723" t="s">
        <v>7750</v>
      </c>
      <c r="D2723">
        <v>1</v>
      </c>
      <c r="E2723" t="s">
        <v>7700</v>
      </c>
      <c r="F2723" t="s">
        <v>7701</v>
      </c>
      <c r="G2723" s="1"/>
      <c r="H2723" t="str">
        <f>"3250614440069"</f>
        <v>3250614440069</v>
      </c>
      <c r="J2723" t="s">
        <v>7751</v>
      </c>
    </row>
    <row r="2724" spans="1:10" x14ac:dyDescent="0.25">
      <c r="A2724" t="s">
        <v>8</v>
      </c>
      <c r="B2724" t="s">
        <v>7752</v>
      </c>
      <c r="C2724" t="s">
        <v>7753</v>
      </c>
      <c r="D2724">
        <v>1</v>
      </c>
      <c r="E2724" t="s">
        <v>7700</v>
      </c>
      <c r="F2724" t="s">
        <v>7701</v>
      </c>
      <c r="G2724" s="1"/>
      <c r="H2724" t="str">
        <f>"3250614440205"</f>
        <v>3250614440205</v>
      </c>
      <c r="J2724" t="s">
        <v>7754</v>
      </c>
    </row>
    <row r="2725" spans="1:10" x14ac:dyDescent="0.25">
      <c r="A2725" t="s">
        <v>8</v>
      </c>
      <c r="B2725" t="s">
        <v>7755</v>
      </c>
      <c r="C2725" t="s">
        <v>7756</v>
      </c>
      <c r="D2725">
        <v>1</v>
      </c>
      <c r="E2725" t="s">
        <v>7700</v>
      </c>
      <c r="F2725" t="s">
        <v>7701</v>
      </c>
      <c r="G2725" s="1"/>
      <c r="H2725" t="str">
        <f>"3250614435263"</f>
        <v>3250614435263</v>
      </c>
      <c r="J2725" t="s">
        <v>7757</v>
      </c>
    </row>
    <row r="2726" spans="1:10" x14ac:dyDescent="0.25">
      <c r="A2726" t="s">
        <v>8</v>
      </c>
      <c r="B2726" t="s">
        <v>7758</v>
      </c>
      <c r="C2726" t="s">
        <v>7759</v>
      </c>
      <c r="D2726">
        <v>1</v>
      </c>
      <c r="E2726" t="s">
        <v>7700</v>
      </c>
      <c r="F2726" t="s">
        <v>7701</v>
      </c>
      <c r="G2726" s="1"/>
      <c r="H2726" t="str">
        <f>"3250614440199"</f>
        <v>3250614440199</v>
      </c>
      <c r="J2726" t="s">
        <v>7760</v>
      </c>
    </row>
    <row r="2727" spans="1:10" x14ac:dyDescent="0.25">
      <c r="A2727" t="s">
        <v>8</v>
      </c>
      <c r="B2727" t="s">
        <v>7761</v>
      </c>
      <c r="C2727" t="s">
        <v>7762</v>
      </c>
      <c r="D2727">
        <v>1</v>
      </c>
      <c r="E2727" t="s">
        <v>7700</v>
      </c>
      <c r="F2727" t="s">
        <v>7701</v>
      </c>
      <c r="G2727" s="1"/>
      <c r="H2727" t="str">
        <f>"3250614440397"</f>
        <v>3250614440397</v>
      </c>
      <c r="J2727" t="s">
        <v>7763</v>
      </c>
    </row>
    <row r="2728" spans="1:10" x14ac:dyDescent="0.25">
      <c r="A2728" t="s">
        <v>8</v>
      </c>
      <c r="B2728" t="s">
        <v>7764</v>
      </c>
      <c r="C2728" t="s">
        <v>7765</v>
      </c>
      <c r="D2728">
        <v>1</v>
      </c>
      <c r="E2728" t="s">
        <v>7700</v>
      </c>
      <c r="F2728" t="s">
        <v>7701</v>
      </c>
      <c r="G2728" s="1"/>
      <c r="H2728" t="str">
        <f>"3250614354816"</f>
        <v>3250614354816</v>
      </c>
      <c r="J2728" t="s">
        <v>7766</v>
      </c>
    </row>
    <row r="2729" spans="1:10" x14ac:dyDescent="0.25">
      <c r="A2729" t="s">
        <v>8</v>
      </c>
      <c r="B2729" t="s">
        <v>7767</v>
      </c>
      <c r="C2729" t="s">
        <v>7768</v>
      </c>
      <c r="D2729">
        <v>1</v>
      </c>
      <c r="E2729" t="s">
        <v>7700</v>
      </c>
      <c r="F2729" t="s">
        <v>7701</v>
      </c>
      <c r="G2729" s="1"/>
      <c r="H2729" t="str">
        <f>"3250614440403"</f>
        <v>3250614440403</v>
      </c>
      <c r="J2729" t="s">
        <v>7769</v>
      </c>
    </row>
    <row r="2730" spans="1:10" x14ac:dyDescent="0.25">
      <c r="A2730" t="s">
        <v>8</v>
      </c>
      <c r="B2730" t="s">
        <v>7770</v>
      </c>
      <c r="C2730" t="s">
        <v>7771</v>
      </c>
      <c r="D2730">
        <v>1</v>
      </c>
      <c r="E2730" t="s">
        <v>7700</v>
      </c>
      <c r="F2730" t="s">
        <v>7701</v>
      </c>
      <c r="G2730" s="1"/>
      <c r="H2730" t="str">
        <f>"3250614354854"</f>
        <v>3250614354854</v>
      </c>
      <c r="J2730" t="s">
        <v>7772</v>
      </c>
    </row>
    <row r="2731" spans="1:10" x14ac:dyDescent="0.25">
      <c r="A2731" t="s">
        <v>8</v>
      </c>
      <c r="B2731" t="s">
        <v>7773</v>
      </c>
      <c r="C2731" t="s">
        <v>7774</v>
      </c>
      <c r="D2731">
        <v>1</v>
      </c>
      <c r="E2731" t="s">
        <v>7700</v>
      </c>
      <c r="F2731" t="s">
        <v>7701</v>
      </c>
      <c r="G2731" s="1"/>
      <c r="H2731" t="str">
        <f>"3250614440311"</f>
        <v>3250614440311</v>
      </c>
      <c r="J2731" t="s">
        <v>7775</v>
      </c>
    </row>
    <row r="2732" spans="1:10" x14ac:dyDescent="0.25">
      <c r="A2732" t="s">
        <v>8</v>
      </c>
      <c r="B2732" t="s">
        <v>7776</v>
      </c>
      <c r="C2732" t="s">
        <v>7777</v>
      </c>
      <c r="D2732">
        <v>1</v>
      </c>
      <c r="E2732" t="s">
        <v>7700</v>
      </c>
      <c r="F2732" t="s">
        <v>7701</v>
      </c>
      <c r="G2732" s="1"/>
      <c r="H2732" t="str">
        <f>"3250614440328"</f>
        <v>3250614440328</v>
      </c>
      <c r="J2732" t="s">
        <v>7775</v>
      </c>
    </row>
    <row r="2733" spans="1:10" x14ac:dyDescent="0.25">
      <c r="A2733" t="s">
        <v>8</v>
      </c>
      <c r="B2733" t="s">
        <v>7778</v>
      </c>
      <c r="C2733" t="s">
        <v>7779</v>
      </c>
      <c r="D2733">
        <v>1</v>
      </c>
      <c r="E2733" t="s">
        <v>7700</v>
      </c>
      <c r="F2733" t="s">
        <v>7701</v>
      </c>
      <c r="G2733" s="1"/>
      <c r="H2733" t="str">
        <f>"3250614440342"</f>
        <v>3250614440342</v>
      </c>
      <c r="J2733" t="s">
        <v>7775</v>
      </c>
    </row>
    <row r="2734" spans="1:10" x14ac:dyDescent="0.25">
      <c r="A2734" t="s">
        <v>8</v>
      </c>
      <c r="B2734" t="s">
        <v>7780</v>
      </c>
      <c r="C2734" t="s">
        <v>7781</v>
      </c>
      <c r="D2734">
        <v>1</v>
      </c>
      <c r="E2734" t="s">
        <v>7700</v>
      </c>
      <c r="F2734" t="s">
        <v>7701</v>
      </c>
      <c r="G2734" s="1"/>
      <c r="H2734" t="str">
        <f>"3250614354885"</f>
        <v>3250614354885</v>
      </c>
      <c r="J2734" t="s">
        <v>7782</v>
      </c>
    </row>
    <row r="2735" spans="1:10" x14ac:dyDescent="0.25">
      <c r="A2735" t="s">
        <v>8</v>
      </c>
      <c r="B2735" t="s">
        <v>7783</v>
      </c>
      <c r="C2735" t="s">
        <v>7784</v>
      </c>
      <c r="D2735">
        <v>1</v>
      </c>
      <c r="E2735" t="s">
        <v>7700</v>
      </c>
      <c r="F2735" t="s">
        <v>7701</v>
      </c>
      <c r="G2735" s="1"/>
      <c r="H2735" t="str">
        <f>"3250614440410"</f>
        <v>3250614440410</v>
      </c>
      <c r="J2735" t="s">
        <v>7782</v>
      </c>
    </row>
    <row r="2736" spans="1:10" x14ac:dyDescent="0.25">
      <c r="A2736" t="s">
        <v>8</v>
      </c>
      <c r="B2736" t="s">
        <v>7785</v>
      </c>
      <c r="C2736" t="s">
        <v>7786</v>
      </c>
      <c r="D2736">
        <v>1</v>
      </c>
      <c r="E2736" t="s">
        <v>7700</v>
      </c>
      <c r="F2736" t="s">
        <v>7701</v>
      </c>
      <c r="G2736" s="1"/>
      <c r="H2736" t="str">
        <f>"3250614354915"</f>
        <v>3250614354915</v>
      </c>
      <c r="J2736" t="s">
        <v>7787</v>
      </c>
    </row>
    <row r="2737" spans="1:10" x14ac:dyDescent="0.25">
      <c r="A2737" t="s">
        <v>8</v>
      </c>
      <c r="B2737" t="s">
        <v>7788</v>
      </c>
      <c r="C2737" t="s">
        <v>7789</v>
      </c>
      <c r="D2737">
        <v>1</v>
      </c>
      <c r="E2737" t="s">
        <v>7790</v>
      </c>
      <c r="F2737" t="s">
        <v>7791</v>
      </c>
      <c r="G2737" s="1"/>
      <c r="H2737" t="str">
        <f>"3250615703132"</f>
        <v>3250615703132</v>
      </c>
      <c r="J2737" t="s">
        <v>7792</v>
      </c>
    </row>
    <row r="2738" spans="1:10" x14ac:dyDescent="0.25">
      <c r="A2738" t="s">
        <v>8</v>
      </c>
      <c r="B2738" t="s">
        <v>7793</v>
      </c>
      <c r="C2738" t="s">
        <v>7794</v>
      </c>
      <c r="D2738">
        <v>1</v>
      </c>
      <c r="E2738" t="s">
        <v>7790</v>
      </c>
      <c r="F2738" t="s">
        <v>7791</v>
      </c>
      <c r="G2738" s="1"/>
      <c r="H2738" t="str">
        <f>"3250615703125"</f>
        <v>3250615703125</v>
      </c>
      <c r="J2738" t="s">
        <v>7795</v>
      </c>
    </row>
    <row r="2739" spans="1:10" x14ac:dyDescent="0.25">
      <c r="A2739" t="s">
        <v>8</v>
      </c>
      <c r="B2739" t="s">
        <v>7796</v>
      </c>
      <c r="C2739" t="s">
        <v>7797</v>
      </c>
      <c r="D2739">
        <v>1</v>
      </c>
      <c r="E2739" t="s">
        <v>7790</v>
      </c>
      <c r="F2739" t="s">
        <v>7791</v>
      </c>
      <c r="G2739" s="1"/>
      <c r="H2739" t="str">
        <f>"3250615703057"</f>
        <v>3250615703057</v>
      </c>
      <c r="J2739" t="s">
        <v>7798</v>
      </c>
    </row>
    <row r="2740" spans="1:10" x14ac:dyDescent="0.25">
      <c r="A2740" t="s">
        <v>8</v>
      </c>
      <c r="B2740" t="s">
        <v>7799</v>
      </c>
      <c r="C2740" t="s">
        <v>7800</v>
      </c>
      <c r="D2740">
        <v>1</v>
      </c>
      <c r="E2740" t="s">
        <v>7790</v>
      </c>
      <c r="F2740" t="s">
        <v>7791</v>
      </c>
      <c r="G2740" s="1"/>
      <c r="H2740" t="str">
        <f>"3250615703033"</f>
        <v>3250615703033</v>
      </c>
      <c r="J2740" t="s">
        <v>7801</v>
      </c>
    </row>
    <row r="2741" spans="1:10" x14ac:dyDescent="0.25">
      <c r="A2741" t="s">
        <v>8</v>
      </c>
      <c r="B2741" t="s">
        <v>7802</v>
      </c>
      <c r="C2741" t="s">
        <v>7803</v>
      </c>
      <c r="D2741">
        <v>1</v>
      </c>
      <c r="E2741" t="s">
        <v>7790</v>
      </c>
      <c r="F2741" t="s">
        <v>7791</v>
      </c>
      <c r="G2741" s="1"/>
      <c r="H2741" t="str">
        <f>"3250615703156"</f>
        <v>3250615703156</v>
      </c>
      <c r="J2741" t="s">
        <v>7804</v>
      </c>
    </row>
    <row r="2742" spans="1:10" x14ac:dyDescent="0.25">
      <c r="A2742" t="s">
        <v>8</v>
      </c>
      <c r="B2742" t="s">
        <v>7805</v>
      </c>
      <c r="C2742" t="s">
        <v>7806</v>
      </c>
      <c r="D2742">
        <v>1</v>
      </c>
      <c r="E2742" t="s">
        <v>7790</v>
      </c>
      <c r="F2742" t="s">
        <v>7791</v>
      </c>
      <c r="G2742" s="1"/>
      <c r="H2742" t="str">
        <f>"3250615703019"</f>
        <v>3250615703019</v>
      </c>
      <c r="J2742" t="s">
        <v>3636</v>
      </c>
    </row>
    <row r="2743" spans="1:10" x14ac:dyDescent="0.25">
      <c r="A2743" t="s">
        <v>8</v>
      </c>
      <c r="B2743" t="s">
        <v>7807</v>
      </c>
      <c r="C2743" t="s">
        <v>7808</v>
      </c>
      <c r="D2743">
        <v>1</v>
      </c>
      <c r="E2743" t="s">
        <v>7790</v>
      </c>
      <c r="F2743" t="s">
        <v>7791</v>
      </c>
      <c r="G2743" s="1"/>
      <c r="H2743" t="str">
        <f>"3250615703149"</f>
        <v>3250615703149</v>
      </c>
      <c r="J2743" t="s">
        <v>7809</v>
      </c>
    </row>
    <row r="2744" spans="1:10" x14ac:dyDescent="0.25">
      <c r="A2744" t="s">
        <v>8</v>
      </c>
      <c r="B2744" t="s">
        <v>7810</v>
      </c>
      <c r="C2744" t="s">
        <v>7811</v>
      </c>
      <c r="D2744">
        <v>1</v>
      </c>
      <c r="E2744" t="s">
        <v>7790</v>
      </c>
      <c r="F2744" t="s">
        <v>7791</v>
      </c>
      <c r="G2744" s="1"/>
      <c r="H2744" t="str">
        <f>"3250615512239"</f>
        <v>3250615512239</v>
      </c>
      <c r="J2744" t="s">
        <v>7812</v>
      </c>
    </row>
    <row r="2745" spans="1:10" x14ac:dyDescent="0.25">
      <c r="A2745" t="s">
        <v>8</v>
      </c>
      <c r="B2745" t="s">
        <v>7813</v>
      </c>
      <c r="C2745" t="s">
        <v>7814</v>
      </c>
      <c r="D2745">
        <v>1</v>
      </c>
      <c r="E2745" t="s">
        <v>7790</v>
      </c>
      <c r="F2745" t="s">
        <v>7791</v>
      </c>
      <c r="G2745" s="1"/>
      <c r="H2745" t="str">
        <f>"3250615512246"</f>
        <v>3250615512246</v>
      </c>
      <c r="J2745" t="s">
        <v>7812</v>
      </c>
    </row>
    <row r="2746" spans="1:10" x14ac:dyDescent="0.25">
      <c r="A2746" t="s">
        <v>8</v>
      </c>
      <c r="B2746" t="s">
        <v>7815</v>
      </c>
      <c r="C2746" t="s">
        <v>7816</v>
      </c>
      <c r="D2746">
        <v>1</v>
      </c>
      <c r="E2746" t="s">
        <v>7817</v>
      </c>
      <c r="F2746" t="s">
        <v>7818</v>
      </c>
      <c r="G2746" s="1"/>
      <c r="H2746" t="str">
        <f>"3250615725004"</f>
        <v>3250615725004</v>
      </c>
      <c r="J2746" t="s">
        <v>7819</v>
      </c>
    </row>
    <row r="2747" spans="1:10" x14ac:dyDescent="0.25">
      <c r="A2747" t="s">
        <v>8</v>
      </c>
      <c r="B2747" t="s">
        <v>7820</v>
      </c>
      <c r="C2747" t="s">
        <v>7821</v>
      </c>
      <c r="D2747">
        <v>1</v>
      </c>
      <c r="E2747" t="s">
        <v>7817</v>
      </c>
      <c r="F2747" t="s">
        <v>7818</v>
      </c>
      <c r="G2747" s="1"/>
      <c r="H2747" t="str">
        <f>"3250615721877"</f>
        <v>3250615721877</v>
      </c>
      <c r="J2747" t="s">
        <v>7822</v>
      </c>
    </row>
    <row r="2748" spans="1:10" x14ac:dyDescent="0.25">
      <c r="A2748" t="s">
        <v>8</v>
      </c>
      <c r="B2748" t="s">
        <v>7823</v>
      </c>
      <c r="C2748" t="s">
        <v>7824</v>
      </c>
      <c r="D2748">
        <v>1</v>
      </c>
      <c r="E2748" t="s">
        <v>7817</v>
      </c>
      <c r="F2748" t="s">
        <v>7818</v>
      </c>
      <c r="G2748" s="1"/>
      <c r="H2748" t="str">
        <f>"3250615721860"</f>
        <v>3250615721860</v>
      </c>
      <c r="J2748" t="s">
        <v>7825</v>
      </c>
    </row>
    <row r="2749" spans="1:10" x14ac:dyDescent="0.25">
      <c r="A2749" t="s">
        <v>8</v>
      </c>
      <c r="B2749" t="s">
        <v>7826</v>
      </c>
      <c r="C2749" t="s">
        <v>7827</v>
      </c>
      <c r="D2749">
        <v>1</v>
      </c>
      <c r="E2749" t="s">
        <v>7817</v>
      </c>
      <c r="F2749" t="s">
        <v>7818</v>
      </c>
      <c r="G2749" s="1"/>
      <c r="H2749" t="str">
        <f>"3250615725066"</f>
        <v>3250615725066</v>
      </c>
      <c r="J2749" t="s">
        <v>7828</v>
      </c>
    </row>
    <row r="2750" spans="1:10" x14ac:dyDescent="0.25">
      <c r="A2750" t="s">
        <v>8</v>
      </c>
      <c r="B2750" t="s">
        <v>7829</v>
      </c>
      <c r="C2750" t="s">
        <v>7830</v>
      </c>
      <c r="D2750">
        <v>1</v>
      </c>
      <c r="E2750" t="s">
        <v>7817</v>
      </c>
      <c r="F2750" t="s">
        <v>7818</v>
      </c>
      <c r="G2750" s="1"/>
      <c r="H2750" t="str">
        <f>"3250615725127"</f>
        <v>3250615725127</v>
      </c>
      <c r="J2750" t="s">
        <v>7831</v>
      </c>
    </row>
    <row r="2751" spans="1:10" x14ac:dyDescent="0.25">
      <c r="A2751" t="s">
        <v>8</v>
      </c>
      <c r="B2751" t="s">
        <v>7832</v>
      </c>
      <c r="C2751" t="s">
        <v>7833</v>
      </c>
      <c r="D2751">
        <v>1</v>
      </c>
      <c r="E2751" t="s">
        <v>7817</v>
      </c>
      <c r="F2751" t="s">
        <v>7818</v>
      </c>
      <c r="G2751" s="1"/>
      <c r="H2751" t="str">
        <f>"3250615725059"</f>
        <v>3250615725059</v>
      </c>
      <c r="I2751" s="1"/>
      <c r="J2751" t="s">
        <v>7834</v>
      </c>
    </row>
    <row r="2752" spans="1:10" x14ac:dyDescent="0.25">
      <c r="A2752" t="s">
        <v>8</v>
      </c>
      <c r="B2752" t="s">
        <v>7835</v>
      </c>
      <c r="C2752" t="s">
        <v>7836</v>
      </c>
      <c r="D2752">
        <v>1</v>
      </c>
      <c r="E2752" t="s">
        <v>7817</v>
      </c>
      <c r="F2752" t="s">
        <v>7818</v>
      </c>
      <c r="G2752" s="1"/>
      <c r="H2752" t="str">
        <f>"3250615721990"</f>
        <v>3250615721990</v>
      </c>
      <c r="J2752" t="s">
        <v>7837</v>
      </c>
    </row>
    <row r="2753" spans="1:10" x14ac:dyDescent="0.25">
      <c r="A2753" t="s">
        <v>8</v>
      </c>
      <c r="B2753" t="s">
        <v>7838</v>
      </c>
      <c r="C2753" t="s">
        <v>7839</v>
      </c>
      <c r="D2753">
        <v>1</v>
      </c>
      <c r="E2753" t="s">
        <v>7817</v>
      </c>
      <c r="F2753" t="s">
        <v>7818</v>
      </c>
      <c r="G2753" s="1"/>
      <c r="H2753" t="str">
        <f>"3250615725042"</f>
        <v>3250615725042</v>
      </c>
      <c r="J2753" t="s">
        <v>7840</v>
      </c>
    </row>
    <row r="2754" spans="1:10" x14ac:dyDescent="0.25">
      <c r="A2754" t="s">
        <v>8</v>
      </c>
      <c r="B2754" t="s">
        <v>7841</v>
      </c>
      <c r="C2754" t="s">
        <v>7842</v>
      </c>
      <c r="D2754">
        <v>1</v>
      </c>
      <c r="E2754" t="s">
        <v>7817</v>
      </c>
      <c r="F2754" t="s">
        <v>7818</v>
      </c>
      <c r="G2754" s="1"/>
      <c r="H2754" t="str">
        <f>"3250615721983"</f>
        <v>3250615721983</v>
      </c>
      <c r="J2754" t="s">
        <v>7843</v>
      </c>
    </row>
    <row r="2755" spans="1:10" x14ac:dyDescent="0.25">
      <c r="A2755" t="s">
        <v>8</v>
      </c>
      <c r="B2755" t="s">
        <v>7844</v>
      </c>
      <c r="C2755" t="s">
        <v>7845</v>
      </c>
      <c r="D2755">
        <v>1</v>
      </c>
      <c r="E2755" t="s">
        <v>7817</v>
      </c>
      <c r="F2755" t="s">
        <v>7818</v>
      </c>
      <c r="G2755" s="1"/>
      <c r="H2755" t="str">
        <f>"3250615725103"</f>
        <v>3250615725103</v>
      </c>
      <c r="J2755" t="s">
        <v>7846</v>
      </c>
    </row>
    <row r="2756" spans="1:10" x14ac:dyDescent="0.25">
      <c r="A2756" t="s">
        <v>8</v>
      </c>
      <c r="B2756" t="s">
        <v>7847</v>
      </c>
      <c r="C2756" t="s">
        <v>7848</v>
      </c>
      <c r="D2756">
        <v>1</v>
      </c>
      <c r="E2756" t="s">
        <v>7817</v>
      </c>
      <c r="F2756" t="s">
        <v>7818</v>
      </c>
      <c r="G2756" s="1"/>
      <c r="H2756" t="str">
        <f>"3250615721792"</f>
        <v>3250615721792</v>
      </c>
      <c r="J2756" t="s">
        <v>7849</v>
      </c>
    </row>
    <row r="2757" spans="1:10" x14ac:dyDescent="0.25">
      <c r="A2757" t="s">
        <v>8</v>
      </c>
      <c r="B2757" t="s">
        <v>7850</v>
      </c>
      <c r="C2757" t="s">
        <v>7851</v>
      </c>
      <c r="D2757">
        <v>1</v>
      </c>
      <c r="E2757" t="s">
        <v>7817</v>
      </c>
      <c r="F2757" t="s">
        <v>7818</v>
      </c>
      <c r="G2757" s="1"/>
      <c r="H2757" t="str">
        <f>"3250615725097"</f>
        <v>3250615725097</v>
      </c>
      <c r="J2757" t="s">
        <v>7852</v>
      </c>
    </row>
    <row r="2758" spans="1:10" x14ac:dyDescent="0.25">
      <c r="A2758" t="s">
        <v>8</v>
      </c>
      <c r="B2758" t="s">
        <v>7853</v>
      </c>
      <c r="C2758" t="s">
        <v>7854</v>
      </c>
      <c r="D2758">
        <v>1</v>
      </c>
      <c r="E2758" t="s">
        <v>7817</v>
      </c>
      <c r="F2758" t="s">
        <v>7818</v>
      </c>
      <c r="G2758" s="1"/>
      <c r="H2758" t="str">
        <f>"3250615725028"</f>
        <v>3250615725028</v>
      </c>
      <c r="J2758" t="s">
        <v>7855</v>
      </c>
    </row>
    <row r="2759" spans="1:10" x14ac:dyDescent="0.25">
      <c r="A2759" t="s">
        <v>8</v>
      </c>
      <c r="B2759" t="s">
        <v>7856</v>
      </c>
      <c r="C2759" t="s">
        <v>7857</v>
      </c>
      <c r="D2759">
        <v>1</v>
      </c>
      <c r="E2759" t="s">
        <v>7817</v>
      </c>
      <c r="F2759" t="s">
        <v>7818</v>
      </c>
      <c r="G2759" s="1"/>
      <c r="H2759" t="str">
        <f>"3250615721822"</f>
        <v>3250615721822</v>
      </c>
      <c r="J2759" t="s">
        <v>7859</v>
      </c>
    </row>
    <row r="2760" spans="1:10" x14ac:dyDescent="0.25">
      <c r="A2760" t="s">
        <v>8</v>
      </c>
      <c r="B2760" t="s">
        <v>7860</v>
      </c>
      <c r="C2760" t="s">
        <v>7861</v>
      </c>
      <c r="D2760">
        <v>1</v>
      </c>
      <c r="E2760" t="s">
        <v>7817</v>
      </c>
      <c r="F2760" t="s">
        <v>7818</v>
      </c>
      <c r="G2760" s="1"/>
      <c r="H2760" t="str">
        <f>"3250615725011"</f>
        <v>3250615725011</v>
      </c>
      <c r="J2760" t="s">
        <v>7862</v>
      </c>
    </row>
    <row r="2761" spans="1:10" x14ac:dyDescent="0.25">
      <c r="A2761" t="s">
        <v>8</v>
      </c>
      <c r="B2761" t="s">
        <v>7863</v>
      </c>
      <c r="C2761" t="s">
        <v>7864</v>
      </c>
      <c r="D2761">
        <v>1</v>
      </c>
      <c r="E2761" t="s">
        <v>7865</v>
      </c>
      <c r="F2761" t="s">
        <v>7866</v>
      </c>
      <c r="G2761" s="1"/>
      <c r="H2761" t="str">
        <f>"3250615874016"</f>
        <v>3250615874016</v>
      </c>
      <c r="J2761" t="s">
        <v>7867</v>
      </c>
    </row>
    <row r="2762" spans="1:10" x14ac:dyDescent="0.25">
      <c r="A2762" t="s">
        <v>8</v>
      </c>
      <c r="B2762" t="s">
        <v>7868</v>
      </c>
      <c r="C2762" t="s">
        <v>7869</v>
      </c>
      <c r="D2762">
        <v>1</v>
      </c>
      <c r="E2762" t="s">
        <v>7865</v>
      </c>
      <c r="F2762" t="s">
        <v>7866</v>
      </c>
      <c r="G2762" s="1"/>
      <c r="H2762" t="str">
        <f>"3250615879998"</f>
        <v>3250615879998</v>
      </c>
      <c r="J2762" t="s">
        <v>7870</v>
      </c>
    </row>
    <row r="2763" spans="1:10" x14ac:dyDescent="0.25">
      <c r="A2763" t="s">
        <v>8</v>
      </c>
      <c r="B2763" t="s">
        <v>7871</v>
      </c>
      <c r="C2763" t="s">
        <v>7872</v>
      </c>
      <c r="D2763">
        <v>1</v>
      </c>
      <c r="E2763" t="s">
        <v>7865</v>
      </c>
      <c r="F2763" t="s">
        <v>7866</v>
      </c>
      <c r="G2763" s="1"/>
      <c r="H2763" t="str">
        <f>"3250615870292"</f>
        <v>3250615870292</v>
      </c>
      <c r="J2763" t="s">
        <v>7873</v>
      </c>
    </row>
    <row r="2764" spans="1:10" x14ac:dyDescent="0.25">
      <c r="A2764" t="s">
        <v>8</v>
      </c>
      <c r="B2764" t="s">
        <v>7874</v>
      </c>
      <c r="C2764" t="s">
        <v>7875</v>
      </c>
      <c r="D2764">
        <v>1</v>
      </c>
      <c r="E2764" t="s">
        <v>7865</v>
      </c>
      <c r="F2764" t="s">
        <v>7866</v>
      </c>
      <c r="G2764" s="1"/>
      <c r="H2764" t="str">
        <f>"3250615874023"</f>
        <v>3250615874023</v>
      </c>
      <c r="J2764" t="s">
        <v>7876</v>
      </c>
    </row>
    <row r="2765" spans="1:10" x14ac:dyDescent="0.25">
      <c r="A2765" t="s">
        <v>8</v>
      </c>
      <c r="B2765" t="s">
        <v>7877</v>
      </c>
      <c r="C2765" t="s">
        <v>7878</v>
      </c>
      <c r="D2765">
        <v>1</v>
      </c>
      <c r="E2765" t="s">
        <v>7865</v>
      </c>
      <c r="F2765" t="s">
        <v>7866</v>
      </c>
      <c r="G2765" s="1"/>
      <c r="H2765" t="str">
        <f>"3250615870193"</f>
        <v>3250615870193</v>
      </c>
      <c r="J2765" t="s">
        <v>7879</v>
      </c>
    </row>
    <row r="2766" spans="1:10" x14ac:dyDescent="0.25">
      <c r="A2766" t="s">
        <v>8</v>
      </c>
      <c r="B2766" t="s">
        <v>7880</v>
      </c>
      <c r="C2766" t="s">
        <v>7881</v>
      </c>
      <c r="D2766">
        <v>1</v>
      </c>
      <c r="E2766" t="s">
        <v>7865</v>
      </c>
      <c r="F2766" t="s">
        <v>7866</v>
      </c>
      <c r="G2766" s="1"/>
      <c r="H2766" t="str">
        <f>"3250615989529"</f>
        <v>3250615989529</v>
      </c>
      <c r="J2766" t="s">
        <v>7882</v>
      </c>
    </row>
    <row r="2767" spans="1:10" x14ac:dyDescent="0.25">
      <c r="A2767" t="s">
        <v>8</v>
      </c>
      <c r="B2767" t="s">
        <v>7883</v>
      </c>
      <c r="C2767" t="s">
        <v>7884</v>
      </c>
      <c r="D2767">
        <v>1</v>
      </c>
      <c r="E2767" t="s">
        <v>7865</v>
      </c>
      <c r="F2767" t="s">
        <v>7866</v>
      </c>
      <c r="G2767" s="1"/>
      <c r="H2767" t="str">
        <f>"3250615870186"</f>
        <v>3250615870186</v>
      </c>
      <c r="J2767" t="s">
        <v>7885</v>
      </c>
    </row>
    <row r="2768" spans="1:10" x14ac:dyDescent="0.25">
      <c r="A2768" t="s">
        <v>8</v>
      </c>
      <c r="B2768" t="s">
        <v>7886</v>
      </c>
      <c r="C2768" t="s">
        <v>7887</v>
      </c>
      <c r="D2768">
        <v>1</v>
      </c>
      <c r="E2768" t="s">
        <v>7865</v>
      </c>
      <c r="F2768" t="s">
        <v>7866</v>
      </c>
      <c r="G2768" s="1"/>
      <c r="H2768" t="str">
        <f>"3250615870087"</f>
        <v>3250615870087</v>
      </c>
      <c r="J2768" t="s">
        <v>7888</v>
      </c>
    </row>
    <row r="2769" spans="1:10" x14ac:dyDescent="0.25">
      <c r="A2769" t="s">
        <v>8</v>
      </c>
      <c r="B2769" t="s">
        <v>7889</v>
      </c>
      <c r="C2769" t="s">
        <v>7890</v>
      </c>
      <c r="D2769">
        <v>1</v>
      </c>
      <c r="E2769" t="s">
        <v>7865</v>
      </c>
      <c r="F2769" t="s">
        <v>7866</v>
      </c>
      <c r="G2769" s="1"/>
      <c r="H2769" t="str">
        <f>"3250615989550"</f>
        <v>3250615989550</v>
      </c>
      <c r="J2769" t="s">
        <v>7891</v>
      </c>
    </row>
    <row r="2770" spans="1:10" x14ac:dyDescent="0.25">
      <c r="A2770" t="s">
        <v>8</v>
      </c>
      <c r="B2770" t="s">
        <v>7892</v>
      </c>
      <c r="C2770" t="s">
        <v>7893</v>
      </c>
      <c r="D2770">
        <v>1</v>
      </c>
      <c r="E2770" t="s">
        <v>7865</v>
      </c>
      <c r="F2770" t="s">
        <v>7866</v>
      </c>
      <c r="G2770" s="1"/>
      <c r="H2770" t="str">
        <f>"3250615979964"</f>
        <v>3250615979964</v>
      </c>
      <c r="J2770" t="s">
        <v>7894</v>
      </c>
    </row>
    <row r="2771" spans="1:10" x14ac:dyDescent="0.25">
      <c r="A2771" t="s">
        <v>8</v>
      </c>
      <c r="B2771" t="s">
        <v>7895</v>
      </c>
      <c r="C2771" t="s">
        <v>7896</v>
      </c>
      <c r="D2771">
        <v>1</v>
      </c>
      <c r="E2771" t="s">
        <v>7865</v>
      </c>
      <c r="F2771" t="s">
        <v>7866</v>
      </c>
      <c r="G2771" s="1"/>
      <c r="H2771" t="str">
        <f>"3250615989147"</f>
        <v>3250615989147</v>
      </c>
      <c r="J2771" t="s">
        <v>7897</v>
      </c>
    </row>
    <row r="2772" spans="1:10" x14ac:dyDescent="0.25">
      <c r="A2772" t="s">
        <v>8</v>
      </c>
      <c r="B2772" t="s">
        <v>7898</v>
      </c>
      <c r="C2772" t="s">
        <v>7899</v>
      </c>
      <c r="D2772">
        <v>1</v>
      </c>
      <c r="E2772" t="s">
        <v>7865</v>
      </c>
      <c r="F2772" t="s">
        <v>7866</v>
      </c>
      <c r="G2772" s="1"/>
      <c r="H2772" t="str">
        <f>"3250616048997"</f>
        <v>3250616048997</v>
      </c>
      <c r="J2772" t="s">
        <v>7900</v>
      </c>
    </row>
    <row r="2773" spans="1:10" x14ac:dyDescent="0.25">
      <c r="A2773" t="s">
        <v>8</v>
      </c>
      <c r="B2773" t="s">
        <v>7901</v>
      </c>
      <c r="C2773" t="s">
        <v>7902</v>
      </c>
      <c r="D2773">
        <v>1</v>
      </c>
      <c r="E2773" t="s">
        <v>7865</v>
      </c>
      <c r="F2773" t="s">
        <v>7866</v>
      </c>
      <c r="G2773" s="1"/>
      <c r="H2773" t="str">
        <f>"3250615879769"</f>
        <v>3250615879769</v>
      </c>
      <c r="J2773" t="s">
        <v>7903</v>
      </c>
    </row>
    <row r="2774" spans="1:10" x14ac:dyDescent="0.25">
      <c r="A2774" t="s">
        <v>8</v>
      </c>
      <c r="B2774" t="s">
        <v>7904</v>
      </c>
      <c r="C2774" t="s">
        <v>7905</v>
      </c>
      <c r="D2774">
        <v>1</v>
      </c>
      <c r="E2774" t="s">
        <v>7865</v>
      </c>
      <c r="F2774" t="s">
        <v>7866</v>
      </c>
      <c r="G2774" s="1"/>
      <c r="H2774" t="str">
        <f>"3250615879783"</f>
        <v>3250615879783</v>
      </c>
      <c r="J2774" t="s">
        <v>7906</v>
      </c>
    </row>
    <row r="2775" spans="1:10" x14ac:dyDescent="0.25">
      <c r="A2775" t="s">
        <v>8</v>
      </c>
      <c r="B2775" t="s">
        <v>7907</v>
      </c>
      <c r="C2775" t="s">
        <v>7908</v>
      </c>
      <c r="D2775">
        <v>1</v>
      </c>
      <c r="E2775" t="s">
        <v>7865</v>
      </c>
      <c r="F2775" t="s">
        <v>7866</v>
      </c>
      <c r="G2775" s="1"/>
      <c r="H2775" t="str">
        <f>"3250615879776"</f>
        <v>3250615879776</v>
      </c>
      <c r="J2775" t="s">
        <v>7909</v>
      </c>
    </row>
    <row r="2776" spans="1:10" x14ac:dyDescent="0.25">
      <c r="A2776" t="s">
        <v>8</v>
      </c>
      <c r="B2776" t="s">
        <v>7910</v>
      </c>
      <c r="C2776" t="s">
        <v>7911</v>
      </c>
      <c r="D2776">
        <v>1</v>
      </c>
      <c r="E2776" t="s">
        <v>7865</v>
      </c>
      <c r="F2776" t="s">
        <v>7866</v>
      </c>
      <c r="G2776" s="1"/>
      <c r="H2776" t="str">
        <f>"3250616046016"</f>
        <v>3250616046016</v>
      </c>
      <c r="J2776" t="s">
        <v>7912</v>
      </c>
    </row>
    <row r="2777" spans="1:10" x14ac:dyDescent="0.25">
      <c r="A2777" t="s">
        <v>8</v>
      </c>
      <c r="B2777" t="s">
        <v>7913</v>
      </c>
      <c r="C2777" t="s">
        <v>7914</v>
      </c>
      <c r="D2777">
        <v>1</v>
      </c>
      <c r="E2777" t="s">
        <v>7865</v>
      </c>
      <c r="F2777" t="s">
        <v>7866</v>
      </c>
      <c r="G2777" s="1"/>
      <c r="H2777" t="str">
        <f>"3250618502503"</f>
        <v>3250618502503</v>
      </c>
      <c r="J2777" t="s">
        <v>7915</v>
      </c>
    </row>
    <row r="2778" spans="1:10" x14ac:dyDescent="0.25">
      <c r="A2778" t="s">
        <v>8</v>
      </c>
      <c r="B2778" t="s">
        <v>7916</v>
      </c>
      <c r="C2778" t="s">
        <v>7917</v>
      </c>
      <c r="D2778">
        <v>1</v>
      </c>
      <c r="E2778" t="s">
        <v>7865</v>
      </c>
      <c r="F2778" t="s">
        <v>7866</v>
      </c>
      <c r="G2778" s="1"/>
      <c r="H2778" t="str">
        <f>"3250618502534"</f>
        <v>3250618502534</v>
      </c>
      <c r="J2778" t="s">
        <v>7918</v>
      </c>
    </row>
    <row r="2779" spans="1:10" x14ac:dyDescent="0.25">
      <c r="A2779" t="s">
        <v>8</v>
      </c>
      <c r="B2779" t="s">
        <v>7919</v>
      </c>
      <c r="C2779" t="s">
        <v>7920</v>
      </c>
      <c r="D2779">
        <v>1</v>
      </c>
      <c r="E2779" t="s">
        <v>7865</v>
      </c>
      <c r="F2779" t="s">
        <v>7866</v>
      </c>
      <c r="G2779" s="1"/>
      <c r="H2779" t="str">
        <f>"3250618502541"</f>
        <v>3250618502541</v>
      </c>
      <c r="J2779" t="s">
        <v>7921</v>
      </c>
    </row>
    <row r="2780" spans="1:10" x14ac:dyDescent="0.25">
      <c r="A2780" t="s">
        <v>8</v>
      </c>
      <c r="B2780" t="s">
        <v>7922</v>
      </c>
      <c r="C2780" t="s">
        <v>7923</v>
      </c>
      <c r="D2780">
        <v>1</v>
      </c>
      <c r="E2780" t="s">
        <v>7865</v>
      </c>
      <c r="F2780" t="s">
        <v>7866</v>
      </c>
      <c r="G2780" s="1"/>
      <c r="H2780" t="str">
        <f>"3250610050156"</f>
        <v>3250610050156</v>
      </c>
      <c r="J2780" t="s">
        <v>7924</v>
      </c>
    </row>
    <row r="2781" spans="1:10" x14ac:dyDescent="0.25">
      <c r="A2781" t="s">
        <v>8</v>
      </c>
      <c r="B2781" t="s">
        <v>7925</v>
      </c>
      <c r="C2781" t="s">
        <v>7926</v>
      </c>
      <c r="D2781">
        <v>1</v>
      </c>
      <c r="E2781" t="s">
        <v>7865</v>
      </c>
      <c r="F2781" t="s">
        <v>7866</v>
      </c>
      <c r="G2781" s="1"/>
      <c r="H2781" t="str">
        <f>"3250610050378"</f>
        <v>3250610050378</v>
      </c>
      <c r="J2781" t="s">
        <v>7927</v>
      </c>
    </row>
    <row r="2782" spans="1:10" x14ac:dyDescent="0.25">
      <c r="A2782" t="s">
        <v>8</v>
      </c>
      <c r="B2782" t="s">
        <v>7928</v>
      </c>
      <c r="C2782" t="s">
        <v>7929</v>
      </c>
      <c r="D2782">
        <v>1</v>
      </c>
      <c r="E2782" t="s">
        <v>7865</v>
      </c>
      <c r="F2782" t="s">
        <v>7866</v>
      </c>
      <c r="G2782" s="1"/>
      <c r="H2782" t="str">
        <f>"3250610050224"</f>
        <v>3250610050224</v>
      </c>
      <c r="J2782" t="s">
        <v>7930</v>
      </c>
    </row>
    <row r="2783" spans="1:10" x14ac:dyDescent="0.25">
      <c r="A2783" t="s">
        <v>8</v>
      </c>
      <c r="B2783" t="s">
        <v>7931</v>
      </c>
      <c r="C2783" t="s">
        <v>7932</v>
      </c>
      <c r="D2783">
        <v>1</v>
      </c>
      <c r="E2783" t="s">
        <v>7865</v>
      </c>
      <c r="F2783" t="s">
        <v>7866</v>
      </c>
      <c r="G2783" s="1"/>
      <c r="H2783" t="str">
        <f>"3250610050231"</f>
        <v>3250610050231</v>
      </c>
      <c r="J2783" t="s">
        <v>7933</v>
      </c>
    </row>
    <row r="2784" spans="1:10" x14ac:dyDescent="0.25">
      <c r="A2784" t="s">
        <v>8</v>
      </c>
      <c r="B2784" t="s">
        <v>7934</v>
      </c>
      <c r="C2784" t="s">
        <v>7935</v>
      </c>
      <c r="D2784">
        <v>1</v>
      </c>
      <c r="E2784" t="s">
        <v>7865</v>
      </c>
      <c r="F2784" t="s">
        <v>7866</v>
      </c>
      <c r="G2784" s="1"/>
      <c r="H2784" t="str">
        <f>"3250610028421"</f>
        <v>3250610028421</v>
      </c>
      <c r="J2784" t="s">
        <v>7882</v>
      </c>
    </row>
    <row r="2785" spans="1:10" x14ac:dyDescent="0.25">
      <c r="A2785" t="s">
        <v>8</v>
      </c>
      <c r="B2785" t="s">
        <v>7936</v>
      </c>
      <c r="C2785" t="s">
        <v>7937</v>
      </c>
      <c r="D2785">
        <v>1</v>
      </c>
      <c r="E2785" t="s">
        <v>7938</v>
      </c>
      <c r="F2785" t="s">
        <v>7939</v>
      </c>
      <c r="G2785" s="1"/>
      <c r="H2785" t="str">
        <f>"3250616132092"</f>
        <v>3250616132092</v>
      </c>
      <c r="J2785" t="s">
        <v>7940</v>
      </c>
    </row>
    <row r="2786" spans="1:10" x14ac:dyDescent="0.25">
      <c r="A2786" t="s">
        <v>8</v>
      </c>
      <c r="B2786" t="s">
        <v>7941</v>
      </c>
      <c r="C2786" t="s">
        <v>7942</v>
      </c>
      <c r="D2786">
        <v>1</v>
      </c>
      <c r="E2786" t="s">
        <v>7938</v>
      </c>
      <c r="F2786" t="s">
        <v>7939</v>
      </c>
      <c r="G2786" s="1"/>
      <c r="H2786" t="str">
        <f>"3250616132368"</f>
        <v>3250616132368</v>
      </c>
      <c r="J2786" t="s">
        <v>7943</v>
      </c>
    </row>
    <row r="2787" spans="1:10" x14ac:dyDescent="0.25">
      <c r="A2787" t="s">
        <v>8</v>
      </c>
      <c r="B2787" t="s">
        <v>7944</v>
      </c>
      <c r="C2787" t="s">
        <v>7945</v>
      </c>
      <c r="D2787">
        <v>1</v>
      </c>
      <c r="E2787" t="s">
        <v>7938</v>
      </c>
      <c r="F2787" t="s">
        <v>7939</v>
      </c>
      <c r="G2787" s="1"/>
      <c r="H2787" t="str">
        <f>"3250616139640"</f>
        <v>3250616139640</v>
      </c>
      <c r="J2787" t="s">
        <v>7946</v>
      </c>
    </row>
    <row r="2788" spans="1:10" x14ac:dyDescent="0.25">
      <c r="A2788" t="s">
        <v>8</v>
      </c>
      <c r="B2788" t="s">
        <v>7947</v>
      </c>
      <c r="C2788" t="s">
        <v>7948</v>
      </c>
      <c r="D2788">
        <v>1</v>
      </c>
      <c r="E2788" t="s">
        <v>7938</v>
      </c>
      <c r="F2788" t="s">
        <v>7939</v>
      </c>
      <c r="G2788" s="1"/>
      <c r="H2788" t="str">
        <f>"3250616362475"</f>
        <v>3250616362475</v>
      </c>
      <c r="J2788" t="s">
        <v>7949</v>
      </c>
    </row>
    <row r="2789" spans="1:10" x14ac:dyDescent="0.25">
      <c r="A2789" t="s">
        <v>8</v>
      </c>
      <c r="B2789" t="s">
        <v>7950</v>
      </c>
      <c r="C2789" t="s">
        <v>7951</v>
      </c>
      <c r="D2789">
        <v>1</v>
      </c>
      <c r="E2789" t="s">
        <v>7938</v>
      </c>
      <c r="F2789" t="s">
        <v>7939</v>
      </c>
      <c r="G2789" s="1"/>
      <c r="H2789" t="str">
        <f>"3250616230392"</f>
        <v>3250616230392</v>
      </c>
      <c r="J2789" t="s">
        <v>7952</v>
      </c>
    </row>
    <row r="2790" spans="1:10" x14ac:dyDescent="0.25">
      <c r="A2790" t="s">
        <v>8</v>
      </c>
      <c r="B2790" t="s">
        <v>7953</v>
      </c>
      <c r="C2790" t="s">
        <v>7954</v>
      </c>
      <c r="D2790">
        <v>1</v>
      </c>
      <c r="E2790" t="s">
        <v>7938</v>
      </c>
      <c r="F2790" t="s">
        <v>7939</v>
      </c>
      <c r="G2790" s="1"/>
      <c r="H2790" t="str">
        <f>"3250616130371"</f>
        <v>3250616130371</v>
      </c>
      <c r="J2790" t="s">
        <v>7955</v>
      </c>
    </row>
    <row r="2791" spans="1:10" x14ac:dyDescent="0.25">
      <c r="A2791" t="s">
        <v>8</v>
      </c>
      <c r="B2791" t="s">
        <v>7956</v>
      </c>
      <c r="C2791" t="s">
        <v>7957</v>
      </c>
      <c r="D2791">
        <v>1</v>
      </c>
      <c r="E2791" t="s">
        <v>7938</v>
      </c>
      <c r="F2791" t="s">
        <v>7939</v>
      </c>
      <c r="G2791" s="1"/>
      <c r="H2791" t="str">
        <f>"3250616132054"</f>
        <v>3250616132054</v>
      </c>
      <c r="J2791" t="s">
        <v>7958</v>
      </c>
    </row>
    <row r="2792" spans="1:10" x14ac:dyDescent="0.25">
      <c r="A2792" t="s">
        <v>8</v>
      </c>
      <c r="B2792" t="s">
        <v>7959</v>
      </c>
      <c r="C2792" t="s">
        <v>7960</v>
      </c>
      <c r="D2792">
        <v>1</v>
      </c>
      <c r="E2792" t="s">
        <v>7938</v>
      </c>
      <c r="F2792" t="s">
        <v>7939</v>
      </c>
      <c r="G2792" s="1"/>
      <c r="H2792" t="str">
        <f>"3250616132351"</f>
        <v>3250616132351</v>
      </c>
      <c r="J2792" t="s">
        <v>7961</v>
      </c>
    </row>
    <row r="2793" spans="1:10" x14ac:dyDescent="0.25">
      <c r="A2793" t="s">
        <v>8</v>
      </c>
      <c r="B2793" t="s">
        <v>7962</v>
      </c>
      <c r="C2793" t="s">
        <v>7963</v>
      </c>
      <c r="D2793">
        <v>1</v>
      </c>
      <c r="E2793" t="s">
        <v>7938</v>
      </c>
      <c r="F2793" t="s">
        <v>7939</v>
      </c>
      <c r="G2793" s="1"/>
      <c r="H2793" t="str">
        <f>"3250616139626"</f>
        <v>3250616139626</v>
      </c>
      <c r="J2793" t="s">
        <v>7964</v>
      </c>
    </row>
    <row r="2794" spans="1:10" x14ac:dyDescent="0.25">
      <c r="A2794" t="s">
        <v>8</v>
      </c>
      <c r="B2794" t="s">
        <v>7965</v>
      </c>
      <c r="C2794" t="s">
        <v>7966</v>
      </c>
      <c r="D2794">
        <v>1</v>
      </c>
      <c r="E2794" t="s">
        <v>7938</v>
      </c>
      <c r="F2794" t="s">
        <v>7939</v>
      </c>
      <c r="G2794" s="1"/>
      <c r="H2794" t="str">
        <f>"3250616362468"</f>
        <v>3250616362468</v>
      </c>
      <c r="J2794" t="s">
        <v>7967</v>
      </c>
    </row>
    <row r="2795" spans="1:10" x14ac:dyDescent="0.25">
      <c r="A2795" t="s">
        <v>8</v>
      </c>
      <c r="B2795" t="s">
        <v>7968</v>
      </c>
      <c r="C2795" t="s">
        <v>7969</v>
      </c>
      <c r="D2795">
        <v>1</v>
      </c>
      <c r="E2795" t="s">
        <v>7938</v>
      </c>
      <c r="F2795" t="s">
        <v>7939</v>
      </c>
      <c r="G2795" s="1"/>
      <c r="H2795" t="str">
        <f>"3250616231061"</f>
        <v>3250616231061</v>
      </c>
      <c r="J2795" t="s">
        <v>7970</v>
      </c>
    </row>
    <row r="2796" spans="1:10" x14ac:dyDescent="0.25">
      <c r="A2796" t="s">
        <v>8</v>
      </c>
      <c r="B2796" t="s">
        <v>7971</v>
      </c>
      <c r="C2796" t="s">
        <v>7972</v>
      </c>
      <c r="D2796">
        <v>1</v>
      </c>
      <c r="E2796" t="s">
        <v>7938</v>
      </c>
      <c r="F2796" t="s">
        <v>7939</v>
      </c>
      <c r="G2796" s="1"/>
      <c r="H2796" t="str">
        <f>"3250616132252"</f>
        <v>3250616132252</v>
      </c>
      <c r="J2796" t="s">
        <v>7973</v>
      </c>
    </row>
    <row r="2797" spans="1:10" x14ac:dyDescent="0.25">
      <c r="A2797" t="s">
        <v>8</v>
      </c>
      <c r="B2797" t="s">
        <v>7974</v>
      </c>
      <c r="C2797" t="s">
        <v>7975</v>
      </c>
      <c r="D2797">
        <v>1</v>
      </c>
      <c r="E2797" t="s">
        <v>7938</v>
      </c>
      <c r="F2797" t="s">
        <v>7939</v>
      </c>
      <c r="G2797" s="1"/>
      <c r="H2797" t="str">
        <f>"3250616132344"</f>
        <v>3250616132344</v>
      </c>
      <c r="J2797" t="s">
        <v>7976</v>
      </c>
    </row>
    <row r="2798" spans="1:10" x14ac:dyDescent="0.25">
      <c r="A2798" t="s">
        <v>8</v>
      </c>
      <c r="B2798" t="s">
        <v>7977</v>
      </c>
      <c r="C2798" t="s">
        <v>7978</v>
      </c>
      <c r="D2798">
        <v>1</v>
      </c>
      <c r="E2798" t="s">
        <v>7938</v>
      </c>
      <c r="F2798" t="s">
        <v>7939</v>
      </c>
      <c r="G2798" s="1"/>
      <c r="H2798" t="str">
        <f>"3250616133044"</f>
        <v>3250616133044</v>
      </c>
      <c r="J2798" t="s">
        <v>7979</v>
      </c>
    </row>
    <row r="2799" spans="1:10" x14ac:dyDescent="0.25">
      <c r="A2799" t="s">
        <v>8</v>
      </c>
      <c r="B2799" t="s">
        <v>7980</v>
      </c>
      <c r="C2799" t="s">
        <v>7981</v>
      </c>
      <c r="D2799">
        <v>1</v>
      </c>
      <c r="E2799" t="s">
        <v>7938</v>
      </c>
      <c r="F2799" t="s">
        <v>7939</v>
      </c>
      <c r="G2799" s="1"/>
      <c r="H2799" t="str">
        <f>"3250616139602"</f>
        <v>3250616139602</v>
      </c>
      <c r="J2799" t="s">
        <v>7982</v>
      </c>
    </row>
    <row r="2800" spans="1:10" x14ac:dyDescent="0.25">
      <c r="A2800" t="s">
        <v>8</v>
      </c>
      <c r="B2800" t="s">
        <v>7983</v>
      </c>
      <c r="C2800" t="s">
        <v>7984</v>
      </c>
      <c r="D2800">
        <v>1</v>
      </c>
      <c r="E2800" t="s">
        <v>7938</v>
      </c>
      <c r="F2800" t="s">
        <v>7939</v>
      </c>
      <c r="G2800" s="1"/>
      <c r="H2800" t="str">
        <f>"3250616365995"</f>
        <v>3250616365995</v>
      </c>
      <c r="J2800" t="s">
        <v>7985</v>
      </c>
    </row>
    <row r="2801" spans="1:10" x14ac:dyDescent="0.25">
      <c r="A2801" t="s">
        <v>8</v>
      </c>
      <c r="B2801" t="s">
        <v>7986</v>
      </c>
      <c r="C2801" t="s">
        <v>7987</v>
      </c>
      <c r="D2801">
        <v>1</v>
      </c>
      <c r="E2801" t="s">
        <v>7938</v>
      </c>
      <c r="F2801" t="s">
        <v>7939</v>
      </c>
      <c r="G2801" s="1"/>
      <c r="H2801" t="str">
        <f>"3250616130050"</f>
        <v>3250616130050</v>
      </c>
      <c r="J2801" t="s">
        <v>7988</v>
      </c>
    </row>
    <row r="2802" spans="1:10" x14ac:dyDescent="0.25">
      <c r="A2802" t="s">
        <v>8</v>
      </c>
      <c r="B2802" t="s">
        <v>7989</v>
      </c>
      <c r="C2802" t="s">
        <v>7990</v>
      </c>
      <c r="D2802">
        <v>1</v>
      </c>
      <c r="E2802" t="s">
        <v>7938</v>
      </c>
      <c r="F2802" t="s">
        <v>7939</v>
      </c>
      <c r="G2802" s="1"/>
      <c r="H2802" t="str">
        <f>"3250616132245"</f>
        <v>3250616132245</v>
      </c>
      <c r="J2802" t="s">
        <v>7991</v>
      </c>
    </row>
    <row r="2803" spans="1:10" x14ac:dyDescent="0.25">
      <c r="A2803" t="s">
        <v>8</v>
      </c>
      <c r="B2803" t="s">
        <v>7992</v>
      </c>
      <c r="C2803" t="s">
        <v>7993</v>
      </c>
      <c r="D2803">
        <v>1</v>
      </c>
      <c r="E2803" t="s">
        <v>7938</v>
      </c>
      <c r="F2803" t="s">
        <v>7939</v>
      </c>
      <c r="G2803" s="1"/>
      <c r="H2803" t="str">
        <f>"3250616132337"</f>
        <v>3250616132337</v>
      </c>
      <c r="J2803" t="s">
        <v>7994</v>
      </c>
    </row>
    <row r="2804" spans="1:10" x14ac:dyDescent="0.25">
      <c r="A2804" t="s">
        <v>8</v>
      </c>
      <c r="B2804" t="s">
        <v>7995</v>
      </c>
      <c r="C2804" t="s">
        <v>7996</v>
      </c>
      <c r="D2804">
        <v>1</v>
      </c>
      <c r="E2804" t="s">
        <v>7938</v>
      </c>
      <c r="F2804" t="s">
        <v>7939</v>
      </c>
      <c r="G2804" s="1"/>
      <c r="H2804" t="str">
        <f>"3250616133037"</f>
        <v>3250616133037</v>
      </c>
      <c r="J2804" t="s">
        <v>7997</v>
      </c>
    </row>
    <row r="2805" spans="1:10" x14ac:dyDescent="0.25">
      <c r="A2805" t="s">
        <v>8</v>
      </c>
      <c r="B2805" t="s">
        <v>7998</v>
      </c>
      <c r="C2805" t="s">
        <v>7999</v>
      </c>
      <c r="D2805">
        <v>1</v>
      </c>
      <c r="E2805" t="s">
        <v>7938</v>
      </c>
      <c r="F2805" t="s">
        <v>7939</v>
      </c>
      <c r="G2805" s="1"/>
      <c r="H2805" t="str">
        <f>"3250616139510"</f>
        <v>3250616139510</v>
      </c>
      <c r="J2805" t="s">
        <v>8000</v>
      </c>
    </row>
    <row r="2806" spans="1:10" x14ac:dyDescent="0.25">
      <c r="A2806" t="s">
        <v>8</v>
      </c>
      <c r="B2806" t="s">
        <v>8001</v>
      </c>
      <c r="C2806" t="s">
        <v>8002</v>
      </c>
      <c r="D2806">
        <v>1</v>
      </c>
      <c r="E2806" t="s">
        <v>7938</v>
      </c>
      <c r="F2806" t="s">
        <v>7939</v>
      </c>
      <c r="G2806" s="1"/>
      <c r="H2806" t="str">
        <f>"3250616365988"</f>
        <v>3250616365988</v>
      </c>
      <c r="J2806" t="s">
        <v>8003</v>
      </c>
    </row>
    <row r="2807" spans="1:10" x14ac:dyDescent="0.25">
      <c r="A2807" t="s">
        <v>8</v>
      </c>
      <c r="B2807" t="s">
        <v>8004</v>
      </c>
      <c r="C2807" t="s">
        <v>8005</v>
      </c>
      <c r="D2807">
        <v>1</v>
      </c>
      <c r="E2807" t="s">
        <v>7938</v>
      </c>
      <c r="F2807" t="s">
        <v>7939</v>
      </c>
      <c r="G2807" s="1"/>
      <c r="H2807" t="str">
        <f>"3250616130036"</f>
        <v>3250616130036</v>
      </c>
      <c r="J2807" t="s">
        <v>8006</v>
      </c>
    </row>
    <row r="2808" spans="1:10" x14ac:dyDescent="0.25">
      <c r="A2808" t="s">
        <v>8</v>
      </c>
      <c r="B2808" t="s">
        <v>8007</v>
      </c>
      <c r="C2808" t="s">
        <v>8008</v>
      </c>
      <c r="D2808">
        <v>1</v>
      </c>
      <c r="E2808" t="s">
        <v>7938</v>
      </c>
      <c r="F2808" t="s">
        <v>7939</v>
      </c>
      <c r="G2808" s="1"/>
      <c r="H2808" t="str">
        <f>"3250616132238"</f>
        <v>3250616132238</v>
      </c>
      <c r="J2808" t="s">
        <v>8009</v>
      </c>
    </row>
    <row r="2809" spans="1:10" x14ac:dyDescent="0.25">
      <c r="A2809" t="s">
        <v>8</v>
      </c>
      <c r="B2809" t="s">
        <v>8010</v>
      </c>
      <c r="C2809" t="s">
        <v>8011</v>
      </c>
      <c r="D2809">
        <v>1</v>
      </c>
      <c r="E2809" t="s">
        <v>7938</v>
      </c>
      <c r="F2809" t="s">
        <v>7939</v>
      </c>
      <c r="G2809" s="1"/>
      <c r="H2809" t="str">
        <f>"3250610613115"</f>
        <v>3250610613115</v>
      </c>
      <c r="J2809" t="s">
        <v>8012</v>
      </c>
    </row>
    <row r="2810" spans="1:10" x14ac:dyDescent="0.25">
      <c r="A2810" t="s">
        <v>8</v>
      </c>
      <c r="B2810" t="s">
        <v>8013</v>
      </c>
      <c r="C2810" t="s">
        <v>8014</v>
      </c>
      <c r="D2810">
        <v>1</v>
      </c>
      <c r="E2810" t="s">
        <v>7938</v>
      </c>
      <c r="F2810" t="s">
        <v>7939</v>
      </c>
      <c r="G2810" s="1"/>
      <c r="H2810" t="str">
        <f>"3250616230361"</f>
        <v>3250616230361</v>
      </c>
      <c r="J2810" t="s">
        <v>8015</v>
      </c>
    </row>
    <row r="2811" spans="1:10" x14ac:dyDescent="0.25">
      <c r="A2811" t="s">
        <v>8</v>
      </c>
      <c r="B2811" t="s">
        <v>8016</v>
      </c>
      <c r="C2811" t="s">
        <v>8017</v>
      </c>
      <c r="D2811">
        <v>1</v>
      </c>
      <c r="E2811" t="s">
        <v>7938</v>
      </c>
      <c r="F2811" t="s">
        <v>7939</v>
      </c>
      <c r="G2811" s="1"/>
      <c r="H2811" t="str">
        <f>"3250616231009"</f>
        <v>3250616231009</v>
      </c>
      <c r="J2811" t="s">
        <v>8018</v>
      </c>
    </row>
    <row r="2812" spans="1:10" x14ac:dyDescent="0.25">
      <c r="A2812" t="s">
        <v>8</v>
      </c>
      <c r="B2812" t="s">
        <v>8019</v>
      </c>
      <c r="C2812" t="s">
        <v>8020</v>
      </c>
      <c r="D2812">
        <v>1</v>
      </c>
      <c r="E2812" t="s">
        <v>7938</v>
      </c>
      <c r="F2812" t="s">
        <v>7939</v>
      </c>
      <c r="G2812" s="1"/>
      <c r="H2812" t="str">
        <f>"3250616130012"</f>
        <v>3250616130012</v>
      </c>
      <c r="J2812" t="s">
        <v>8021</v>
      </c>
    </row>
    <row r="2813" spans="1:10" x14ac:dyDescent="0.25">
      <c r="A2813" t="s">
        <v>8</v>
      </c>
      <c r="B2813" t="s">
        <v>8022</v>
      </c>
      <c r="C2813" t="s">
        <v>8023</v>
      </c>
      <c r="D2813">
        <v>1</v>
      </c>
      <c r="E2813" t="s">
        <v>7938</v>
      </c>
      <c r="F2813" t="s">
        <v>7939</v>
      </c>
      <c r="G2813" s="1"/>
      <c r="H2813" t="str">
        <f>"3250616132016"</f>
        <v>3250616132016</v>
      </c>
      <c r="J2813" t="s">
        <v>8024</v>
      </c>
    </row>
    <row r="2814" spans="1:10" x14ac:dyDescent="0.25">
      <c r="A2814" t="s">
        <v>8</v>
      </c>
      <c r="B2814" t="s">
        <v>8025</v>
      </c>
      <c r="C2814" t="s">
        <v>8026</v>
      </c>
      <c r="D2814">
        <v>1</v>
      </c>
      <c r="E2814" t="s">
        <v>7938</v>
      </c>
      <c r="F2814" t="s">
        <v>7939</v>
      </c>
      <c r="G2814" s="1"/>
      <c r="H2814" t="str">
        <f>"3250616132221"</f>
        <v>3250616132221</v>
      </c>
      <c r="J2814" t="s">
        <v>8027</v>
      </c>
    </row>
    <row r="2815" spans="1:10" x14ac:dyDescent="0.25">
      <c r="A2815" t="s">
        <v>8</v>
      </c>
      <c r="B2815" t="s">
        <v>8028</v>
      </c>
      <c r="C2815" t="s">
        <v>8029</v>
      </c>
      <c r="D2815">
        <v>1</v>
      </c>
      <c r="E2815" t="s">
        <v>7938</v>
      </c>
      <c r="F2815" t="s">
        <v>7939</v>
      </c>
      <c r="G2815" s="1"/>
      <c r="H2815" t="str">
        <f>"3250610613061"</f>
        <v>3250610613061</v>
      </c>
      <c r="J2815" t="s">
        <v>8030</v>
      </c>
    </row>
    <row r="2816" spans="1:10" x14ac:dyDescent="0.25">
      <c r="A2816" t="s">
        <v>8</v>
      </c>
      <c r="B2816" t="s">
        <v>8031</v>
      </c>
      <c r="C2816" t="s">
        <v>8032</v>
      </c>
      <c r="D2816">
        <v>1</v>
      </c>
      <c r="E2816" t="s">
        <v>7938</v>
      </c>
      <c r="F2816" t="s">
        <v>7939</v>
      </c>
      <c r="G2816" s="1"/>
      <c r="H2816" t="str">
        <f>"3250616132009"</f>
        <v>3250616132009</v>
      </c>
      <c r="J2816" t="s">
        <v>8033</v>
      </c>
    </row>
    <row r="2817" spans="1:10" x14ac:dyDescent="0.25">
      <c r="A2817" t="s">
        <v>8</v>
      </c>
      <c r="B2817" t="s">
        <v>8034</v>
      </c>
      <c r="C2817" t="s">
        <v>8035</v>
      </c>
      <c r="D2817">
        <v>1</v>
      </c>
      <c r="E2817" t="s">
        <v>7938</v>
      </c>
      <c r="F2817" t="s">
        <v>7939</v>
      </c>
      <c r="G2817" s="1"/>
      <c r="H2817" t="str">
        <f>"3250616132689"</f>
        <v>3250616132689</v>
      </c>
      <c r="J2817" t="s">
        <v>8036</v>
      </c>
    </row>
    <row r="2818" spans="1:10" x14ac:dyDescent="0.25">
      <c r="A2818" t="s">
        <v>8</v>
      </c>
      <c r="B2818" t="s">
        <v>8037</v>
      </c>
      <c r="C2818" t="s">
        <v>8038</v>
      </c>
      <c r="D2818">
        <v>1</v>
      </c>
      <c r="E2818" t="s">
        <v>7938</v>
      </c>
      <c r="F2818" t="s">
        <v>7939</v>
      </c>
      <c r="G2818" s="1"/>
      <c r="H2818" t="str">
        <f>"3250616133020"</f>
        <v>3250616133020</v>
      </c>
      <c r="J2818" t="s">
        <v>8039</v>
      </c>
    </row>
    <row r="2819" spans="1:10" x14ac:dyDescent="0.25">
      <c r="A2819" t="s">
        <v>8</v>
      </c>
      <c r="B2819" t="s">
        <v>8040</v>
      </c>
      <c r="C2819" t="s">
        <v>8041</v>
      </c>
      <c r="D2819">
        <v>1</v>
      </c>
      <c r="E2819" t="s">
        <v>7938</v>
      </c>
      <c r="F2819" t="s">
        <v>7939</v>
      </c>
      <c r="G2819" s="1"/>
      <c r="H2819" t="str">
        <f>"3250616230408"</f>
        <v>3250616230408</v>
      </c>
      <c r="J2819" t="s">
        <v>8042</v>
      </c>
    </row>
    <row r="2820" spans="1:10" x14ac:dyDescent="0.25">
      <c r="A2820" t="s">
        <v>8</v>
      </c>
      <c r="B2820" t="s">
        <v>8043</v>
      </c>
      <c r="C2820" t="s">
        <v>8044</v>
      </c>
      <c r="D2820">
        <v>1</v>
      </c>
      <c r="E2820" t="s">
        <v>7938</v>
      </c>
      <c r="F2820" t="s">
        <v>7939</v>
      </c>
      <c r="G2820" s="1"/>
      <c r="H2820" t="str">
        <f>"3250616130395"</f>
        <v>3250616130395</v>
      </c>
      <c r="J2820" t="s">
        <v>8045</v>
      </c>
    </row>
    <row r="2821" spans="1:10" x14ac:dyDescent="0.25">
      <c r="A2821" t="s">
        <v>8</v>
      </c>
      <c r="B2821" t="s">
        <v>8046</v>
      </c>
      <c r="C2821" t="s">
        <v>8047</v>
      </c>
      <c r="D2821">
        <v>1</v>
      </c>
      <c r="E2821" t="s">
        <v>7938</v>
      </c>
      <c r="F2821" t="s">
        <v>7939</v>
      </c>
      <c r="G2821" s="1"/>
      <c r="H2821" t="str">
        <f>"3250616132320"</f>
        <v>3250616132320</v>
      </c>
      <c r="J2821" t="s">
        <v>8048</v>
      </c>
    </row>
    <row r="2822" spans="1:10" x14ac:dyDescent="0.25">
      <c r="A2822" t="s">
        <v>8</v>
      </c>
      <c r="B2822" t="s">
        <v>8049</v>
      </c>
      <c r="C2822" t="s">
        <v>8050</v>
      </c>
      <c r="D2822">
        <v>1</v>
      </c>
      <c r="E2822" t="s">
        <v>7938</v>
      </c>
      <c r="F2822" t="s">
        <v>7939</v>
      </c>
      <c r="G2822" s="1"/>
      <c r="H2822" t="str">
        <f>"3250616132399"</f>
        <v>3250616132399</v>
      </c>
      <c r="J2822" t="s">
        <v>8051</v>
      </c>
    </row>
    <row r="2823" spans="1:10" x14ac:dyDescent="0.25">
      <c r="A2823" t="s">
        <v>8</v>
      </c>
      <c r="B2823" t="s">
        <v>8052</v>
      </c>
      <c r="C2823" t="s">
        <v>8053</v>
      </c>
      <c r="D2823">
        <v>1</v>
      </c>
      <c r="E2823" t="s">
        <v>7938</v>
      </c>
      <c r="F2823" t="s">
        <v>7939</v>
      </c>
      <c r="G2823" s="1"/>
      <c r="H2823" t="str">
        <f>"3250616362482"</f>
        <v>3250616362482</v>
      </c>
      <c r="J2823" t="s">
        <v>8054</v>
      </c>
    </row>
    <row r="2824" spans="1:10" x14ac:dyDescent="0.25">
      <c r="A2824" t="s">
        <v>8</v>
      </c>
      <c r="B2824" t="s">
        <v>8055</v>
      </c>
      <c r="C2824" t="s">
        <v>8056</v>
      </c>
      <c r="D2824">
        <v>1</v>
      </c>
      <c r="E2824" t="s">
        <v>7938</v>
      </c>
      <c r="F2824" t="s">
        <v>7939</v>
      </c>
      <c r="G2824" s="1"/>
      <c r="H2824" t="str">
        <f>"3250616230729"</f>
        <v>3250616230729</v>
      </c>
      <c r="J2824" t="s">
        <v>8057</v>
      </c>
    </row>
    <row r="2825" spans="1:10" x14ac:dyDescent="0.25">
      <c r="A2825" t="s">
        <v>8</v>
      </c>
      <c r="B2825" t="s">
        <v>8058</v>
      </c>
      <c r="C2825" t="s">
        <v>8059</v>
      </c>
      <c r="D2825">
        <v>1</v>
      </c>
      <c r="E2825" t="s">
        <v>7938</v>
      </c>
      <c r="F2825" t="s">
        <v>7939</v>
      </c>
      <c r="G2825" s="1"/>
      <c r="H2825" t="str">
        <f>"3250616130388"</f>
        <v>3250616130388</v>
      </c>
      <c r="J2825" t="s">
        <v>8060</v>
      </c>
    </row>
    <row r="2826" spans="1:10" x14ac:dyDescent="0.25">
      <c r="A2826" t="s">
        <v>8</v>
      </c>
      <c r="B2826" t="s">
        <v>8061</v>
      </c>
      <c r="C2826" t="s">
        <v>8062</v>
      </c>
      <c r="D2826">
        <v>1</v>
      </c>
      <c r="E2826" t="s">
        <v>7938</v>
      </c>
      <c r="F2826" t="s">
        <v>7939</v>
      </c>
      <c r="G2826" s="1"/>
      <c r="H2826" t="str">
        <f>"3250616132313"</f>
        <v>3250616132313</v>
      </c>
      <c r="J2826" t="s">
        <v>8063</v>
      </c>
    </row>
    <row r="2827" spans="1:10" x14ac:dyDescent="0.25">
      <c r="A2827" t="s">
        <v>8</v>
      </c>
      <c r="B2827" t="s">
        <v>8064</v>
      </c>
      <c r="C2827" t="s">
        <v>8065</v>
      </c>
      <c r="D2827">
        <v>1</v>
      </c>
      <c r="E2827" t="s">
        <v>7938</v>
      </c>
      <c r="F2827" t="s">
        <v>7939</v>
      </c>
      <c r="G2827" s="1"/>
      <c r="H2827" t="str">
        <f>"3250616230996"</f>
        <v>3250616230996</v>
      </c>
      <c r="J2827" t="s">
        <v>8066</v>
      </c>
    </row>
    <row r="2828" spans="1:10" x14ac:dyDescent="0.25">
      <c r="A2828" t="s">
        <v>8</v>
      </c>
      <c r="B2828" t="s">
        <v>8067</v>
      </c>
      <c r="C2828" t="s">
        <v>8068</v>
      </c>
      <c r="D2828">
        <v>1</v>
      </c>
      <c r="E2828" t="s">
        <v>7938</v>
      </c>
      <c r="F2828" t="s">
        <v>7939</v>
      </c>
      <c r="G2828" s="1"/>
      <c r="H2828" t="str">
        <f>"3250616230712"</f>
        <v>3250616230712</v>
      </c>
      <c r="J2828" t="s">
        <v>8069</v>
      </c>
    </row>
    <row r="2829" spans="1:10" x14ac:dyDescent="0.25">
      <c r="A2829" t="s">
        <v>8</v>
      </c>
      <c r="B2829" t="s">
        <v>8070</v>
      </c>
      <c r="C2829" t="s">
        <v>8071</v>
      </c>
      <c r="D2829">
        <v>1</v>
      </c>
      <c r="E2829" t="s">
        <v>7938</v>
      </c>
      <c r="F2829" t="s">
        <v>7939</v>
      </c>
      <c r="G2829" s="1"/>
      <c r="H2829" t="str">
        <f>"3250616130098"</f>
        <v>3250616130098</v>
      </c>
      <c r="J2829" t="s">
        <v>8072</v>
      </c>
    </row>
    <row r="2830" spans="1:10" x14ac:dyDescent="0.25">
      <c r="A2830" t="s">
        <v>8</v>
      </c>
      <c r="B2830" t="s">
        <v>8073</v>
      </c>
      <c r="C2830" t="s">
        <v>8074</v>
      </c>
      <c r="D2830">
        <v>1</v>
      </c>
      <c r="E2830" t="s">
        <v>7938</v>
      </c>
      <c r="F2830" t="s">
        <v>7939</v>
      </c>
      <c r="G2830" s="1"/>
      <c r="H2830" t="str">
        <f>"3250616132214"</f>
        <v>3250616132214</v>
      </c>
      <c r="J2830" t="s">
        <v>8075</v>
      </c>
    </row>
    <row r="2831" spans="1:10" x14ac:dyDescent="0.25">
      <c r="A2831" t="s">
        <v>8</v>
      </c>
      <c r="B2831" t="s">
        <v>8076</v>
      </c>
      <c r="C2831" t="s">
        <v>8077</v>
      </c>
      <c r="D2831">
        <v>1</v>
      </c>
      <c r="E2831" t="s">
        <v>7938</v>
      </c>
      <c r="F2831" t="s">
        <v>7939</v>
      </c>
      <c r="G2831" s="1"/>
      <c r="H2831" t="str">
        <f>"3250616132306"</f>
        <v>3250616132306</v>
      </c>
      <c r="J2831" t="s">
        <v>8078</v>
      </c>
    </row>
    <row r="2832" spans="1:10" x14ac:dyDescent="0.25">
      <c r="A2832" t="s">
        <v>8</v>
      </c>
      <c r="B2832" t="s">
        <v>8079</v>
      </c>
      <c r="C2832" t="s">
        <v>8080</v>
      </c>
      <c r="D2832">
        <v>1</v>
      </c>
      <c r="E2832" t="s">
        <v>7938</v>
      </c>
      <c r="F2832" t="s">
        <v>7939</v>
      </c>
      <c r="G2832" s="1"/>
      <c r="H2832" t="str">
        <f>"3250616230989"</f>
        <v>3250616230989</v>
      </c>
      <c r="J2832" t="s">
        <v>1549</v>
      </c>
    </row>
    <row r="2833" spans="1:10" x14ac:dyDescent="0.25">
      <c r="A2833" t="s">
        <v>8</v>
      </c>
      <c r="B2833" t="s">
        <v>8081</v>
      </c>
      <c r="C2833" t="s">
        <v>8082</v>
      </c>
      <c r="D2833">
        <v>1</v>
      </c>
      <c r="E2833" t="s">
        <v>7938</v>
      </c>
      <c r="F2833" t="s">
        <v>7939</v>
      </c>
      <c r="G2833" s="1"/>
      <c r="H2833" t="str">
        <f>"3250616230705"</f>
        <v>3250616230705</v>
      </c>
      <c r="J2833" t="s">
        <v>8083</v>
      </c>
    </row>
    <row r="2834" spans="1:10" x14ac:dyDescent="0.25">
      <c r="A2834" t="s">
        <v>8</v>
      </c>
      <c r="B2834" t="s">
        <v>8084</v>
      </c>
      <c r="C2834" t="s">
        <v>8085</v>
      </c>
      <c r="D2834">
        <v>1</v>
      </c>
      <c r="E2834" t="s">
        <v>7938</v>
      </c>
      <c r="F2834" t="s">
        <v>7939</v>
      </c>
      <c r="G2834" s="1"/>
      <c r="H2834" t="str">
        <f>"3250616130081"</f>
        <v>3250616130081</v>
      </c>
      <c r="J2834" t="s">
        <v>8086</v>
      </c>
    </row>
    <row r="2835" spans="1:10" x14ac:dyDescent="0.25">
      <c r="A2835" t="s">
        <v>8</v>
      </c>
      <c r="B2835" t="s">
        <v>8087</v>
      </c>
      <c r="C2835" t="s">
        <v>8088</v>
      </c>
      <c r="D2835">
        <v>1</v>
      </c>
      <c r="E2835" t="s">
        <v>7938</v>
      </c>
      <c r="F2835" t="s">
        <v>7939</v>
      </c>
      <c r="G2835" s="1"/>
      <c r="H2835" t="str">
        <f>"3250616132207"</f>
        <v>3250616132207</v>
      </c>
      <c r="J2835" t="s">
        <v>8089</v>
      </c>
    </row>
    <row r="2836" spans="1:10" x14ac:dyDescent="0.25">
      <c r="A2836" t="s">
        <v>8</v>
      </c>
      <c r="B2836" t="s">
        <v>8090</v>
      </c>
      <c r="C2836" t="s">
        <v>8091</v>
      </c>
      <c r="D2836">
        <v>1</v>
      </c>
      <c r="E2836" t="s">
        <v>7938</v>
      </c>
      <c r="F2836" t="s">
        <v>7939</v>
      </c>
      <c r="G2836" s="1"/>
      <c r="H2836" t="str">
        <f>"3250616132269"</f>
        <v>3250616132269</v>
      </c>
      <c r="J2836" t="s">
        <v>8092</v>
      </c>
    </row>
    <row r="2837" spans="1:10" x14ac:dyDescent="0.25">
      <c r="A2837" t="s">
        <v>8</v>
      </c>
      <c r="B2837" t="s">
        <v>8093</v>
      </c>
      <c r="C2837" t="s">
        <v>8094</v>
      </c>
      <c r="D2837">
        <v>1</v>
      </c>
      <c r="E2837" t="s">
        <v>7938</v>
      </c>
      <c r="F2837" t="s">
        <v>7939</v>
      </c>
      <c r="G2837" s="1"/>
      <c r="H2837" t="str">
        <f>"3250616230965"</f>
        <v>3250616230965</v>
      </c>
      <c r="J2837" t="s">
        <v>8095</v>
      </c>
    </row>
    <row r="2838" spans="1:10" x14ac:dyDescent="0.25">
      <c r="A2838" t="s">
        <v>8</v>
      </c>
      <c r="B2838" t="s">
        <v>8096</v>
      </c>
      <c r="C2838" t="s">
        <v>8097</v>
      </c>
      <c r="D2838">
        <v>1</v>
      </c>
      <c r="E2838" t="s">
        <v>7938</v>
      </c>
      <c r="F2838" t="s">
        <v>7939</v>
      </c>
      <c r="G2838" s="1"/>
      <c r="H2838" t="str">
        <f>"3250616231078"</f>
        <v>3250616231078</v>
      </c>
      <c r="J2838" t="s">
        <v>8098</v>
      </c>
    </row>
    <row r="2839" spans="1:10" x14ac:dyDescent="0.25">
      <c r="A2839" t="s">
        <v>8</v>
      </c>
      <c r="B2839" t="s">
        <v>8099</v>
      </c>
      <c r="C2839" t="s">
        <v>8100</v>
      </c>
      <c r="D2839">
        <v>1</v>
      </c>
      <c r="E2839" t="s">
        <v>7938</v>
      </c>
      <c r="F2839" t="s">
        <v>7939</v>
      </c>
      <c r="G2839" s="1"/>
      <c r="H2839" t="str">
        <f>"3250616132078"</f>
        <v>3250616132078</v>
      </c>
      <c r="J2839" t="s">
        <v>8101</v>
      </c>
    </row>
    <row r="2840" spans="1:10" x14ac:dyDescent="0.25">
      <c r="A2840" t="s">
        <v>8</v>
      </c>
      <c r="B2840" t="s">
        <v>8102</v>
      </c>
      <c r="C2840" t="s">
        <v>8103</v>
      </c>
      <c r="D2840">
        <v>1</v>
      </c>
      <c r="E2840" t="s">
        <v>7938</v>
      </c>
      <c r="F2840" t="s">
        <v>7939</v>
      </c>
      <c r="G2840" s="1"/>
      <c r="H2840" t="str">
        <f>"3250616132436"</f>
        <v>3250616132436</v>
      </c>
      <c r="J2840" t="s">
        <v>8104</v>
      </c>
    </row>
    <row r="2841" spans="1:10" x14ac:dyDescent="0.25">
      <c r="A2841" t="s">
        <v>8</v>
      </c>
      <c r="B2841" t="s">
        <v>8105</v>
      </c>
      <c r="C2841" t="s">
        <v>8106</v>
      </c>
      <c r="D2841">
        <v>1</v>
      </c>
      <c r="E2841" t="s">
        <v>7938</v>
      </c>
      <c r="F2841" t="s">
        <v>7939</v>
      </c>
      <c r="G2841" s="1"/>
      <c r="H2841" t="str">
        <f>"3250616132443"</f>
        <v>3250616132443</v>
      </c>
      <c r="J2841" t="s">
        <v>8107</v>
      </c>
    </row>
    <row r="2842" spans="1:10" x14ac:dyDescent="0.25">
      <c r="A2842" t="s">
        <v>8</v>
      </c>
      <c r="B2842" t="s">
        <v>8108</v>
      </c>
      <c r="C2842" t="s">
        <v>8109</v>
      </c>
      <c r="D2842">
        <v>1</v>
      </c>
      <c r="E2842" t="s">
        <v>7938</v>
      </c>
      <c r="F2842" t="s">
        <v>7939</v>
      </c>
      <c r="G2842" s="1"/>
      <c r="H2842" t="str">
        <f>"3250616132450"</f>
        <v>3250616132450</v>
      </c>
      <c r="J2842" t="s">
        <v>8110</v>
      </c>
    </row>
    <row r="2843" spans="1:10" x14ac:dyDescent="0.25">
      <c r="A2843" t="s">
        <v>8</v>
      </c>
      <c r="B2843" t="s">
        <v>8111</v>
      </c>
      <c r="C2843" t="s">
        <v>8112</v>
      </c>
      <c r="D2843">
        <v>1</v>
      </c>
      <c r="E2843" t="s">
        <v>7938</v>
      </c>
      <c r="F2843" t="s">
        <v>7939</v>
      </c>
      <c r="G2843" s="1"/>
      <c r="H2843" t="str">
        <f>"3250616132498"</f>
        <v>3250616132498</v>
      </c>
      <c r="J2843" t="s">
        <v>5692</v>
      </c>
    </row>
    <row r="2844" spans="1:10" x14ac:dyDescent="0.25">
      <c r="A2844" t="s">
        <v>8</v>
      </c>
      <c r="B2844" t="s">
        <v>8113</v>
      </c>
      <c r="C2844" t="s">
        <v>8114</v>
      </c>
      <c r="D2844">
        <v>1</v>
      </c>
      <c r="E2844" t="s">
        <v>7938</v>
      </c>
      <c r="F2844" t="s">
        <v>7939</v>
      </c>
      <c r="G2844" s="1"/>
      <c r="H2844" t="str">
        <f>"3250616110120"</f>
        <v>3250616110120</v>
      </c>
      <c r="J2844" t="s">
        <v>8115</v>
      </c>
    </row>
    <row r="2845" spans="1:10" x14ac:dyDescent="0.25">
      <c r="A2845" t="s">
        <v>8</v>
      </c>
      <c r="B2845" t="s">
        <v>8116</v>
      </c>
      <c r="C2845" t="s">
        <v>8117</v>
      </c>
      <c r="D2845">
        <v>1</v>
      </c>
      <c r="E2845" t="s">
        <v>7938</v>
      </c>
      <c r="F2845" t="s">
        <v>7939</v>
      </c>
      <c r="G2845" s="1"/>
      <c r="H2845" t="str">
        <f>"3250616132030"</f>
        <v>3250616132030</v>
      </c>
      <c r="J2845" t="s">
        <v>8118</v>
      </c>
    </row>
    <row r="2846" spans="1:10" x14ac:dyDescent="0.25">
      <c r="A2846" t="s">
        <v>8</v>
      </c>
      <c r="B2846" t="s">
        <v>8119</v>
      </c>
      <c r="C2846" t="s">
        <v>8120</v>
      </c>
      <c r="D2846">
        <v>1</v>
      </c>
      <c r="E2846" t="s">
        <v>7938</v>
      </c>
      <c r="F2846" t="s">
        <v>7939</v>
      </c>
      <c r="G2846" s="1"/>
      <c r="H2846" t="str">
        <f>"3250616132405"</f>
        <v>3250616132405</v>
      </c>
      <c r="J2846" t="s">
        <v>8121</v>
      </c>
    </row>
    <row r="2847" spans="1:10" x14ac:dyDescent="0.25">
      <c r="A2847" t="s">
        <v>8</v>
      </c>
      <c r="B2847" t="s">
        <v>8122</v>
      </c>
      <c r="C2847" t="s">
        <v>8123</v>
      </c>
      <c r="D2847">
        <v>1</v>
      </c>
      <c r="E2847" t="s">
        <v>7938</v>
      </c>
      <c r="F2847" t="s">
        <v>7939</v>
      </c>
      <c r="G2847" s="1"/>
      <c r="H2847" t="str">
        <f>"3250616132412"</f>
        <v>3250616132412</v>
      </c>
      <c r="J2847" t="s">
        <v>8124</v>
      </c>
    </row>
    <row r="2848" spans="1:10" x14ac:dyDescent="0.25">
      <c r="A2848" t="s">
        <v>8</v>
      </c>
      <c r="B2848" t="s">
        <v>8125</v>
      </c>
      <c r="C2848" t="s">
        <v>8126</v>
      </c>
      <c r="D2848">
        <v>1</v>
      </c>
      <c r="E2848" t="s">
        <v>7938</v>
      </c>
      <c r="F2848" t="s">
        <v>7939</v>
      </c>
      <c r="G2848" s="1"/>
      <c r="H2848" t="str">
        <f>"3250616132429"</f>
        <v>3250616132429</v>
      </c>
      <c r="J2848" t="s">
        <v>8127</v>
      </c>
    </row>
    <row r="2849" spans="1:10" x14ac:dyDescent="0.25">
      <c r="A2849" t="s">
        <v>8</v>
      </c>
      <c r="B2849" t="s">
        <v>8128</v>
      </c>
      <c r="C2849" t="s">
        <v>8129</v>
      </c>
      <c r="D2849">
        <v>1</v>
      </c>
      <c r="E2849" t="s">
        <v>7938</v>
      </c>
      <c r="F2849" t="s">
        <v>7939</v>
      </c>
      <c r="G2849" s="1"/>
      <c r="H2849" t="str">
        <f>"3250616132467"</f>
        <v>3250616132467</v>
      </c>
      <c r="J2849" t="s">
        <v>8130</v>
      </c>
    </row>
    <row r="2850" spans="1:10" x14ac:dyDescent="0.25">
      <c r="A2850" t="s">
        <v>8</v>
      </c>
      <c r="B2850" t="s">
        <v>8131</v>
      </c>
      <c r="C2850" t="s">
        <v>8132</v>
      </c>
      <c r="D2850">
        <v>1</v>
      </c>
      <c r="E2850" t="s">
        <v>7938</v>
      </c>
      <c r="F2850" t="s">
        <v>7939</v>
      </c>
      <c r="G2850" s="1"/>
      <c r="H2850" t="str">
        <f>"3250616136175"</f>
        <v>3250616136175</v>
      </c>
      <c r="J2850" t="s">
        <v>8133</v>
      </c>
    </row>
    <row r="2851" spans="1:10" x14ac:dyDescent="0.25">
      <c r="A2851" t="s">
        <v>8</v>
      </c>
      <c r="B2851" t="s">
        <v>8134</v>
      </c>
      <c r="C2851" t="s">
        <v>8135</v>
      </c>
      <c r="D2851">
        <v>1</v>
      </c>
      <c r="E2851" t="s">
        <v>7938</v>
      </c>
      <c r="F2851" t="s">
        <v>7939</v>
      </c>
      <c r="G2851" s="1"/>
      <c r="H2851" t="str">
        <f>"3250616136199"</f>
        <v>3250616136199</v>
      </c>
      <c r="J2851" t="s">
        <v>8136</v>
      </c>
    </row>
    <row r="2852" spans="1:10" x14ac:dyDescent="0.25">
      <c r="A2852" t="s">
        <v>8</v>
      </c>
      <c r="B2852" t="s">
        <v>8137</v>
      </c>
      <c r="C2852" t="s">
        <v>8138</v>
      </c>
      <c r="D2852">
        <v>1</v>
      </c>
      <c r="E2852" t="s">
        <v>7938</v>
      </c>
      <c r="F2852" t="s">
        <v>7939</v>
      </c>
      <c r="G2852" s="1"/>
      <c r="H2852" t="str">
        <f>"3250616110137"</f>
        <v>3250616110137</v>
      </c>
      <c r="J2852" t="s">
        <v>8139</v>
      </c>
    </row>
    <row r="2853" spans="1:10" x14ac:dyDescent="0.25">
      <c r="A2853" t="s">
        <v>8</v>
      </c>
      <c r="B2853" t="s">
        <v>8140</v>
      </c>
      <c r="C2853" t="s">
        <v>8141</v>
      </c>
      <c r="D2853">
        <v>1</v>
      </c>
      <c r="E2853" t="s">
        <v>7938</v>
      </c>
      <c r="F2853" t="s">
        <v>7939</v>
      </c>
      <c r="G2853" s="1"/>
      <c r="H2853" t="str">
        <f>"3250616112599"</f>
        <v>3250616112599</v>
      </c>
      <c r="J2853" t="s">
        <v>8142</v>
      </c>
    </row>
    <row r="2854" spans="1:10" x14ac:dyDescent="0.25">
      <c r="A2854" t="s">
        <v>8</v>
      </c>
      <c r="B2854" t="s">
        <v>8143</v>
      </c>
      <c r="C2854" t="s">
        <v>8144</v>
      </c>
      <c r="D2854">
        <v>1</v>
      </c>
      <c r="E2854" t="s">
        <v>7938</v>
      </c>
      <c r="F2854" t="s">
        <v>7939</v>
      </c>
      <c r="G2854" s="1"/>
      <c r="H2854" t="str">
        <f>"3250616112605"</f>
        <v>3250616112605</v>
      </c>
      <c r="J2854" t="s">
        <v>8145</v>
      </c>
    </row>
    <row r="2855" spans="1:10" x14ac:dyDescent="0.25">
      <c r="A2855" t="s">
        <v>8</v>
      </c>
      <c r="B2855" t="s">
        <v>8146</v>
      </c>
      <c r="C2855" t="s">
        <v>8147</v>
      </c>
      <c r="D2855">
        <v>1</v>
      </c>
      <c r="E2855" t="s">
        <v>7938</v>
      </c>
      <c r="F2855" t="s">
        <v>7939</v>
      </c>
      <c r="G2855" s="1"/>
      <c r="H2855" t="str">
        <f>"3250616375031"</f>
        <v>3250616375031</v>
      </c>
      <c r="J2855" t="s">
        <v>8148</v>
      </c>
    </row>
    <row r="2856" spans="1:10" x14ac:dyDescent="0.25">
      <c r="A2856" t="s">
        <v>8</v>
      </c>
      <c r="B2856" t="s">
        <v>8149</v>
      </c>
      <c r="C2856" t="s">
        <v>8150</v>
      </c>
      <c r="D2856">
        <v>1</v>
      </c>
      <c r="E2856" t="s">
        <v>7938</v>
      </c>
      <c r="F2856" t="s">
        <v>7939</v>
      </c>
      <c r="G2856" s="1"/>
      <c r="H2856" t="str">
        <f>"3250616375048"</f>
        <v>3250616375048</v>
      </c>
      <c r="J2856" t="s">
        <v>8151</v>
      </c>
    </row>
    <row r="2857" spans="1:10" x14ac:dyDescent="0.25">
      <c r="A2857" t="s">
        <v>8</v>
      </c>
      <c r="B2857" t="s">
        <v>8152</v>
      </c>
      <c r="C2857" t="s">
        <v>8153</v>
      </c>
      <c r="D2857">
        <v>1</v>
      </c>
      <c r="E2857" t="s">
        <v>7938</v>
      </c>
      <c r="F2857" t="s">
        <v>7939</v>
      </c>
      <c r="G2857" s="1"/>
      <c r="H2857" t="str">
        <f>"3250616375055"</f>
        <v>3250616375055</v>
      </c>
      <c r="J2857" t="s">
        <v>8154</v>
      </c>
    </row>
    <row r="2858" spans="1:10" x14ac:dyDescent="0.25">
      <c r="A2858" t="s">
        <v>8</v>
      </c>
      <c r="B2858" t="s">
        <v>8155</v>
      </c>
      <c r="C2858" t="s">
        <v>8156</v>
      </c>
      <c r="D2858">
        <v>1</v>
      </c>
      <c r="E2858" t="s">
        <v>7938</v>
      </c>
      <c r="F2858" t="s">
        <v>7939</v>
      </c>
      <c r="G2858" s="1"/>
      <c r="H2858" t="str">
        <f>"3250616375062"</f>
        <v>3250616375062</v>
      </c>
      <c r="J2858" t="s">
        <v>8154</v>
      </c>
    </row>
    <row r="2859" spans="1:10" x14ac:dyDescent="0.25">
      <c r="A2859" t="s">
        <v>8</v>
      </c>
      <c r="B2859" t="s">
        <v>8157</v>
      </c>
      <c r="C2859" t="s">
        <v>8158</v>
      </c>
      <c r="D2859">
        <v>1</v>
      </c>
      <c r="E2859" t="s">
        <v>7938</v>
      </c>
      <c r="F2859" t="s">
        <v>7939</v>
      </c>
      <c r="G2859" s="1"/>
      <c r="H2859" t="str">
        <f>"3250616375079"</f>
        <v>3250616375079</v>
      </c>
      <c r="J2859" t="s">
        <v>8159</v>
      </c>
    </row>
    <row r="2860" spans="1:10" x14ac:dyDescent="0.25">
      <c r="A2860" t="s">
        <v>8</v>
      </c>
      <c r="B2860" t="s">
        <v>8160</v>
      </c>
      <c r="C2860" t="s">
        <v>8161</v>
      </c>
      <c r="D2860">
        <v>1</v>
      </c>
      <c r="E2860" t="s">
        <v>7938</v>
      </c>
      <c r="F2860" t="s">
        <v>7939</v>
      </c>
      <c r="G2860" s="1"/>
      <c r="H2860" t="str">
        <f>"3250616375086"</f>
        <v>3250616375086</v>
      </c>
      <c r="J2860" t="s">
        <v>8162</v>
      </c>
    </row>
    <row r="2861" spans="1:10" x14ac:dyDescent="0.25">
      <c r="A2861" t="s">
        <v>8</v>
      </c>
      <c r="B2861" t="s">
        <v>8163</v>
      </c>
      <c r="C2861" t="s">
        <v>8164</v>
      </c>
      <c r="D2861">
        <v>1</v>
      </c>
      <c r="E2861" t="s">
        <v>7938</v>
      </c>
      <c r="F2861" t="s">
        <v>7939</v>
      </c>
      <c r="G2861" s="1"/>
      <c r="H2861" t="str">
        <f>"3250616375093"</f>
        <v>3250616375093</v>
      </c>
      <c r="J2861" t="s">
        <v>8162</v>
      </c>
    </row>
    <row r="2862" spans="1:10" x14ac:dyDescent="0.25">
      <c r="A2862" t="s">
        <v>8</v>
      </c>
      <c r="B2862" t="s">
        <v>8165</v>
      </c>
      <c r="C2862" t="s">
        <v>8166</v>
      </c>
      <c r="D2862">
        <v>1</v>
      </c>
      <c r="E2862" t="s">
        <v>7938</v>
      </c>
      <c r="F2862" t="s">
        <v>7939</v>
      </c>
      <c r="G2862" s="1"/>
      <c r="H2862" t="str">
        <f>"3250616375109"</f>
        <v>3250616375109</v>
      </c>
      <c r="J2862" t="s">
        <v>8167</v>
      </c>
    </row>
    <row r="2863" spans="1:10" x14ac:dyDescent="0.25">
      <c r="A2863" t="s">
        <v>8</v>
      </c>
      <c r="B2863" t="s">
        <v>8168</v>
      </c>
      <c r="C2863" t="s">
        <v>8169</v>
      </c>
      <c r="D2863">
        <v>1</v>
      </c>
      <c r="E2863" t="s">
        <v>7938</v>
      </c>
      <c r="F2863" t="s">
        <v>7939</v>
      </c>
      <c r="G2863" s="1"/>
      <c r="H2863" t="str">
        <f>"3250616375116"</f>
        <v>3250616375116</v>
      </c>
      <c r="J2863" t="s">
        <v>8170</v>
      </c>
    </row>
    <row r="2864" spans="1:10" x14ac:dyDescent="0.25">
      <c r="A2864" t="s">
        <v>8</v>
      </c>
      <c r="B2864" t="s">
        <v>8171</v>
      </c>
      <c r="C2864" t="s">
        <v>8172</v>
      </c>
      <c r="D2864">
        <v>1</v>
      </c>
      <c r="E2864" t="s">
        <v>7938</v>
      </c>
      <c r="F2864" t="s">
        <v>7939</v>
      </c>
      <c r="G2864" s="1"/>
      <c r="H2864" t="str">
        <f>"3250616375123"</f>
        <v>3250616375123</v>
      </c>
      <c r="J2864" t="s">
        <v>8151</v>
      </c>
    </row>
    <row r="2865" spans="1:10" x14ac:dyDescent="0.25">
      <c r="A2865" t="s">
        <v>8</v>
      </c>
      <c r="B2865" t="s">
        <v>8173</v>
      </c>
      <c r="C2865" t="s">
        <v>8174</v>
      </c>
      <c r="D2865">
        <v>1</v>
      </c>
      <c r="E2865" t="s">
        <v>7938</v>
      </c>
      <c r="F2865" t="s">
        <v>7939</v>
      </c>
      <c r="G2865" s="1"/>
      <c r="H2865" t="str">
        <f>"3250616375130"</f>
        <v>3250616375130</v>
      </c>
      <c r="J2865" t="s">
        <v>8154</v>
      </c>
    </row>
    <row r="2866" spans="1:10" x14ac:dyDescent="0.25">
      <c r="A2866" t="s">
        <v>8</v>
      </c>
      <c r="B2866" t="s">
        <v>8175</v>
      </c>
      <c r="C2866" t="s">
        <v>8176</v>
      </c>
      <c r="D2866">
        <v>1</v>
      </c>
      <c r="E2866" t="s">
        <v>7938</v>
      </c>
      <c r="F2866" t="s">
        <v>7939</v>
      </c>
      <c r="G2866" s="1"/>
      <c r="H2866" t="str">
        <f>"3250616375147"</f>
        <v>3250616375147</v>
      </c>
      <c r="J2866" t="s">
        <v>8154</v>
      </c>
    </row>
    <row r="2867" spans="1:10" x14ac:dyDescent="0.25">
      <c r="A2867" t="s">
        <v>8</v>
      </c>
      <c r="B2867" t="s">
        <v>8177</v>
      </c>
      <c r="C2867" t="s">
        <v>8178</v>
      </c>
      <c r="D2867">
        <v>1</v>
      </c>
      <c r="E2867" t="s">
        <v>7938</v>
      </c>
      <c r="F2867" t="s">
        <v>7939</v>
      </c>
      <c r="G2867" s="1"/>
      <c r="H2867" t="str">
        <f>"3250616375154"</f>
        <v>3250616375154</v>
      </c>
      <c r="J2867" t="s">
        <v>8154</v>
      </c>
    </row>
    <row r="2868" spans="1:10" x14ac:dyDescent="0.25">
      <c r="A2868" t="s">
        <v>8</v>
      </c>
      <c r="B2868" t="s">
        <v>8179</v>
      </c>
      <c r="C2868" t="s">
        <v>8180</v>
      </c>
      <c r="D2868">
        <v>1</v>
      </c>
      <c r="E2868" t="s">
        <v>7938</v>
      </c>
      <c r="F2868" t="s">
        <v>7939</v>
      </c>
      <c r="G2868" s="1"/>
      <c r="H2868" t="str">
        <f>"3250616375161"</f>
        <v>3250616375161</v>
      </c>
      <c r="J2868" t="s">
        <v>8181</v>
      </c>
    </row>
    <row r="2869" spans="1:10" x14ac:dyDescent="0.25">
      <c r="A2869" t="s">
        <v>8</v>
      </c>
      <c r="B2869" t="s">
        <v>8182</v>
      </c>
      <c r="C2869" t="s">
        <v>8183</v>
      </c>
      <c r="D2869">
        <v>1</v>
      </c>
      <c r="E2869" t="s">
        <v>7938</v>
      </c>
      <c r="F2869" t="s">
        <v>7939</v>
      </c>
      <c r="G2869" s="1"/>
      <c r="H2869" t="str">
        <f>"3250616375178"</f>
        <v>3250616375178</v>
      </c>
      <c r="J2869" t="s">
        <v>8159</v>
      </c>
    </row>
    <row r="2870" spans="1:10" x14ac:dyDescent="0.25">
      <c r="A2870" t="s">
        <v>8</v>
      </c>
      <c r="B2870" t="s">
        <v>8184</v>
      </c>
      <c r="C2870" t="s">
        <v>8185</v>
      </c>
      <c r="D2870">
        <v>1</v>
      </c>
      <c r="E2870" t="s">
        <v>7938</v>
      </c>
      <c r="F2870" t="s">
        <v>7939</v>
      </c>
      <c r="G2870" s="1"/>
      <c r="H2870" t="str">
        <f>"3250616375185"</f>
        <v>3250616375185</v>
      </c>
      <c r="J2870" t="s">
        <v>8162</v>
      </c>
    </row>
    <row r="2871" spans="1:10" x14ac:dyDescent="0.25">
      <c r="A2871" t="s">
        <v>8</v>
      </c>
      <c r="B2871" t="s">
        <v>8186</v>
      </c>
      <c r="C2871" t="s">
        <v>8187</v>
      </c>
      <c r="D2871">
        <v>1</v>
      </c>
      <c r="E2871" t="s">
        <v>7938</v>
      </c>
      <c r="F2871" t="s">
        <v>7939</v>
      </c>
      <c r="G2871" s="1"/>
      <c r="H2871" t="str">
        <f>"3250616375192"</f>
        <v>3250616375192</v>
      </c>
      <c r="J2871" t="s">
        <v>8162</v>
      </c>
    </row>
    <row r="2872" spans="1:10" x14ac:dyDescent="0.25">
      <c r="A2872" t="s">
        <v>8</v>
      </c>
      <c r="B2872" t="s">
        <v>8188</v>
      </c>
      <c r="C2872" t="s">
        <v>8189</v>
      </c>
      <c r="D2872">
        <v>1</v>
      </c>
      <c r="E2872" t="s">
        <v>7938</v>
      </c>
      <c r="F2872" t="s">
        <v>7939</v>
      </c>
      <c r="G2872" s="1"/>
      <c r="H2872" t="str">
        <f>"3250616375208"</f>
        <v>3250616375208</v>
      </c>
      <c r="J2872" t="s">
        <v>8162</v>
      </c>
    </row>
    <row r="2873" spans="1:10" x14ac:dyDescent="0.25">
      <c r="A2873" t="s">
        <v>8</v>
      </c>
      <c r="B2873" t="s">
        <v>8190</v>
      </c>
      <c r="C2873" t="s">
        <v>8191</v>
      </c>
      <c r="D2873">
        <v>1</v>
      </c>
      <c r="E2873" t="s">
        <v>7938</v>
      </c>
      <c r="F2873" t="s">
        <v>7939</v>
      </c>
      <c r="G2873" s="1"/>
      <c r="H2873" t="str">
        <f>"3250616375338"</f>
        <v>3250616375338</v>
      </c>
      <c r="J2873" t="s">
        <v>8151</v>
      </c>
    </row>
    <row r="2874" spans="1:10" x14ac:dyDescent="0.25">
      <c r="A2874" t="s">
        <v>8</v>
      </c>
      <c r="B2874" t="s">
        <v>8192</v>
      </c>
      <c r="C2874" t="s">
        <v>8193</v>
      </c>
      <c r="D2874">
        <v>1</v>
      </c>
      <c r="E2874" t="s">
        <v>7938</v>
      </c>
      <c r="F2874" t="s">
        <v>7939</v>
      </c>
      <c r="G2874" s="1"/>
      <c r="H2874" t="str">
        <f>"3250616375352"</f>
        <v>3250616375352</v>
      </c>
      <c r="J2874" t="s">
        <v>8154</v>
      </c>
    </row>
    <row r="2875" spans="1:10" x14ac:dyDescent="0.25">
      <c r="A2875" t="s">
        <v>8</v>
      </c>
      <c r="B2875" t="s">
        <v>8194</v>
      </c>
      <c r="C2875" t="s">
        <v>8195</v>
      </c>
      <c r="D2875">
        <v>1</v>
      </c>
      <c r="E2875" t="s">
        <v>7938</v>
      </c>
      <c r="F2875" t="s">
        <v>7939</v>
      </c>
      <c r="G2875" s="1"/>
      <c r="H2875" t="str">
        <f>"3250616375376"</f>
        <v>3250616375376</v>
      </c>
      <c r="J2875" t="s">
        <v>8162</v>
      </c>
    </row>
    <row r="2876" spans="1:10" x14ac:dyDescent="0.25">
      <c r="A2876" t="s">
        <v>8</v>
      </c>
      <c r="B2876" t="s">
        <v>8196</v>
      </c>
      <c r="C2876" t="s">
        <v>8197</v>
      </c>
      <c r="D2876">
        <v>1</v>
      </c>
      <c r="E2876" t="s">
        <v>7938</v>
      </c>
      <c r="F2876" t="s">
        <v>7939</v>
      </c>
      <c r="G2876" s="1"/>
      <c r="H2876" t="str">
        <f>"3250616112520"</f>
        <v>3250616112520</v>
      </c>
      <c r="J2876" t="s">
        <v>8198</v>
      </c>
    </row>
    <row r="2877" spans="1:10" x14ac:dyDescent="0.25">
      <c r="A2877" t="s">
        <v>8</v>
      </c>
      <c r="B2877" t="s">
        <v>8199</v>
      </c>
      <c r="C2877" t="s">
        <v>8200</v>
      </c>
      <c r="D2877">
        <v>1</v>
      </c>
      <c r="E2877" t="s">
        <v>7938</v>
      </c>
      <c r="F2877" t="s">
        <v>7939</v>
      </c>
      <c r="G2877" s="1"/>
      <c r="H2877" t="str">
        <f>"3250616112537"</f>
        <v>3250616112537</v>
      </c>
      <c r="J2877" t="s">
        <v>8201</v>
      </c>
    </row>
    <row r="2878" spans="1:10" x14ac:dyDescent="0.25">
      <c r="A2878" t="s">
        <v>8</v>
      </c>
      <c r="B2878" t="s">
        <v>8202</v>
      </c>
      <c r="C2878" t="s">
        <v>8203</v>
      </c>
      <c r="D2878">
        <v>1</v>
      </c>
      <c r="E2878" t="s">
        <v>7938</v>
      </c>
      <c r="F2878" t="s">
        <v>7939</v>
      </c>
      <c r="G2878" s="1"/>
      <c r="H2878" t="str">
        <f>"3250616375383"</f>
        <v>3250616375383</v>
      </c>
      <c r="J2878" t="s">
        <v>8167</v>
      </c>
    </row>
    <row r="2879" spans="1:10" x14ac:dyDescent="0.25">
      <c r="A2879" t="s">
        <v>8</v>
      </c>
      <c r="B2879" t="s">
        <v>8204</v>
      </c>
      <c r="C2879" t="s">
        <v>8205</v>
      </c>
      <c r="D2879">
        <v>1</v>
      </c>
      <c r="E2879" t="s">
        <v>7938</v>
      </c>
      <c r="F2879" t="s">
        <v>7939</v>
      </c>
      <c r="G2879" s="1"/>
      <c r="H2879" t="str">
        <f>"3250616375390"</f>
        <v>3250616375390</v>
      </c>
      <c r="J2879" t="s">
        <v>8151</v>
      </c>
    </row>
    <row r="2880" spans="1:10" x14ac:dyDescent="0.25">
      <c r="A2880" t="s">
        <v>8</v>
      </c>
      <c r="B2880" t="s">
        <v>8206</v>
      </c>
      <c r="C2880" t="s">
        <v>8207</v>
      </c>
      <c r="D2880">
        <v>1</v>
      </c>
      <c r="E2880" t="s">
        <v>7938</v>
      </c>
      <c r="F2880" t="s">
        <v>7939</v>
      </c>
      <c r="G2880" s="1"/>
      <c r="H2880" t="str">
        <f>"3250616375420"</f>
        <v>3250616375420</v>
      </c>
      <c r="J2880" t="s">
        <v>8154</v>
      </c>
    </row>
    <row r="2881" spans="1:10" x14ac:dyDescent="0.25">
      <c r="A2881" t="s">
        <v>8</v>
      </c>
      <c r="B2881" t="s">
        <v>8208</v>
      </c>
      <c r="C2881" t="s">
        <v>8209</v>
      </c>
      <c r="D2881">
        <v>1</v>
      </c>
      <c r="E2881" t="s">
        <v>7938</v>
      </c>
      <c r="F2881" t="s">
        <v>7939</v>
      </c>
      <c r="G2881" s="1"/>
      <c r="H2881" t="str">
        <f>"3250616375437"</f>
        <v>3250616375437</v>
      </c>
      <c r="J2881" t="s">
        <v>8154</v>
      </c>
    </row>
    <row r="2882" spans="1:10" x14ac:dyDescent="0.25">
      <c r="A2882" t="s">
        <v>8</v>
      </c>
      <c r="B2882" t="s">
        <v>8210</v>
      </c>
      <c r="C2882" t="s">
        <v>8211</v>
      </c>
      <c r="D2882">
        <v>1</v>
      </c>
      <c r="E2882" t="s">
        <v>7938</v>
      </c>
      <c r="F2882" t="s">
        <v>7939</v>
      </c>
      <c r="G2882" s="1"/>
      <c r="H2882" t="str">
        <f>"3250616375451"</f>
        <v>3250616375451</v>
      </c>
      <c r="J2882" t="s">
        <v>8162</v>
      </c>
    </row>
    <row r="2883" spans="1:10" x14ac:dyDescent="0.25">
      <c r="A2883" t="s">
        <v>8</v>
      </c>
      <c r="B2883" t="s">
        <v>8212</v>
      </c>
      <c r="C2883" t="s">
        <v>8213</v>
      </c>
      <c r="D2883">
        <v>1</v>
      </c>
      <c r="E2883" t="s">
        <v>7938</v>
      </c>
      <c r="F2883" t="s">
        <v>7939</v>
      </c>
      <c r="G2883" s="1"/>
      <c r="H2883" t="str">
        <f>"3250616375468"</f>
        <v>3250616375468</v>
      </c>
      <c r="J2883" t="s">
        <v>8162</v>
      </c>
    </row>
    <row r="2884" spans="1:10" x14ac:dyDescent="0.25">
      <c r="A2884" t="s">
        <v>8</v>
      </c>
      <c r="B2884" t="s">
        <v>8214</v>
      </c>
      <c r="C2884" t="s">
        <v>8215</v>
      </c>
      <c r="D2884">
        <v>1</v>
      </c>
      <c r="E2884" t="s">
        <v>7938</v>
      </c>
      <c r="F2884" t="s">
        <v>7939</v>
      </c>
      <c r="G2884" s="1"/>
      <c r="H2884" t="str">
        <f>"3250616375284"</f>
        <v>3250616375284</v>
      </c>
      <c r="J2884" t="s">
        <v>8127</v>
      </c>
    </row>
    <row r="2885" spans="1:10" x14ac:dyDescent="0.25">
      <c r="A2885" t="s">
        <v>8</v>
      </c>
      <c r="B2885" t="s">
        <v>8216</v>
      </c>
      <c r="C2885" t="s">
        <v>8217</v>
      </c>
      <c r="D2885">
        <v>1</v>
      </c>
      <c r="E2885" t="s">
        <v>7938</v>
      </c>
      <c r="F2885" t="s">
        <v>7939</v>
      </c>
      <c r="G2885" s="1"/>
      <c r="H2885" t="str">
        <f>"3250616375291"</f>
        <v>3250616375291</v>
      </c>
      <c r="J2885" t="s">
        <v>8218</v>
      </c>
    </row>
    <row r="2886" spans="1:10" x14ac:dyDescent="0.25">
      <c r="A2886" t="s">
        <v>8</v>
      </c>
      <c r="B2886" t="s">
        <v>8219</v>
      </c>
      <c r="C2886" t="s">
        <v>8220</v>
      </c>
      <c r="D2886">
        <v>1</v>
      </c>
      <c r="E2886" t="s">
        <v>7938</v>
      </c>
      <c r="F2886" t="s">
        <v>7939</v>
      </c>
      <c r="G2886" s="1"/>
      <c r="H2886" t="str">
        <f>"3250616375307"</f>
        <v>3250616375307</v>
      </c>
      <c r="J2886" t="s">
        <v>8221</v>
      </c>
    </row>
    <row r="2887" spans="1:10" x14ac:dyDescent="0.25">
      <c r="A2887" t="s">
        <v>8</v>
      </c>
      <c r="B2887" t="s">
        <v>8222</v>
      </c>
      <c r="C2887" t="s">
        <v>8223</v>
      </c>
      <c r="D2887">
        <v>1</v>
      </c>
      <c r="E2887" t="s">
        <v>7938</v>
      </c>
      <c r="F2887" t="s">
        <v>7939</v>
      </c>
      <c r="G2887" s="1"/>
      <c r="H2887" t="str">
        <f>"3250616375314"</f>
        <v>3250616375314</v>
      </c>
      <c r="J2887" t="s">
        <v>8224</v>
      </c>
    </row>
    <row r="2888" spans="1:10" x14ac:dyDescent="0.25">
      <c r="A2888" t="s">
        <v>8</v>
      </c>
      <c r="B2888" t="s">
        <v>8225</v>
      </c>
      <c r="C2888" t="s">
        <v>8226</v>
      </c>
      <c r="D2888">
        <v>1</v>
      </c>
      <c r="E2888" t="s">
        <v>7938</v>
      </c>
      <c r="F2888" t="s">
        <v>7939</v>
      </c>
      <c r="G2888" s="1"/>
      <c r="H2888" t="str">
        <f>"3250616375345"</f>
        <v>3250616375345</v>
      </c>
      <c r="J2888" t="s">
        <v>8154</v>
      </c>
    </row>
    <row r="2889" spans="1:10" x14ac:dyDescent="0.25">
      <c r="A2889" t="s">
        <v>8</v>
      </c>
      <c r="B2889" t="s">
        <v>8227</v>
      </c>
      <c r="C2889" t="s">
        <v>8228</v>
      </c>
      <c r="D2889">
        <v>1</v>
      </c>
      <c r="E2889" t="s">
        <v>7938</v>
      </c>
      <c r="F2889" t="s">
        <v>7939</v>
      </c>
      <c r="G2889" s="1"/>
      <c r="H2889" t="str">
        <f>"3250616375369"</f>
        <v>3250616375369</v>
      </c>
      <c r="J2889" t="s">
        <v>8162</v>
      </c>
    </row>
    <row r="2890" spans="1:10" x14ac:dyDescent="0.25">
      <c r="A2890" t="s">
        <v>8</v>
      </c>
      <c r="B2890" t="s">
        <v>8229</v>
      </c>
      <c r="C2890" t="s">
        <v>8230</v>
      </c>
      <c r="D2890">
        <v>1</v>
      </c>
      <c r="E2890" t="s">
        <v>7938</v>
      </c>
      <c r="F2890" t="s">
        <v>7939</v>
      </c>
      <c r="G2890" s="1"/>
      <c r="H2890" t="str">
        <f>"3250616375413"</f>
        <v>3250616375413</v>
      </c>
      <c r="J2890" t="s">
        <v>8154</v>
      </c>
    </row>
    <row r="2891" spans="1:10" x14ac:dyDescent="0.25">
      <c r="A2891" t="s">
        <v>8</v>
      </c>
      <c r="B2891" t="s">
        <v>8231</v>
      </c>
      <c r="C2891" t="s">
        <v>8232</v>
      </c>
      <c r="D2891">
        <v>1</v>
      </c>
      <c r="E2891" t="s">
        <v>7938</v>
      </c>
      <c r="F2891" t="s">
        <v>7939</v>
      </c>
      <c r="G2891" s="1"/>
      <c r="H2891" t="str">
        <f>"3250616375444"</f>
        <v>3250616375444</v>
      </c>
      <c r="J2891" t="s">
        <v>8162</v>
      </c>
    </row>
    <row r="2892" spans="1:10" x14ac:dyDescent="0.25">
      <c r="A2892" t="s">
        <v>8</v>
      </c>
      <c r="B2892" t="s">
        <v>8233</v>
      </c>
      <c r="C2892" t="s">
        <v>8234</v>
      </c>
      <c r="D2892">
        <v>1</v>
      </c>
      <c r="E2892" t="s">
        <v>7938</v>
      </c>
      <c r="F2892" t="s">
        <v>7939</v>
      </c>
      <c r="G2892" s="1"/>
      <c r="H2892" t="str">
        <f>"3250616377776"</f>
        <v>3250616377776</v>
      </c>
      <c r="J2892" t="s">
        <v>8235</v>
      </c>
    </row>
    <row r="2893" spans="1:10" x14ac:dyDescent="0.25">
      <c r="A2893" t="s">
        <v>8</v>
      </c>
      <c r="B2893" t="s">
        <v>8236</v>
      </c>
      <c r="C2893" t="s">
        <v>8237</v>
      </c>
      <c r="D2893">
        <v>1</v>
      </c>
      <c r="E2893" t="s">
        <v>7938</v>
      </c>
      <c r="F2893" t="s">
        <v>7939</v>
      </c>
      <c r="G2893" s="1"/>
      <c r="H2893" t="str">
        <f>"3250616378056"</f>
        <v>3250616378056</v>
      </c>
      <c r="J2893" t="s">
        <v>8238</v>
      </c>
    </row>
    <row r="2894" spans="1:10" x14ac:dyDescent="0.25">
      <c r="A2894" t="s">
        <v>8</v>
      </c>
      <c r="B2894" t="s">
        <v>8239</v>
      </c>
      <c r="C2894" t="s">
        <v>8240</v>
      </c>
      <c r="D2894">
        <v>1</v>
      </c>
      <c r="E2894" t="s">
        <v>7938</v>
      </c>
      <c r="F2894" t="s">
        <v>7939</v>
      </c>
      <c r="G2894" s="1"/>
      <c r="H2894" t="str">
        <f>"3250616377813"</f>
        <v>3250616377813</v>
      </c>
      <c r="J2894" t="s">
        <v>8241</v>
      </c>
    </row>
    <row r="2895" spans="1:10" x14ac:dyDescent="0.25">
      <c r="A2895" t="s">
        <v>8</v>
      </c>
      <c r="B2895" t="s">
        <v>8242</v>
      </c>
      <c r="C2895" t="s">
        <v>8243</v>
      </c>
      <c r="D2895">
        <v>1</v>
      </c>
      <c r="E2895" t="s">
        <v>7938</v>
      </c>
      <c r="F2895" t="s">
        <v>7939</v>
      </c>
      <c r="G2895" s="1"/>
      <c r="H2895" t="str">
        <f>"3250616377837"</f>
        <v>3250616377837</v>
      </c>
      <c r="J2895" t="s">
        <v>8244</v>
      </c>
    </row>
    <row r="2896" spans="1:10" x14ac:dyDescent="0.25">
      <c r="A2896" t="s">
        <v>8</v>
      </c>
      <c r="B2896" t="s">
        <v>8245</v>
      </c>
      <c r="C2896" t="s">
        <v>8246</v>
      </c>
      <c r="D2896">
        <v>1</v>
      </c>
      <c r="E2896" t="s">
        <v>7938</v>
      </c>
      <c r="F2896" t="s">
        <v>7939</v>
      </c>
      <c r="G2896" s="1"/>
      <c r="H2896" t="str">
        <f>"3250616378087"</f>
        <v>3250616378087</v>
      </c>
      <c r="J2896" t="s">
        <v>8244</v>
      </c>
    </row>
    <row r="2897" spans="1:10" x14ac:dyDescent="0.25">
      <c r="A2897" t="s">
        <v>8</v>
      </c>
      <c r="B2897" t="s">
        <v>8247</v>
      </c>
      <c r="C2897" t="s">
        <v>8248</v>
      </c>
      <c r="D2897">
        <v>1</v>
      </c>
      <c r="E2897" t="s">
        <v>7938</v>
      </c>
      <c r="F2897" t="s">
        <v>7939</v>
      </c>
      <c r="G2897" s="1"/>
      <c r="H2897" t="str">
        <f>"3250616378117"</f>
        <v>3250616378117</v>
      </c>
      <c r="J2897" t="s">
        <v>8249</v>
      </c>
    </row>
    <row r="2898" spans="1:10" x14ac:dyDescent="0.25">
      <c r="A2898" t="s">
        <v>8</v>
      </c>
      <c r="B2898" t="s">
        <v>8250</v>
      </c>
      <c r="C2898" t="s">
        <v>8240</v>
      </c>
      <c r="D2898">
        <v>1</v>
      </c>
      <c r="E2898" t="s">
        <v>7938</v>
      </c>
      <c r="F2898" t="s">
        <v>7939</v>
      </c>
      <c r="G2898" s="1"/>
      <c r="H2898" t="str">
        <f>"3250616377905"</f>
        <v>3250616377905</v>
      </c>
      <c r="J2898" t="s">
        <v>8251</v>
      </c>
    </row>
    <row r="2899" spans="1:10" x14ac:dyDescent="0.25">
      <c r="A2899" t="s">
        <v>8</v>
      </c>
      <c r="B2899" t="s">
        <v>8252</v>
      </c>
      <c r="C2899" t="s">
        <v>8253</v>
      </c>
      <c r="D2899">
        <v>1</v>
      </c>
      <c r="E2899" t="s">
        <v>7938</v>
      </c>
      <c r="F2899" t="s">
        <v>7939</v>
      </c>
      <c r="G2899" s="1"/>
      <c r="H2899" t="str">
        <f>"3250616378148"</f>
        <v>3250616378148</v>
      </c>
      <c r="J2899" t="s">
        <v>8254</v>
      </c>
    </row>
    <row r="2900" spans="1:10" x14ac:dyDescent="0.25">
      <c r="A2900" t="s">
        <v>8</v>
      </c>
      <c r="B2900" t="s">
        <v>8255</v>
      </c>
      <c r="C2900" t="s">
        <v>8256</v>
      </c>
      <c r="D2900">
        <v>1</v>
      </c>
      <c r="E2900" t="s">
        <v>7938</v>
      </c>
      <c r="F2900" t="s">
        <v>7939</v>
      </c>
      <c r="G2900" s="1"/>
      <c r="H2900" t="str">
        <f>"3250612772193"</f>
        <v>3250612772193</v>
      </c>
      <c r="J2900" t="s">
        <v>8257</v>
      </c>
    </row>
    <row r="2901" spans="1:10" x14ac:dyDescent="0.25">
      <c r="A2901" t="s">
        <v>8</v>
      </c>
      <c r="B2901" t="s">
        <v>8258</v>
      </c>
      <c r="C2901" t="s">
        <v>8259</v>
      </c>
      <c r="D2901">
        <v>1</v>
      </c>
      <c r="E2901" t="s">
        <v>7938</v>
      </c>
      <c r="F2901" t="s">
        <v>7939</v>
      </c>
      <c r="G2901" s="1"/>
      <c r="H2901" t="str">
        <f>"3250612772278"</f>
        <v>3250612772278</v>
      </c>
      <c r="J2901" t="s">
        <v>8260</v>
      </c>
    </row>
    <row r="2902" spans="1:10" x14ac:dyDescent="0.25">
      <c r="A2902" t="s">
        <v>8</v>
      </c>
      <c r="B2902" t="s">
        <v>8261</v>
      </c>
      <c r="C2902" t="s">
        <v>8262</v>
      </c>
      <c r="D2902">
        <v>1</v>
      </c>
      <c r="E2902" t="s">
        <v>7938</v>
      </c>
      <c r="F2902" t="s">
        <v>7939</v>
      </c>
      <c r="G2902" s="1"/>
      <c r="H2902" t="str">
        <f>"3250612772285"</f>
        <v>3250612772285</v>
      </c>
      <c r="J2902" t="s">
        <v>8263</v>
      </c>
    </row>
    <row r="2903" spans="1:10" x14ac:dyDescent="0.25">
      <c r="A2903" t="s">
        <v>8</v>
      </c>
      <c r="B2903" t="s">
        <v>8264</v>
      </c>
      <c r="C2903" t="s">
        <v>8265</v>
      </c>
      <c r="D2903">
        <v>1</v>
      </c>
      <c r="E2903" t="s">
        <v>7938</v>
      </c>
      <c r="F2903" t="s">
        <v>7939</v>
      </c>
      <c r="G2903" s="1"/>
      <c r="H2903" t="str">
        <f>"3250612772360"</f>
        <v>3250612772360</v>
      </c>
      <c r="J2903" t="s">
        <v>8266</v>
      </c>
    </row>
    <row r="2904" spans="1:10" x14ac:dyDescent="0.25">
      <c r="A2904" t="s">
        <v>8</v>
      </c>
      <c r="B2904" t="s">
        <v>8267</v>
      </c>
      <c r="C2904" t="s">
        <v>8268</v>
      </c>
      <c r="D2904">
        <v>1</v>
      </c>
      <c r="E2904" t="s">
        <v>7938</v>
      </c>
      <c r="F2904" t="s">
        <v>7939</v>
      </c>
      <c r="G2904" s="1"/>
      <c r="H2904" t="str">
        <f>"3250616377448"</f>
        <v>3250616377448</v>
      </c>
      <c r="J2904" t="s">
        <v>8269</v>
      </c>
    </row>
    <row r="2905" spans="1:10" x14ac:dyDescent="0.25">
      <c r="A2905" t="s">
        <v>8</v>
      </c>
      <c r="B2905" t="s">
        <v>8270</v>
      </c>
      <c r="C2905" t="s">
        <v>8271</v>
      </c>
      <c r="D2905">
        <v>1</v>
      </c>
      <c r="E2905" t="s">
        <v>7938</v>
      </c>
      <c r="F2905" t="s">
        <v>7939</v>
      </c>
      <c r="G2905" s="1"/>
      <c r="H2905" t="str">
        <f>"3250616377455"</f>
        <v>3250616377455</v>
      </c>
      <c r="J2905" t="s">
        <v>8272</v>
      </c>
    </row>
    <row r="2906" spans="1:10" x14ac:dyDescent="0.25">
      <c r="A2906" t="s">
        <v>8</v>
      </c>
      <c r="B2906" t="s">
        <v>8273</v>
      </c>
      <c r="C2906" t="s">
        <v>8274</v>
      </c>
      <c r="D2906">
        <v>1</v>
      </c>
      <c r="E2906" t="s">
        <v>7938</v>
      </c>
      <c r="F2906" t="s">
        <v>7939</v>
      </c>
      <c r="G2906" s="1"/>
      <c r="H2906" t="str">
        <f>"3250616376878"</f>
        <v>3250616376878</v>
      </c>
      <c r="J2906" t="s">
        <v>8275</v>
      </c>
    </row>
    <row r="2907" spans="1:10" x14ac:dyDescent="0.25">
      <c r="A2907" t="s">
        <v>8</v>
      </c>
      <c r="B2907" t="s">
        <v>8276</v>
      </c>
      <c r="C2907" t="s">
        <v>8277</v>
      </c>
      <c r="D2907">
        <v>1</v>
      </c>
      <c r="E2907" t="s">
        <v>7938</v>
      </c>
      <c r="F2907" t="s">
        <v>7939</v>
      </c>
      <c r="G2907" s="1"/>
      <c r="H2907" t="str">
        <f>"3250616377462"</f>
        <v>3250616377462</v>
      </c>
      <c r="J2907" t="s">
        <v>8278</v>
      </c>
    </row>
    <row r="2908" spans="1:10" x14ac:dyDescent="0.25">
      <c r="A2908" t="s">
        <v>8</v>
      </c>
      <c r="B2908" t="s">
        <v>8279</v>
      </c>
      <c r="C2908" t="s">
        <v>8280</v>
      </c>
      <c r="D2908">
        <v>1</v>
      </c>
      <c r="E2908" t="s">
        <v>7938</v>
      </c>
      <c r="F2908" t="s">
        <v>7939</v>
      </c>
      <c r="G2908" s="1"/>
      <c r="H2908" t="str">
        <f>"3250616377479"</f>
        <v>3250616377479</v>
      </c>
      <c r="J2908" t="s">
        <v>8281</v>
      </c>
    </row>
    <row r="2909" spans="1:10" x14ac:dyDescent="0.25">
      <c r="A2909" t="s">
        <v>8</v>
      </c>
      <c r="B2909" t="s">
        <v>8282</v>
      </c>
      <c r="C2909" t="s">
        <v>8283</v>
      </c>
      <c r="D2909">
        <v>1</v>
      </c>
      <c r="E2909" t="s">
        <v>7938</v>
      </c>
      <c r="F2909" t="s">
        <v>7939</v>
      </c>
      <c r="G2909" s="1"/>
      <c r="H2909" t="str">
        <f>"3250616376885"</f>
        <v>3250616376885</v>
      </c>
      <c r="J2909" t="s">
        <v>8284</v>
      </c>
    </row>
    <row r="2910" spans="1:10" x14ac:dyDescent="0.25">
      <c r="A2910" t="s">
        <v>8</v>
      </c>
      <c r="B2910" t="s">
        <v>8285</v>
      </c>
      <c r="C2910" t="s">
        <v>8286</v>
      </c>
      <c r="D2910">
        <v>1</v>
      </c>
      <c r="E2910" t="s">
        <v>7938</v>
      </c>
      <c r="F2910" t="s">
        <v>7939</v>
      </c>
      <c r="G2910" s="1"/>
      <c r="H2910" t="str">
        <f>"3250616379695"</f>
        <v>3250616379695</v>
      </c>
      <c r="J2910" t="s">
        <v>8281</v>
      </c>
    </row>
    <row r="2911" spans="1:10" x14ac:dyDescent="0.25">
      <c r="A2911" t="s">
        <v>8</v>
      </c>
      <c r="B2911" t="s">
        <v>8287</v>
      </c>
      <c r="C2911" t="s">
        <v>8288</v>
      </c>
      <c r="D2911">
        <v>1</v>
      </c>
      <c r="E2911" t="s">
        <v>7938</v>
      </c>
      <c r="F2911" t="s">
        <v>7939</v>
      </c>
      <c r="G2911" s="1"/>
      <c r="H2911" t="str">
        <f>"3250616379145"</f>
        <v>3250616379145</v>
      </c>
      <c r="J2911" t="s">
        <v>8289</v>
      </c>
    </row>
    <row r="2912" spans="1:10" x14ac:dyDescent="0.25">
      <c r="A2912" t="s">
        <v>8</v>
      </c>
      <c r="B2912" t="s">
        <v>8290</v>
      </c>
      <c r="C2912" t="s">
        <v>8291</v>
      </c>
      <c r="D2912">
        <v>1</v>
      </c>
      <c r="E2912" t="s">
        <v>7938</v>
      </c>
      <c r="F2912" t="s">
        <v>7939</v>
      </c>
      <c r="G2912" s="1"/>
      <c r="H2912" t="str">
        <f>"3250616377493"</f>
        <v>3250616377493</v>
      </c>
      <c r="J2912" t="s">
        <v>3018</v>
      </c>
    </row>
    <row r="2913" spans="1:10" x14ac:dyDescent="0.25">
      <c r="A2913" t="s">
        <v>8</v>
      </c>
      <c r="B2913" t="s">
        <v>8292</v>
      </c>
      <c r="C2913" t="s">
        <v>8293</v>
      </c>
      <c r="D2913">
        <v>1</v>
      </c>
      <c r="E2913" t="s">
        <v>7938</v>
      </c>
      <c r="F2913" t="s">
        <v>7939</v>
      </c>
      <c r="G2913" s="1"/>
      <c r="H2913" t="str">
        <f>"3250616377509"</f>
        <v>3250616377509</v>
      </c>
      <c r="J2913" t="s">
        <v>8294</v>
      </c>
    </row>
    <row r="2914" spans="1:10" x14ac:dyDescent="0.25">
      <c r="A2914" t="s">
        <v>8</v>
      </c>
      <c r="B2914" t="s">
        <v>8295</v>
      </c>
      <c r="C2914" t="s">
        <v>8296</v>
      </c>
      <c r="D2914">
        <v>1</v>
      </c>
      <c r="E2914" t="s">
        <v>7938</v>
      </c>
      <c r="F2914" t="s">
        <v>7939</v>
      </c>
      <c r="G2914" s="1"/>
      <c r="H2914" t="str">
        <f>"3250616377516"</f>
        <v>3250616377516</v>
      </c>
      <c r="J2914" t="s">
        <v>8297</v>
      </c>
    </row>
    <row r="2915" spans="1:10" x14ac:dyDescent="0.25">
      <c r="A2915" t="s">
        <v>8</v>
      </c>
      <c r="B2915" t="s">
        <v>8298</v>
      </c>
      <c r="C2915" t="s">
        <v>8299</v>
      </c>
      <c r="D2915">
        <v>1</v>
      </c>
      <c r="E2915" t="s">
        <v>7938</v>
      </c>
      <c r="F2915" t="s">
        <v>7939</v>
      </c>
      <c r="G2915" s="1"/>
      <c r="H2915" t="str">
        <f>"3250616376908"</f>
        <v>3250616376908</v>
      </c>
      <c r="J2915" t="s">
        <v>8300</v>
      </c>
    </row>
    <row r="2916" spans="1:10" x14ac:dyDescent="0.25">
      <c r="A2916" t="s">
        <v>8</v>
      </c>
      <c r="B2916" t="s">
        <v>8301</v>
      </c>
      <c r="C2916" t="s">
        <v>8302</v>
      </c>
      <c r="D2916">
        <v>1</v>
      </c>
      <c r="E2916" t="s">
        <v>7938</v>
      </c>
      <c r="F2916" t="s">
        <v>7939</v>
      </c>
      <c r="G2916" s="1"/>
      <c r="H2916" t="str">
        <f>"3250616377523"</f>
        <v>3250616377523</v>
      </c>
      <c r="J2916" t="s">
        <v>8272</v>
      </c>
    </row>
    <row r="2917" spans="1:10" x14ac:dyDescent="0.25">
      <c r="A2917" t="s">
        <v>8</v>
      </c>
      <c r="B2917" t="s">
        <v>8303</v>
      </c>
      <c r="C2917" t="s">
        <v>8304</v>
      </c>
      <c r="D2917">
        <v>1</v>
      </c>
      <c r="E2917" t="s">
        <v>7938</v>
      </c>
      <c r="F2917" t="s">
        <v>7939</v>
      </c>
      <c r="G2917" s="1"/>
      <c r="H2917" t="str">
        <f>"3250616379701"</f>
        <v>3250616379701</v>
      </c>
      <c r="J2917" t="s">
        <v>8305</v>
      </c>
    </row>
    <row r="2918" spans="1:10" x14ac:dyDescent="0.25">
      <c r="A2918" t="s">
        <v>8</v>
      </c>
      <c r="B2918" t="s">
        <v>8306</v>
      </c>
      <c r="C2918" t="s">
        <v>8307</v>
      </c>
      <c r="D2918">
        <v>1</v>
      </c>
      <c r="E2918" t="s">
        <v>7938</v>
      </c>
      <c r="F2918" t="s">
        <v>7939</v>
      </c>
      <c r="G2918" s="1"/>
      <c r="H2918" t="str">
        <f>"3250616379237"</f>
        <v>3250616379237</v>
      </c>
      <c r="J2918" t="s">
        <v>8281</v>
      </c>
    </row>
    <row r="2919" spans="1:10" x14ac:dyDescent="0.25">
      <c r="A2919" t="s">
        <v>8</v>
      </c>
      <c r="B2919" t="s">
        <v>8308</v>
      </c>
      <c r="C2919" t="s">
        <v>8309</v>
      </c>
      <c r="D2919">
        <v>1</v>
      </c>
      <c r="E2919" t="s">
        <v>7938</v>
      </c>
      <c r="F2919" t="s">
        <v>7939</v>
      </c>
      <c r="G2919" s="1"/>
      <c r="H2919" t="str">
        <f>"3250616377547"</f>
        <v>3250616377547</v>
      </c>
      <c r="J2919" t="s">
        <v>8310</v>
      </c>
    </row>
    <row r="2920" spans="1:10" x14ac:dyDescent="0.25">
      <c r="A2920" t="s">
        <v>8</v>
      </c>
      <c r="B2920" t="s">
        <v>8311</v>
      </c>
      <c r="C2920" t="s">
        <v>8312</v>
      </c>
      <c r="D2920">
        <v>1</v>
      </c>
      <c r="E2920" t="s">
        <v>7938</v>
      </c>
      <c r="F2920" t="s">
        <v>7939</v>
      </c>
      <c r="G2920" s="1"/>
      <c r="H2920" t="str">
        <f>"3250616377554"</f>
        <v>3250616377554</v>
      </c>
      <c r="J2920" t="s">
        <v>8310</v>
      </c>
    </row>
    <row r="2921" spans="1:10" x14ac:dyDescent="0.25">
      <c r="A2921" t="s">
        <v>8</v>
      </c>
      <c r="B2921" t="s">
        <v>8313</v>
      </c>
      <c r="C2921" t="s">
        <v>8314</v>
      </c>
      <c r="D2921">
        <v>1</v>
      </c>
      <c r="E2921" t="s">
        <v>7938</v>
      </c>
      <c r="F2921" t="s">
        <v>7939</v>
      </c>
      <c r="G2921" s="1"/>
      <c r="H2921" t="str">
        <f>"3250616377561"</f>
        <v>3250616377561</v>
      </c>
      <c r="J2921" t="s">
        <v>8297</v>
      </c>
    </row>
    <row r="2922" spans="1:10" x14ac:dyDescent="0.25">
      <c r="A2922" t="s">
        <v>8</v>
      </c>
      <c r="B2922" t="s">
        <v>8315</v>
      </c>
      <c r="C2922" t="s">
        <v>8316</v>
      </c>
      <c r="D2922">
        <v>1</v>
      </c>
      <c r="E2922" t="s">
        <v>7938</v>
      </c>
      <c r="F2922" t="s">
        <v>7939</v>
      </c>
      <c r="G2922" s="1"/>
      <c r="H2922" t="str">
        <f>"3250616376939"</f>
        <v>3250616376939</v>
      </c>
      <c r="J2922" t="s">
        <v>8317</v>
      </c>
    </row>
    <row r="2923" spans="1:10" x14ac:dyDescent="0.25">
      <c r="A2923" t="s">
        <v>8</v>
      </c>
      <c r="B2923" t="s">
        <v>8318</v>
      </c>
      <c r="C2923" t="s">
        <v>8319</v>
      </c>
      <c r="D2923">
        <v>1</v>
      </c>
      <c r="E2923" t="s">
        <v>7938</v>
      </c>
      <c r="F2923" t="s">
        <v>7939</v>
      </c>
      <c r="G2923" s="1"/>
      <c r="H2923" t="str">
        <f>"3250616379732"</f>
        <v>3250616379732</v>
      </c>
      <c r="J2923" t="s">
        <v>2994</v>
      </c>
    </row>
    <row r="2924" spans="1:10" x14ac:dyDescent="0.25">
      <c r="A2924" t="s">
        <v>8</v>
      </c>
      <c r="B2924" t="s">
        <v>8320</v>
      </c>
      <c r="C2924" t="s">
        <v>8321</v>
      </c>
      <c r="D2924">
        <v>1</v>
      </c>
      <c r="E2924" t="s">
        <v>7938</v>
      </c>
      <c r="F2924" t="s">
        <v>7939</v>
      </c>
      <c r="G2924" s="1"/>
      <c r="H2924" t="str">
        <f>"3250616379749"</f>
        <v>3250616379749</v>
      </c>
      <c r="J2924" t="s">
        <v>8322</v>
      </c>
    </row>
    <row r="2925" spans="1:10" x14ac:dyDescent="0.25">
      <c r="A2925" t="s">
        <v>8</v>
      </c>
      <c r="B2925" t="s">
        <v>8323</v>
      </c>
      <c r="C2925" t="s">
        <v>8324</v>
      </c>
      <c r="D2925">
        <v>1</v>
      </c>
      <c r="E2925" t="s">
        <v>7938</v>
      </c>
      <c r="F2925" t="s">
        <v>7939</v>
      </c>
      <c r="G2925" s="1"/>
      <c r="H2925" t="str">
        <f>"3250616379756"</f>
        <v>3250616379756</v>
      </c>
      <c r="J2925" t="s">
        <v>8322</v>
      </c>
    </row>
    <row r="2926" spans="1:10" x14ac:dyDescent="0.25">
      <c r="A2926" t="s">
        <v>8</v>
      </c>
      <c r="B2926" t="s">
        <v>8325</v>
      </c>
      <c r="C2926" t="s">
        <v>8326</v>
      </c>
      <c r="D2926">
        <v>1</v>
      </c>
      <c r="E2926" t="s">
        <v>7938</v>
      </c>
      <c r="F2926" t="s">
        <v>7939</v>
      </c>
      <c r="G2926" s="1"/>
      <c r="H2926" t="str">
        <f>"3250616379763"</f>
        <v>3250616379763</v>
      </c>
      <c r="J2926" t="s">
        <v>8327</v>
      </c>
    </row>
    <row r="2927" spans="1:10" x14ac:dyDescent="0.25">
      <c r="A2927" t="s">
        <v>8</v>
      </c>
      <c r="B2927" t="s">
        <v>8328</v>
      </c>
      <c r="C2927" t="s">
        <v>8329</v>
      </c>
      <c r="D2927">
        <v>1</v>
      </c>
      <c r="E2927" t="s">
        <v>7938</v>
      </c>
      <c r="F2927" t="s">
        <v>7939</v>
      </c>
      <c r="G2927" s="1"/>
      <c r="H2927" t="str">
        <f>"3250616379770"</f>
        <v>3250616379770</v>
      </c>
      <c r="J2927" t="s">
        <v>8327</v>
      </c>
    </row>
    <row r="2928" spans="1:10" x14ac:dyDescent="0.25">
      <c r="A2928" t="s">
        <v>8</v>
      </c>
      <c r="B2928" t="s">
        <v>8330</v>
      </c>
      <c r="C2928" t="s">
        <v>8331</v>
      </c>
      <c r="D2928">
        <v>1</v>
      </c>
      <c r="E2928" t="s">
        <v>7938</v>
      </c>
      <c r="F2928" t="s">
        <v>7939</v>
      </c>
      <c r="G2928" s="1"/>
      <c r="H2928" t="str">
        <f>"3250616132276"</f>
        <v>3250616132276</v>
      </c>
      <c r="J2928" t="s">
        <v>8332</v>
      </c>
    </row>
    <row r="2929" spans="1:10" x14ac:dyDescent="0.25">
      <c r="A2929" t="s">
        <v>8</v>
      </c>
      <c r="B2929" t="s">
        <v>8333</v>
      </c>
      <c r="C2929" t="s">
        <v>8334</v>
      </c>
      <c r="D2929">
        <v>1</v>
      </c>
      <c r="E2929" t="s">
        <v>7938</v>
      </c>
      <c r="F2929" t="s">
        <v>7939</v>
      </c>
      <c r="G2929" s="1"/>
      <c r="H2929" t="str">
        <f>"3250616110144"</f>
        <v>3250616110144</v>
      </c>
      <c r="J2929" t="s">
        <v>8335</v>
      </c>
    </row>
    <row r="2930" spans="1:10" x14ac:dyDescent="0.25">
      <c r="A2930" t="s">
        <v>8</v>
      </c>
      <c r="B2930" t="s">
        <v>8336</v>
      </c>
      <c r="C2930" t="s">
        <v>8337</v>
      </c>
      <c r="D2930">
        <v>1</v>
      </c>
      <c r="E2930" t="s">
        <v>7938</v>
      </c>
      <c r="F2930" t="s">
        <v>7939</v>
      </c>
      <c r="G2930" s="1"/>
      <c r="H2930" t="str">
        <f>"3250616379152"</f>
        <v>3250616379152</v>
      </c>
      <c r="J2930" t="s">
        <v>8338</v>
      </c>
    </row>
    <row r="2931" spans="1:10" x14ac:dyDescent="0.25">
      <c r="A2931" t="s">
        <v>8</v>
      </c>
      <c r="B2931" t="s">
        <v>8339</v>
      </c>
      <c r="C2931" t="s">
        <v>8340</v>
      </c>
      <c r="D2931">
        <v>1</v>
      </c>
      <c r="E2931" t="s">
        <v>7938</v>
      </c>
      <c r="F2931" t="s">
        <v>7939</v>
      </c>
      <c r="G2931" s="1"/>
      <c r="H2931" t="str">
        <f>"3250616377578"</f>
        <v>3250616377578</v>
      </c>
      <c r="J2931" t="s">
        <v>8272</v>
      </c>
    </row>
    <row r="2932" spans="1:10" x14ac:dyDescent="0.25">
      <c r="A2932" t="s">
        <v>8</v>
      </c>
      <c r="B2932" t="s">
        <v>8341</v>
      </c>
      <c r="C2932" t="s">
        <v>8342</v>
      </c>
      <c r="D2932">
        <v>1</v>
      </c>
      <c r="E2932" t="s">
        <v>7938</v>
      </c>
      <c r="F2932" t="s">
        <v>7939</v>
      </c>
      <c r="G2932" s="1"/>
      <c r="H2932" t="str">
        <f>"3250616377585"</f>
        <v>3250616377585</v>
      </c>
      <c r="J2932" t="s">
        <v>8343</v>
      </c>
    </row>
    <row r="2933" spans="1:10" x14ac:dyDescent="0.25">
      <c r="A2933" t="s">
        <v>8</v>
      </c>
      <c r="B2933" t="s">
        <v>8344</v>
      </c>
      <c r="C2933" t="s">
        <v>8345</v>
      </c>
      <c r="D2933">
        <v>1</v>
      </c>
      <c r="E2933" t="s">
        <v>7938</v>
      </c>
      <c r="F2933" t="s">
        <v>7939</v>
      </c>
      <c r="G2933" s="1"/>
      <c r="H2933" t="str">
        <f>"3250616110564"</f>
        <v>3250616110564</v>
      </c>
      <c r="J2933" t="s">
        <v>8335</v>
      </c>
    </row>
    <row r="2934" spans="1:10" x14ac:dyDescent="0.25">
      <c r="A2934" t="s">
        <v>8</v>
      </c>
      <c r="B2934" t="s">
        <v>8346</v>
      </c>
      <c r="C2934" t="s">
        <v>8347</v>
      </c>
      <c r="D2934">
        <v>1</v>
      </c>
      <c r="E2934" t="s">
        <v>7938</v>
      </c>
      <c r="F2934" t="s">
        <v>7939</v>
      </c>
      <c r="G2934" s="1"/>
      <c r="H2934" t="str">
        <f>"3250616377592"</f>
        <v>3250616377592</v>
      </c>
      <c r="J2934" t="s">
        <v>8348</v>
      </c>
    </row>
    <row r="2935" spans="1:10" x14ac:dyDescent="0.25">
      <c r="A2935" t="s">
        <v>8</v>
      </c>
      <c r="B2935" t="s">
        <v>8349</v>
      </c>
      <c r="C2935" t="s">
        <v>8350</v>
      </c>
      <c r="D2935">
        <v>1</v>
      </c>
      <c r="E2935" t="s">
        <v>7938</v>
      </c>
      <c r="F2935" t="s">
        <v>7939</v>
      </c>
      <c r="G2935" s="1"/>
      <c r="H2935" t="str">
        <f>"3250616132375"</f>
        <v>3250616132375</v>
      </c>
      <c r="J2935" t="s">
        <v>8351</v>
      </c>
    </row>
    <row r="2936" spans="1:10" x14ac:dyDescent="0.25">
      <c r="A2936" t="s">
        <v>8</v>
      </c>
      <c r="B2936" t="s">
        <v>8352</v>
      </c>
      <c r="C2936" t="s">
        <v>8353</v>
      </c>
      <c r="D2936">
        <v>1</v>
      </c>
      <c r="E2936" t="s">
        <v>7938</v>
      </c>
      <c r="F2936" t="s">
        <v>7939</v>
      </c>
      <c r="G2936" s="1"/>
      <c r="H2936" t="str">
        <f>"3250616132474"</f>
        <v>3250616132474</v>
      </c>
      <c r="J2936" t="s">
        <v>8354</v>
      </c>
    </row>
    <row r="2937" spans="1:10" x14ac:dyDescent="0.25">
      <c r="A2937" t="s">
        <v>8</v>
      </c>
      <c r="B2937" t="s">
        <v>8355</v>
      </c>
      <c r="C2937" t="s">
        <v>8356</v>
      </c>
      <c r="D2937">
        <v>1</v>
      </c>
      <c r="E2937" t="s">
        <v>7938</v>
      </c>
      <c r="F2937" t="s">
        <v>7939</v>
      </c>
      <c r="G2937" s="1"/>
      <c r="H2937" t="str">
        <f>"3250616377608"</f>
        <v>3250616377608</v>
      </c>
      <c r="J2937" t="s">
        <v>3018</v>
      </c>
    </row>
    <row r="2938" spans="1:10" x14ac:dyDescent="0.25">
      <c r="A2938" t="s">
        <v>8</v>
      </c>
      <c r="B2938" t="s">
        <v>8357</v>
      </c>
      <c r="C2938" t="s">
        <v>8358</v>
      </c>
      <c r="D2938">
        <v>1</v>
      </c>
      <c r="E2938" t="s">
        <v>7938</v>
      </c>
      <c r="F2938" t="s">
        <v>7939</v>
      </c>
      <c r="G2938" s="1"/>
      <c r="H2938" t="str">
        <f>"3250616377615"</f>
        <v>3250616377615</v>
      </c>
      <c r="J2938" t="s">
        <v>8348</v>
      </c>
    </row>
    <row r="2939" spans="1:10" x14ac:dyDescent="0.25">
      <c r="A2939" t="s">
        <v>8</v>
      </c>
      <c r="B2939" t="s">
        <v>8359</v>
      </c>
      <c r="C2939" t="s">
        <v>8360</v>
      </c>
      <c r="D2939">
        <v>1</v>
      </c>
      <c r="E2939" t="s">
        <v>7938</v>
      </c>
      <c r="F2939" t="s">
        <v>7939</v>
      </c>
      <c r="G2939" s="1"/>
      <c r="H2939" t="str">
        <f>"3250616377622"</f>
        <v>3250616377622</v>
      </c>
      <c r="J2939" t="s">
        <v>8343</v>
      </c>
    </row>
    <row r="2940" spans="1:10" x14ac:dyDescent="0.25">
      <c r="A2940" t="s">
        <v>8</v>
      </c>
      <c r="B2940" t="s">
        <v>8361</v>
      </c>
      <c r="C2940" t="s">
        <v>8362</v>
      </c>
      <c r="D2940">
        <v>1</v>
      </c>
      <c r="E2940" t="s">
        <v>7938</v>
      </c>
      <c r="F2940" t="s">
        <v>7939</v>
      </c>
      <c r="G2940" s="1"/>
      <c r="H2940" t="str">
        <f>"3250616379169"</f>
        <v>3250616379169</v>
      </c>
      <c r="J2940" t="s">
        <v>8278</v>
      </c>
    </row>
    <row r="2941" spans="1:10" x14ac:dyDescent="0.25">
      <c r="A2941" t="s">
        <v>8</v>
      </c>
      <c r="B2941" t="s">
        <v>8363</v>
      </c>
      <c r="C2941" t="s">
        <v>8364</v>
      </c>
      <c r="D2941">
        <v>1</v>
      </c>
      <c r="E2941" t="s">
        <v>7938</v>
      </c>
      <c r="F2941" t="s">
        <v>7939</v>
      </c>
      <c r="G2941" s="1"/>
      <c r="H2941" t="str">
        <f>"3250616377639"</f>
        <v>3250616377639</v>
      </c>
      <c r="J2941" t="s">
        <v>3018</v>
      </c>
    </row>
    <row r="2942" spans="1:10" x14ac:dyDescent="0.25">
      <c r="A2942" t="s">
        <v>8</v>
      </c>
      <c r="B2942" t="s">
        <v>8365</v>
      </c>
      <c r="C2942" t="s">
        <v>8366</v>
      </c>
      <c r="D2942">
        <v>1</v>
      </c>
      <c r="E2942" t="s">
        <v>7938</v>
      </c>
      <c r="F2942" t="s">
        <v>7939</v>
      </c>
      <c r="G2942" s="1"/>
      <c r="H2942" t="str">
        <f>"3250616377646"</f>
        <v>3250616377646</v>
      </c>
      <c r="J2942" t="s">
        <v>3018</v>
      </c>
    </row>
    <row r="2943" spans="1:10" x14ac:dyDescent="0.25">
      <c r="A2943" t="s">
        <v>8</v>
      </c>
      <c r="B2943" t="s">
        <v>8367</v>
      </c>
      <c r="C2943" t="s">
        <v>8368</v>
      </c>
      <c r="D2943">
        <v>1</v>
      </c>
      <c r="E2943" t="s">
        <v>7938</v>
      </c>
      <c r="F2943" t="s">
        <v>7939</v>
      </c>
      <c r="G2943" s="1"/>
      <c r="H2943" t="str">
        <f>"3250616377653"</f>
        <v>3250616377653</v>
      </c>
      <c r="J2943" t="s">
        <v>3018</v>
      </c>
    </row>
    <row r="2944" spans="1:10" x14ac:dyDescent="0.25">
      <c r="A2944" t="s">
        <v>8</v>
      </c>
      <c r="B2944" t="s">
        <v>8369</v>
      </c>
      <c r="C2944" t="s">
        <v>8370</v>
      </c>
      <c r="D2944">
        <v>1</v>
      </c>
      <c r="E2944" t="s">
        <v>7938</v>
      </c>
      <c r="F2944" t="s">
        <v>7939</v>
      </c>
      <c r="G2944" s="1"/>
      <c r="H2944" t="str">
        <f>"3250616377660"</f>
        <v>3250616377660</v>
      </c>
      <c r="J2944" t="s">
        <v>8371</v>
      </c>
    </row>
    <row r="2945" spans="1:10" x14ac:dyDescent="0.25">
      <c r="A2945" t="s">
        <v>8</v>
      </c>
      <c r="B2945" t="s">
        <v>8372</v>
      </c>
      <c r="C2945" t="s">
        <v>8373</v>
      </c>
      <c r="D2945">
        <v>1</v>
      </c>
      <c r="E2945" t="s">
        <v>7938</v>
      </c>
      <c r="F2945" t="s">
        <v>7939</v>
      </c>
      <c r="G2945" s="1"/>
      <c r="H2945" t="str">
        <f>"3250616377677"</f>
        <v>3250616377677</v>
      </c>
      <c r="J2945" t="s">
        <v>8374</v>
      </c>
    </row>
    <row r="2946" spans="1:10" x14ac:dyDescent="0.25">
      <c r="A2946" t="s">
        <v>8</v>
      </c>
      <c r="B2946" t="s">
        <v>8375</v>
      </c>
      <c r="C2946" t="s">
        <v>8376</v>
      </c>
      <c r="D2946">
        <v>1</v>
      </c>
      <c r="E2946" t="s">
        <v>7938</v>
      </c>
      <c r="F2946" t="s">
        <v>7939</v>
      </c>
      <c r="G2946" s="1"/>
      <c r="H2946" t="str">
        <f>"3250616377684"</f>
        <v>3250616377684</v>
      </c>
      <c r="J2946" t="s">
        <v>8377</v>
      </c>
    </row>
    <row r="2947" spans="1:10" x14ac:dyDescent="0.25">
      <c r="A2947" t="s">
        <v>8</v>
      </c>
      <c r="B2947" t="s">
        <v>8378</v>
      </c>
      <c r="C2947" t="s">
        <v>8379</v>
      </c>
      <c r="D2947">
        <v>1</v>
      </c>
      <c r="E2947" t="s">
        <v>7938</v>
      </c>
      <c r="F2947" t="s">
        <v>7939</v>
      </c>
      <c r="G2947" s="1"/>
      <c r="H2947" t="str">
        <f>"3250616377691"</f>
        <v>3250616377691</v>
      </c>
      <c r="J2947" t="s">
        <v>8380</v>
      </c>
    </row>
    <row r="2948" spans="1:10" x14ac:dyDescent="0.25">
      <c r="A2948" t="s">
        <v>8</v>
      </c>
      <c r="B2948" t="s">
        <v>8381</v>
      </c>
      <c r="C2948" t="s">
        <v>8382</v>
      </c>
      <c r="D2948">
        <v>1</v>
      </c>
      <c r="E2948" t="s">
        <v>7938</v>
      </c>
      <c r="F2948" t="s">
        <v>7939</v>
      </c>
      <c r="G2948" s="1"/>
      <c r="H2948" t="str">
        <f>"3250616377707"</f>
        <v>3250616377707</v>
      </c>
      <c r="J2948" t="s">
        <v>8380</v>
      </c>
    </row>
    <row r="2949" spans="1:10" x14ac:dyDescent="0.25">
      <c r="A2949" t="s">
        <v>8</v>
      </c>
      <c r="B2949" t="s">
        <v>8383</v>
      </c>
      <c r="C2949" t="s">
        <v>8384</v>
      </c>
      <c r="D2949">
        <v>1</v>
      </c>
      <c r="E2949" t="s">
        <v>7938</v>
      </c>
      <c r="F2949" t="s">
        <v>7939</v>
      </c>
      <c r="G2949" s="1"/>
      <c r="H2949" t="str">
        <f>"3250616379244"</f>
        <v>3250616379244</v>
      </c>
      <c r="J2949" t="s">
        <v>8305</v>
      </c>
    </row>
    <row r="2950" spans="1:10" x14ac:dyDescent="0.25">
      <c r="A2950" t="s">
        <v>8</v>
      </c>
      <c r="B2950" t="s">
        <v>8385</v>
      </c>
      <c r="C2950" t="s">
        <v>8386</v>
      </c>
      <c r="D2950">
        <v>1</v>
      </c>
      <c r="E2950" t="s">
        <v>7938</v>
      </c>
      <c r="F2950" t="s">
        <v>7939</v>
      </c>
      <c r="G2950" s="1"/>
      <c r="H2950" t="str">
        <f>"3250616377721"</f>
        <v>3250616377721</v>
      </c>
      <c r="J2950" t="s">
        <v>8310</v>
      </c>
    </row>
    <row r="2951" spans="1:10" x14ac:dyDescent="0.25">
      <c r="A2951" t="s">
        <v>8</v>
      </c>
      <c r="B2951" t="s">
        <v>8387</v>
      </c>
      <c r="C2951" t="s">
        <v>8388</v>
      </c>
      <c r="D2951">
        <v>1</v>
      </c>
      <c r="E2951" t="s">
        <v>7938</v>
      </c>
      <c r="F2951" t="s">
        <v>7939</v>
      </c>
      <c r="G2951" s="1"/>
      <c r="H2951" t="str">
        <f>"3250616377738"</f>
        <v>3250616377738</v>
      </c>
      <c r="J2951" t="s">
        <v>8310</v>
      </c>
    </row>
    <row r="2952" spans="1:10" x14ac:dyDescent="0.25">
      <c r="A2952" t="s">
        <v>8</v>
      </c>
      <c r="B2952" t="s">
        <v>8389</v>
      </c>
      <c r="C2952" t="s">
        <v>8390</v>
      </c>
      <c r="D2952">
        <v>1</v>
      </c>
      <c r="E2952" t="s">
        <v>7938</v>
      </c>
      <c r="F2952" t="s">
        <v>7939</v>
      </c>
      <c r="G2952" s="1"/>
      <c r="H2952" t="str">
        <f>"3250616377745"</f>
        <v>3250616377745</v>
      </c>
      <c r="J2952" t="s">
        <v>8310</v>
      </c>
    </row>
    <row r="2953" spans="1:10" x14ac:dyDescent="0.25">
      <c r="A2953" t="s">
        <v>8</v>
      </c>
      <c r="B2953" t="s">
        <v>8391</v>
      </c>
      <c r="C2953" t="s">
        <v>8392</v>
      </c>
      <c r="D2953">
        <v>1</v>
      </c>
      <c r="E2953" t="s">
        <v>7938</v>
      </c>
      <c r="F2953" t="s">
        <v>7939</v>
      </c>
      <c r="G2953" s="1"/>
      <c r="H2953" t="str">
        <f>"3250616377752"</f>
        <v>3250616377752</v>
      </c>
      <c r="J2953" t="s">
        <v>8374</v>
      </c>
    </row>
    <row r="2954" spans="1:10" x14ac:dyDescent="0.25">
      <c r="A2954" t="s">
        <v>8</v>
      </c>
      <c r="B2954" t="s">
        <v>8393</v>
      </c>
      <c r="C2954" t="s">
        <v>8394</v>
      </c>
      <c r="D2954">
        <v>1</v>
      </c>
      <c r="E2954" t="s">
        <v>7938</v>
      </c>
      <c r="F2954" t="s">
        <v>7939</v>
      </c>
      <c r="G2954" s="1"/>
      <c r="H2954" t="str">
        <f>"3250616377769"</f>
        <v>3250616377769</v>
      </c>
      <c r="J2954" t="s">
        <v>8377</v>
      </c>
    </row>
    <row r="2955" spans="1:10" x14ac:dyDescent="0.25">
      <c r="A2955" t="s">
        <v>8</v>
      </c>
      <c r="B2955" t="s">
        <v>8395</v>
      </c>
      <c r="C2955" t="s">
        <v>8396</v>
      </c>
      <c r="D2955">
        <v>1</v>
      </c>
      <c r="E2955" t="s">
        <v>7938</v>
      </c>
      <c r="F2955" t="s">
        <v>7939</v>
      </c>
      <c r="G2955" s="1"/>
      <c r="H2955" t="str">
        <f>"3250616132917"</f>
        <v>3250616132917</v>
      </c>
      <c r="J2955" t="s">
        <v>8397</v>
      </c>
    </row>
    <row r="2956" spans="1:10" x14ac:dyDescent="0.25">
      <c r="A2956" t="s">
        <v>8</v>
      </c>
      <c r="B2956" t="s">
        <v>8398</v>
      </c>
      <c r="C2956" t="s">
        <v>8399</v>
      </c>
      <c r="D2956">
        <v>1</v>
      </c>
      <c r="E2956" t="s">
        <v>7938</v>
      </c>
      <c r="F2956" t="s">
        <v>7939</v>
      </c>
      <c r="G2956" s="1"/>
      <c r="H2956" t="str">
        <f>"3250616132924"</f>
        <v>3250616132924</v>
      </c>
      <c r="J2956" t="s">
        <v>8400</v>
      </c>
    </row>
    <row r="2957" spans="1:10" x14ac:dyDescent="0.25">
      <c r="A2957" t="s">
        <v>8</v>
      </c>
      <c r="B2957" t="s">
        <v>8401</v>
      </c>
      <c r="C2957" t="s">
        <v>8402</v>
      </c>
      <c r="D2957">
        <v>1</v>
      </c>
      <c r="E2957" t="s">
        <v>7938</v>
      </c>
      <c r="F2957" t="s">
        <v>7939</v>
      </c>
      <c r="G2957" s="1"/>
      <c r="H2957" t="str">
        <f>"3250616132931"</f>
        <v>3250616132931</v>
      </c>
      <c r="J2957" t="s">
        <v>8403</v>
      </c>
    </row>
    <row r="2958" spans="1:10" x14ac:dyDescent="0.25">
      <c r="A2958" t="s">
        <v>8</v>
      </c>
      <c r="B2958" t="s">
        <v>8404</v>
      </c>
      <c r="C2958" t="s">
        <v>8405</v>
      </c>
      <c r="D2958">
        <v>1</v>
      </c>
      <c r="E2958" t="s">
        <v>7938</v>
      </c>
      <c r="F2958" t="s">
        <v>7939</v>
      </c>
      <c r="G2958" s="1"/>
      <c r="H2958" t="str">
        <f>"3250616132962"</f>
        <v>3250616132962</v>
      </c>
      <c r="J2958" t="s">
        <v>8284</v>
      </c>
    </row>
    <row r="2959" spans="1:10" x14ac:dyDescent="0.25">
      <c r="A2959" t="s">
        <v>8</v>
      </c>
      <c r="B2959" t="s">
        <v>8406</v>
      </c>
      <c r="C2959" t="s">
        <v>8407</v>
      </c>
      <c r="D2959">
        <v>1</v>
      </c>
      <c r="E2959" t="s">
        <v>7938</v>
      </c>
      <c r="F2959" t="s">
        <v>7939</v>
      </c>
      <c r="G2959" s="1"/>
      <c r="H2959" t="str">
        <f>"3250616132979"</f>
        <v>3250616132979</v>
      </c>
      <c r="J2959" t="s">
        <v>8408</v>
      </c>
    </row>
    <row r="2960" spans="1:10" x14ac:dyDescent="0.25">
      <c r="A2960" t="s">
        <v>8</v>
      </c>
      <c r="B2960" t="s">
        <v>8409</v>
      </c>
      <c r="C2960" t="s">
        <v>8410</v>
      </c>
      <c r="D2960">
        <v>1</v>
      </c>
      <c r="E2960" t="s">
        <v>7938</v>
      </c>
      <c r="F2960" t="s">
        <v>7939</v>
      </c>
      <c r="G2960" s="1"/>
      <c r="H2960" t="str">
        <f>"3250616132986"</f>
        <v>3250616132986</v>
      </c>
      <c r="J2960" t="s">
        <v>8411</v>
      </c>
    </row>
    <row r="2961" spans="1:10" x14ac:dyDescent="0.25">
      <c r="A2961" t="s">
        <v>8</v>
      </c>
      <c r="B2961" t="s">
        <v>8412</v>
      </c>
      <c r="C2961" t="s">
        <v>8413</v>
      </c>
      <c r="D2961">
        <v>1</v>
      </c>
      <c r="E2961" t="s">
        <v>7938</v>
      </c>
      <c r="F2961" t="s">
        <v>7939</v>
      </c>
      <c r="G2961" s="1"/>
      <c r="H2961" t="str">
        <f>"3250616133013"</f>
        <v>3250616133013</v>
      </c>
      <c r="J2961" t="s">
        <v>7309</v>
      </c>
    </row>
    <row r="2962" spans="1:10" x14ac:dyDescent="0.25">
      <c r="A2962" t="s">
        <v>8</v>
      </c>
      <c r="B2962" t="s">
        <v>8414</v>
      </c>
      <c r="C2962" t="s">
        <v>8415</v>
      </c>
      <c r="D2962">
        <v>1</v>
      </c>
      <c r="E2962" t="s">
        <v>7938</v>
      </c>
      <c r="F2962" t="s">
        <v>7939</v>
      </c>
      <c r="G2962" s="1"/>
      <c r="H2962" t="str">
        <f>"3250616379442"</f>
        <v>3250616379442</v>
      </c>
      <c r="J2962" t="s">
        <v>7423</v>
      </c>
    </row>
    <row r="2963" spans="1:10" x14ac:dyDescent="0.25">
      <c r="A2963" t="s">
        <v>8</v>
      </c>
      <c r="B2963" t="s">
        <v>8416</v>
      </c>
      <c r="C2963" t="s">
        <v>8417</v>
      </c>
      <c r="D2963">
        <v>1</v>
      </c>
      <c r="E2963" t="s">
        <v>7938</v>
      </c>
      <c r="F2963" t="s">
        <v>7939</v>
      </c>
      <c r="G2963" s="1"/>
      <c r="H2963" t="str">
        <f>"3250616378391"</f>
        <v>3250616378391</v>
      </c>
      <c r="J2963" t="s">
        <v>2991</v>
      </c>
    </row>
    <row r="2964" spans="1:10" x14ac:dyDescent="0.25">
      <c r="A2964" t="s">
        <v>8</v>
      </c>
      <c r="B2964" t="s">
        <v>8418</v>
      </c>
      <c r="C2964" t="s">
        <v>8419</v>
      </c>
      <c r="D2964">
        <v>1</v>
      </c>
      <c r="E2964" t="s">
        <v>7938</v>
      </c>
      <c r="F2964" t="s">
        <v>7939</v>
      </c>
      <c r="G2964" s="1"/>
      <c r="H2964" t="str">
        <f>"3250616378483"</f>
        <v>3250616378483</v>
      </c>
      <c r="J2964" t="s">
        <v>8272</v>
      </c>
    </row>
    <row r="2965" spans="1:10" x14ac:dyDescent="0.25">
      <c r="A2965" t="s">
        <v>8</v>
      </c>
      <c r="B2965" t="s">
        <v>8420</v>
      </c>
      <c r="C2965" t="s">
        <v>8421</v>
      </c>
      <c r="D2965">
        <v>1</v>
      </c>
      <c r="E2965" t="s">
        <v>7938</v>
      </c>
      <c r="F2965" t="s">
        <v>7939</v>
      </c>
      <c r="G2965" s="1"/>
      <c r="H2965" t="str">
        <f>"3250616378506"</f>
        <v>3250616378506</v>
      </c>
      <c r="J2965" t="s">
        <v>3018</v>
      </c>
    </row>
    <row r="2966" spans="1:10" x14ac:dyDescent="0.25">
      <c r="A2966" t="s">
        <v>8</v>
      </c>
      <c r="B2966" t="s">
        <v>8422</v>
      </c>
      <c r="C2966" t="s">
        <v>8423</v>
      </c>
      <c r="D2966">
        <v>1</v>
      </c>
      <c r="E2966" t="s">
        <v>7938</v>
      </c>
      <c r="F2966" t="s">
        <v>7939</v>
      </c>
      <c r="G2966" s="1"/>
      <c r="H2966" t="str">
        <f>"3250616379343"</f>
        <v>3250616379343</v>
      </c>
      <c r="J2966" t="s">
        <v>8424</v>
      </c>
    </row>
    <row r="2967" spans="1:10" x14ac:dyDescent="0.25">
      <c r="A2967" t="s">
        <v>8</v>
      </c>
      <c r="B2967" t="s">
        <v>8425</v>
      </c>
      <c r="C2967" t="s">
        <v>8426</v>
      </c>
      <c r="D2967">
        <v>1</v>
      </c>
      <c r="E2967" t="s">
        <v>7938</v>
      </c>
      <c r="F2967" t="s">
        <v>7939</v>
      </c>
      <c r="G2967" s="1"/>
      <c r="H2967" t="str">
        <f>"3250616379824"</f>
        <v>3250616379824</v>
      </c>
      <c r="J2967" t="s">
        <v>8281</v>
      </c>
    </row>
    <row r="2968" spans="1:10" x14ac:dyDescent="0.25">
      <c r="A2968" t="s">
        <v>8</v>
      </c>
      <c r="B2968" t="s">
        <v>8427</v>
      </c>
      <c r="C2968" t="s">
        <v>8428</v>
      </c>
      <c r="D2968">
        <v>1</v>
      </c>
      <c r="E2968" t="s">
        <v>7938</v>
      </c>
      <c r="F2968" t="s">
        <v>7939</v>
      </c>
      <c r="G2968" s="1"/>
      <c r="H2968" t="str">
        <f>"3250616379183"</f>
        <v>3250616379183</v>
      </c>
      <c r="J2968" t="s">
        <v>8289</v>
      </c>
    </row>
    <row r="2969" spans="1:10" x14ac:dyDescent="0.25">
      <c r="A2969" t="s">
        <v>8</v>
      </c>
      <c r="B2969" t="s">
        <v>8429</v>
      </c>
      <c r="C2969" t="s">
        <v>8430</v>
      </c>
      <c r="D2969">
        <v>1</v>
      </c>
      <c r="E2969" t="s">
        <v>7938</v>
      </c>
      <c r="F2969" t="s">
        <v>7939</v>
      </c>
      <c r="G2969" s="1"/>
      <c r="H2969" t="str">
        <f>"3250616379350"</f>
        <v>3250616379350</v>
      </c>
      <c r="J2969" t="s">
        <v>8343</v>
      </c>
    </row>
    <row r="2970" spans="1:10" x14ac:dyDescent="0.25">
      <c r="A2970" t="s">
        <v>8</v>
      </c>
      <c r="B2970" t="s">
        <v>8431</v>
      </c>
      <c r="C2970" t="s">
        <v>8432</v>
      </c>
      <c r="D2970">
        <v>1</v>
      </c>
      <c r="E2970" t="s">
        <v>7938</v>
      </c>
      <c r="F2970" t="s">
        <v>7939</v>
      </c>
      <c r="G2970" s="1"/>
      <c r="H2970" t="str">
        <f>"3250616378520"</f>
        <v>3250616378520</v>
      </c>
      <c r="J2970" t="s">
        <v>8433</v>
      </c>
    </row>
    <row r="2971" spans="1:10" x14ac:dyDescent="0.25">
      <c r="A2971" t="s">
        <v>8</v>
      </c>
      <c r="B2971" t="s">
        <v>8434</v>
      </c>
      <c r="C2971" t="s">
        <v>8435</v>
      </c>
      <c r="D2971">
        <v>1</v>
      </c>
      <c r="E2971" t="s">
        <v>7938</v>
      </c>
      <c r="F2971" t="s">
        <v>7939</v>
      </c>
      <c r="G2971" s="1"/>
      <c r="H2971" t="str">
        <f>"3250616379367"</f>
        <v>3250616379367</v>
      </c>
      <c r="J2971" t="s">
        <v>8424</v>
      </c>
    </row>
    <row r="2972" spans="1:10" x14ac:dyDescent="0.25">
      <c r="A2972" t="s">
        <v>8</v>
      </c>
      <c r="B2972" t="s">
        <v>8436</v>
      </c>
      <c r="C2972" t="s">
        <v>8437</v>
      </c>
      <c r="D2972">
        <v>1</v>
      </c>
      <c r="E2972" t="s">
        <v>7938</v>
      </c>
      <c r="F2972" t="s">
        <v>7939</v>
      </c>
      <c r="G2972" s="1"/>
      <c r="H2972" t="str">
        <f>"3250616378544"</f>
        <v>3250616378544</v>
      </c>
      <c r="J2972" t="s">
        <v>8348</v>
      </c>
    </row>
    <row r="2973" spans="1:10" x14ac:dyDescent="0.25">
      <c r="A2973" t="s">
        <v>8</v>
      </c>
      <c r="B2973" t="s">
        <v>8438</v>
      </c>
      <c r="C2973" t="s">
        <v>8439</v>
      </c>
      <c r="D2973">
        <v>1</v>
      </c>
      <c r="E2973" t="s">
        <v>7938</v>
      </c>
      <c r="F2973" t="s">
        <v>7939</v>
      </c>
      <c r="G2973" s="1"/>
      <c r="H2973" t="str">
        <f>"3250616378551"</f>
        <v>3250616378551</v>
      </c>
      <c r="J2973" t="s">
        <v>8348</v>
      </c>
    </row>
    <row r="2974" spans="1:10" x14ac:dyDescent="0.25">
      <c r="A2974" t="s">
        <v>8</v>
      </c>
      <c r="B2974" t="s">
        <v>8440</v>
      </c>
      <c r="C2974" t="s">
        <v>8441</v>
      </c>
      <c r="D2974">
        <v>1</v>
      </c>
      <c r="E2974" t="s">
        <v>7938</v>
      </c>
      <c r="F2974" t="s">
        <v>7939</v>
      </c>
      <c r="G2974" s="1"/>
      <c r="H2974" t="str">
        <f>"3250616379190"</f>
        <v>3250616379190</v>
      </c>
      <c r="J2974" t="s">
        <v>8433</v>
      </c>
    </row>
    <row r="2975" spans="1:10" x14ac:dyDescent="0.25">
      <c r="A2975" t="s">
        <v>8</v>
      </c>
      <c r="B2975" t="s">
        <v>8442</v>
      </c>
      <c r="C2975" t="s">
        <v>8443</v>
      </c>
      <c r="D2975">
        <v>1</v>
      </c>
      <c r="E2975" t="s">
        <v>7938</v>
      </c>
      <c r="F2975" t="s">
        <v>7939</v>
      </c>
      <c r="G2975" s="1"/>
      <c r="H2975" t="str">
        <f>"3250616379374"</f>
        <v>3250616379374</v>
      </c>
      <c r="J2975" t="s">
        <v>8444</v>
      </c>
    </row>
    <row r="2976" spans="1:10" x14ac:dyDescent="0.25">
      <c r="A2976" t="s">
        <v>8</v>
      </c>
      <c r="B2976" t="s">
        <v>8445</v>
      </c>
      <c r="C2976" t="s">
        <v>8446</v>
      </c>
      <c r="D2976">
        <v>1</v>
      </c>
      <c r="E2976" t="s">
        <v>7938</v>
      </c>
      <c r="F2976" t="s">
        <v>7939</v>
      </c>
      <c r="G2976" s="1"/>
      <c r="H2976" t="str">
        <f>"3250616378575"</f>
        <v>3250616378575</v>
      </c>
      <c r="J2976" t="s">
        <v>8433</v>
      </c>
    </row>
    <row r="2977" spans="1:10" x14ac:dyDescent="0.25">
      <c r="A2977" t="s">
        <v>8</v>
      </c>
      <c r="B2977" t="s">
        <v>8447</v>
      </c>
      <c r="C2977" t="s">
        <v>8448</v>
      </c>
      <c r="D2977">
        <v>1</v>
      </c>
      <c r="E2977" t="s">
        <v>7938</v>
      </c>
      <c r="F2977" t="s">
        <v>7939</v>
      </c>
      <c r="G2977" s="1"/>
      <c r="H2977" t="str">
        <f>"3250616379381"</f>
        <v>3250616379381</v>
      </c>
      <c r="J2977" t="s">
        <v>8449</v>
      </c>
    </row>
    <row r="2978" spans="1:10" x14ac:dyDescent="0.25">
      <c r="A2978" t="s">
        <v>8</v>
      </c>
      <c r="B2978" t="s">
        <v>8450</v>
      </c>
      <c r="C2978" t="s">
        <v>8451</v>
      </c>
      <c r="D2978">
        <v>1</v>
      </c>
      <c r="E2978" t="s">
        <v>7938</v>
      </c>
      <c r="F2978" t="s">
        <v>7939</v>
      </c>
      <c r="G2978" s="1"/>
      <c r="H2978" t="str">
        <f>"3250616379848"</f>
        <v>3250616379848</v>
      </c>
      <c r="J2978" t="s">
        <v>8305</v>
      </c>
    </row>
    <row r="2979" spans="1:10" x14ac:dyDescent="0.25">
      <c r="A2979" t="s">
        <v>8</v>
      </c>
      <c r="B2979" t="s">
        <v>8452</v>
      </c>
      <c r="C2979" t="s">
        <v>8453</v>
      </c>
      <c r="D2979">
        <v>1</v>
      </c>
      <c r="E2979" t="s">
        <v>7938</v>
      </c>
      <c r="F2979" t="s">
        <v>7939</v>
      </c>
      <c r="G2979" s="1"/>
      <c r="H2979" t="str">
        <f>"3250616379206"</f>
        <v>3250616379206</v>
      </c>
      <c r="J2979" t="s">
        <v>8305</v>
      </c>
    </row>
    <row r="2980" spans="1:10" x14ac:dyDescent="0.25">
      <c r="A2980" t="s">
        <v>8</v>
      </c>
      <c r="B2980" t="s">
        <v>8454</v>
      </c>
      <c r="C2980" t="s">
        <v>8455</v>
      </c>
      <c r="D2980">
        <v>1</v>
      </c>
      <c r="E2980" t="s">
        <v>7938</v>
      </c>
      <c r="F2980" t="s">
        <v>7939</v>
      </c>
      <c r="G2980" s="1"/>
      <c r="H2980" t="str">
        <f>"3250616379398"</f>
        <v>3250616379398</v>
      </c>
      <c r="J2980" t="s">
        <v>8343</v>
      </c>
    </row>
    <row r="2981" spans="1:10" x14ac:dyDescent="0.25">
      <c r="A2981" t="s">
        <v>8</v>
      </c>
      <c r="B2981" t="s">
        <v>8456</v>
      </c>
      <c r="C2981" t="s">
        <v>8457</v>
      </c>
      <c r="D2981">
        <v>1</v>
      </c>
      <c r="E2981" t="s">
        <v>7938</v>
      </c>
      <c r="F2981" t="s">
        <v>7939</v>
      </c>
      <c r="G2981" s="1"/>
      <c r="H2981" t="str">
        <f>"3250616378599"</f>
        <v>3250616378599</v>
      </c>
      <c r="J2981" t="s">
        <v>8380</v>
      </c>
    </row>
    <row r="2982" spans="1:10" x14ac:dyDescent="0.25">
      <c r="A2982" t="s">
        <v>8</v>
      </c>
      <c r="B2982" t="s">
        <v>8458</v>
      </c>
      <c r="C2982" t="s">
        <v>8459</v>
      </c>
      <c r="D2982">
        <v>1</v>
      </c>
      <c r="E2982" t="s">
        <v>7938</v>
      </c>
      <c r="F2982" t="s">
        <v>7939</v>
      </c>
      <c r="G2982" s="1"/>
      <c r="H2982" t="str">
        <f>"3250616378612"</f>
        <v>3250616378612</v>
      </c>
      <c r="J2982" t="s">
        <v>8380</v>
      </c>
    </row>
    <row r="2983" spans="1:10" x14ac:dyDescent="0.25">
      <c r="A2983" t="s">
        <v>8</v>
      </c>
      <c r="B2983" t="s">
        <v>8460</v>
      </c>
      <c r="C2983" t="s">
        <v>8461</v>
      </c>
      <c r="D2983">
        <v>1</v>
      </c>
      <c r="E2983" t="s">
        <v>7938</v>
      </c>
      <c r="F2983" t="s">
        <v>7939</v>
      </c>
      <c r="G2983" s="1"/>
      <c r="H2983" t="str">
        <f>"3250616379282"</f>
        <v>3250616379282</v>
      </c>
      <c r="J2983" t="s">
        <v>8462</v>
      </c>
    </row>
    <row r="2984" spans="1:10" x14ac:dyDescent="0.25">
      <c r="A2984" t="s">
        <v>8</v>
      </c>
      <c r="B2984" t="s">
        <v>8463</v>
      </c>
      <c r="C2984" t="s">
        <v>8464</v>
      </c>
      <c r="D2984">
        <v>1</v>
      </c>
      <c r="E2984" t="s">
        <v>7938</v>
      </c>
      <c r="F2984" t="s">
        <v>7939</v>
      </c>
      <c r="G2984" s="1"/>
      <c r="H2984" t="str">
        <f>"3250616379404"</f>
        <v>3250616379404</v>
      </c>
      <c r="J2984" t="s">
        <v>8444</v>
      </c>
    </row>
    <row r="2985" spans="1:10" x14ac:dyDescent="0.25">
      <c r="A2985" t="s">
        <v>8</v>
      </c>
      <c r="B2985" t="s">
        <v>8465</v>
      </c>
      <c r="C2985" t="s">
        <v>8466</v>
      </c>
      <c r="D2985">
        <v>1</v>
      </c>
      <c r="E2985" t="s">
        <v>7938</v>
      </c>
      <c r="F2985" t="s">
        <v>7939</v>
      </c>
      <c r="G2985" s="1"/>
      <c r="H2985" t="str">
        <f>"3250616379411"</f>
        <v>3250616379411</v>
      </c>
      <c r="J2985" t="s">
        <v>8467</v>
      </c>
    </row>
    <row r="2986" spans="1:10" x14ac:dyDescent="0.25">
      <c r="A2986" t="s">
        <v>8</v>
      </c>
      <c r="B2986" t="s">
        <v>8468</v>
      </c>
      <c r="C2986" t="s">
        <v>8469</v>
      </c>
      <c r="D2986">
        <v>1</v>
      </c>
      <c r="E2986" t="s">
        <v>7938</v>
      </c>
      <c r="F2986" t="s">
        <v>7939</v>
      </c>
      <c r="G2986" s="1"/>
      <c r="H2986" t="str">
        <f>"3250616377141"</f>
        <v>3250616377141</v>
      </c>
      <c r="J2986" t="s">
        <v>8470</v>
      </c>
    </row>
    <row r="2987" spans="1:10" x14ac:dyDescent="0.25">
      <c r="A2987" t="s">
        <v>8</v>
      </c>
      <c r="B2987" t="s">
        <v>8471</v>
      </c>
      <c r="C2987" t="s">
        <v>8472</v>
      </c>
      <c r="D2987">
        <v>1</v>
      </c>
      <c r="E2987" t="s">
        <v>7938</v>
      </c>
      <c r="F2987" t="s">
        <v>7939</v>
      </c>
      <c r="G2987" s="1"/>
      <c r="H2987" t="str">
        <f>"3250616377158"</f>
        <v>3250616377158</v>
      </c>
      <c r="J2987" t="s">
        <v>8470</v>
      </c>
    </row>
    <row r="2988" spans="1:10" x14ac:dyDescent="0.25">
      <c r="A2988" t="s">
        <v>8</v>
      </c>
      <c r="B2988" t="s">
        <v>8473</v>
      </c>
      <c r="C2988" t="s">
        <v>8474</v>
      </c>
      <c r="D2988">
        <v>1</v>
      </c>
      <c r="E2988" t="s">
        <v>7938</v>
      </c>
      <c r="F2988" t="s">
        <v>7939</v>
      </c>
      <c r="G2988" s="1"/>
      <c r="H2988" t="str">
        <f>"3250616377165"</f>
        <v>3250616377165</v>
      </c>
      <c r="J2988" t="s">
        <v>8475</v>
      </c>
    </row>
    <row r="2989" spans="1:10" x14ac:dyDescent="0.25">
      <c r="A2989" t="s">
        <v>8</v>
      </c>
      <c r="B2989" t="s">
        <v>8476</v>
      </c>
      <c r="C2989" t="s">
        <v>8477</v>
      </c>
      <c r="D2989">
        <v>1</v>
      </c>
      <c r="E2989" t="s">
        <v>7938</v>
      </c>
      <c r="F2989" t="s">
        <v>7939</v>
      </c>
      <c r="G2989" s="1"/>
      <c r="H2989" t="str">
        <f>"3250616377172"</f>
        <v>3250616377172</v>
      </c>
      <c r="J2989" t="s">
        <v>8478</v>
      </c>
    </row>
    <row r="2990" spans="1:10" x14ac:dyDescent="0.25">
      <c r="A2990" t="s">
        <v>8</v>
      </c>
      <c r="B2990" t="s">
        <v>8479</v>
      </c>
      <c r="C2990" t="s">
        <v>8480</v>
      </c>
      <c r="D2990">
        <v>1</v>
      </c>
      <c r="E2990" t="s">
        <v>7938</v>
      </c>
      <c r="F2990" t="s">
        <v>7939</v>
      </c>
      <c r="G2990" s="1"/>
      <c r="H2990" t="str">
        <f>"3250616377189"</f>
        <v>3250616377189</v>
      </c>
      <c r="J2990" t="s">
        <v>8481</v>
      </c>
    </row>
    <row r="2991" spans="1:10" x14ac:dyDescent="0.25">
      <c r="A2991" t="s">
        <v>8</v>
      </c>
      <c r="B2991" t="s">
        <v>8482</v>
      </c>
      <c r="C2991" t="s">
        <v>8483</v>
      </c>
      <c r="D2991">
        <v>1</v>
      </c>
      <c r="E2991" t="s">
        <v>7938</v>
      </c>
      <c r="F2991" t="s">
        <v>7939</v>
      </c>
      <c r="G2991" s="1"/>
      <c r="H2991" t="str">
        <f>"3250616377196"</f>
        <v>3250616377196</v>
      </c>
      <c r="J2991" t="s">
        <v>8475</v>
      </c>
    </row>
    <row r="2992" spans="1:10" x14ac:dyDescent="0.25">
      <c r="A2992" t="s">
        <v>8</v>
      </c>
      <c r="B2992" t="s">
        <v>8484</v>
      </c>
      <c r="C2992" t="s">
        <v>8485</v>
      </c>
      <c r="D2992">
        <v>1</v>
      </c>
      <c r="E2992" t="s">
        <v>7938</v>
      </c>
      <c r="F2992" t="s">
        <v>7939</v>
      </c>
      <c r="G2992" s="1"/>
      <c r="H2992" t="str">
        <f>"3250616379459"</f>
        <v>3250616379459</v>
      </c>
      <c r="J2992" t="s">
        <v>8260</v>
      </c>
    </row>
    <row r="2993" spans="1:10" x14ac:dyDescent="0.25">
      <c r="A2993" t="s">
        <v>8</v>
      </c>
      <c r="B2993" t="s">
        <v>8486</v>
      </c>
      <c r="C2993" t="s">
        <v>8487</v>
      </c>
      <c r="D2993">
        <v>1</v>
      </c>
      <c r="E2993" t="s">
        <v>7938</v>
      </c>
      <c r="F2993" t="s">
        <v>7939</v>
      </c>
      <c r="G2993" s="1"/>
      <c r="H2993" t="str">
        <f>"3250616378414"</f>
        <v>3250616378414</v>
      </c>
      <c r="J2993" t="s">
        <v>3008</v>
      </c>
    </row>
    <row r="2994" spans="1:10" x14ac:dyDescent="0.25">
      <c r="A2994" t="s">
        <v>8</v>
      </c>
      <c r="B2994" t="s">
        <v>8488</v>
      </c>
      <c r="C2994" t="s">
        <v>8489</v>
      </c>
      <c r="D2994">
        <v>1</v>
      </c>
      <c r="E2994" t="s">
        <v>7938</v>
      </c>
      <c r="F2994" t="s">
        <v>7939</v>
      </c>
      <c r="G2994" s="1"/>
      <c r="H2994" t="str">
        <f>"3250616377202"</f>
        <v>3250616377202</v>
      </c>
      <c r="J2994" t="s">
        <v>8470</v>
      </c>
    </row>
    <row r="2995" spans="1:10" x14ac:dyDescent="0.25">
      <c r="A2995" t="s">
        <v>8</v>
      </c>
      <c r="B2995" t="s">
        <v>8490</v>
      </c>
      <c r="C2995" t="s">
        <v>8491</v>
      </c>
      <c r="D2995">
        <v>1</v>
      </c>
      <c r="E2995" t="s">
        <v>7938</v>
      </c>
      <c r="F2995" t="s">
        <v>7939</v>
      </c>
      <c r="G2995" s="1"/>
      <c r="H2995" t="str">
        <f>"3250616379213"</f>
        <v>3250616379213</v>
      </c>
      <c r="J2995" t="s">
        <v>8492</v>
      </c>
    </row>
    <row r="2996" spans="1:10" x14ac:dyDescent="0.25">
      <c r="A2996" t="s">
        <v>8</v>
      </c>
      <c r="B2996" t="s">
        <v>8493</v>
      </c>
      <c r="C2996" t="s">
        <v>8494</v>
      </c>
      <c r="D2996">
        <v>1</v>
      </c>
      <c r="E2996" t="s">
        <v>7938</v>
      </c>
      <c r="F2996" t="s">
        <v>7939</v>
      </c>
      <c r="G2996" s="1"/>
      <c r="H2996" t="str">
        <f>"3250616377219"</f>
        <v>3250616377219</v>
      </c>
      <c r="J2996" t="s">
        <v>8495</v>
      </c>
    </row>
    <row r="2997" spans="1:10" x14ac:dyDescent="0.25">
      <c r="A2997" t="s">
        <v>8</v>
      </c>
      <c r="B2997" t="s">
        <v>8496</v>
      </c>
      <c r="C2997" t="s">
        <v>8497</v>
      </c>
      <c r="D2997">
        <v>1</v>
      </c>
      <c r="E2997" t="s">
        <v>7938</v>
      </c>
      <c r="F2997" t="s">
        <v>7939</v>
      </c>
      <c r="G2997" s="1"/>
      <c r="H2997" t="str">
        <f>"3250616377226"</f>
        <v>3250616377226</v>
      </c>
      <c r="J2997" t="s">
        <v>8498</v>
      </c>
    </row>
    <row r="2998" spans="1:10" x14ac:dyDescent="0.25">
      <c r="A2998" t="s">
        <v>8</v>
      </c>
      <c r="B2998" t="s">
        <v>8499</v>
      </c>
      <c r="C2998" t="s">
        <v>8500</v>
      </c>
      <c r="D2998">
        <v>1</v>
      </c>
      <c r="E2998" t="s">
        <v>7938</v>
      </c>
      <c r="F2998" t="s">
        <v>7939</v>
      </c>
      <c r="G2998" s="1"/>
      <c r="H2998" t="str">
        <f>"3250616379251"</f>
        <v>3250616379251</v>
      </c>
      <c r="J2998" t="s">
        <v>8498</v>
      </c>
    </row>
    <row r="2999" spans="1:10" x14ac:dyDescent="0.25">
      <c r="A2999" t="s">
        <v>8</v>
      </c>
      <c r="B2999" t="s">
        <v>8501</v>
      </c>
      <c r="C2999" t="s">
        <v>8502</v>
      </c>
      <c r="D2999">
        <v>1</v>
      </c>
      <c r="E2999" t="s">
        <v>7938</v>
      </c>
      <c r="F2999" t="s">
        <v>7939</v>
      </c>
      <c r="G2999" s="1"/>
      <c r="H2999" t="str">
        <f>"3250616379862"</f>
        <v>3250616379862</v>
      </c>
      <c r="J2999" t="s">
        <v>8498</v>
      </c>
    </row>
    <row r="3000" spans="1:10" x14ac:dyDescent="0.25">
      <c r="A3000" t="s">
        <v>8</v>
      </c>
      <c r="B3000" t="s">
        <v>8503</v>
      </c>
      <c r="C3000" t="s">
        <v>8504</v>
      </c>
      <c r="D3000">
        <v>1</v>
      </c>
      <c r="E3000" t="s">
        <v>7938</v>
      </c>
      <c r="F3000" t="s">
        <v>7939</v>
      </c>
      <c r="G3000" s="1"/>
      <c r="H3000" t="str">
        <f>"3250616379220"</f>
        <v>3250616379220</v>
      </c>
      <c r="J3000" t="s">
        <v>8462</v>
      </c>
    </row>
    <row r="3001" spans="1:10" x14ac:dyDescent="0.25">
      <c r="A3001" t="s">
        <v>8</v>
      </c>
      <c r="B3001" t="s">
        <v>8505</v>
      </c>
      <c r="C3001" t="s">
        <v>8506</v>
      </c>
      <c r="D3001">
        <v>1</v>
      </c>
      <c r="E3001" t="s">
        <v>7938</v>
      </c>
      <c r="F3001" t="s">
        <v>7939</v>
      </c>
      <c r="G3001" s="1"/>
      <c r="H3001" t="str">
        <f>"3250616377233"</f>
        <v>3250616377233</v>
      </c>
      <c r="J3001" t="s">
        <v>8495</v>
      </c>
    </row>
    <row r="3002" spans="1:10" x14ac:dyDescent="0.25">
      <c r="A3002" t="s">
        <v>8</v>
      </c>
      <c r="B3002" t="s">
        <v>8507</v>
      </c>
      <c r="C3002" t="s">
        <v>8508</v>
      </c>
      <c r="D3002">
        <v>1</v>
      </c>
      <c r="E3002" t="s">
        <v>7938</v>
      </c>
      <c r="F3002" t="s">
        <v>7939</v>
      </c>
      <c r="G3002" s="1"/>
      <c r="H3002" t="str">
        <f>"3250616377257"</f>
        <v>3250616377257</v>
      </c>
      <c r="J3002" t="s">
        <v>8509</v>
      </c>
    </row>
    <row r="3003" spans="1:10" x14ac:dyDescent="0.25">
      <c r="A3003" t="s">
        <v>8</v>
      </c>
      <c r="B3003" t="s">
        <v>8510</v>
      </c>
      <c r="C3003" t="s">
        <v>8511</v>
      </c>
      <c r="D3003">
        <v>1</v>
      </c>
      <c r="E3003" t="s">
        <v>7938</v>
      </c>
      <c r="F3003" t="s">
        <v>7939</v>
      </c>
      <c r="G3003" s="1"/>
      <c r="H3003" t="str">
        <f>"3250616377264"</f>
        <v>3250616377264</v>
      </c>
      <c r="J3003" t="s">
        <v>8512</v>
      </c>
    </row>
    <row r="3004" spans="1:10" x14ac:dyDescent="0.25">
      <c r="A3004" t="s">
        <v>8</v>
      </c>
      <c r="B3004" t="s">
        <v>8513</v>
      </c>
      <c r="C3004" t="s">
        <v>8514</v>
      </c>
      <c r="D3004">
        <v>1</v>
      </c>
      <c r="E3004" t="s">
        <v>7938</v>
      </c>
      <c r="F3004" t="s">
        <v>7939</v>
      </c>
      <c r="G3004" s="1"/>
      <c r="H3004" t="str">
        <f>"3250616379466"</f>
        <v>3250616379466</v>
      </c>
      <c r="J3004" t="s">
        <v>8515</v>
      </c>
    </row>
    <row r="3005" spans="1:10" x14ac:dyDescent="0.25">
      <c r="A3005" t="s">
        <v>8</v>
      </c>
      <c r="B3005" t="s">
        <v>8516</v>
      </c>
      <c r="C3005" t="s">
        <v>8517</v>
      </c>
      <c r="D3005">
        <v>1</v>
      </c>
      <c r="E3005" t="s">
        <v>7938</v>
      </c>
      <c r="F3005" t="s">
        <v>7939</v>
      </c>
      <c r="G3005" s="1"/>
      <c r="H3005" t="str">
        <f>"3250616378445"</f>
        <v>3250616378445</v>
      </c>
      <c r="J3005" t="s">
        <v>7423</v>
      </c>
    </row>
    <row r="3006" spans="1:10" x14ac:dyDescent="0.25">
      <c r="A3006" t="s">
        <v>8</v>
      </c>
      <c r="B3006" t="s">
        <v>8518</v>
      </c>
      <c r="C3006" t="s">
        <v>8519</v>
      </c>
      <c r="D3006">
        <v>1</v>
      </c>
      <c r="E3006" t="s">
        <v>7938</v>
      </c>
      <c r="F3006" t="s">
        <v>7939</v>
      </c>
      <c r="G3006" s="1"/>
      <c r="H3006" t="str">
        <f>"3250616377288"</f>
        <v>3250616377288</v>
      </c>
      <c r="J3006" t="s">
        <v>8512</v>
      </c>
    </row>
    <row r="3007" spans="1:10" x14ac:dyDescent="0.25">
      <c r="A3007" t="s">
        <v>8</v>
      </c>
      <c r="B3007" t="s">
        <v>8520</v>
      </c>
      <c r="C3007" t="s">
        <v>8521</v>
      </c>
      <c r="D3007">
        <v>1</v>
      </c>
      <c r="E3007" t="s">
        <v>7938</v>
      </c>
      <c r="F3007" t="s">
        <v>7939</v>
      </c>
      <c r="G3007" s="1"/>
      <c r="H3007" t="str">
        <f>"3250616379879"</f>
        <v>3250616379879</v>
      </c>
      <c r="J3007" t="s">
        <v>8522</v>
      </c>
    </row>
    <row r="3008" spans="1:10" x14ac:dyDescent="0.25">
      <c r="A3008" t="s">
        <v>8</v>
      </c>
      <c r="B3008" t="s">
        <v>8523</v>
      </c>
      <c r="C3008" t="s">
        <v>8524</v>
      </c>
      <c r="D3008">
        <v>1</v>
      </c>
      <c r="E3008" t="s">
        <v>7938</v>
      </c>
      <c r="F3008" t="s">
        <v>7939</v>
      </c>
      <c r="G3008" s="1"/>
      <c r="H3008" t="str">
        <f>"3250616380592"</f>
        <v>3250616380592</v>
      </c>
      <c r="J3008" t="s">
        <v>8525</v>
      </c>
    </row>
    <row r="3009" spans="1:10" x14ac:dyDescent="0.25">
      <c r="A3009" t="s">
        <v>8</v>
      </c>
      <c r="B3009" t="s">
        <v>8526</v>
      </c>
      <c r="C3009" t="s">
        <v>8527</v>
      </c>
      <c r="D3009">
        <v>1</v>
      </c>
      <c r="E3009" t="s">
        <v>7938</v>
      </c>
      <c r="F3009" t="s">
        <v>7939</v>
      </c>
      <c r="G3009" s="1"/>
      <c r="H3009" t="str">
        <f>"3250616380615"</f>
        <v>3250616380615</v>
      </c>
      <c r="J3009" t="s">
        <v>8528</v>
      </c>
    </row>
    <row r="3010" spans="1:10" x14ac:dyDescent="0.25">
      <c r="A3010" t="s">
        <v>8</v>
      </c>
      <c r="B3010" t="s">
        <v>8529</v>
      </c>
      <c r="C3010" t="s">
        <v>8530</v>
      </c>
      <c r="D3010">
        <v>1</v>
      </c>
      <c r="E3010" t="s">
        <v>7938</v>
      </c>
      <c r="F3010" t="s">
        <v>7939</v>
      </c>
      <c r="G3010" s="1"/>
      <c r="H3010" t="str">
        <f>"3250610703304"</f>
        <v>3250610703304</v>
      </c>
      <c r="J3010" t="s">
        <v>8531</v>
      </c>
    </row>
    <row r="3011" spans="1:10" x14ac:dyDescent="0.25">
      <c r="A3011" t="s">
        <v>8</v>
      </c>
      <c r="B3011" t="s">
        <v>8532</v>
      </c>
      <c r="C3011" t="s">
        <v>8533</v>
      </c>
      <c r="D3011">
        <v>1</v>
      </c>
      <c r="E3011" t="s">
        <v>7938</v>
      </c>
      <c r="F3011" t="s">
        <v>7939</v>
      </c>
      <c r="G3011" s="1"/>
      <c r="H3011" t="str">
        <f>"3250610703359"</f>
        <v>3250610703359</v>
      </c>
      <c r="J3011" t="s">
        <v>8534</v>
      </c>
    </row>
    <row r="3012" spans="1:10" x14ac:dyDescent="0.25">
      <c r="A3012" t="s">
        <v>8</v>
      </c>
      <c r="B3012" t="s">
        <v>8535</v>
      </c>
      <c r="C3012" t="s">
        <v>8536</v>
      </c>
      <c r="D3012">
        <v>1</v>
      </c>
      <c r="E3012" t="s">
        <v>7938</v>
      </c>
      <c r="F3012" t="s">
        <v>7939</v>
      </c>
      <c r="G3012" s="1"/>
      <c r="H3012" t="str">
        <f>"3250616380738"</f>
        <v>3250616380738</v>
      </c>
      <c r="J3012" t="s">
        <v>8537</v>
      </c>
    </row>
    <row r="3013" spans="1:10" x14ac:dyDescent="0.25">
      <c r="A3013" t="s">
        <v>8</v>
      </c>
      <c r="B3013" t="s">
        <v>8538</v>
      </c>
      <c r="C3013" t="s">
        <v>8539</v>
      </c>
      <c r="D3013">
        <v>1</v>
      </c>
      <c r="E3013" t="s">
        <v>7938</v>
      </c>
      <c r="F3013" t="s">
        <v>7939</v>
      </c>
      <c r="G3013" s="1"/>
      <c r="H3013" t="str">
        <f>"3250616380783"</f>
        <v>3250616380783</v>
      </c>
      <c r="J3013" t="s">
        <v>8540</v>
      </c>
    </row>
    <row r="3014" spans="1:10" x14ac:dyDescent="0.25">
      <c r="A3014" t="s">
        <v>8</v>
      </c>
      <c r="B3014" t="s">
        <v>8541</v>
      </c>
      <c r="C3014" t="s">
        <v>8542</v>
      </c>
      <c r="D3014">
        <v>1</v>
      </c>
      <c r="E3014" t="s">
        <v>7938</v>
      </c>
      <c r="F3014" t="s">
        <v>7939</v>
      </c>
      <c r="G3014" s="1"/>
      <c r="H3014" t="str">
        <f>"3250616380813"</f>
        <v>3250616380813</v>
      </c>
      <c r="J3014" t="s">
        <v>8543</v>
      </c>
    </row>
    <row r="3015" spans="1:10" x14ac:dyDescent="0.25">
      <c r="A3015" t="s">
        <v>8</v>
      </c>
      <c r="B3015" t="s">
        <v>8544</v>
      </c>
      <c r="C3015" t="s">
        <v>8545</v>
      </c>
      <c r="D3015">
        <v>1</v>
      </c>
      <c r="E3015" t="s">
        <v>7938</v>
      </c>
      <c r="F3015" t="s">
        <v>7939</v>
      </c>
      <c r="G3015" s="1"/>
      <c r="H3015" t="str">
        <f>"3250616380820"</f>
        <v>3250616380820</v>
      </c>
      <c r="J3015" t="s">
        <v>8543</v>
      </c>
    </row>
    <row r="3016" spans="1:10" x14ac:dyDescent="0.25">
      <c r="A3016" t="s">
        <v>8</v>
      </c>
      <c r="B3016" t="s">
        <v>8546</v>
      </c>
      <c r="C3016" t="s">
        <v>8547</v>
      </c>
      <c r="D3016">
        <v>1</v>
      </c>
      <c r="E3016" t="s">
        <v>7938</v>
      </c>
      <c r="F3016" t="s">
        <v>7939</v>
      </c>
      <c r="G3016" s="1"/>
      <c r="H3016" t="str">
        <f>"3250610013601"</f>
        <v>3250610013601</v>
      </c>
      <c r="J3016" t="s">
        <v>1733</v>
      </c>
    </row>
    <row r="3017" spans="1:10" x14ac:dyDescent="0.25">
      <c r="A3017" t="s">
        <v>8</v>
      </c>
      <c r="B3017" t="s">
        <v>8548</v>
      </c>
      <c r="C3017" t="s">
        <v>8549</v>
      </c>
      <c r="D3017">
        <v>1</v>
      </c>
      <c r="E3017" t="s">
        <v>7938</v>
      </c>
      <c r="F3017" t="s">
        <v>7939</v>
      </c>
      <c r="G3017" s="1"/>
      <c r="H3017" t="str">
        <f>"3250610013618"</f>
        <v>3250610013618</v>
      </c>
      <c r="J3017" t="s">
        <v>8550</v>
      </c>
    </row>
    <row r="3018" spans="1:10" x14ac:dyDescent="0.25">
      <c r="A3018" t="s">
        <v>8</v>
      </c>
      <c r="B3018" t="s">
        <v>8551</v>
      </c>
      <c r="C3018" t="s">
        <v>8552</v>
      </c>
      <c r="D3018">
        <v>1</v>
      </c>
      <c r="E3018" t="s">
        <v>7938</v>
      </c>
      <c r="F3018" t="s">
        <v>7939</v>
      </c>
      <c r="G3018" s="1"/>
      <c r="H3018" t="str">
        <f>"3250610013830"</f>
        <v>3250610013830</v>
      </c>
      <c r="J3018" t="s">
        <v>8553</v>
      </c>
    </row>
    <row r="3019" spans="1:10" x14ac:dyDescent="0.25">
      <c r="A3019" t="s">
        <v>8</v>
      </c>
      <c r="B3019" t="s">
        <v>8554</v>
      </c>
      <c r="C3019" t="s">
        <v>8555</v>
      </c>
      <c r="D3019">
        <v>1</v>
      </c>
      <c r="E3019" t="s">
        <v>7938</v>
      </c>
      <c r="F3019" t="s">
        <v>7939</v>
      </c>
      <c r="G3019" s="1"/>
      <c r="H3019" t="str">
        <f>"3250610013632"</f>
        <v>3250610013632</v>
      </c>
      <c r="J3019" t="s">
        <v>8556</v>
      </c>
    </row>
    <row r="3020" spans="1:10" x14ac:dyDescent="0.25">
      <c r="A3020" t="s">
        <v>8</v>
      </c>
      <c r="B3020" t="s">
        <v>8557</v>
      </c>
      <c r="C3020" t="s">
        <v>8558</v>
      </c>
      <c r="D3020">
        <v>1</v>
      </c>
      <c r="E3020" t="s">
        <v>7938</v>
      </c>
      <c r="F3020" t="s">
        <v>7939</v>
      </c>
      <c r="G3020" s="1"/>
      <c r="H3020" t="str">
        <f>"3250610013649"</f>
        <v>3250610013649</v>
      </c>
      <c r="J3020" t="s">
        <v>8559</v>
      </c>
    </row>
    <row r="3021" spans="1:10" x14ac:dyDescent="0.25">
      <c r="A3021" t="s">
        <v>8</v>
      </c>
      <c r="B3021" t="s">
        <v>8560</v>
      </c>
      <c r="C3021" t="s">
        <v>8561</v>
      </c>
      <c r="D3021">
        <v>1</v>
      </c>
      <c r="E3021" t="s">
        <v>7938</v>
      </c>
      <c r="F3021" t="s">
        <v>7939</v>
      </c>
      <c r="G3021" s="1"/>
      <c r="H3021" t="str">
        <f>"3250610013663"</f>
        <v>3250610013663</v>
      </c>
      <c r="J3021" t="s">
        <v>8562</v>
      </c>
    </row>
    <row r="3022" spans="1:10" x14ac:dyDescent="0.25">
      <c r="A3022" t="s">
        <v>8</v>
      </c>
      <c r="B3022" t="s">
        <v>8563</v>
      </c>
      <c r="C3022" t="s">
        <v>8564</v>
      </c>
      <c r="D3022">
        <v>1</v>
      </c>
      <c r="E3022" t="s">
        <v>7938</v>
      </c>
      <c r="F3022" t="s">
        <v>7939</v>
      </c>
      <c r="G3022" s="1"/>
      <c r="H3022" t="str">
        <f>"3250610013670"</f>
        <v>3250610013670</v>
      </c>
      <c r="J3022" t="s">
        <v>8565</v>
      </c>
    </row>
    <row r="3023" spans="1:10" x14ac:dyDescent="0.25">
      <c r="A3023" t="s">
        <v>8</v>
      </c>
      <c r="B3023" t="s">
        <v>8566</v>
      </c>
      <c r="C3023" t="s">
        <v>8567</v>
      </c>
      <c r="D3023">
        <v>1</v>
      </c>
      <c r="E3023" t="s">
        <v>7938</v>
      </c>
      <c r="F3023" t="s">
        <v>7939</v>
      </c>
      <c r="G3023" s="1"/>
      <c r="H3023" t="str">
        <f>"3250610013687"</f>
        <v>3250610013687</v>
      </c>
      <c r="J3023" t="s">
        <v>8568</v>
      </c>
    </row>
    <row r="3024" spans="1:10" x14ac:dyDescent="0.25">
      <c r="A3024" t="s">
        <v>8</v>
      </c>
      <c r="B3024" t="s">
        <v>8569</v>
      </c>
      <c r="C3024" t="s">
        <v>8570</v>
      </c>
      <c r="D3024">
        <v>1</v>
      </c>
      <c r="E3024" t="s">
        <v>7938</v>
      </c>
      <c r="F3024" t="s">
        <v>7939</v>
      </c>
      <c r="G3024" s="1"/>
      <c r="H3024" t="str">
        <f>"3250610013694"</f>
        <v>3250610013694</v>
      </c>
      <c r="J3024" t="s">
        <v>8565</v>
      </c>
    </row>
    <row r="3025" spans="1:10" x14ac:dyDescent="0.25">
      <c r="A3025" t="s">
        <v>8</v>
      </c>
      <c r="B3025" t="s">
        <v>8571</v>
      </c>
      <c r="C3025" t="s">
        <v>8572</v>
      </c>
      <c r="D3025">
        <v>1</v>
      </c>
      <c r="E3025" t="s">
        <v>7938</v>
      </c>
      <c r="F3025" t="s">
        <v>7939</v>
      </c>
      <c r="G3025" s="1"/>
      <c r="H3025" t="str">
        <f>"3250610013700"</f>
        <v>3250610013700</v>
      </c>
      <c r="J3025" t="s">
        <v>8573</v>
      </c>
    </row>
    <row r="3026" spans="1:10" x14ac:dyDescent="0.25">
      <c r="A3026" t="s">
        <v>8</v>
      </c>
      <c r="B3026" t="s">
        <v>8574</v>
      </c>
      <c r="C3026" t="s">
        <v>8575</v>
      </c>
      <c r="D3026">
        <v>1</v>
      </c>
      <c r="E3026" t="s">
        <v>7938</v>
      </c>
      <c r="F3026" t="s">
        <v>7939</v>
      </c>
      <c r="G3026" s="1"/>
      <c r="H3026" t="str">
        <f>"3250610013717"</f>
        <v>3250610013717</v>
      </c>
      <c r="J3026" t="s">
        <v>8576</v>
      </c>
    </row>
    <row r="3027" spans="1:10" x14ac:dyDescent="0.25">
      <c r="A3027" t="s">
        <v>8</v>
      </c>
      <c r="B3027" t="s">
        <v>8577</v>
      </c>
      <c r="C3027" t="s">
        <v>8578</v>
      </c>
      <c r="D3027">
        <v>1</v>
      </c>
      <c r="E3027" t="s">
        <v>7938</v>
      </c>
      <c r="F3027" t="s">
        <v>7939</v>
      </c>
      <c r="G3027" s="1"/>
      <c r="H3027" t="str">
        <f>"3250610014479"</f>
        <v>3250610014479</v>
      </c>
      <c r="J3027" t="s">
        <v>1456</v>
      </c>
    </row>
    <row r="3028" spans="1:10" x14ac:dyDescent="0.25">
      <c r="A3028" t="s">
        <v>8</v>
      </c>
      <c r="B3028" t="s">
        <v>8579</v>
      </c>
      <c r="C3028" t="s">
        <v>8580</v>
      </c>
      <c r="D3028">
        <v>1</v>
      </c>
      <c r="E3028" t="s">
        <v>7938</v>
      </c>
      <c r="F3028" t="s">
        <v>7939</v>
      </c>
      <c r="G3028" s="1"/>
      <c r="H3028" t="str">
        <f>"3250610014486"</f>
        <v>3250610014486</v>
      </c>
      <c r="J3028" t="s">
        <v>1456</v>
      </c>
    </row>
    <row r="3029" spans="1:10" x14ac:dyDescent="0.25">
      <c r="A3029" t="s">
        <v>8</v>
      </c>
      <c r="B3029" t="s">
        <v>8581</v>
      </c>
      <c r="C3029" t="s">
        <v>8582</v>
      </c>
      <c r="D3029">
        <v>1</v>
      </c>
      <c r="E3029" t="s">
        <v>7938</v>
      </c>
      <c r="F3029" t="s">
        <v>7939</v>
      </c>
      <c r="G3029" s="1"/>
      <c r="H3029" t="str">
        <f>"3250610021798"</f>
        <v>3250610021798</v>
      </c>
      <c r="J3029" t="s">
        <v>8583</v>
      </c>
    </row>
    <row r="3030" spans="1:10" x14ac:dyDescent="0.25">
      <c r="A3030" t="s">
        <v>8</v>
      </c>
      <c r="B3030" t="s">
        <v>8584</v>
      </c>
      <c r="C3030" t="s">
        <v>8585</v>
      </c>
      <c r="D3030">
        <v>1</v>
      </c>
      <c r="E3030" t="s">
        <v>7938</v>
      </c>
      <c r="F3030" t="s">
        <v>7939</v>
      </c>
      <c r="G3030" s="1"/>
      <c r="H3030" t="str">
        <f>"3250610021804"</f>
        <v>3250610021804</v>
      </c>
      <c r="J3030" t="s">
        <v>8586</v>
      </c>
    </row>
    <row r="3031" spans="1:10" x14ac:dyDescent="0.25">
      <c r="A3031" t="s">
        <v>8</v>
      </c>
      <c r="B3031" t="s">
        <v>8587</v>
      </c>
      <c r="C3031" t="s">
        <v>8588</v>
      </c>
      <c r="D3031">
        <v>1</v>
      </c>
      <c r="E3031" t="s">
        <v>7938</v>
      </c>
      <c r="F3031" t="s">
        <v>7939</v>
      </c>
      <c r="G3031" s="1"/>
      <c r="H3031" t="str">
        <f>"3250610021811"</f>
        <v>3250610021811</v>
      </c>
      <c r="J3031" t="s">
        <v>8586</v>
      </c>
    </row>
    <row r="3032" spans="1:10" x14ac:dyDescent="0.25">
      <c r="A3032" t="s">
        <v>8</v>
      </c>
      <c r="B3032" t="s">
        <v>8589</v>
      </c>
      <c r="C3032" t="s">
        <v>8590</v>
      </c>
      <c r="D3032">
        <v>1</v>
      </c>
      <c r="E3032" t="s">
        <v>7938</v>
      </c>
      <c r="F3032" t="s">
        <v>7939</v>
      </c>
      <c r="G3032" s="1"/>
      <c r="H3032" t="str">
        <f>"3250610026526"</f>
        <v>3250610026526</v>
      </c>
      <c r="J3032" t="s">
        <v>8591</v>
      </c>
    </row>
    <row r="3033" spans="1:10" x14ac:dyDescent="0.25">
      <c r="A3033" t="s">
        <v>8</v>
      </c>
      <c r="B3033" t="s">
        <v>8592</v>
      </c>
      <c r="C3033" t="s">
        <v>8593</v>
      </c>
      <c r="D3033">
        <v>1</v>
      </c>
      <c r="E3033" t="s">
        <v>7938</v>
      </c>
      <c r="F3033" t="s">
        <v>7939</v>
      </c>
      <c r="G3033" s="1"/>
      <c r="H3033" t="str">
        <f>"3250610026533"</f>
        <v>3250610026533</v>
      </c>
      <c r="J3033" t="s">
        <v>8591</v>
      </c>
    </row>
    <row r="3034" spans="1:10" x14ac:dyDescent="0.25">
      <c r="A3034" t="s">
        <v>8</v>
      </c>
      <c r="B3034" t="s">
        <v>8594</v>
      </c>
      <c r="C3034" t="s">
        <v>8595</v>
      </c>
      <c r="D3034">
        <v>1</v>
      </c>
      <c r="E3034" t="s">
        <v>7938</v>
      </c>
      <c r="F3034" t="s">
        <v>7939</v>
      </c>
      <c r="G3034" s="1"/>
      <c r="H3034" t="str">
        <f>"3250610026540"</f>
        <v>3250610026540</v>
      </c>
      <c r="J3034" t="s">
        <v>8596</v>
      </c>
    </row>
    <row r="3035" spans="1:10" x14ac:dyDescent="0.25">
      <c r="A3035" t="s">
        <v>8</v>
      </c>
      <c r="B3035" t="s">
        <v>8597</v>
      </c>
      <c r="C3035" t="s">
        <v>8598</v>
      </c>
      <c r="D3035">
        <v>1</v>
      </c>
      <c r="E3035" t="s">
        <v>7938</v>
      </c>
      <c r="F3035" t="s">
        <v>7939</v>
      </c>
      <c r="G3035" s="1"/>
      <c r="H3035" t="str">
        <f>"3250610026564"</f>
        <v>3250610026564</v>
      </c>
      <c r="J3035" t="s">
        <v>8596</v>
      </c>
    </row>
    <row r="3036" spans="1:10" x14ac:dyDescent="0.25">
      <c r="A3036" t="s">
        <v>8</v>
      </c>
      <c r="B3036" t="s">
        <v>8599</v>
      </c>
      <c r="C3036" t="s">
        <v>8600</v>
      </c>
      <c r="D3036">
        <v>1</v>
      </c>
      <c r="E3036" t="s">
        <v>7938</v>
      </c>
      <c r="F3036" t="s">
        <v>7939</v>
      </c>
      <c r="G3036" s="1"/>
      <c r="H3036" t="str">
        <f>"3250610026557"</f>
        <v>3250610026557</v>
      </c>
      <c r="J3036" t="s">
        <v>8601</v>
      </c>
    </row>
    <row r="3037" spans="1:10" x14ac:dyDescent="0.25">
      <c r="A3037" t="s">
        <v>8</v>
      </c>
      <c r="B3037" t="s">
        <v>8602</v>
      </c>
      <c r="C3037" t="s">
        <v>8603</v>
      </c>
      <c r="D3037">
        <v>1</v>
      </c>
      <c r="E3037" t="s">
        <v>7938</v>
      </c>
      <c r="F3037" t="s">
        <v>7939</v>
      </c>
      <c r="G3037" s="1"/>
      <c r="H3037" t="str">
        <f>"3250610026571"</f>
        <v>3250610026571</v>
      </c>
      <c r="J3037" t="s">
        <v>8601</v>
      </c>
    </row>
    <row r="3038" spans="1:10" x14ac:dyDescent="0.25">
      <c r="A3038" t="s">
        <v>8</v>
      </c>
      <c r="B3038" t="s">
        <v>8604</v>
      </c>
      <c r="C3038" t="s">
        <v>8605</v>
      </c>
      <c r="D3038">
        <v>1</v>
      </c>
      <c r="E3038" t="s">
        <v>7938</v>
      </c>
      <c r="F3038" t="s">
        <v>7939</v>
      </c>
      <c r="G3038" s="1"/>
      <c r="H3038" t="str">
        <f>"3250610133194"</f>
        <v>3250610133194</v>
      </c>
      <c r="J3038" t="s">
        <v>8606</v>
      </c>
    </row>
    <row r="3039" spans="1:10" x14ac:dyDescent="0.25">
      <c r="A3039" t="s">
        <v>8</v>
      </c>
      <c r="B3039" t="s">
        <v>8607</v>
      </c>
      <c r="C3039" t="s">
        <v>8608</v>
      </c>
      <c r="D3039">
        <v>1</v>
      </c>
      <c r="E3039" t="s">
        <v>7938</v>
      </c>
      <c r="F3039" t="s">
        <v>7939</v>
      </c>
      <c r="G3039" s="1"/>
      <c r="H3039" t="str">
        <f>"3250610105382"</f>
        <v>3250610105382</v>
      </c>
      <c r="J3039" t="s">
        <v>8609</v>
      </c>
    </row>
    <row r="3040" spans="1:10" x14ac:dyDescent="0.25">
      <c r="A3040" t="s">
        <v>8</v>
      </c>
      <c r="B3040" t="s">
        <v>8610</v>
      </c>
      <c r="C3040" t="s">
        <v>8611</v>
      </c>
      <c r="D3040">
        <v>1</v>
      </c>
      <c r="E3040" t="s">
        <v>7938</v>
      </c>
      <c r="F3040" t="s">
        <v>7939</v>
      </c>
      <c r="G3040" s="1"/>
      <c r="H3040" t="str">
        <f>"3250610105375"</f>
        <v>3250610105375</v>
      </c>
      <c r="J3040" t="s">
        <v>8612</v>
      </c>
    </row>
    <row r="3041" spans="1:10" x14ac:dyDescent="0.25">
      <c r="A3041" t="s">
        <v>8</v>
      </c>
      <c r="B3041" t="s">
        <v>8613</v>
      </c>
      <c r="C3041" t="s">
        <v>8614</v>
      </c>
      <c r="D3041">
        <v>1</v>
      </c>
      <c r="E3041" t="s">
        <v>7938</v>
      </c>
      <c r="F3041" t="s">
        <v>7939</v>
      </c>
      <c r="G3041" s="1"/>
      <c r="H3041" t="str">
        <f>"3250610004173"</f>
        <v>3250610004173</v>
      </c>
      <c r="J3041" t="s">
        <v>8591</v>
      </c>
    </row>
    <row r="3042" spans="1:10" x14ac:dyDescent="0.25">
      <c r="A3042" t="s">
        <v>8</v>
      </c>
      <c r="B3042" t="s">
        <v>8615</v>
      </c>
      <c r="C3042" t="s">
        <v>8616</v>
      </c>
      <c r="D3042">
        <v>1</v>
      </c>
      <c r="E3042" t="s">
        <v>7938</v>
      </c>
      <c r="F3042" t="s">
        <v>7939</v>
      </c>
      <c r="G3042" s="1"/>
      <c r="H3042" t="str">
        <f>"3250610004180"</f>
        <v>3250610004180</v>
      </c>
      <c r="J3042" t="s">
        <v>8591</v>
      </c>
    </row>
    <row r="3043" spans="1:10" x14ac:dyDescent="0.25">
      <c r="A3043" t="s">
        <v>8</v>
      </c>
      <c r="B3043" t="s">
        <v>8617</v>
      </c>
      <c r="C3043" t="s">
        <v>8618</v>
      </c>
      <c r="D3043">
        <v>1</v>
      </c>
      <c r="E3043" t="s">
        <v>7938</v>
      </c>
      <c r="F3043" t="s">
        <v>7939</v>
      </c>
      <c r="G3043" s="1"/>
      <c r="H3043" t="str">
        <f>"3250610004197"</f>
        <v>3250610004197</v>
      </c>
      <c r="J3043" t="s">
        <v>8596</v>
      </c>
    </row>
    <row r="3044" spans="1:10" x14ac:dyDescent="0.25">
      <c r="A3044" t="s">
        <v>8</v>
      </c>
      <c r="B3044" t="s">
        <v>8619</v>
      </c>
      <c r="C3044" t="s">
        <v>8618</v>
      </c>
      <c r="D3044">
        <v>1</v>
      </c>
      <c r="E3044" t="s">
        <v>7938</v>
      </c>
      <c r="F3044" t="s">
        <v>7939</v>
      </c>
      <c r="G3044" s="1"/>
      <c r="H3044" t="str">
        <f>"3250610013076"</f>
        <v>3250610013076</v>
      </c>
      <c r="J3044" t="s">
        <v>8596</v>
      </c>
    </row>
    <row r="3045" spans="1:10" x14ac:dyDescent="0.25">
      <c r="A3045" t="s">
        <v>8</v>
      </c>
      <c r="B3045" t="s">
        <v>8620</v>
      </c>
      <c r="C3045" t="s">
        <v>8621</v>
      </c>
      <c r="D3045">
        <v>1</v>
      </c>
      <c r="E3045" t="s">
        <v>7938</v>
      </c>
      <c r="F3045" t="s">
        <v>7939</v>
      </c>
      <c r="G3045" s="1"/>
      <c r="H3045" t="str">
        <f>"3250610013090"</f>
        <v>3250610013090</v>
      </c>
      <c r="J3045" t="s">
        <v>8601</v>
      </c>
    </row>
    <row r="3046" spans="1:10" x14ac:dyDescent="0.25">
      <c r="A3046" t="s">
        <v>8</v>
      </c>
      <c r="B3046" t="s">
        <v>8622</v>
      </c>
      <c r="C3046" t="s">
        <v>8621</v>
      </c>
      <c r="D3046">
        <v>1</v>
      </c>
      <c r="E3046" t="s">
        <v>7938</v>
      </c>
      <c r="F3046" t="s">
        <v>7939</v>
      </c>
      <c r="G3046" s="1"/>
      <c r="H3046" t="str">
        <f>"3250610051191"</f>
        <v>3250610051191</v>
      </c>
      <c r="J3046" t="s">
        <v>8601</v>
      </c>
    </row>
    <row r="3047" spans="1:10" x14ac:dyDescent="0.25">
      <c r="A3047" t="s">
        <v>8</v>
      </c>
      <c r="B3047" t="s">
        <v>8623</v>
      </c>
      <c r="C3047" t="s">
        <v>8624</v>
      </c>
      <c r="D3047">
        <v>1</v>
      </c>
      <c r="E3047" t="s">
        <v>8625</v>
      </c>
      <c r="F3047" t="s">
        <v>8626</v>
      </c>
      <c r="G3047" s="1"/>
      <c r="H3047" t="str">
        <f>"3250616141636"</f>
        <v>3250616141636</v>
      </c>
      <c r="J3047" t="s">
        <v>3112</v>
      </c>
    </row>
    <row r="3048" spans="1:10" x14ac:dyDescent="0.25">
      <c r="A3048" t="s">
        <v>8</v>
      </c>
      <c r="B3048" t="s">
        <v>8627</v>
      </c>
      <c r="C3048" t="s">
        <v>8628</v>
      </c>
      <c r="D3048">
        <v>1</v>
      </c>
      <c r="E3048" t="s">
        <v>8625</v>
      </c>
      <c r="F3048" t="s">
        <v>8626</v>
      </c>
      <c r="G3048" s="1"/>
      <c r="H3048" t="str">
        <f>"3250616141025"</f>
        <v>3250616141025</v>
      </c>
      <c r="J3048" t="s">
        <v>8629</v>
      </c>
    </row>
    <row r="3049" spans="1:10" x14ac:dyDescent="0.25">
      <c r="A3049" t="s">
        <v>8</v>
      </c>
      <c r="B3049" t="s">
        <v>8630</v>
      </c>
      <c r="C3049" t="s">
        <v>8631</v>
      </c>
      <c r="D3049">
        <v>1</v>
      </c>
      <c r="E3049" t="s">
        <v>8625</v>
      </c>
      <c r="F3049" t="s">
        <v>8626</v>
      </c>
      <c r="G3049" s="1"/>
      <c r="H3049" t="str">
        <f>"3250616141698"</f>
        <v>3250616141698</v>
      </c>
      <c r="J3049" t="s">
        <v>8632</v>
      </c>
    </row>
    <row r="3050" spans="1:10" x14ac:dyDescent="0.25">
      <c r="A3050" t="s">
        <v>8</v>
      </c>
      <c r="B3050" t="s">
        <v>8633</v>
      </c>
      <c r="C3050" t="s">
        <v>8634</v>
      </c>
      <c r="D3050">
        <v>1</v>
      </c>
      <c r="E3050" t="s">
        <v>8625</v>
      </c>
      <c r="F3050" t="s">
        <v>8626</v>
      </c>
      <c r="G3050" s="1"/>
      <c r="H3050" t="str">
        <f>"3250616170094"</f>
        <v>3250616170094</v>
      </c>
      <c r="J3050" t="s">
        <v>8635</v>
      </c>
    </row>
    <row r="3051" spans="1:10" x14ac:dyDescent="0.25">
      <c r="A3051" t="s">
        <v>8</v>
      </c>
      <c r="B3051" t="s">
        <v>8636</v>
      </c>
      <c r="C3051" t="s">
        <v>8637</v>
      </c>
      <c r="D3051">
        <v>1</v>
      </c>
      <c r="E3051" t="s">
        <v>8625</v>
      </c>
      <c r="F3051" t="s">
        <v>8626</v>
      </c>
      <c r="G3051" s="1"/>
      <c r="H3051" t="str">
        <f>"3250616210608"</f>
        <v>3250616210608</v>
      </c>
      <c r="J3051" t="s">
        <v>8638</v>
      </c>
    </row>
    <row r="3052" spans="1:10" x14ac:dyDescent="0.25">
      <c r="A3052" t="s">
        <v>8</v>
      </c>
      <c r="B3052" t="s">
        <v>8639</v>
      </c>
      <c r="C3052" t="s">
        <v>8640</v>
      </c>
      <c r="D3052">
        <v>1</v>
      </c>
      <c r="E3052" t="s">
        <v>8625</v>
      </c>
      <c r="F3052" t="s">
        <v>8626</v>
      </c>
      <c r="G3052" s="1"/>
      <c r="H3052" t="str">
        <f>"3250616231474"</f>
        <v>3250616231474</v>
      </c>
      <c r="J3052" t="s">
        <v>8641</v>
      </c>
    </row>
    <row r="3053" spans="1:10" x14ac:dyDescent="0.25">
      <c r="A3053" t="s">
        <v>8</v>
      </c>
      <c r="B3053" t="s">
        <v>8642</v>
      </c>
      <c r="C3053" t="s">
        <v>8643</v>
      </c>
      <c r="D3053">
        <v>1</v>
      </c>
      <c r="E3053" t="s">
        <v>8625</v>
      </c>
      <c r="F3053" t="s">
        <v>8626</v>
      </c>
      <c r="G3053" s="1"/>
      <c r="H3053" t="str">
        <f>"3250616141117"</f>
        <v>3250616141117</v>
      </c>
      <c r="J3053" t="s">
        <v>8644</v>
      </c>
    </row>
    <row r="3054" spans="1:10" x14ac:dyDescent="0.25">
      <c r="A3054" t="s">
        <v>8</v>
      </c>
      <c r="B3054" t="s">
        <v>8645</v>
      </c>
      <c r="C3054" t="s">
        <v>8646</v>
      </c>
      <c r="D3054">
        <v>1</v>
      </c>
      <c r="E3054" t="s">
        <v>8625</v>
      </c>
      <c r="F3054" t="s">
        <v>8626</v>
      </c>
      <c r="G3054" s="1"/>
      <c r="H3054" t="str">
        <f>"3250616141018"</f>
        <v>3250616141018</v>
      </c>
      <c r="J3054" t="s">
        <v>8647</v>
      </c>
    </row>
    <row r="3055" spans="1:10" x14ac:dyDescent="0.25">
      <c r="A3055" t="s">
        <v>8</v>
      </c>
      <c r="B3055" t="s">
        <v>8648</v>
      </c>
      <c r="C3055" t="s">
        <v>8649</v>
      </c>
      <c r="D3055">
        <v>1</v>
      </c>
      <c r="E3055" t="s">
        <v>8625</v>
      </c>
      <c r="F3055" t="s">
        <v>8626</v>
      </c>
      <c r="G3055" s="1"/>
      <c r="H3055" t="str">
        <f>"3250616141261"</f>
        <v>3250616141261</v>
      </c>
      <c r="J3055" t="s">
        <v>8650</v>
      </c>
    </row>
    <row r="3056" spans="1:10" x14ac:dyDescent="0.25">
      <c r="A3056" t="s">
        <v>8</v>
      </c>
      <c r="B3056" t="s">
        <v>8651</v>
      </c>
      <c r="C3056" t="s">
        <v>8652</v>
      </c>
      <c r="D3056">
        <v>1</v>
      </c>
      <c r="E3056" t="s">
        <v>8625</v>
      </c>
      <c r="F3056" t="s">
        <v>8626</v>
      </c>
      <c r="G3056" s="1"/>
      <c r="H3056" t="str">
        <f>"3250616170087"</f>
        <v>3250616170087</v>
      </c>
      <c r="I3056" s="1"/>
      <c r="J3056" t="s">
        <v>8653</v>
      </c>
    </row>
    <row r="3057" spans="1:10" x14ac:dyDescent="0.25">
      <c r="A3057" t="s">
        <v>8</v>
      </c>
      <c r="B3057" t="s">
        <v>8654</v>
      </c>
      <c r="C3057" t="s">
        <v>8655</v>
      </c>
      <c r="D3057">
        <v>1</v>
      </c>
      <c r="E3057" t="s">
        <v>8625</v>
      </c>
      <c r="F3057" t="s">
        <v>8626</v>
      </c>
      <c r="G3057" s="1"/>
      <c r="H3057" t="str">
        <f>"3250616210875"</f>
        <v>3250616210875</v>
      </c>
      <c r="J3057" t="s">
        <v>8656</v>
      </c>
    </row>
    <row r="3058" spans="1:10" x14ac:dyDescent="0.25">
      <c r="A3058" t="s">
        <v>8</v>
      </c>
      <c r="B3058" t="s">
        <v>8657</v>
      </c>
      <c r="C3058" t="s">
        <v>8658</v>
      </c>
      <c r="D3058">
        <v>1</v>
      </c>
      <c r="E3058" t="s">
        <v>8625</v>
      </c>
      <c r="F3058" t="s">
        <v>8626</v>
      </c>
      <c r="G3058" s="1"/>
      <c r="H3058" t="str">
        <f>"3250616210943"</f>
        <v>3250616210943</v>
      </c>
      <c r="J3058" t="s">
        <v>8659</v>
      </c>
    </row>
    <row r="3059" spans="1:10" x14ac:dyDescent="0.25">
      <c r="A3059" t="s">
        <v>8</v>
      </c>
      <c r="B3059" t="s">
        <v>8660</v>
      </c>
      <c r="C3059" t="s">
        <v>8661</v>
      </c>
      <c r="D3059">
        <v>1</v>
      </c>
      <c r="E3059" t="s">
        <v>8625</v>
      </c>
      <c r="F3059" t="s">
        <v>8626</v>
      </c>
      <c r="G3059" s="1"/>
      <c r="H3059" t="str">
        <f>"3250616141599"</f>
        <v>3250616141599</v>
      </c>
      <c r="J3059" t="s">
        <v>1928</v>
      </c>
    </row>
    <row r="3060" spans="1:10" x14ac:dyDescent="0.25">
      <c r="A3060" t="s">
        <v>8</v>
      </c>
      <c r="B3060" t="s">
        <v>8662</v>
      </c>
      <c r="C3060" t="s">
        <v>8663</v>
      </c>
      <c r="D3060">
        <v>1</v>
      </c>
      <c r="E3060" t="s">
        <v>8625</v>
      </c>
      <c r="F3060" t="s">
        <v>8626</v>
      </c>
      <c r="G3060" s="1"/>
      <c r="H3060" t="str">
        <f>"3250616141100"</f>
        <v>3250616141100</v>
      </c>
      <c r="J3060" t="s">
        <v>8664</v>
      </c>
    </row>
    <row r="3061" spans="1:10" x14ac:dyDescent="0.25">
      <c r="A3061" t="s">
        <v>8</v>
      </c>
      <c r="B3061" t="s">
        <v>8665</v>
      </c>
      <c r="C3061" t="s">
        <v>8666</v>
      </c>
      <c r="D3061">
        <v>1</v>
      </c>
      <c r="E3061" t="s">
        <v>8625</v>
      </c>
      <c r="F3061" t="s">
        <v>8626</v>
      </c>
      <c r="G3061" s="1"/>
      <c r="H3061" t="str">
        <f>"3250616141346"</f>
        <v>3250616141346</v>
      </c>
      <c r="J3061" t="s">
        <v>8667</v>
      </c>
    </row>
    <row r="3062" spans="1:10" x14ac:dyDescent="0.25">
      <c r="A3062" t="s">
        <v>8</v>
      </c>
      <c r="B3062" t="s">
        <v>8668</v>
      </c>
      <c r="C3062" t="s">
        <v>8669</v>
      </c>
      <c r="D3062">
        <v>1</v>
      </c>
      <c r="E3062" t="s">
        <v>8625</v>
      </c>
      <c r="F3062" t="s">
        <v>8626</v>
      </c>
      <c r="G3062" s="1"/>
      <c r="H3062" t="str">
        <f>"3250616141353"</f>
        <v>3250616141353</v>
      </c>
      <c r="J3062" t="s">
        <v>8670</v>
      </c>
    </row>
    <row r="3063" spans="1:10" x14ac:dyDescent="0.25">
      <c r="A3063" t="s">
        <v>8</v>
      </c>
      <c r="B3063" t="s">
        <v>8671</v>
      </c>
      <c r="C3063" t="s">
        <v>8672</v>
      </c>
      <c r="D3063">
        <v>1</v>
      </c>
      <c r="E3063" t="s">
        <v>8625</v>
      </c>
      <c r="F3063" t="s">
        <v>8626</v>
      </c>
      <c r="G3063" s="1"/>
      <c r="H3063" t="str">
        <f>"3250616210936"</f>
        <v>3250616210936</v>
      </c>
      <c r="J3063" t="s">
        <v>8673</v>
      </c>
    </row>
    <row r="3064" spans="1:10" x14ac:dyDescent="0.25">
      <c r="A3064" t="s">
        <v>8</v>
      </c>
      <c r="B3064" t="s">
        <v>8674</v>
      </c>
      <c r="C3064" t="s">
        <v>8675</v>
      </c>
      <c r="D3064">
        <v>1</v>
      </c>
      <c r="E3064" t="s">
        <v>8625</v>
      </c>
      <c r="F3064" t="s">
        <v>8626</v>
      </c>
      <c r="G3064" s="1"/>
      <c r="H3064" t="str">
        <f>"3250616141674"</f>
        <v>3250616141674</v>
      </c>
      <c r="J3064" t="s">
        <v>8676</v>
      </c>
    </row>
    <row r="3065" spans="1:10" x14ac:dyDescent="0.25">
      <c r="A3065" t="s">
        <v>8</v>
      </c>
      <c r="B3065" t="s">
        <v>8677</v>
      </c>
      <c r="C3065" t="s">
        <v>8678</v>
      </c>
      <c r="D3065">
        <v>1</v>
      </c>
      <c r="E3065" t="s">
        <v>8625</v>
      </c>
      <c r="F3065" t="s">
        <v>8626</v>
      </c>
      <c r="G3065" s="1"/>
      <c r="H3065" t="str">
        <f>"3250616141728"</f>
        <v>3250616141728</v>
      </c>
      <c r="J3065" t="s">
        <v>8679</v>
      </c>
    </row>
    <row r="3066" spans="1:10" x14ac:dyDescent="0.25">
      <c r="A3066" t="s">
        <v>8</v>
      </c>
      <c r="B3066" t="s">
        <v>8680</v>
      </c>
      <c r="C3066" t="s">
        <v>8681</v>
      </c>
      <c r="D3066">
        <v>1</v>
      </c>
      <c r="E3066" t="s">
        <v>8625</v>
      </c>
      <c r="F3066" t="s">
        <v>8626</v>
      </c>
      <c r="G3066" s="1"/>
      <c r="H3066" t="str">
        <f>"3250616170070"</f>
        <v>3250616170070</v>
      </c>
      <c r="J3066" t="s">
        <v>8682</v>
      </c>
    </row>
    <row r="3067" spans="1:10" x14ac:dyDescent="0.25">
      <c r="A3067" t="s">
        <v>8</v>
      </c>
      <c r="B3067" t="s">
        <v>8683</v>
      </c>
      <c r="C3067" t="s">
        <v>8684</v>
      </c>
      <c r="D3067">
        <v>1</v>
      </c>
      <c r="E3067" t="s">
        <v>8625</v>
      </c>
      <c r="F3067" t="s">
        <v>8626</v>
      </c>
      <c r="G3067" s="1"/>
      <c r="H3067" t="str">
        <f>"3250616141667"</f>
        <v>3250616141667</v>
      </c>
      <c r="J3067" t="s">
        <v>8685</v>
      </c>
    </row>
    <row r="3068" spans="1:10" x14ac:dyDescent="0.25">
      <c r="A3068" t="s">
        <v>8</v>
      </c>
      <c r="B3068" t="s">
        <v>8686</v>
      </c>
      <c r="C3068" t="s">
        <v>8687</v>
      </c>
      <c r="D3068">
        <v>1</v>
      </c>
      <c r="E3068" t="s">
        <v>8625</v>
      </c>
      <c r="F3068" t="s">
        <v>8626</v>
      </c>
      <c r="G3068" s="1"/>
      <c r="H3068" t="str">
        <f>"3250616141407"</f>
        <v>3250616141407</v>
      </c>
      <c r="J3068" t="s">
        <v>8688</v>
      </c>
    </row>
    <row r="3069" spans="1:10" x14ac:dyDescent="0.25">
      <c r="A3069" t="s">
        <v>8</v>
      </c>
      <c r="B3069" t="s">
        <v>8689</v>
      </c>
      <c r="C3069" t="s">
        <v>8690</v>
      </c>
      <c r="D3069">
        <v>1</v>
      </c>
      <c r="E3069" t="s">
        <v>8625</v>
      </c>
      <c r="F3069" t="s">
        <v>8626</v>
      </c>
      <c r="G3069" s="1"/>
      <c r="H3069" t="str">
        <f>"3250616141711"</f>
        <v>3250616141711</v>
      </c>
      <c r="J3069" t="s">
        <v>8691</v>
      </c>
    </row>
    <row r="3070" spans="1:10" x14ac:dyDescent="0.25">
      <c r="A3070" t="s">
        <v>8</v>
      </c>
      <c r="B3070" t="s">
        <v>8692</v>
      </c>
      <c r="C3070" t="s">
        <v>8693</v>
      </c>
      <c r="D3070">
        <v>1</v>
      </c>
      <c r="E3070" t="s">
        <v>8625</v>
      </c>
      <c r="F3070" t="s">
        <v>8626</v>
      </c>
      <c r="G3070" s="1"/>
      <c r="H3070" t="str">
        <f>"3250616141650"</f>
        <v>3250616141650</v>
      </c>
      <c r="J3070" t="s">
        <v>8694</v>
      </c>
    </row>
    <row r="3071" spans="1:10" x14ac:dyDescent="0.25">
      <c r="A3071" t="s">
        <v>8</v>
      </c>
      <c r="B3071" t="s">
        <v>8695</v>
      </c>
      <c r="C3071" t="s">
        <v>8696</v>
      </c>
      <c r="D3071">
        <v>1</v>
      </c>
      <c r="E3071" t="s">
        <v>8625</v>
      </c>
      <c r="F3071" t="s">
        <v>8626</v>
      </c>
      <c r="G3071" s="1"/>
      <c r="H3071" t="str">
        <f>"3250616141681"</f>
        <v>3250616141681</v>
      </c>
      <c r="I3071" s="1"/>
      <c r="J3071" t="s">
        <v>1597</v>
      </c>
    </row>
    <row r="3072" spans="1:10" x14ac:dyDescent="0.25">
      <c r="A3072" t="s">
        <v>8</v>
      </c>
      <c r="B3072" t="s">
        <v>8697</v>
      </c>
      <c r="C3072" t="s">
        <v>8698</v>
      </c>
      <c r="D3072">
        <v>1</v>
      </c>
      <c r="E3072" t="s">
        <v>8625</v>
      </c>
      <c r="F3072" t="s">
        <v>8626</v>
      </c>
      <c r="G3072" s="1"/>
      <c r="H3072" t="str">
        <f>"3250616141056"</f>
        <v>3250616141056</v>
      </c>
      <c r="J3072" t="s">
        <v>8699</v>
      </c>
    </row>
    <row r="3073" spans="1:10" x14ac:dyDescent="0.25">
      <c r="A3073" t="s">
        <v>8</v>
      </c>
      <c r="B3073" t="s">
        <v>8700</v>
      </c>
      <c r="C3073" t="s">
        <v>8701</v>
      </c>
      <c r="D3073">
        <v>1</v>
      </c>
      <c r="E3073" t="s">
        <v>8625</v>
      </c>
      <c r="F3073" t="s">
        <v>8626</v>
      </c>
      <c r="G3073" s="1"/>
      <c r="H3073" t="str">
        <f>"3250616141629"</f>
        <v>3250616141629</v>
      </c>
      <c r="J3073" t="s">
        <v>8702</v>
      </c>
    </row>
    <row r="3074" spans="1:10" x14ac:dyDescent="0.25">
      <c r="A3074" t="s">
        <v>8</v>
      </c>
      <c r="B3074" t="s">
        <v>8703</v>
      </c>
      <c r="C3074" t="s">
        <v>8704</v>
      </c>
      <c r="D3074">
        <v>1</v>
      </c>
      <c r="E3074" t="s">
        <v>8625</v>
      </c>
      <c r="F3074" t="s">
        <v>8626</v>
      </c>
      <c r="G3074" s="1"/>
      <c r="H3074" t="str">
        <f>"3250616141148"</f>
        <v>3250616141148</v>
      </c>
      <c r="J3074" t="s">
        <v>8705</v>
      </c>
    </row>
    <row r="3075" spans="1:10" x14ac:dyDescent="0.25">
      <c r="A3075" t="s">
        <v>8</v>
      </c>
      <c r="B3075" t="s">
        <v>8706</v>
      </c>
      <c r="C3075" t="s">
        <v>8707</v>
      </c>
      <c r="D3075">
        <v>1</v>
      </c>
      <c r="E3075" t="s">
        <v>8625</v>
      </c>
      <c r="F3075" t="s">
        <v>8626</v>
      </c>
      <c r="G3075" s="1"/>
      <c r="H3075" t="str">
        <f>"3250616141421"</f>
        <v>3250616141421</v>
      </c>
      <c r="J3075" t="s">
        <v>8708</v>
      </c>
    </row>
    <row r="3076" spans="1:10" x14ac:dyDescent="0.25">
      <c r="A3076" t="s">
        <v>8</v>
      </c>
      <c r="B3076" t="s">
        <v>8709</v>
      </c>
      <c r="C3076" t="s">
        <v>8710</v>
      </c>
      <c r="D3076">
        <v>1</v>
      </c>
      <c r="E3076" t="s">
        <v>8625</v>
      </c>
      <c r="F3076" t="s">
        <v>8626</v>
      </c>
      <c r="G3076" s="1"/>
      <c r="H3076" t="str">
        <f>"3250616141704"</f>
        <v>3250616141704</v>
      </c>
      <c r="J3076" t="s">
        <v>8711</v>
      </c>
    </row>
    <row r="3077" spans="1:10" x14ac:dyDescent="0.25">
      <c r="A3077" t="s">
        <v>8</v>
      </c>
      <c r="B3077" t="s">
        <v>8712</v>
      </c>
      <c r="C3077" t="s">
        <v>8713</v>
      </c>
      <c r="D3077">
        <v>1</v>
      </c>
      <c r="E3077" t="s">
        <v>8625</v>
      </c>
      <c r="F3077" t="s">
        <v>8626</v>
      </c>
      <c r="G3077" s="1"/>
      <c r="H3077" t="str">
        <f>"3250616231481"</f>
        <v>3250616231481</v>
      </c>
      <c r="J3077" t="s">
        <v>8714</v>
      </c>
    </row>
    <row r="3078" spans="1:10" x14ac:dyDescent="0.25">
      <c r="A3078" t="s">
        <v>8</v>
      </c>
      <c r="B3078" t="s">
        <v>8715</v>
      </c>
      <c r="C3078" t="s">
        <v>8716</v>
      </c>
      <c r="D3078">
        <v>1</v>
      </c>
      <c r="E3078" t="s">
        <v>8625</v>
      </c>
      <c r="F3078" t="s">
        <v>8626</v>
      </c>
      <c r="G3078" s="1"/>
      <c r="H3078" t="str">
        <f>"3250616141612"</f>
        <v>3250616141612</v>
      </c>
      <c r="J3078" t="s">
        <v>8717</v>
      </c>
    </row>
    <row r="3079" spans="1:10" x14ac:dyDescent="0.25">
      <c r="A3079" t="s">
        <v>8</v>
      </c>
      <c r="B3079" t="s">
        <v>8718</v>
      </c>
      <c r="C3079" t="s">
        <v>8719</v>
      </c>
      <c r="D3079">
        <v>1</v>
      </c>
      <c r="E3079" t="s">
        <v>8625</v>
      </c>
      <c r="F3079" t="s">
        <v>8626</v>
      </c>
      <c r="G3079" s="1"/>
      <c r="H3079" t="str">
        <f>"3250616141131"</f>
        <v>3250616141131</v>
      </c>
      <c r="J3079" t="s">
        <v>2726</v>
      </c>
    </row>
    <row r="3080" spans="1:10" x14ac:dyDescent="0.25">
      <c r="A3080" t="s">
        <v>8</v>
      </c>
      <c r="B3080" t="s">
        <v>8720</v>
      </c>
      <c r="C3080" t="s">
        <v>8721</v>
      </c>
      <c r="D3080">
        <v>1</v>
      </c>
      <c r="E3080" t="s">
        <v>8625</v>
      </c>
      <c r="F3080" t="s">
        <v>8626</v>
      </c>
      <c r="G3080" s="1"/>
      <c r="H3080" t="str">
        <f>"3250616141230"</f>
        <v>3250616141230</v>
      </c>
      <c r="J3080" t="s">
        <v>8722</v>
      </c>
    </row>
    <row r="3081" spans="1:10" x14ac:dyDescent="0.25">
      <c r="A3081" t="s">
        <v>8</v>
      </c>
      <c r="B3081" t="s">
        <v>8723</v>
      </c>
      <c r="C3081" t="s">
        <v>8724</v>
      </c>
      <c r="D3081">
        <v>1</v>
      </c>
      <c r="E3081" t="s">
        <v>8625</v>
      </c>
      <c r="F3081" t="s">
        <v>8626</v>
      </c>
      <c r="G3081" s="1"/>
      <c r="H3081" t="str">
        <f>"3250616151024"</f>
        <v>3250616151024</v>
      </c>
      <c r="J3081" t="s">
        <v>8725</v>
      </c>
    </row>
    <row r="3082" spans="1:10" x14ac:dyDescent="0.25">
      <c r="A3082" t="s">
        <v>8</v>
      </c>
      <c r="B3082" t="s">
        <v>8726</v>
      </c>
      <c r="C3082" t="s">
        <v>8727</v>
      </c>
      <c r="D3082">
        <v>1</v>
      </c>
      <c r="E3082" t="s">
        <v>8625</v>
      </c>
      <c r="F3082" t="s">
        <v>8626</v>
      </c>
      <c r="G3082" s="1"/>
      <c r="H3082" t="str">
        <f>"3250616170117"</f>
        <v>3250616170117</v>
      </c>
      <c r="J3082" t="s">
        <v>8728</v>
      </c>
    </row>
    <row r="3083" spans="1:10" x14ac:dyDescent="0.25">
      <c r="A3083" t="s">
        <v>8</v>
      </c>
      <c r="B3083" t="s">
        <v>8729</v>
      </c>
      <c r="C3083" t="s">
        <v>8730</v>
      </c>
      <c r="D3083">
        <v>1</v>
      </c>
      <c r="E3083" t="s">
        <v>8625</v>
      </c>
      <c r="F3083" t="s">
        <v>8626</v>
      </c>
      <c r="G3083" s="1"/>
      <c r="H3083" t="str">
        <f>"3250616210899"</f>
        <v>3250616210899</v>
      </c>
      <c r="J3083" t="s">
        <v>8731</v>
      </c>
    </row>
    <row r="3084" spans="1:10" x14ac:dyDescent="0.25">
      <c r="A3084" t="s">
        <v>8</v>
      </c>
      <c r="B3084" t="s">
        <v>8732</v>
      </c>
      <c r="C3084" t="s">
        <v>8733</v>
      </c>
      <c r="D3084">
        <v>1</v>
      </c>
      <c r="E3084" t="s">
        <v>8625</v>
      </c>
      <c r="F3084" t="s">
        <v>8626</v>
      </c>
      <c r="G3084" s="1"/>
      <c r="H3084" t="str">
        <f>"3250616210639"</f>
        <v>3250616210639</v>
      </c>
      <c r="J3084" t="s">
        <v>8734</v>
      </c>
    </row>
    <row r="3085" spans="1:10" x14ac:dyDescent="0.25">
      <c r="A3085" t="s">
        <v>8</v>
      </c>
      <c r="B3085" t="s">
        <v>8735</v>
      </c>
      <c r="C3085" t="s">
        <v>8736</v>
      </c>
      <c r="D3085">
        <v>1</v>
      </c>
      <c r="E3085" t="s">
        <v>8625</v>
      </c>
      <c r="F3085" t="s">
        <v>8626</v>
      </c>
      <c r="G3085" s="1"/>
      <c r="H3085" t="str">
        <f>"3250616141582"</f>
        <v>3250616141582</v>
      </c>
      <c r="J3085" t="s">
        <v>8737</v>
      </c>
    </row>
    <row r="3086" spans="1:10" x14ac:dyDescent="0.25">
      <c r="A3086" t="s">
        <v>8</v>
      </c>
      <c r="B3086" t="s">
        <v>8738</v>
      </c>
      <c r="C3086" t="s">
        <v>8739</v>
      </c>
      <c r="D3086">
        <v>1</v>
      </c>
      <c r="E3086" t="s">
        <v>8625</v>
      </c>
      <c r="F3086" t="s">
        <v>8626</v>
      </c>
      <c r="G3086" s="1"/>
      <c r="H3086" t="str">
        <f>"3250616141186"</f>
        <v>3250616141186</v>
      </c>
      <c r="J3086" t="s">
        <v>8740</v>
      </c>
    </row>
    <row r="3087" spans="1:10" x14ac:dyDescent="0.25">
      <c r="A3087" t="s">
        <v>8</v>
      </c>
      <c r="B3087" t="s">
        <v>8741</v>
      </c>
      <c r="C3087" t="s">
        <v>8742</v>
      </c>
      <c r="D3087">
        <v>1</v>
      </c>
      <c r="E3087" t="s">
        <v>8625</v>
      </c>
      <c r="F3087" t="s">
        <v>8626</v>
      </c>
      <c r="G3087" s="1"/>
      <c r="H3087" t="str">
        <f>"3250616141223"</f>
        <v>3250616141223</v>
      </c>
      <c r="J3087" t="s">
        <v>8743</v>
      </c>
    </row>
    <row r="3088" spans="1:10" x14ac:dyDescent="0.25">
      <c r="A3088" t="s">
        <v>8</v>
      </c>
      <c r="B3088" t="s">
        <v>8744</v>
      </c>
      <c r="C3088" t="s">
        <v>8745</v>
      </c>
      <c r="D3088">
        <v>1</v>
      </c>
      <c r="E3088" t="s">
        <v>8625</v>
      </c>
      <c r="F3088" t="s">
        <v>8626</v>
      </c>
      <c r="G3088" s="1"/>
      <c r="H3088" t="str">
        <f>"3250616150577"</f>
        <v>3250616150577</v>
      </c>
      <c r="J3088" t="s">
        <v>8746</v>
      </c>
    </row>
    <row r="3089" spans="1:10" x14ac:dyDescent="0.25">
      <c r="A3089" t="s">
        <v>8</v>
      </c>
      <c r="B3089" t="s">
        <v>8747</v>
      </c>
      <c r="C3089" t="s">
        <v>8748</v>
      </c>
      <c r="D3089">
        <v>1</v>
      </c>
      <c r="E3089" t="s">
        <v>8625</v>
      </c>
      <c r="F3089" t="s">
        <v>8626</v>
      </c>
      <c r="G3089" s="1"/>
      <c r="H3089" t="str">
        <f>"3250616170124"</f>
        <v>3250616170124</v>
      </c>
      <c r="J3089" t="s">
        <v>8728</v>
      </c>
    </row>
    <row r="3090" spans="1:10" x14ac:dyDescent="0.25">
      <c r="A3090" t="s">
        <v>8</v>
      </c>
      <c r="B3090" t="s">
        <v>8749</v>
      </c>
      <c r="C3090" t="s">
        <v>8750</v>
      </c>
      <c r="D3090">
        <v>1</v>
      </c>
      <c r="E3090" t="s">
        <v>8625</v>
      </c>
      <c r="F3090" t="s">
        <v>8626</v>
      </c>
      <c r="G3090" s="1"/>
      <c r="H3090" t="str">
        <f>"3250616141605"</f>
        <v>3250616141605</v>
      </c>
      <c r="J3090" t="s">
        <v>8751</v>
      </c>
    </row>
    <row r="3091" spans="1:10" x14ac:dyDescent="0.25">
      <c r="A3091" t="s">
        <v>8</v>
      </c>
      <c r="B3091" t="s">
        <v>8752</v>
      </c>
      <c r="C3091" t="s">
        <v>8753</v>
      </c>
      <c r="D3091">
        <v>1</v>
      </c>
      <c r="E3091" t="s">
        <v>8625</v>
      </c>
      <c r="F3091" t="s">
        <v>8626</v>
      </c>
      <c r="G3091" s="1"/>
      <c r="H3091" t="str">
        <f>"3250616141179"</f>
        <v>3250616141179</v>
      </c>
      <c r="J3091" t="s">
        <v>8754</v>
      </c>
    </row>
    <row r="3092" spans="1:10" x14ac:dyDescent="0.25">
      <c r="A3092" t="s">
        <v>8</v>
      </c>
      <c r="B3092" t="s">
        <v>8755</v>
      </c>
      <c r="C3092" t="s">
        <v>8756</v>
      </c>
      <c r="D3092">
        <v>1</v>
      </c>
      <c r="E3092" t="s">
        <v>8625</v>
      </c>
      <c r="F3092" t="s">
        <v>8626</v>
      </c>
      <c r="G3092" s="1"/>
      <c r="H3092" t="str">
        <f>"3250616150560"</f>
        <v>3250616150560</v>
      </c>
      <c r="J3092" t="s">
        <v>8757</v>
      </c>
    </row>
    <row r="3093" spans="1:10" x14ac:dyDescent="0.25">
      <c r="A3093" t="s">
        <v>8</v>
      </c>
      <c r="B3093" t="s">
        <v>8758</v>
      </c>
      <c r="C3093" t="s">
        <v>8759</v>
      </c>
      <c r="D3093">
        <v>1</v>
      </c>
      <c r="E3093" t="s">
        <v>8625</v>
      </c>
      <c r="F3093" t="s">
        <v>8626</v>
      </c>
      <c r="G3093" s="1"/>
      <c r="H3093" t="str">
        <f>"3250616210646"</f>
        <v>3250616210646</v>
      </c>
      <c r="J3093" t="s">
        <v>8760</v>
      </c>
    </row>
    <row r="3094" spans="1:10" x14ac:dyDescent="0.25">
      <c r="A3094" t="s">
        <v>8</v>
      </c>
      <c r="B3094" t="s">
        <v>8761</v>
      </c>
      <c r="C3094" t="s">
        <v>8762</v>
      </c>
      <c r="D3094">
        <v>1</v>
      </c>
      <c r="E3094" t="s">
        <v>8625</v>
      </c>
      <c r="F3094" t="s">
        <v>8626</v>
      </c>
      <c r="G3094" s="1"/>
      <c r="H3094" t="str">
        <f>"3250616210653"</f>
        <v>3250616210653</v>
      </c>
      <c r="J3094" t="s">
        <v>8763</v>
      </c>
    </row>
    <row r="3095" spans="1:10" x14ac:dyDescent="0.25">
      <c r="A3095" t="s">
        <v>8</v>
      </c>
      <c r="B3095" t="s">
        <v>8764</v>
      </c>
      <c r="C3095" t="s">
        <v>8765</v>
      </c>
      <c r="D3095">
        <v>1</v>
      </c>
      <c r="E3095" t="s">
        <v>8625</v>
      </c>
      <c r="F3095" t="s">
        <v>8626</v>
      </c>
      <c r="G3095" s="1"/>
      <c r="H3095" t="str">
        <f>"3250616141643"</f>
        <v>3250616141643</v>
      </c>
      <c r="J3095" t="s">
        <v>8766</v>
      </c>
    </row>
    <row r="3096" spans="1:10" x14ac:dyDescent="0.25">
      <c r="A3096" t="s">
        <v>8</v>
      </c>
      <c r="B3096" t="s">
        <v>8767</v>
      </c>
      <c r="C3096" t="s">
        <v>8768</v>
      </c>
      <c r="D3096">
        <v>1</v>
      </c>
      <c r="E3096" t="s">
        <v>8625</v>
      </c>
      <c r="F3096" t="s">
        <v>8626</v>
      </c>
      <c r="G3096" s="1"/>
      <c r="H3096" t="str">
        <f>"3250616141001"</f>
        <v>3250616141001</v>
      </c>
      <c r="J3096" t="s">
        <v>8769</v>
      </c>
    </row>
    <row r="3097" spans="1:10" x14ac:dyDescent="0.25">
      <c r="A3097" t="s">
        <v>8</v>
      </c>
      <c r="B3097" t="s">
        <v>8770</v>
      </c>
      <c r="C3097" t="s">
        <v>8771</v>
      </c>
      <c r="D3097">
        <v>1</v>
      </c>
      <c r="E3097" t="s">
        <v>8625</v>
      </c>
      <c r="F3097" t="s">
        <v>8626</v>
      </c>
      <c r="G3097" s="1"/>
      <c r="H3097" t="str">
        <f>"3250616141292"</f>
        <v>3250616141292</v>
      </c>
      <c r="J3097" t="s">
        <v>8772</v>
      </c>
    </row>
    <row r="3098" spans="1:10" x14ac:dyDescent="0.25">
      <c r="A3098" t="s">
        <v>8</v>
      </c>
      <c r="B3098" t="s">
        <v>8773</v>
      </c>
      <c r="C3098" t="s">
        <v>8774</v>
      </c>
      <c r="D3098">
        <v>1</v>
      </c>
      <c r="E3098" t="s">
        <v>8625</v>
      </c>
      <c r="F3098" t="s">
        <v>8626</v>
      </c>
      <c r="G3098" s="1"/>
      <c r="H3098" t="str">
        <f>"3250616150553"</f>
        <v>3250616150553</v>
      </c>
      <c r="J3098" t="s">
        <v>8775</v>
      </c>
    </row>
    <row r="3099" spans="1:10" x14ac:dyDescent="0.25">
      <c r="A3099" t="s">
        <v>8</v>
      </c>
      <c r="B3099" t="s">
        <v>8776</v>
      </c>
      <c r="C3099" t="s">
        <v>8777</v>
      </c>
      <c r="D3099">
        <v>1</v>
      </c>
      <c r="E3099" t="s">
        <v>8625</v>
      </c>
      <c r="F3099" t="s">
        <v>8626</v>
      </c>
      <c r="G3099" s="1"/>
      <c r="H3099" t="str">
        <f>"3250616210615"</f>
        <v>3250616210615</v>
      </c>
      <c r="J3099" t="s">
        <v>8778</v>
      </c>
    </row>
    <row r="3100" spans="1:10" x14ac:dyDescent="0.25">
      <c r="A3100" t="s">
        <v>8</v>
      </c>
      <c r="B3100" t="s">
        <v>8779</v>
      </c>
      <c r="C3100" t="s">
        <v>8780</v>
      </c>
      <c r="D3100">
        <v>1</v>
      </c>
      <c r="E3100" t="s">
        <v>8625</v>
      </c>
      <c r="F3100" t="s">
        <v>8626</v>
      </c>
      <c r="G3100" s="1"/>
      <c r="H3100" t="str">
        <f>"3250616231467"</f>
        <v>3250616231467</v>
      </c>
      <c r="J3100" t="s">
        <v>8781</v>
      </c>
    </row>
    <row r="3101" spans="1:10" x14ac:dyDescent="0.25">
      <c r="A3101" t="s">
        <v>8</v>
      </c>
      <c r="B3101" t="s">
        <v>8782</v>
      </c>
      <c r="C3101" t="s">
        <v>8783</v>
      </c>
      <c r="D3101">
        <v>1</v>
      </c>
      <c r="E3101" t="s">
        <v>8625</v>
      </c>
      <c r="F3101" t="s">
        <v>8626</v>
      </c>
      <c r="G3101" s="1"/>
      <c r="H3101" t="str">
        <f>"3250616211056"</f>
        <v>3250616211056</v>
      </c>
      <c r="J3101" t="s">
        <v>8784</v>
      </c>
    </row>
    <row r="3102" spans="1:10" x14ac:dyDescent="0.25">
      <c r="A3102" t="s">
        <v>8</v>
      </c>
      <c r="B3102" t="s">
        <v>8785</v>
      </c>
      <c r="C3102" t="s">
        <v>8786</v>
      </c>
      <c r="D3102">
        <v>1</v>
      </c>
      <c r="E3102" t="s">
        <v>8625</v>
      </c>
      <c r="F3102" t="s">
        <v>8626</v>
      </c>
      <c r="G3102" s="1"/>
      <c r="H3102" t="str">
        <f>"3250616211063"</f>
        <v>3250616211063</v>
      </c>
      <c r="J3102" t="s">
        <v>957</v>
      </c>
    </row>
    <row r="3103" spans="1:10" x14ac:dyDescent="0.25">
      <c r="A3103" t="s">
        <v>8</v>
      </c>
      <c r="B3103" t="s">
        <v>8787</v>
      </c>
      <c r="C3103" t="s">
        <v>8786</v>
      </c>
      <c r="D3103">
        <v>1</v>
      </c>
      <c r="E3103" t="s">
        <v>8625</v>
      </c>
      <c r="F3103" t="s">
        <v>8626</v>
      </c>
      <c r="G3103" s="1"/>
      <c r="H3103" t="str">
        <f>"3250616211018"</f>
        <v>3250616211018</v>
      </c>
      <c r="J3103" t="s">
        <v>957</v>
      </c>
    </row>
    <row r="3104" spans="1:10" x14ac:dyDescent="0.25">
      <c r="A3104" t="s">
        <v>8</v>
      </c>
      <c r="B3104" t="s">
        <v>8788</v>
      </c>
      <c r="C3104" t="s">
        <v>8789</v>
      </c>
      <c r="D3104">
        <v>1</v>
      </c>
      <c r="E3104" t="s">
        <v>8625</v>
      </c>
      <c r="F3104" t="s">
        <v>8626</v>
      </c>
      <c r="G3104" s="1"/>
      <c r="H3104" t="str">
        <f>"3250616211100"</f>
        <v>3250616211100</v>
      </c>
      <c r="J3104" t="s">
        <v>957</v>
      </c>
    </row>
    <row r="3105" spans="1:10" x14ac:dyDescent="0.25">
      <c r="A3105" t="s">
        <v>8</v>
      </c>
      <c r="B3105" t="s">
        <v>8790</v>
      </c>
      <c r="C3105" t="s">
        <v>8791</v>
      </c>
      <c r="D3105">
        <v>1</v>
      </c>
      <c r="E3105" t="s">
        <v>8625</v>
      </c>
      <c r="F3105" t="s">
        <v>8626</v>
      </c>
      <c r="G3105" s="1"/>
      <c r="H3105" t="str">
        <f>"3250616211322"</f>
        <v>3250616211322</v>
      </c>
      <c r="J3105" t="s">
        <v>8792</v>
      </c>
    </row>
    <row r="3106" spans="1:10" x14ac:dyDescent="0.25">
      <c r="A3106" t="s">
        <v>8</v>
      </c>
      <c r="B3106" t="s">
        <v>8793</v>
      </c>
      <c r="C3106" t="s">
        <v>8794</v>
      </c>
      <c r="D3106">
        <v>1</v>
      </c>
      <c r="E3106" t="s">
        <v>8625</v>
      </c>
      <c r="F3106" t="s">
        <v>8626</v>
      </c>
      <c r="G3106" s="1"/>
      <c r="H3106" t="str">
        <f>"3250616211346"</f>
        <v>3250616211346</v>
      </c>
      <c r="J3106" t="s">
        <v>8792</v>
      </c>
    </row>
    <row r="3107" spans="1:10" x14ac:dyDescent="0.25">
      <c r="A3107" t="s">
        <v>8</v>
      </c>
      <c r="B3107" t="s">
        <v>8795</v>
      </c>
      <c r="C3107" t="s">
        <v>8796</v>
      </c>
      <c r="D3107">
        <v>1</v>
      </c>
      <c r="E3107" t="s">
        <v>8625</v>
      </c>
      <c r="F3107" t="s">
        <v>8626</v>
      </c>
      <c r="G3107" s="1"/>
      <c r="H3107" t="str">
        <f>"3250616211384"</f>
        <v>3250616211384</v>
      </c>
      <c r="J3107" t="s">
        <v>8792</v>
      </c>
    </row>
    <row r="3108" spans="1:10" x14ac:dyDescent="0.25">
      <c r="A3108" t="s">
        <v>8</v>
      </c>
      <c r="B3108" t="s">
        <v>8797</v>
      </c>
      <c r="C3108" t="s">
        <v>8798</v>
      </c>
      <c r="D3108">
        <v>1</v>
      </c>
      <c r="E3108" t="s">
        <v>8625</v>
      </c>
      <c r="F3108" t="s">
        <v>8626</v>
      </c>
      <c r="G3108" s="1"/>
      <c r="H3108" t="str">
        <f>"3250616211339"</f>
        <v>3250616211339</v>
      </c>
      <c r="J3108" t="s">
        <v>8792</v>
      </c>
    </row>
    <row r="3109" spans="1:10" x14ac:dyDescent="0.25">
      <c r="A3109" t="s">
        <v>8</v>
      </c>
      <c r="B3109" t="s">
        <v>8799</v>
      </c>
      <c r="C3109" t="s">
        <v>8800</v>
      </c>
      <c r="D3109">
        <v>1</v>
      </c>
      <c r="E3109" t="s">
        <v>8625</v>
      </c>
      <c r="F3109" t="s">
        <v>8626</v>
      </c>
      <c r="G3109" s="1"/>
      <c r="H3109" t="str">
        <f>"3250616211360"</f>
        <v>3250616211360</v>
      </c>
      <c r="J3109" t="s">
        <v>8792</v>
      </c>
    </row>
    <row r="3110" spans="1:10" x14ac:dyDescent="0.25">
      <c r="A3110" t="s">
        <v>8</v>
      </c>
      <c r="B3110" t="s">
        <v>8801</v>
      </c>
      <c r="C3110" t="s">
        <v>8802</v>
      </c>
      <c r="D3110">
        <v>1</v>
      </c>
      <c r="E3110" t="s">
        <v>8625</v>
      </c>
      <c r="F3110" t="s">
        <v>8626</v>
      </c>
      <c r="G3110" s="1"/>
      <c r="H3110" t="str">
        <f>"3250616211391"</f>
        <v>3250616211391</v>
      </c>
      <c r="J3110" t="s">
        <v>8792</v>
      </c>
    </row>
    <row r="3111" spans="1:10" x14ac:dyDescent="0.25">
      <c r="A3111" t="s">
        <v>8</v>
      </c>
      <c r="B3111" t="s">
        <v>8803</v>
      </c>
      <c r="C3111" t="s">
        <v>8804</v>
      </c>
      <c r="D3111">
        <v>1</v>
      </c>
      <c r="E3111" t="s">
        <v>8625</v>
      </c>
      <c r="F3111" t="s">
        <v>8626</v>
      </c>
      <c r="G3111" s="1"/>
      <c r="H3111" t="str">
        <f>"3250616211353"</f>
        <v>3250616211353</v>
      </c>
      <c r="J3111" t="s">
        <v>8805</v>
      </c>
    </row>
    <row r="3112" spans="1:10" x14ac:dyDescent="0.25">
      <c r="A3112" t="s">
        <v>8</v>
      </c>
      <c r="B3112" t="s">
        <v>8806</v>
      </c>
      <c r="C3112" t="s">
        <v>8807</v>
      </c>
      <c r="D3112">
        <v>1</v>
      </c>
      <c r="E3112" t="s">
        <v>8625</v>
      </c>
      <c r="F3112" t="s">
        <v>8626</v>
      </c>
      <c r="G3112" s="1"/>
      <c r="H3112" t="str">
        <f>"3250616211377"</f>
        <v>3250616211377</v>
      </c>
      <c r="J3112" t="s">
        <v>8805</v>
      </c>
    </row>
    <row r="3113" spans="1:10" x14ac:dyDescent="0.25">
      <c r="A3113" t="s">
        <v>8</v>
      </c>
      <c r="B3113" t="s">
        <v>8808</v>
      </c>
      <c r="C3113" t="s">
        <v>8809</v>
      </c>
      <c r="D3113">
        <v>1</v>
      </c>
      <c r="E3113" t="s">
        <v>8625</v>
      </c>
      <c r="F3113" t="s">
        <v>8626</v>
      </c>
      <c r="G3113" s="1"/>
      <c r="H3113" t="str">
        <f>"3250616211407"</f>
        <v>3250616211407</v>
      </c>
      <c r="J3113" t="s">
        <v>8805</v>
      </c>
    </row>
    <row r="3114" spans="1:10" x14ac:dyDescent="0.25">
      <c r="A3114" t="s">
        <v>8</v>
      </c>
      <c r="B3114" t="s">
        <v>8810</v>
      </c>
      <c r="C3114" t="s">
        <v>8811</v>
      </c>
      <c r="D3114">
        <v>1</v>
      </c>
      <c r="E3114" t="s">
        <v>8625</v>
      </c>
      <c r="F3114" t="s">
        <v>8626</v>
      </c>
      <c r="G3114" s="1"/>
      <c r="H3114" t="str">
        <f>"3250616211438"</f>
        <v>3250616211438</v>
      </c>
      <c r="J3114" t="s">
        <v>8812</v>
      </c>
    </row>
    <row r="3115" spans="1:10" x14ac:dyDescent="0.25">
      <c r="A3115" t="s">
        <v>8</v>
      </c>
      <c r="B3115" t="s">
        <v>8813</v>
      </c>
      <c r="C3115" t="s">
        <v>8814</v>
      </c>
      <c r="D3115">
        <v>1</v>
      </c>
      <c r="E3115" t="s">
        <v>8625</v>
      </c>
      <c r="F3115" t="s">
        <v>8626</v>
      </c>
      <c r="G3115" s="1"/>
      <c r="H3115" t="str">
        <f>"3250616211490"</f>
        <v>3250616211490</v>
      </c>
      <c r="J3115" t="s">
        <v>8815</v>
      </c>
    </row>
    <row r="3116" spans="1:10" x14ac:dyDescent="0.25">
      <c r="A3116" t="s">
        <v>8</v>
      </c>
      <c r="B3116" t="s">
        <v>8816</v>
      </c>
      <c r="C3116" t="s">
        <v>8817</v>
      </c>
      <c r="D3116">
        <v>1</v>
      </c>
      <c r="E3116" t="s">
        <v>8625</v>
      </c>
      <c r="F3116" t="s">
        <v>8626</v>
      </c>
      <c r="G3116" s="1"/>
      <c r="H3116" t="str">
        <f>"3250616231702"</f>
        <v>3250616231702</v>
      </c>
      <c r="J3116" t="s">
        <v>8818</v>
      </c>
    </row>
    <row r="3117" spans="1:10" x14ac:dyDescent="0.25">
      <c r="A3117" t="s">
        <v>8</v>
      </c>
      <c r="B3117" t="s">
        <v>8819</v>
      </c>
      <c r="C3117" t="s">
        <v>8820</v>
      </c>
      <c r="D3117">
        <v>1</v>
      </c>
      <c r="E3117" t="s">
        <v>8625</v>
      </c>
      <c r="F3117" t="s">
        <v>8626</v>
      </c>
      <c r="G3117" s="1"/>
      <c r="H3117" t="str">
        <f>"3250616231719"</f>
        <v>3250616231719</v>
      </c>
      <c r="J3117" t="s">
        <v>8821</v>
      </c>
    </row>
    <row r="3118" spans="1:10" x14ac:dyDescent="0.25">
      <c r="A3118" t="s">
        <v>8</v>
      </c>
      <c r="B3118" t="s">
        <v>8822</v>
      </c>
      <c r="C3118" t="s">
        <v>8823</v>
      </c>
      <c r="D3118">
        <v>1</v>
      </c>
      <c r="E3118" t="s">
        <v>8824</v>
      </c>
      <c r="F3118" t="s">
        <v>8825</v>
      </c>
      <c r="G3118" s="1"/>
      <c r="H3118" t="str">
        <f>"3250616459069"</f>
        <v>3250616459069</v>
      </c>
      <c r="J3118" t="s">
        <v>8826</v>
      </c>
    </row>
    <row r="3119" spans="1:10" x14ac:dyDescent="0.25">
      <c r="A3119" t="s">
        <v>8</v>
      </c>
      <c r="B3119" t="s">
        <v>8827</v>
      </c>
      <c r="C3119" t="s">
        <v>8828</v>
      </c>
      <c r="D3119">
        <v>1</v>
      </c>
      <c r="E3119" t="s">
        <v>8824</v>
      </c>
      <c r="F3119" t="s">
        <v>8825</v>
      </c>
      <c r="G3119" s="1"/>
      <c r="H3119" t="str">
        <f>"3250616455061"</f>
        <v>3250616455061</v>
      </c>
      <c r="J3119" t="s">
        <v>8829</v>
      </c>
    </row>
    <row r="3120" spans="1:10" x14ac:dyDescent="0.25">
      <c r="A3120" t="s">
        <v>8</v>
      </c>
      <c r="B3120" t="s">
        <v>8830</v>
      </c>
      <c r="C3120" t="s">
        <v>8831</v>
      </c>
      <c r="D3120">
        <v>1</v>
      </c>
      <c r="E3120" t="s">
        <v>8824</v>
      </c>
      <c r="F3120" t="s">
        <v>8825</v>
      </c>
      <c r="G3120" s="1"/>
      <c r="H3120" t="str">
        <f>"3250616458062"</f>
        <v>3250616458062</v>
      </c>
      <c r="J3120" t="s">
        <v>8832</v>
      </c>
    </row>
    <row r="3121" spans="1:10" x14ac:dyDescent="0.25">
      <c r="A3121" t="s">
        <v>8</v>
      </c>
      <c r="B3121" t="s">
        <v>8833</v>
      </c>
      <c r="C3121" t="s">
        <v>8834</v>
      </c>
      <c r="D3121">
        <v>1</v>
      </c>
      <c r="E3121" t="s">
        <v>8824</v>
      </c>
      <c r="F3121" t="s">
        <v>8825</v>
      </c>
      <c r="G3121" s="1"/>
      <c r="H3121" t="str">
        <f>"3250616454064"</f>
        <v>3250616454064</v>
      </c>
      <c r="J3121" t="s">
        <v>8835</v>
      </c>
    </row>
    <row r="3122" spans="1:10" x14ac:dyDescent="0.25">
      <c r="A3122" t="s">
        <v>8</v>
      </c>
      <c r="B3122" t="s">
        <v>8836</v>
      </c>
      <c r="C3122" t="s">
        <v>8837</v>
      </c>
      <c r="D3122">
        <v>1</v>
      </c>
      <c r="E3122" t="s">
        <v>8824</v>
      </c>
      <c r="F3122" t="s">
        <v>8825</v>
      </c>
      <c r="G3122" s="1"/>
      <c r="H3122" t="str">
        <f>"3250616457065"</f>
        <v>3250616457065</v>
      </c>
      <c r="J3122" t="s">
        <v>8838</v>
      </c>
    </row>
    <row r="3123" spans="1:10" x14ac:dyDescent="0.25">
      <c r="A3123" t="s">
        <v>8</v>
      </c>
      <c r="B3123" t="s">
        <v>8839</v>
      </c>
      <c r="C3123" t="s">
        <v>8840</v>
      </c>
      <c r="D3123">
        <v>1</v>
      </c>
      <c r="E3123" t="s">
        <v>8824</v>
      </c>
      <c r="F3123" t="s">
        <v>8825</v>
      </c>
      <c r="G3123" s="1"/>
      <c r="H3123" t="str">
        <f>"3250616451063"</f>
        <v>3250616451063</v>
      </c>
      <c r="J3123" t="s">
        <v>8841</v>
      </c>
    </row>
    <row r="3124" spans="1:10" x14ac:dyDescent="0.25">
      <c r="A3124" t="s">
        <v>8</v>
      </c>
      <c r="B3124" t="s">
        <v>8842</v>
      </c>
      <c r="C3124" t="s">
        <v>8843</v>
      </c>
      <c r="D3124">
        <v>1</v>
      </c>
      <c r="E3124" t="s">
        <v>8824</v>
      </c>
      <c r="F3124" t="s">
        <v>8825</v>
      </c>
      <c r="G3124" s="1"/>
      <c r="H3124" t="str">
        <f>"3250616450066"</f>
        <v>3250616450066</v>
      </c>
      <c r="J3124" t="s">
        <v>8844</v>
      </c>
    </row>
    <row r="3125" spans="1:10" x14ac:dyDescent="0.25">
      <c r="A3125" t="s">
        <v>8</v>
      </c>
      <c r="B3125" t="s">
        <v>8845</v>
      </c>
      <c r="C3125" t="s">
        <v>8846</v>
      </c>
      <c r="D3125">
        <v>1</v>
      </c>
      <c r="E3125" t="s">
        <v>8824</v>
      </c>
      <c r="F3125" t="s">
        <v>8825</v>
      </c>
      <c r="G3125" s="1"/>
      <c r="H3125" t="str">
        <f>"3250616453067"</f>
        <v>3250616453067</v>
      </c>
      <c r="J3125" t="s">
        <v>8847</v>
      </c>
    </row>
    <row r="3126" spans="1:10" x14ac:dyDescent="0.25">
      <c r="A3126" t="s">
        <v>8</v>
      </c>
      <c r="B3126" t="s">
        <v>8848</v>
      </c>
      <c r="C3126" t="s">
        <v>8849</v>
      </c>
      <c r="D3126">
        <v>1</v>
      </c>
      <c r="E3126" t="s">
        <v>8824</v>
      </c>
      <c r="F3126" t="s">
        <v>8825</v>
      </c>
      <c r="G3126" s="1"/>
      <c r="H3126" t="str">
        <f>"3250616456068"</f>
        <v>3250616456068</v>
      </c>
      <c r="J3126" t="s">
        <v>8850</v>
      </c>
    </row>
    <row r="3127" spans="1:10" x14ac:dyDescent="0.25">
      <c r="A3127" t="s">
        <v>8</v>
      </c>
      <c r="B3127" t="s">
        <v>8851</v>
      </c>
      <c r="C3127" t="s">
        <v>8852</v>
      </c>
      <c r="D3127">
        <v>1</v>
      </c>
      <c r="E3127" t="s">
        <v>8824</v>
      </c>
      <c r="F3127" t="s">
        <v>8825</v>
      </c>
      <c r="G3127" s="1"/>
      <c r="H3127" t="str">
        <f>"3250616452060"</f>
        <v>3250616452060</v>
      </c>
      <c r="J3127" t="s">
        <v>8853</v>
      </c>
    </row>
    <row r="3128" spans="1:10" x14ac:dyDescent="0.25">
      <c r="A3128" t="s">
        <v>8</v>
      </c>
      <c r="B3128" t="s">
        <v>8854</v>
      </c>
      <c r="C3128" t="s">
        <v>8855</v>
      </c>
      <c r="D3128">
        <v>1</v>
      </c>
      <c r="E3128" t="s">
        <v>8856</v>
      </c>
      <c r="F3128" t="s">
        <v>8857</v>
      </c>
      <c r="G3128" s="1"/>
      <c r="H3128" t="str">
        <f>"3250616464520"</f>
        <v>3250616464520</v>
      </c>
      <c r="J3128" t="s">
        <v>8858</v>
      </c>
    </row>
    <row r="3129" spans="1:10" x14ac:dyDescent="0.25">
      <c r="A3129" t="s">
        <v>8</v>
      </c>
      <c r="B3129" t="s">
        <v>8859</v>
      </c>
      <c r="C3129" t="s">
        <v>8860</v>
      </c>
      <c r="D3129">
        <v>1</v>
      </c>
      <c r="E3129" t="s">
        <v>8856</v>
      </c>
      <c r="F3129" t="s">
        <v>8857</v>
      </c>
      <c r="G3129" s="1"/>
      <c r="H3129" t="str">
        <f>"3250616614215"</f>
        <v>3250616614215</v>
      </c>
      <c r="J3129" t="s">
        <v>8861</v>
      </c>
    </row>
    <row r="3130" spans="1:10" x14ac:dyDescent="0.25">
      <c r="A3130" t="s">
        <v>8</v>
      </c>
      <c r="B3130" t="s">
        <v>8862</v>
      </c>
      <c r="C3130" t="s">
        <v>8863</v>
      </c>
      <c r="D3130">
        <v>1</v>
      </c>
      <c r="E3130" t="s">
        <v>8856</v>
      </c>
      <c r="F3130" t="s">
        <v>8857</v>
      </c>
      <c r="G3130" s="1"/>
      <c r="H3130" t="str">
        <f>"3250616464414"</f>
        <v>3250616464414</v>
      </c>
      <c r="J3130" t="s">
        <v>8864</v>
      </c>
    </row>
    <row r="3131" spans="1:10" x14ac:dyDescent="0.25">
      <c r="A3131" t="s">
        <v>8</v>
      </c>
      <c r="B3131" t="s">
        <v>8865</v>
      </c>
      <c r="C3131" t="s">
        <v>8866</v>
      </c>
      <c r="D3131">
        <v>1</v>
      </c>
      <c r="E3131" t="s">
        <v>8856</v>
      </c>
      <c r="F3131" t="s">
        <v>8857</v>
      </c>
      <c r="G3131" s="1"/>
      <c r="H3131" t="str">
        <f>"3250616464551"</f>
        <v>3250616464551</v>
      </c>
      <c r="J3131" t="s">
        <v>8867</v>
      </c>
    </row>
    <row r="3132" spans="1:10" x14ac:dyDescent="0.25">
      <c r="A3132" t="s">
        <v>8</v>
      </c>
      <c r="B3132" t="s">
        <v>8868</v>
      </c>
      <c r="C3132" t="s">
        <v>8869</v>
      </c>
      <c r="D3132">
        <v>1</v>
      </c>
      <c r="E3132" t="s">
        <v>8856</v>
      </c>
      <c r="F3132" t="s">
        <v>8857</v>
      </c>
      <c r="G3132" s="1"/>
      <c r="H3132" t="str">
        <f>"3250616614567"</f>
        <v>3250616614567</v>
      </c>
      <c r="J3132" t="s">
        <v>8870</v>
      </c>
    </row>
    <row r="3133" spans="1:10" x14ac:dyDescent="0.25">
      <c r="A3133" t="s">
        <v>8</v>
      </c>
      <c r="B3133" t="s">
        <v>8871</v>
      </c>
      <c r="C3133" t="s">
        <v>8872</v>
      </c>
      <c r="D3133">
        <v>1</v>
      </c>
      <c r="E3133" t="s">
        <v>8856</v>
      </c>
      <c r="F3133" t="s">
        <v>8857</v>
      </c>
      <c r="G3133" s="1"/>
      <c r="H3133" t="str">
        <f>"3250616464445"</f>
        <v>3250616464445</v>
      </c>
      <c r="J3133" t="s">
        <v>8873</v>
      </c>
    </row>
    <row r="3134" spans="1:10" x14ac:dyDescent="0.25">
      <c r="A3134" t="s">
        <v>8</v>
      </c>
      <c r="B3134" t="s">
        <v>8874</v>
      </c>
      <c r="C3134" t="s">
        <v>8875</v>
      </c>
      <c r="D3134">
        <v>1</v>
      </c>
      <c r="E3134" t="s">
        <v>8856</v>
      </c>
      <c r="F3134" t="s">
        <v>8857</v>
      </c>
      <c r="G3134" s="1"/>
      <c r="H3134" t="str">
        <f>"3250616464537"</f>
        <v>3250616464537</v>
      </c>
      <c r="J3134" t="s">
        <v>8876</v>
      </c>
    </row>
    <row r="3135" spans="1:10" x14ac:dyDescent="0.25">
      <c r="A3135" t="s">
        <v>8</v>
      </c>
      <c r="B3135" t="s">
        <v>8877</v>
      </c>
      <c r="C3135" t="s">
        <v>8878</v>
      </c>
      <c r="D3135">
        <v>1</v>
      </c>
      <c r="E3135" t="s">
        <v>8856</v>
      </c>
      <c r="F3135" t="s">
        <v>8857</v>
      </c>
      <c r="G3135" s="1"/>
      <c r="H3135" t="str">
        <f>"3250616614437"</f>
        <v>3250616614437</v>
      </c>
      <c r="J3135" t="s">
        <v>8879</v>
      </c>
    </row>
    <row r="3136" spans="1:10" x14ac:dyDescent="0.25">
      <c r="A3136" t="s">
        <v>8</v>
      </c>
      <c r="B3136" t="s">
        <v>8880</v>
      </c>
      <c r="C3136" t="s">
        <v>8881</v>
      </c>
      <c r="D3136">
        <v>1</v>
      </c>
      <c r="E3136" t="s">
        <v>8856</v>
      </c>
      <c r="F3136" t="s">
        <v>8857</v>
      </c>
      <c r="G3136" s="1"/>
      <c r="H3136" t="str">
        <f>"3250616464421"</f>
        <v>3250616464421</v>
      </c>
      <c r="J3136" t="s">
        <v>8882</v>
      </c>
    </row>
    <row r="3137" spans="1:10" x14ac:dyDescent="0.25">
      <c r="A3137" t="s">
        <v>8</v>
      </c>
      <c r="B3137" t="s">
        <v>8883</v>
      </c>
      <c r="C3137" t="s">
        <v>8884</v>
      </c>
      <c r="D3137">
        <v>1</v>
      </c>
      <c r="E3137" t="s">
        <v>8856</v>
      </c>
      <c r="F3137" t="s">
        <v>8857</v>
      </c>
      <c r="G3137" s="1"/>
      <c r="H3137" t="str">
        <f>"3250616464544"</f>
        <v>3250616464544</v>
      </c>
      <c r="J3137" t="s">
        <v>8885</v>
      </c>
    </row>
    <row r="3138" spans="1:10" x14ac:dyDescent="0.25">
      <c r="A3138" t="s">
        <v>8</v>
      </c>
      <c r="B3138" t="s">
        <v>8886</v>
      </c>
      <c r="C3138" t="s">
        <v>8887</v>
      </c>
      <c r="D3138">
        <v>1</v>
      </c>
      <c r="E3138" t="s">
        <v>8856</v>
      </c>
      <c r="F3138" t="s">
        <v>8857</v>
      </c>
      <c r="G3138" s="1"/>
      <c r="H3138" t="str">
        <f>"3250616614338"</f>
        <v>3250616614338</v>
      </c>
      <c r="J3138" t="s">
        <v>8888</v>
      </c>
    </row>
    <row r="3139" spans="1:10" x14ac:dyDescent="0.25">
      <c r="A3139" t="s">
        <v>8</v>
      </c>
      <c r="B3139" t="s">
        <v>8889</v>
      </c>
      <c r="C3139" t="s">
        <v>8890</v>
      </c>
      <c r="D3139">
        <v>1</v>
      </c>
      <c r="E3139" t="s">
        <v>8856</v>
      </c>
      <c r="F3139" t="s">
        <v>8857</v>
      </c>
      <c r="G3139" s="1"/>
      <c r="H3139" t="str">
        <f>"3250616464438"</f>
        <v>3250616464438</v>
      </c>
      <c r="J3139" t="s">
        <v>8891</v>
      </c>
    </row>
    <row r="3140" spans="1:10" x14ac:dyDescent="0.25">
      <c r="A3140" t="s">
        <v>8</v>
      </c>
      <c r="B3140" t="s">
        <v>8892</v>
      </c>
      <c r="C3140" t="s">
        <v>8893</v>
      </c>
      <c r="D3140">
        <v>1</v>
      </c>
      <c r="E3140" t="s">
        <v>8894</v>
      </c>
      <c r="F3140" t="s">
        <v>8895</v>
      </c>
      <c r="G3140" s="1"/>
      <c r="H3140" t="str">
        <f>"3250616464599"</f>
        <v>3250616464599</v>
      </c>
      <c r="J3140" t="s">
        <v>8896</v>
      </c>
    </row>
    <row r="3141" spans="1:10" x14ac:dyDescent="0.25">
      <c r="A3141" t="s">
        <v>8</v>
      </c>
      <c r="B3141" t="s">
        <v>8897</v>
      </c>
      <c r="C3141" t="s">
        <v>8898</v>
      </c>
      <c r="D3141">
        <v>1</v>
      </c>
      <c r="E3141" t="s">
        <v>8894</v>
      </c>
      <c r="F3141" t="s">
        <v>8895</v>
      </c>
      <c r="G3141" s="1"/>
      <c r="H3141" t="str">
        <f>"3250616464483"</f>
        <v>3250616464483</v>
      </c>
      <c r="J3141" t="s">
        <v>8899</v>
      </c>
    </row>
    <row r="3142" spans="1:10" x14ac:dyDescent="0.25">
      <c r="A3142" t="s">
        <v>8</v>
      </c>
      <c r="B3142" t="s">
        <v>8900</v>
      </c>
      <c r="C3142" t="s">
        <v>8884</v>
      </c>
      <c r="D3142">
        <v>1</v>
      </c>
      <c r="E3142" t="s">
        <v>8894</v>
      </c>
      <c r="F3142" t="s">
        <v>8895</v>
      </c>
      <c r="G3142" s="1"/>
      <c r="H3142" t="str">
        <f>"3250616464575"</f>
        <v>3250616464575</v>
      </c>
      <c r="J3142" t="s">
        <v>8901</v>
      </c>
    </row>
    <row r="3143" spans="1:10" x14ac:dyDescent="0.25">
      <c r="A3143" t="s">
        <v>8</v>
      </c>
      <c r="B3143" t="s">
        <v>8902</v>
      </c>
      <c r="C3143" t="s">
        <v>8890</v>
      </c>
      <c r="D3143">
        <v>1</v>
      </c>
      <c r="E3143" t="s">
        <v>8894</v>
      </c>
      <c r="F3143" t="s">
        <v>8895</v>
      </c>
      <c r="G3143" s="1"/>
      <c r="H3143" t="str">
        <f>"3250616464469"</f>
        <v>3250616464469</v>
      </c>
      <c r="J3143" t="s">
        <v>8903</v>
      </c>
    </row>
    <row r="3144" spans="1:10" x14ac:dyDescent="0.25">
      <c r="A3144" t="s">
        <v>8</v>
      </c>
      <c r="B3144" t="s">
        <v>8904</v>
      </c>
      <c r="C3144" t="s">
        <v>8905</v>
      </c>
      <c r="D3144">
        <v>1</v>
      </c>
      <c r="E3144" t="s">
        <v>8894</v>
      </c>
      <c r="F3144" t="s">
        <v>8895</v>
      </c>
      <c r="G3144" s="1"/>
      <c r="H3144" t="str">
        <f>"3250616464582"</f>
        <v>3250616464582</v>
      </c>
      <c r="J3144" t="s">
        <v>8906</v>
      </c>
    </row>
    <row r="3145" spans="1:10" x14ac:dyDescent="0.25">
      <c r="A3145" t="s">
        <v>8</v>
      </c>
      <c r="B3145" t="s">
        <v>8907</v>
      </c>
      <c r="C3145" t="s">
        <v>8908</v>
      </c>
      <c r="D3145">
        <v>1</v>
      </c>
      <c r="E3145" t="s">
        <v>8894</v>
      </c>
      <c r="F3145" t="s">
        <v>8895</v>
      </c>
      <c r="G3145" s="1"/>
      <c r="H3145" t="str">
        <f>"3250616464476"</f>
        <v>3250616464476</v>
      </c>
      <c r="J3145" t="s">
        <v>8909</v>
      </c>
    </row>
    <row r="3146" spans="1:10" x14ac:dyDescent="0.25">
      <c r="A3146" t="s">
        <v>8</v>
      </c>
      <c r="B3146" t="s">
        <v>8910</v>
      </c>
      <c r="C3146" t="s">
        <v>8911</v>
      </c>
      <c r="D3146">
        <v>1</v>
      </c>
      <c r="E3146" t="s">
        <v>8894</v>
      </c>
      <c r="F3146" t="s">
        <v>8895</v>
      </c>
      <c r="G3146" s="1"/>
      <c r="H3146" t="str">
        <f>"3250616464568"</f>
        <v>3250616464568</v>
      </c>
      <c r="J3146" t="s">
        <v>8912</v>
      </c>
    </row>
    <row r="3147" spans="1:10" x14ac:dyDescent="0.25">
      <c r="A3147" t="s">
        <v>8</v>
      </c>
      <c r="B3147" t="s">
        <v>8913</v>
      </c>
      <c r="C3147" t="s">
        <v>8914</v>
      </c>
      <c r="D3147">
        <v>1</v>
      </c>
      <c r="E3147" t="s">
        <v>8894</v>
      </c>
      <c r="F3147" t="s">
        <v>8895</v>
      </c>
      <c r="G3147" s="1"/>
      <c r="H3147" t="str">
        <f>"3250616464452"</f>
        <v>3250616464452</v>
      </c>
      <c r="J3147" t="s">
        <v>8915</v>
      </c>
    </row>
    <row r="3148" spans="1:10" x14ac:dyDescent="0.25">
      <c r="A3148" t="s">
        <v>8</v>
      </c>
      <c r="B3148" t="s">
        <v>8916</v>
      </c>
      <c r="C3148" t="s">
        <v>8917</v>
      </c>
      <c r="D3148">
        <v>1</v>
      </c>
      <c r="E3148" t="s">
        <v>8918</v>
      </c>
      <c r="F3148" t="s">
        <v>8919</v>
      </c>
      <c r="G3148" s="1"/>
      <c r="H3148" t="str">
        <f>"3250616595347"</f>
        <v>3250616595347</v>
      </c>
      <c r="J3148" t="s">
        <v>8920</v>
      </c>
    </row>
    <row r="3149" spans="1:10" x14ac:dyDescent="0.25">
      <c r="A3149" t="s">
        <v>8</v>
      </c>
      <c r="B3149" t="s">
        <v>8921</v>
      </c>
      <c r="C3149" t="s">
        <v>8922</v>
      </c>
      <c r="D3149">
        <v>1</v>
      </c>
      <c r="E3149" t="s">
        <v>8918</v>
      </c>
      <c r="F3149" t="s">
        <v>8919</v>
      </c>
      <c r="G3149" s="1"/>
      <c r="H3149" t="str">
        <f>"3250616595484"</f>
        <v>3250616595484</v>
      </c>
      <c r="J3149" t="s">
        <v>8923</v>
      </c>
    </row>
    <row r="3150" spans="1:10" x14ac:dyDescent="0.25">
      <c r="A3150" t="s">
        <v>8</v>
      </c>
      <c r="B3150" t="s">
        <v>8924</v>
      </c>
      <c r="C3150" t="s">
        <v>8925</v>
      </c>
      <c r="D3150">
        <v>1</v>
      </c>
      <c r="E3150" t="s">
        <v>8918</v>
      </c>
      <c r="F3150" t="s">
        <v>8919</v>
      </c>
      <c r="G3150" s="1"/>
      <c r="H3150" t="str">
        <f>"3250616595378"</f>
        <v>3250616595378</v>
      </c>
      <c r="J3150" t="s">
        <v>8926</v>
      </c>
    </row>
    <row r="3151" spans="1:10" x14ac:dyDescent="0.25">
      <c r="A3151" t="s">
        <v>8</v>
      </c>
      <c r="B3151" t="s">
        <v>8927</v>
      </c>
      <c r="C3151" t="s">
        <v>8928</v>
      </c>
      <c r="D3151">
        <v>1</v>
      </c>
      <c r="E3151" t="s">
        <v>8918</v>
      </c>
      <c r="F3151" t="s">
        <v>8919</v>
      </c>
      <c r="G3151" s="1"/>
      <c r="H3151" t="str">
        <f>"3250616595477"</f>
        <v>3250616595477</v>
      </c>
      <c r="J3151" t="s">
        <v>8929</v>
      </c>
    </row>
    <row r="3152" spans="1:10" x14ac:dyDescent="0.25">
      <c r="A3152" t="s">
        <v>8</v>
      </c>
      <c r="B3152" t="s">
        <v>8930</v>
      </c>
      <c r="C3152" t="s">
        <v>8931</v>
      </c>
      <c r="D3152">
        <v>1</v>
      </c>
      <c r="E3152" t="s">
        <v>8918</v>
      </c>
      <c r="F3152" t="s">
        <v>8919</v>
      </c>
      <c r="G3152" s="1"/>
      <c r="H3152" t="str">
        <f>"3250616595361"</f>
        <v>3250616595361</v>
      </c>
      <c r="J3152" t="s">
        <v>8932</v>
      </c>
    </row>
    <row r="3153" spans="1:10" x14ac:dyDescent="0.25">
      <c r="A3153" t="s">
        <v>8</v>
      </c>
      <c r="B3153" t="s">
        <v>8933</v>
      </c>
      <c r="C3153" t="s">
        <v>8934</v>
      </c>
      <c r="D3153">
        <v>1</v>
      </c>
      <c r="E3153" t="s">
        <v>8918</v>
      </c>
      <c r="F3153" t="s">
        <v>8919</v>
      </c>
      <c r="G3153" s="1"/>
      <c r="H3153" t="str">
        <f>"3250616595460"</f>
        <v>3250616595460</v>
      </c>
      <c r="J3153" t="s">
        <v>8935</v>
      </c>
    </row>
    <row r="3154" spans="1:10" x14ac:dyDescent="0.25">
      <c r="A3154" t="s">
        <v>8</v>
      </c>
      <c r="B3154" t="s">
        <v>8936</v>
      </c>
      <c r="C3154" t="s">
        <v>8937</v>
      </c>
      <c r="D3154">
        <v>1</v>
      </c>
      <c r="E3154" t="s">
        <v>8918</v>
      </c>
      <c r="F3154" t="s">
        <v>8919</v>
      </c>
      <c r="G3154" s="1"/>
      <c r="H3154" t="str">
        <f>"3250616595354"</f>
        <v>3250616595354</v>
      </c>
      <c r="J3154" t="s">
        <v>8938</v>
      </c>
    </row>
    <row r="3155" spans="1:10" x14ac:dyDescent="0.25">
      <c r="A3155" t="s">
        <v>8</v>
      </c>
      <c r="B3155" t="s">
        <v>8939</v>
      </c>
      <c r="C3155" t="s">
        <v>8940</v>
      </c>
      <c r="D3155">
        <v>1</v>
      </c>
      <c r="E3155" t="s">
        <v>8918</v>
      </c>
      <c r="F3155" t="s">
        <v>8919</v>
      </c>
      <c r="G3155" s="1"/>
      <c r="H3155" t="str">
        <f>"3250616595453"</f>
        <v>3250616595453</v>
      </c>
      <c r="J3155" t="s">
        <v>8941</v>
      </c>
    </row>
    <row r="3156" spans="1:10" x14ac:dyDescent="0.25">
      <c r="A3156" t="s">
        <v>8</v>
      </c>
      <c r="B3156" t="s">
        <v>8942</v>
      </c>
      <c r="C3156" t="s">
        <v>8943</v>
      </c>
      <c r="D3156">
        <v>1</v>
      </c>
      <c r="E3156" t="s">
        <v>8944</v>
      </c>
      <c r="F3156" t="s">
        <v>8945</v>
      </c>
      <c r="G3156" s="1"/>
      <c r="H3156" t="str">
        <f>"3250617100458"</f>
        <v>3250617100458</v>
      </c>
      <c r="J3156" t="s">
        <v>8946</v>
      </c>
    </row>
    <row r="3157" spans="1:10" x14ac:dyDescent="0.25">
      <c r="A3157" t="s">
        <v>8</v>
      </c>
      <c r="B3157" t="s">
        <v>8947</v>
      </c>
      <c r="C3157" t="s">
        <v>8948</v>
      </c>
      <c r="D3157">
        <v>1</v>
      </c>
      <c r="E3157" t="s">
        <v>8944</v>
      </c>
      <c r="F3157" t="s">
        <v>8945</v>
      </c>
      <c r="G3157" s="1"/>
      <c r="H3157" t="str">
        <f>"3250617102537"</f>
        <v>3250617102537</v>
      </c>
      <c r="J3157" t="s">
        <v>8949</v>
      </c>
    </row>
    <row r="3158" spans="1:10" x14ac:dyDescent="0.25">
      <c r="A3158" t="s">
        <v>8</v>
      </c>
      <c r="B3158" t="s">
        <v>8950</v>
      </c>
      <c r="C3158" t="s">
        <v>8951</v>
      </c>
      <c r="D3158">
        <v>1</v>
      </c>
      <c r="E3158" t="s">
        <v>8944</v>
      </c>
      <c r="F3158" t="s">
        <v>8945</v>
      </c>
      <c r="G3158" s="1"/>
      <c r="H3158" t="str">
        <f>"3250617110662"</f>
        <v>3250617110662</v>
      </c>
      <c r="J3158" t="s">
        <v>8952</v>
      </c>
    </row>
    <row r="3159" spans="1:10" x14ac:dyDescent="0.25">
      <c r="A3159" t="s">
        <v>8</v>
      </c>
      <c r="B3159" t="s">
        <v>8953</v>
      </c>
      <c r="C3159" t="s">
        <v>8954</v>
      </c>
      <c r="D3159">
        <v>1</v>
      </c>
      <c r="E3159" t="s">
        <v>8944</v>
      </c>
      <c r="F3159" t="s">
        <v>8945</v>
      </c>
      <c r="G3159" s="1"/>
      <c r="H3159" t="str">
        <f>"3250617130448"</f>
        <v>3250617130448</v>
      </c>
      <c r="J3159" t="s">
        <v>8955</v>
      </c>
    </row>
    <row r="3160" spans="1:10" x14ac:dyDescent="0.25">
      <c r="A3160" t="s">
        <v>8</v>
      </c>
      <c r="B3160" t="s">
        <v>8956</v>
      </c>
      <c r="C3160" t="s">
        <v>8957</v>
      </c>
      <c r="D3160">
        <v>1</v>
      </c>
      <c r="E3160" t="s">
        <v>8944</v>
      </c>
      <c r="F3160" t="s">
        <v>8945</v>
      </c>
      <c r="G3160" s="1"/>
      <c r="H3160" t="str">
        <f>"3250617103008"</f>
        <v>3250617103008</v>
      </c>
      <c r="J3160" t="s">
        <v>8958</v>
      </c>
    </row>
    <row r="3161" spans="1:10" x14ac:dyDescent="0.25">
      <c r="A3161" t="s">
        <v>8</v>
      </c>
      <c r="B3161" t="s">
        <v>8959</v>
      </c>
      <c r="C3161" t="s">
        <v>8960</v>
      </c>
      <c r="D3161">
        <v>1</v>
      </c>
      <c r="E3161" t="s">
        <v>8944</v>
      </c>
      <c r="F3161" t="s">
        <v>8945</v>
      </c>
      <c r="G3161" s="1"/>
      <c r="H3161" t="str">
        <f>"3250617100236"</f>
        <v>3250617100236</v>
      </c>
      <c r="J3161" t="s">
        <v>8961</v>
      </c>
    </row>
    <row r="3162" spans="1:10" x14ac:dyDescent="0.25">
      <c r="A3162" t="s">
        <v>8</v>
      </c>
      <c r="B3162" t="s">
        <v>8962</v>
      </c>
      <c r="C3162" t="s">
        <v>8963</v>
      </c>
      <c r="D3162">
        <v>1</v>
      </c>
      <c r="E3162" t="s">
        <v>8944</v>
      </c>
      <c r="F3162" t="s">
        <v>8945</v>
      </c>
      <c r="G3162" s="1"/>
      <c r="H3162" t="str">
        <f>"3250617100441"</f>
        <v>3250617100441</v>
      </c>
      <c r="J3162" t="s">
        <v>8964</v>
      </c>
    </row>
    <row r="3163" spans="1:10" x14ac:dyDescent="0.25">
      <c r="A3163" t="s">
        <v>8</v>
      </c>
      <c r="B3163" t="s">
        <v>8965</v>
      </c>
      <c r="C3163" t="s">
        <v>8966</v>
      </c>
      <c r="D3163">
        <v>1</v>
      </c>
      <c r="E3163" t="s">
        <v>8944</v>
      </c>
      <c r="F3163" t="s">
        <v>8945</v>
      </c>
      <c r="G3163" s="1"/>
      <c r="H3163" t="str">
        <f>"3250617101554"</f>
        <v>3250617101554</v>
      </c>
      <c r="J3163" t="s">
        <v>8967</v>
      </c>
    </row>
    <row r="3164" spans="1:10" x14ac:dyDescent="0.25">
      <c r="A3164" t="s">
        <v>8</v>
      </c>
      <c r="B3164" t="s">
        <v>8968</v>
      </c>
      <c r="C3164" t="s">
        <v>8969</v>
      </c>
      <c r="D3164">
        <v>1</v>
      </c>
      <c r="E3164" t="s">
        <v>8944</v>
      </c>
      <c r="F3164" t="s">
        <v>8945</v>
      </c>
      <c r="G3164" s="1"/>
      <c r="H3164" t="str">
        <f>"3250617130226"</f>
        <v>3250617130226</v>
      </c>
      <c r="J3164" t="s">
        <v>8970</v>
      </c>
    </row>
    <row r="3165" spans="1:10" x14ac:dyDescent="0.25">
      <c r="A3165" t="s">
        <v>8</v>
      </c>
      <c r="B3165" t="s">
        <v>8971</v>
      </c>
      <c r="C3165" t="s">
        <v>8972</v>
      </c>
      <c r="D3165">
        <v>1</v>
      </c>
      <c r="E3165" t="s">
        <v>8944</v>
      </c>
      <c r="F3165" t="s">
        <v>8945</v>
      </c>
      <c r="G3165" s="1"/>
      <c r="H3165" t="str">
        <f>"3250617102902"</f>
        <v>3250617102902</v>
      </c>
      <c r="J3165" t="s">
        <v>8973</v>
      </c>
    </row>
    <row r="3166" spans="1:10" x14ac:dyDescent="0.25">
      <c r="A3166" t="s">
        <v>8</v>
      </c>
      <c r="B3166" t="s">
        <v>8974</v>
      </c>
      <c r="C3166" t="s">
        <v>8975</v>
      </c>
      <c r="D3166">
        <v>1</v>
      </c>
      <c r="E3166" t="s">
        <v>8944</v>
      </c>
      <c r="F3166" t="s">
        <v>8945</v>
      </c>
      <c r="G3166" s="1"/>
      <c r="H3166" t="str">
        <f>"3250617100229"</f>
        <v>3250617100229</v>
      </c>
      <c r="J3166" t="s">
        <v>8976</v>
      </c>
    </row>
    <row r="3167" spans="1:10" x14ac:dyDescent="0.25">
      <c r="A3167" t="s">
        <v>8</v>
      </c>
      <c r="B3167" t="s">
        <v>8977</v>
      </c>
      <c r="C3167" t="s">
        <v>8978</v>
      </c>
      <c r="D3167">
        <v>1</v>
      </c>
      <c r="E3167" t="s">
        <v>8944</v>
      </c>
      <c r="F3167" t="s">
        <v>8945</v>
      </c>
      <c r="G3167" s="1"/>
      <c r="H3167" t="str">
        <f>"3250617100632"</f>
        <v>3250617100632</v>
      </c>
      <c r="J3167" t="s">
        <v>8979</v>
      </c>
    </row>
    <row r="3168" spans="1:10" x14ac:dyDescent="0.25">
      <c r="A3168" t="s">
        <v>8</v>
      </c>
      <c r="B3168" t="s">
        <v>8980</v>
      </c>
      <c r="C3168" t="s">
        <v>8981</v>
      </c>
      <c r="D3168">
        <v>1</v>
      </c>
      <c r="E3168" t="s">
        <v>8944</v>
      </c>
      <c r="F3168" t="s">
        <v>8945</v>
      </c>
      <c r="G3168" s="1"/>
      <c r="H3168" t="str">
        <f>"3250617131025"</f>
        <v>3250617131025</v>
      </c>
      <c r="J3168" t="s">
        <v>8982</v>
      </c>
    </row>
    <row r="3169" spans="1:10" x14ac:dyDescent="0.25">
      <c r="A3169" t="s">
        <v>8</v>
      </c>
      <c r="B3169" t="s">
        <v>8983</v>
      </c>
      <c r="C3169" t="s">
        <v>8984</v>
      </c>
      <c r="D3169">
        <v>1</v>
      </c>
      <c r="E3169" t="s">
        <v>8944</v>
      </c>
      <c r="F3169" t="s">
        <v>8945</v>
      </c>
      <c r="G3169" s="1"/>
      <c r="H3169" t="str">
        <f>"3250617102506"</f>
        <v>3250617102506</v>
      </c>
      <c r="J3169" t="s">
        <v>8985</v>
      </c>
    </row>
    <row r="3170" spans="1:10" x14ac:dyDescent="0.25">
      <c r="A3170" t="s">
        <v>8</v>
      </c>
      <c r="B3170" t="s">
        <v>8986</v>
      </c>
      <c r="C3170" t="s">
        <v>8987</v>
      </c>
      <c r="D3170">
        <v>1</v>
      </c>
      <c r="E3170" t="s">
        <v>8944</v>
      </c>
      <c r="F3170" t="s">
        <v>8945</v>
      </c>
      <c r="G3170" s="1"/>
      <c r="H3170" t="str">
        <f>"3250617102599"</f>
        <v>3250617102599</v>
      </c>
      <c r="J3170" t="s">
        <v>8988</v>
      </c>
    </row>
    <row r="3171" spans="1:10" x14ac:dyDescent="0.25">
      <c r="A3171" t="s">
        <v>8</v>
      </c>
      <c r="B3171" t="s">
        <v>8989</v>
      </c>
      <c r="C3171" t="s">
        <v>8990</v>
      </c>
      <c r="D3171">
        <v>1</v>
      </c>
      <c r="E3171" t="s">
        <v>8944</v>
      </c>
      <c r="F3171" t="s">
        <v>8945</v>
      </c>
      <c r="G3171" s="1"/>
      <c r="H3171" t="str">
        <f>"3250617100014"</f>
        <v>3250617100014</v>
      </c>
      <c r="J3171" t="s">
        <v>8991</v>
      </c>
    </row>
    <row r="3172" spans="1:10" x14ac:dyDescent="0.25">
      <c r="A3172" t="s">
        <v>8</v>
      </c>
      <c r="B3172" t="s">
        <v>8992</v>
      </c>
      <c r="C3172" t="s">
        <v>8993</v>
      </c>
      <c r="D3172">
        <v>1</v>
      </c>
      <c r="E3172" t="s">
        <v>8944</v>
      </c>
      <c r="F3172" t="s">
        <v>8945</v>
      </c>
      <c r="G3172" s="1"/>
      <c r="H3172" t="str">
        <f>"3250617100106"</f>
        <v>3250617100106</v>
      </c>
      <c r="J3172" t="s">
        <v>7161</v>
      </c>
    </row>
    <row r="3173" spans="1:10" x14ac:dyDescent="0.25">
      <c r="A3173" t="s">
        <v>8</v>
      </c>
      <c r="B3173" t="s">
        <v>8994</v>
      </c>
      <c r="C3173" t="s">
        <v>8995</v>
      </c>
      <c r="D3173">
        <v>1</v>
      </c>
      <c r="E3173" t="s">
        <v>8944</v>
      </c>
      <c r="F3173" t="s">
        <v>8945</v>
      </c>
      <c r="G3173" s="1"/>
      <c r="H3173" t="str">
        <f>"3250617100496"</f>
        <v>3250617100496</v>
      </c>
      <c r="J3173" t="s">
        <v>8996</v>
      </c>
    </row>
    <row r="3174" spans="1:10" x14ac:dyDescent="0.25">
      <c r="A3174" t="s">
        <v>8</v>
      </c>
      <c r="B3174" t="s">
        <v>8997</v>
      </c>
      <c r="C3174" t="s">
        <v>8998</v>
      </c>
      <c r="D3174">
        <v>1</v>
      </c>
      <c r="E3174" t="s">
        <v>8944</v>
      </c>
      <c r="F3174" t="s">
        <v>8945</v>
      </c>
      <c r="G3174" s="1"/>
      <c r="H3174" t="str">
        <f>"3250617101028"</f>
        <v>3250617101028</v>
      </c>
      <c r="J3174" t="s">
        <v>8999</v>
      </c>
    </row>
    <row r="3175" spans="1:10" x14ac:dyDescent="0.25">
      <c r="A3175" t="s">
        <v>8</v>
      </c>
      <c r="B3175" t="s">
        <v>9000</v>
      </c>
      <c r="C3175" t="s">
        <v>9001</v>
      </c>
      <c r="D3175">
        <v>1</v>
      </c>
      <c r="E3175" t="s">
        <v>8944</v>
      </c>
      <c r="F3175" t="s">
        <v>8945</v>
      </c>
      <c r="G3175" s="1"/>
      <c r="H3175" t="str">
        <f>"3250617102261"</f>
        <v>3250617102261</v>
      </c>
      <c r="J3175" t="s">
        <v>7849</v>
      </c>
    </row>
    <row r="3176" spans="1:10" x14ac:dyDescent="0.25">
      <c r="A3176" t="s">
        <v>8</v>
      </c>
      <c r="B3176" t="s">
        <v>9002</v>
      </c>
      <c r="C3176" t="s">
        <v>9003</v>
      </c>
      <c r="D3176">
        <v>1</v>
      </c>
      <c r="E3176" t="s">
        <v>8944</v>
      </c>
      <c r="F3176" t="s">
        <v>8945</v>
      </c>
      <c r="G3176" s="1"/>
      <c r="H3176" t="str">
        <f>"3250617100465"</f>
        <v>3250617100465</v>
      </c>
      <c r="J3176" t="s">
        <v>9004</v>
      </c>
    </row>
    <row r="3177" spans="1:10" x14ac:dyDescent="0.25">
      <c r="A3177" t="s">
        <v>8</v>
      </c>
      <c r="B3177" t="s">
        <v>9005</v>
      </c>
      <c r="C3177" t="s">
        <v>9006</v>
      </c>
      <c r="D3177">
        <v>1</v>
      </c>
      <c r="E3177" t="s">
        <v>8944</v>
      </c>
      <c r="F3177" t="s">
        <v>8945</v>
      </c>
      <c r="G3177" s="1"/>
      <c r="H3177" t="str">
        <f>"3250617100403"</f>
        <v>3250617100403</v>
      </c>
      <c r="J3177" t="s">
        <v>9007</v>
      </c>
    </row>
    <row r="3178" spans="1:10" x14ac:dyDescent="0.25">
      <c r="A3178" t="s">
        <v>8</v>
      </c>
      <c r="B3178" t="s">
        <v>9008</v>
      </c>
      <c r="C3178" t="s">
        <v>9009</v>
      </c>
      <c r="D3178">
        <v>1</v>
      </c>
      <c r="E3178" t="s">
        <v>8944</v>
      </c>
      <c r="F3178" t="s">
        <v>8945</v>
      </c>
      <c r="G3178" s="1"/>
      <c r="H3178" t="str">
        <f>"3250617102001"</f>
        <v>3250617102001</v>
      </c>
      <c r="J3178" t="s">
        <v>9010</v>
      </c>
    </row>
    <row r="3179" spans="1:10" x14ac:dyDescent="0.25">
      <c r="A3179" t="s">
        <v>8</v>
      </c>
      <c r="B3179" t="s">
        <v>9011</v>
      </c>
      <c r="C3179" t="s">
        <v>9012</v>
      </c>
      <c r="D3179">
        <v>1</v>
      </c>
      <c r="E3179" t="s">
        <v>8944</v>
      </c>
      <c r="F3179" t="s">
        <v>8945</v>
      </c>
      <c r="G3179" s="1"/>
      <c r="H3179" t="str">
        <f>"3250617103107"</f>
        <v>3250617103107</v>
      </c>
      <c r="J3179" t="s">
        <v>9013</v>
      </c>
    </row>
    <row r="3180" spans="1:10" x14ac:dyDescent="0.25">
      <c r="A3180" t="s">
        <v>8</v>
      </c>
      <c r="B3180" t="s">
        <v>9014</v>
      </c>
      <c r="C3180" t="s">
        <v>9015</v>
      </c>
      <c r="D3180">
        <v>1</v>
      </c>
      <c r="E3180" t="s">
        <v>8944</v>
      </c>
      <c r="F3180" t="s">
        <v>8945</v>
      </c>
      <c r="G3180" s="1"/>
      <c r="H3180" t="str">
        <f>"3250617131001"</f>
        <v>3250617131001</v>
      </c>
      <c r="J3180" t="s">
        <v>9016</v>
      </c>
    </row>
    <row r="3181" spans="1:10" x14ac:dyDescent="0.25">
      <c r="A3181" t="s">
        <v>8</v>
      </c>
      <c r="B3181" t="s">
        <v>9017</v>
      </c>
      <c r="C3181" t="s">
        <v>9018</v>
      </c>
      <c r="D3181">
        <v>1</v>
      </c>
      <c r="E3181" t="s">
        <v>8944</v>
      </c>
      <c r="F3181" t="s">
        <v>8945</v>
      </c>
      <c r="G3181" s="1"/>
      <c r="H3181" t="str">
        <f>"3250617101578"</f>
        <v>3250617101578</v>
      </c>
      <c r="J3181" t="s">
        <v>9019</v>
      </c>
    </row>
    <row r="3182" spans="1:10" x14ac:dyDescent="0.25">
      <c r="A3182" t="s">
        <v>8</v>
      </c>
      <c r="B3182" t="s">
        <v>9020</v>
      </c>
      <c r="C3182" t="s">
        <v>9021</v>
      </c>
      <c r="D3182">
        <v>1</v>
      </c>
      <c r="E3182" t="s">
        <v>8944</v>
      </c>
      <c r="F3182" t="s">
        <v>8945</v>
      </c>
      <c r="G3182" s="1"/>
      <c r="H3182" t="str">
        <f>"3250617102575"</f>
        <v>3250617102575</v>
      </c>
      <c r="J3182" t="s">
        <v>9022</v>
      </c>
    </row>
    <row r="3183" spans="1:10" x14ac:dyDescent="0.25">
      <c r="A3183" t="s">
        <v>8</v>
      </c>
      <c r="B3183" t="s">
        <v>9023</v>
      </c>
      <c r="C3183" t="s">
        <v>9024</v>
      </c>
      <c r="D3183">
        <v>1</v>
      </c>
      <c r="E3183" t="s">
        <v>8944</v>
      </c>
      <c r="F3183" t="s">
        <v>8945</v>
      </c>
      <c r="G3183" s="1"/>
      <c r="H3183" t="str">
        <f>"3250617103015"</f>
        <v>3250617103015</v>
      </c>
      <c r="J3183" t="s">
        <v>9025</v>
      </c>
    </row>
    <row r="3184" spans="1:10" x14ac:dyDescent="0.25">
      <c r="A3184" t="s">
        <v>8</v>
      </c>
      <c r="B3184" t="s">
        <v>9026</v>
      </c>
      <c r="C3184" t="s">
        <v>9027</v>
      </c>
      <c r="D3184">
        <v>1</v>
      </c>
      <c r="E3184" t="s">
        <v>8944</v>
      </c>
      <c r="F3184" t="s">
        <v>8945</v>
      </c>
      <c r="G3184" s="1"/>
      <c r="H3184" t="str">
        <f>"3250617100250"</f>
        <v>3250617100250</v>
      </c>
      <c r="J3184" t="s">
        <v>9028</v>
      </c>
    </row>
    <row r="3185" spans="1:10" x14ac:dyDescent="0.25">
      <c r="A3185" t="s">
        <v>8</v>
      </c>
      <c r="B3185" t="s">
        <v>9029</v>
      </c>
      <c r="C3185" t="s">
        <v>9030</v>
      </c>
      <c r="D3185">
        <v>1</v>
      </c>
      <c r="E3185" t="s">
        <v>8944</v>
      </c>
      <c r="F3185" t="s">
        <v>8945</v>
      </c>
      <c r="G3185" s="1"/>
      <c r="H3185" t="str">
        <f>"3250617110679"</f>
        <v>3250617110679</v>
      </c>
      <c r="J3185" t="s">
        <v>9031</v>
      </c>
    </row>
    <row r="3186" spans="1:10" x14ac:dyDescent="0.25">
      <c r="A3186" t="s">
        <v>8</v>
      </c>
      <c r="B3186" t="s">
        <v>9032</v>
      </c>
      <c r="C3186" t="s">
        <v>8966</v>
      </c>
      <c r="D3186">
        <v>1</v>
      </c>
      <c r="E3186" t="s">
        <v>8944</v>
      </c>
      <c r="F3186" t="s">
        <v>8945</v>
      </c>
      <c r="G3186" s="1"/>
      <c r="H3186" t="str">
        <f>"3250617101561"</f>
        <v>3250617101561</v>
      </c>
      <c r="J3186" t="s">
        <v>9033</v>
      </c>
    </row>
    <row r="3187" spans="1:10" x14ac:dyDescent="0.25">
      <c r="A3187" t="s">
        <v>8</v>
      </c>
      <c r="B3187" t="s">
        <v>9034</v>
      </c>
      <c r="C3187" t="s">
        <v>9035</v>
      </c>
      <c r="D3187">
        <v>1</v>
      </c>
      <c r="E3187" t="s">
        <v>8944</v>
      </c>
      <c r="F3187" t="s">
        <v>8945</v>
      </c>
      <c r="G3187" s="1"/>
      <c r="H3187" t="str">
        <f>"3250617102568"</f>
        <v>3250617102568</v>
      </c>
      <c r="J3187" t="s">
        <v>9036</v>
      </c>
    </row>
    <row r="3188" spans="1:10" x14ac:dyDescent="0.25">
      <c r="A3188" t="s">
        <v>8</v>
      </c>
      <c r="B3188" t="s">
        <v>9037</v>
      </c>
      <c r="C3188" t="s">
        <v>9038</v>
      </c>
      <c r="D3188">
        <v>1</v>
      </c>
      <c r="E3188" t="s">
        <v>8944</v>
      </c>
      <c r="F3188" t="s">
        <v>8945</v>
      </c>
      <c r="G3188" s="1"/>
      <c r="H3188" t="str">
        <f>"3250617101004"</f>
        <v>3250617101004</v>
      </c>
      <c r="J3188" t="s">
        <v>9039</v>
      </c>
    </row>
    <row r="3189" spans="1:10" x14ac:dyDescent="0.25">
      <c r="A3189" t="s">
        <v>8</v>
      </c>
      <c r="B3189" t="s">
        <v>9040</v>
      </c>
      <c r="C3189" t="s">
        <v>9041</v>
      </c>
      <c r="D3189">
        <v>1</v>
      </c>
      <c r="E3189" t="s">
        <v>8944</v>
      </c>
      <c r="F3189" t="s">
        <v>8945</v>
      </c>
      <c r="G3189" s="1"/>
      <c r="H3189" t="str">
        <f>"3250617101226"</f>
        <v>3250617101226</v>
      </c>
      <c r="J3189" t="s">
        <v>9042</v>
      </c>
    </row>
    <row r="3190" spans="1:10" x14ac:dyDescent="0.25">
      <c r="A3190" t="s">
        <v>8</v>
      </c>
      <c r="B3190" t="s">
        <v>9043</v>
      </c>
      <c r="C3190" t="s">
        <v>9044</v>
      </c>
      <c r="D3190">
        <v>1</v>
      </c>
      <c r="E3190" t="s">
        <v>8944</v>
      </c>
      <c r="F3190" t="s">
        <v>8945</v>
      </c>
      <c r="G3190" s="1"/>
      <c r="H3190" t="str">
        <f>"3250617101233"</f>
        <v>3250617101233</v>
      </c>
      <c r="J3190" t="s">
        <v>9045</v>
      </c>
    </row>
    <row r="3191" spans="1:10" x14ac:dyDescent="0.25">
      <c r="A3191" t="s">
        <v>8</v>
      </c>
      <c r="B3191" t="s">
        <v>9046</v>
      </c>
      <c r="C3191" t="s">
        <v>9047</v>
      </c>
      <c r="D3191">
        <v>1</v>
      </c>
      <c r="E3191" t="s">
        <v>8944</v>
      </c>
      <c r="F3191" t="s">
        <v>8945</v>
      </c>
      <c r="G3191" s="1"/>
      <c r="H3191" t="str">
        <f>"3250617102582"</f>
        <v>3250617102582</v>
      </c>
      <c r="J3191" t="s">
        <v>9048</v>
      </c>
    </row>
    <row r="3192" spans="1:10" x14ac:dyDescent="0.25">
      <c r="A3192" t="s">
        <v>8</v>
      </c>
      <c r="B3192" t="s">
        <v>9049</v>
      </c>
      <c r="C3192" t="s">
        <v>9050</v>
      </c>
      <c r="D3192">
        <v>1</v>
      </c>
      <c r="E3192" t="s">
        <v>8944</v>
      </c>
      <c r="F3192" t="s">
        <v>8945</v>
      </c>
      <c r="G3192" s="1"/>
      <c r="H3192" t="str">
        <f>"3250617100038"</f>
        <v>3250617100038</v>
      </c>
      <c r="J3192" t="s">
        <v>9051</v>
      </c>
    </row>
    <row r="3193" spans="1:10" x14ac:dyDescent="0.25">
      <c r="A3193" t="s">
        <v>8</v>
      </c>
      <c r="B3193" t="s">
        <v>9052</v>
      </c>
      <c r="C3193" t="s">
        <v>9053</v>
      </c>
      <c r="D3193">
        <v>1</v>
      </c>
      <c r="E3193" t="s">
        <v>8944</v>
      </c>
      <c r="F3193" t="s">
        <v>8945</v>
      </c>
      <c r="G3193" s="1"/>
      <c r="H3193" t="str">
        <f>"3250617102285"</f>
        <v>3250617102285</v>
      </c>
      <c r="J3193" t="s">
        <v>9054</v>
      </c>
    </row>
    <row r="3194" spans="1:10" x14ac:dyDescent="0.25">
      <c r="A3194" t="s">
        <v>8</v>
      </c>
      <c r="B3194" t="s">
        <v>9055</v>
      </c>
      <c r="C3194" t="s">
        <v>9056</v>
      </c>
      <c r="D3194">
        <v>1</v>
      </c>
      <c r="E3194" t="s">
        <v>8944</v>
      </c>
      <c r="F3194" t="s">
        <v>8945</v>
      </c>
      <c r="G3194" s="1"/>
      <c r="H3194" t="str">
        <f>"3250617205085"</f>
        <v>3250617205085</v>
      </c>
      <c r="J3194" t="s">
        <v>9057</v>
      </c>
    </row>
    <row r="3195" spans="1:10" x14ac:dyDescent="0.25">
      <c r="A3195" t="s">
        <v>8</v>
      </c>
      <c r="B3195" t="s">
        <v>9058</v>
      </c>
      <c r="C3195" t="s">
        <v>9059</v>
      </c>
      <c r="D3195">
        <v>1</v>
      </c>
      <c r="E3195" t="s">
        <v>8944</v>
      </c>
      <c r="F3195" t="s">
        <v>8945</v>
      </c>
      <c r="G3195" s="1"/>
      <c r="H3195" t="str">
        <f>"3250617120579"</f>
        <v>3250617120579</v>
      </c>
      <c r="J3195" t="s">
        <v>8979</v>
      </c>
    </row>
    <row r="3196" spans="1:10" x14ac:dyDescent="0.25">
      <c r="A3196" t="s">
        <v>8</v>
      </c>
      <c r="B3196" t="s">
        <v>9060</v>
      </c>
      <c r="C3196" t="s">
        <v>9061</v>
      </c>
      <c r="D3196">
        <v>1</v>
      </c>
      <c r="E3196" t="s">
        <v>8944</v>
      </c>
      <c r="F3196" t="s">
        <v>8945</v>
      </c>
      <c r="G3196" s="1"/>
      <c r="H3196" t="str">
        <f>"3250617204965"</f>
        <v>3250617204965</v>
      </c>
      <c r="J3196" t="s">
        <v>9062</v>
      </c>
    </row>
    <row r="3197" spans="1:10" x14ac:dyDescent="0.25">
      <c r="A3197" t="s">
        <v>8</v>
      </c>
      <c r="B3197" t="s">
        <v>9063</v>
      </c>
      <c r="C3197" t="s">
        <v>9064</v>
      </c>
      <c r="D3197">
        <v>1</v>
      </c>
      <c r="E3197" t="s">
        <v>8944</v>
      </c>
      <c r="F3197" t="s">
        <v>8945</v>
      </c>
      <c r="G3197" s="1"/>
      <c r="H3197" t="str">
        <f>"3250617204866"</f>
        <v>3250617204866</v>
      </c>
      <c r="I3197" s="1"/>
      <c r="J3197" t="s">
        <v>9065</v>
      </c>
    </row>
    <row r="3198" spans="1:10" x14ac:dyDescent="0.25">
      <c r="A3198" t="s">
        <v>8</v>
      </c>
      <c r="B3198" t="s">
        <v>9066</v>
      </c>
      <c r="C3198" t="s">
        <v>9067</v>
      </c>
      <c r="D3198">
        <v>1</v>
      </c>
      <c r="E3198" t="s">
        <v>8944</v>
      </c>
      <c r="F3198" t="s">
        <v>8945</v>
      </c>
      <c r="G3198" s="1"/>
      <c r="H3198" t="str">
        <f>"3250617204880"</f>
        <v>3250617204880</v>
      </c>
      <c r="J3198" t="s">
        <v>9068</v>
      </c>
    </row>
    <row r="3199" spans="1:10" x14ac:dyDescent="0.25">
      <c r="A3199" t="s">
        <v>8</v>
      </c>
      <c r="B3199" t="s">
        <v>9069</v>
      </c>
      <c r="C3199" t="s">
        <v>9070</v>
      </c>
      <c r="D3199">
        <v>1</v>
      </c>
      <c r="E3199" t="s">
        <v>8944</v>
      </c>
      <c r="F3199" t="s">
        <v>8945</v>
      </c>
      <c r="G3199" s="1"/>
      <c r="H3199" t="str">
        <f>"3250617204903"</f>
        <v>3250617204903</v>
      </c>
      <c r="J3199" t="s">
        <v>9071</v>
      </c>
    </row>
    <row r="3200" spans="1:10" x14ac:dyDescent="0.25">
      <c r="A3200" t="s">
        <v>8</v>
      </c>
      <c r="B3200" t="s">
        <v>9072</v>
      </c>
      <c r="C3200" t="s">
        <v>9073</v>
      </c>
      <c r="D3200">
        <v>1</v>
      </c>
      <c r="E3200" t="s">
        <v>8944</v>
      </c>
      <c r="F3200" t="s">
        <v>8945</v>
      </c>
      <c r="G3200" s="1"/>
      <c r="H3200" t="str">
        <f>"3250617205672"</f>
        <v>3250617205672</v>
      </c>
      <c r="J3200" t="s">
        <v>9074</v>
      </c>
    </row>
    <row r="3201" spans="1:10" x14ac:dyDescent="0.25">
      <c r="A3201" t="s">
        <v>8</v>
      </c>
      <c r="B3201" t="s">
        <v>9075</v>
      </c>
      <c r="C3201" t="s">
        <v>9076</v>
      </c>
      <c r="D3201">
        <v>1</v>
      </c>
      <c r="E3201" t="s">
        <v>8944</v>
      </c>
      <c r="F3201" t="s">
        <v>8945</v>
      </c>
      <c r="G3201" s="1"/>
      <c r="H3201" t="str">
        <f>"3250617205146"</f>
        <v>3250617205146</v>
      </c>
      <c r="J3201" t="s">
        <v>9077</v>
      </c>
    </row>
    <row r="3202" spans="1:10" x14ac:dyDescent="0.25">
      <c r="A3202" t="s">
        <v>8</v>
      </c>
      <c r="B3202" t="s">
        <v>9078</v>
      </c>
      <c r="C3202" t="s">
        <v>9079</v>
      </c>
      <c r="D3202">
        <v>1</v>
      </c>
      <c r="E3202" t="s">
        <v>8944</v>
      </c>
      <c r="F3202" t="s">
        <v>8945</v>
      </c>
      <c r="G3202" s="1"/>
      <c r="H3202" t="str">
        <f>"3250617204989"</f>
        <v>3250617204989</v>
      </c>
      <c r="J3202" t="s">
        <v>9081</v>
      </c>
    </row>
    <row r="3203" spans="1:10" x14ac:dyDescent="0.25">
      <c r="A3203" t="s">
        <v>8</v>
      </c>
      <c r="B3203" t="s">
        <v>9082</v>
      </c>
      <c r="C3203" t="s">
        <v>9083</v>
      </c>
      <c r="D3203">
        <v>1</v>
      </c>
      <c r="E3203" t="s">
        <v>8944</v>
      </c>
      <c r="F3203" t="s">
        <v>8945</v>
      </c>
      <c r="G3203" s="1"/>
      <c r="H3203" t="str">
        <f>"3250617205009"</f>
        <v>3250617205009</v>
      </c>
      <c r="J3203" t="s">
        <v>9084</v>
      </c>
    </row>
    <row r="3204" spans="1:10" x14ac:dyDescent="0.25">
      <c r="A3204" t="s">
        <v>8</v>
      </c>
      <c r="B3204" t="s">
        <v>9085</v>
      </c>
      <c r="C3204" t="s">
        <v>9086</v>
      </c>
      <c r="D3204">
        <v>1</v>
      </c>
      <c r="E3204" t="s">
        <v>8944</v>
      </c>
      <c r="F3204" t="s">
        <v>8945</v>
      </c>
      <c r="G3204" s="1"/>
      <c r="H3204" t="str">
        <f>"3250617205023"</f>
        <v>3250617205023</v>
      </c>
      <c r="J3204" t="s">
        <v>9087</v>
      </c>
    </row>
    <row r="3205" spans="1:10" x14ac:dyDescent="0.25">
      <c r="A3205" t="s">
        <v>8</v>
      </c>
      <c r="B3205" t="s">
        <v>9088</v>
      </c>
      <c r="C3205" t="s">
        <v>9089</v>
      </c>
      <c r="D3205">
        <v>1</v>
      </c>
      <c r="E3205" t="s">
        <v>8944</v>
      </c>
      <c r="F3205" t="s">
        <v>8945</v>
      </c>
      <c r="G3205" s="1"/>
      <c r="H3205" t="str">
        <f>"3250617205047"</f>
        <v>3250617205047</v>
      </c>
      <c r="J3205" t="s">
        <v>9090</v>
      </c>
    </row>
    <row r="3206" spans="1:10" x14ac:dyDescent="0.25">
      <c r="A3206" t="s">
        <v>8</v>
      </c>
      <c r="B3206" t="s">
        <v>9091</v>
      </c>
      <c r="C3206" t="s">
        <v>9092</v>
      </c>
      <c r="D3206">
        <v>1</v>
      </c>
      <c r="E3206" t="s">
        <v>8944</v>
      </c>
      <c r="F3206" t="s">
        <v>8945</v>
      </c>
      <c r="G3206" s="1"/>
      <c r="H3206" t="str">
        <f>"3250617205061"</f>
        <v>3250617205061</v>
      </c>
      <c r="J3206" t="s">
        <v>9093</v>
      </c>
    </row>
    <row r="3207" spans="1:10" x14ac:dyDescent="0.25">
      <c r="A3207" t="s">
        <v>8</v>
      </c>
      <c r="B3207" t="s">
        <v>9094</v>
      </c>
      <c r="C3207" t="s">
        <v>9095</v>
      </c>
      <c r="D3207">
        <v>1</v>
      </c>
      <c r="E3207" t="s">
        <v>8944</v>
      </c>
      <c r="F3207" t="s">
        <v>8945</v>
      </c>
      <c r="G3207" s="1"/>
      <c r="H3207" t="str">
        <f>"3250617200790"</f>
        <v>3250617200790</v>
      </c>
      <c r="J3207" t="s">
        <v>9096</v>
      </c>
    </row>
    <row r="3208" spans="1:10" x14ac:dyDescent="0.25">
      <c r="A3208" t="s">
        <v>8</v>
      </c>
      <c r="B3208" t="s">
        <v>9097</v>
      </c>
      <c r="C3208" t="s">
        <v>9098</v>
      </c>
      <c r="D3208">
        <v>1</v>
      </c>
      <c r="E3208" t="s">
        <v>8944</v>
      </c>
      <c r="F3208" t="s">
        <v>8945</v>
      </c>
      <c r="G3208" s="1"/>
      <c r="H3208" t="str">
        <f>"3250617205108"</f>
        <v>3250617205108</v>
      </c>
      <c r="J3208" t="s">
        <v>9039</v>
      </c>
    </row>
    <row r="3209" spans="1:10" x14ac:dyDescent="0.25">
      <c r="A3209" t="s">
        <v>8</v>
      </c>
      <c r="B3209" t="s">
        <v>9099</v>
      </c>
      <c r="C3209" t="s">
        <v>9100</v>
      </c>
      <c r="D3209">
        <v>1</v>
      </c>
      <c r="E3209" t="s">
        <v>8944</v>
      </c>
      <c r="F3209" t="s">
        <v>8945</v>
      </c>
      <c r="G3209" s="1"/>
      <c r="H3209" t="str">
        <f>"3250617200271"</f>
        <v>3250617200271</v>
      </c>
      <c r="J3209" t="s">
        <v>9031</v>
      </c>
    </row>
    <row r="3210" spans="1:10" x14ac:dyDescent="0.25">
      <c r="A3210" t="s">
        <v>8</v>
      </c>
      <c r="B3210" t="s">
        <v>9101</v>
      </c>
      <c r="C3210" t="s">
        <v>9102</v>
      </c>
      <c r="D3210">
        <v>1</v>
      </c>
      <c r="E3210" t="s">
        <v>8944</v>
      </c>
      <c r="F3210" t="s">
        <v>8945</v>
      </c>
      <c r="G3210" s="1"/>
      <c r="H3210" t="str">
        <f>"3250617200264"</f>
        <v>3250617200264</v>
      </c>
      <c r="J3210" t="s">
        <v>9016</v>
      </c>
    </row>
    <row r="3211" spans="1:10" x14ac:dyDescent="0.25">
      <c r="A3211" t="s">
        <v>8</v>
      </c>
      <c r="B3211" t="s">
        <v>9103</v>
      </c>
      <c r="C3211" t="s">
        <v>9104</v>
      </c>
      <c r="D3211">
        <v>1</v>
      </c>
      <c r="E3211" t="s">
        <v>8944</v>
      </c>
      <c r="F3211" t="s">
        <v>8945</v>
      </c>
      <c r="G3211" s="1"/>
      <c r="H3211" t="str">
        <f>"3250617205696"</f>
        <v>3250617205696</v>
      </c>
      <c r="J3211" t="s">
        <v>9105</v>
      </c>
    </row>
    <row r="3212" spans="1:10" x14ac:dyDescent="0.25">
      <c r="A3212" t="s">
        <v>8</v>
      </c>
      <c r="B3212" t="s">
        <v>9106</v>
      </c>
      <c r="C3212" t="s">
        <v>9107</v>
      </c>
      <c r="D3212">
        <v>1</v>
      </c>
      <c r="E3212" t="s">
        <v>8944</v>
      </c>
      <c r="F3212" t="s">
        <v>8945</v>
      </c>
      <c r="G3212" s="1"/>
      <c r="H3212" t="str">
        <f>"3250610089996"</f>
        <v>3250610089996</v>
      </c>
      <c r="J3212" t="s">
        <v>9108</v>
      </c>
    </row>
    <row r="3213" spans="1:10" x14ac:dyDescent="0.25">
      <c r="A3213" t="s">
        <v>8</v>
      </c>
      <c r="B3213" t="s">
        <v>9109</v>
      </c>
      <c r="C3213" t="s">
        <v>9110</v>
      </c>
      <c r="D3213">
        <v>1</v>
      </c>
      <c r="E3213" t="s">
        <v>8944</v>
      </c>
      <c r="F3213" t="s">
        <v>8945</v>
      </c>
      <c r="G3213" s="1"/>
      <c r="H3213" t="str">
        <f>"3250610090008"</f>
        <v>3250610090008</v>
      </c>
      <c r="J3213" t="s">
        <v>9111</v>
      </c>
    </row>
    <row r="3214" spans="1:10" x14ac:dyDescent="0.25">
      <c r="A3214" t="s">
        <v>8</v>
      </c>
      <c r="B3214" t="s">
        <v>9112</v>
      </c>
      <c r="C3214" t="s">
        <v>9113</v>
      </c>
      <c r="D3214">
        <v>1</v>
      </c>
      <c r="E3214" t="s">
        <v>8944</v>
      </c>
      <c r="F3214" t="s">
        <v>8945</v>
      </c>
      <c r="G3214" s="1"/>
      <c r="H3214" t="str">
        <f>"3250610131633"</f>
        <v>3250610131633</v>
      </c>
      <c r="J3214" t="s">
        <v>9114</v>
      </c>
    </row>
    <row r="3215" spans="1:10" x14ac:dyDescent="0.25">
      <c r="A3215" t="s">
        <v>8</v>
      </c>
      <c r="B3215" t="s">
        <v>9115</v>
      </c>
      <c r="C3215" t="s">
        <v>9116</v>
      </c>
      <c r="D3215">
        <v>1</v>
      </c>
      <c r="E3215" t="s">
        <v>8944</v>
      </c>
      <c r="F3215" t="s">
        <v>8945</v>
      </c>
      <c r="G3215" s="1"/>
      <c r="H3215" t="str">
        <f>"3250610131657"</f>
        <v>3250610131657</v>
      </c>
      <c r="J3215" t="s">
        <v>9117</v>
      </c>
    </row>
    <row r="3216" spans="1:10" x14ac:dyDescent="0.25">
      <c r="A3216" t="s">
        <v>8</v>
      </c>
      <c r="B3216" t="s">
        <v>9118</v>
      </c>
      <c r="C3216" t="s">
        <v>9119</v>
      </c>
      <c r="D3216">
        <v>1</v>
      </c>
      <c r="E3216" t="s">
        <v>9120</v>
      </c>
      <c r="F3216" t="s">
        <v>9121</v>
      </c>
      <c r="G3216" s="1"/>
      <c r="H3216" t="str">
        <f>"3250617104029"</f>
        <v>3250617104029</v>
      </c>
      <c r="J3216" t="s">
        <v>9122</v>
      </c>
    </row>
    <row r="3217" spans="1:10" x14ac:dyDescent="0.25">
      <c r="A3217" t="s">
        <v>8</v>
      </c>
      <c r="B3217" t="s">
        <v>9123</v>
      </c>
      <c r="C3217" t="s">
        <v>9124</v>
      </c>
      <c r="D3217">
        <v>1</v>
      </c>
      <c r="E3217" t="s">
        <v>9120</v>
      </c>
      <c r="F3217" t="s">
        <v>9121</v>
      </c>
      <c r="G3217" s="1"/>
      <c r="H3217" t="str">
        <f>"3250617110686"</f>
        <v>3250617110686</v>
      </c>
      <c r="J3217" t="s">
        <v>9125</v>
      </c>
    </row>
    <row r="3218" spans="1:10" x14ac:dyDescent="0.25">
      <c r="A3218" t="s">
        <v>8</v>
      </c>
      <c r="B3218" t="s">
        <v>9126</v>
      </c>
      <c r="C3218" t="s">
        <v>9127</v>
      </c>
      <c r="D3218">
        <v>1</v>
      </c>
      <c r="E3218" t="s">
        <v>9120</v>
      </c>
      <c r="F3218" t="s">
        <v>9121</v>
      </c>
      <c r="G3218" s="1"/>
      <c r="H3218" t="str">
        <f>"3250617106818"</f>
        <v>3250617106818</v>
      </c>
      <c r="J3218" t="s">
        <v>9128</v>
      </c>
    </row>
    <row r="3219" spans="1:10" x14ac:dyDescent="0.25">
      <c r="A3219" t="s">
        <v>8</v>
      </c>
      <c r="B3219" t="s">
        <v>9129</v>
      </c>
      <c r="C3219" t="s">
        <v>9130</v>
      </c>
      <c r="D3219">
        <v>1</v>
      </c>
      <c r="E3219" t="s">
        <v>9120</v>
      </c>
      <c r="F3219" t="s">
        <v>9121</v>
      </c>
      <c r="G3219" s="1"/>
      <c r="H3219" t="str">
        <f>"3250617104012"</f>
        <v>3250617104012</v>
      </c>
      <c r="J3219" t="s">
        <v>9131</v>
      </c>
    </row>
    <row r="3220" spans="1:10" x14ac:dyDescent="0.25">
      <c r="A3220" t="s">
        <v>8</v>
      </c>
      <c r="B3220" t="s">
        <v>9132</v>
      </c>
      <c r="C3220" t="s">
        <v>9133</v>
      </c>
      <c r="D3220">
        <v>1</v>
      </c>
      <c r="E3220" t="s">
        <v>9120</v>
      </c>
      <c r="F3220" t="s">
        <v>9121</v>
      </c>
      <c r="G3220" s="1"/>
      <c r="H3220" t="str">
        <f>"3250617104074"</f>
        <v>3250617104074</v>
      </c>
      <c r="J3220" t="s">
        <v>9134</v>
      </c>
    </row>
    <row r="3221" spans="1:10" x14ac:dyDescent="0.25">
      <c r="A3221" t="s">
        <v>8</v>
      </c>
      <c r="B3221" t="s">
        <v>9135</v>
      </c>
      <c r="C3221" t="s">
        <v>9136</v>
      </c>
      <c r="D3221">
        <v>1</v>
      </c>
      <c r="E3221" t="s">
        <v>9120</v>
      </c>
      <c r="F3221" t="s">
        <v>9121</v>
      </c>
      <c r="G3221" s="1"/>
      <c r="H3221" t="str">
        <f>"3250617104067"</f>
        <v>3250617104067</v>
      </c>
      <c r="J3221" t="s">
        <v>9137</v>
      </c>
    </row>
    <row r="3222" spans="1:10" x14ac:dyDescent="0.25">
      <c r="A3222" t="s">
        <v>8</v>
      </c>
      <c r="B3222" t="s">
        <v>9138</v>
      </c>
      <c r="C3222" t="s">
        <v>9139</v>
      </c>
      <c r="D3222">
        <v>1</v>
      </c>
      <c r="E3222" t="s">
        <v>9120</v>
      </c>
      <c r="F3222" t="s">
        <v>9121</v>
      </c>
      <c r="G3222" s="1"/>
      <c r="H3222" t="str">
        <f>"3250617104036"</f>
        <v>3250617104036</v>
      </c>
      <c r="J3222" t="s">
        <v>9140</v>
      </c>
    </row>
    <row r="3223" spans="1:10" x14ac:dyDescent="0.25">
      <c r="A3223" t="s">
        <v>8</v>
      </c>
      <c r="B3223" t="s">
        <v>9141</v>
      </c>
      <c r="C3223" t="s">
        <v>9142</v>
      </c>
      <c r="D3223">
        <v>1</v>
      </c>
      <c r="E3223" t="s">
        <v>9120</v>
      </c>
      <c r="F3223" t="s">
        <v>9121</v>
      </c>
      <c r="G3223" s="1"/>
      <c r="H3223" t="str">
        <f>"3250617104500"</f>
        <v>3250617104500</v>
      </c>
      <c r="J3223" t="s">
        <v>9143</v>
      </c>
    </row>
    <row r="3224" spans="1:10" x14ac:dyDescent="0.25">
      <c r="A3224" t="s">
        <v>8</v>
      </c>
      <c r="B3224" t="s">
        <v>9144</v>
      </c>
      <c r="C3224" t="s">
        <v>9145</v>
      </c>
      <c r="D3224">
        <v>1</v>
      </c>
      <c r="E3224" t="s">
        <v>9120</v>
      </c>
      <c r="F3224" t="s">
        <v>9121</v>
      </c>
      <c r="G3224" s="1"/>
      <c r="H3224" t="str">
        <f>"3250617104043"</f>
        <v>3250617104043</v>
      </c>
      <c r="J3224" t="s">
        <v>9146</v>
      </c>
    </row>
    <row r="3225" spans="1:10" x14ac:dyDescent="0.25">
      <c r="A3225" t="s">
        <v>8</v>
      </c>
      <c r="B3225" t="s">
        <v>9147</v>
      </c>
      <c r="C3225" t="s">
        <v>9148</v>
      </c>
      <c r="D3225">
        <v>1</v>
      </c>
      <c r="E3225" t="s">
        <v>9120</v>
      </c>
      <c r="F3225" t="s">
        <v>9121</v>
      </c>
      <c r="G3225" s="1"/>
      <c r="H3225" t="str">
        <f>"3250617106825"</f>
        <v>3250617106825</v>
      </c>
      <c r="J3225" t="s">
        <v>9149</v>
      </c>
    </row>
    <row r="3226" spans="1:10" x14ac:dyDescent="0.25">
      <c r="A3226" t="s">
        <v>8</v>
      </c>
      <c r="B3226" t="s">
        <v>9150</v>
      </c>
      <c r="C3226" t="s">
        <v>9151</v>
      </c>
      <c r="D3226">
        <v>1</v>
      </c>
      <c r="E3226" t="s">
        <v>9120</v>
      </c>
      <c r="F3226" t="s">
        <v>9121</v>
      </c>
      <c r="G3226" s="1"/>
      <c r="H3226" t="str">
        <f>"3250617104517"</f>
        <v>3250617104517</v>
      </c>
      <c r="J3226" t="s">
        <v>9143</v>
      </c>
    </row>
    <row r="3227" spans="1:10" x14ac:dyDescent="0.25">
      <c r="A3227" t="s">
        <v>8</v>
      </c>
      <c r="B3227" t="s">
        <v>9152</v>
      </c>
      <c r="C3227" t="s">
        <v>9153</v>
      </c>
      <c r="D3227">
        <v>1</v>
      </c>
      <c r="E3227" t="s">
        <v>9120</v>
      </c>
      <c r="F3227" t="s">
        <v>9121</v>
      </c>
      <c r="G3227" s="1"/>
      <c r="H3227" t="str">
        <f>"3250618504088"</f>
        <v>3250618504088</v>
      </c>
      <c r="J3227" t="s">
        <v>9154</v>
      </c>
    </row>
    <row r="3228" spans="1:10" x14ac:dyDescent="0.25">
      <c r="A3228" t="s">
        <v>8</v>
      </c>
      <c r="B3228" t="s">
        <v>9155</v>
      </c>
      <c r="C3228" t="s">
        <v>9156</v>
      </c>
      <c r="D3228">
        <v>1</v>
      </c>
      <c r="E3228" t="s">
        <v>9120</v>
      </c>
      <c r="F3228" t="s">
        <v>9121</v>
      </c>
      <c r="G3228" s="1"/>
      <c r="H3228" t="str">
        <f>"3250617205078"</f>
        <v>3250617205078</v>
      </c>
      <c r="J3228" t="s">
        <v>9157</v>
      </c>
    </row>
    <row r="3229" spans="1:10" x14ac:dyDescent="0.25">
      <c r="A3229" t="s">
        <v>8</v>
      </c>
      <c r="B3229" t="s">
        <v>9158</v>
      </c>
      <c r="C3229" t="s">
        <v>9159</v>
      </c>
      <c r="D3229">
        <v>1</v>
      </c>
      <c r="E3229" t="s">
        <v>9160</v>
      </c>
      <c r="F3229" t="s">
        <v>9161</v>
      </c>
      <c r="G3229" s="1"/>
      <c r="H3229" t="str">
        <f>"3250612310838"</f>
        <v>3250612310838</v>
      </c>
      <c r="J3229" t="s">
        <v>9162</v>
      </c>
    </row>
    <row r="3230" spans="1:10" x14ac:dyDescent="0.25">
      <c r="A3230" t="s">
        <v>8</v>
      </c>
      <c r="B3230" t="s">
        <v>9163</v>
      </c>
      <c r="C3230" t="s">
        <v>9164</v>
      </c>
      <c r="D3230">
        <v>1</v>
      </c>
      <c r="E3230" t="s">
        <v>9165</v>
      </c>
      <c r="F3230" t="s">
        <v>9166</v>
      </c>
      <c r="G3230" s="1"/>
      <c r="H3230" t="str">
        <f>"3250612339938"</f>
        <v>3250612339938</v>
      </c>
      <c r="J3230" t="s">
        <v>9167</v>
      </c>
    </row>
    <row r="3231" spans="1:10" x14ac:dyDescent="0.25">
      <c r="A3231" t="s">
        <v>8</v>
      </c>
      <c r="B3231" t="s">
        <v>9168</v>
      </c>
      <c r="C3231" t="s">
        <v>9169</v>
      </c>
      <c r="D3231">
        <v>1</v>
      </c>
      <c r="E3231" t="s">
        <v>9165</v>
      </c>
      <c r="F3231" t="s">
        <v>9166</v>
      </c>
      <c r="G3231" s="1"/>
      <c r="H3231" t="str">
        <f>"3250612339945"</f>
        <v>3250612339945</v>
      </c>
      <c r="J3231" t="s">
        <v>9170</v>
      </c>
    </row>
    <row r="3232" spans="1:10" x14ac:dyDescent="0.25">
      <c r="A3232" t="s">
        <v>8</v>
      </c>
      <c r="B3232" t="s">
        <v>9171</v>
      </c>
      <c r="C3232" t="s">
        <v>9172</v>
      </c>
      <c r="D3232">
        <v>1</v>
      </c>
      <c r="E3232" t="s">
        <v>9165</v>
      </c>
      <c r="F3232" t="s">
        <v>9166</v>
      </c>
      <c r="G3232" s="1"/>
      <c r="H3232" t="str">
        <f>"3250612339969"</f>
        <v>3250612339969</v>
      </c>
      <c r="J3232" t="s">
        <v>9173</v>
      </c>
    </row>
    <row r="3233" spans="1:10" x14ac:dyDescent="0.25">
      <c r="A3233" t="s">
        <v>8</v>
      </c>
      <c r="B3233" t="s">
        <v>9174</v>
      </c>
      <c r="C3233" t="s">
        <v>9175</v>
      </c>
      <c r="D3233">
        <v>1</v>
      </c>
      <c r="E3233" t="s">
        <v>9176</v>
      </c>
      <c r="F3233" t="s">
        <v>9177</v>
      </c>
      <c r="G3233" s="1"/>
      <c r="H3233" t="str">
        <f>"3250612671106"</f>
        <v>3250612671106</v>
      </c>
      <c r="J3233" t="s">
        <v>9178</v>
      </c>
    </row>
    <row r="3234" spans="1:10" x14ac:dyDescent="0.25">
      <c r="A3234" t="s">
        <v>8</v>
      </c>
      <c r="B3234" t="s">
        <v>9179</v>
      </c>
      <c r="C3234" t="s">
        <v>9180</v>
      </c>
      <c r="D3234">
        <v>1</v>
      </c>
      <c r="E3234" t="s">
        <v>9176</v>
      </c>
      <c r="F3234" t="s">
        <v>9177</v>
      </c>
      <c r="G3234" s="1"/>
      <c r="H3234" t="str">
        <f>"3250612671328"</f>
        <v>3250612671328</v>
      </c>
      <c r="J3234" t="s">
        <v>9181</v>
      </c>
    </row>
    <row r="3235" spans="1:10" x14ac:dyDescent="0.25">
      <c r="A3235" t="s">
        <v>8</v>
      </c>
      <c r="B3235" t="s">
        <v>9182</v>
      </c>
      <c r="C3235" t="s">
        <v>9183</v>
      </c>
      <c r="D3235">
        <v>1</v>
      </c>
      <c r="E3235" t="s">
        <v>9176</v>
      </c>
      <c r="F3235" t="s">
        <v>9177</v>
      </c>
      <c r="G3235" s="1"/>
      <c r="H3235" t="str">
        <f>"3250612550241"</f>
        <v>3250612550241</v>
      </c>
      <c r="I3235" s="1"/>
      <c r="J3235" t="s">
        <v>9184</v>
      </c>
    </row>
    <row r="3236" spans="1:10" x14ac:dyDescent="0.25">
      <c r="A3236" t="s">
        <v>8</v>
      </c>
      <c r="B3236" t="s">
        <v>9185</v>
      </c>
      <c r="C3236" t="s">
        <v>9186</v>
      </c>
      <c r="D3236">
        <v>1</v>
      </c>
      <c r="E3236" t="s">
        <v>9176</v>
      </c>
      <c r="F3236" t="s">
        <v>9177</v>
      </c>
      <c r="G3236" s="1"/>
      <c r="H3236" t="str">
        <f>"3250612671212"</f>
        <v>3250612671212</v>
      </c>
      <c r="J3236" t="s">
        <v>9187</v>
      </c>
    </row>
    <row r="3237" spans="1:10" x14ac:dyDescent="0.25">
      <c r="A3237" t="s">
        <v>8</v>
      </c>
      <c r="B3237" t="s">
        <v>9188</v>
      </c>
      <c r="C3237" t="s">
        <v>9189</v>
      </c>
      <c r="D3237">
        <v>1</v>
      </c>
      <c r="E3237" t="s">
        <v>9176</v>
      </c>
      <c r="F3237" t="s">
        <v>9177</v>
      </c>
      <c r="G3237" s="1"/>
      <c r="H3237" t="str">
        <f>"3250612671311"</f>
        <v>3250612671311</v>
      </c>
      <c r="J3237" t="s">
        <v>9190</v>
      </c>
    </row>
    <row r="3238" spans="1:10" x14ac:dyDescent="0.25">
      <c r="A3238" t="s">
        <v>8</v>
      </c>
      <c r="B3238" t="s">
        <v>9191</v>
      </c>
      <c r="C3238" t="s">
        <v>9192</v>
      </c>
      <c r="D3238">
        <v>1</v>
      </c>
      <c r="E3238" t="s">
        <v>9176</v>
      </c>
      <c r="F3238" t="s">
        <v>9177</v>
      </c>
      <c r="G3238" s="1"/>
      <c r="H3238" t="str">
        <f>"3250612671014"</f>
        <v>3250612671014</v>
      </c>
      <c r="J3238" t="s">
        <v>9193</v>
      </c>
    </row>
    <row r="3239" spans="1:10" x14ac:dyDescent="0.25">
      <c r="A3239" t="s">
        <v>8</v>
      </c>
      <c r="B3239" t="s">
        <v>9194</v>
      </c>
      <c r="C3239" t="s">
        <v>9195</v>
      </c>
      <c r="D3239">
        <v>1</v>
      </c>
      <c r="E3239" t="s">
        <v>9176</v>
      </c>
      <c r="F3239" t="s">
        <v>9177</v>
      </c>
      <c r="G3239" s="1"/>
      <c r="H3239" t="str">
        <f>"3250612550227"</f>
        <v>3250612550227</v>
      </c>
      <c r="J3239" t="s">
        <v>9196</v>
      </c>
    </row>
    <row r="3240" spans="1:10" x14ac:dyDescent="0.25">
      <c r="A3240" t="s">
        <v>8</v>
      </c>
      <c r="B3240" t="s">
        <v>9197</v>
      </c>
      <c r="C3240" t="s">
        <v>9198</v>
      </c>
      <c r="D3240">
        <v>1</v>
      </c>
      <c r="E3240" t="s">
        <v>9176</v>
      </c>
      <c r="F3240" t="s">
        <v>9177</v>
      </c>
      <c r="G3240" s="1"/>
      <c r="H3240" t="str">
        <f>"3250612550265"</f>
        <v>3250612550265</v>
      </c>
      <c r="J3240" t="s">
        <v>9199</v>
      </c>
    </row>
    <row r="3241" spans="1:10" x14ac:dyDescent="0.25">
      <c r="A3241" t="s">
        <v>8</v>
      </c>
      <c r="B3241" t="s">
        <v>9200</v>
      </c>
      <c r="C3241" t="s">
        <v>9201</v>
      </c>
      <c r="D3241">
        <v>1</v>
      </c>
      <c r="E3241" t="s">
        <v>9176</v>
      </c>
      <c r="F3241" t="s">
        <v>9177</v>
      </c>
      <c r="G3241" s="1"/>
      <c r="H3241" t="str">
        <f>"3250612671120"</f>
        <v>3250612671120</v>
      </c>
      <c r="I3241" s="1"/>
      <c r="J3241" t="s">
        <v>9202</v>
      </c>
    </row>
    <row r="3242" spans="1:10" x14ac:dyDescent="0.25">
      <c r="A3242" t="s">
        <v>8</v>
      </c>
      <c r="B3242" t="s">
        <v>9203</v>
      </c>
      <c r="C3242" t="s">
        <v>9204</v>
      </c>
      <c r="D3242">
        <v>1</v>
      </c>
      <c r="E3242" t="s">
        <v>9176</v>
      </c>
      <c r="F3242" t="s">
        <v>9177</v>
      </c>
      <c r="G3242" s="1"/>
      <c r="H3242" t="str">
        <f>"3250612550258"</f>
        <v>3250612550258</v>
      </c>
      <c r="J3242" t="s">
        <v>9205</v>
      </c>
    </row>
    <row r="3243" spans="1:10" x14ac:dyDescent="0.25">
      <c r="A3243" t="s">
        <v>8</v>
      </c>
      <c r="B3243" t="s">
        <v>9206</v>
      </c>
      <c r="C3243" t="s">
        <v>9207</v>
      </c>
      <c r="D3243">
        <v>1</v>
      </c>
      <c r="E3243" t="s">
        <v>9176</v>
      </c>
      <c r="F3243" t="s">
        <v>9177</v>
      </c>
      <c r="G3243" s="1"/>
      <c r="H3243" t="str">
        <f>"3250612671069"</f>
        <v>3250612671069</v>
      </c>
      <c r="J3243" t="s">
        <v>9208</v>
      </c>
    </row>
    <row r="3244" spans="1:10" x14ac:dyDescent="0.25">
      <c r="A3244" t="s">
        <v>8</v>
      </c>
      <c r="B3244" t="s">
        <v>9209</v>
      </c>
      <c r="C3244" t="s">
        <v>9210</v>
      </c>
      <c r="D3244">
        <v>1</v>
      </c>
      <c r="E3244" t="s">
        <v>9176</v>
      </c>
      <c r="F3244" t="s">
        <v>9177</v>
      </c>
      <c r="G3244" s="1"/>
      <c r="H3244" t="str">
        <f>"3250612671335"</f>
        <v>3250612671335</v>
      </c>
      <c r="J3244" t="s">
        <v>9211</v>
      </c>
    </row>
    <row r="3245" spans="1:10" x14ac:dyDescent="0.25">
      <c r="A3245" t="s">
        <v>8</v>
      </c>
      <c r="B3245" t="s">
        <v>9212</v>
      </c>
      <c r="C3245" t="s">
        <v>9213</v>
      </c>
      <c r="D3245">
        <v>1</v>
      </c>
      <c r="E3245" t="s">
        <v>9176</v>
      </c>
      <c r="F3245" t="s">
        <v>9177</v>
      </c>
      <c r="G3245" s="1"/>
      <c r="H3245" t="str">
        <f>"3250612671007"</f>
        <v>3250612671007</v>
      </c>
      <c r="J3245" t="s">
        <v>9214</v>
      </c>
    </row>
    <row r="3246" spans="1:10" x14ac:dyDescent="0.25">
      <c r="A3246" t="s">
        <v>8</v>
      </c>
      <c r="B3246" t="s">
        <v>9215</v>
      </c>
      <c r="C3246" t="s">
        <v>9216</v>
      </c>
      <c r="D3246">
        <v>1</v>
      </c>
      <c r="E3246" t="s">
        <v>9176</v>
      </c>
      <c r="F3246" t="s">
        <v>9177</v>
      </c>
      <c r="G3246" s="1"/>
      <c r="H3246" t="str">
        <f>"3250612671052"</f>
        <v>3250612671052</v>
      </c>
      <c r="J3246" t="s">
        <v>9217</v>
      </c>
    </row>
    <row r="3247" spans="1:10" x14ac:dyDescent="0.25">
      <c r="A3247" t="s">
        <v>8</v>
      </c>
      <c r="B3247" t="s">
        <v>9218</v>
      </c>
      <c r="C3247" t="s">
        <v>9219</v>
      </c>
      <c r="D3247">
        <v>1</v>
      </c>
      <c r="E3247" t="s">
        <v>9176</v>
      </c>
      <c r="F3247" t="s">
        <v>9177</v>
      </c>
      <c r="G3247" s="1"/>
      <c r="H3247" t="str">
        <f>"3250612671236"</f>
        <v>3250612671236</v>
      </c>
      <c r="J3247" t="s">
        <v>9220</v>
      </c>
    </row>
    <row r="3248" spans="1:10" x14ac:dyDescent="0.25">
      <c r="A3248" t="s">
        <v>8</v>
      </c>
      <c r="B3248" t="s">
        <v>9221</v>
      </c>
      <c r="C3248" t="s">
        <v>9222</v>
      </c>
      <c r="D3248">
        <v>1</v>
      </c>
      <c r="E3248" t="s">
        <v>9176</v>
      </c>
      <c r="F3248" t="s">
        <v>9177</v>
      </c>
      <c r="G3248" s="1"/>
      <c r="H3248" t="str">
        <f>"3250612550234"</f>
        <v>3250612550234</v>
      </c>
      <c r="J3248" t="s">
        <v>9223</v>
      </c>
    </row>
    <row r="3249" spans="1:10" x14ac:dyDescent="0.25">
      <c r="A3249" t="s">
        <v>8</v>
      </c>
      <c r="B3249" t="s">
        <v>9224</v>
      </c>
      <c r="C3249" t="s">
        <v>9225</v>
      </c>
      <c r="D3249">
        <v>1</v>
      </c>
      <c r="E3249" t="s">
        <v>9176</v>
      </c>
      <c r="F3249" t="s">
        <v>9177</v>
      </c>
      <c r="G3249" s="1"/>
      <c r="H3249" t="str">
        <f>"3250612671113"</f>
        <v>3250612671113</v>
      </c>
      <c r="J3249" t="s">
        <v>9226</v>
      </c>
    </row>
    <row r="3250" spans="1:10" x14ac:dyDescent="0.25">
      <c r="A3250" t="s">
        <v>8</v>
      </c>
      <c r="B3250" t="s">
        <v>9227</v>
      </c>
      <c r="C3250" t="s">
        <v>9228</v>
      </c>
      <c r="D3250">
        <v>1</v>
      </c>
      <c r="E3250" t="s">
        <v>9176</v>
      </c>
      <c r="F3250" t="s">
        <v>9177</v>
      </c>
      <c r="G3250" s="1"/>
      <c r="H3250" t="str">
        <f>"3250612671229"</f>
        <v>3250612671229</v>
      </c>
      <c r="J3250" t="s">
        <v>9229</v>
      </c>
    </row>
    <row r="3251" spans="1:10" x14ac:dyDescent="0.25">
      <c r="A3251" t="s">
        <v>8</v>
      </c>
      <c r="B3251" t="s">
        <v>9230</v>
      </c>
      <c r="C3251" t="s">
        <v>9231</v>
      </c>
      <c r="D3251">
        <v>1</v>
      </c>
      <c r="E3251" t="s">
        <v>9176</v>
      </c>
      <c r="F3251" t="s">
        <v>9177</v>
      </c>
      <c r="G3251" s="1"/>
      <c r="H3251" t="str">
        <f>"3250616003903"</f>
        <v>3250616003903</v>
      </c>
      <c r="J3251" t="s">
        <v>9232</v>
      </c>
    </row>
    <row r="3252" spans="1:10" x14ac:dyDescent="0.25">
      <c r="A3252" t="s">
        <v>8</v>
      </c>
      <c r="B3252" t="s">
        <v>9233</v>
      </c>
      <c r="C3252" t="s">
        <v>9234</v>
      </c>
      <c r="D3252">
        <v>1</v>
      </c>
      <c r="E3252" t="s">
        <v>9176</v>
      </c>
      <c r="F3252" t="s">
        <v>9177</v>
      </c>
      <c r="G3252" s="1"/>
      <c r="H3252" t="str">
        <f>"3250616003934"</f>
        <v>3250616003934</v>
      </c>
      <c r="J3252" t="s">
        <v>9235</v>
      </c>
    </row>
    <row r="3253" spans="1:10" x14ac:dyDescent="0.25">
      <c r="A3253" t="s">
        <v>8</v>
      </c>
      <c r="B3253" t="s">
        <v>9236</v>
      </c>
      <c r="C3253" t="s">
        <v>9237</v>
      </c>
      <c r="D3253">
        <v>1</v>
      </c>
      <c r="E3253" t="s">
        <v>9176</v>
      </c>
      <c r="F3253" t="s">
        <v>9177</v>
      </c>
      <c r="G3253" s="1"/>
      <c r="H3253" t="str">
        <f>"3250616003989"</f>
        <v>3250616003989</v>
      </c>
      <c r="J3253" t="s">
        <v>9238</v>
      </c>
    </row>
    <row r="3254" spans="1:10" x14ac:dyDescent="0.25">
      <c r="A3254" t="s">
        <v>8</v>
      </c>
      <c r="B3254" t="s">
        <v>9239</v>
      </c>
      <c r="C3254" t="s">
        <v>9240</v>
      </c>
      <c r="D3254">
        <v>1</v>
      </c>
      <c r="E3254" t="s">
        <v>9176</v>
      </c>
      <c r="F3254" t="s">
        <v>9177</v>
      </c>
      <c r="G3254" s="1"/>
      <c r="H3254" t="str">
        <f>"3250616004016"</f>
        <v>3250616004016</v>
      </c>
      <c r="J3254" t="s">
        <v>9241</v>
      </c>
    </row>
    <row r="3255" spans="1:10" x14ac:dyDescent="0.25">
      <c r="A3255" t="s">
        <v>8</v>
      </c>
      <c r="B3255" t="s">
        <v>9242</v>
      </c>
      <c r="C3255" t="s">
        <v>9243</v>
      </c>
      <c r="D3255">
        <v>1</v>
      </c>
      <c r="E3255" t="s">
        <v>9176</v>
      </c>
      <c r="F3255" t="s">
        <v>9177</v>
      </c>
      <c r="G3255" s="1"/>
      <c r="H3255" t="str">
        <f>"3250616004061"</f>
        <v>3250616004061</v>
      </c>
      <c r="J3255" t="s">
        <v>9244</v>
      </c>
    </row>
    <row r="3256" spans="1:10" x14ac:dyDescent="0.25">
      <c r="A3256" t="s">
        <v>8</v>
      </c>
      <c r="B3256" t="s">
        <v>9245</v>
      </c>
      <c r="C3256" t="s">
        <v>9246</v>
      </c>
      <c r="D3256">
        <v>1</v>
      </c>
      <c r="E3256" t="s">
        <v>9176</v>
      </c>
      <c r="F3256" t="s">
        <v>9177</v>
      </c>
      <c r="G3256" s="1"/>
      <c r="H3256" t="str">
        <f>"3250616004092"</f>
        <v>3250616004092</v>
      </c>
      <c r="J3256" t="s">
        <v>9247</v>
      </c>
    </row>
    <row r="3257" spans="1:10" x14ac:dyDescent="0.25">
      <c r="A3257" t="s">
        <v>8</v>
      </c>
      <c r="B3257" t="s">
        <v>9248</v>
      </c>
      <c r="C3257" t="s">
        <v>9249</v>
      </c>
      <c r="D3257">
        <v>1</v>
      </c>
      <c r="E3257" t="s">
        <v>9176</v>
      </c>
      <c r="F3257" t="s">
        <v>9177</v>
      </c>
      <c r="G3257" s="1"/>
      <c r="H3257" t="str">
        <f>"3250616004146"</f>
        <v>3250616004146</v>
      </c>
      <c r="J3257" t="s">
        <v>9250</v>
      </c>
    </row>
    <row r="3258" spans="1:10" x14ac:dyDescent="0.25">
      <c r="A3258" t="s">
        <v>8</v>
      </c>
      <c r="B3258" t="s">
        <v>9251</v>
      </c>
      <c r="C3258" t="s">
        <v>9252</v>
      </c>
      <c r="D3258">
        <v>1</v>
      </c>
      <c r="E3258" t="s">
        <v>9176</v>
      </c>
      <c r="F3258" t="s">
        <v>9177</v>
      </c>
      <c r="G3258" s="1"/>
      <c r="H3258" t="str">
        <f>"3250616004177"</f>
        <v>3250616004177</v>
      </c>
      <c r="J3258" t="s">
        <v>9253</v>
      </c>
    </row>
    <row r="3259" spans="1:10" x14ac:dyDescent="0.25">
      <c r="A3259" t="s">
        <v>8</v>
      </c>
      <c r="B3259" t="s">
        <v>9254</v>
      </c>
      <c r="C3259" t="s">
        <v>9255</v>
      </c>
      <c r="D3259">
        <v>1</v>
      </c>
      <c r="E3259" t="s">
        <v>9176</v>
      </c>
      <c r="F3259" t="s">
        <v>9177</v>
      </c>
      <c r="G3259" s="1"/>
      <c r="H3259" t="str">
        <f>"3250616004221"</f>
        <v>3250616004221</v>
      </c>
      <c r="J3259" t="s">
        <v>9256</v>
      </c>
    </row>
    <row r="3260" spans="1:10" x14ac:dyDescent="0.25">
      <c r="A3260" t="s">
        <v>8</v>
      </c>
      <c r="B3260" t="s">
        <v>9257</v>
      </c>
      <c r="C3260" t="s">
        <v>9258</v>
      </c>
      <c r="D3260">
        <v>1</v>
      </c>
      <c r="E3260" t="s">
        <v>9176</v>
      </c>
      <c r="F3260" t="s">
        <v>9177</v>
      </c>
      <c r="G3260" s="1"/>
      <c r="H3260" t="str">
        <f>"3250616004252"</f>
        <v>3250616004252</v>
      </c>
      <c r="J3260" t="s">
        <v>9259</v>
      </c>
    </row>
    <row r="3261" spans="1:10" x14ac:dyDescent="0.25">
      <c r="A3261" t="s">
        <v>8</v>
      </c>
      <c r="B3261" t="s">
        <v>9260</v>
      </c>
      <c r="C3261" t="s">
        <v>9261</v>
      </c>
      <c r="D3261">
        <v>1</v>
      </c>
      <c r="E3261" t="s">
        <v>9176</v>
      </c>
      <c r="F3261" t="s">
        <v>9177</v>
      </c>
      <c r="G3261" s="1"/>
      <c r="H3261" t="str">
        <f>"3250616005280"</f>
        <v>3250616005280</v>
      </c>
      <c r="J3261" t="s">
        <v>9262</v>
      </c>
    </row>
    <row r="3262" spans="1:10" x14ac:dyDescent="0.25">
      <c r="A3262" t="s">
        <v>8</v>
      </c>
      <c r="B3262" t="s">
        <v>9263</v>
      </c>
      <c r="C3262" t="s">
        <v>9264</v>
      </c>
      <c r="D3262">
        <v>1</v>
      </c>
      <c r="E3262" t="s">
        <v>9176</v>
      </c>
      <c r="F3262" t="s">
        <v>9177</v>
      </c>
      <c r="G3262" s="1"/>
      <c r="H3262" t="str">
        <f>"3250616005310"</f>
        <v>3250616005310</v>
      </c>
      <c r="J3262" t="s">
        <v>9265</v>
      </c>
    </row>
    <row r="3263" spans="1:10" x14ac:dyDescent="0.25">
      <c r="A3263" t="s">
        <v>8</v>
      </c>
      <c r="B3263" t="s">
        <v>9266</v>
      </c>
      <c r="C3263" t="s">
        <v>9267</v>
      </c>
      <c r="D3263">
        <v>1</v>
      </c>
      <c r="E3263" t="s">
        <v>9176</v>
      </c>
      <c r="F3263" t="s">
        <v>9177</v>
      </c>
      <c r="G3263" s="1"/>
      <c r="H3263" t="str">
        <f>"3250610702345"</f>
        <v>3250610702345</v>
      </c>
      <c r="J3263" t="s">
        <v>9268</v>
      </c>
    </row>
    <row r="3264" spans="1:10" x14ac:dyDescent="0.25">
      <c r="A3264" t="s">
        <v>8</v>
      </c>
      <c r="B3264" t="s">
        <v>9269</v>
      </c>
      <c r="C3264" t="s">
        <v>9270</v>
      </c>
      <c r="D3264">
        <v>1</v>
      </c>
      <c r="E3264" t="s">
        <v>9176</v>
      </c>
      <c r="F3264" t="s">
        <v>9177</v>
      </c>
      <c r="G3264" s="1"/>
      <c r="H3264" t="str">
        <f>"3250610702369"</f>
        <v>3250610702369</v>
      </c>
      <c r="J3264" t="s">
        <v>9271</v>
      </c>
    </row>
    <row r="3265" spans="1:10" x14ac:dyDescent="0.25">
      <c r="A3265" t="s">
        <v>8</v>
      </c>
      <c r="B3265" t="s">
        <v>9272</v>
      </c>
      <c r="C3265" t="s">
        <v>9273</v>
      </c>
      <c r="D3265">
        <v>1</v>
      </c>
      <c r="E3265" t="s">
        <v>9176</v>
      </c>
      <c r="F3265" t="s">
        <v>9177</v>
      </c>
      <c r="G3265" s="1"/>
      <c r="H3265" t="str">
        <f>"3250610702383"</f>
        <v>3250610702383</v>
      </c>
      <c r="J3265" t="s">
        <v>9274</v>
      </c>
    </row>
    <row r="3266" spans="1:10" x14ac:dyDescent="0.25">
      <c r="A3266" t="s">
        <v>8</v>
      </c>
      <c r="B3266" t="s">
        <v>9275</v>
      </c>
      <c r="C3266" t="s">
        <v>9276</v>
      </c>
      <c r="D3266">
        <v>1</v>
      </c>
      <c r="E3266" t="s">
        <v>9176</v>
      </c>
      <c r="F3266" t="s">
        <v>9177</v>
      </c>
      <c r="G3266" s="1"/>
      <c r="H3266" t="str">
        <f>"3250610702444"</f>
        <v>3250610702444</v>
      </c>
      <c r="J3266" t="s">
        <v>9277</v>
      </c>
    </row>
    <row r="3267" spans="1:10" x14ac:dyDescent="0.25">
      <c r="A3267" t="s">
        <v>8</v>
      </c>
      <c r="B3267" t="s">
        <v>9278</v>
      </c>
      <c r="C3267" t="s">
        <v>9279</v>
      </c>
      <c r="D3267">
        <v>1</v>
      </c>
      <c r="E3267" t="s">
        <v>9176</v>
      </c>
      <c r="F3267" t="s">
        <v>9177</v>
      </c>
      <c r="G3267" s="1"/>
      <c r="H3267" t="str">
        <f>"3250610702543"</f>
        <v>3250610702543</v>
      </c>
      <c r="J3267" t="s">
        <v>9280</v>
      </c>
    </row>
    <row r="3268" spans="1:10" x14ac:dyDescent="0.25">
      <c r="A3268" t="s">
        <v>8</v>
      </c>
      <c r="B3268" t="s">
        <v>9281</v>
      </c>
      <c r="C3268" t="s">
        <v>9282</v>
      </c>
      <c r="D3268">
        <v>1</v>
      </c>
      <c r="E3268" t="s">
        <v>9176</v>
      </c>
      <c r="F3268" t="s">
        <v>9177</v>
      </c>
      <c r="G3268" s="1"/>
      <c r="H3268" t="str">
        <f>"3250610702567"</f>
        <v>3250610702567</v>
      </c>
      <c r="J3268" t="s">
        <v>9283</v>
      </c>
    </row>
    <row r="3269" spans="1:10" x14ac:dyDescent="0.25">
      <c r="A3269" t="s">
        <v>8</v>
      </c>
      <c r="B3269" t="s">
        <v>9284</v>
      </c>
      <c r="C3269" t="s">
        <v>9285</v>
      </c>
      <c r="D3269">
        <v>1</v>
      </c>
      <c r="E3269" t="s">
        <v>9176</v>
      </c>
      <c r="F3269" t="s">
        <v>9177</v>
      </c>
      <c r="G3269" s="1"/>
      <c r="H3269" t="str">
        <f>"3250610702741"</f>
        <v>3250610702741</v>
      </c>
      <c r="J3269" t="s">
        <v>9286</v>
      </c>
    </row>
    <row r="3270" spans="1:10" x14ac:dyDescent="0.25">
      <c r="A3270" t="s">
        <v>8</v>
      </c>
      <c r="B3270" t="s">
        <v>9287</v>
      </c>
      <c r="C3270" t="s">
        <v>9288</v>
      </c>
      <c r="D3270">
        <v>1</v>
      </c>
      <c r="E3270" t="s">
        <v>9176</v>
      </c>
      <c r="F3270" t="s">
        <v>9177</v>
      </c>
      <c r="G3270" s="1"/>
      <c r="H3270" t="str">
        <f>"3250610702765"</f>
        <v>3250610702765</v>
      </c>
      <c r="J3270" t="s">
        <v>9289</v>
      </c>
    </row>
    <row r="3271" spans="1:10" x14ac:dyDescent="0.25">
      <c r="A3271" t="s">
        <v>8</v>
      </c>
      <c r="B3271" t="s">
        <v>9290</v>
      </c>
      <c r="C3271" t="s">
        <v>9291</v>
      </c>
      <c r="D3271">
        <v>1</v>
      </c>
      <c r="E3271" t="s">
        <v>9176</v>
      </c>
      <c r="F3271" t="s">
        <v>9177</v>
      </c>
      <c r="G3271" s="1"/>
      <c r="H3271" t="str">
        <f>"3250610702789"</f>
        <v>3250610702789</v>
      </c>
      <c r="J3271" t="s">
        <v>9292</v>
      </c>
    </row>
    <row r="3272" spans="1:10" x14ac:dyDescent="0.25">
      <c r="A3272" t="s">
        <v>8</v>
      </c>
      <c r="B3272" t="s">
        <v>9293</v>
      </c>
      <c r="C3272" t="s">
        <v>9294</v>
      </c>
      <c r="D3272">
        <v>1</v>
      </c>
      <c r="E3272" t="s">
        <v>9176</v>
      </c>
      <c r="F3272" t="s">
        <v>9177</v>
      </c>
      <c r="G3272" s="1"/>
      <c r="H3272" t="str">
        <f>"3250610702888"</f>
        <v>3250610702888</v>
      </c>
      <c r="J3272" t="s">
        <v>9295</v>
      </c>
    </row>
    <row r="3273" spans="1:10" x14ac:dyDescent="0.25">
      <c r="A3273" t="s">
        <v>8</v>
      </c>
      <c r="B3273" t="s">
        <v>9296</v>
      </c>
      <c r="C3273" t="s">
        <v>9297</v>
      </c>
      <c r="D3273">
        <v>1</v>
      </c>
      <c r="E3273" t="s">
        <v>9176</v>
      </c>
      <c r="F3273" t="s">
        <v>9177</v>
      </c>
      <c r="G3273" s="1"/>
      <c r="H3273" t="str">
        <f>"3250610702956"</f>
        <v>3250610702956</v>
      </c>
      <c r="J3273" t="s">
        <v>9298</v>
      </c>
    </row>
    <row r="3274" spans="1:10" x14ac:dyDescent="0.25">
      <c r="A3274" t="s">
        <v>8</v>
      </c>
      <c r="B3274" t="s">
        <v>9299</v>
      </c>
      <c r="C3274" t="s">
        <v>9300</v>
      </c>
      <c r="D3274">
        <v>1</v>
      </c>
      <c r="E3274" t="s">
        <v>9176</v>
      </c>
      <c r="F3274" t="s">
        <v>9177</v>
      </c>
      <c r="G3274" s="1"/>
      <c r="H3274" t="str">
        <f>"3250610702963"</f>
        <v>3250610702963</v>
      </c>
      <c r="J3274" t="s">
        <v>9301</v>
      </c>
    </row>
    <row r="3275" spans="1:10" x14ac:dyDescent="0.25">
      <c r="A3275" t="s">
        <v>8</v>
      </c>
      <c r="B3275" t="s">
        <v>9302</v>
      </c>
      <c r="C3275" t="s">
        <v>9303</v>
      </c>
      <c r="D3275">
        <v>1</v>
      </c>
      <c r="E3275" t="s">
        <v>9176</v>
      </c>
      <c r="F3275" t="s">
        <v>9177</v>
      </c>
      <c r="G3275" s="1"/>
      <c r="H3275" t="str">
        <f>"3250610702994"</f>
        <v>3250610702994</v>
      </c>
      <c r="J3275" t="s">
        <v>9304</v>
      </c>
    </row>
    <row r="3276" spans="1:10" x14ac:dyDescent="0.25">
      <c r="A3276" t="s">
        <v>8</v>
      </c>
      <c r="B3276" t="s">
        <v>9305</v>
      </c>
      <c r="C3276" t="s">
        <v>9306</v>
      </c>
      <c r="D3276">
        <v>1</v>
      </c>
      <c r="E3276" t="s">
        <v>9176</v>
      </c>
      <c r="F3276" t="s">
        <v>9177</v>
      </c>
      <c r="G3276" s="1"/>
      <c r="H3276" t="str">
        <f>"3250610703007"</f>
        <v>3250610703007</v>
      </c>
      <c r="J3276" t="s">
        <v>9307</v>
      </c>
    </row>
    <row r="3277" spans="1:10" x14ac:dyDescent="0.25">
      <c r="A3277" t="s">
        <v>8</v>
      </c>
      <c r="B3277" t="s">
        <v>9308</v>
      </c>
      <c r="C3277" t="s">
        <v>9309</v>
      </c>
      <c r="D3277">
        <v>1</v>
      </c>
      <c r="E3277" t="s">
        <v>9176</v>
      </c>
      <c r="F3277" t="s">
        <v>9177</v>
      </c>
      <c r="G3277" s="1"/>
      <c r="H3277" t="str">
        <f>"3250610703038"</f>
        <v>3250610703038</v>
      </c>
      <c r="J3277" t="s">
        <v>9310</v>
      </c>
    </row>
    <row r="3278" spans="1:10" x14ac:dyDescent="0.25">
      <c r="A3278" t="s">
        <v>8</v>
      </c>
      <c r="B3278" t="s">
        <v>9311</v>
      </c>
      <c r="C3278" t="s">
        <v>9312</v>
      </c>
      <c r="D3278">
        <v>1</v>
      </c>
      <c r="E3278" t="s">
        <v>9176</v>
      </c>
      <c r="F3278" t="s">
        <v>9177</v>
      </c>
      <c r="G3278" s="1"/>
      <c r="H3278" t="str">
        <f>"3250610703045"</f>
        <v>3250610703045</v>
      </c>
      <c r="J3278" t="s">
        <v>9313</v>
      </c>
    </row>
    <row r="3279" spans="1:10" x14ac:dyDescent="0.25">
      <c r="A3279" t="s">
        <v>8</v>
      </c>
      <c r="B3279" t="s">
        <v>9314</v>
      </c>
      <c r="C3279" t="s">
        <v>9315</v>
      </c>
      <c r="D3279">
        <v>1</v>
      </c>
      <c r="E3279" t="s">
        <v>9176</v>
      </c>
      <c r="F3279" t="s">
        <v>9177</v>
      </c>
      <c r="G3279" s="1"/>
      <c r="H3279" t="str">
        <f>"3250612669516"</f>
        <v>3250612669516</v>
      </c>
      <c r="J3279" t="s">
        <v>9316</v>
      </c>
    </row>
    <row r="3280" spans="1:10" x14ac:dyDescent="0.25">
      <c r="A3280" t="s">
        <v>8</v>
      </c>
      <c r="B3280" t="s">
        <v>9317</v>
      </c>
      <c r="C3280" t="s">
        <v>9318</v>
      </c>
      <c r="D3280">
        <v>1</v>
      </c>
      <c r="E3280" t="s">
        <v>9176</v>
      </c>
      <c r="F3280" t="s">
        <v>9177</v>
      </c>
      <c r="G3280" s="1"/>
      <c r="H3280" t="str">
        <f>"3250612669523"</f>
        <v>3250612669523</v>
      </c>
      <c r="J3280" t="s">
        <v>9319</v>
      </c>
    </row>
    <row r="3281" spans="1:10" x14ac:dyDescent="0.25">
      <c r="A3281" t="s">
        <v>8</v>
      </c>
      <c r="B3281" t="s">
        <v>9320</v>
      </c>
      <c r="C3281" t="s">
        <v>9321</v>
      </c>
      <c r="D3281">
        <v>1</v>
      </c>
      <c r="E3281" t="s">
        <v>9176</v>
      </c>
      <c r="F3281" t="s">
        <v>9177</v>
      </c>
      <c r="G3281" s="1"/>
      <c r="H3281" t="str">
        <f>"3250612667512"</f>
        <v>3250612667512</v>
      </c>
      <c r="J3281" t="s">
        <v>9322</v>
      </c>
    </row>
    <row r="3282" spans="1:10" x14ac:dyDescent="0.25">
      <c r="A3282" t="s">
        <v>8</v>
      </c>
      <c r="B3282" t="s">
        <v>9323</v>
      </c>
      <c r="C3282" t="s">
        <v>9324</v>
      </c>
      <c r="D3282">
        <v>1</v>
      </c>
      <c r="E3282" t="s">
        <v>9176</v>
      </c>
      <c r="F3282" t="s">
        <v>9177</v>
      </c>
      <c r="G3282" s="1"/>
      <c r="H3282" t="str">
        <f>"3250612667536"</f>
        <v>3250612667536</v>
      </c>
      <c r="J3282" t="s">
        <v>9325</v>
      </c>
    </row>
    <row r="3283" spans="1:10" x14ac:dyDescent="0.25">
      <c r="A3283" t="s">
        <v>8</v>
      </c>
      <c r="B3283" t="s">
        <v>9326</v>
      </c>
      <c r="C3283" t="s">
        <v>9327</v>
      </c>
      <c r="D3283">
        <v>1</v>
      </c>
      <c r="E3283" t="s">
        <v>9176</v>
      </c>
      <c r="F3283" t="s">
        <v>9177</v>
      </c>
      <c r="G3283" s="1"/>
      <c r="H3283" t="str">
        <f>"3250612667659"</f>
        <v>3250612667659</v>
      </c>
      <c r="J3283" t="s">
        <v>9328</v>
      </c>
    </row>
    <row r="3284" spans="1:10" x14ac:dyDescent="0.25">
      <c r="A3284" t="s">
        <v>8</v>
      </c>
      <c r="B3284" t="s">
        <v>9329</v>
      </c>
      <c r="C3284" t="s">
        <v>9330</v>
      </c>
      <c r="D3284">
        <v>1</v>
      </c>
      <c r="E3284" t="s">
        <v>9176</v>
      </c>
      <c r="F3284" t="s">
        <v>9177</v>
      </c>
      <c r="G3284" s="1"/>
      <c r="H3284" t="str">
        <f>"3250612669080"</f>
        <v>3250612669080</v>
      </c>
      <c r="J3284" t="s">
        <v>9331</v>
      </c>
    </row>
    <row r="3285" spans="1:10" x14ac:dyDescent="0.25">
      <c r="A3285" t="s">
        <v>8</v>
      </c>
      <c r="B3285" t="s">
        <v>9332</v>
      </c>
      <c r="C3285" t="s">
        <v>9333</v>
      </c>
      <c r="D3285">
        <v>1</v>
      </c>
      <c r="E3285" t="s">
        <v>9176</v>
      </c>
      <c r="F3285" t="s">
        <v>9177</v>
      </c>
      <c r="G3285" s="1"/>
      <c r="H3285" t="str">
        <f>"3250612669097"</f>
        <v>3250612669097</v>
      </c>
      <c r="J3285" t="s">
        <v>9334</v>
      </c>
    </row>
    <row r="3286" spans="1:10" x14ac:dyDescent="0.25">
      <c r="A3286" t="s">
        <v>8</v>
      </c>
      <c r="B3286" t="s">
        <v>9335</v>
      </c>
      <c r="C3286" t="s">
        <v>9336</v>
      </c>
      <c r="D3286">
        <v>1</v>
      </c>
      <c r="E3286" t="s">
        <v>9176</v>
      </c>
      <c r="F3286" t="s">
        <v>9177</v>
      </c>
      <c r="G3286" s="1"/>
      <c r="H3286" t="str">
        <f>"3250612668540"</f>
        <v>3250612668540</v>
      </c>
      <c r="J3286" t="s">
        <v>9337</v>
      </c>
    </row>
    <row r="3287" spans="1:10" x14ac:dyDescent="0.25">
      <c r="A3287" t="s">
        <v>8</v>
      </c>
      <c r="B3287" t="s">
        <v>9338</v>
      </c>
      <c r="C3287" t="s">
        <v>9339</v>
      </c>
      <c r="D3287">
        <v>1</v>
      </c>
      <c r="E3287" t="s">
        <v>9176</v>
      </c>
      <c r="F3287" t="s">
        <v>9177</v>
      </c>
      <c r="G3287" s="1"/>
      <c r="H3287" t="str">
        <f>"3250612667901"</f>
        <v>3250612667901</v>
      </c>
      <c r="J3287" t="s">
        <v>9340</v>
      </c>
    </row>
    <row r="3288" spans="1:10" x14ac:dyDescent="0.25">
      <c r="A3288" t="s">
        <v>8</v>
      </c>
      <c r="B3288" t="s">
        <v>9341</v>
      </c>
      <c r="C3288" t="s">
        <v>9342</v>
      </c>
      <c r="D3288">
        <v>1</v>
      </c>
      <c r="E3288" t="s">
        <v>9176</v>
      </c>
      <c r="F3288" t="s">
        <v>9177</v>
      </c>
      <c r="G3288" s="1"/>
      <c r="H3288" t="str">
        <f>"3250612668557"</f>
        <v>3250612668557</v>
      </c>
      <c r="J3288" t="s">
        <v>9343</v>
      </c>
    </row>
    <row r="3289" spans="1:10" x14ac:dyDescent="0.25">
      <c r="A3289" t="s">
        <v>8</v>
      </c>
      <c r="B3289" t="s">
        <v>9344</v>
      </c>
      <c r="C3289" t="s">
        <v>9345</v>
      </c>
      <c r="D3289">
        <v>1</v>
      </c>
      <c r="E3289" t="s">
        <v>9176</v>
      </c>
      <c r="F3289" t="s">
        <v>9177</v>
      </c>
      <c r="G3289" s="1"/>
      <c r="H3289" t="str">
        <f>"3250612668564"</f>
        <v>3250612668564</v>
      </c>
      <c r="J3289" t="s">
        <v>9346</v>
      </c>
    </row>
    <row r="3290" spans="1:10" x14ac:dyDescent="0.25">
      <c r="A3290" t="s">
        <v>8</v>
      </c>
      <c r="B3290" t="s">
        <v>9347</v>
      </c>
      <c r="C3290" t="s">
        <v>9348</v>
      </c>
      <c r="D3290">
        <v>1</v>
      </c>
      <c r="E3290" t="s">
        <v>9176</v>
      </c>
      <c r="F3290" t="s">
        <v>9177</v>
      </c>
      <c r="G3290" s="1"/>
      <c r="H3290" t="str">
        <f>"3250612668571"</f>
        <v>3250612668571</v>
      </c>
      <c r="J3290" t="s">
        <v>9349</v>
      </c>
    </row>
    <row r="3291" spans="1:10" x14ac:dyDescent="0.25">
      <c r="A3291" t="s">
        <v>8</v>
      </c>
      <c r="B3291" t="s">
        <v>9350</v>
      </c>
      <c r="C3291" t="s">
        <v>9351</v>
      </c>
      <c r="D3291">
        <v>1</v>
      </c>
      <c r="E3291" t="s">
        <v>9176</v>
      </c>
      <c r="F3291" t="s">
        <v>9177</v>
      </c>
      <c r="G3291" s="1"/>
      <c r="H3291" t="str">
        <f>"3250612668588"</f>
        <v>3250612668588</v>
      </c>
      <c r="J3291" t="s">
        <v>9352</v>
      </c>
    </row>
    <row r="3292" spans="1:10" x14ac:dyDescent="0.25">
      <c r="A3292" t="s">
        <v>8</v>
      </c>
      <c r="B3292" t="s">
        <v>9353</v>
      </c>
      <c r="C3292" t="s">
        <v>9354</v>
      </c>
      <c r="D3292">
        <v>1</v>
      </c>
      <c r="E3292" t="s">
        <v>9355</v>
      </c>
      <c r="F3292" t="s">
        <v>9356</v>
      </c>
      <c r="G3292" s="1"/>
      <c r="H3292" t="str">
        <f>"3250615873545"</f>
        <v>3250615873545</v>
      </c>
      <c r="J3292" t="s">
        <v>9357</v>
      </c>
    </row>
    <row r="3293" spans="1:10" x14ac:dyDescent="0.25">
      <c r="A3293" t="s">
        <v>8</v>
      </c>
      <c r="B3293" t="s">
        <v>9358</v>
      </c>
      <c r="C3293" t="s">
        <v>9359</v>
      </c>
      <c r="D3293">
        <v>1</v>
      </c>
      <c r="E3293" t="s">
        <v>9355</v>
      </c>
      <c r="F3293" t="s">
        <v>9356</v>
      </c>
      <c r="G3293" s="1"/>
      <c r="H3293" t="str">
        <f>"3250615873538"</f>
        <v>3250615873538</v>
      </c>
      <c r="J3293" t="s">
        <v>9360</v>
      </c>
    </row>
    <row r="3294" spans="1:10" x14ac:dyDescent="0.25">
      <c r="A3294" t="s">
        <v>8</v>
      </c>
      <c r="B3294" t="s">
        <v>9361</v>
      </c>
      <c r="C3294" t="s">
        <v>9362</v>
      </c>
      <c r="D3294">
        <v>1</v>
      </c>
      <c r="E3294" t="s">
        <v>9355</v>
      </c>
      <c r="F3294" t="s">
        <v>9356</v>
      </c>
      <c r="G3294" s="1"/>
      <c r="H3294" t="str">
        <f>"3250615873088"</f>
        <v>3250615873088</v>
      </c>
      <c r="J3294" t="s">
        <v>9363</v>
      </c>
    </row>
    <row r="3295" spans="1:10" x14ac:dyDescent="0.25">
      <c r="A3295" t="s">
        <v>8</v>
      </c>
      <c r="B3295" t="s">
        <v>9364</v>
      </c>
      <c r="C3295" t="s">
        <v>9365</v>
      </c>
      <c r="D3295">
        <v>1</v>
      </c>
      <c r="E3295" t="s">
        <v>9355</v>
      </c>
      <c r="F3295" t="s">
        <v>9356</v>
      </c>
      <c r="G3295" s="1"/>
      <c r="H3295" t="str">
        <f>"3250616043206"</f>
        <v>3250616043206</v>
      </c>
      <c r="J3295" t="s">
        <v>9366</v>
      </c>
    </row>
    <row r="3296" spans="1:10" x14ac:dyDescent="0.25">
      <c r="A3296" t="s">
        <v>8</v>
      </c>
      <c r="B3296" t="s">
        <v>9367</v>
      </c>
      <c r="C3296" t="s">
        <v>9368</v>
      </c>
      <c r="D3296">
        <v>1</v>
      </c>
      <c r="E3296" t="s">
        <v>9355</v>
      </c>
      <c r="F3296" t="s">
        <v>9356</v>
      </c>
      <c r="G3296" s="1"/>
      <c r="H3296" t="str">
        <f>"3250615879806"</f>
        <v>3250615879806</v>
      </c>
      <c r="J3296" t="s">
        <v>9369</v>
      </c>
    </row>
    <row r="3297" spans="1:10" x14ac:dyDescent="0.25">
      <c r="A3297" t="s">
        <v>8</v>
      </c>
      <c r="B3297" t="s">
        <v>9370</v>
      </c>
      <c r="C3297" t="s">
        <v>9371</v>
      </c>
      <c r="D3297">
        <v>1</v>
      </c>
      <c r="E3297" t="s">
        <v>9355</v>
      </c>
      <c r="F3297" t="s">
        <v>9356</v>
      </c>
      <c r="G3297" s="1"/>
      <c r="H3297" t="str">
        <f>"3250616049253"</f>
        <v>3250616049253</v>
      </c>
      <c r="J3297" t="s">
        <v>9372</v>
      </c>
    </row>
    <row r="3298" spans="1:10" x14ac:dyDescent="0.25">
      <c r="A3298" t="s">
        <v>8</v>
      </c>
      <c r="B3298" t="s">
        <v>9373</v>
      </c>
      <c r="C3298" t="s">
        <v>9374</v>
      </c>
      <c r="D3298">
        <v>1</v>
      </c>
      <c r="E3298" t="s">
        <v>9355</v>
      </c>
      <c r="F3298" t="s">
        <v>9356</v>
      </c>
      <c r="G3298" s="1"/>
      <c r="H3298" t="str">
        <f>"3250615853707"</f>
        <v>3250615853707</v>
      </c>
      <c r="J3298" t="s">
        <v>9375</v>
      </c>
    </row>
    <row r="3299" spans="1:10" x14ac:dyDescent="0.25">
      <c r="A3299" t="s">
        <v>8</v>
      </c>
      <c r="B3299" t="s">
        <v>9376</v>
      </c>
      <c r="C3299" t="s">
        <v>9377</v>
      </c>
      <c r="D3299">
        <v>1</v>
      </c>
      <c r="E3299" t="s">
        <v>9355</v>
      </c>
      <c r="F3299" t="s">
        <v>9356</v>
      </c>
      <c r="G3299" s="1"/>
      <c r="H3299" t="str">
        <f>"3250616049444"</f>
        <v>3250616049444</v>
      </c>
      <c r="J3299" t="s">
        <v>9378</v>
      </c>
    </row>
    <row r="3300" spans="1:10" x14ac:dyDescent="0.25">
      <c r="A3300" t="s">
        <v>8</v>
      </c>
      <c r="B3300" t="s">
        <v>9379</v>
      </c>
      <c r="C3300" t="s">
        <v>9380</v>
      </c>
      <c r="D3300">
        <v>1</v>
      </c>
      <c r="E3300" t="s">
        <v>9355</v>
      </c>
      <c r="F3300" t="s">
        <v>9356</v>
      </c>
      <c r="G3300" s="1"/>
      <c r="H3300" t="str">
        <f>"3250616049260"</f>
        <v>3250616049260</v>
      </c>
      <c r="J3300" t="s">
        <v>9381</v>
      </c>
    </row>
    <row r="3301" spans="1:10" x14ac:dyDescent="0.25">
      <c r="A3301" t="s">
        <v>8</v>
      </c>
      <c r="B3301" t="s">
        <v>9382</v>
      </c>
      <c r="C3301" t="s">
        <v>9383</v>
      </c>
      <c r="D3301">
        <v>1</v>
      </c>
      <c r="E3301" t="s">
        <v>9355</v>
      </c>
      <c r="F3301" t="s">
        <v>9356</v>
      </c>
      <c r="G3301" s="1"/>
      <c r="H3301" t="str">
        <f>"3250616049451"</f>
        <v>3250616049451</v>
      </c>
      <c r="J3301" t="s">
        <v>9384</v>
      </c>
    </row>
    <row r="3302" spans="1:10" x14ac:dyDescent="0.25">
      <c r="A3302" t="s">
        <v>8</v>
      </c>
      <c r="B3302" t="s">
        <v>9385</v>
      </c>
      <c r="C3302" t="s">
        <v>9386</v>
      </c>
      <c r="D3302">
        <v>1</v>
      </c>
      <c r="E3302" t="s">
        <v>9355</v>
      </c>
      <c r="F3302" t="s">
        <v>9356</v>
      </c>
      <c r="G3302" s="1"/>
      <c r="H3302" t="str">
        <f>"3250616049277"</f>
        <v>3250616049277</v>
      </c>
      <c r="J3302" t="s">
        <v>9387</v>
      </c>
    </row>
    <row r="3303" spans="1:10" x14ac:dyDescent="0.25">
      <c r="A3303" t="s">
        <v>8</v>
      </c>
      <c r="B3303" t="s">
        <v>9388</v>
      </c>
      <c r="C3303" t="s">
        <v>9389</v>
      </c>
      <c r="D3303">
        <v>1</v>
      </c>
      <c r="E3303" t="s">
        <v>9355</v>
      </c>
      <c r="F3303" t="s">
        <v>9356</v>
      </c>
      <c r="G3303" s="1"/>
      <c r="H3303" t="str">
        <f>"3250612310869"</f>
        <v>3250612310869</v>
      </c>
      <c r="J3303" t="s">
        <v>9390</v>
      </c>
    </row>
    <row r="3304" spans="1:10" x14ac:dyDescent="0.25">
      <c r="A3304" t="s">
        <v>8</v>
      </c>
      <c r="B3304" t="s">
        <v>9391</v>
      </c>
      <c r="C3304" t="s">
        <v>9392</v>
      </c>
      <c r="D3304">
        <v>1</v>
      </c>
      <c r="E3304" t="s">
        <v>9355</v>
      </c>
      <c r="F3304" t="s">
        <v>9356</v>
      </c>
      <c r="G3304" s="1"/>
      <c r="H3304" t="str">
        <f>"3250616040984"</f>
        <v>3250616040984</v>
      </c>
      <c r="J3304" t="s">
        <v>9393</v>
      </c>
    </row>
    <row r="3305" spans="1:10" x14ac:dyDescent="0.25">
      <c r="A3305" t="s">
        <v>8</v>
      </c>
      <c r="B3305" t="s">
        <v>9394</v>
      </c>
      <c r="C3305" t="s">
        <v>9395</v>
      </c>
      <c r="D3305">
        <v>1</v>
      </c>
      <c r="E3305" t="s">
        <v>9355</v>
      </c>
      <c r="F3305" t="s">
        <v>9356</v>
      </c>
      <c r="G3305" s="1"/>
      <c r="H3305" t="str">
        <f>"3250616040991"</f>
        <v>3250616040991</v>
      </c>
      <c r="J3305" t="s">
        <v>9396</v>
      </c>
    </row>
    <row r="3306" spans="1:10" x14ac:dyDescent="0.25">
      <c r="A3306" t="s">
        <v>8</v>
      </c>
      <c r="B3306" t="s">
        <v>9397</v>
      </c>
      <c r="C3306" t="s">
        <v>9398</v>
      </c>
      <c r="D3306">
        <v>1</v>
      </c>
      <c r="E3306" t="s">
        <v>9355</v>
      </c>
      <c r="F3306" t="s">
        <v>9356</v>
      </c>
      <c r="G3306" s="1"/>
      <c r="H3306" t="str">
        <f>"3250615853318"</f>
        <v>3250615853318</v>
      </c>
      <c r="J3306" t="s">
        <v>9399</v>
      </c>
    </row>
    <row r="3307" spans="1:10" x14ac:dyDescent="0.25">
      <c r="A3307" t="s">
        <v>8</v>
      </c>
      <c r="B3307" t="s">
        <v>9400</v>
      </c>
      <c r="C3307" t="s">
        <v>9401</v>
      </c>
      <c r="D3307">
        <v>1</v>
      </c>
      <c r="E3307" t="s">
        <v>9355</v>
      </c>
      <c r="F3307" t="s">
        <v>9356</v>
      </c>
      <c r="G3307" s="1"/>
      <c r="H3307" t="str">
        <f>"3250617095105"</f>
        <v>3250617095105</v>
      </c>
      <c r="J3307" t="s">
        <v>9402</v>
      </c>
    </row>
    <row r="3308" spans="1:10" x14ac:dyDescent="0.25">
      <c r="A3308" t="s">
        <v>8</v>
      </c>
      <c r="B3308" t="s">
        <v>9403</v>
      </c>
      <c r="C3308" t="s">
        <v>9404</v>
      </c>
      <c r="D3308">
        <v>1</v>
      </c>
      <c r="E3308" t="s">
        <v>9355</v>
      </c>
      <c r="F3308" t="s">
        <v>9356</v>
      </c>
      <c r="G3308" s="1"/>
      <c r="H3308" t="str">
        <f>"3250617095112"</f>
        <v>3250617095112</v>
      </c>
      <c r="J3308" t="s">
        <v>9405</v>
      </c>
    </row>
    <row r="3309" spans="1:10" x14ac:dyDescent="0.25">
      <c r="A3309" t="s">
        <v>8</v>
      </c>
      <c r="B3309" t="s">
        <v>9406</v>
      </c>
      <c r="C3309" t="s">
        <v>9407</v>
      </c>
      <c r="D3309">
        <v>1</v>
      </c>
      <c r="E3309" t="s">
        <v>9355</v>
      </c>
      <c r="F3309" t="s">
        <v>9356</v>
      </c>
      <c r="G3309" s="1"/>
      <c r="H3309" t="str">
        <f>"3250616057715"</f>
        <v>3250616057715</v>
      </c>
      <c r="J3309" t="s">
        <v>9408</v>
      </c>
    </row>
    <row r="3310" spans="1:10" x14ac:dyDescent="0.25">
      <c r="A3310" t="s">
        <v>8</v>
      </c>
      <c r="B3310" t="s">
        <v>9409</v>
      </c>
      <c r="C3310" t="s">
        <v>9410</v>
      </c>
      <c r="D3310">
        <v>1</v>
      </c>
      <c r="E3310" t="s">
        <v>9355</v>
      </c>
      <c r="F3310" t="s">
        <v>9356</v>
      </c>
      <c r="G3310" s="1"/>
      <c r="H3310" t="str">
        <f>"3250616057739"</f>
        <v>3250616057739</v>
      </c>
      <c r="J3310" t="s">
        <v>9411</v>
      </c>
    </row>
    <row r="3311" spans="1:10" x14ac:dyDescent="0.25">
      <c r="A3311" t="s">
        <v>8</v>
      </c>
      <c r="B3311" t="s">
        <v>9412</v>
      </c>
      <c r="C3311" t="s">
        <v>9413</v>
      </c>
      <c r="D3311">
        <v>1</v>
      </c>
      <c r="E3311" t="s">
        <v>9355</v>
      </c>
      <c r="F3311" t="s">
        <v>9356</v>
      </c>
      <c r="G3311" s="1"/>
      <c r="H3311" t="str">
        <f>"3250612310876"</f>
        <v>3250612310876</v>
      </c>
      <c r="J3311" t="s">
        <v>9414</v>
      </c>
    </row>
    <row r="3312" spans="1:10" x14ac:dyDescent="0.25">
      <c r="A3312" t="s">
        <v>8</v>
      </c>
      <c r="B3312" t="s">
        <v>9415</v>
      </c>
      <c r="C3312" t="s">
        <v>9416</v>
      </c>
      <c r="D3312">
        <v>1</v>
      </c>
      <c r="E3312" t="s">
        <v>9355</v>
      </c>
      <c r="F3312" t="s">
        <v>9356</v>
      </c>
      <c r="G3312" s="1"/>
      <c r="H3312" t="str">
        <f>"3250617577342"</f>
        <v>3250617577342</v>
      </c>
      <c r="J3312" t="s">
        <v>9417</v>
      </c>
    </row>
    <row r="3313" spans="1:10" x14ac:dyDescent="0.25">
      <c r="A3313" t="s">
        <v>8</v>
      </c>
      <c r="B3313" t="s">
        <v>9418</v>
      </c>
      <c r="C3313" t="s">
        <v>9419</v>
      </c>
      <c r="D3313">
        <v>1</v>
      </c>
      <c r="E3313" t="s">
        <v>9355</v>
      </c>
      <c r="F3313" t="s">
        <v>9356</v>
      </c>
      <c r="G3313" s="1"/>
      <c r="H3313" t="str">
        <f>"3250618502510"</f>
        <v>3250618502510</v>
      </c>
      <c r="J3313" t="s">
        <v>9420</v>
      </c>
    </row>
    <row r="3314" spans="1:10" x14ac:dyDescent="0.25">
      <c r="A3314" t="s">
        <v>8</v>
      </c>
      <c r="B3314" t="s">
        <v>9421</v>
      </c>
      <c r="C3314" t="s">
        <v>9422</v>
      </c>
      <c r="D3314">
        <v>1</v>
      </c>
      <c r="E3314" t="s">
        <v>9355</v>
      </c>
      <c r="F3314" t="s">
        <v>9356</v>
      </c>
      <c r="G3314" s="1"/>
      <c r="H3314" t="str">
        <f>"3250618502527"</f>
        <v>3250618502527</v>
      </c>
      <c r="J3314" t="s">
        <v>9423</v>
      </c>
    </row>
    <row r="3315" spans="1:10" x14ac:dyDescent="0.25">
      <c r="A3315" t="s">
        <v>8</v>
      </c>
      <c r="B3315" t="s">
        <v>9424</v>
      </c>
      <c r="C3315" t="s">
        <v>9425</v>
      </c>
      <c r="D3315">
        <v>1</v>
      </c>
      <c r="E3315" t="s">
        <v>9355</v>
      </c>
      <c r="F3315" t="s">
        <v>9356</v>
      </c>
      <c r="G3315" s="1"/>
      <c r="H3315" t="str">
        <f>"3250612256280"</f>
        <v>3250612256280</v>
      </c>
      <c r="J3315" t="s">
        <v>9426</v>
      </c>
    </row>
    <row r="3316" spans="1:10" x14ac:dyDescent="0.25">
      <c r="A3316" t="s">
        <v>8</v>
      </c>
      <c r="B3316" t="s">
        <v>9427</v>
      </c>
      <c r="C3316" t="s">
        <v>9428</v>
      </c>
      <c r="D3316">
        <v>1</v>
      </c>
      <c r="E3316" t="s">
        <v>9355</v>
      </c>
      <c r="F3316" t="s">
        <v>9356</v>
      </c>
      <c r="G3316" s="1"/>
      <c r="H3316" t="str">
        <f>"3250612256297"</f>
        <v>3250612256297</v>
      </c>
      <c r="J3316" t="s">
        <v>9429</v>
      </c>
    </row>
    <row r="3317" spans="1:10" x14ac:dyDescent="0.25">
      <c r="A3317" t="s">
        <v>8</v>
      </c>
      <c r="B3317" t="s">
        <v>9430</v>
      </c>
      <c r="C3317" t="s">
        <v>9431</v>
      </c>
      <c r="D3317">
        <v>1</v>
      </c>
      <c r="E3317" t="s">
        <v>9355</v>
      </c>
      <c r="F3317" t="s">
        <v>9356</v>
      </c>
      <c r="G3317" s="1"/>
      <c r="H3317" t="str">
        <f>"3250612256303"</f>
        <v>3250612256303</v>
      </c>
      <c r="J3317" t="s">
        <v>9426</v>
      </c>
    </row>
    <row r="3318" spans="1:10" x14ac:dyDescent="0.25">
      <c r="A3318" t="s">
        <v>8</v>
      </c>
      <c r="B3318" t="s">
        <v>9432</v>
      </c>
      <c r="C3318" t="s">
        <v>9433</v>
      </c>
      <c r="D3318">
        <v>1</v>
      </c>
      <c r="E3318" t="s">
        <v>9355</v>
      </c>
      <c r="F3318" t="s">
        <v>9356</v>
      </c>
      <c r="G3318" s="1"/>
      <c r="H3318" t="str">
        <f>"3250612256310"</f>
        <v>3250612256310</v>
      </c>
      <c r="J3318" t="s">
        <v>9434</v>
      </c>
    </row>
    <row r="3319" spans="1:10" x14ac:dyDescent="0.25">
      <c r="A3319" t="s">
        <v>8</v>
      </c>
      <c r="B3319" t="s">
        <v>9435</v>
      </c>
      <c r="C3319" t="s">
        <v>9436</v>
      </c>
      <c r="D3319">
        <v>1</v>
      </c>
      <c r="E3319" t="s">
        <v>9355</v>
      </c>
      <c r="F3319" t="s">
        <v>9356</v>
      </c>
      <c r="G3319" s="1"/>
      <c r="H3319" t="str">
        <f>"3250612256327"</f>
        <v>3250612256327</v>
      </c>
      <c r="J3319" t="s">
        <v>9426</v>
      </c>
    </row>
    <row r="3320" spans="1:10" x14ac:dyDescent="0.25">
      <c r="A3320" t="s">
        <v>8</v>
      </c>
      <c r="B3320" t="s">
        <v>9437</v>
      </c>
      <c r="C3320" t="s">
        <v>9438</v>
      </c>
      <c r="D3320">
        <v>1</v>
      </c>
      <c r="E3320" t="s">
        <v>9355</v>
      </c>
      <c r="F3320" t="s">
        <v>9356</v>
      </c>
      <c r="G3320" s="1"/>
      <c r="H3320" t="str">
        <f>"3250612256334"</f>
        <v>3250612256334</v>
      </c>
      <c r="J3320" t="s">
        <v>9429</v>
      </c>
    </row>
    <row r="3321" spans="1:10" x14ac:dyDescent="0.25">
      <c r="A3321" t="s">
        <v>8</v>
      </c>
      <c r="B3321" t="s">
        <v>9439</v>
      </c>
      <c r="C3321" t="s">
        <v>9440</v>
      </c>
      <c r="D3321">
        <v>1</v>
      </c>
      <c r="E3321" t="s">
        <v>9355</v>
      </c>
      <c r="F3321" t="s">
        <v>9356</v>
      </c>
      <c r="G3321" s="1"/>
      <c r="H3321" t="str">
        <f>"3250610013045"</f>
        <v>3250610013045</v>
      </c>
      <c r="J3321" t="s">
        <v>9441</v>
      </c>
    </row>
    <row r="3322" spans="1:10" x14ac:dyDescent="0.25">
      <c r="A3322" t="s">
        <v>8</v>
      </c>
      <c r="B3322" t="s">
        <v>9442</v>
      </c>
      <c r="C3322" t="s">
        <v>9443</v>
      </c>
      <c r="D3322">
        <v>1</v>
      </c>
      <c r="E3322" t="s">
        <v>9355</v>
      </c>
      <c r="F3322" t="s">
        <v>9356</v>
      </c>
      <c r="G3322" s="1"/>
      <c r="H3322" t="str">
        <f>"3250610013052"</f>
        <v>3250610013052</v>
      </c>
      <c r="J3322" t="s">
        <v>9444</v>
      </c>
    </row>
    <row r="3323" spans="1:10" x14ac:dyDescent="0.25">
      <c r="A3323" t="s">
        <v>8</v>
      </c>
      <c r="B3323" t="s">
        <v>9445</v>
      </c>
      <c r="C3323" t="s">
        <v>9446</v>
      </c>
      <c r="D3323">
        <v>1</v>
      </c>
      <c r="E3323" t="s">
        <v>9355</v>
      </c>
      <c r="F3323" t="s">
        <v>9356</v>
      </c>
      <c r="G3323" s="1"/>
      <c r="H3323" t="str">
        <f>"3250610050521"</f>
        <v>3250610050521</v>
      </c>
      <c r="J3323" t="s">
        <v>9447</v>
      </c>
    </row>
    <row r="3324" spans="1:10" x14ac:dyDescent="0.25">
      <c r="A3324" t="s">
        <v>8</v>
      </c>
      <c r="B3324" t="s">
        <v>9448</v>
      </c>
      <c r="C3324" t="s">
        <v>9449</v>
      </c>
      <c r="D3324">
        <v>1</v>
      </c>
      <c r="E3324" t="s">
        <v>9355</v>
      </c>
      <c r="F3324" t="s">
        <v>9356</v>
      </c>
      <c r="G3324" s="1"/>
      <c r="H3324" t="str">
        <f>"3250610050538"</f>
        <v>3250610050538</v>
      </c>
      <c r="J3324" t="s">
        <v>9450</v>
      </c>
    </row>
    <row r="3325" spans="1:10" x14ac:dyDescent="0.25">
      <c r="A3325" t="s">
        <v>8</v>
      </c>
      <c r="B3325" t="s">
        <v>9451</v>
      </c>
      <c r="C3325" t="s">
        <v>9452</v>
      </c>
      <c r="D3325">
        <v>1</v>
      </c>
      <c r="E3325" t="s">
        <v>9355</v>
      </c>
      <c r="F3325" t="s">
        <v>9356</v>
      </c>
      <c r="G3325" s="1"/>
      <c r="H3325" t="str">
        <f>"3250610050545"</f>
        <v>3250610050545</v>
      </c>
      <c r="J3325" t="s">
        <v>9453</v>
      </c>
    </row>
    <row r="3326" spans="1:10" x14ac:dyDescent="0.25">
      <c r="A3326" t="s">
        <v>8</v>
      </c>
      <c r="B3326" t="s">
        <v>9454</v>
      </c>
      <c r="C3326" t="s">
        <v>9455</v>
      </c>
      <c r="D3326">
        <v>1</v>
      </c>
      <c r="E3326" t="s">
        <v>9355</v>
      </c>
      <c r="F3326" t="s">
        <v>9356</v>
      </c>
      <c r="G3326" s="1"/>
      <c r="H3326" t="str">
        <f>"3250610050217"</f>
        <v>3250610050217</v>
      </c>
      <c r="J3326" t="s">
        <v>9456</v>
      </c>
    </row>
    <row r="3327" spans="1:10" x14ac:dyDescent="0.25">
      <c r="A3327" t="s">
        <v>8</v>
      </c>
      <c r="B3327" t="s">
        <v>9457</v>
      </c>
      <c r="C3327" t="s">
        <v>9458</v>
      </c>
      <c r="D3327">
        <v>1</v>
      </c>
      <c r="E3327" t="s">
        <v>9355</v>
      </c>
      <c r="F3327" t="s">
        <v>9356</v>
      </c>
      <c r="G3327" s="1"/>
      <c r="H3327" t="str">
        <f>"3250610105306"</f>
        <v>3250610105306</v>
      </c>
      <c r="J3327" t="s">
        <v>9441</v>
      </c>
    </row>
    <row r="3328" spans="1:10" x14ac:dyDescent="0.25">
      <c r="A3328" t="s">
        <v>8</v>
      </c>
      <c r="B3328" t="s">
        <v>9459</v>
      </c>
      <c r="C3328" t="s">
        <v>9460</v>
      </c>
      <c r="D3328">
        <v>1</v>
      </c>
      <c r="E3328" t="s">
        <v>9461</v>
      </c>
      <c r="F3328" t="s">
        <v>9462</v>
      </c>
      <c r="G3328" s="1"/>
      <c r="H3328" t="str">
        <f>"3250617086974"</f>
        <v>3250617086974</v>
      </c>
      <c r="J3328" t="s">
        <v>7143</v>
      </c>
    </row>
    <row r="3329" spans="1:10" x14ac:dyDescent="0.25">
      <c r="A3329" t="s">
        <v>8</v>
      </c>
      <c r="B3329" t="s">
        <v>9463</v>
      </c>
      <c r="C3329" t="s">
        <v>9464</v>
      </c>
      <c r="D3329">
        <v>1</v>
      </c>
      <c r="E3329" t="s">
        <v>9461</v>
      </c>
      <c r="F3329" t="s">
        <v>9462</v>
      </c>
      <c r="G3329" s="1"/>
      <c r="H3329" t="str">
        <f>"3250617026925"</f>
        <v>3250617026925</v>
      </c>
      <c r="J3329" t="s">
        <v>9465</v>
      </c>
    </row>
    <row r="3330" spans="1:10" x14ac:dyDescent="0.25">
      <c r="A3330" t="s">
        <v>8</v>
      </c>
      <c r="B3330" t="s">
        <v>9466</v>
      </c>
      <c r="C3330" t="s">
        <v>9467</v>
      </c>
      <c r="D3330">
        <v>1</v>
      </c>
      <c r="E3330" t="s">
        <v>9461</v>
      </c>
      <c r="F3330" t="s">
        <v>9462</v>
      </c>
      <c r="G3330" s="1"/>
      <c r="H3330" t="str">
        <f>"3250617081207"</f>
        <v>3250617081207</v>
      </c>
      <c r="J3330" t="s">
        <v>9468</v>
      </c>
    </row>
    <row r="3331" spans="1:10" x14ac:dyDescent="0.25">
      <c r="A3331" t="s">
        <v>8</v>
      </c>
      <c r="B3331" t="s">
        <v>9469</v>
      </c>
      <c r="C3331" t="s">
        <v>9470</v>
      </c>
      <c r="D3331">
        <v>1</v>
      </c>
      <c r="E3331" t="s">
        <v>9461</v>
      </c>
      <c r="F3331" t="s">
        <v>9462</v>
      </c>
      <c r="G3331" s="1"/>
      <c r="H3331" t="str">
        <f>"3250617026918"</f>
        <v>3250617026918</v>
      </c>
      <c r="J3331" t="s">
        <v>9471</v>
      </c>
    </row>
    <row r="3332" spans="1:10" x14ac:dyDescent="0.25">
      <c r="A3332" t="s">
        <v>8</v>
      </c>
      <c r="B3332" t="s">
        <v>9472</v>
      </c>
      <c r="C3332" t="s">
        <v>9473</v>
      </c>
      <c r="D3332">
        <v>1</v>
      </c>
      <c r="E3332" t="s">
        <v>9461</v>
      </c>
      <c r="F3332" t="s">
        <v>9462</v>
      </c>
      <c r="G3332" s="1"/>
      <c r="H3332" t="str">
        <f>"3250617026901"</f>
        <v>3250617026901</v>
      </c>
      <c r="J3332" t="s">
        <v>9471</v>
      </c>
    </row>
    <row r="3333" spans="1:10" x14ac:dyDescent="0.25">
      <c r="A3333" t="s">
        <v>8</v>
      </c>
      <c r="B3333" t="s">
        <v>9474</v>
      </c>
      <c r="C3333" t="s">
        <v>9475</v>
      </c>
      <c r="D3333">
        <v>1</v>
      </c>
      <c r="E3333" t="s">
        <v>9461</v>
      </c>
      <c r="F3333" t="s">
        <v>9462</v>
      </c>
      <c r="G3333" s="1"/>
      <c r="H3333" t="str">
        <f>"3250617026956"</f>
        <v>3250617026956</v>
      </c>
      <c r="J3333" t="s">
        <v>9476</v>
      </c>
    </row>
    <row r="3334" spans="1:10" x14ac:dyDescent="0.25">
      <c r="A3334" t="s">
        <v>8</v>
      </c>
      <c r="B3334" t="s">
        <v>9477</v>
      </c>
      <c r="C3334" t="s">
        <v>9478</v>
      </c>
      <c r="D3334">
        <v>1</v>
      </c>
      <c r="E3334" t="s">
        <v>9461</v>
      </c>
      <c r="F3334" t="s">
        <v>9462</v>
      </c>
      <c r="G3334" s="1"/>
      <c r="H3334" t="str">
        <f>"3250617026963"</f>
        <v>3250617026963</v>
      </c>
      <c r="J3334" t="s">
        <v>9479</v>
      </c>
    </row>
    <row r="3335" spans="1:10" x14ac:dyDescent="0.25">
      <c r="A3335" t="s">
        <v>8</v>
      </c>
      <c r="B3335" t="s">
        <v>9480</v>
      </c>
      <c r="C3335" t="s">
        <v>9481</v>
      </c>
      <c r="D3335">
        <v>1</v>
      </c>
      <c r="E3335" t="s">
        <v>9461</v>
      </c>
      <c r="F3335" t="s">
        <v>9462</v>
      </c>
      <c r="G3335" s="1"/>
      <c r="H3335" t="str">
        <f>"3250617026970"</f>
        <v>3250617026970</v>
      </c>
      <c r="J3335" t="s">
        <v>6915</v>
      </c>
    </row>
    <row r="3336" spans="1:10" x14ac:dyDescent="0.25">
      <c r="A3336" t="s">
        <v>8</v>
      </c>
      <c r="B3336" t="s">
        <v>9482</v>
      </c>
      <c r="C3336" t="s">
        <v>9483</v>
      </c>
      <c r="D3336">
        <v>1</v>
      </c>
      <c r="E3336" t="s">
        <v>9461</v>
      </c>
      <c r="F3336" t="s">
        <v>9462</v>
      </c>
      <c r="G3336" s="1"/>
      <c r="H3336" t="str">
        <f>"3250617026987"</f>
        <v>3250617026987</v>
      </c>
      <c r="J3336" t="s">
        <v>9484</v>
      </c>
    </row>
    <row r="3337" spans="1:10" x14ac:dyDescent="0.25">
      <c r="A3337" t="s">
        <v>8</v>
      </c>
      <c r="B3337" t="s">
        <v>9485</v>
      </c>
      <c r="C3337" t="s">
        <v>9486</v>
      </c>
      <c r="D3337">
        <v>1</v>
      </c>
      <c r="E3337" t="s">
        <v>9461</v>
      </c>
      <c r="F3337" t="s">
        <v>9462</v>
      </c>
      <c r="G3337" s="1"/>
      <c r="H3337" t="str">
        <f>"3250617026994"</f>
        <v>3250617026994</v>
      </c>
      <c r="J3337" t="s">
        <v>9487</v>
      </c>
    </row>
    <row r="3338" spans="1:10" x14ac:dyDescent="0.25">
      <c r="A3338" t="s">
        <v>8</v>
      </c>
      <c r="B3338" t="s">
        <v>9488</v>
      </c>
      <c r="C3338" t="s">
        <v>9489</v>
      </c>
      <c r="D3338">
        <v>1</v>
      </c>
      <c r="E3338" t="s">
        <v>9461</v>
      </c>
      <c r="F3338" t="s">
        <v>9462</v>
      </c>
      <c r="G3338" s="1"/>
      <c r="H3338" t="str">
        <f>"3250617050951"</f>
        <v>3250617050951</v>
      </c>
      <c r="J3338" t="s">
        <v>9490</v>
      </c>
    </row>
    <row r="3339" spans="1:10" x14ac:dyDescent="0.25">
      <c r="A3339" t="s">
        <v>8</v>
      </c>
      <c r="B3339" t="s">
        <v>9491</v>
      </c>
      <c r="C3339" t="s">
        <v>9492</v>
      </c>
      <c r="D3339">
        <v>1</v>
      </c>
      <c r="E3339" t="s">
        <v>9461</v>
      </c>
      <c r="F3339" t="s">
        <v>9462</v>
      </c>
      <c r="G3339" s="1"/>
      <c r="H3339" t="str">
        <f>"3250617038119"</f>
        <v>3250617038119</v>
      </c>
      <c r="J3339" t="s">
        <v>9493</v>
      </c>
    </row>
    <row r="3340" spans="1:10" x14ac:dyDescent="0.25">
      <c r="A3340" t="s">
        <v>8</v>
      </c>
      <c r="B3340" t="s">
        <v>9494</v>
      </c>
      <c r="C3340" t="s">
        <v>9495</v>
      </c>
      <c r="D3340">
        <v>1</v>
      </c>
      <c r="E3340" t="s">
        <v>9461</v>
      </c>
      <c r="F3340" t="s">
        <v>9462</v>
      </c>
      <c r="G3340" s="1"/>
      <c r="H3340" t="str">
        <f>"3250617038140"</f>
        <v>3250617038140</v>
      </c>
      <c r="J3340" t="s">
        <v>9496</v>
      </c>
    </row>
    <row r="3341" spans="1:10" x14ac:dyDescent="0.25">
      <c r="A3341" t="s">
        <v>8</v>
      </c>
      <c r="B3341" t="s">
        <v>9497</v>
      </c>
      <c r="C3341" t="s">
        <v>9498</v>
      </c>
      <c r="D3341">
        <v>1</v>
      </c>
      <c r="E3341" t="s">
        <v>9461</v>
      </c>
      <c r="F3341" t="s">
        <v>9462</v>
      </c>
      <c r="G3341" s="1"/>
      <c r="H3341" t="str">
        <f>"3250610168554"</f>
        <v>3250610168554</v>
      </c>
      <c r="J3341" t="s">
        <v>9499</v>
      </c>
    </row>
    <row r="3342" spans="1:10" x14ac:dyDescent="0.25">
      <c r="A3342" t="s">
        <v>8</v>
      </c>
      <c r="B3342">
        <v>49354</v>
      </c>
      <c r="C3342" t="s">
        <v>9500</v>
      </c>
      <c r="D3342">
        <v>1</v>
      </c>
      <c r="E3342" t="s">
        <v>9501</v>
      </c>
      <c r="F3342" t="s">
        <v>9502</v>
      </c>
      <c r="G3342" s="1"/>
      <c r="H3342" t="str">
        <f>"3542220493547"</f>
        <v>3542220493547</v>
      </c>
      <c r="J3342" t="s">
        <v>9503</v>
      </c>
    </row>
    <row r="3343" spans="1:10" x14ac:dyDescent="0.25">
      <c r="A3343" t="s">
        <v>8</v>
      </c>
      <c r="B3343">
        <v>49111</v>
      </c>
      <c r="C3343" t="s">
        <v>9504</v>
      </c>
      <c r="D3343">
        <v>1</v>
      </c>
      <c r="E3343" t="s">
        <v>9501</v>
      </c>
      <c r="F3343" t="s">
        <v>9502</v>
      </c>
      <c r="G3343" s="1"/>
      <c r="H3343" t="str">
        <f>"3542220491116"</f>
        <v>3542220491116</v>
      </c>
      <c r="J3343" t="s">
        <v>9505</v>
      </c>
    </row>
    <row r="3344" spans="1:10" x14ac:dyDescent="0.25">
      <c r="A3344" t="s">
        <v>8</v>
      </c>
      <c r="B3344" t="s">
        <v>9506</v>
      </c>
      <c r="C3344" t="s">
        <v>9507</v>
      </c>
      <c r="D3344">
        <v>1</v>
      </c>
      <c r="E3344" t="s">
        <v>9501</v>
      </c>
      <c r="F3344" t="s">
        <v>9502</v>
      </c>
      <c r="G3344" s="1"/>
      <c r="H3344" t="str">
        <f>"3250612314829"</f>
        <v>3250612314829</v>
      </c>
      <c r="J3344" t="s">
        <v>9508</v>
      </c>
    </row>
    <row r="3345" spans="1:10" x14ac:dyDescent="0.25">
      <c r="A3345" t="s">
        <v>8</v>
      </c>
      <c r="B3345">
        <v>52115</v>
      </c>
      <c r="C3345" t="s">
        <v>9509</v>
      </c>
      <c r="D3345">
        <v>1</v>
      </c>
      <c r="E3345" t="s">
        <v>9510</v>
      </c>
      <c r="F3345" t="s">
        <v>9511</v>
      </c>
      <c r="G3345" s="1"/>
      <c r="H3345" t="str">
        <f>"3542220521158"</f>
        <v>3542220521158</v>
      </c>
      <c r="J3345" t="s">
        <v>9512</v>
      </c>
    </row>
    <row r="3346" spans="1:10" x14ac:dyDescent="0.25">
      <c r="A3346" t="s">
        <v>8</v>
      </c>
      <c r="B3346">
        <v>52126</v>
      </c>
      <c r="C3346" t="s">
        <v>9513</v>
      </c>
      <c r="D3346">
        <v>1</v>
      </c>
      <c r="E3346" t="s">
        <v>9510</v>
      </c>
      <c r="F3346" t="s">
        <v>9511</v>
      </c>
      <c r="G3346" s="1"/>
      <c r="H3346" t="str">
        <f>"3542220521264"</f>
        <v>3542220521264</v>
      </c>
      <c r="J3346" t="s">
        <v>9514</v>
      </c>
    </row>
    <row r="3347" spans="1:10" x14ac:dyDescent="0.25">
      <c r="A3347" t="s">
        <v>8</v>
      </c>
      <c r="B3347">
        <v>52118</v>
      </c>
      <c r="C3347" t="s">
        <v>9515</v>
      </c>
      <c r="D3347">
        <v>1</v>
      </c>
      <c r="E3347" t="s">
        <v>9510</v>
      </c>
      <c r="F3347" t="s">
        <v>9511</v>
      </c>
      <c r="G3347" s="1"/>
      <c r="H3347" t="str">
        <f>"3542220521189"</f>
        <v>3542220521189</v>
      </c>
      <c r="J3347" t="s">
        <v>9512</v>
      </c>
    </row>
    <row r="3348" spans="1:10" x14ac:dyDescent="0.25">
      <c r="A3348" t="s">
        <v>8</v>
      </c>
      <c r="B3348">
        <v>52117</v>
      </c>
      <c r="C3348" t="s">
        <v>9516</v>
      </c>
      <c r="D3348">
        <v>1</v>
      </c>
      <c r="E3348" t="s">
        <v>9510</v>
      </c>
      <c r="F3348" t="s">
        <v>9511</v>
      </c>
      <c r="G3348" s="1"/>
      <c r="H3348" t="str">
        <f>"3542220521172"</f>
        <v>3542220521172</v>
      </c>
      <c r="J3348" t="s">
        <v>9512</v>
      </c>
    </row>
    <row r="3349" spans="1:10" x14ac:dyDescent="0.25">
      <c r="A3349" t="s">
        <v>8</v>
      </c>
      <c r="B3349" t="s">
        <v>9517</v>
      </c>
      <c r="C3349" t="s">
        <v>9518</v>
      </c>
      <c r="D3349">
        <v>1</v>
      </c>
      <c r="E3349" t="s">
        <v>9510</v>
      </c>
      <c r="F3349" t="s">
        <v>9511</v>
      </c>
      <c r="G3349" s="1"/>
      <c r="H3349" t="str">
        <f>"3250617579186"</f>
        <v>3250617579186</v>
      </c>
      <c r="J3349" t="s">
        <v>9519</v>
      </c>
    </row>
    <row r="3350" spans="1:10" x14ac:dyDescent="0.25">
      <c r="A3350" t="s">
        <v>8</v>
      </c>
      <c r="B3350">
        <v>52116</v>
      </c>
      <c r="C3350" t="s">
        <v>9520</v>
      </c>
      <c r="D3350">
        <v>1</v>
      </c>
      <c r="E3350" t="s">
        <v>9510</v>
      </c>
      <c r="F3350" t="s">
        <v>9511</v>
      </c>
      <c r="G3350" s="1"/>
      <c r="H3350" t="str">
        <f>"3542220521165"</f>
        <v>3542220521165</v>
      </c>
      <c r="J3350" t="s">
        <v>9512</v>
      </c>
    </row>
    <row r="3351" spans="1:10" x14ac:dyDescent="0.25">
      <c r="A3351" t="s">
        <v>8</v>
      </c>
      <c r="B3351" t="s">
        <v>9521</v>
      </c>
      <c r="C3351" t="s">
        <v>9522</v>
      </c>
      <c r="D3351">
        <v>1</v>
      </c>
      <c r="E3351" t="s">
        <v>9510</v>
      </c>
      <c r="F3351" t="s">
        <v>9511</v>
      </c>
      <c r="G3351" s="1"/>
      <c r="H3351" t="str">
        <f>"3250617579179"</f>
        <v>3250617579179</v>
      </c>
      <c r="J3351" t="s">
        <v>9523</v>
      </c>
    </row>
    <row r="3352" spans="1:10" x14ac:dyDescent="0.25">
      <c r="A3352" t="s">
        <v>8</v>
      </c>
      <c r="B3352">
        <v>52125</v>
      </c>
      <c r="C3352" t="s">
        <v>9524</v>
      </c>
      <c r="D3352">
        <v>1</v>
      </c>
      <c r="E3352" t="s">
        <v>9510</v>
      </c>
      <c r="F3352" t="s">
        <v>9511</v>
      </c>
      <c r="G3352" s="1"/>
      <c r="H3352" t="str">
        <f>"3542220521257"</f>
        <v>3542220521257</v>
      </c>
      <c r="J3352" t="s">
        <v>9514</v>
      </c>
    </row>
    <row r="3353" spans="1:10" x14ac:dyDescent="0.25">
      <c r="A3353" t="s">
        <v>8</v>
      </c>
      <c r="B3353">
        <v>52900</v>
      </c>
      <c r="C3353" t="s">
        <v>9525</v>
      </c>
      <c r="D3353">
        <v>1</v>
      </c>
      <c r="E3353" t="s">
        <v>9510</v>
      </c>
      <c r="F3353" t="s">
        <v>9511</v>
      </c>
      <c r="G3353" s="1"/>
      <c r="H3353" t="str">
        <f>"3542220529000"</f>
        <v>3542220529000</v>
      </c>
      <c r="J3353" t="s">
        <v>9526</v>
      </c>
    </row>
    <row r="3354" spans="1:10" x14ac:dyDescent="0.25">
      <c r="A3354" t="s">
        <v>8</v>
      </c>
      <c r="B3354" t="s">
        <v>9527</v>
      </c>
      <c r="C3354" t="s">
        <v>9528</v>
      </c>
      <c r="D3354">
        <v>1</v>
      </c>
      <c r="E3354" t="s">
        <v>9510</v>
      </c>
      <c r="F3354" t="s">
        <v>9511</v>
      </c>
      <c r="G3354" s="1"/>
      <c r="H3354" t="str">
        <f>"3250617579162"</f>
        <v>3250617579162</v>
      </c>
      <c r="J3354" t="s">
        <v>9529</v>
      </c>
    </row>
    <row r="3355" spans="1:10" x14ac:dyDescent="0.25">
      <c r="A3355" t="s">
        <v>8</v>
      </c>
      <c r="B3355" t="s">
        <v>9530</v>
      </c>
      <c r="C3355" t="s">
        <v>9531</v>
      </c>
      <c r="D3355">
        <v>1</v>
      </c>
      <c r="E3355" t="s">
        <v>9510</v>
      </c>
      <c r="F3355" t="s">
        <v>9511</v>
      </c>
      <c r="G3355" s="1"/>
      <c r="H3355" t="str">
        <f>"3250617579476"</f>
        <v>3250617579476</v>
      </c>
      <c r="J3355" t="s">
        <v>9532</v>
      </c>
    </row>
    <row r="3356" spans="1:10" x14ac:dyDescent="0.25">
      <c r="A3356" t="s">
        <v>8</v>
      </c>
      <c r="B3356">
        <v>52371</v>
      </c>
      <c r="C3356" t="s">
        <v>9533</v>
      </c>
      <c r="D3356">
        <v>1</v>
      </c>
      <c r="E3356" t="s">
        <v>9534</v>
      </c>
      <c r="F3356" t="s">
        <v>9535</v>
      </c>
      <c r="G3356" s="1"/>
      <c r="H3356" t="str">
        <f>"3542220523718"</f>
        <v>3542220523718</v>
      </c>
      <c r="J3356" t="s">
        <v>9536</v>
      </c>
    </row>
    <row r="3357" spans="1:10" x14ac:dyDescent="0.25">
      <c r="A3357" t="s">
        <v>8</v>
      </c>
      <c r="B3357">
        <v>52370</v>
      </c>
      <c r="C3357" t="s">
        <v>9537</v>
      </c>
      <c r="D3357">
        <v>1</v>
      </c>
      <c r="E3357" t="s">
        <v>9534</v>
      </c>
      <c r="F3357" t="s">
        <v>9535</v>
      </c>
      <c r="G3357" s="1"/>
      <c r="H3357" t="str">
        <f>"3542220523701"</f>
        <v>3542220523701</v>
      </c>
      <c r="J3357" t="s">
        <v>9538</v>
      </c>
    </row>
    <row r="3358" spans="1:10" x14ac:dyDescent="0.25">
      <c r="A3358" t="s">
        <v>8</v>
      </c>
      <c r="B3358" t="s">
        <v>9539</v>
      </c>
      <c r="C3358" t="s">
        <v>9540</v>
      </c>
      <c r="D3358">
        <v>1</v>
      </c>
      <c r="E3358" t="s">
        <v>9534</v>
      </c>
      <c r="F3358" t="s">
        <v>9535</v>
      </c>
      <c r="G3358" s="1"/>
      <c r="H3358" t="str">
        <f>"3250612256174"</f>
        <v>3250612256174</v>
      </c>
      <c r="J3358" t="s">
        <v>9541</v>
      </c>
    </row>
    <row r="3359" spans="1:10" x14ac:dyDescent="0.25">
      <c r="A3359" t="s">
        <v>8</v>
      </c>
      <c r="B3359" t="s">
        <v>9542</v>
      </c>
      <c r="C3359" t="s">
        <v>9543</v>
      </c>
      <c r="D3359">
        <v>1</v>
      </c>
      <c r="E3359" t="s">
        <v>9534</v>
      </c>
      <c r="F3359" t="s">
        <v>9535</v>
      </c>
      <c r="G3359" s="1"/>
      <c r="H3359" t="str">
        <f>"3250612256181"</f>
        <v>3250612256181</v>
      </c>
      <c r="J3359" t="s">
        <v>9544</v>
      </c>
    </row>
    <row r="3360" spans="1:10" x14ac:dyDescent="0.25">
      <c r="A3360" t="s">
        <v>8</v>
      </c>
      <c r="B3360" t="s">
        <v>9545</v>
      </c>
      <c r="C3360" t="s">
        <v>9546</v>
      </c>
      <c r="D3360">
        <v>1</v>
      </c>
      <c r="E3360" t="s">
        <v>9534</v>
      </c>
      <c r="F3360" t="s">
        <v>9535</v>
      </c>
      <c r="G3360" s="1"/>
      <c r="H3360" t="str">
        <f>"3250612256198"</f>
        <v>3250612256198</v>
      </c>
      <c r="J3360" t="s">
        <v>9541</v>
      </c>
    </row>
    <row r="3361" spans="1:10" x14ac:dyDescent="0.25">
      <c r="A3361" t="s">
        <v>8</v>
      </c>
      <c r="B3361" t="s">
        <v>9547</v>
      </c>
      <c r="C3361" t="s">
        <v>9548</v>
      </c>
      <c r="D3361">
        <v>1</v>
      </c>
      <c r="E3361" t="s">
        <v>9534</v>
      </c>
      <c r="F3361" t="s">
        <v>9535</v>
      </c>
      <c r="G3361" s="1"/>
      <c r="H3361" t="str">
        <f>"3250612256204"</f>
        <v>3250612256204</v>
      </c>
      <c r="J3361" t="s">
        <v>9544</v>
      </c>
    </row>
    <row r="3362" spans="1:10" x14ac:dyDescent="0.25">
      <c r="A3362" t="s">
        <v>8</v>
      </c>
      <c r="B3362" t="s">
        <v>9549</v>
      </c>
      <c r="C3362" t="s">
        <v>9550</v>
      </c>
      <c r="D3362">
        <v>1</v>
      </c>
      <c r="E3362" t="s">
        <v>9534</v>
      </c>
      <c r="F3362" t="s">
        <v>9535</v>
      </c>
      <c r="G3362" s="1"/>
      <c r="H3362" t="str">
        <f>"3250612256211"</f>
        <v>3250612256211</v>
      </c>
      <c r="J3362" t="s">
        <v>9541</v>
      </c>
    </row>
    <row r="3363" spans="1:10" x14ac:dyDescent="0.25">
      <c r="A3363" t="s">
        <v>8</v>
      </c>
      <c r="B3363" t="s">
        <v>9551</v>
      </c>
      <c r="C3363" t="s">
        <v>9552</v>
      </c>
      <c r="D3363">
        <v>1</v>
      </c>
      <c r="E3363" t="s">
        <v>9534</v>
      </c>
      <c r="F3363" t="s">
        <v>9535</v>
      </c>
      <c r="G3363" s="1"/>
      <c r="H3363" t="str">
        <f>"3250612256228"</f>
        <v>3250612256228</v>
      </c>
      <c r="J3363" t="s">
        <v>9553</v>
      </c>
    </row>
    <row r="3364" spans="1:10" x14ac:dyDescent="0.25">
      <c r="A3364" t="s">
        <v>8</v>
      </c>
      <c r="B3364" t="s">
        <v>9554</v>
      </c>
      <c r="C3364" t="s">
        <v>9555</v>
      </c>
      <c r="D3364">
        <v>1</v>
      </c>
      <c r="E3364" t="s">
        <v>9534</v>
      </c>
      <c r="F3364" t="s">
        <v>9535</v>
      </c>
      <c r="G3364" s="1"/>
      <c r="H3364" t="str">
        <f>"3250612256235"</f>
        <v>3250612256235</v>
      </c>
      <c r="J3364" t="s">
        <v>9556</v>
      </c>
    </row>
    <row r="3365" spans="1:10" x14ac:dyDescent="0.25">
      <c r="A3365" t="s">
        <v>8</v>
      </c>
      <c r="B3365" t="s">
        <v>9557</v>
      </c>
      <c r="C3365" t="s">
        <v>9558</v>
      </c>
      <c r="D3365">
        <v>1</v>
      </c>
      <c r="E3365" t="s">
        <v>9534</v>
      </c>
      <c r="F3365" t="s">
        <v>9535</v>
      </c>
      <c r="G3365" s="1"/>
      <c r="H3365" t="str">
        <f>"3250612256242"</f>
        <v>3250612256242</v>
      </c>
      <c r="J3365" t="s">
        <v>9556</v>
      </c>
    </row>
    <row r="3366" spans="1:10" x14ac:dyDescent="0.25">
      <c r="A3366" t="s">
        <v>8</v>
      </c>
      <c r="B3366" t="s">
        <v>9559</v>
      </c>
      <c r="C3366" t="s">
        <v>9560</v>
      </c>
      <c r="D3366">
        <v>1</v>
      </c>
      <c r="E3366" t="s">
        <v>9534</v>
      </c>
      <c r="F3366" t="s">
        <v>9535</v>
      </c>
      <c r="G3366" s="1"/>
      <c r="H3366" t="str">
        <f>"3250612256259"</f>
        <v>3250612256259</v>
      </c>
      <c r="J3366" t="s">
        <v>9556</v>
      </c>
    </row>
    <row r="3367" spans="1:10" x14ac:dyDescent="0.25">
      <c r="A3367" t="s">
        <v>8</v>
      </c>
      <c r="B3367" t="s">
        <v>9561</v>
      </c>
      <c r="C3367" t="s">
        <v>9562</v>
      </c>
      <c r="D3367">
        <v>1</v>
      </c>
      <c r="E3367" t="s">
        <v>9534</v>
      </c>
      <c r="F3367" t="s">
        <v>9535</v>
      </c>
      <c r="G3367" s="1"/>
      <c r="H3367" t="str">
        <f>"3250612256266"</f>
        <v>3250612256266</v>
      </c>
      <c r="J3367" t="s">
        <v>9556</v>
      </c>
    </row>
    <row r="3368" spans="1:10" x14ac:dyDescent="0.25">
      <c r="A3368" t="s">
        <v>8</v>
      </c>
      <c r="B3368" t="s">
        <v>9563</v>
      </c>
      <c r="C3368" t="s">
        <v>9564</v>
      </c>
      <c r="D3368">
        <v>1</v>
      </c>
      <c r="E3368" t="s">
        <v>9534</v>
      </c>
      <c r="F3368" t="s">
        <v>9535</v>
      </c>
      <c r="G3368" s="1"/>
      <c r="H3368" t="str">
        <f>"3250612256273"</f>
        <v>3250612256273</v>
      </c>
      <c r="J3368" t="s">
        <v>9556</v>
      </c>
    </row>
    <row r="3369" spans="1:10" x14ac:dyDescent="0.25">
      <c r="A3369" t="s">
        <v>8</v>
      </c>
      <c r="B3369" t="s">
        <v>9565</v>
      </c>
      <c r="C3369" t="s">
        <v>9566</v>
      </c>
      <c r="D3369">
        <v>1</v>
      </c>
      <c r="E3369" t="s">
        <v>9567</v>
      </c>
      <c r="F3369" t="s">
        <v>9568</v>
      </c>
      <c r="G3369" s="1"/>
      <c r="H3369" t="str">
        <f>"3250611612827"</f>
        <v>3250611612827</v>
      </c>
      <c r="J3369" t="s">
        <v>9569</v>
      </c>
    </row>
    <row r="3370" spans="1:10" x14ac:dyDescent="0.25">
      <c r="A3370" t="s">
        <v>8</v>
      </c>
      <c r="B3370" t="s">
        <v>9570</v>
      </c>
      <c r="C3370" t="s">
        <v>9571</v>
      </c>
      <c r="D3370">
        <v>1</v>
      </c>
      <c r="E3370" t="s">
        <v>9567</v>
      </c>
      <c r="F3370" t="s">
        <v>9568</v>
      </c>
      <c r="G3370" s="1"/>
      <c r="H3370" t="str">
        <f>"3250611612810"</f>
        <v>3250611612810</v>
      </c>
      <c r="J3370" t="s">
        <v>9572</v>
      </c>
    </row>
    <row r="3371" spans="1:10" x14ac:dyDescent="0.25">
      <c r="A3371" t="s">
        <v>8</v>
      </c>
      <c r="B3371" t="s">
        <v>9573</v>
      </c>
      <c r="C3371" t="s">
        <v>9574</v>
      </c>
      <c r="D3371">
        <v>1</v>
      </c>
      <c r="E3371" t="s">
        <v>9567</v>
      </c>
      <c r="F3371" t="s">
        <v>9568</v>
      </c>
      <c r="G3371" s="1"/>
      <c r="H3371" t="str">
        <f>"3250611612803"</f>
        <v>3250611612803</v>
      </c>
      <c r="J3371" t="s">
        <v>9575</v>
      </c>
    </row>
    <row r="3372" spans="1:10" x14ac:dyDescent="0.25">
      <c r="A3372" t="s">
        <v>8</v>
      </c>
      <c r="B3372" t="s">
        <v>9576</v>
      </c>
      <c r="C3372" t="s">
        <v>9577</v>
      </c>
      <c r="D3372">
        <v>1</v>
      </c>
      <c r="E3372" t="s">
        <v>9567</v>
      </c>
      <c r="F3372" t="s">
        <v>9568</v>
      </c>
      <c r="G3372" s="1"/>
      <c r="H3372" t="str">
        <f>"3250611612797"</f>
        <v>3250611612797</v>
      </c>
      <c r="J3372" t="s">
        <v>9578</v>
      </c>
    </row>
    <row r="3373" spans="1:10" x14ac:dyDescent="0.25">
      <c r="A3373" t="s">
        <v>8</v>
      </c>
      <c r="B3373" t="s">
        <v>9579</v>
      </c>
      <c r="C3373" t="s">
        <v>9580</v>
      </c>
      <c r="D3373">
        <v>1</v>
      </c>
      <c r="E3373" t="s">
        <v>9567</v>
      </c>
      <c r="F3373" t="s">
        <v>9568</v>
      </c>
      <c r="G3373" s="1"/>
      <c r="H3373" t="str">
        <f>"3250611630449"</f>
        <v>3250611630449</v>
      </c>
      <c r="J3373" t="s">
        <v>9581</v>
      </c>
    </row>
    <row r="3374" spans="1:10" x14ac:dyDescent="0.25">
      <c r="A3374" t="s">
        <v>8</v>
      </c>
      <c r="B3374" t="s">
        <v>9582</v>
      </c>
      <c r="C3374" t="s">
        <v>9583</v>
      </c>
      <c r="D3374">
        <v>1</v>
      </c>
      <c r="E3374" t="s">
        <v>9567</v>
      </c>
      <c r="F3374" t="s">
        <v>9568</v>
      </c>
      <c r="G3374" s="1"/>
      <c r="H3374" t="str">
        <f>"3250611630456"</f>
        <v>3250611630456</v>
      </c>
      <c r="J3374" t="s">
        <v>9584</v>
      </c>
    </row>
    <row r="3375" spans="1:10" x14ac:dyDescent="0.25">
      <c r="A3375" t="s">
        <v>8</v>
      </c>
      <c r="B3375" t="s">
        <v>9585</v>
      </c>
      <c r="C3375" t="s">
        <v>9586</v>
      </c>
      <c r="D3375">
        <v>1</v>
      </c>
      <c r="E3375" t="s">
        <v>9587</v>
      </c>
      <c r="F3375" t="s">
        <v>9588</v>
      </c>
      <c r="G3375" s="1"/>
      <c r="H3375" t="str">
        <f>"3250611860013"</f>
        <v>3250611860013</v>
      </c>
      <c r="J3375" t="s">
        <v>9589</v>
      </c>
    </row>
    <row r="3376" spans="1:10" x14ac:dyDescent="0.25">
      <c r="A3376" t="s">
        <v>8</v>
      </c>
      <c r="B3376" t="s">
        <v>9590</v>
      </c>
      <c r="C3376" t="s">
        <v>9591</v>
      </c>
      <c r="D3376">
        <v>1</v>
      </c>
      <c r="E3376" t="s">
        <v>9587</v>
      </c>
      <c r="F3376" t="s">
        <v>9588</v>
      </c>
      <c r="G3376" s="1"/>
      <c r="H3376" t="str">
        <f>"3250611611578"</f>
        <v>3250611611578</v>
      </c>
      <c r="J3376" t="s">
        <v>9592</v>
      </c>
    </row>
    <row r="3377" spans="1:10" x14ac:dyDescent="0.25">
      <c r="A3377" t="s">
        <v>8</v>
      </c>
      <c r="B3377" t="s">
        <v>9593</v>
      </c>
      <c r="C3377" t="s">
        <v>9594</v>
      </c>
      <c r="D3377">
        <v>1</v>
      </c>
      <c r="E3377" t="s">
        <v>9587</v>
      </c>
      <c r="F3377" t="s">
        <v>9588</v>
      </c>
      <c r="G3377" s="1"/>
      <c r="H3377" t="str">
        <f>"3250611611561"</f>
        <v>3250611611561</v>
      </c>
      <c r="J3377" t="s">
        <v>9595</v>
      </c>
    </row>
    <row r="3378" spans="1:10" x14ac:dyDescent="0.25">
      <c r="A3378" t="s">
        <v>8</v>
      </c>
      <c r="B3378" t="s">
        <v>9596</v>
      </c>
      <c r="C3378" t="s">
        <v>9597</v>
      </c>
      <c r="D3378">
        <v>1</v>
      </c>
      <c r="E3378" t="s">
        <v>9587</v>
      </c>
      <c r="F3378" t="s">
        <v>9588</v>
      </c>
      <c r="G3378" s="1"/>
      <c r="H3378" t="str">
        <f>"3250611619116"</f>
        <v>3250611619116</v>
      </c>
      <c r="J3378" t="s">
        <v>9598</v>
      </c>
    </row>
    <row r="3379" spans="1:10" x14ac:dyDescent="0.25">
      <c r="A3379" t="s">
        <v>8</v>
      </c>
      <c r="B3379" t="s">
        <v>9599</v>
      </c>
      <c r="C3379" t="s">
        <v>9600</v>
      </c>
      <c r="D3379">
        <v>1</v>
      </c>
      <c r="E3379" t="s">
        <v>9587</v>
      </c>
      <c r="F3379" t="s">
        <v>9588</v>
      </c>
      <c r="G3379" s="1"/>
      <c r="H3379" t="str">
        <f>"3250611619055"</f>
        <v>3250611619055</v>
      </c>
      <c r="J3379" t="s">
        <v>9601</v>
      </c>
    </row>
    <row r="3380" spans="1:10" x14ac:dyDescent="0.25">
      <c r="A3380" t="s">
        <v>8</v>
      </c>
      <c r="B3380" t="s">
        <v>9602</v>
      </c>
      <c r="C3380" t="s">
        <v>9603</v>
      </c>
      <c r="D3380">
        <v>1</v>
      </c>
      <c r="E3380" t="s">
        <v>9587</v>
      </c>
      <c r="F3380" t="s">
        <v>9588</v>
      </c>
      <c r="G3380" s="1"/>
      <c r="H3380" t="str">
        <f>"3250611619260"</f>
        <v>3250611619260</v>
      </c>
      <c r="J3380" t="s">
        <v>9604</v>
      </c>
    </row>
    <row r="3381" spans="1:10" x14ac:dyDescent="0.25">
      <c r="A3381" t="s">
        <v>8</v>
      </c>
      <c r="B3381" t="s">
        <v>9605</v>
      </c>
      <c r="C3381" t="s">
        <v>9606</v>
      </c>
      <c r="D3381">
        <v>1</v>
      </c>
      <c r="E3381" t="s">
        <v>9587</v>
      </c>
      <c r="F3381" t="s">
        <v>9588</v>
      </c>
      <c r="G3381" s="1"/>
      <c r="H3381" t="str">
        <f>"3250611619048"</f>
        <v>3250611619048</v>
      </c>
      <c r="J3381" t="s">
        <v>9607</v>
      </c>
    </row>
    <row r="3382" spans="1:10" x14ac:dyDescent="0.25">
      <c r="A3382" t="s">
        <v>8</v>
      </c>
      <c r="B3382" t="s">
        <v>9608</v>
      </c>
      <c r="C3382" t="s">
        <v>9609</v>
      </c>
      <c r="D3382">
        <v>1</v>
      </c>
      <c r="E3382" t="s">
        <v>9587</v>
      </c>
      <c r="F3382" t="s">
        <v>9588</v>
      </c>
      <c r="G3382" s="1"/>
      <c r="H3382" t="str">
        <f>"3250611619031"</f>
        <v>3250611619031</v>
      </c>
      <c r="J3382" t="s">
        <v>9610</v>
      </c>
    </row>
    <row r="3383" spans="1:10" x14ac:dyDescent="0.25">
      <c r="A3383" t="s">
        <v>8</v>
      </c>
      <c r="B3383" t="s">
        <v>9611</v>
      </c>
      <c r="C3383" t="s">
        <v>9612</v>
      </c>
      <c r="D3383">
        <v>1</v>
      </c>
      <c r="E3383" t="s">
        <v>9587</v>
      </c>
      <c r="F3383" t="s">
        <v>9588</v>
      </c>
      <c r="G3383" s="1"/>
      <c r="H3383" t="str">
        <f>"3250611619086"</f>
        <v>3250611619086</v>
      </c>
      <c r="J3383" t="s">
        <v>9613</v>
      </c>
    </row>
    <row r="3384" spans="1:10" x14ac:dyDescent="0.25">
      <c r="A3384" t="s">
        <v>8</v>
      </c>
      <c r="B3384" t="s">
        <v>9614</v>
      </c>
      <c r="C3384" t="s">
        <v>9615</v>
      </c>
      <c r="D3384">
        <v>1</v>
      </c>
      <c r="E3384" t="s">
        <v>9587</v>
      </c>
      <c r="F3384" t="s">
        <v>9588</v>
      </c>
      <c r="G3384" s="1"/>
      <c r="H3384" t="str">
        <f>"3250611619239"</f>
        <v>3250611619239</v>
      </c>
      <c r="J3384" t="s">
        <v>9616</v>
      </c>
    </row>
    <row r="3385" spans="1:10" x14ac:dyDescent="0.25">
      <c r="A3385" t="s">
        <v>8</v>
      </c>
      <c r="B3385" t="s">
        <v>9617</v>
      </c>
      <c r="C3385" t="s">
        <v>9618</v>
      </c>
      <c r="D3385">
        <v>1</v>
      </c>
      <c r="E3385" t="s">
        <v>9587</v>
      </c>
      <c r="F3385" t="s">
        <v>9588</v>
      </c>
      <c r="G3385" s="1"/>
      <c r="H3385" t="str">
        <f>"3250611655084"</f>
        <v>3250611655084</v>
      </c>
      <c r="J3385" t="s">
        <v>9619</v>
      </c>
    </row>
    <row r="3386" spans="1:10" x14ac:dyDescent="0.25">
      <c r="A3386" t="s">
        <v>8</v>
      </c>
      <c r="B3386" t="s">
        <v>9620</v>
      </c>
      <c r="C3386" t="s">
        <v>9621</v>
      </c>
      <c r="D3386">
        <v>1</v>
      </c>
      <c r="E3386" t="s">
        <v>9587</v>
      </c>
      <c r="F3386" t="s">
        <v>9588</v>
      </c>
      <c r="G3386" s="1"/>
      <c r="H3386" t="str">
        <f>"3250611619079"</f>
        <v>3250611619079</v>
      </c>
      <c r="J3386" t="s">
        <v>9622</v>
      </c>
    </row>
    <row r="3387" spans="1:10" x14ac:dyDescent="0.25">
      <c r="A3387" t="s">
        <v>8</v>
      </c>
      <c r="B3387" t="s">
        <v>9623</v>
      </c>
      <c r="C3387" t="s">
        <v>9624</v>
      </c>
      <c r="D3387">
        <v>1</v>
      </c>
      <c r="E3387" t="s">
        <v>9587</v>
      </c>
      <c r="F3387" t="s">
        <v>9588</v>
      </c>
      <c r="G3387" s="1"/>
      <c r="H3387" t="str">
        <f>"3250611655077"</f>
        <v>3250611655077</v>
      </c>
      <c r="J3387" t="s">
        <v>9625</v>
      </c>
    </row>
    <row r="3388" spans="1:10" x14ac:dyDescent="0.25">
      <c r="A3388" t="s">
        <v>8</v>
      </c>
      <c r="B3388" t="s">
        <v>9626</v>
      </c>
      <c r="C3388" t="s">
        <v>9627</v>
      </c>
      <c r="D3388">
        <v>1</v>
      </c>
      <c r="E3388" t="s">
        <v>9587</v>
      </c>
      <c r="F3388" t="s">
        <v>9588</v>
      </c>
      <c r="G3388" s="1"/>
      <c r="H3388" t="str">
        <f>"3250611619147"</f>
        <v>3250611619147</v>
      </c>
      <c r="J3388" t="s">
        <v>9628</v>
      </c>
    </row>
    <row r="3389" spans="1:10" x14ac:dyDescent="0.25">
      <c r="A3389" t="s">
        <v>8</v>
      </c>
      <c r="B3389" t="s">
        <v>9629</v>
      </c>
      <c r="C3389" t="s">
        <v>9630</v>
      </c>
      <c r="D3389">
        <v>1</v>
      </c>
      <c r="E3389" t="s">
        <v>9587</v>
      </c>
      <c r="F3389" t="s">
        <v>9588</v>
      </c>
      <c r="G3389" s="1"/>
      <c r="H3389" t="str">
        <f>"3250611619215"</f>
        <v>3250611619215</v>
      </c>
      <c r="J3389" t="s">
        <v>9631</v>
      </c>
    </row>
    <row r="3390" spans="1:10" x14ac:dyDescent="0.25">
      <c r="A3390" t="s">
        <v>8</v>
      </c>
      <c r="B3390" t="s">
        <v>9632</v>
      </c>
      <c r="C3390" t="s">
        <v>9633</v>
      </c>
      <c r="D3390">
        <v>1</v>
      </c>
      <c r="E3390" t="s">
        <v>9587</v>
      </c>
      <c r="F3390" t="s">
        <v>9588</v>
      </c>
      <c r="G3390" s="1"/>
      <c r="H3390" t="str">
        <f>"3250611619024"</f>
        <v>3250611619024</v>
      </c>
      <c r="J3390" t="s">
        <v>9634</v>
      </c>
    </row>
    <row r="3391" spans="1:10" x14ac:dyDescent="0.25">
      <c r="A3391" t="s">
        <v>8</v>
      </c>
      <c r="B3391" t="s">
        <v>9635</v>
      </c>
      <c r="C3391" t="s">
        <v>9636</v>
      </c>
      <c r="D3391">
        <v>1</v>
      </c>
      <c r="E3391" t="s">
        <v>9587</v>
      </c>
      <c r="F3391" t="s">
        <v>9588</v>
      </c>
      <c r="G3391" s="1"/>
      <c r="H3391" t="str">
        <f>"3250611619208"</f>
        <v>3250611619208</v>
      </c>
      <c r="J3391" t="s">
        <v>9637</v>
      </c>
    </row>
    <row r="3392" spans="1:10" x14ac:dyDescent="0.25">
      <c r="A3392" t="s">
        <v>8</v>
      </c>
      <c r="B3392" t="s">
        <v>9638</v>
      </c>
      <c r="C3392" t="s">
        <v>9639</v>
      </c>
      <c r="D3392">
        <v>1</v>
      </c>
      <c r="E3392" t="s">
        <v>9587</v>
      </c>
      <c r="F3392" t="s">
        <v>9588</v>
      </c>
      <c r="G3392" s="1"/>
      <c r="H3392" t="str">
        <f>"3250611619192"</f>
        <v>3250611619192</v>
      </c>
      <c r="J3392" t="s">
        <v>9640</v>
      </c>
    </row>
    <row r="3393" spans="1:10" x14ac:dyDescent="0.25">
      <c r="A3393" t="s">
        <v>8</v>
      </c>
      <c r="B3393" t="s">
        <v>9641</v>
      </c>
      <c r="C3393" t="s">
        <v>9642</v>
      </c>
      <c r="D3393">
        <v>1</v>
      </c>
      <c r="E3393" t="s">
        <v>9587</v>
      </c>
      <c r="F3393" t="s">
        <v>9588</v>
      </c>
      <c r="G3393" s="1"/>
      <c r="H3393" t="str">
        <f>"3250611619291"</f>
        <v>3250611619291</v>
      </c>
      <c r="J3393" t="s">
        <v>9643</v>
      </c>
    </row>
    <row r="3394" spans="1:10" x14ac:dyDescent="0.25">
      <c r="A3394" t="s">
        <v>8</v>
      </c>
      <c r="B3394" t="s">
        <v>9644</v>
      </c>
      <c r="C3394" t="s">
        <v>9645</v>
      </c>
      <c r="D3394">
        <v>1</v>
      </c>
      <c r="E3394" t="s">
        <v>9587</v>
      </c>
      <c r="F3394" t="s">
        <v>9588</v>
      </c>
      <c r="G3394" s="1"/>
      <c r="H3394" t="str">
        <f>"3250611619178"</f>
        <v>3250611619178</v>
      </c>
      <c r="J3394" t="s">
        <v>9646</v>
      </c>
    </row>
    <row r="3395" spans="1:10" x14ac:dyDescent="0.25">
      <c r="A3395" t="s">
        <v>8</v>
      </c>
      <c r="B3395" t="s">
        <v>9647</v>
      </c>
      <c r="C3395" t="s">
        <v>9648</v>
      </c>
      <c r="D3395">
        <v>1</v>
      </c>
      <c r="E3395" t="s">
        <v>9587</v>
      </c>
      <c r="F3395" t="s">
        <v>9588</v>
      </c>
      <c r="G3395" s="1"/>
      <c r="H3395" t="str">
        <f>"3250611623571"</f>
        <v>3250611623571</v>
      </c>
      <c r="J3395" t="s">
        <v>9649</v>
      </c>
    </row>
    <row r="3396" spans="1:10" x14ac:dyDescent="0.25">
      <c r="A3396" t="s">
        <v>8</v>
      </c>
      <c r="B3396" t="s">
        <v>9650</v>
      </c>
      <c r="C3396" t="s">
        <v>9651</v>
      </c>
      <c r="D3396">
        <v>1</v>
      </c>
      <c r="E3396" t="s">
        <v>9587</v>
      </c>
      <c r="F3396" t="s">
        <v>9588</v>
      </c>
      <c r="G3396" s="1"/>
      <c r="H3396" t="str">
        <f>"3250611623588"</f>
        <v>3250611623588</v>
      </c>
      <c r="J3396" t="s">
        <v>9652</v>
      </c>
    </row>
    <row r="3397" spans="1:10" x14ac:dyDescent="0.25">
      <c r="A3397" t="s">
        <v>8</v>
      </c>
      <c r="B3397" t="s">
        <v>9653</v>
      </c>
      <c r="C3397" t="s">
        <v>9654</v>
      </c>
      <c r="D3397">
        <v>1</v>
      </c>
      <c r="E3397" t="s">
        <v>9587</v>
      </c>
      <c r="F3397" t="s">
        <v>9588</v>
      </c>
      <c r="G3397" s="1"/>
      <c r="H3397" t="str">
        <f>"3250611623663"</f>
        <v>3250611623663</v>
      </c>
      <c r="J3397" t="s">
        <v>9655</v>
      </c>
    </row>
    <row r="3398" spans="1:10" x14ac:dyDescent="0.25">
      <c r="A3398" t="s">
        <v>8</v>
      </c>
      <c r="B3398" t="s">
        <v>9656</v>
      </c>
      <c r="C3398" t="s">
        <v>9657</v>
      </c>
      <c r="D3398">
        <v>1</v>
      </c>
      <c r="E3398" t="s">
        <v>9587</v>
      </c>
      <c r="F3398" t="s">
        <v>9588</v>
      </c>
      <c r="G3398" s="1"/>
      <c r="H3398" t="str">
        <f>"3250611623687"</f>
        <v>3250611623687</v>
      </c>
      <c r="J3398" t="s">
        <v>9658</v>
      </c>
    </row>
    <row r="3399" spans="1:10" x14ac:dyDescent="0.25">
      <c r="A3399" t="s">
        <v>8</v>
      </c>
      <c r="B3399" t="s">
        <v>9659</v>
      </c>
      <c r="C3399" t="s">
        <v>9660</v>
      </c>
      <c r="D3399">
        <v>1</v>
      </c>
      <c r="E3399" t="s">
        <v>9587</v>
      </c>
      <c r="F3399" t="s">
        <v>9588</v>
      </c>
      <c r="G3399" s="1"/>
      <c r="H3399" t="str">
        <f>"3250611628170"</f>
        <v>3250611628170</v>
      </c>
      <c r="J3399" t="s">
        <v>9661</v>
      </c>
    </row>
    <row r="3400" spans="1:10" x14ac:dyDescent="0.25">
      <c r="A3400" t="s">
        <v>8</v>
      </c>
      <c r="B3400" t="s">
        <v>9662</v>
      </c>
      <c r="C3400" t="s">
        <v>9663</v>
      </c>
      <c r="D3400">
        <v>1</v>
      </c>
      <c r="E3400" t="s">
        <v>9587</v>
      </c>
      <c r="F3400" t="s">
        <v>9588</v>
      </c>
      <c r="G3400" s="1"/>
      <c r="H3400" t="str">
        <f>"3250611628187"</f>
        <v>3250611628187</v>
      </c>
      <c r="J3400" t="s">
        <v>9664</v>
      </c>
    </row>
    <row r="3401" spans="1:10" x14ac:dyDescent="0.25">
      <c r="A3401" t="s">
        <v>8</v>
      </c>
      <c r="B3401" t="s">
        <v>9665</v>
      </c>
      <c r="C3401" t="s">
        <v>9666</v>
      </c>
      <c r="D3401">
        <v>1</v>
      </c>
      <c r="E3401" t="s">
        <v>9587</v>
      </c>
      <c r="F3401" t="s">
        <v>9588</v>
      </c>
      <c r="G3401" s="1"/>
      <c r="H3401" t="str">
        <f>"3250611628194"</f>
        <v>3250611628194</v>
      </c>
      <c r="J3401" t="s">
        <v>9667</v>
      </c>
    </row>
    <row r="3402" spans="1:10" x14ac:dyDescent="0.25">
      <c r="A3402" t="s">
        <v>8</v>
      </c>
      <c r="B3402" t="s">
        <v>9668</v>
      </c>
      <c r="C3402" t="s">
        <v>9669</v>
      </c>
      <c r="D3402">
        <v>1</v>
      </c>
      <c r="E3402" t="s">
        <v>9587</v>
      </c>
      <c r="F3402" t="s">
        <v>9588</v>
      </c>
      <c r="G3402" s="1"/>
      <c r="H3402" t="str">
        <f>"3250611628217"</f>
        <v>3250611628217</v>
      </c>
      <c r="J3402" t="s">
        <v>9670</v>
      </c>
    </row>
    <row r="3403" spans="1:10" x14ac:dyDescent="0.25">
      <c r="A3403" t="s">
        <v>8</v>
      </c>
      <c r="B3403" t="s">
        <v>9671</v>
      </c>
      <c r="C3403" t="s">
        <v>9672</v>
      </c>
      <c r="D3403">
        <v>1</v>
      </c>
      <c r="E3403" t="s">
        <v>9587</v>
      </c>
      <c r="F3403" t="s">
        <v>9588</v>
      </c>
      <c r="G3403" s="1"/>
      <c r="H3403" t="str">
        <f>"3250611628224"</f>
        <v>3250611628224</v>
      </c>
      <c r="J3403" t="s">
        <v>9673</v>
      </c>
    </row>
    <row r="3404" spans="1:10" x14ac:dyDescent="0.25">
      <c r="A3404" t="s">
        <v>8</v>
      </c>
      <c r="B3404" t="s">
        <v>9674</v>
      </c>
      <c r="C3404" t="s">
        <v>9675</v>
      </c>
      <c r="D3404">
        <v>1</v>
      </c>
      <c r="E3404" t="s">
        <v>9587</v>
      </c>
      <c r="F3404" t="s">
        <v>9588</v>
      </c>
      <c r="G3404" s="1"/>
      <c r="H3404" t="str">
        <f>"3250611628866"</f>
        <v>3250611628866</v>
      </c>
      <c r="J3404" t="s">
        <v>9676</v>
      </c>
    </row>
    <row r="3405" spans="1:10" x14ac:dyDescent="0.25">
      <c r="A3405" t="s">
        <v>8</v>
      </c>
      <c r="B3405" t="s">
        <v>9677</v>
      </c>
      <c r="C3405" t="s">
        <v>9678</v>
      </c>
      <c r="D3405">
        <v>1</v>
      </c>
      <c r="E3405" t="s">
        <v>9587</v>
      </c>
      <c r="F3405" t="s">
        <v>9588</v>
      </c>
      <c r="G3405" s="1"/>
      <c r="H3405" t="str">
        <f>"3250611628873"</f>
        <v>3250611628873</v>
      </c>
      <c r="J3405" t="s">
        <v>9679</v>
      </c>
    </row>
    <row r="3406" spans="1:10" x14ac:dyDescent="0.25">
      <c r="A3406" t="s">
        <v>8</v>
      </c>
      <c r="B3406" t="s">
        <v>9680</v>
      </c>
      <c r="C3406" t="s">
        <v>9681</v>
      </c>
      <c r="D3406">
        <v>1</v>
      </c>
      <c r="E3406" t="s">
        <v>9587</v>
      </c>
      <c r="F3406" t="s">
        <v>9588</v>
      </c>
      <c r="G3406" s="1"/>
      <c r="H3406" t="str">
        <f>"3250611628279"</f>
        <v>3250611628279</v>
      </c>
      <c r="J3406" t="s">
        <v>9682</v>
      </c>
    </row>
    <row r="3407" spans="1:10" x14ac:dyDescent="0.25">
      <c r="A3407" t="s">
        <v>8</v>
      </c>
      <c r="B3407" t="s">
        <v>9683</v>
      </c>
      <c r="C3407" t="s">
        <v>9684</v>
      </c>
      <c r="D3407">
        <v>1</v>
      </c>
      <c r="E3407" t="s">
        <v>9587</v>
      </c>
      <c r="F3407" t="s">
        <v>9588</v>
      </c>
      <c r="G3407" s="1"/>
      <c r="H3407" t="str">
        <f>"3250611628286"</f>
        <v>3250611628286</v>
      </c>
      <c r="J3407" t="s">
        <v>9685</v>
      </c>
    </row>
    <row r="3408" spans="1:10" x14ac:dyDescent="0.25">
      <c r="A3408" t="s">
        <v>8</v>
      </c>
      <c r="B3408" t="s">
        <v>9686</v>
      </c>
      <c r="C3408" t="s">
        <v>9687</v>
      </c>
      <c r="D3408">
        <v>1</v>
      </c>
      <c r="E3408" t="s">
        <v>9587</v>
      </c>
      <c r="F3408" t="s">
        <v>9588</v>
      </c>
      <c r="G3408" s="1"/>
      <c r="H3408" t="str">
        <f>"3250611630203"</f>
        <v>3250611630203</v>
      </c>
      <c r="J3408" t="s">
        <v>9688</v>
      </c>
    </row>
    <row r="3409" spans="1:10" x14ac:dyDescent="0.25">
      <c r="A3409" t="s">
        <v>8</v>
      </c>
      <c r="B3409" t="s">
        <v>9689</v>
      </c>
      <c r="C3409" t="s">
        <v>9690</v>
      </c>
      <c r="D3409">
        <v>1</v>
      </c>
      <c r="E3409" t="s">
        <v>9587</v>
      </c>
      <c r="F3409" t="s">
        <v>9588</v>
      </c>
      <c r="G3409" s="1"/>
      <c r="H3409" t="str">
        <f>"3250611630319"</f>
        <v>3250611630319</v>
      </c>
      <c r="J3409" t="s">
        <v>9691</v>
      </c>
    </row>
    <row r="3410" spans="1:10" x14ac:dyDescent="0.25">
      <c r="A3410" t="s">
        <v>8</v>
      </c>
      <c r="B3410" t="s">
        <v>9692</v>
      </c>
      <c r="C3410" t="s">
        <v>9693</v>
      </c>
      <c r="D3410">
        <v>1</v>
      </c>
      <c r="E3410" t="s">
        <v>9587</v>
      </c>
      <c r="F3410" t="s">
        <v>9588</v>
      </c>
      <c r="G3410" s="1"/>
      <c r="H3410" t="str">
        <f>"3250611630326"</f>
        <v>3250611630326</v>
      </c>
      <c r="J3410" t="s">
        <v>9694</v>
      </c>
    </row>
    <row r="3411" spans="1:10" x14ac:dyDescent="0.25">
      <c r="A3411" t="s">
        <v>8</v>
      </c>
      <c r="B3411" t="s">
        <v>9695</v>
      </c>
      <c r="C3411" t="s">
        <v>9696</v>
      </c>
      <c r="D3411">
        <v>1</v>
      </c>
      <c r="E3411" t="s">
        <v>9587</v>
      </c>
      <c r="F3411" t="s">
        <v>9588</v>
      </c>
      <c r="G3411" s="1"/>
      <c r="H3411" t="str">
        <f>"3250611630333"</f>
        <v>3250611630333</v>
      </c>
      <c r="J3411" t="s">
        <v>9697</v>
      </c>
    </row>
    <row r="3412" spans="1:10" x14ac:dyDescent="0.25">
      <c r="A3412" t="s">
        <v>8</v>
      </c>
      <c r="B3412" t="s">
        <v>9698</v>
      </c>
      <c r="C3412" t="s">
        <v>9699</v>
      </c>
      <c r="D3412">
        <v>1</v>
      </c>
      <c r="E3412" t="s">
        <v>9587</v>
      </c>
      <c r="F3412" t="s">
        <v>9588</v>
      </c>
      <c r="G3412" s="1"/>
      <c r="H3412" t="str">
        <f>"3250611630418"</f>
        <v>3250611630418</v>
      </c>
      <c r="J3412" t="s">
        <v>9700</v>
      </c>
    </row>
    <row r="3413" spans="1:10" x14ac:dyDescent="0.25">
      <c r="A3413" t="s">
        <v>8</v>
      </c>
      <c r="B3413" t="s">
        <v>9701</v>
      </c>
      <c r="C3413" t="s">
        <v>9702</v>
      </c>
      <c r="D3413">
        <v>1</v>
      </c>
      <c r="E3413" t="s">
        <v>9587</v>
      </c>
      <c r="F3413" t="s">
        <v>9588</v>
      </c>
      <c r="G3413" s="1"/>
      <c r="H3413" t="str">
        <f>"3250611630425"</f>
        <v>3250611630425</v>
      </c>
      <c r="J3413" t="s">
        <v>9703</v>
      </c>
    </row>
    <row r="3414" spans="1:10" x14ac:dyDescent="0.25">
      <c r="A3414" t="s">
        <v>8</v>
      </c>
      <c r="B3414" t="s">
        <v>9704</v>
      </c>
      <c r="C3414" t="s">
        <v>9705</v>
      </c>
      <c r="D3414">
        <v>1</v>
      </c>
      <c r="E3414" t="s">
        <v>9587</v>
      </c>
      <c r="F3414" t="s">
        <v>9588</v>
      </c>
      <c r="G3414" s="1"/>
      <c r="H3414" t="str">
        <f>"3250611630432"</f>
        <v>3250611630432</v>
      </c>
      <c r="J3414" t="s">
        <v>9706</v>
      </c>
    </row>
    <row r="3415" spans="1:10" x14ac:dyDescent="0.25">
      <c r="A3415" t="s">
        <v>8</v>
      </c>
      <c r="B3415" t="s">
        <v>9707</v>
      </c>
      <c r="C3415" t="s">
        <v>9708</v>
      </c>
      <c r="D3415">
        <v>1</v>
      </c>
      <c r="E3415" t="s">
        <v>9587</v>
      </c>
      <c r="F3415" t="s">
        <v>9588</v>
      </c>
      <c r="G3415" s="1"/>
      <c r="H3415" t="str">
        <f>"3250611630463"</f>
        <v>3250611630463</v>
      </c>
      <c r="J3415" t="s">
        <v>9709</v>
      </c>
    </row>
    <row r="3416" spans="1:10" x14ac:dyDescent="0.25">
      <c r="A3416" t="s">
        <v>8</v>
      </c>
      <c r="B3416" t="s">
        <v>9710</v>
      </c>
      <c r="C3416" t="s">
        <v>9711</v>
      </c>
      <c r="D3416">
        <v>1</v>
      </c>
      <c r="E3416" t="s">
        <v>9587</v>
      </c>
      <c r="F3416" t="s">
        <v>9588</v>
      </c>
      <c r="G3416" s="1"/>
      <c r="H3416" t="str">
        <f>"3250611630470"</f>
        <v>3250611630470</v>
      </c>
      <c r="J3416" t="s">
        <v>9712</v>
      </c>
    </row>
    <row r="3417" spans="1:10" x14ac:dyDescent="0.25">
      <c r="A3417" t="s">
        <v>8</v>
      </c>
      <c r="B3417" t="s">
        <v>9713</v>
      </c>
      <c r="C3417" t="s">
        <v>9714</v>
      </c>
      <c r="D3417">
        <v>1</v>
      </c>
      <c r="E3417" t="s">
        <v>9587</v>
      </c>
      <c r="F3417" t="s">
        <v>9588</v>
      </c>
      <c r="G3417" s="1"/>
      <c r="H3417" t="str">
        <f>"3250611630487"</f>
        <v>3250611630487</v>
      </c>
      <c r="J3417" t="s">
        <v>9715</v>
      </c>
    </row>
    <row r="3418" spans="1:10" x14ac:dyDescent="0.25">
      <c r="A3418" t="s">
        <v>8</v>
      </c>
      <c r="B3418" t="s">
        <v>9716</v>
      </c>
      <c r="C3418" t="s">
        <v>9717</v>
      </c>
      <c r="D3418">
        <v>1</v>
      </c>
      <c r="E3418" t="s">
        <v>9587</v>
      </c>
      <c r="F3418" t="s">
        <v>9588</v>
      </c>
      <c r="G3418" s="1"/>
      <c r="H3418" t="str">
        <f>"3250611630494"</f>
        <v>3250611630494</v>
      </c>
      <c r="J3418" t="s">
        <v>9718</v>
      </c>
    </row>
    <row r="3419" spans="1:10" x14ac:dyDescent="0.25">
      <c r="A3419" t="s">
        <v>8</v>
      </c>
      <c r="B3419" t="s">
        <v>9719</v>
      </c>
      <c r="C3419" t="s">
        <v>9720</v>
      </c>
      <c r="D3419">
        <v>1</v>
      </c>
      <c r="E3419" t="s">
        <v>9587</v>
      </c>
      <c r="F3419" t="s">
        <v>9588</v>
      </c>
      <c r="G3419" s="1"/>
      <c r="H3419" t="str">
        <f>"3250611630500"</f>
        <v>3250611630500</v>
      </c>
      <c r="J3419" t="s">
        <v>9721</v>
      </c>
    </row>
    <row r="3420" spans="1:10" x14ac:dyDescent="0.25">
      <c r="A3420" t="s">
        <v>8</v>
      </c>
      <c r="B3420" t="s">
        <v>9722</v>
      </c>
      <c r="C3420" t="s">
        <v>9723</v>
      </c>
      <c r="D3420">
        <v>1</v>
      </c>
      <c r="E3420" t="s">
        <v>9587</v>
      </c>
      <c r="F3420" t="s">
        <v>9588</v>
      </c>
      <c r="G3420" s="1"/>
      <c r="H3420" t="str">
        <f>"3250611630517"</f>
        <v>3250611630517</v>
      </c>
      <c r="J3420" t="s">
        <v>9724</v>
      </c>
    </row>
    <row r="3421" spans="1:10" x14ac:dyDescent="0.25">
      <c r="A3421" t="s">
        <v>8</v>
      </c>
      <c r="B3421" t="s">
        <v>9725</v>
      </c>
      <c r="C3421" t="s">
        <v>9726</v>
      </c>
      <c r="D3421">
        <v>1</v>
      </c>
      <c r="E3421" t="s">
        <v>9727</v>
      </c>
      <c r="F3421" t="s">
        <v>9728</v>
      </c>
      <c r="G3421" s="1"/>
      <c r="H3421" t="str">
        <f>"3250612409907"</f>
        <v>3250612409907</v>
      </c>
      <c r="J3421" t="s">
        <v>9729</v>
      </c>
    </row>
    <row r="3422" spans="1:10" x14ac:dyDescent="0.25">
      <c r="A3422" t="s">
        <v>8</v>
      </c>
      <c r="B3422" t="s">
        <v>9730</v>
      </c>
      <c r="C3422" t="s">
        <v>9731</v>
      </c>
      <c r="D3422">
        <v>1</v>
      </c>
      <c r="E3422" t="s">
        <v>9727</v>
      </c>
      <c r="F3422" t="s">
        <v>9728</v>
      </c>
      <c r="G3422" s="1"/>
      <c r="H3422" t="str">
        <f>"3250612400768"</f>
        <v>3250612400768</v>
      </c>
      <c r="J3422" t="s">
        <v>9732</v>
      </c>
    </row>
    <row r="3423" spans="1:10" x14ac:dyDescent="0.25">
      <c r="A3423" t="s">
        <v>8</v>
      </c>
      <c r="B3423" t="s">
        <v>9733</v>
      </c>
      <c r="C3423" t="s">
        <v>9734</v>
      </c>
      <c r="D3423">
        <v>1</v>
      </c>
      <c r="E3423" t="s">
        <v>9727</v>
      </c>
      <c r="F3423" t="s">
        <v>9728</v>
      </c>
      <c r="G3423" s="1"/>
      <c r="H3423" t="str">
        <f>"3250612400041"</f>
        <v>3250612400041</v>
      </c>
      <c r="J3423" t="s">
        <v>9735</v>
      </c>
    </row>
    <row r="3424" spans="1:10" x14ac:dyDescent="0.25">
      <c r="A3424" t="s">
        <v>8</v>
      </c>
      <c r="B3424" t="s">
        <v>9736</v>
      </c>
      <c r="C3424" t="s">
        <v>9737</v>
      </c>
      <c r="D3424">
        <v>1</v>
      </c>
      <c r="E3424" t="s">
        <v>9727</v>
      </c>
      <c r="F3424" t="s">
        <v>9728</v>
      </c>
      <c r="G3424" s="1"/>
      <c r="H3424" t="str">
        <f>"3250612400775"</f>
        <v>3250612400775</v>
      </c>
      <c r="J3424" t="s">
        <v>9738</v>
      </c>
    </row>
    <row r="3425" spans="1:10" x14ac:dyDescent="0.25">
      <c r="A3425" t="s">
        <v>8</v>
      </c>
      <c r="B3425" t="s">
        <v>9739</v>
      </c>
      <c r="C3425" t="s">
        <v>9740</v>
      </c>
      <c r="D3425">
        <v>1</v>
      </c>
      <c r="E3425" t="s">
        <v>9727</v>
      </c>
      <c r="F3425" t="s">
        <v>9728</v>
      </c>
      <c r="G3425" s="1"/>
      <c r="H3425" t="str">
        <f>"3250612400751"</f>
        <v>3250612400751</v>
      </c>
      <c r="J3425" t="s">
        <v>9741</v>
      </c>
    </row>
    <row r="3426" spans="1:10" x14ac:dyDescent="0.25">
      <c r="A3426" t="s">
        <v>8</v>
      </c>
      <c r="B3426" t="s">
        <v>9742</v>
      </c>
      <c r="C3426" t="s">
        <v>9743</v>
      </c>
      <c r="D3426">
        <v>1</v>
      </c>
      <c r="E3426" t="s">
        <v>9727</v>
      </c>
      <c r="F3426" t="s">
        <v>9728</v>
      </c>
      <c r="G3426" s="1"/>
      <c r="H3426" t="str">
        <f>"3250612401031"</f>
        <v>3250612401031</v>
      </c>
      <c r="J3426" t="s">
        <v>9744</v>
      </c>
    </row>
    <row r="3427" spans="1:10" x14ac:dyDescent="0.25">
      <c r="A3427" t="s">
        <v>8</v>
      </c>
      <c r="B3427" t="s">
        <v>9745</v>
      </c>
      <c r="C3427" t="s">
        <v>9746</v>
      </c>
      <c r="D3427">
        <v>1</v>
      </c>
      <c r="E3427" t="s">
        <v>9727</v>
      </c>
      <c r="F3427" t="s">
        <v>9728</v>
      </c>
      <c r="G3427" s="1"/>
      <c r="H3427" t="str">
        <f>"3250612400256"</f>
        <v>3250612400256</v>
      </c>
      <c r="J3427" t="s">
        <v>9744</v>
      </c>
    </row>
    <row r="3428" spans="1:10" x14ac:dyDescent="0.25">
      <c r="A3428" t="s">
        <v>8</v>
      </c>
      <c r="B3428" t="s">
        <v>9747</v>
      </c>
      <c r="C3428" t="s">
        <v>9748</v>
      </c>
      <c r="D3428">
        <v>1</v>
      </c>
      <c r="E3428" t="s">
        <v>9727</v>
      </c>
      <c r="F3428" t="s">
        <v>9728</v>
      </c>
      <c r="G3428" s="1"/>
      <c r="H3428" t="str">
        <f>"3250612401406"</f>
        <v>3250612401406</v>
      </c>
      <c r="J3428" t="s">
        <v>9749</v>
      </c>
    </row>
    <row r="3429" spans="1:10" x14ac:dyDescent="0.25">
      <c r="A3429" t="s">
        <v>8</v>
      </c>
      <c r="B3429" t="s">
        <v>9750</v>
      </c>
      <c r="C3429" t="s">
        <v>9751</v>
      </c>
      <c r="D3429">
        <v>1</v>
      </c>
      <c r="E3429" t="s">
        <v>9727</v>
      </c>
      <c r="F3429" t="s">
        <v>9728</v>
      </c>
      <c r="G3429" s="1"/>
      <c r="H3429" t="str">
        <f>"3250612401048"</f>
        <v>3250612401048</v>
      </c>
      <c r="J3429" t="s">
        <v>9752</v>
      </c>
    </row>
    <row r="3430" spans="1:10" x14ac:dyDescent="0.25">
      <c r="A3430" t="s">
        <v>8</v>
      </c>
      <c r="B3430" t="s">
        <v>9753</v>
      </c>
      <c r="C3430" t="s">
        <v>9754</v>
      </c>
      <c r="D3430">
        <v>1</v>
      </c>
      <c r="E3430" t="s">
        <v>9727</v>
      </c>
      <c r="F3430" t="s">
        <v>9728</v>
      </c>
      <c r="G3430" s="1"/>
      <c r="H3430" t="str">
        <f>"3250612400263"</f>
        <v>3250612400263</v>
      </c>
      <c r="J3430" t="s">
        <v>9755</v>
      </c>
    </row>
    <row r="3431" spans="1:10" x14ac:dyDescent="0.25">
      <c r="A3431" t="s">
        <v>8</v>
      </c>
      <c r="B3431" t="s">
        <v>9756</v>
      </c>
      <c r="C3431" t="s">
        <v>9757</v>
      </c>
      <c r="D3431">
        <v>1</v>
      </c>
      <c r="E3431" t="s">
        <v>9727</v>
      </c>
      <c r="F3431" t="s">
        <v>9728</v>
      </c>
      <c r="G3431" s="1"/>
      <c r="H3431" t="str">
        <f>"3250612401413"</f>
        <v>3250612401413</v>
      </c>
      <c r="J3431" t="s">
        <v>9758</v>
      </c>
    </row>
    <row r="3432" spans="1:10" x14ac:dyDescent="0.25">
      <c r="A3432" t="s">
        <v>8</v>
      </c>
      <c r="B3432" t="s">
        <v>9759</v>
      </c>
      <c r="C3432" t="s">
        <v>9760</v>
      </c>
      <c r="D3432">
        <v>1</v>
      </c>
      <c r="E3432" t="s">
        <v>9761</v>
      </c>
      <c r="F3432" t="s">
        <v>9762</v>
      </c>
      <c r="G3432" s="1"/>
      <c r="H3432" t="str">
        <f>"3250612720033"</f>
        <v>3250612720033</v>
      </c>
      <c r="J3432" t="s">
        <v>9763</v>
      </c>
    </row>
    <row r="3433" spans="1:10" x14ac:dyDescent="0.25">
      <c r="A3433" t="s">
        <v>8</v>
      </c>
      <c r="B3433" t="s">
        <v>9764</v>
      </c>
      <c r="C3433" t="s">
        <v>9765</v>
      </c>
      <c r="D3433">
        <v>1</v>
      </c>
      <c r="E3433" t="s">
        <v>9761</v>
      </c>
      <c r="F3433" t="s">
        <v>9762</v>
      </c>
      <c r="G3433" s="1"/>
      <c r="H3433" t="str">
        <f>"3250612720026"</f>
        <v>3250612720026</v>
      </c>
      <c r="J3433" t="s">
        <v>9766</v>
      </c>
    </row>
    <row r="3434" spans="1:10" x14ac:dyDescent="0.25">
      <c r="A3434" t="s">
        <v>8</v>
      </c>
      <c r="B3434" t="s">
        <v>9767</v>
      </c>
      <c r="C3434" t="s">
        <v>9768</v>
      </c>
      <c r="D3434">
        <v>1</v>
      </c>
      <c r="E3434" t="s">
        <v>9761</v>
      </c>
      <c r="F3434" t="s">
        <v>9762</v>
      </c>
      <c r="G3434" s="1"/>
      <c r="H3434" t="str">
        <f>"3250612720071"</f>
        <v>3250612720071</v>
      </c>
      <c r="J3434" t="s">
        <v>9769</v>
      </c>
    </row>
    <row r="3435" spans="1:10" x14ac:dyDescent="0.25">
      <c r="A3435" t="s">
        <v>8</v>
      </c>
      <c r="B3435" t="s">
        <v>9770</v>
      </c>
      <c r="C3435" t="s">
        <v>9771</v>
      </c>
      <c r="D3435">
        <v>1</v>
      </c>
      <c r="E3435" t="s">
        <v>9761</v>
      </c>
      <c r="F3435" t="s">
        <v>9762</v>
      </c>
      <c r="G3435" s="1"/>
      <c r="H3435" t="str">
        <f>"3250612720064"</f>
        <v>3250612720064</v>
      </c>
      <c r="J3435" t="s">
        <v>9772</v>
      </c>
    </row>
    <row r="3436" spans="1:10" x14ac:dyDescent="0.25">
      <c r="A3436" t="s">
        <v>8</v>
      </c>
      <c r="B3436" t="s">
        <v>9773</v>
      </c>
      <c r="C3436" t="s">
        <v>9774</v>
      </c>
      <c r="D3436">
        <v>1</v>
      </c>
      <c r="E3436" t="s">
        <v>9761</v>
      </c>
      <c r="F3436" t="s">
        <v>9762</v>
      </c>
      <c r="G3436" s="1"/>
      <c r="H3436" t="str">
        <f>"3250612720057"</f>
        <v>3250612720057</v>
      </c>
      <c r="J3436" t="s">
        <v>9775</v>
      </c>
    </row>
    <row r="3437" spans="1:10" x14ac:dyDescent="0.25">
      <c r="A3437" t="s">
        <v>8</v>
      </c>
      <c r="B3437" t="s">
        <v>9776</v>
      </c>
      <c r="C3437" t="s">
        <v>9777</v>
      </c>
      <c r="D3437">
        <v>1</v>
      </c>
      <c r="E3437" t="s">
        <v>9761</v>
      </c>
      <c r="F3437" t="s">
        <v>9762</v>
      </c>
      <c r="G3437" s="1"/>
      <c r="H3437" t="str">
        <f>"3250612720040"</f>
        <v>3250612720040</v>
      </c>
      <c r="J3437" t="s">
        <v>9778</v>
      </c>
    </row>
    <row r="3438" spans="1:10" x14ac:dyDescent="0.25">
      <c r="A3438" t="s">
        <v>8</v>
      </c>
      <c r="B3438" t="s">
        <v>9779</v>
      </c>
      <c r="C3438" t="s">
        <v>9780</v>
      </c>
      <c r="D3438">
        <v>1</v>
      </c>
      <c r="E3438" t="s">
        <v>9761</v>
      </c>
      <c r="F3438" t="s">
        <v>9762</v>
      </c>
      <c r="G3438" s="1"/>
      <c r="H3438" t="str">
        <f>"3250612548323"</f>
        <v>3250612548323</v>
      </c>
      <c r="J3438" t="s">
        <v>9781</v>
      </c>
    </row>
    <row r="3439" spans="1:10" x14ac:dyDescent="0.25">
      <c r="A3439" t="s">
        <v>8</v>
      </c>
      <c r="B3439" t="s">
        <v>9782</v>
      </c>
      <c r="C3439" t="s">
        <v>9783</v>
      </c>
      <c r="D3439">
        <v>1</v>
      </c>
      <c r="E3439" t="s">
        <v>9761</v>
      </c>
      <c r="F3439" t="s">
        <v>9762</v>
      </c>
      <c r="G3439" s="1"/>
      <c r="H3439" t="str">
        <f>"3250612548262"</f>
        <v>3250612548262</v>
      </c>
      <c r="J3439" t="s">
        <v>9784</v>
      </c>
    </row>
    <row r="3440" spans="1:10" x14ac:dyDescent="0.25">
      <c r="A3440" t="s">
        <v>8</v>
      </c>
      <c r="B3440" t="s">
        <v>9785</v>
      </c>
      <c r="C3440" t="s">
        <v>9786</v>
      </c>
      <c r="D3440">
        <v>1</v>
      </c>
      <c r="E3440" t="s">
        <v>9761</v>
      </c>
      <c r="F3440" t="s">
        <v>9762</v>
      </c>
      <c r="G3440" s="1"/>
      <c r="H3440" t="str">
        <f>"3250612548330"</f>
        <v>3250612548330</v>
      </c>
      <c r="J3440" t="s">
        <v>9787</v>
      </c>
    </row>
    <row r="3441" spans="1:10" x14ac:dyDescent="0.25">
      <c r="A3441" t="s">
        <v>8</v>
      </c>
      <c r="B3441" t="s">
        <v>9788</v>
      </c>
      <c r="C3441" t="s">
        <v>9789</v>
      </c>
      <c r="D3441">
        <v>1</v>
      </c>
      <c r="E3441" t="s">
        <v>9761</v>
      </c>
      <c r="F3441" t="s">
        <v>9762</v>
      </c>
      <c r="G3441" s="1"/>
      <c r="H3441" t="str">
        <f>"3250612548279"</f>
        <v>3250612548279</v>
      </c>
      <c r="J3441" t="s">
        <v>9790</v>
      </c>
    </row>
    <row r="3442" spans="1:10" x14ac:dyDescent="0.25">
      <c r="A3442" t="s">
        <v>8</v>
      </c>
      <c r="B3442" t="s">
        <v>9791</v>
      </c>
      <c r="C3442" t="s">
        <v>9792</v>
      </c>
      <c r="D3442">
        <v>1</v>
      </c>
      <c r="E3442" t="s">
        <v>9761</v>
      </c>
      <c r="F3442" t="s">
        <v>9762</v>
      </c>
      <c r="G3442" s="1"/>
      <c r="H3442" t="str">
        <f>"3250612548743"</f>
        <v>3250612548743</v>
      </c>
      <c r="J3442" t="s">
        <v>9793</v>
      </c>
    </row>
    <row r="3443" spans="1:10" x14ac:dyDescent="0.25">
      <c r="A3443" t="s">
        <v>8</v>
      </c>
      <c r="B3443" t="s">
        <v>9794</v>
      </c>
      <c r="C3443" t="s">
        <v>9795</v>
      </c>
      <c r="D3443">
        <v>1</v>
      </c>
      <c r="E3443" t="s">
        <v>9761</v>
      </c>
      <c r="F3443" t="s">
        <v>9762</v>
      </c>
      <c r="G3443" s="1"/>
      <c r="H3443" t="str">
        <f>"3250612548347"</f>
        <v>3250612548347</v>
      </c>
      <c r="J3443" t="s">
        <v>9796</v>
      </c>
    </row>
    <row r="3444" spans="1:10" x14ac:dyDescent="0.25">
      <c r="A3444" t="s">
        <v>8</v>
      </c>
      <c r="B3444" t="s">
        <v>9797</v>
      </c>
      <c r="C3444" t="s">
        <v>9798</v>
      </c>
      <c r="D3444">
        <v>1</v>
      </c>
      <c r="E3444" t="s">
        <v>9761</v>
      </c>
      <c r="F3444" t="s">
        <v>9762</v>
      </c>
      <c r="G3444" s="1"/>
      <c r="H3444" t="str">
        <f>"3250612548286"</f>
        <v>3250612548286</v>
      </c>
      <c r="J3444" t="s">
        <v>9799</v>
      </c>
    </row>
    <row r="3445" spans="1:10" x14ac:dyDescent="0.25">
      <c r="A3445" t="s">
        <v>8</v>
      </c>
      <c r="B3445" t="s">
        <v>9800</v>
      </c>
      <c r="C3445" t="s">
        <v>9801</v>
      </c>
      <c r="D3445">
        <v>1</v>
      </c>
      <c r="E3445" t="s">
        <v>9761</v>
      </c>
      <c r="F3445" t="s">
        <v>9762</v>
      </c>
      <c r="G3445" s="1"/>
      <c r="H3445" t="str">
        <f>"3250612548354"</f>
        <v>3250612548354</v>
      </c>
      <c r="J3445" t="s">
        <v>9802</v>
      </c>
    </row>
    <row r="3446" spans="1:10" x14ac:dyDescent="0.25">
      <c r="A3446" t="s">
        <v>8</v>
      </c>
      <c r="B3446" t="s">
        <v>9803</v>
      </c>
      <c r="C3446" t="s">
        <v>9804</v>
      </c>
      <c r="D3446">
        <v>1</v>
      </c>
      <c r="E3446" t="s">
        <v>9761</v>
      </c>
      <c r="F3446" t="s">
        <v>9762</v>
      </c>
      <c r="G3446" s="1"/>
      <c r="H3446" t="str">
        <f>"3250612548293"</f>
        <v>3250612548293</v>
      </c>
      <c r="J3446" t="s">
        <v>9805</v>
      </c>
    </row>
    <row r="3447" spans="1:10" x14ac:dyDescent="0.25">
      <c r="A3447" t="s">
        <v>8</v>
      </c>
      <c r="B3447" t="s">
        <v>9806</v>
      </c>
      <c r="C3447" t="s">
        <v>9807</v>
      </c>
      <c r="D3447">
        <v>1</v>
      </c>
      <c r="E3447" t="s">
        <v>9761</v>
      </c>
      <c r="F3447" t="s">
        <v>9762</v>
      </c>
      <c r="G3447" s="1"/>
      <c r="H3447" t="str">
        <f>"3250612548361"</f>
        <v>3250612548361</v>
      </c>
      <c r="J3447" t="s">
        <v>9808</v>
      </c>
    </row>
    <row r="3448" spans="1:10" x14ac:dyDescent="0.25">
      <c r="A3448" t="s">
        <v>8</v>
      </c>
      <c r="B3448" t="s">
        <v>9809</v>
      </c>
      <c r="C3448" t="s">
        <v>9810</v>
      </c>
      <c r="D3448">
        <v>1</v>
      </c>
      <c r="E3448" t="s">
        <v>9761</v>
      </c>
      <c r="F3448" t="s">
        <v>9762</v>
      </c>
      <c r="G3448" s="1"/>
      <c r="H3448" t="str">
        <f>"3250612548309"</f>
        <v>3250612548309</v>
      </c>
      <c r="J3448" t="s">
        <v>9811</v>
      </c>
    </row>
    <row r="3449" spans="1:10" x14ac:dyDescent="0.25">
      <c r="A3449" t="s">
        <v>8</v>
      </c>
      <c r="B3449" t="s">
        <v>9812</v>
      </c>
      <c r="C3449" t="s">
        <v>9813</v>
      </c>
      <c r="D3449">
        <v>1</v>
      </c>
      <c r="E3449" t="s">
        <v>9761</v>
      </c>
      <c r="F3449" t="s">
        <v>9762</v>
      </c>
      <c r="G3449" s="1"/>
      <c r="H3449" t="str">
        <f>"3250612548378"</f>
        <v>3250612548378</v>
      </c>
      <c r="J3449" t="s">
        <v>9814</v>
      </c>
    </row>
    <row r="3450" spans="1:10" x14ac:dyDescent="0.25">
      <c r="A3450" t="s">
        <v>8</v>
      </c>
      <c r="B3450" t="s">
        <v>9815</v>
      </c>
      <c r="C3450" t="s">
        <v>9816</v>
      </c>
      <c r="D3450">
        <v>1</v>
      </c>
      <c r="E3450" t="s">
        <v>9761</v>
      </c>
      <c r="F3450" t="s">
        <v>9762</v>
      </c>
      <c r="G3450" s="1"/>
      <c r="H3450" t="str">
        <f>"3250612548316"</f>
        <v>3250612548316</v>
      </c>
      <c r="J3450" t="s">
        <v>9817</v>
      </c>
    </row>
    <row r="3451" spans="1:10" x14ac:dyDescent="0.25">
      <c r="A3451" t="s">
        <v>8</v>
      </c>
      <c r="B3451" t="s">
        <v>9818</v>
      </c>
      <c r="C3451" t="s">
        <v>9819</v>
      </c>
      <c r="D3451">
        <v>1</v>
      </c>
      <c r="E3451" t="s">
        <v>9761</v>
      </c>
      <c r="F3451" t="s">
        <v>9762</v>
      </c>
      <c r="G3451" s="1"/>
      <c r="H3451" t="str">
        <f>"3250612710775"</f>
        <v>3250612710775</v>
      </c>
      <c r="J3451" t="s">
        <v>9820</v>
      </c>
    </row>
    <row r="3452" spans="1:10" x14ac:dyDescent="0.25">
      <c r="A3452" t="s">
        <v>8</v>
      </c>
      <c r="B3452" t="s">
        <v>9821</v>
      </c>
      <c r="C3452" t="s">
        <v>9822</v>
      </c>
      <c r="D3452">
        <v>1</v>
      </c>
      <c r="E3452" t="s">
        <v>9761</v>
      </c>
      <c r="F3452" t="s">
        <v>9762</v>
      </c>
      <c r="G3452" s="1"/>
      <c r="H3452" t="str">
        <f>"3250612710713"</f>
        <v>3250612710713</v>
      </c>
      <c r="J3452" t="s">
        <v>9823</v>
      </c>
    </row>
    <row r="3453" spans="1:10" x14ac:dyDescent="0.25">
      <c r="A3453" t="s">
        <v>8</v>
      </c>
      <c r="B3453" t="s">
        <v>9824</v>
      </c>
      <c r="C3453" t="s">
        <v>9825</v>
      </c>
      <c r="D3453">
        <v>1</v>
      </c>
      <c r="E3453" t="s">
        <v>9761</v>
      </c>
      <c r="F3453" t="s">
        <v>9762</v>
      </c>
      <c r="G3453" s="1"/>
      <c r="H3453" t="str">
        <f>"3250612710782"</f>
        <v>3250612710782</v>
      </c>
      <c r="J3453" t="s">
        <v>9826</v>
      </c>
    </row>
    <row r="3454" spans="1:10" x14ac:dyDescent="0.25">
      <c r="A3454" t="s">
        <v>8</v>
      </c>
      <c r="B3454" t="s">
        <v>9827</v>
      </c>
      <c r="C3454" t="s">
        <v>9828</v>
      </c>
      <c r="D3454">
        <v>1</v>
      </c>
      <c r="E3454" t="s">
        <v>9761</v>
      </c>
      <c r="F3454" t="s">
        <v>9762</v>
      </c>
      <c r="G3454" s="1"/>
      <c r="H3454" t="str">
        <f>"3250612710720"</f>
        <v>3250612710720</v>
      </c>
      <c r="J3454" t="s">
        <v>9829</v>
      </c>
    </row>
    <row r="3455" spans="1:10" x14ac:dyDescent="0.25">
      <c r="A3455" t="s">
        <v>8</v>
      </c>
      <c r="B3455" t="s">
        <v>9830</v>
      </c>
      <c r="C3455" t="s">
        <v>9831</v>
      </c>
      <c r="D3455">
        <v>1</v>
      </c>
      <c r="E3455" t="s">
        <v>9761</v>
      </c>
      <c r="F3455" t="s">
        <v>9762</v>
      </c>
      <c r="G3455" s="1"/>
      <c r="H3455" t="str">
        <f>"3250612710799"</f>
        <v>3250612710799</v>
      </c>
      <c r="J3455" t="s">
        <v>9832</v>
      </c>
    </row>
    <row r="3456" spans="1:10" x14ac:dyDescent="0.25">
      <c r="A3456" t="s">
        <v>8</v>
      </c>
      <c r="B3456" t="s">
        <v>9833</v>
      </c>
      <c r="C3456" t="s">
        <v>9834</v>
      </c>
      <c r="D3456">
        <v>1</v>
      </c>
      <c r="E3456" t="s">
        <v>9761</v>
      </c>
      <c r="F3456" t="s">
        <v>9762</v>
      </c>
      <c r="G3456" s="1"/>
      <c r="H3456" t="str">
        <f>"3250612710737"</f>
        <v>3250612710737</v>
      </c>
      <c r="J3456" t="s">
        <v>9835</v>
      </c>
    </row>
    <row r="3457" spans="1:10" x14ac:dyDescent="0.25">
      <c r="A3457" t="s">
        <v>8</v>
      </c>
      <c r="B3457" t="s">
        <v>9836</v>
      </c>
      <c r="C3457" t="s">
        <v>9837</v>
      </c>
      <c r="D3457">
        <v>1</v>
      </c>
      <c r="E3457" t="s">
        <v>9761</v>
      </c>
      <c r="F3457" t="s">
        <v>9762</v>
      </c>
      <c r="G3457" s="1"/>
      <c r="H3457" t="str">
        <f>"3250612710805"</f>
        <v>3250612710805</v>
      </c>
      <c r="J3457" t="s">
        <v>9838</v>
      </c>
    </row>
    <row r="3458" spans="1:10" x14ac:dyDescent="0.25">
      <c r="A3458" t="s">
        <v>8</v>
      </c>
      <c r="B3458" t="s">
        <v>9839</v>
      </c>
      <c r="C3458" t="s">
        <v>9840</v>
      </c>
      <c r="D3458">
        <v>1</v>
      </c>
      <c r="E3458" t="s">
        <v>9761</v>
      </c>
      <c r="F3458" t="s">
        <v>9762</v>
      </c>
      <c r="G3458" s="1"/>
      <c r="H3458" t="str">
        <f>"3250612710744"</f>
        <v>3250612710744</v>
      </c>
      <c r="J3458" t="s">
        <v>9841</v>
      </c>
    </row>
    <row r="3459" spans="1:10" x14ac:dyDescent="0.25">
      <c r="A3459" t="s">
        <v>8</v>
      </c>
      <c r="B3459" t="s">
        <v>9842</v>
      </c>
      <c r="C3459" t="s">
        <v>9807</v>
      </c>
      <c r="D3459">
        <v>1</v>
      </c>
      <c r="E3459" t="s">
        <v>9761</v>
      </c>
      <c r="F3459" t="s">
        <v>9762</v>
      </c>
      <c r="G3459" s="1"/>
      <c r="H3459" t="str">
        <f>"3250612710812"</f>
        <v>3250612710812</v>
      </c>
      <c r="J3459" t="s">
        <v>9843</v>
      </c>
    </row>
    <row r="3460" spans="1:10" x14ac:dyDescent="0.25">
      <c r="A3460" t="s">
        <v>8</v>
      </c>
      <c r="B3460" t="s">
        <v>9844</v>
      </c>
      <c r="C3460" t="s">
        <v>9810</v>
      </c>
      <c r="D3460">
        <v>1</v>
      </c>
      <c r="E3460" t="s">
        <v>9761</v>
      </c>
      <c r="F3460" t="s">
        <v>9762</v>
      </c>
      <c r="G3460" s="1"/>
      <c r="H3460" t="str">
        <f>"3250612710751"</f>
        <v>3250612710751</v>
      </c>
      <c r="J3460" t="s">
        <v>9845</v>
      </c>
    </row>
    <row r="3461" spans="1:10" x14ac:dyDescent="0.25">
      <c r="A3461" t="s">
        <v>8</v>
      </c>
      <c r="B3461" t="s">
        <v>9846</v>
      </c>
      <c r="C3461" t="s">
        <v>9813</v>
      </c>
      <c r="D3461">
        <v>1</v>
      </c>
      <c r="E3461" t="s">
        <v>9761</v>
      </c>
      <c r="F3461" t="s">
        <v>9762</v>
      </c>
      <c r="G3461" s="1"/>
      <c r="H3461" t="str">
        <f>"3250612710829"</f>
        <v>3250612710829</v>
      </c>
      <c r="J3461" t="s">
        <v>9847</v>
      </c>
    </row>
    <row r="3462" spans="1:10" x14ac:dyDescent="0.25">
      <c r="A3462" t="s">
        <v>8</v>
      </c>
      <c r="B3462" t="s">
        <v>9848</v>
      </c>
      <c r="C3462" t="s">
        <v>9816</v>
      </c>
      <c r="D3462">
        <v>1</v>
      </c>
      <c r="E3462" t="s">
        <v>9761</v>
      </c>
      <c r="F3462" t="s">
        <v>9762</v>
      </c>
      <c r="G3462" s="1"/>
      <c r="H3462" t="str">
        <f>"3250612710768"</f>
        <v>3250612710768</v>
      </c>
      <c r="J3462" t="s">
        <v>9849</v>
      </c>
    </row>
    <row r="3463" spans="1:10" x14ac:dyDescent="0.25">
      <c r="A3463" t="s">
        <v>8</v>
      </c>
      <c r="B3463" t="s">
        <v>9850</v>
      </c>
      <c r="C3463" t="s">
        <v>9851</v>
      </c>
      <c r="D3463">
        <v>1</v>
      </c>
      <c r="E3463" t="s">
        <v>9761</v>
      </c>
      <c r="F3463" t="s">
        <v>9762</v>
      </c>
      <c r="G3463" s="1"/>
      <c r="H3463" t="str">
        <f>"3250612548804"</f>
        <v>3250612548804</v>
      </c>
      <c r="J3463" t="s">
        <v>9852</v>
      </c>
    </row>
    <row r="3464" spans="1:10" x14ac:dyDescent="0.25">
      <c r="A3464" t="s">
        <v>8</v>
      </c>
      <c r="B3464" t="s">
        <v>9853</v>
      </c>
      <c r="C3464" t="s">
        <v>9854</v>
      </c>
      <c r="D3464">
        <v>1</v>
      </c>
      <c r="E3464" t="s">
        <v>9855</v>
      </c>
      <c r="F3464" t="s">
        <v>9856</v>
      </c>
      <c r="G3464" s="1"/>
      <c r="H3464" t="str">
        <f>"3250612845019"</f>
        <v>3250612845019</v>
      </c>
      <c r="J3464" t="s">
        <v>9857</v>
      </c>
    </row>
    <row r="3465" spans="1:10" x14ac:dyDescent="0.25">
      <c r="A3465" t="s">
        <v>8</v>
      </c>
      <c r="B3465" t="s">
        <v>9858</v>
      </c>
      <c r="C3465" t="s">
        <v>9859</v>
      </c>
      <c r="D3465">
        <v>1</v>
      </c>
      <c r="E3465" t="s">
        <v>9855</v>
      </c>
      <c r="F3465" t="s">
        <v>9856</v>
      </c>
      <c r="G3465" s="1"/>
      <c r="H3465" t="str">
        <f>"3250612845026"</f>
        <v>3250612845026</v>
      </c>
      <c r="J3465" t="s">
        <v>9860</v>
      </c>
    </row>
    <row r="3466" spans="1:10" x14ac:dyDescent="0.25">
      <c r="A3466" t="s">
        <v>8</v>
      </c>
      <c r="B3466" t="s">
        <v>9861</v>
      </c>
      <c r="C3466" t="s">
        <v>9862</v>
      </c>
      <c r="D3466">
        <v>1</v>
      </c>
      <c r="E3466" t="s">
        <v>9855</v>
      </c>
      <c r="F3466" t="s">
        <v>9856</v>
      </c>
      <c r="G3466" s="1"/>
      <c r="H3466" t="str">
        <f>"3250612845040"</f>
        <v>3250612845040</v>
      </c>
      <c r="J3466" t="s">
        <v>9863</v>
      </c>
    </row>
    <row r="3467" spans="1:10" x14ac:dyDescent="0.25">
      <c r="A3467" t="s">
        <v>8</v>
      </c>
      <c r="B3467" t="s">
        <v>9864</v>
      </c>
      <c r="C3467" t="s">
        <v>9865</v>
      </c>
      <c r="D3467">
        <v>1</v>
      </c>
      <c r="E3467" t="s">
        <v>9855</v>
      </c>
      <c r="F3467" t="s">
        <v>9856</v>
      </c>
      <c r="G3467" s="1"/>
      <c r="H3467" t="str">
        <f>"3250612845033"</f>
        <v>3250612845033</v>
      </c>
      <c r="J3467" t="s">
        <v>9866</v>
      </c>
    </row>
    <row r="3468" spans="1:10" x14ac:dyDescent="0.25">
      <c r="A3468" t="s">
        <v>8</v>
      </c>
      <c r="B3468" t="s">
        <v>9867</v>
      </c>
      <c r="C3468" t="s">
        <v>9868</v>
      </c>
      <c r="D3468">
        <v>1</v>
      </c>
      <c r="E3468" t="s">
        <v>9869</v>
      </c>
      <c r="F3468" t="s">
        <v>9870</v>
      </c>
      <c r="G3468" s="1"/>
      <c r="H3468" t="str">
        <f>"3250610100615"</f>
        <v>3250610100615</v>
      </c>
      <c r="J3468" t="s">
        <v>9871</v>
      </c>
    </row>
    <row r="3469" spans="1:10" x14ac:dyDescent="0.25">
      <c r="A3469" t="s">
        <v>8</v>
      </c>
      <c r="B3469" t="s">
        <v>9872</v>
      </c>
      <c r="C3469" t="s">
        <v>9873</v>
      </c>
      <c r="D3469">
        <v>1</v>
      </c>
      <c r="E3469" t="s">
        <v>9869</v>
      </c>
      <c r="F3469" t="s">
        <v>9870</v>
      </c>
      <c r="G3469" s="1"/>
      <c r="H3469" t="str">
        <f>"3250610100523"</f>
        <v>3250610100523</v>
      </c>
      <c r="J3469" t="s">
        <v>9874</v>
      </c>
    </row>
    <row r="3470" spans="1:10" x14ac:dyDescent="0.25">
      <c r="A3470" t="s">
        <v>8</v>
      </c>
      <c r="B3470" t="s">
        <v>9875</v>
      </c>
      <c r="C3470" t="s">
        <v>9876</v>
      </c>
      <c r="D3470">
        <v>1</v>
      </c>
      <c r="E3470" t="s">
        <v>9869</v>
      </c>
      <c r="F3470" t="s">
        <v>9870</v>
      </c>
      <c r="G3470" s="1"/>
      <c r="H3470" t="str">
        <f>"3250610100516"</f>
        <v>3250610100516</v>
      </c>
      <c r="J3470" t="s">
        <v>9877</v>
      </c>
    </row>
    <row r="3471" spans="1:10" x14ac:dyDescent="0.25">
      <c r="A3471" t="s">
        <v>8</v>
      </c>
      <c r="B3471" t="s">
        <v>9878</v>
      </c>
      <c r="C3471" t="s">
        <v>9879</v>
      </c>
      <c r="D3471">
        <v>1</v>
      </c>
      <c r="E3471" t="s">
        <v>9869</v>
      </c>
      <c r="F3471" t="s">
        <v>9870</v>
      </c>
      <c r="G3471" s="1"/>
      <c r="H3471" t="str">
        <f>"3250610100554"</f>
        <v>3250610100554</v>
      </c>
      <c r="J3471" t="s">
        <v>9881</v>
      </c>
    </row>
    <row r="3472" spans="1:10" x14ac:dyDescent="0.25">
      <c r="A3472" t="s">
        <v>8</v>
      </c>
      <c r="B3472" t="s">
        <v>9882</v>
      </c>
      <c r="C3472" t="s">
        <v>9883</v>
      </c>
      <c r="D3472">
        <v>1</v>
      </c>
      <c r="E3472" t="s">
        <v>9869</v>
      </c>
      <c r="F3472" t="s">
        <v>9870</v>
      </c>
      <c r="G3472" s="1"/>
      <c r="H3472" t="str">
        <f>"3250610100547"</f>
        <v>3250610100547</v>
      </c>
      <c r="J3472" t="s">
        <v>9884</v>
      </c>
    </row>
    <row r="3473" spans="1:10" x14ac:dyDescent="0.25">
      <c r="A3473" t="s">
        <v>8</v>
      </c>
      <c r="B3473" t="s">
        <v>9885</v>
      </c>
      <c r="C3473" t="s">
        <v>9886</v>
      </c>
      <c r="D3473">
        <v>1</v>
      </c>
      <c r="E3473" t="s">
        <v>9869</v>
      </c>
      <c r="F3473" t="s">
        <v>9870</v>
      </c>
      <c r="G3473" s="1"/>
      <c r="H3473" t="str">
        <f>"3250610100530"</f>
        <v>3250610100530</v>
      </c>
      <c r="J3473" t="s">
        <v>9874</v>
      </c>
    </row>
    <row r="3474" spans="1:10" x14ac:dyDescent="0.25">
      <c r="A3474" t="s">
        <v>8</v>
      </c>
      <c r="B3474">
        <v>25113</v>
      </c>
      <c r="C3474" t="s">
        <v>9887</v>
      </c>
      <c r="D3474">
        <v>1</v>
      </c>
      <c r="E3474" t="s">
        <v>9888</v>
      </c>
      <c r="F3474" t="s">
        <v>9889</v>
      </c>
      <c r="G3474" s="1"/>
      <c r="H3474" t="str">
        <f>"3542220251130"</f>
        <v>3542220251130</v>
      </c>
      <c r="J3474" t="s">
        <v>9890</v>
      </c>
    </row>
    <row r="3475" spans="1:10" x14ac:dyDescent="0.25">
      <c r="A3475" t="s">
        <v>8</v>
      </c>
      <c r="B3475">
        <v>25120</v>
      </c>
      <c r="C3475" t="s">
        <v>9891</v>
      </c>
      <c r="D3475">
        <v>1</v>
      </c>
      <c r="E3475" t="s">
        <v>9888</v>
      </c>
      <c r="F3475" t="s">
        <v>9889</v>
      </c>
      <c r="G3475" s="1"/>
      <c r="H3475" t="str">
        <f>"3542220251208"</f>
        <v>3542220251208</v>
      </c>
      <c r="J3475" t="s">
        <v>9892</v>
      </c>
    </row>
    <row r="3476" spans="1:10" x14ac:dyDescent="0.25">
      <c r="A3476" t="s">
        <v>8</v>
      </c>
      <c r="B3476" t="s">
        <v>9893</v>
      </c>
      <c r="C3476" t="s">
        <v>9894</v>
      </c>
      <c r="D3476">
        <v>1</v>
      </c>
      <c r="E3476" t="s">
        <v>9888</v>
      </c>
      <c r="F3476" t="s">
        <v>9889</v>
      </c>
      <c r="G3476" s="1"/>
      <c r="H3476" t="str">
        <f>"3250610254066"</f>
        <v>3250610254066</v>
      </c>
      <c r="J3476" t="s">
        <v>9895</v>
      </c>
    </row>
    <row r="3477" spans="1:10" x14ac:dyDescent="0.25">
      <c r="A3477" t="s">
        <v>8</v>
      </c>
      <c r="B3477">
        <v>53621</v>
      </c>
      <c r="C3477" t="s">
        <v>9896</v>
      </c>
      <c r="D3477">
        <v>1</v>
      </c>
      <c r="E3477" t="s">
        <v>9897</v>
      </c>
      <c r="F3477" t="s">
        <v>9898</v>
      </c>
      <c r="G3477" s="1"/>
      <c r="H3477" t="str">
        <f>"3542220536213"</f>
        <v>3542220536213</v>
      </c>
      <c r="J3477" t="s">
        <v>9899</v>
      </c>
    </row>
    <row r="3478" spans="1:10" x14ac:dyDescent="0.25">
      <c r="A3478" t="s">
        <v>8</v>
      </c>
      <c r="B3478">
        <v>53620</v>
      </c>
      <c r="C3478" t="s">
        <v>9900</v>
      </c>
      <c r="D3478">
        <v>1</v>
      </c>
      <c r="E3478" t="s">
        <v>9897</v>
      </c>
      <c r="F3478" t="s">
        <v>9898</v>
      </c>
      <c r="G3478" s="1"/>
      <c r="H3478" t="str">
        <f>"3542220536206"</f>
        <v>3542220536206</v>
      </c>
      <c r="J3478" t="s">
        <v>9901</v>
      </c>
    </row>
    <row r="3479" spans="1:10" x14ac:dyDescent="0.25">
      <c r="A3479" t="s">
        <v>8</v>
      </c>
      <c r="B3479" t="s">
        <v>9902</v>
      </c>
      <c r="C3479" t="s">
        <v>9903</v>
      </c>
      <c r="D3479">
        <v>1</v>
      </c>
      <c r="E3479" t="s">
        <v>9904</v>
      </c>
      <c r="F3479" t="s">
        <v>9905</v>
      </c>
      <c r="G3479" s="1"/>
      <c r="H3479" t="str">
        <f>"3250612843053"</f>
        <v>3250612843053</v>
      </c>
      <c r="J3479" t="s">
        <v>9906</v>
      </c>
    </row>
    <row r="3480" spans="1:10" x14ac:dyDescent="0.25">
      <c r="A3480" t="s">
        <v>8</v>
      </c>
      <c r="B3480" t="s">
        <v>9907</v>
      </c>
      <c r="C3480" t="s">
        <v>9908</v>
      </c>
      <c r="D3480">
        <v>1</v>
      </c>
      <c r="E3480" t="s">
        <v>9904</v>
      </c>
      <c r="F3480" t="s">
        <v>9905</v>
      </c>
      <c r="G3480" s="1"/>
      <c r="H3480" t="str">
        <f>"3250612843008"</f>
        <v>3250612843008</v>
      </c>
      <c r="J3480" t="s">
        <v>9909</v>
      </c>
    </row>
    <row r="3481" spans="1:10" x14ac:dyDescent="0.25">
      <c r="A3481" t="s">
        <v>8</v>
      </c>
      <c r="B3481" t="s">
        <v>9910</v>
      </c>
      <c r="C3481" t="s">
        <v>9911</v>
      </c>
      <c r="D3481">
        <v>1</v>
      </c>
      <c r="E3481" t="s">
        <v>9904</v>
      </c>
      <c r="F3481" t="s">
        <v>9905</v>
      </c>
      <c r="G3481" s="1"/>
      <c r="H3481" t="str">
        <f>"3250616464407"</f>
        <v>3250616464407</v>
      </c>
      <c r="J3481" t="s">
        <v>3320</v>
      </c>
    </row>
    <row r="3482" spans="1:10" x14ac:dyDescent="0.25">
      <c r="A3482" t="s">
        <v>8</v>
      </c>
      <c r="B3482" t="s">
        <v>9912</v>
      </c>
      <c r="C3482" t="s">
        <v>9913</v>
      </c>
      <c r="D3482">
        <v>1</v>
      </c>
      <c r="E3482" t="s">
        <v>9904</v>
      </c>
      <c r="F3482" t="s">
        <v>9905</v>
      </c>
      <c r="G3482" s="1"/>
      <c r="H3482" t="str">
        <f>"3250612843046"</f>
        <v>3250612843046</v>
      </c>
      <c r="J3482" t="s">
        <v>9914</v>
      </c>
    </row>
    <row r="3483" spans="1:10" x14ac:dyDescent="0.25">
      <c r="A3483" t="s">
        <v>8</v>
      </c>
      <c r="B3483" t="s">
        <v>9915</v>
      </c>
      <c r="C3483" t="s">
        <v>9916</v>
      </c>
      <c r="D3483">
        <v>1</v>
      </c>
      <c r="E3483" t="s">
        <v>9904</v>
      </c>
      <c r="F3483" t="s">
        <v>9905</v>
      </c>
      <c r="G3483" s="1"/>
      <c r="H3483" t="str">
        <f>"3250612843039"</f>
        <v>3250612843039</v>
      </c>
      <c r="J3483" t="s">
        <v>9917</v>
      </c>
    </row>
    <row r="3484" spans="1:10" x14ac:dyDescent="0.25">
      <c r="A3484" t="s">
        <v>8</v>
      </c>
      <c r="B3484" t="s">
        <v>9918</v>
      </c>
      <c r="C3484" t="s">
        <v>9919</v>
      </c>
      <c r="D3484">
        <v>1</v>
      </c>
      <c r="E3484" t="s">
        <v>9904</v>
      </c>
      <c r="F3484" t="s">
        <v>9905</v>
      </c>
      <c r="G3484" s="1"/>
      <c r="H3484" t="str">
        <f>"3250616464391"</f>
        <v>3250616464391</v>
      </c>
      <c r="J3484" t="s">
        <v>9920</v>
      </c>
    </row>
    <row r="3485" spans="1:10" x14ac:dyDescent="0.25">
      <c r="A3485" t="s">
        <v>8</v>
      </c>
      <c r="B3485" t="s">
        <v>9921</v>
      </c>
      <c r="C3485" t="s">
        <v>9922</v>
      </c>
      <c r="D3485">
        <v>1</v>
      </c>
      <c r="E3485" t="s">
        <v>9904</v>
      </c>
      <c r="F3485" t="s">
        <v>9905</v>
      </c>
      <c r="G3485" s="1"/>
      <c r="H3485" t="str">
        <f>"3250612843022"</f>
        <v>3250612843022</v>
      </c>
      <c r="J3485" t="s">
        <v>1946</v>
      </c>
    </row>
    <row r="3486" spans="1:10" x14ac:dyDescent="0.25">
      <c r="A3486" t="s">
        <v>8</v>
      </c>
      <c r="B3486" t="s">
        <v>9923</v>
      </c>
      <c r="C3486" t="s">
        <v>9924</v>
      </c>
      <c r="D3486">
        <v>1</v>
      </c>
      <c r="E3486" t="s">
        <v>9925</v>
      </c>
      <c r="F3486" t="s">
        <v>9926</v>
      </c>
      <c r="G3486" s="1"/>
      <c r="H3486" t="str">
        <f>"3250615712134"</f>
        <v>3250615712134</v>
      </c>
      <c r="J3486" t="s">
        <v>5717</v>
      </c>
    </row>
    <row r="3487" spans="1:10" x14ac:dyDescent="0.25">
      <c r="A3487" t="s">
        <v>8</v>
      </c>
      <c r="B3487" t="s">
        <v>9927</v>
      </c>
      <c r="C3487" t="s">
        <v>9928</v>
      </c>
      <c r="D3487">
        <v>1</v>
      </c>
      <c r="E3487" t="s">
        <v>9925</v>
      </c>
      <c r="F3487" t="s">
        <v>9926</v>
      </c>
      <c r="G3487" s="1"/>
      <c r="H3487" t="str">
        <f>"3250615712127"</f>
        <v>3250615712127</v>
      </c>
      <c r="J3487" t="s">
        <v>9929</v>
      </c>
    </row>
    <row r="3488" spans="1:10" x14ac:dyDescent="0.25">
      <c r="A3488" t="s">
        <v>8</v>
      </c>
      <c r="B3488" t="s">
        <v>9930</v>
      </c>
      <c r="C3488" t="s">
        <v>9931</v>
      </c>
      <c r="D3488">
        <v>1</v>
      </c>
      <c r="E3488" t="s">
        <v>9932</v>
      </c>
      <c r="F3488" t="s">
        <v>9933</v>
      </c>
      <c r="G3488" s="1"/>
      <c r="H3488" t="str">
        <f>"3250615949998"</f>
        <v>3250615949998</v>
      </c>
      <c r="J3488" t="s">
        <v>9934</v>
      </c>
    </row>
    <row r="3489" spans="1:10" x14ac:dyDescent="0.25">
      <c r="A3489" t="s">
        <v>8</v>
      </c>
      <c r="B3489" t="s">
        <v>9935</v>
      </c>
      <c r="C3489" t="s">
        <v>9936</v>
      </c>
      <c r="D3489">
        <v>1</v>
      </c>
      <c r="E3489" t="s">
        <v>9932</v>
      </c>
      <c r="F3489" t="s">
        <v>9933</v>
      </c>
      <c r="G3489" s="1"/>
      <c r="H3489" t="str">
        <f>"3250615941312"</f>
        <v>3250615941312</v>
      </c>
      <c r="J3489" t="s">
        <v>9937</v>
      </c>
    </row>
    <row r="3490" spans="1:10" x14ac:dyDescent="0.25">
      <c r="A3490" t="s">
        <v>8</v>
      </c>
      <c r="B3490" t="s">
        <v>9938</v>
      </c>
      <c r="C3490" t="s">
        <v>9939</v>
      </c>
      <c r="D3490">
        <v>1</v>
      </c>
      <c r="E3490" t="s">
        <v>9932</v>
      </c>
      <c r="F3490" t="s">
        <v>9933</v>
      </c>
      <c r="G3490" s="1"/>
      <c r="H3490" t="str">
        <f>"3250615947123"</f>
        <v>3250615947123</v>
      </c>
      <c r="J3490" t="s">
        <v>9940</v>
      </c>
    </row>
    <row r="3491" spans="1:10" x14ac:dyDescent="0.25">
      <c r="A3491" t="s">
        <v>8</v>
      </c>
      <c r="B3491" t="s">
        <v>9941</v>
      </c>
      <c r="C3491" t="s">
        <v>9942</v>
      </c>
      <c r="D3491">
        <v>1</v>
      </c>
      <c r="E3491" t="s">
        <v>9932</v>
      </c>
      <c r="F3491" t="s">
        <v>9933</v>
      </c>
      <c r="G3491" s="1"/>
      <c r="H3491" t="str">
        <f>"3250615949967"</f>
        <v>3250615949967</v>
      </c>
      <c r="J3491" t="s">
        <v>9943</v>
      </c>
    </row>
    <row r="3492" spans="1:10" x14ac:dyDescent="0.25">
      <c r="A3492" t="s">
        <v>8</v>
      </c>
      <c r="B3492" t="s">
        <v>9944</v>
      </c>
      <c r="C3492" t="s">
        <v>9945</v>
      </c>
      <c r="D3492">
        <v>1</v>
      </c>
      <c r="E3492" t="s">
        <v>9932</v>
      </c>
      <c r="F3492" t="s">
        <v>9933</v>
      </c>
      <c r="G3492" s="1"/>
      <c r="H3492" t="str">
        <f>"3250615949837"</f>
        <v>3250615949837</v>
      </c>
      <c r="J3492" t="s">
        <v>9946</v>
      </c>
    </row>
    <row r="3493" spans="1:10" x14ac:dyDescent="0.25">
      <c r="A3493" t="s">
        <v>8</v>
      </c>
      <c r="B3493" t="s">
        <v>9947</v>
      </c>
      <c r="C3493" t="s">
        <v>9948</v>
      </c>
      <c r="D3493">
        <v>1</v>
      </c>
      <c r="E3493" t="s">
        <v>9932</v>
      </c>
      <c r="F3493" t="s">
        <v>9933</v>
      </c>
      <c r="G3493" s="1"/>
      <c r="H3493" t="str">
        <f>"3250615947246"</f>
        <v>3250615947246</v>
      </c>
      <c r="J3493" t="s">
        <v>9949</v>
      </c>
    </row>
    <row r="3494" spans="1:10" x14ac:dyDescent="0.25">
      <c r="A3494" t="s">
        <v>8</v>
      </c>
      <c r="B3494" t="s">
        <v>9950</v>
      </c>
      <c r="C3494" t="s">
        <v>9951</v>
      </c>
      <c r="D3494">
        <v>1</v>
      </c>
      <c r="E3494" t="s">
        <v>9932</v>
      </c>
      <c r="F3494" t="s">
        <v>9933</v>
      </c>
      <c r="G3494" s="1"/>
      <c r="H3494" t="str">
        <f>"3250615941510"</f>
        <v>3250615941510</v>
      </c>
      <c r="J3494" t="s">
        <v>9952</v>
      </c>
    </row>
    <row r="3495" spans="1:10" x14ac:dyDescent="0.25">
      <c r="A3495" t="s">
        <v>8</v>
      </c>
      <c r="B3495" t="s">
        <v>9953</v>
      </c>
      <c r="C3495" t="s">
        <v>9954</v>
      </c>
      <c r="D3495">
        <v>1</v>
      </c>
      <c r="E3495" t="s">
        <v>9932</v>
      </c>
      <c r="F3495" t="s">
        <v>9933</v>
      </c>
      <c r="G3495" s="1"/>
      <c r="H3495" t="str">
        <f>"3250615941619"</f>
        <v>3250615941619</v>
      </c>
      <c r="J3495" t="s">
        <v>9955</v>
      </c>
    </row>
    <row r="3496" spans="1:10" x14ac:dyDescent="0.25">
      <c r="A3496" t="s">
        <v>8</v>
      </c>
      <c r="B3496" t="s">
        <v>9956</v>
      </c>
      <c r="C3496" t="s">
        <v>9957</v>
      </c>
      <c r="D3496">
        <v>1</v>
      </c>
      <c r="E3496" t="s">
        <v>9932</v>
      </c>
      <c r="F3496" t="s">
        <v>9933</v>
      </c>
      <c r="G3496" s="1"/>
      <c r="H3496" t="str">
        <f>"3250615949776"</f>
        <v>3250615949776</v>
      </c>
      <c r="J3496" t="s">
        <v>9958</v>
      </c>
    </row>
    <row r="3497" spans="1:10" x14ac:dyDescent="0.25">
      <c r="A3497" t="s">
        <v>8</v>
      </c>
      <c r="B3497" t="s">
        <v>9959</v>
      </c>
      <c r="C3497" t="s">
        <v>9960</v>
      </c>
      <c r="D3497">
        <v>1</v>
      </c>
      <c r="E3497" t="s">
        <v>9932</v>
      </c>
      <c r="F3497" t="s">
        <v>9933</v>
      </c>
      <c r="G3497" s="1"/>
      <c r="H3497" t="str">
        <f>"3250615949820"</f>
        <v>3250615949820</v>
      </c>
      <c r="J3497" t="s">
        <v>9961</v>
      </c>
    </row>
    <row r="3498" spans="1:10" x14ac:dyDescent="0.25">
      <c r="A3498" t="s">
        <v>8</v>
      </c>
      <c r="B3498" t="s">
        <v>9962</v>
      </c>
      <c r="C3498" t="s">
        <v>9963</v>
      </c>
      <c r="D3498">
        <v>1</v>
      </c>
      <c r="E3498" t="s">
        <v>9932</v>
      </c>
      <c r="F3498" t="s">
        <v>9933</v>
      </c>
      <c r="G3498" s="1"/>
      <c r="H3498" t="str">
        <f>"3250615949769"</f>
        <v>3250615949769</v>
      </c>
      <c r="J3498" t="s">
        <v>9964</v>
      </c>
    </row>
    <row r="3499" spans="1:10" x14ac:dyDescent="0.25">
      <c r="A3499" t="s">
        <v>8</v>
      </c>
      <c r="B3499" t="s">
        <v>9965</v>
      </c>
      <c r="C3499" t="s">
        <v>9966</v>
      </c>
      <c r="D3499">
        <v>1</v>
      </c>
      <c r="E3499" t="s">
        <v>9932</v>
      </c>
      <c r="F3499" t="s">
        <v>9933</v>
      </c>
      <c r="G3499" s="1"/>
      <c r="H3499" t="str">
        <f>"3250615949813"</f>
        <v>3250615949813</v>
      </c>
      <c r="J3499" t="s">
        <v>9967</v>
      </c>
    </row>
    <row r="3500" spans="1:10" x14ac:dyDescent="0.25">
      <c r="A3500" t="s">
        <v>8</v>
      </c>
      <c r="B3500" t="s">
        <v>9968</v>
      </c>
      <c r="C3500" t="s">
        <v>9969</v>
      </c>
      <c r="D3500">
        <v>1</v>
      </c>
      <c r="E3500" t="s">
        <v>9932</v>
      </c>
      <c r="F3500" t="s">
        <v>9933</v>
      </c>
      <c r="G3500" s="1"/>
      <c r="H3500" t="str">
        <f>"3250611004349"</f>
        <v>3250611004349</v>
      </c>
      <c r="J3500" t="s">
        <v>9970</v>
      </c>
    </row>
    <row r="3501" spans="1:10" x14ac:dyDescent="0.25">
      <c r="A3501" t="s">
        <v>8</v>
      </c>
      <c r="B3501" t="s">
        <v>9971</v>
      </c>
      <c r="C3501" t="s">
        <v>9972</v>
      </c>
      <c r="D3501">
        <v>1</v>
      </c>
      <c r="E3501" t="s">
        <v>9973</v>
      </c>
      <c r="F3501" t="s">
        <v>9974</v>
      </c>
      <c r="G3501" s="1"/>
      <c r="H3501" t="str">
        <f>"3250616045026"</f>
        <v>3250616045026</v>
      </c>
      <c r="J3501" t="s">
        <v>9975</v>
      </c>
    </row>
    <row r="3502" spans="1:10" x14ac:dyDescent="0.25">
      <c r="A3502" t="s">
        <v>8</v>
      </c>
      <c r="B3502" t="s">
        <v>9976</v>
      </c>
      <c r="C3502" t="s">
        <v>9977</v>
      </c>
      <c r="D3502">
        <v>1</v>
      </c>
      <c r="E3502" t="s">
        <v>9973</v>
      </c>
      <c r="F3502" t="s">
        <v>9974</v>
      </c>
      <c r="G3502" s="1"/>
      <c r="H3502" t="str">
        <f>"3250616045019"</f>
        <v>3250616045019</v>
      </c>
      <c r="J3502" t="s">
        <v>9978</v>
      </c>
    </row>
    <row r="3503" spans="1:10" x14ac:dyDescent="0.25">
      <c r="A3503" t="s">
        <v>8</v>
      </c>
      <c r="B3503" t="s">
        <v>9979</v>
      </c>
      <c r="C3503" t="s">
        <v>9980</v>
      </c>
      <c r="D3503">
        <v>1</v>
      </c>
      <c r="E3503" t="s">
        <v>9973</v>
      </c>
      <c r="F3503" t="s">
        <v>9974</v>
      </c>
      <c r="G3503" s="1"/>
      <c r="H3503" t="str">
        <f>"3250616049178"</f>
        <v>3250616049178</v>
      </c>
      <c r="J3503" t="s">
        <v>9981</v>
      </c>
    </row>
    <row r="3504" spans="1:10" x14ac:dyDescent="0.25">
      <c r="A3504" t="s">
        <v>8</v>
      </c>
      <c r="B3504" t="s">
        <v>9982</v>
      </c>
      <c r="C3504" t="s">
        <v>9983</v>
      </c>
      <c r="D3504">
        <v>1</v>
      </c>
      <c r="E3504" t="s">
        <v>9973</v>
      </c>
      <c r="F3504" t="s">
        <v>9974</v>
      </c>
      <c r="G3504" s="1"/>
      <c r="H3504" t="str">
        <f>"3250615989253"</f>
        <v>3250615989253</v>
      </c>
      <c r="J3504" t="s">
        <v>9984</v>
      </c>
    </row>
    <row r="3505" spans="1:10" x14ac:dyDescent="0.25">
      <c r="A3505" t="s">
        <v>8</v>
      </c>
      <c r="B3505" t="s">
        <v>9985</v>
      </c>
      <c r="C3505" t="s">
        <v>9986</v>
      </c>
      <c r="D3505">
        <v>1</v>
      </c>
      <c r="E3505" t="s">
        <v>9973</v>
      </c>
      <c r="F3505" t="s">
        <v>9974</v>
      </c>
      <c r="G3505" s="1"/>
      <c r="H3505" t="str">
        <f>"3250617574037"</f>
        <v>3250617574037</v>
      </c>
      <c r="J3505" t="s">
        <v>9987</v>
      </c>
    </row>
    <row r="3506" spans="1:10" x14ac:dyDescent="0.25">
      <c r="A3506" t="s">
        <v>8</v>
      </c>
      <c r="B3506" t="s">
        <v>9988</v>
      </c>
      <c r="C3506" t="s">
        <v>9989</v>
      </c>
      <c r="D3506">
        <v>1</v>
      </c>
      <c r="E3506" t="s">
        <v>9973</v>
      </c>
      <c r="F3506" t="s">
        <v>9974</v>
      </c>
      <c r="G3506" s="1"/>
      <c r="H3506" t="str">
        <f>"3250616059924"</f>
        <v>3250616059924</v>
      </c>
      <c r="J3506" t="s">
        <v>9990</v>
      </c>
    </row>
    <row r="3507" spans="1:10" x14ac:dyDescent="0.25">
      <c r="A3507" t="s">
        <v>8</v>
      </c>
      <c r="B3507" t="s">
        <v>9991</v>
      </c>
      <c r="C3507" t="s">
        <v>9992</v>
      </c>
      <c r="D3507">
        <v>1</v>
      </c>
      <c r="E3507" t="s">
        <v>9973</v>
      </c>
      <c r="F3507" t="s">
        <v>9974</v>
      </c>
      <c r="G3507" s="1"/>
      <c r="H3507" t="str">
        <f>"3250616059832"</f>
        <v>3250616059832</v>
      </c>
      <c r="J3507" t="s">
        <v>9993</v>
      </c>
    </row>
    <row r="3508" spans="1:10" x14ac:dyDescent="0.25">
      <c r="A3508" t="s">
        <v>8</v>
      </c>
      <c r="B3508" t="s">
        <v>9994</v>
      </c>
      <c r="C3508" t="s">
        <v>9995</v>
      </c>
      <c r="D3508">
        <v>1</v>
      </c>
      <c r="E3508" t="s">
        <v>9973</v>
      </c>
      <c r="F3508" t="s">
        <v>9974</v>
      </c>
      <c r="G3508" s="1"/>
      <c r="H3508" t="str">
        <f>"3250616059818"</f>
        <v>3250616059818</v>
      </c>
      <c r="J3508" t="s">
        <v>9996</v>
      </c>
    </row>
    <row r="3509" spans="1:10" x14ac:dyDescent="0.25">
      <c r="A3509" t="s">
        <v>8</v>
      </c>
      <c r="B3509" t="s">
        <v>9997</v>
      </c>
      <c r="C3509" t="s">
        <v>9998</v>
      </c>
      <c r="D3509">
        <v>1</v>
      </c>
      <c r="E3509" t="s">
        <v>9973</v>
      </c>
      <c r="F3509" t="s">
        <v>9974</v>
      </c>
      <c r="G3509" s="1"/>
      <c r="H3509" t="str">
        <f>"3250616059917"</f>
        <v>3250616059917</v>
      </c>
      <c r="J3509" t="s">
        <v>9999</v>
      </c>
    </row>
    <row r="3510" spans="1:10" x14ac:dyDescent="0.25">
      <c r="A3510" t="s">
        <v>8</v>
      </c>
      <c r="B3510" t="s">
        <v>10000</v>
      </c>
      <c r="C3510" t="s">
        <v>10001</v>
      </c>
      <c r="D3510">
        <v>1</v>
      </c>
      <c r="E3510" t="s">
        <v>9973</v>
      </c>
      <c r="F3510" t="s">
        <v>9974</v>
      </c>
      <c r="G3510" s="1"/>
      <c r="H3510" t="str">
        <f>"3250616059733"</f>
        <v>3250616059733</v>
      </c>
      <c r="J3510" t="s">
        <v>10002</v>
      </c>
    </row>
    <row r="3511" spans="1:10" x14ac:dyDescent="0.25">
      <c r="A3511" t="s">
        <v>8</v>
      </c>
      <c r="B3511" t="s">
        <v>10003</v>
      </c>
      <c r="C3511" t="s">
        <v>10004</v>
      </c>
      <c r="D3511">
        <v>1</v>
      </c>
      <c r="E3511" t="s">
        <v>9973</v>
      </c>
      <c r="F3511" t="s">
        <v>9974</v>
      </c>
      <c r="G3511" s="1"/>
      <c r="H3511" t="str">
        <f>"3250616059726"</f>
        <v>3250616059726</v>
      </c>
      <c r="J3511" t="s">
        <v>10005</v>
      </c>
    </row>
    <row r="3512" spans="1:10" x14ac:dyDescent="0.25">
      <c r="A3512" t="s">
        <v>8</v>
      </c>
      <c r="B3512" t="s">
        <v>10006</v>
      </c>
      <c r="C3512" t="s">
        <v>10007</v>
      </c>
      <c r="D3512">
        <v>1</v>
      </c>
      <c r="E3512" t="s">
        <v>9973</v>
      </c>
      <c r="F3512" t="s">
        <v>9974</v>
      </c>
      <c r="G3512" s="1"/>
      <c r="H3512" t="str">
        <f>"3250616059788"</f>
        <v>3250616059788</v>
      </c>
      <c r="J3512" t="s">
        <v>10008</v>
      </c>
    </row>
    <row r="3513" spans="1:10" x14ac:dyDescent="0.25">
      <c r="A3513" t="s">
        <v>8</v>
      </c>
      <c r="B3513" t="s">
        <v>10009</v>
      </c>
      <c r="C3513" t="s">
        <v>10010</v>
      </c>
      <c r="D3513">
        <v>1</v>
      </c>
      <c r="E3513" t="s">
        <v>9973</v>
      </c>
      <c r="F3513" t="s">
        <v>9974</v>
      </c>
      <c r="G3513" s="1"/>
      <c r="H3513" t="str">
        <f>"3250616059764"</f>
        <v>3250616059764</v>
      </c>
      <c r="J3513" t="s">
        <v>10011</v>
      </c>
    </row>
    <row r="3514" spans="1:10" x14ac:dyDescent="0.25">
      <c r="A3514" t="s">
        <v>8</v>
      </c>
      <c r="B3514" t="s">
        <v>10012</v>
      </c>
      <c r="C3514" t="s">
        <v>10013</v>
      </c>
      <c r="D3514">
        <v>1</v>
      </c>
      <c r="E3514" t="s">
        <v>9973</v>
      </c>
      <c r="F3514" t="s">
        <v>9974</v>
      </c>
      <c r="G3514" s="1"/>
      <c r="H3514" t="str">
        <f>"3250616059757"</f>
        <v>3250616059757</v>
      </c>
      <c r="J3514" t="s">
        <v>10014</v>
      </c>
    </row>
    <row r="3515" spans="1:10" x14ac:dyDescent="0.25">
      <c r="A3515" t="s">
        <v>8</v>
      </c>
      <c r="B3515" t="s">
        <v>10015</v>
      </c>
      <c r="C3515" t="s">
        <v>10016</v>
      </c>
      <c r="D3515">
        <v>1</v>
      </c>
      <c r="E3515" t="s">
        <v>9973</v>
      </c>
      <c r="F3515" t="s">
        <v>9974</v>
      </c>
      <c r="G3515" s="1"/>
      <c r="H3515" t="str">
        <f>"3250616059658"</f>
        <v>3250616059658</v>
      </c>
      <c r="J3515" t="s">
        <v>10017</v>
      </c>
    </row>
    <row r="3516" spans="1:10" x14ac:dyDescent="0.25">
      <c r="A3516" t="s">
        <v>8</v>
      </c>
      <c r="B3516" t="s">
        <v>10018</v>
      </c>
      <c r="C3516" t="s">
        <v>10019</v>
      </c>
      <c r="D3516">
        <v>1</v>
      </c>
      <c r="E3516" t="s">
        <v>9973</v>
      </c>
      <c r="F3516" t="s">
        <v>9974</v>
      </c>
      <c r="G3516" s="1"/>
      <c r="H3516" t="str">
        <f>"3250616059665"</f>
        <v>3250616059665</v>
      </c>
      <c r="J3516" t="s">
        <v>10020</v>
      </c>
    </row>
    <row r="3517" spans="1:10" x14ac:dyDescent="0.25">
      <c r="A3517" t="s">
        <v>8</v>
      </c>
      <c r="B3517" t="s">
        <v>10021</v>
      </c>
      <c r="C3517" t="s">
        <v>10022</v>
      </c>
      <c r="D3517">
        <v>1</v>
      </c>
      <c r="E3517" t="s">
        <v>9973</v>
      </c>
      <c r="F3517" t="s">
        <v>9974</v>
      </c>
      <c r="G3517" s="1"/>
      <c r="H3517" t="str">
        <f>"3250616059641"</f>
        <v>3250616059641</v>
      </c>
      <c r="J3517" t="s">
        <v>10023</v>
      </c>
    </row>
    <row r="3518" spans="1:10" x14ac:dyDescent="0.25">
      <c r="A3518" t="s">
        <v>8</v>
      </c>
      <c r="B3518" t="s">
        <v>10024</v>
      </c>
      <c r="C3518" t="s">
        <v>10025</v>
      </c>
      <c r="D3518">
        <v>1</v>
      </c>
      <c r="E3518" t="s">
        <v>9973</v>
      </c>
      <c r="F3518" t="s">
        <v>9974</v>
      </c>
      <c r="G3518" s="1"/>
      <c r="H3518" t="str">
        <f>"3250616048867"</f>
        <v>3250616048867</v>
      </c>
      <c r="J3518" t="s">
        <v>10026</v>
      </c>
    </row>
    <row r="3519" spans="1:10" x14ac:dyDescent="0.25">
      <c r="A3519" t="s">
        <v>8</v>
      </c>
      <c r="B3519" t="s">
        <v>10027</v>
      </c>
      <c r="C3519" t="s">
        <v>10028</v>
      </c>
      <c r="D3519">
        <v>1</v>
      </c>
      <c r="E3519" t="s">
        <v>9973</v>
      </c>
      <c r="F3519" t="s">
        <v>9974</v>
      </c>
      <c r="G3519" s="1"/>
      <c r="H3519" t="str">
        <f>"3250616048850"</f>
        <v>3250616048850</v>
      </c>
      <c r="J3519" t="s">
        <v>10029</v>
      </c>
    </row>
    <row r="3520" spans="1:10" x14ac:dyDescent="0.25">
      <c r="A3520" t="s">
        <v>8</v>
      </c>
      <c r="B3520" t="s">
        <v>10030</v>
      </c>
      <c r="C3520" t="s">
        <v>10031</v>
      </c>
      <c r="D3520">
        <v>1</v>
      </c>
      <c r="E3520" t="s">
        <v>9973</v>
      </c>
      <c r="F3520" t="s">
        <v>9974</v>
      </c>
      <c r="G3520" s="1"/>
      <c r="H3520" t="str">
        <f>"3250616048843"</f>
        <v>3250616048843</v>
      </c>
      <c r="J3520" t="s">
        <v>10032</v>
      </c>
    </row>
    <row r="3521" spans="1:10" x14ac:dyDescent="0.25">
      <c r="A3521" t="s">
        <v>8</v>
      </c>
      <c r="B3521" t="s">
        <v>10033</v>
      </c>
      <c r="C3521" t="s">
        <v>10034</v>
      </c>
      <c r="D3521">
        <v>1</v>
      </c>
      <c r="E3521" t="s">
        <v>9973</v>
      </c>
      <c r="F3521" t="s">
        <v>9974</v>
      </c>
      <c r="G3521" s="1"/>
      <c r="H3521" t="str">
        <f>"3250616048812"</f>
        <v>3250616048812</v>
      </c>
      <c r="J3521" t="s">
        <v>10035</v>
      </c>
    </row>
    <row r="3522" spans="1:10" x14ac:dyDescent="0.25">
      <c r="A3522" t="s">
        <v>8</v>
      </c>
      <c r="B3522" t="s">
        <v>10036</v>
      </c>
      <c r="C3522" t="s">
        <v>10037</v>
      </c>
      <c r="D3522">
        <v>1</v>
      </c>
      <c r="E3522" t="s">
        <v>9973</v>
      </c>
      <c r="F3522" t="s">
        <v>9974</v>
      </c>
      <c r="G3522" s="1"/>
      <c r="H3522" t="str">
        <f>"3250616048805"</f>
        <v>3250616048805</v>
      </c>
      <c r="J3522" t="s">
        <v>10038</v>
      </c>
    </row>
    <row r="3523" spans="1:10" x14ac:dyDescent="0.25">
      <c r="A3523" t="s">
        <v>8</v>
      </c>
      <c r="B3523" t="s">
        <v>10039</v>
      </c>
      <c r="C3523" t="s">
        <v>10040</v>
      </c>
      <c r="D3523">
        <v>1</v>
      </c>
      <c r="E3523" t="s">
        <v>9973</v>
      </c>
      <c r="F3523" t="s">
        <v>9974</v>
      </c>
      <c r="G3523" s="1"/>
      <c r="H3523" t="str">
        <f>"3250616048751"</f>
        <v>3250616048751</v>
      </c>
      <c r="J3523" t="s">
        <v>10041</v>
      </c>
    </row>
    <row r="3524" spans="1:10" x14ac:dyDescent="0.25">
      <c r="A3524" t="s">
        <v>8</v>
      </c>
      <c r="B3524" t="s">
        <v>10042</v>
      </c>
      <c r="C3524" t="s">
        <v>10043</v>
      </c>
      <c r="D3524">
        <v>1</v>
      </c>
      <c r="E3524" t="s">
        <v>9973</v>
      </c>
      <c r="F3524" t="s">
        <v>9974</v>
      </c>
      <c r="G3524" s="1"/>
      <c r="H3524" t="str">
        <f>"3250616048768"</f>
        <v>3250616048768</v>
      </c>
      <c r="J3524" t="s">
        <v>7900</v>
      </c>
    </row>
    <row r="3525" spans="1:10" x14ac:dyDescent="0.25">
      <c r="A3525" t="s">
        <v>8</v>
      </c>
      <c r="B3525" t="s">
        <v>10044</v>
      </c>
      <c r="C3525" t="s">
        <v>10045</v>
      </c>
      <c r="D3525">
        <v>1</v>
      </c>
      <c r="E3525" t="s">
        <v>9973</v>
      </c>
      <c r="F3525" t="s">
        <v>9974</v>
      </c>
      <c r="G3525" s="1"/>
      <c r="H3525" t="str">
        <f>"3250616048744"</f>
        <v>3250616048744</v>
      </c>
      <c r="J3525" t="s">
        <v>10046</v>
      </c>
    </row>
    <row r="3526" spans="1:10" x14ac:dyDescent="0.25">
      <c r="A3526" t="s">
        <v>8</v>
      </c>
      <c r="B3526" t="s">
        <v>10047</v>
      </c>
      <c r="C3526" t="s">
        <v>10048</v>
      </c>
      <c r="D3526">
        <v>1</v>
      </c>
      <c r="E3526" t="s">
        <v>9973</v>
      </c>
      <c r="F3526" t="s">
        <v>9974</v>
      </c>
      <c r="G3526" s="1"/>
      <c r="H3526" t="str">
        <f>"3250616048720"</f>
        <v>3250616048720</v>
      </c>
      <c r="J3526" t="s">
        <v>10049</v>
      </c>
    </row>
    <row r="3527" spans="1:10" x14ac:dyDescent="0.25">
      <c r="A3527" t="s">
        <v>8</v>
      </c>
      <c r="B3527" t="s">
        <v>10050</v>
      </c>
      <c r="C3527" t="s">
        <v>10051</v>
      </c>
      <c r="D3527">
        <v>1</v>
      </c>
      <c r="E3527" t="s">
        <v>9973</v>
      </c>
      <c r="F3527" t="s">
        <v>9974</v>
      </c>
      <c r="G3527" s="1"/>
      <c r="H3527" t="str">
        <f>"3250616048713"</f>
        <v>3250616048713</v>
      </c>
      <c r="J3527" t="s">
        <v>10052</v>
      </c>
    </row>
    <row r="3528" spans="1:10" x14ac:dyDescent="0.25">
      <c r="A3528" t="s">
        <v>8</v>
      </c>
      <c r="B3528" t="s">
        <v>10053</v>
      </c>
      <c r="C3528" t="s">
        <v>10054</v>
      </c>
      <c r="D3528">
        <v>1</v>
      </c>
      <c r="E3528" t="s">
        <v>9973</v>
      </c>
      <c r="F3528" t="s">
        <v>9974</v>
      </c>
      <c r="G3528" s="1"/>
      <c r="H3528" t="str">
        <f>"3250616048690"</f>
        <v>3250616048690</v>
      </c>
      <c r="J3528" t="s">
        <v>10055</v>
      </c>
    </row>
    <row r="3529" spans="1:10" x14ac:dyDescent="0.25">
      <c r="A3529" t="s">
        <v>8</v>
      </c>
      <c r="B3529" t="s">
        <v>10056</v>
      </c>
      <c r="C3529" t="s">
        <v>10057</v>
      </c>
      <c r="D3529">
        <v>1</v>
      </c>
      <c r="E3529" t="s">
        <v>9973</v>
      </c>
      <c r="F3529" t="s">
        <v>9974</v>
      </c>
      <c r="G3529" s="1"/>
      <c r="H3529" t="str">
        <f>"3250616048881"</f>
        <v>3250616048881</v>
      </c>
      <c r="J3529" t="s">
        <v>10058</v>
      </c>
    </row>
    <row r="3530" spans="1:10" x14ac:dyDescent="0.25">
      <c r="A3530" t="s">
        <v>8</v>
      </c>
      <c r="B3530" t="s">
        <v>10059</v>
      </c>
      <c r="C3530" t="s">
        <v>10060</v>
      </c>
      <c r="D3530">
        <v>1</v>
      </c>
      <c r="E3530" t="s">
        <v>9973</v>
      </c>
      <c r="F3530" t="s">
        <v>9974</v>
      </c>
      <c r="G3530" s="1"/>
      <c r="H3530" t="str">
        <f>"3250616059856"</f>
        <v>3250616059856</v>
      </c>
      <c r="J3530" t="s">
        <v>10061</v>
      </c>
    </row>
    <row r="3531" spans="1:10" x14ac:dyDescent="0.25">
      <c r="A3531" t="s">
        <v>8</v>
      </c>
      <c r="B3531" t="s">
        <v>10062</v>
      </c>
      <c r="C3531" t="s">
        <v>10063</v>
      </c>
      <c r="D3531">
        <v>1</v>
      </c>
      <c r="E3531" t="s">
        <v>9973</v>
      </c>
      <c r="F3531" t="s">
        <v>9974</v>
      </c>
      <c r="G3531" s="1"/>
      <c r="H3531" t="str">
        <f>"3250616059849"</f>
        <v>3250616059849</v>
      </c>
      <c r="J3531" t="s">
        <v>10064</v>
      </c>
    </row>
    <row r="3532" spans="1:10" x14ac:dyDescent="0.25">
      <c r="A3532" t="s">
        <v>8</v>
      </c>
      <c r="B3532" t="s">
        <v>10065</v>
      </c>
      <c r="C3532" t="s">
        <v>10066</v>
      </c>
      <c r="D3532">
        <v>1</v>
      </c>
      <c r="E3532" t="s">
        <v>9973</v>
      </c>
      <c r="F3532" t="s">
        <v>9974</v>
      </c>
      <c r="G3532" s="1"/>
      <c r="H3532" t="str">
        <f>"3250616059375"</f>
        <v>3250616059375</v>
      </c>
      <c r="J3532" t="s">
        <v>10067</v>
      </c>
    </row>
    <row r="3533" spans="1:10" x14ac:dyDescent="0.25">
      <c r="A3533" t="s">
        <v>8</v>
      </c>
      <c r="B3533" t="s">
        <v>10068</v>
      </c>
      <c r="C3533" t="s">
        <v>10069</v>
      </c>
      <c r="D3533">
        <v>1</v>
      </c>
      <c r="E3533" t="s">
        <v>9973</v>
      </c>
      <c r="F3533" t="s">
        <v>9974</v>
      </c>
      <c r="G3533" s="1"/>
      <c r="H3533" t="str">
        <f>"3250616059368"</f>
        <v>3250616059368</v>
      </c>
      <c r="J3533" t="s">
        <v>10070</v>
      </c>
    </row>
    <row r="3534" spans="1:10" x14ac:dyDescent="0.25">
      <c r="A3534" t="s">
        <v>8</v>
      </c>
      <c r="B3534" t="s">
        <v>10071</v>
      </c>
      <c r="C3534" t="s">
        <v>10072</v>
      </c>
      <c r="D3534">
        <v>1</v>
      </c>
      <c r="E3534" t="s">
        <v>9973</v>
      </c>
      <c r="F3534" t="s">
        <v>9974</v>
      </c>
      <c r="G3534" s="1"/>
      <c r="H3534" t="str">
        <f>"3250616046009"</f>
        <v>3250616046009</v>
      </c>
      <c r="J3534" t="s">
        <v>10073</v>
      </c>
    </row>
    <row r="3535" spans="1:10" x14ac:dyDescent="0.25">
      <c r="A3535" t="s">
        <v>8</v>
      </c>
      <c r="B3535" t="s">
        <v>10074</v>
      </c>
      <c r="C3535" t="s">
        <v>10075</v>
      </c>
      <c r="D3535">
        <v>1</v>
      </c>
      <c r="E3535" t="s">
        <v>9973</v>
      </c>
      <c r="F3535" t="s">
        <v>9974</v>
      </c>
      <c r="G3535" s="1"/>
      <c r="H3535" t="str">
        <f>"3250616057746"</f>
        <v>3250616057746</v>
      </c>
      <c r="J3535" t="s">
        <v>10076</v>
      </c>
    </row>
    <row r="3536" spans="1:10" x14ac:dyDescent="0.25">
      <c r="A3536" t="s">
        <v>8</v>
      </c>
      <c r="B3536" t="s">
        <v>10077</v>
      </c>
      <c r="C3536" t="s">
        <v>10078</v>
      </c>
      <c r="D3536">
        <v>1</v>
      </c>
      <c r="E3536" t="s">
        <v>9973</v>
      </c>
      <c r="F3536" t="s">
        <v>9974</v>
      </c>
      <c r="G3536" s="1"/>
      <c r="H3536" t="str">
        <f>"3250618502053"</f>
        <v>3250618502053</v>
      </c>
      <c r="J3536" t="s">
        <v>10079</v>
      </c>
    </row>
    <row r="3537" spans="1:10" x14ac:dyDescent="0.25">
      <c r="A3537" t="s">
        <v>8</v>
      </c>
      <c r="B3537" t="s">
        <v>10080</v>
      </c>
      <c r="C3537" t="s">
        <v>10081</v>
      </c>
      <c r="D3537">
        <v>1</v>
      </c>
      <c r="E3537" t="s">
        <v>9973</v>
      </c>
      <c r="F3537" t="s">
        <v>9974</v>
      </c>
      <c r="G3537" s="1"/>
      <c r="H3537" t="str">
        <f>"3250618502046"</f>
        <v>3250618502046</v>
      </c>
      <c r="J3537" t="s">
        <v>10082</v>
      </c>
    </row>
    <row r="3538" spans="1:10" x14ac:dyDescent="0.25">
      <c r="A3538" t="s">
        <v>8</v>
      </c>
      <c r="B3538" t="s">
        <v>10083</v>
      </c>
      <c r="C3538" t="s">
        <v>10084</v>
      </c>
      <c r="D3538">
        <v>1</v>
      </c>
      <c r="E3538" t="s">
        <v>9973</v>
      </c>
      <c r="F3538" t="s">
        <v>9974</v>
      </c>
      <c r="G3538" s="1"/>
      <c r="H3538" t="str">
        <f>"3250610050118"</f>
        <v>3250610050118</v>
      </c>
      <c r="J3538" t="s">
        <v>10085</v>
      </c>
    </row>
    <row r="3539" spans="1:10" x14ac:dyDescent="0.25">
      <c r="A3539" t="s">
        <v>8</v>
      </c>
      <c r="B3539" t="s">
        <v>10086</v>
      </c>
      <c r="C3539" t="s">
        <v>10087</v>
      </c>
      <c r="D3539">
        <v>1</v>
      </c>
      <c r="E3539" t="s">
        <v>9973</v>
      </c>
      <c r="F3539" t="s">
        <v>9974</v>
      </c>
      <c r="G3539" s="1"/>
      <c r="H3539" t="str">
        <f>"3250610050125"</f>
        <v>3250610050125</v>
      </c>
      <c r="J3539" t="s">
        <v>10088</v>
      </c>
    </row>
    <row r="3540" spans="1:10" x14ac:dyDescent="0.25">
      <c r="A3540" t="s">
        <v>8</v>
      </c>
      <c r="B3540" t="s">
        <v>10089</v>
      </c>
      <c r="C3540" t="s">
        <v>10090</v>
      </c>
      <c r="D3540">
        <v>1</v>
      </c>
      <c r="E3540" t="s">
        <v>9973</v>
      </c>
      <c r="F3540" t="s">
        <v>9974</v>
      </c>
      <c r="G3540" s="1"/>
      <c r="H3540" t="str">
        <f>"3250610050088"</f>
        <v>3250610050088</v>
      </c>
      <c r="J3540" t="s">
        <v>10091</v>
      </c>
    </row>
    <row r="3541" spans="1:10" x14ac:dyDescent="0.25">
      <c r="A3541" t="s">
        <v>8</v>
      </c>
      <c r="B3541" t="s">
        <v>10092</v>
      </c>
      <c r="C3541" t="s">
        <v>10093</v>
      </c>
      <c r="D3541">
        <v>1</v>
      </c>
      <c r="E3541" t="s">
        <v>9973</v>
      </c>
      <c r="F3541" t="s">
        <v>9974</v>
      </c>
      <c r="G3541" s="1"/>
      <c r="H3541" t="str">
        <f>"3250610050095"</f>
        <v>3250610050095</v>
      </c>
      <c r="J3541" t="s">
        <v>10094</v>
      </c>
    </row>
    <row r="3542" spans="1:10" x14ac:dyDescent="0.25">
      <c r="A3542" t="s">
        <v>8</v>
      </c>
      <c r="B3542" t="s">
        <v>10095</v>
      </c>
      <c r="C3542" t="s">
        <v>10096</v>
      </c>
      <c r="D3542">
        <v>1</v>
      </c>
      <c r="E3542" t="s">
        <v>9973</v>
      </c>
      <c r="F3542" t="s">
        <v>9974</v>
      </c>
      <c r="G3542" s="1"/>
      <c r="H3542" t="str">
        <f>"3250610050255"</f>
        <v>3250610050255</v>
      </c>
      <c r="J3542" t="s">
        <v>10097</v>
      </c>
    </row>
    <row r="3543" spans="1:10" x14ac:dyDescent="0.25">
      <c r="A3543" t="s">
        <v>8</v>
      </c>
      <c r="B3543" t="s">
        <v>10098</v>
      </c>
      <c r="C3543" t="s">
        <v>10099</v>
      </c>
      <c r="D3543">
        <v>1</v>
      </c>
      <c r="E3543" t="s">
        <v>9973</v>
      </c>
      <c r="F3543" t="s">
        <v>9974</v>
      </c>
      <c r="G3543" s="1"/>
      <c r="H3543" t="str">
        <f>"3250610050347"</f>
        <v>3250610050347</v>
      </c>
      <c r="J3543" t="s">
        <v>10100</v>
      </c>
    </row>
    <row r="3544" spans="1:10" x14ac:dyDescent="0.25">
      <c r="A3544" t="s">
        <v>8</v>
      </c>
      <c r="B3544" t="s">
        <v>10101</v>
      </c>
      <c r="C3544" t="s">
        <v>10102</v>
      </c>
      <c r="D3544">
        <v>1</v>
      </c>
      <c r="E3544" t="s">
        <v>9973</v>
      </c>
      <c r="F3544" t="s">
        <v>9974</v>
      </c>
      <c r="G3544" s="1"/>
      <c r="H3544" t="str">
        <f>"3250610050354"</f>
        <v>3250610050354</v>
      </c>
      <c r="J3544" t="s">
        <v>10103</v>
      </c>
    </row>
    <row r="3545" spans="1:10" x14ac:dyDescent="0.25">
      <c r="A3545" t="s">
        <v>8</v>
      </c>
      <c r="B3545" t="s">
        <v>10104</v>
      </c>
      <c r="C3545" t="s">
        <v>10105</v>
      </c>
      <c r="D3545">
        <v>1</v>
      </c>
      <c r="E3545" t="s">
        <v>9973</v>
      </c>
      <c r="F3545" t="s">
        <v>9974</v>
      </c>
      <c r="G3545" s="1"/>
      <c r="H3545" t="str">
        <f>"3250610050361"</f>
        <v>3250610050361</v>
      </c>
      <c r="J3545" t="s">
        <v>10106</v>
      </c>
    </row>
    <row r="3546" spans="1:10" x14ac:dyDescent="0.25">
      <c r="A3546" t="s">
        <v>8</v>
      </c>
      <c r="B3546" t="s">
        <v>10107</v>
      </c>
      <c r="C3546" t="s">
        <v>10108</v>
      </c>
      <c r="D3546">
        <v>1</v>
      </c>
      <c r="E3546" t="s">
        <v>9973</v>
      </c>
      <c r="F3546" t="s">
        <v>9974</v>
      </c>
      <c r="G3546" s="1"/>
      <c r="H3546" t="str">
        <f>"3250610022009"</f>
        <v>3250610022009</v>
      </c>
      <c r="J3546" t="s">
        <v>10109</v>
      </c>
    </row>
    <row r="3547" spans="1:10" x14ac:dyDescent="0.25">
      <c r="A3547" t="s">
        <v>8</v>
      </c>
      <c r="B3547" t="s">
        <v>10110</v>
      </c>
      <c r="C3547" t="s">
        <v>10111</v>
      </c>
      <c r="D3547">
        <v>1</v>
      </c>
      <c r="E3547" t="s">
        <v>9973</v>
      </c>
      <c r="F3547" t="s">
        <v>9974</v>
      </c>
      <c r="G3547" s="1"/>
      <c r="H3547" t="str">
        <f>"3250610022016"</f>
        <v>3250610022016</v>
      </c>
      <c r="J3547" t="s">
        <v>10112</v>
      </c>
    </row>
    <row r="3548" spans="1:10" x14ac:dyDescent="0.25">
      <c r="A3548" t="s">
        <v>8</v>
      </c>
      <c r="B3548" t="s">
        <v>10113</v>
      </c>
      <c r="C3548" t="s">
        <v>10114</v>
      </c>
      <c r="D3548">
        <v>1</v>
      </c>
      <c r="E3548" t="s">
        <v>9973</v>
      </c>
      <c r="F3548" t="s">
        <v>9974</v>
      </c>
      <c r="G3548" s="1"/>
      <c r="H3548" t="str">
        <f>"3250610022023"</f>
        <v>3250610022023</v>
      </c>
      <c r="J3548" t="s">
        <v>10115</v>
      </c>
    </row>
    <row r="3549" spans="1:10" x14ac:dyDescent="0.25">
      <c r="A3549" t="s">
        <v>8</v>
      </c>
      <c r="B3549" t="s">
        <v>10116</v>
      </c>
      <c r="C3549" t="s">
        <v>10117</v>
      </c>
      <c r="D3549">
        <v>1</v>
      </c>
      <c r="E3549" t="s">
        <v>9973</v>
      </c>
      <c r="F3549" t="s">
        <v>9974</v>
      </c>
      <c r="G3549" s="1"/>
      <c r="H3549" t="str">
        <f>"3250610022030"</f>
        <v>3250610022030</v>
      </c>
      <c r="J3549" t="s">
        <v>10118</v>
      </c>
    </row>
    <row r="3550" spans="1:10" x14ac:dyDescent="0.25">
      <c r="A3550" t="s">
        <v>8</v>
      </c>
      <c r="B3550" t="s">
        <v>10119</v>
      </c>
      <c r="C3550" t="s">
        <v>10120</v>
      </c>
      <c r="D3550">
        <v>1</v>
      </c>
      <c r="E3550" t="s">
        <v>9973</v>
      </c>
      <c r="F3550" t="s">
        <v>9974</v>
      </c>
      <c r="G3550" s="1"/>
      <c r="H3550" t="str">
        <f>"3250610022047"</f>
        <v>3250610022047</v>
      </c>
      <c r="J3550" t="s">
        <v>10121</v>
      </c>
    </row>
    <row r="3551" spans="1:10" x14ac:dyDescent="0.25">
      <c r="A3551" t="s">
        <v>8</v>
      </c>
      <c r="B3551" t="s">
        <v>10122</v>
      </c>
      <c r="C3551" t="s">
        <v>10123</v>
      </c>
      <c r="D3551">
        <v>1</v>
      </c>
      <c r="E3551" t="s">
        <v>10124</v>
      </c>
      <c r="F3551" t="s">
        <v>10125</v>
      </c>
      <c r="G3551" s="1"/>
      <c r="H3551" t="str">
        <f>"3250611260028"</f>
        <v>3250611260028</v>
      </c>
      <c r="J3551" t="s">
        <v>10127</v>
      </c>
    </row>
    <row r="3552" spans="1:10" x14ac:dyDescent="0.25">
      <c r="A3552" t="s">
        <v>8</v>
      </c>
      <c r="B3552" t="s">
        <v>10128</v>
      </c>
      <c r="C3552" t="s">
        <v>10129</v>
      </c>
      <c r="D3552">
        <v>1</v>
      </c>
      <c r="E3552" t="s">
        <v>10124</v>
      </c>
      <c r="F3552" t="s">
        <v>10125</v>
      </c>
      <c r="G3552" s="1"/>
      <c r="H3552" t="str">
        <f>"3250611062462"</f>
        <v>3250611062462</v>
      </c>
      <c r="J3552" t="s">
        <v>10130</v>
      </c>
    </row>
    <row r="3553" spans="1:10" x14ac:dyDescent="0.25">
      <c r="A3553" t="s">
        <v>8</v>
      </c>
      <c r="B3553" t="s">
        <v>10131</v>
      </c>
      <c r="C3553" t="s">
        <v>10132</v>
      </c>
      <c r="D3553">
        <v>1</v>
      </c>
      <c r="E3553" t="s">
        <v>10124</v>
      </c>
      <c r="F3553" t="s">
        <v>10125</v>
      </c>
      <c r="G3553" s="1"/>
      <c r="H3553" t="str">
        <f>"3250611062752"</f>
        <v>3250611062752</v>
      </c>
      <c r="J3553" t="s">
        <v>10133</v>
      </c>
    </row>
    <row r="3554" spans="1:10" x14ac:dyDescent="0.25">
      <c r="A3554" t="s">
        <v>8</v>
      </c>
      <c r="B3554" t="s">
        <v>10134</v>
      </c>
      <c r="C3554" t="s">
        <v>10135</v>
      </c>
      <c r="D3554">
        <v>1</v>
      </c>
      <c r="E3554" t="s">
        <v>10124</v>
      </c>
      <c r="F3554" t="s">
        <v>10125</v>
      </c>
      <c r="G3554" s="1"/>
      <c r="H3554" t="str">
        <f>"3250611062738"</f>
        <v>3250611062738</v>
      </c>
      <c r="J3554" t="s">
        <v>10136</v>
      </c>
    </row>
    <row r="3555" spans="1:10" x14ac:dyDescent="0.25">
      <c r="A3555" t="s">
        <v>8</v>
      </c>
      <c r="B3555" t="s">
        <v>10137</v>
      </c>
      <c r="C3555" t="s">
        <v>10138</v>
      </c>
      <c r="D3555">
        <v>1</v>
      </c>
      <c r="E3555" t="s">
        <v>10124</v>
      </c>
      <c r="F3555" t="s">
        <v>10125</v>
      </c>
      <c r="G3555" s="1"/>
      <c r="H3555" t="str">
        <f>"3250611063537"</f>
        <v>3250611063537</v>
      </c>
      <c r="J3555" t="s">
        <v>10139</v>
      </c>
    </row>
    <row r="3556" spans="1:10" x14ac:dyDescent="0.25">
      <c r="A3556" t="s">
        <v>8</v>
      </c>
      <c r="B3556" t="s">
        <v>10140</v>
      </c>
      <c r="C3556" t="s">
        <v>10141</v>
      </c>
      <c r="D3556">
        <v>1</v>
      </c>
      <c r="E3556" t="s">
        <v>10124</v>
      </c>
      <c r="F3556" t="s">
        <v>10125</v>
      </c>
      <c r="G3556" s="1"/>
      <c r="H3556" t="str">
        <f>"3250611063759"</f>
        <v>3250611063759</v>
      </c>
      <c r="J3556" t="s">
        <v>10142</v>
      </c>
    </row>
    <row r="3557" spans="1:10" x14ac:dyDescent="0.25">
      <c r="A3557" t="s">
        <v>8</v>
      </c>
      <c r="B3557" t="s">
        <v>10143</v>
      </c>
      <c r="C3557" t="s">
        <v>10144</v>
      </c>
      <c r="D3557">
        <v>1</v>
      </c>
      <c r="E3557" t="s">
        <v>10124</v>
      </c>
      <c r="F3557" t="s">
        <v>10125</v>
      </c>
      <c r="G3557" s="1"/>
      <c r="H3557" t="str">
        <f>"3250611063742"</f>
        <v>3250611063742</v>
      </c>
      <c r="J3557" t="s">
        <v>10145</v>
      </c>
    </row>
    <row r="3558" spans="1:10" x14ac:dyDescent="0.25">
      <c r="A3558" t="s">
        <v>8</v>
      </c>
      <c r="B3558" t="s">
        <v>10146</v>
      </c>
      <c r="C3558" t="s">
        <v>10147</v>
      </c>
      <c r="D3558">
        <v>1</v>
      </c>
      <c r="E3558" t="s">
        <v>10124</v>
      </c>
      <c r="F3558" t="s">
        <v>10125</v>
      </c>
      <c r="G3558" s="1"/>
      <c r="H3558" t="str">
        <f>"3250611063735"</f>
        <v>3250611063735</v>
      </c>
      <c r="J3558" t="s">
        <v>10148</v>
      </c>
    </row>
    <row r="3559" spans="1:10" x14ac:dyDescent="0.25">
      <c r="A3559" t="s">
        <v>8</v>
      </c>
      <c r="B3559" t="s">
        <v>10149</v>
      </c>
      <c r="C3559" t="s">
        <v>10150</v>
      </c>
      <c r="D3559">
        <v>1</v>
      </c>
      <c r="E3559" t="s">
        <v>10124</v>
      </c>
      <c r="F3559" t="s">
        <v>10125</v>
      </c>
      <c r="G3559" s="1"/>
      <c r="H3559" t="str">
        <f>"3250611063520"</f>
        <v>3250611063520</v>
      </c>
      <c r="J3559" t="s">
        <v>10151</v>
      </c>
    </row>
    <row r="3560" spans="1:10" x14ac:dyDescent="0.25">
      <c r="A3560" t="s">
        <v>8</v>
      </c>
      <c r="B3560" t="s">
        <v>10152</v>
      </c>
      <c r="C3560" t="s">
        <v>10153</v>
      </c>
      <c r="D3560">
        <v>1</v>
      </c>
      <c r="E3560" t="s">
        <v>10124</v>
      </c>
      <c r="F3560" t="s">
        <v>10125</v>
      </c>
      <c r="G3560" s="1"/>
      <c r="H3560" t="str">
        <f>"3250611063728"</f>
        <v>3250611063728</v>
      </c>
      <c r="J3560" t="s">
        <v>10154</v>
      </c>
    </row>
    <row r="3561" spans="1:10" x14ac:dyDescent="0.25">
      <c r="A3561" t="s">
        <v>8</v>
      </c>
      <c r="B3561" t="s">
        <v>10155</v>
      </c>
      <c r="C3561" t="s">
        <v>10156</v>
      </c>
      <c r="D3561">
        <v>1</v>
      </c>
      <c r="E3561" t="s">
        <v>10124</v>
      </c>
      <c r="F3561" t="s">
        <v>10125</v>
      </c>
      <c r="G3561" s="1"/>
      <c r="H3561" t="str">
        <f>"3250611063513"</f>
        <v>3250611063513</v>
      </c>
      <c r="J3561" t="s">
        <v>10157</v>
      </c>
    </row>
    <row r="3562" spans="1:10" x14ac:dyDescent="0.25">
      <c r="A3562" t="s">
        <v>8</v>
      </c>
      <c r="B3562" t="s">
        <v>10158</v>
      </c>
      <c r="C3562" t="s">
        <v>10159</v>
      </c>
      <c r="D3562">
        <v>1</v>
      </c>
      <c r="E3562" t="s">
        <v>10124</v>
      </c>
      <c r="F3562" t="s">
        <v>10125</v>
      </c>
      <c r="G3562" s="1"/>
      <c r="H3562" t="str">
        <f>"3250611063568"</f>
        <v>3250611063568</v>
      </c>
      <c r="J3562" t="s">
        <v>10160</v>
      </c>
    </row>
    <row r="3563" spans="1:10" x14ac:dyDescent="0.25">
      <c r="A3563" t="s">
        <v>8</v>
      </c>
      <c r="B3563" t="s">
        <v>10161</v>
      </c>
      <c r="C3563" t="s">
        <v>10162</v>
      </c>
      <c r="D3563">
        <v>1</v>
      </c>
      <c r="E3563" t="s">
        <v>10124</v>
      </c>
      <c r="F3563" t="s">
        <v>10125</v>
      </c>
      <c r="G3563" s="1"/>
      <c r="H3563" t="str">
        <f>"3250611063711"</f>
        <v>3250611063711</v>
      </c>
      <c r="J3563" t="s">
        <v>10163</v>
      </c>
    </row>
    <row r="3564" spans="1:10" x14ac:dyDescent="0.25">
      <c r="A3564" t="s">
        <v>8</v>
      </c>
      <c r="B3564" t="s">
        <v>10164</v>
      </c>
      <c r="C3564" t="s">
        <v>10165</v>
      </c>
      <c r="D3564">
        <v>1</v>
      </c>
      <c r="E3564" t="s">
        <v>10124</v>
      </c>
      <c r="F3564" t="s">
        <v>10125</v>
      </c>
      <c r="G3564" s="1"/>
      <c r="H3564" t="str">
        <f>"3250611063551"</f>
        <v>3250611063551</v>
      </c>
      <c r="J3564" t="s">
        <v>10166</v>
      </c>
    </row>
    <row r="3565" spans="1:10" x14ac:dyDescent="0.25">
      <c r="A3565" t="s">
        <v>8</v>
      </c>
      <c r="B3565" t="s">
        <v>10167</v>
      </c>
      <c r="C3565" t="s">
        <v>10168</v>
      </c>
      <c r="D3565">
        <v>1</v>
      </c>
      <c r="E3565" t="s">
        <v>10124</v>
      </c>
      <c r="F3565" t="s">
        <v>10125</v>
      </c>
      <c r="G3565" s="1"/>
      <c r="H3565" t="str">
        <f>"3250611063704"</f>
        <v>3250611063704</v>
      </c>
      <c r="J3565" t="s">
        <v>10169</v>
      </c>
    </row>
    <row r="3566" spans="1:10" x14ac:dyDescent="0.25">
      <c r="A3566" t="s">
        <v>8</v>
      </c>
      <c r="B3566" t="s">
        <v>10170</v>
      </c>
      <c r="C3566" t="s">
        <v>10171</v>
      </c>
      <c r="D3566">
        <v>1</v>
      </c>
      <c r="E3566" t="s">
        <v>10124</v>
      </c>
      <c r="F3566" t="s">
        <v>10125</v>
      </c>
      <c r="G3566" s="1"/>
      <c r="H3566" t="str">
        <f>"3250611063544"</f>
        <v>3250611063544</v>
      </c>
      <c r="J3566" t="s">
        <v>10172</v>
      </c>
    </row>
    <row r="3567" spans="1:10" x14ac:dyDescent="0.25">
      <c r="A3567" t="s">
        <v>8</v>
      </c>
      <c r="B3567" t="s">
        <v>10173</v>
      </c>
      <c r="C3567" t="s">
        <v>10174</v>
      </c>
      <c r="D3567">
        <v>1</v>
      </c>
      <c r="E3567" t="s">
        <v>10124</v>
      </c>
      <c r="F3567" t="s">
        <v>10125</v>
      </c>
      <c r="G3567" s="1"/>
      <c r="H3567" t="str">
        <f>"3250611015284"</f>
        <v>3250611015284</v>
      </c>
      <c r="J3567" t="s">
        <v>10175</v>
      </c>
    </row>
    <row r="3568" spans="1:10" x14ac:dyDescent="0.25">
      <c r="A3568" t="s">
        <v>8</v>
      </c>
      <c r="B3568" t="s">
        <v>10176</v>
      </c>
      <c r="C3568" t="s">
        <v>10177</v>
      </c>
      <c r="D3568">
        <v>1</v>
      </c>
      <c r="E3568" t="s">
        <v>10124</v>
      </c>
      <c r="F3568" t="s">
        <v>10125</v>
      </c>
      <c r="G3568" s="1"/>
      <c r="H3568" t="str">
        <f>"3250611015307"</f>
        <v>3250611015307</v>
      </c>
      <c r="J3568" t="s">
        <v>10178</v>
      </c>
    </row>
    <row r="3569" spans="1:10" x14ac:dyDescent="0.25">
      <c r="A3569" t="s">
        <v>8</v>
      </c>
      <c r="B3569" t="s">
        <v>10179</v>
      </c>
      <c r="C3569" t="s">
        <v>10180</v>
      </c>
      <c r="D3569">
        <v>1</v>
      </c>
      <c r="E3569" t="s">
        <v>10124</v>
      </c>
      <c r="F3569" t="s">
        <v>10125</v>
      </c>
      <c r="G3569" s="1"/>
      <c r="H3569" t="str">
        <f>"3250611015314"</f>
        <v>3250611015314</v>
      </c>
      <c r="J3569" t="s">
        <v>10181</v>
      </c>
    </row>
    <row r="3570" spans="1:10" x14ac:dyDescent="0.25">
      <c r="A3570" t="s">
        <v>8</v>
      </c>
      <c r="B3570" t="s">
        <v>10182</v>
      </c>
      <c r="C3570" t="s">
        <v>10183</v>
      </c>
      <c r="D3570">
        <v>1</v>
      </c>
      <c r="E3570" t="s">
        <v>10124</v>
      </c>
      <c r="F3570" t="s">
        <v>10125</v>
      </c>
      <c r="G3570" s="1"/>
      <c r="H3570" t="str">
        <f>"3250611015321"</f>
        <v>3250611015321</v>
      </c>
      <c r="J3570" t="s">
        <v>10184</v>
      </c>
    </row>
    <row r="3571" spans="1:10" x14ac:dyDescent="0.25">
      <c r="A3571" t="s">
        <v>8</v>
      </c>
      <c r="B3571" t="s">
        <v>10185</v>
      </c>
      <c r="C3571" t="s">
        <v>10186</v>
      </c>
      <c r="D3571">
        <v>1</v>
      </c>
      <c r="E3571" t="s">
        <v>10124</v>
      </c>
      <c r="F3571" t="s">
        <v>10125</v>
      </c>
      <c r="G3571" s="1"/>
      <c r="H3571" t="str">
        <f>"3250611015338"</f>
        <v>3250611015338</v>
      </c>
      <c r="J3571" t="s">
        <v>10187</v>
      </c>
    </row>
    <row r="3572" spans="1:10" x14ac:dyDescent="0.25">
      <c r="A3572" t="s">
        <v>8</v>
      </c>
      <c r="B3572" t="s">
        <v>10188</v>
      </c>
      <c r="C3572" t="s">
        <v>10189</v>
      </c>
      <c r="D3572">
        <v>1</v>
      </c>
      <c r="E3572" t="s">
        <v>10124</v>
      </c>
      <c r="F3572" t="s">
        <v>10125</v>
      </c>
      <c r="G3572" s="1"/>
      <c r="H3572" t="str">
        <f>"3250611015345"</f>
        <v>3250611015345</v>
      </c>
      <c r="J3572" t="s">
        <v>10190</v>
      </c>
    </row>
    <row r="3573" spans="1:10" x14ac:dyDescent="0.25">
      <c r="A3573" t="s">
        <v>8</v>
      </c>
      <c r="B3573" t="s">
        <v>10191</v>
      </c>
      <c r="C3573" t="s">
        <v>10192</v>
      </c>
      <c r="D3573">
        <v>1</v>
      </c>
      <c r="E3573" t="s">
        <v>10124</v>
      </c>
      <c r="F3573" t="s">
        <v>10125</v>
      </c>
      <c r="G3573" s="1"/>
      <c r="H3573" t="str">
        <f>"3250611044840"</f>
        <v>3250611044840</v>
      </c>
      <c r="J3573" t="s">
        <v>10193</v>
      </c>
    </row>
    <row r="3574" spans="1:10" x14ac:dyDescent="0.25">
      <c r="A3574" t="s">
        <v>8</v>
      </c>
      <c r="B3574" t="s">
        <v>10194</v>
      </c>
      <c r="C3574" t="s">
        <v>10195</v>
      </c>
      <c r="D3574">
        <v>1</v>
      </c>
      <c r="E3574" t="s">
        <v>10124</v>
      </c>
      <c r="F3574" t="s">
        <v>10125</v>
      </c>
      <c r="G3574" s="1"/>
      <c r="H3574" t="str">
        <f>"3250611044857"</f>
        <v>3250611044857</v>
      </c>
      <c r="J3574" t="s">
        <v>10193</v>
      </c>
    </row>
    <row r="3575" spans="1:10" x14ac:dyDescent="0.25">
      <c r="A3575" t="s">
        <v>8</v>
      </c>
      <c r="B3575" t="s">
        <v>10196</v>
      </c>
      <c r="C3575" t="s">
        <v>10197</v>
      </c>
      <c r="D3575">
        <v>1</v>
      </c>
      <c r="E3575" t="s">
        <v>10124</v>
      </c>
      <c r="F3575" t="s">
        <v>10125</v>
      </c>
      <c r="G3575" s="1"/>
      <c r="H3575" t="str">
        <f>"3250611044864"</f>
        <v>3250611044864</v>
      </c>
      <c r="J3575" t="s">
        <v>10193</v>
      </c>
    </row>
    <row r="3576" spans="1:10" x14ac:dyDescent="0.25">
      <c r="A3576" t="s">
        <v>8</v>
      </c>
      <c r="B3576" t="s">
        <v>10198</v>
      </c>
      <c r="C3576" t="s">
        <v>10199</v>
      </c>
      <c r="D3576">
        <v>1</v>
      </c>
      <c r="E3576" t="s">
        <v>10124</v>
      </c>
      <c r="F3576" t="s">
        <v>10125</v>
      </c>
      <c r="G3576" s="1"/>
      <c r="H3576" t="str">
        <f>"3250611044871"</f>
        <v>3250611044871</v>
      </c>
      <c r="J3576" t="s">
        <v>10193</v>
      </c>
    </row>
    <row r="3577" spans="1:10" x14ac:dyDescent="0.25">
      <c r="A3577" t="s">
        <v>8</v>
      </c>
      <c r="B3577" t="s">
        <v>10200</v>
      </c>
      <c r="C3577" t="s">
        <v>10201</v>
      </c>
      <c r="D3577">
        <v>1</v>
      </c>
      <c r="E3577" t="s">
        <v>10124</v>
      </c>
      <c r="F3577" t="s">
        <v>10125</v>
      </c>
      <c r="G3577" s="1"/>
      <c r="H3577" t="str">
        <f>"3250611044888"</f>
        <v>3250611044888</v>
      </c>
      <c r="J3577" t="s">
        <v>10202</v>
      </c>
    </row>
    <row r="3578" spans="1:10" x14ac:dyDescent="0.25">
      <c r="A3578" t="s">
        <v>8</v>
      </c>
      <c r="B3578" t="s">
        <v>10203</v>
      </c>
      <c r="C3578" t="s">
        <v>10204</v>
      </c>
      <c r="D3578">
        <v>1</v>
      </c>
      <c r="E3578" t="s">
        <v>10124</v>
      </c>
      <c r="F3578" t="s">
        <v>10125</v>
      </c>
      <c r="G3578" s="1"/>
      <c r="H3578" t="str">
        <f>"3250611044895"</f>
        <v>3250611044895</v>
      </c>
      <c r="J3578" t="s">
        <v>10205</v>
      </c>
    </row>
    <row r="3579" spans="1:10" x14ac:dyDescent="0.25">
      <c r="A3579" t="s">
        <v>8</v>
      </c>
      <c r="B3579" t="s">
        <v>10206</v>
      </c>
      <c r="C3579" t="s">
        <v>10207</v>
      </c>
      <c r="D3579">
        <v>1</v>
      </c>
      <c r="E3579" t="s">
        <v>10124</v>
      </c>
      <c r="F3579" t="s">
        <v>10125</v>
      </c>
      <c r="G3579" s="1"/>
      <c r="H3579" t="str">
        <f>"3250611044901"</f>
        <v>3250611044901</v>
      </c>
      <c r="J3579" t="s">
        <v>10205</v>
      </c>
    </row>
    <row r="3580" spans="1:10" x14ac:dyDescent="0.25">
      <c r="A3580" t="s">
        <v>8</v>
      </c>
      <c r="B3580" t="s">
        <v>10208</v>
      </c>
      <c r="C3580" t="s">
        <v>10209</v>
      </c>
      <c r="D3580">
        <v>1</v>
      </c>
      <c r="E3580" t="s">
        <v>10210</v>
      </c>
      <c r="F3580" t="s">
        <v>10211</v>
      </c>
      <c r="G3580" s="1"/>
      <c r="H3580" t="str">
        <f>"3250613429058"</f>
        <v>3250613429058</v>
      </c>
      <c r="J3580" t="s">
        <v>10212</v>
      </c>
    </row>
    <row r="3581" spans="1:10" x14ac:dyDescent="0.25">
      <c r="A3581" t="s">
        <v>8</v>
      </c>
      <c r="B3581" t="s">
        <v>10213</v>
      </c>
      <c r="C3581" t="s">
        <v>10214</v>
      </c>
      <c r="D3581">
        <v>1</v>
      </c>
      <c r="E3581" t="s">
        <v>10215</v>
      </c>
      <c r="F3581" t="s">
        <v>10216</v>
      </c>
      <c r="G3581" s="1"/>
      <c r="H3581" t="str">
        <f>"3250616014183"</f>
        <v>3250616014183</v>
      </c>
      <c r="J3581" t="s">
        <v>10217</v>
      </c>
    </row>
    <row r="3582" spans="1:10" x14ac:dyDescent="0.25">
      <c r="A3582" t="s">
        <v>8</v>
      </c>
      <c r="B3582" t="s">
        <v>10218</v>
      </c>
      <c r="C3582" t="s">
        <v>10219</v>
      </c>
      <c r="D3582">
        <v>1</v>
      </c>
      <c r="E3582" t="s">
        <v>10215</v>
      </c>
      <c r="F3582" t="s">
        <v>10216</v>
      </c>
      <c r="G3582" s="1"/>
      <c r="H3582" t="str">
        <f>"3250616014060"</f>
        <v>3250616014060</v>
      </c>
      <c r="J3582" t="s">
        <v>10220</v>
      </c>
    </row>
    <row r="3583" spans="1:10" x14ac:dyDescent="0.25">
      <c r="A3583" t="s">
        <v>8</v>
      </c>
      <c r="B3583" t="s">
        <v>10221</v>
      </c>
      <c r="C3583" t="s">
        <v>10222</v>
      </c>
      <c r="D3583">
        <v>1</v>
      </c>
      <c r="E3583" t="s">
        <v>10215</v>
      </c>
      <c r="F3583" t="s">
        <v>10216</v>
      </c>
      <c r="G3583" s="1"/>
      <c r="H3583" t="str">
        <f>"3250616014046"</f>
        <v>3250616014046</v>
      </c>
      <c r="J3583" t="s">
        <v>10224</v>
      </c>
    </row>
    <row r="3584" spans="1:10" x14ac:dyDescent="0.25">
      <c r="A3584" t="s">
        <v>8</v>
      </c>
      <c r="B3584" t="s">
        <v>10225</v>
      </c>
      <c r="C3584" t="s">
        <v>10226</v>
      </c>
      <c r="D3584">
        <v>1</v>
      </c>
      <c r="E3584" t="s">
        <v>10215</v>
      </c>
      <c r="F3584" t="s">
        <v>10216</v>
      </c>
      <c r="G3584" s="1"/>
      <c r="H3584" t="str">
        <f>"3250616014022"</f>
        <v>3250616014022</v>
      </c>
      <c r="J3584" t="s">
        <v>10227</v>
      </c>
    </row>
    <row r="3585" spans="1:10" x14ac:dyDescent="0.25">
      <c r="A3585" t="s">
        <v>8</v>
      </c>
      <c r="B3585" t="s">
        <v>10228</v>
      </c>
      <c r="C3585" t="s">
        <v>10229</v>
      </c>
      <c r="D3585">
        <v>1</v>
      </c>
      <c r="E3585" t="s">
        <v>10215</v>
      </c>
      <c r="F3585" t="s">
        <v>10216</v>
      </c>
      <c r="G3585" s="1"/>
      <c r="H3585" t="str">
        <f>"3250615989321"</f>
        <v>3250615989321</v>
      </c>
      <c r="J3585" t="s">
        <v>10230</v>
      </c>
    </row>
    <row r="3586" spans="1:10" x14ac:dyDescent="0.25">
      <c r="A3586" t="s">
        <v>8</v>
      </c>
      <c r="B3586" t="s">
        <v>10231</v>
      </c>
      <c r="C3586" t="s">
        <v>10232</v>
      </c>
      <c r="D3586">
        <v>1</v>
      </c>
      <c r="E3586" t="s">
        <v>10215</v>
      </c>
      <c r="F3586" t="s">
        <v>10216</v>
      </c>
      <c r="G3586" s="1"/>
      <c r="H3586" t="str">
        <f>"3250615989338"</f>
        <v>3250615989338</v>
      </c>
      <c r="J3586" t="s">
        <v>10233</v>
      </c>
    </row>
    <row r="3587" spans="1:10" x14ac:dyDescent="0.25">
      <c r="A3587" t="s">
        <v>8</v>
      </c>
      <c r="B3587" t="s">
        <v>10234</v>
      </c>
      <c r="C3587" t="s">
        <v>10235</v>
      </c>
      <c r="D3587">
        <v>1</v>
      </c>
      <c r="E3587" t="s">
        <v>10215</v>
      </c>
      <c r="F3587" t="s">
        <v>10216</v>
      </c>
      <c r="G3587" s="1"/>
      <c r="H3587" t="str">
        <f>"3250615989345"</f>
        <v>3250615989345</v>
      </c>
      <c r="J3587" t="s">
        <v>10236</v>
      </c>
    </row>
    <row r="3588" spans="1:10" x14ac:dyDescent="0.25">
      <c r="A3588" t="s">
        <v>8</v>
      </c>
      <c r="B3588" t="s">
        <v>10237</v>
      </c>
      <c r="C3588" t="s">
        <v>10238</v>
      </c>
      <c r="D3588">
        <v>1</v>
      </c>
      <c r="E3588" t="s">
        <v>10215</v>
      </c>
      <c r="F3588" t="s">
        <v>10216</v>
      </c>
      <c r="G3588" s="1"/>
      <c r="H3588" t="str">
        <f>"3250615989314"</f>
        <v>3250615989314</v>
      </c>
      <c r="J3588" t="s">
        <v>10239</v>
      </c>
    </row>
    <row r="3589" spans="1:10" x14ac:dyDescent="0.25">
      <c r="A3589" t="s">
        <v>8</v>
      </c>
      <c r="B3589" t="s">
        <v>10240</v>
      </c>
      <c r="C3589" t="s">
        <v>10241</v>
      </c>
      <c r="D3589">
        <v>1</v>
      </c>
      <c r="E3589" t="s">
        <v>10215</v>
      </c>
      <c r="F3589" t="s">
        <v>10216</v>
      </c>
      <c r="G3589" s="1"/>
      <c r="H3589" t="str">
        <f>"3250615989369"</f>
        <v>3250615989369</v>
      </c>
      <c r="J3589" t="s">
        <v>10242</v>
      </c>
    </row>
    <row r="3590" spans="1:10" x14ac:dyDescent="0.25">
      <c r="A3590" t="s">
        <v>8</v>
      </c>
      <c r="B3590" t="s">
        <v>10243</v>
      </c>
      <c r="C3590" t="s">
        <v>10244</v>
      </c>
      <c r="D3590">
        <v>1</v>
      </c>
      <c r="E3590" t="s">
        <v>10215</v>
      </c>
      <c r="F3590" t="s">
        <v>10216</v>
      </c>
      <c r="G3590" s="1"/>
      <c r="H3590" t="str">
        <f>"3250615989277"</f>
        <v>3250615989277</v>
      </c>
      <c r="J3590" t="s">
        <v>10245</v>
      </c>
    </row>
    <row r="3591" spans="1:10" x14ac:dyDescent="0.25">
      <c r="A3591" t="s">
        <v>8</v>
      </c>
      <c r="B3591" t="s">
        <v>10246</v>
      </c>
      <c r="C3591" t="s">
        <v>10247</v>
      </c>
      <c r="D3591">
        <v>1</v>
      </c>
      <c r="E3591" t="s">
        <v>10215</v>
      </c>
      <c r="F3591" t="s">
        <v>10216</v>
      </c>
      <c r="G3591" s="1"/>
      <c r="H3591" t="str">
        <f>"3250615989260"</f>
        <v>3250615989260</v>
      </c>
      <c r="J3591" t="s">
        <v>10248</v>
      </c>
    </row>
    <row r="3592" spans="1:10" x14ac:dyDescent="0.25">
      <c r="A3592" t="s">
        <v>8</v>
      </c>
      <c r="B3592" t="s">
        <v>10249</v>
      </c>
      <c r="C3592" t="s">
        <v>10250</v>
      </c>
      <c r="D3592">
        <v>1</v>
      </c>
      <c r="E3592" t="s">
        <v>10215</v>
      </c>
      <c r="F3592" t="s">
        <v>10216</v>
      </c>
      <c r="G3592" s="1"/>
      <c r="H3592" t="str">
        <f>"3250617579346"</f>
        <v>3250617579346</v>
      </c>
      <c r="J3592" t="s">
        <v>10251</v>
      </c>
    </row>
    <row r="3593" spans="1:10" x14ac:dyDescent="0.25">
      <c r="A3593" t="s">
        <v>8</v>
      </c>
      <c r="B3593" t="s">
        <v>10252</v>
      </c>
      <c r="C3593" t="s">
        <v>10253</v>
      </c>
      <c r="D3593">
        <v>1</v>
      </c>
      <c r="E3593" t="s">
        <v>10215</v>
      </c>
      <c r="F3593" t="s">
        <v>10216</v>
      </c>
      <c r="G3593" s="1"/>
      <c r="H3593" t="str">
        <f>"3250615989116"</f>
        <v>3250615989116</v>
      </c>
      <c r="J3593" t="s">
        <v>10254</v>
      </c>
    </row>
    <row r="3594" spans="1:10" x14ac:dyDescent="0.25">
      <c r="A3594" t="s">
        <v>8</v>
      </c>
      <c r="B3594" t="s">
        <v>10255</v>
      </c>
      <c r="C3594" t="s">
        <v>10256</v>
      </c>
      <c r="D3594">
        <v>1</v>
      </c>
      <c r="E3594" t="s">
        <v>10257</v>
      </c>
      <c r="F3594" t="s">
        <v>10258</v>
      </c>
      <c r="G3594" s="1"/>
      <c r="H3594" t="str">
        <f>"3250612259601"</f>
        <v>3250612259601</v>
      </c>
      <c r="J3594" t="s">
        <v>10259</v>
      </c>
    </row>
    <row r="3595" spans="1:10" x14ac:dyDescent="0.25">
      <c r="A3595" t="s">
        <v>8</v>
      </c>
      <c r="B3595" t="s">
        <v>10260</v>
      </c>
      <c r="C3595" t="s">
        <v>10261</v>
      </c>
      <c r="D3595">
        <v>1</v>
      </c>
      <c r="E3595" t="s">
        <v>10257</v>
      </c>
      <c r="F3595" t="s">
        <v>10258</v>
      </c>
      <c r="G3595" s="1"/>
      <c r="H3595" t="str">
        <f>""</f>
        <v/>
      </c>
      <c r="J3595" t="s">
        <v>10262</v>
      </c>
    </row>
    <row r="3596" spans="1:10" x14ac:dyDescent="0.25">
      <c r="A3596" t="s">
        <v>8</v>
      </c>
      <c r="B3596" t="s">
        <v>10263</v>
      </c>
      <c r="C3596" t="s">
        <v>10264</v>
      </c>
      <c r="D3596">
        <v>1</v>
      </c>
      <c r="E3596" t="s">
        <v>10257</v>
      </c>
      <c r="F3596" t="s">
        <v>10258</v>
      </c>
      <c r="G3596" s="1"/>
      <c r="H3596" t="str">
        <f>""</f>
        <v/>
      </c>
      <c r="J3596" t="s">
        <v>10265</v>
      </c>
    </row>
    <row r="3597" spans="1:10" x14ac:dyDescent="0.25">
      <c r="A3597" t="s">
        <v>8</v>
      </c>
      <c r="B3597" t="s">
        <v>10266</v>
      </c>
      <c r="C3597" t="s">
        <v>10267</v>
      </c>
      <c r="D3597">
        <v>1</v>
      </c>
      <c r="E3597" t="s">
        <v>10257</v>
      </c>
      <c r="F3597" t="s">
        <v>10258</v>
      </c>
      <c r="G3597" s="1"/>
      <c r="H3597" t="str">
        <f>""</f>
        <v/>
      </c>
      <c r="J3597" t="s">
        <v>10268</v>
      </c>
    </row>
    <row r="3598" spans="1:10" x14ac:dyDescent="0.25">
      <c r="A3598" t="s">
        <v>8</v>
      </c>
      <c r="B3598" t="s">
        <v>10269</v>
      </c>
      <c r="C3598" t="s">
        <v>10270</v>
      </c>
      <c r="D3598">
        <v>1</v>
      </c>
      <c r="E3598" t="s">
        <v>10257</v>
      </c>
      <c r="F3598" t="s">
        <v>10258</v>
      </c>
      <c r="G3598" s="1"/>
      <c r="H3598" t="str">
        <f>""</f>
        <v/>
      </c>
      <c r="J3598" t="s">
        <v>10271</v>
      </c>
    </row>
    <row r="3599" spans="1:10" x14ac:dyDescent="0.25">
      <c r="A3599" t="s">
        <v>8</v>
      </c>
      <c r="B3599">
        <v>60060</v>
      </c>
      <c r="C3599" t="s">
        <v>10272</v>
      </c>
      <c r="D3599">
        <v>1</v>
      </c>
      <c r="E3599" t="s">
        <v>10273</v>
      </c>
      <c r="F3599" t="s">
        <v>10274</v>
      </c>
      <c r="G3599" s="1"/>
      <c r="H3599" t="str">
        <f>"3542220600600"</f>
        <v>3542220600600</v>
      </c>
      <c r="J3599" t="s">
        <v>10275</v>
      </c>
    </row>
    <row r="3600" spans="1:10" x14ac:dyDescent="0.25">
      <c r="A3600" t="s">
        <v>8</v>
      </c>
      <c r="B3600" t="s">
        <v>10276</v>
      </c>
      <c r="C3600" t="s">
        <v>10277</v>
      </c>
      <c r="D3600">
        <v>1</v>
      </c>
      <c r="E3600" t="s">
        <v>10278</v>
      </c>
      <c r="F3600" t="s">
        <v>10279</v>
      </c>
      <c r="G3600" s="1"/>
      <c r="H3600" t="str">
        <f>"3250615616067"</f>
        <v>3250615616067</v>
      </c>
      <c r="J3600" t="s">
        <v>10280</v>
      </c>
    </row>
    <row r="3601" spans="1:10" x14ac:dyDescent="0.25">
      <c r="A3601" t="s">
        <v>8</v>
      </c>
      <c r="B3601" t="s">
        <v>10281</v>
      </c>
      <c r="C3601" t="s">
        <v>10282</v>
      </c>
      <c r="D3601">
        <v>1</v>
      </c>
      <c r="E3601" t="s">
        <v>10278</v>
      </c>
      <c r="F3601" t="s">
        <v>10279</v>
      </c>
      <c r="G3601" s="1"/>
      <c r="H3601" t="str">
        <f>"3250615639981"</f>
        <v>3250615639981</v>
      </c>
      <c r="J3601" t="s">
        <v>10283</v>
      </c>
    </row>
    <row r="3602" spans="1:10" x14ac:dyDescent="0.25">
      <c r="A3602" t="s">
        <v>8</v>
      </c>
      <c r="B3602" t="s">
        <v>10284</v>
      </c>
      <c r="C3602" t="s">
        <v>10285</v>
      </c>
      <c r="D3602">
        <v>1</v>
      </c>
      <c r="E3602" t="s">
        <v>10278</v>
      </c>
      <c r="F3602" t="s">
        <v>10279</v>
      </c>
      <c r="G3602" s="1"/>
      <c r="H3602" t="str">
        <f>"3250615639998"</f>
        <v>3250615639998</v>
      </c>
      <c r="J3602" t="s">
        <v>10286</v>
      </c>
    </row>
    <row r="3603" spans="1:10" x14ac:dyDescent="0.25">
      <c r="A3603" t="s">
        <v>8</v>
      </c>
      <c r="B3603" t="s">
        <v>10287</v>
      </c>
      <c r="C3603" t="s">
        <v>10288</v>
      </c>
      <c r="D3603">
        <v>1</v>
      </c>
      <c r="E3603" t="s">
        <v>10278</v>
      </c>
      <c r="F3603" t="s">
        <v>10279</v>
      </c>
      <c r="G3603" s="1"/>
      <c r="H3603" t="str">
        <f>"3250615632036"</f>
        <v>3250615632036</v>
      </c>
      <c r="J3603" t="s">
        <v>10289</v>
      </c>
    </row>
    <row r="3604" spans="1:10" x14ac:dyDescent="0.25">
      <c r="A3604" t="s">
        <v>8</v>
      </c>
      <c r="B3604" t="s">
        <v>10290</v>
      </c>
      <c r="C3604" t="s">
        <v>10291</v>
      </c>
      <c r="D3604">
        <v>1</v>
      </c>
      <c r="E3604" t="s">
        <v>10278</v>
      </c>
      <c r="F3604" t="s">
        <v>10279</v>
      </c>
      <c r="G3604" s="1"/>
      <c r="H3604" t="str">
        <f>"3250615632029"</f>
        <v>3250615632029</v>
      </c>
      <c r="J3604" t="s">
        <v>10292</v>
      </c>
    </row>
    <row r="3605" spans="1:10" x14ac:dyDescent="0.25">
      <c r="A3605" t="s">
        <v>8</v>
      </c>
      <c r="B3605" t="s">
        <v>10293</v>
      </c>
      <c r="C3605" t="s">
        <v>10294</v>
      </c>
      <c r="D3605">
        <v>1</v>
      </c>
      <c r="E3605" t="s">
        <v>10278</v>
      </c>
      <c r="F3605" t="s">
        <v>10279</v>
      </c>
      <c r="G3605" s="1"/>
      <c r="H3605" t="str">
        <f>"3250615632012"</f>
        <v>3250615632012</v>
      </c>
      <c r="J3605" t="s">
        <v>10295</v>
      </c>
    </row>
    <row r="3606" spans="1:10" x14ac:dyDescent="0.25">
      <c r="A3606" t="s">
        <v>8</v>
      </c>
      <c r="B3606" t="s">
        <v>10296</v>
      </c>
      <c r="C3606" t="s">
        <v>10297</v>
      </c>
      <c r="D3606">
        <v>1</v>
      </c>
      <c r="E3606" t="s">
        <v>10278</v>
      </c>
      <c r="F3606" t="s">
        <v>10279</v>
      </c>
      <c r="G3606" s="1"/>
      <c r="H3606" t="str">
        <f>"3250615632005"</f>
        <v>3250615632005</v>
      </c>
      <c r="J3606" t="s">
        <v>10298</v>
      </c>
    </row>
    <row r="3607" spans="1:10" x14ac:dyDescent="0.25">
      <c r="A3607" t="s">
        <v>8</v>
      </c>
      <c r="B3607" t="s">
        <v>10299</v>
      </c>
      <c r="C3607" t="s">
        <v>10300</v>
      </c>
      <c r="D3607">
        <v>1</v>
      </c>
      <c r="E3607" t="s">
        <v>10278</v>
      </c>
      <c r="F3607" t="s">
        <v>10279</v>
      </c>
      <c r="G3607" s="1"/>
      <c r="H3607" t="str">
        <f>"3250615632043"</f>
        <v>3250615632043</v>
      </c>
      <c r="J3607" t="s">
        <v>10301</v>
      </c>
    </row>
    <row r="3608" spans="1:10" x14ac:dyDescent="0.25">
      <c r="A3608" t="s">
        <v>8</v>
      </c>
      <c r="B3608" t="s">
        <v>10302</v>
      </c>
      <c r="C3608" t="s">
        <v>10303</v>
      </c>
      <c r="D3608">
        <v>1</v>
      </c>
      <c r="E3608" t="s">
        <v>10278</v>
      </c>
      <c r="F3608" t="s">
        <v>10279</v>
      </c>
      <c r="G3608" s="1"/>
      <c r="H3608" t="str">
        <f>"3250615632050"</f>
        <v>3250615632050</v>
      </c>
      <c r="J3608" t="s">
        <v>10304</v>
      </c>
    </row>
    <row r="3609" spans="1:10" x14ac:dyDescent="0.25">
      <c r="A3609" t="s">
        <v>8</v>
      </c>
      <c r="B3609" t="s">
        <v>10305</v>
      </c>
      <c r="C3609" t="s">
        <v>10306</v>
      </c>
      <c r="D3609">
        <v>1</v>
      </c>
      <c r="E3609" t="s">
        <v>10278</v>
      </c>
      <c r="F3609" t="s">
        <v>10279</v>
      </c>
      <c r="G3609" s="1"/>
      <c r="H3609" t="str">
        <f>"3250615632104"</f>
        <v>3250615632104</v>
      </c>
      <c r="J3609" t="s">
        <v>10307</v>
      </c>
    </row>
    <row r="3610" spans="1:10" x14ac:dyDescent="0.25">
      <c r="A3610" t="s">
        <v>8</v>
      </c>
      <c r="B3610" t="s">
        <v>10308</v>
      </c>
      <c r="C3610" t="s">
        <v>10309</v>
      </c>
      <c r="D3610">
        <v>1</v>
      </c>
      <c r="E3610" t="s">
        <v>10278</v>
      </c>
      <c r="F3610" t="s">
        <v>10279</v>
      </c>
      <c r="G3610" s="1"/>
      <c r="H3610" t="str">
        <f>"3250615632111"</f>
        <v>3250615632111</v>
      </c>
      <c r="J3610" t="s">
        <v>10310</v>
      </c>
    </row>
    <row r="3611" spans="1:10" x14ac:dyDescent="0.25">
      <c r="A3611" t="s">
        <v>8</v>
      </c>
      <c r="B3611" t="s">
        <v>10311</v>
      </c>
      <c r="C3611" t="s">
        <v>10312</v>
      </c>
      <c r="D3611">
        <v>1</v>
      </c>
      <c r="E3611" t="s">
        <v>10278</v>
      </c>
      <c r="F3611" t="s">
        <v>10279</v>
      </c>
      <c r="G3611" s="1"/>
      <c r="H3611" t="str">
        <f>"3250615632135"</f>
        <v>3250615632135</v>
      </c>
      <c r="J3611" t="s">
        <v>10313</v>
      </c>
    </row>
    <row r="3612" spans="1:10" x14ac:dyDescent="0.25">
      <c r="A3612" t="s">
        <v>8</v>
      </c>
      <c r="B3612" t="s">
        <v>10314</v>
      </c>
      <c r="C3612" t="s">
        <v>10315</v>
      </c>
      <c r="D3612">
        <v>1</v>
      </c>
      <c r="E3612" t="s">
        <v>10278</v>
      </c>
      <c r="F3612" t="s">
        <v>10279</v>
      </c>
      <c r="G3612" s="1"/>
      <c r="H3612" t="str">
        <f>"3250615632142"</f>
        <v>3250615632142</v>
      </c>
      <c r="J3612" t="s">
        <v>10316</v>
      </c>
    </row>
    <row r="3613" spans="1:10" x14ac:dyDescent="0.25">
      <c r="A3613" t="s">
        <v>8</v>
      </c>
      <c r="B3613" t="s">
        <v>10317</v>
      </c>
      <c r="C3613" t="s">
        <v>10318</v>
      </c>
      <c r="D3613">
        <v>1</v>
      </c>
      <c r="E3613" t="s">
        <v>10278</v>
      </c>
      <c r="F3613" t="s">
        <v>10279</v>
      </c>
      <c r="G3613" s="1"/>
      <c r="H3613" t="str">
        <f>"3250615631015"</f>
        <v>3250615631015</v>
      </c>
      <c r="J3613" t="s">
        <v>10319</v>
      </c>
    </row>
    <row r="3614" spans="1:10" x14ac:dyDescent="0.25">
      <c r="A3614" t="s">
        <v>8</v>
      </c>
      <c r="B3614" t="s">
        <v>10320</v>
      </c>
      <c r="C3614" t="s">
        <v>10321</v>
      </c>
      <c r="D3614">
        <v>1</v>
      </c>
      <c r="E3614" t="s">
        <v>10278</v>
      </c>
      <c r="F3614" t="s">
        <v>10279</v>
      </c>
      <c r="G3614" s="1"/>
      <c r="H3614" t="str">
        <f>"3250615631022"</f>
        <v>3250615631022</v>
      </c>
      <c r="J3614" t="s">
        <v>10322</v>
      </c>
    </row>
    <row r="3615" spans="1:10" x14ac:dyDescent="0.25">
      <c r="A3615" t="s">
        <v>8</v>
      </c>
      <c r="B3615">
        <v>30111</v>
      </c>
      <c r="C3615" t="s">
        <v>10323</v>
      </c>
      <c r="D3615">
        <v>1</v>
      </c>
      <c r="E3615" t="s">
        <v>10324</v>
      </c>
      <c r="F3615" t="s">
        <v>10325</v>
      </c>
      <c r="G3615" s="1"/>
      <c r="H3615" t="str">
        <f>"3542220301118"</f>
        <v>3542220301118</v>
      </c>
      <c r="J3615" t="s">
        <v>10326</v>
      </c>
    </row>
    <row r="3616" spans="1:10" x14ac:dyDescent="0.25">
      <c r="A3616" t="s">
        <v>8</v>
      </c>
      <c r="B3616">
        <v>52045</v>
      </c>
      <c r="C3616" t="s">
        <v>10327</v>
      </c>
      <c r="D3616">
        <v>1</v>
      </c>
      <c r="E3616" t="s">
        <v>10328</v>
      </c>
      <c r="F3616" t="s">
        <v>10329</v>
      </c>
      <c r="G3616" s="1"/>
      <c r="H3616" t="str">
        <f>"3542220520458"</f>
        <v>3542220520458</v>
      </c>
      <c r="J3616" t="s">
        <v>10330</v>
      </c>
    </row>
    <row r="3617" spans="1:10" x14ac:dyDescent="0.25">
      <c r="A3617" t="s">
        <v>8</v>
      </c>
      <c r="B3617" t="s">
        <v>10331</v>
      </c>
      <c r="C3617" t="s">
        <v>10332</v>
      </c>
      <c r="D3617">
        <v>1</v>
      </c>
      <c r="E3617" t="s">
        <v>10333</v>
      </c>
      <c r="F3617" t="s">
        <v>10334</v>
      </c>
      <c r="G3617" s="1"/>
      <c r="H3617" t="str">
        <f>"3250616664043"</f>
        <v>3250616664043</v>
      </c>
      <c r="J3617" t="s">
        <v>10336</v>
      </c>
    </row>
    <row r="3618" spans="1:10" x14ac:dyDescent="0.25">
      <c r="A3618" t="s">
        <v>8</v>
      </c>
      <c r="B3618" t="s">
        <v>10337</v>
      </c>
      <c r="C3618" t="s">
        <v>10338</v>
      </c>
      <c r="D3618">
        <v>1</v>
      </c>
      <c r="E3618" t="s">
        <v>10333</v>
      </c>
      <c r="F3618" t="s">
        <v>10334</v>
      </c>
      <c r="G3618" s="1"/>
      <c r="H3618" t="str">
        <f>"3250616655645"</f>
        <v>3250616655645</v>
      </c>
      <c r="J3618" t="s">
        <v>10339</v>
      </c>
    </row>
    <row r="3619" spans="1:10" x14ac:dyDescent="0.25">
      <c r="A3619" t="s">
        <v>8</v>
      </c>
      <c r="B3619" t="s">
        <v>10340</v>
      </c>
      <c r="C3619" t="s">
        <v>10341</v>
      </c>
      <c r="D3619">
        <v>1</v>
      </c>
      <c r="E3619" t="s">
        <v>10333</v>
      </c>
      <c r="F3619" t="s">
        <v>10334</v>
      </c>
      <c r="G3619" s="1"/>
      <c r="H3619" t="str">
        <f>"3250611019152"</f>
        <v>3250611019152</v>
      </c>
      <c r="J3619" t="s">
        <v>10342</v>
      </c>
    </row>
    <row r="3620" spans="1:10" x14ac:dyDescent="0.25">
      <c r="A3620" t="s">
        <v>8</v>
      </c>
      <c r="B3620" t="s">
        <v>10343</v>
      </c>
      <c r="C3620" t="s">
        <v>10344</v>
      </c>
      <c r="D3620">
        <v>1</v>
      </c>
      <c r="E3620" t="s">
        <v>10333</v>
      </c>
      <c r="F3620" t="s">
        <v>10334</v>
      </c>
      <c r="G3620" s="1"/>
      <c r="H3620" t="str">
        <f>"3250611019244"</f>
        <v>3250611019244</v>
      </c>
      <c r="J3620" t="s">
        <v>10345</v>
      </c>
    </row>
    <row r="3621" spans="1:10" x14ac:dyDescent="0.25">
      <c r="A3621" t="s">
        <v>8</v>
      </c>
      <c r="B3621" t="s">
        <v>10346</v>
      </c>
      <c r="C3621" t="s">
        <v>10347</v>
      </c>
      <c r="D3621">
        <v>1</v>
      </c>
      <c r="E3621" t="s">
        <v>10333</v>
      </c>
      <c r="F3621" t="s">
        <v>10334</v>
      </c>
      <c r="G3621" s="1"/>
      <c r="H3621" t="str">
        <f>"3250611019336"</f>
        <v>3250611019336</v>
      </c>
      <c r="J3621" t="s">
        <v>10348</v>
      </c>
    </row>
    <row r="3622" spans="1:10" x14ac:dyDescent="0.25">
      <c r="A3622" t="s">
        <v>8</v>
      </c>
      <c r="B3622" t="s">
        <v>10349</v>
      </c>
      <c r="C3622" t="s">
        <v>10350</v>
      </c>
      <c r="D3622">
        <v>1</v>
      </c>
      <c r="E3622" t="s">
        <v>10333</v>
      </c>
      <c r="F3622" t="s">
        <v>10334</v>
      </c>
      <c r="G3622" s="1"/>
      <c r="H3622" t="str">
        <f>"3250611019459"</f>
        <v>3250611019459</v>
      </c>
      <c r="J3622" t="s">
        <v>10351</v>
      </c>
    </row>
    <row r="3623" spans="1:10" x14ac:dyDescent="0.25">
      <c r="A3623" t="s">
        <v>8</v>
      </c>
      <c r="B3623" t="s">
        <v>10352</v>
      </c>
      <c r="C3623" t="s">
        <v>10353</v>
      </c>
      <c r="D3623">
        <v>1</v>
      </c>
      <c r="E3623" t="s">
        <v>10333</v>
      </c>
      <c r="F3623" t="s">
        <v>10334</v>
      </c>
      <c r="G3623" s="1"/>
      <c r="H3623" t="str">
        <f>"3250611025573"</f>
        <v>3250611025573</v>
      </c>
      <c r="J3623" t="s">
        <v>10354</v>
      </c>
    </row>
    <row r="3624" spans="1:10" x14ac:dyDescent="0.25">
      <c r="A3624" t="s">
        <v>8</v>
      </c>
      <c r="B3624" t="s">
        <v>10355</v>
      </c>
      <c r="C3624" t="s">
        <v>10356</v>
      </c>
      <c r="D3624">
        <v>1</v>
      </c>
      <c r="E3624" t="s">
        <v>10333</v>
      </c>
      <c r="F3624" t="s">
        <v>10334</v>
      </c>
      <c r="G3624" s="1"/>
      <c r="H3624" t="str">
        <f>"3250611025597"</f>
        <v>3250611025597</v>
      </c>
      <c r="J3624" t="s">
        <v>10354</v>
      </c>
    </row>
    <row r="3625" spans="1:10" x14ac:dyDescent="0.25">
      <c r="A3625" t="s">
        <v>8</v>
      </c>
      <c r="B3625" t="s">
        <v>10357</v>
      </c>
      <c r="C3625" t="s">
        <v>10358</v>
      </c>
      <c r="D3625">
        <v>1</v>
      </c>
      <c r="E3625" t="s">
        <v>10333</v>
      </c>
      <c r="F3625" t="s">
        <v>10334</v>
      </c>
      <c r="G3625" s="1"/>
      <c r="H3625" t="str">
        <f>"3250611025603"</f>
        <v>3250611025603</v>
      </c>
      <c r="J3625" t="s">
        <v>10359</v>
      </c>
    </row>
    <row r="3626" spans="1:10" x14ac:dyDescent="0.25">
      <c r="A3626" t="s">
        <v>8</v>
      </c>
      <c r="B3626" t="s">
        <v>10360</v>
      </c>
      <c r="C3626" t="s">
        <v>10361</v>
      </c>
      <c r="D3626">
        <v>1</v>
      </c>
      <c r="E3626" t="s">
        <v>10333</v>
      </c>
      <c r="F3626" t="s">
        <v>10334</v>
      </c>
      <c r="G3626" s="1"/>
      <c r="H3626" t="str">
        <f>"3250611025610"</f>
        <v>3250611025610</v>
      </c>
      <c r="J3626" t="s">
        <v>10362</v>
      </c>
    </row>
    <row r="3627" spans="1:10" x14ac:dyDescent="0.25">
      <c r="A3627" t="s">
        <v>8</v>
      </c>
      <c r="B3627" t="s">
        <v>10363</v>
      </c>
      <c r="C3627" t="s">
        <v>10364</v>
      </c>
      <c r="D3627">
        <v>1</v>
      </c>
      <c r="E3627" t="s">
        <v>10333</v>
      </c>
      <c r="F3627" t="s">
        <v>10334</v>
      </c>
      <c r="G3627" s="1"/>
      <c r="H3627" t="str">
        <f>"3250611025627"</f>
        <v>3250611025627</v>
      </c>
      <c r="J3627" t="s">
        <v>10362</v>
      </c>
    </row>
    <row r="3628" spans="1:10" x14ac:dyDescent="0.25">
      <c r="A3628" t="s">
        <v>8</v>
      </c>
      <c r="B3628" t="s">
        <v>10365</v>
      </c>
      <c r="C3628" t="s">
        <v>10366</v>
      </c>
      <c r="D3628">
        <v>1</v>
      </c>
      <c r="E3628" t="s">
        <v>10333</v>
      </c>
      <c r="F3628" t="s">
        <v>10334</v>
      </c>
      <c r="G3628" s="1"/>
      <c r="H3628" t="str">
        <f>"3250611025641"</f>
        <v>3250611025641</v>
      </c>
      <c r="J3628" t="s">
        <v>10367</v>
      </c>
    </row>
    <row r="3629" spans="1:10" x14ac:dyDescent="0.25">
      <c r="A3629" t="s">
        <v>8</v>
      </c>
      <c r="B3629" t="s">
        <v>10368</v>
      </c>
      <c r="C3629" t="s">
        <v>10369</v>
      </c>
      <c r="D3629">
        <v>1</v>
      </c>
      <c r="E3629" t="s">
        <v>10333</v>
      </c>
      <c r="F3629" t="s">
        <v>10334</v>
      </c>
      <c r="G3629" s="1"/>
      <c r="H3629" t="str">
        <f>"3250611025658"</f>
        <v>3250611025658</v>
      </c>
      <c r="J3629" t="s">
        <v>10370</v>
      </c>
    </row>
    <row r="3630" spans="1:10" x14ac:dyDescent="0.25">
      <c r="A3630" t="s">
        <v>8</v>
      </c>
      <c r="B3630" t="s">
        <v>10371</v>
      </c>
      <c r="C3630" t="s">
        <v>10372</v>
      </c>
      <c r="D3630">
        <v>1</v>
      </c>
      <c r="E3630" t="s">
        <v>10333</v>
      </c>
      <c r="F3630" t="s">
        <v>10334</v>
      </c>
      <c r="G3630" s="1"/>
      <c r="H3630" t="str">
        <f>"3250611025665"</f>
        <v>3250611025665</v>
      </c>
      <c r="J3630" t="s">
        <v>10373</v>
      </c>
    </row>
    <row r="3631" spans="1:10" x14ac:dyDescent="0.25">
      <c r="A3631" t="s">
        <v>8</v>
      </c>
      <c r="B3631" t="s">
        <v>10374</v>
      </c>
      <c r="C3631" t="s">
        <v>10375</v>
      </c>
      <c r="D3631">
        <v>1</v>
      </c>
      <c r="E3631" t="s">
        <v>10333</v>
      </c>
      <c r="F3631" t="s">
        <v>10334</v>
      </c>
      <c r="G3631" s="1"/>
      <c r="H3631" t="str">
        <f>"3250611025672"</f>
        <v>3250611025672</v>
      </c>
      <c r="J3631" t="s">
        <v>10373</v>
      </c>
    </row>
    <row r="3632" spans="1:10" x14ac:dyDescent="0.25">
      <c r="A3632" t="s">
        <v>8</v>
      </c>
      <c r="B3632" t="s">
        <v>10376</v>
      </c>
      <c r="C3632" t="s">
        <v>10377</v>
      </c>
      <c r="D3632">
        <v>1</v>
      </c>
      <c r="E3632" t="s">
        <v>10333</v>
      </c>
      <c r="F3632" t="s">
        <v>10334</v>
      </c>
      <c r="G3632" s="1"/>
      <c r="H3632" t="str">
        <f>"3250611025689"</f>
        <v>3250611025689</v>
      </c>
      <c r="J3632" t="s">
        <v>10378</v>
      </c>
    </row>
    <row r="3633" spans="1:10" x14ac:dyDescent="0.25">
      <c r="A3633" t="s">
        <v>8</v>
      </c>
      <c r="B3633" t="s">
        <v>10379</v>
      </c>
      <c r="C3633" t="s">
        <v>10380</v>
      </c>
      <c r="D3633">
        <v>1</v>
      </c>
      <c r="E3633" t="s">
        <v>10333</v>
      </c>
      <c r="F3633" t="s">
        <v>10334</v>
      </c>
      <c r="G3633" s="1"/>
      <c r="H3633" t="str">
        <f>"3250611025696"</f>
        <v>3250611025696</v>
      </c>
      <c r="J3633" t="s">
        <v>10381</v>
      </c>
    </row>
    <row r="3634" spans="1:10" x14ac:dyDescent="0.25">
      <c r="A3634" t="s">
        <v>8</v>
      </c>
      <c r="B3634" t="s">
        <v>10382</v>
      </c>
      <c r="C3634" t="s">
        <v>10383</v>
      </c>
      <c r="D3634">
        <v>1</v>
      </c>
      <c r="E3634" t="s">
        <v>10333</v>
      </c>
      <c r="F3634" t="s">
        <v>10334</v>
      </c>
      <c r="G3634" s="1"/>
      <c r="H3634" t="str">
        <f>"3250611025702"</f>
        <v>3250611025702</v>
      </c>
      <c r="J3634" t="s">
        <v>10384</v>
      </c>
    </row>
    <row r="3635" spans="1:10" x14ac:dyDescent="0.25">
      <c r="A3635" t="s">
        <v>8</v>
      </c>
      <c r="B3635" t="s">
        <v>10385</v>
      </c>
      <c r="C3635" t="s">
        <v>10386</v>
      </c>
      <c r="D3635">
        <v>1</v>
      </c>
      <c r="E3635" t="s">
        <v>10333</v>
      </c>
      <c r="F3635" t="s">
        <v>10334</v>
      </c>
      <c r="G3635" s="1"/>
      <c r="H3635" t="str">
        <f>"3250611025719"</f>
        <v>3250611025719</v>
      </c>
      <c r="J3635" t="s">
        <v>10387</v>
      </c>
    </row>
    <row r="3636" spans="1:10" x14ac:dyDescent="0.25">
      <c r="A3636" t="s">
        <v>8</v>
      </c>
      <c r="B3636" t="s">
        <v>10388</v>
      </c>
      <c r="C3636" t="s">
        <v>10389</v>
      </c>
      <c r="D3636">
        <v>1</v>
      </c>
      <c r="E3636" t="s">
        <v>10333</v>
      </c>
      <c r="F3636" t="s">
        <v>10334</v>
      </c>
      <c r="G3636" s="1"/>
      <c r="H3636" t="str">
        <f>"3250611019558"</f>
        <v>3250611019558</v>
      </c>
      <c r="J3636" t="s">
        <v>10390</v>
      </c>
    </row>
    <row r="3637" spans="1:10" x14ac:dyDescent="0.25">
      <c r="A3637" t="s">
        <v>8</v>
      </c>
      <c r="B3637" t="s">
        <v>10391</v>
      </c>
      <c r="C3637" t="s">
        <v>10392</v>
      </c>
      <c r="D3637">
        <v>1</v>
      </c>
      <c r="E3637" t="s">
        <v>10333</v>
      </c>
      <c r="F3637" t="s">
        <v>10334</v>
      </c>
      <c r="G3637" s="1"/>
      <c r="H3637" t="str">
        <f>"3250611019565"</f>
        <v>3250611019565</v>
      </c>
      <c r="J3637" t="s">
        <v>10393</v>
      </c>
    </row>
    <row r="3638" spans="1:10" x14ac:dyDescent="0.25">
      <c r="A3638" t="s">
        <v>8</v>
      </c>
      <c r="B3638" t="s">
        <v>10394</v>
      </c>
      <c r="C3638" t="s">
        <v>10395</v>
      </c>
      <c r="D3638">
        <v>1</v>
      </c>
      <c r="E3638" t="s">
        <v>10333</v>
      </c>
      <c r="F3638" t="s">
        <v>10334</v>
      </c>
      <c r="G3638" s="1"/>
      <c r="H3638" t="str">
        <f>"3250611019572"</f>
        <v>3250611019572</v>
      </c>
      <c r="J3638" t="s">
        <v>10396</v>
      </c>
    </row>
    <row r="3639" spans="1:10" x14ac:dyDescent="0.25">
      <c r="A3639" t="s">
        <v>8</v>
      </c>
      <c r="B3639" t="s">
        <v>10397</v>
      </c>
      <c r="C3639" t="s">
        <v>10398</v>
      </c>
      <c r="D3639">
        <v>1</v>
      </c>
      <c r="E3639" t="s">
        <v>10333</v>
      </c>
      <c r="F3639" t="s">
        <v>10334</v>
      </c>
      <c r="G3639" s="1"/>
      <c r="H3639" t="str">
        <f>"3250611019589"</f>
        <v>3250611019589</v>
      </c>
      <c r="J3639" t="s">
        <v>10399</v>
      </c>
    </row>
    <row r="3640" spans="1:10" x14ac:dyDescent="0.25">
      <c r="A3640" t="s">
        <v>8</v>
      </c>
      <c r="B3640" t="s">
        <v>10400</v>
      </c>
      <c r="C3640" t="s">
        <v>10401</v>
      </c>
      <c r="D3640">
        <v>1</v>
      </c>
      <c r="E3640" t="s">
        <v>10333</v>
      </c>
      <c r="F3640" t="s">
        <v>10334</v>
      </c>
      <c r="G3640" s="1"/>
      <c r="H3640" t="str">
        <f>"3250611025740"</f>
        <v>3250611025740</v>
      </c>
      <c r="J3640" t="s">
        <v>10402</v>
      </c>
    </row>
    <row r="3641" spans="1:10" x14ac:dyDescent="0.25">
      <c r="A3641" t="s">
        <v>8</v>
      </c>
      <c r="B3641" t="s">
        <v>10403</v>
      </c>
      <c r="C3641" t="s">
        <v>10404</v>
      </c>
      <c r="D3641">
        <v>1</v>
      </c>
      <c r="E3641" t="s">
        <v>10333</v>
      </c>
      <c r="F3641" t="s">
        <v>10334</v>
      </c>
      <c r="G3641" s="1"/>
      <c r="H3641" t="str">
        <f>"3250611025757"</f>
        <v>3250611025757</v>
      </c>
      <c r="J3641" t="s">
        <v>10402</v>
      </c>
    </row>
    <row r="3642" spans="1:10" x14ac:dyDescent="0.25">
      <c r="A3642" t="s">
        <v>8</v>
      </c>
      <c r="B3642" t="s">
        <v>10405</v>
      </c>
      <c r="C3642" t="s">
        <v>10406</v>
      </c>
      <c r="D3642">
        <v>1</v>
      </c>
      <c r="E3642" t="s">
        <v>10333</v>
      </c>
      <c r="F3642" t="s">
        <v>10334</v>
      </c>
      <c r="G3642" s="1"/>
      <c r="H3642" t="str">
        <f>"3250611025764"</f>
        <v>3250611025764</v>
      </c>
      <c r="J3642" t="s">
        <v>10402</v>
      </c>
    </row>
    <row r="3643" spans="1:10" x14ac:dyDescent="0.25">
      <c r="A3643" t="s">
        <v>8</v>
      </c>
      <c r="B3643" t="s">
        <v>10407</v>
      </c>
      <c r="C3643" t="s">
        <v>10408</v>
      </c>
      <c r="D3643">
        <v>1</v>
      </c>
      <c r="E3643" t="s">
        <v>10333</v>
      </c>
      <c r="F3643" t="s">
        <v>10334</v>
      </c>
      <c r="G3643" s="1"/>
      <c r="H3643" t="str">
        <f>"3250611025771"</f>
        <v>3250611025771</v>
      </c>
      <c r="J3643" t="s">
        <v>10402</v>
      </c>
    </row>
    <row r="3644" spans="1:10" x14ac:dyDescent="0.25">
      <c r="A3644" t="s">
        <v>8</v>
      </c>
      <c r="B3644" t="s">
        <v>10409</v>
      </c>
      <c r="C3644" t="s">
        <v>10410</v>
      </c>
      <c r="D3644">
        <v>1</v>
      </c>
      <c r="E3644" t="s">
        <v>10333</v>
      </c>
      <c r="F3644" t="s">
        <v>10334</v>
      </c>
      <c r="G3644" s="1"/>
      <c r="H3644" t="str">
        <f>"3250611019596"</f>
        <v>3250611019596</v>
      </c>
      <c r="J3644" t="s">
        <v>5873</v>
      </c>
    </row>
    <row r="3645" spans="1:10" x14ac:dyDescent="0.25">
      <c r="A3645" t="s">
        <v>8</v>
      </c>
      <c r="B3645" t="s">
        <v>10411</v>
      </c>
      <c r="C3645" t="s">
        <v>10412</v>
      </c>
      <c r="D3645">
        <v>1</v>
      </c>
      <c r="E3645" t="s">
        <v>10333</v>
      </c>
      <c r="F3645" t="s">
        <v>10334</v>
      </c>
      <c r="G3645" s="1"/>
      <c r="H3645" t="str">
        <f>"3250611019602"</f>
        <v>3250611019602</v>
      </c>
      <c r="J3645" t="s">
        <v>10413</v>
      </c>
    </row>
    <row r="3646" spans="1:10" x14ac:dyDescent="0.25">
      <c r="A3646" t="s">
        <v>8</v>
      </c>
      <c r="B3646" t="s">
        <v>10414</v>
      </c>
      <c r="C3646" t="s">
        <v>10415</v>
      </c>
      <c r="D3646">
        <v>1</v>
      </c>
      <c r="E3646" t="s">
        <v>10333</v>
      </c>
      <c r="F3646" t="s">
        <v>10334</v>
      </c>
      <c r="G3646" s="1"/>
      <c r="H3646" t="str">
        <f>"3250611019619"</f>
        <v>3250611019619</v>
      </c>
      <c r="J3646" t="s">
        <v>10416</v>
      </c>
    </row>
    <row r="3647" spans="1:10" x14ac:dyDescent="0.25">
      <c r="A3647" t="s">
        <v>8</v>
      </c>
      <c r="B3647" t="s">
        <v>10417</v>
      </c>
      <c r="C3647" t="s">
        <v>10418</v>
      </c>
      <c r="D3647">
        <v>1</v>
      </c>
      <c r="E3647" t="s">
        <v>10333</v>
      </c>
      <c r="F3647" t="s">
        <v>10334</v>
      </c>
      <c r="G3647" s="1"/>
      <c r="H3647" t="str">
        <f>"3250611019626"</f>
        <v>3250611019626</v>
      </c>
      <c r="J3647" t="s">
        <v>10419</v>
      </c>
    </row>
    <row r="3648" spans="1:10" x14ac:dyDescent="0.25">
      <c r="A3648" t="s">
        <v>8</v>
      </c>
      <c r="B3648" t="s">
        <v>10420</v>
      </c>
      <c r="C3648" t="s">
        <v>10421</v>
      </c>
      <c r="D3648">
        <v>1</v>
      </c>
      <c r="E3648" t="s">
        <v>10422</v>
      </c>
      <c r="F3648" t="s">
        <v>10423</v>
      </c>
      <c r="G3648" s="1"/>
      <c r="H3648" t="str">
        <f>"3250612279906"</f>
        <v>3250612279906</v>
      </c>
      <c r="J3648" t="s">
        <v>10424</v>
      </c>
    </row>
    <row r="3649" spans="1:10" x14ac:dyDescent="0.25">
      <c r="A3649" t="s">
        <v>8</v>
      </c>
      <c r="B3649" t="s">
        <v>10425</v>
      </c>
      <c r="C3649" t="s">
        <v>10426</v>
      </c>
      <c r="D3649">
        <v>1</v>
      </c>
      <c r="E3649" t="s">
        <v>10427</v>
      </c>
      <c r="F3649" t="s">
        <v>10428</v>
      </c>
      <c r="G3649" s="1"/>
      <c r="H3649" t="str">
        <f>"3250612546602"</f>
        <v>3250612546602</v>
      </c>
      <c r="J3649" t="s">
        <v>10429</v>
      </c>
    </row>
    <row r="3650" spans="1:10" x14ac:dyDescent="0.25">
      <c r="A3650" t="s">
        <v>8</v>
      </c>
      <c r="B3650" t="s">
        <v>10430</v>
      </c>
      <c r="C3650" t="s">
        <v>10431</v>
      </c>
      <c r="D3650">
        <v>1</v>
      </c>
      <c r="E3650" t="s">
        <v>10427</v>
      </c>
      <c r="F3650" t="s">
        <v>10428</v>
      </c>
      <c r="G3650" s="1"/>
      <c r="H3650" t="str">
        <f>"3250612560660"</f>
        <v>3250612560660</v>
      </c>
      <c r="J3650" t="s">
        <v>10432</v>
      </c>
    </row>
    <row r="3651" spans="1:10" x14ac:dyDescent="0.25">
      <c r="A3651" t="s">
        <v>8</v>
      </c>
      <c r="B3651" t="s">
        <v>10433</v>
      </c>
      <c r="C3651" t="s">
        <v>10434</v>
      </c>
      <c r="D3651">
        <v>1</v>
      </c>
      <c r="E3651" t="s">
        <v>10435</v>
      </c>
      <c r="F3651" t="s">
        <v>10436</v>
      </c>
      <c r="G3651" s="1"/>
      <c r="H3651" t="str">
        <f>"3250612545209"</f>
        <v>3250612545209</v>
      </c>
      <c r="J3651" t="s">
        <v>10437</v>
      </c>
    </row>
    <row r="3652" spans="1:10" x14ac:dyDescent="0.25">
      <c r="A3652" t="s">
        <v>8</v>
      </c>
      <c r="B3652" t="s">
        <v>10438</v>
      </c>
      <c r="C3652" t="s">
        <v>10439</v>
      </c>
      <c r="D3652">
        <v>1</v>
      </c>
      <c r="E3652" t="s">
        <v>10435</v>
      </c>
      <c r="F3652" t="s">
        <v>10436</v>
      </c>
      <c r="G3652" s="1"/>
      <c r="H3652" t="str">
        <f>"3250612545100"</f>
        <v>3250612545100</v>
      </c>
      <c r="J3652" t="s">
        <v>10440</v>
      </c>
    </row>
    <row r="3653" spans="1:10" x14ac:dyDescent="0.25">
      <c r="A3653" t="s">
        <v>8</v>
      </c>
      <c r="B3653" t="s">
        <v>10441</v>
      </c>
      <c r="C3653" t="s">
        <v>10442</v>
      </c>
      <c r="D3653">
        <v>1</v>
      </c>
      <c r="E3653" t="s">
        <v>10435</v>
      </c>
      <c r="F3653" t="s">
        <v>10436</v>
      </c>
      <c r="G3653" s="1"/>
      <c r="H3653" t="str">
        <f>"3250612545704"</f>
        <v>3250612545704</v>
      </c>
      <c r="J3653" t="s">
        <v>10443</v>
      </c>
    </row>
    <row r="3654" spans="1:10" x14ac:dyDescent="0.25">
      <c r="A3654" t="s">
        <v>8</v>
      </c>
      <c r="B3654" t="s">
        <v>10444</v>
      </c>
      <c r="C3654" t="s">
        <v>10445</v>
      </c>
      <c r="D3654">
        <v>1</v>
      </c>
      <c r="E3654" t="s">
        <v>10435</v>
      </c>
      <c r="F3654" t="s">
        <v>10436</v>
      </c>
      <c r="G3654" s="1"/>
      <c r="H3654" t="str">
        <f>"3250612545308"</f>
        <v>3250612545308</v>
      </c>
      <c r="I3654" s="1"/>
      <c r="J3654" t="s">
        <v>10446</v>
      </c>
    </row>
    <row r="3655" spans="1:10" x14ac:dyDescent="0.25">
      <c r="A3655" t="s">
        <v>8</v>
      </c>
      <c r="B3655" t="s">
        <v>10447</v>
      </c>
      <c r="C3655" t="s">
        <v>10448</v>
      </c>
      <c r="D3655">
        <v>1</v>
      </c>
      <c r="E3655" t="s">
        <v>10435</v>
      </c>
      <c r="F3655" t="s">
        <v>10436</v>
      </c>
      <c r="G3655" s="1"/>
      <c r="H3655" t="str">
        <f>"3250612545292"</f>
        <v>3250612545292</v>
      </c>
      <c r="J3655" t="s">
        <v>10449</v>
      </c>
    </row>
    <row r="3656" spans="1:10" x14ac:dyDescent="0.25">
      <c r="A3656" t="s">
        <v>8</v>
      </c>
      <c r="B3656" t="s">
        <v>10450</v>
      </c>
      <c r="C3656" t="s">
        <v>10451</v>
      </c>
      <c r="D3656">
        <v>1</v>
      </c>
      <c r="E3656" t="s">
        <v>10435</v>
      </c>
      <c r="F3656" t="s">
        <v>10436</v>
      </c>
      <c r="G3656" s="1"/>
      <c r="H3656" t="str">
        <f>"3250612545285"</f>
        <v>3250612545285</v>
      </c>
      <c r="J3656" t="s">
        <v>10452</v>
      </c>
    </row>
    <row r="3657" spans="1:10" x14ac:dyDescent="0.25">
      <c r="A3657" t="s">
        <v>8</v>
      </c>
      <c r="B3657" t="s">
        <v>10453</v>
      </c>
      <c r="C3657" t="s">
        <v>10454</v>
      </c>
      <c r="D3657">
        <v>1</v>
      </c>
      <c r="E3657" t="s">
        <v>10455</v>
      </c>
      <c r="F3657" t="s">
        <v>10456</v>
      </c>
      <c r="G3657" s="1"/>
      <c r="H3657" t="str">
        <f>"3250615521392"</f>
        <v>3250615521392</v>
      </c>
      <c r="J3657" t="s">
        <v>10457</v>
      </c>
    </row>
    <row r="3658" spans="1:10" x14ac:dyDescent="0.25">
      <c r="A3658" t="s">
        <v>8</v>
      </c>
      <c r="B3658" t="s">
        <v>10458</v>
      </c>
      <c r="C3658" t="s">
        <v>10459</v>
      </c>
      <c r="D3658">
        <v>1</v>
      </c>
      <c r="E3658" t="s">
        <v>10455</v>
      </c>
      <c r="F3658" t="s">
        <v>10456</v>
      </c>
      <c r="G3658" s="1"/>
      <c r="H3658" t="str">
        <f>"3250615561008"</f>
        <v>3250615561008</v>
      </c>
      <c r="J3658" t="s">
        <v>10460</v>
      </c>
    </row>
    <row r="3659" spans="1:10" x14ac:dyDescent="0.25">
      <c r="A3659" t="s">
        <v>8</v>
      </c>
      <c r="B3659" t="s">
        <v>10461</v>
      </c>
      <c r="C3659" t="s">
        <v>10462</v>
      </c>
      <c r="D3659">
        <v>1</v>
      </c>
      <c r="E3659" t="s">
        <v>10455</v>
      </c>
      <c r="F3659" t="s">
        <v>10456</v>
      </c>
      <c r="G3659" s="1"/>
      <c r="H3659" t="str">
        <f>"3250615510129"</f>
        <v>3250615510129</v>
      </c>
      <c r="J3659" t="s">
        <v>7154</v>
      </c>
    </row>
    <row r="3660" spans="1:10" x14ac:dyDescent="0.25">
      <c r="A3660" t="s">
        <v>8</v>
      </c>
      <c r="B3660" t="s">
        <v>10463</v>
      </c>
      <c r="C3660" t="s">
        <v>10464</v>
      </c>
      <c r="D3660">
        <v>1</v>
      </c>
      <c r="E3660" t="s">
        <v>10455</v>
      </c>
      <c r="F3660" t="s">
        <v>10456</v>
      </c>
      <c r="G3660" s="1"/>
      <c r="H3660" t="str">
        <f>"3250615510105"</f>
        <v>3250615510105</v>
      </c>
      <c r="J3660" t="s">
        <v>10465</v>
      </c>
    </row>
    <row r="3661" spans="1:10" x14ac:dyDescent="0.25">
      <c r="A3661" t="s">
        <v>8</v>
      </c>
      <c r="B3661" t="s">
        <v>10466</v>
      </c>
      <c r="C3661" t="s">
        <v>10467</v>
      </c>
      <c r="D3661">
        <v>1</v>
      </c>
      <c r="E3661" t="s">
        <v>10455</v>
      </c>
      <c r="F3661" t="s">
        <v>10456</v>
      </c>
      <c r="G3661" s="1"/>
      <c r="H3661" t="str">
        <f>"3250615510921"</f>
        <v>3250615510921</v>
      </c>
      <c r="J3661" t="s">
        <v>6667</v>
      </c>
    </row>
    <row r="3662" spans="1:10" x14ac:dyDescent="0.25">
      <c r="A3662" t="s">
        <v>8</v>
      </c>
      <c r="B3662" t="s">
        <v>10468</v>
      </c>
      <c r="C3662" t="s">
        <v>10469</v>
      </c>
      <c r="D3662">
        <v>1</v>
      </c>
      <c r="E3662" t="s">
        <v>10455</v>
      </c>
      <c r="F3662" t="s">
        <v>10456</v>
      </c>
      <c r="G3662" s="1"/>
      <c r="H3662" t="str">
        <f>"3250615510082"</f>
        <v>3250615510082</v>
      </c>
      <c r="J3662" t="s">
        <v>10470</v>
      </c>
    </row>
    <row r="3663" spans="1:10" x14ac:dyDescent="0.25">
      <c r="A3663" t="s">
        <v>8</v>
      </c>
      <c r="B3663" t="s">
        <v>10471</v>
      </c>
      <c r="C3663" t="s">
        <v>10472</v>
      </c>
      <c r="D3663">
        <v>1</v>
      </c>
      <c r="E3663" t="s">
        <v>10455</v>
      </c>
      <c r="F3663" t="s">
        <v>10456</v>
      </c>
      <c r="G3663" s="1"/>
      <c r="H3663" t="str">
        <f>"3250615510334"</f>
        <v>3250615510334</v>
      </c>
      <c r="J3663" t="s">
        <v>10473</v>
      </c>
    </row>
    <row r="3664" spans="1:10" x14ac:dyDescent="0.25">
      <c r="A3664" t="s">
        <v>8</v>
      </c>
      <c r="B3664" t="s">
        <v>10474</v>
      </c>
      <c r="C3664" t="s">
        <v>10475</v>
      </c>
      <c r="D3664">
        <v>1</v>
      </c>
      <c r="E3664" t="s">
        <v>10455</v>
      </c>
      <c r="F3664" t="s">
        <v>10456</v>
      </c>
      <c r="G3664" s="1"/>
      <c r="H3664" t="str">
        <f>"3250615510327"</f>
        <v>3250615510327</v>
      </c>
      <c r="J3664" t="s">
        <v>10476</v>
      </c>
    </row>
    <row r="3665" spans="1:10" x14ac:dyDescent="0.25">
      <c r="A3665" t="s">
        <v>8</v>
      </c>
      <c r="B3665" t="s">
        <v>10477</v>
      </c>
      <c r="C3665" t="s">
        <v>10478</v>
      </c>
      <c r="D3665">
        <v>1</v>
      </c>
      <c r="E3665" t="s">
        <v>10455</v>
      </c>
      <c r="F3665" t="s">
        <v>10456</v>
      </c>
      <c r="G3665" s="1"/>
      <c r="H3665" t="str">
        <f>"3250615510020"</f>
        <v>3250615510020</v>
      </c>
      <c r="J3665" t="s">
        <v>10479</v>
      </c>
    </row>
    <row r="3666" spans="1:10" x14ac:dyDescent="0.25">
      <c r="A3666" t="s">
        <v>8</v>
      </c>
      <c r="B3666" t="s">
        <v>10480</v>
      </c>
      <c r="C3666" t="s">
        <v>10481</v>
      </c>
      <c r="D3666">
        <v>1</v>
      </c>
      <c r="E3666" t="s">
        <v>10455</v>
      </c>
      <c r="F3666" t="s">
        <v>10456</v>
      </c>
      <c r="G3666" s="1"/>
      <c r="H3666" t="str">
        <f>"3250615510235"</f>
        <v>3250615510235</v>
      </c>
      <c r="J3666" t="s">
        <v>10482</v>
      </c>
    </row>
    <row r="3667" spans="1:10" x14ac:dyDescent="0.25">
      <c r="A3667" t="s">
        <v>8</v>
      </c>
      <c r="B3667" t="s">
        <v>10483</v>
      </c>
      <c r="C3667" t="s">
        <v>10484</v>
      </c>
      <c r="D3667">
        <v>1</v>
      </c>
      <c r="E3667" t="s">
        <v>10455</v>
      </c>
      <c r="F3667" t="s">
        <v>10456</v>
      </c>
      <c r="G3667" s="1"/>
      <c r="H3667" t="str">
        <f>"3250615510792"</f>
        <v>3250615510792</v>
      </c>
      <c r="J3667" t="s">
        <v>10485</v>
      </c>
    </row>
    <row r="3668" spans="1:10" x14ac:dyDescent="0.25">
      <c r="A3668" t="s">
        <v>8</v>
      </c>
      <c r="B3668" t="s">
        <v>10486</v>
      </c>
      <c r="C3668" t="s">
        <v>10487</v>
      </c>
      <c r="D3668">
        <v>1</v>
      </c>
      <c r="E3668" t="s">
        <v>10455</v>
      </c>
      <c r="F3668" t="s">
        <v>10456</v>
      </c>
      <c r="G3668" s="1"/>
      <c r="H3668" t="str">
        <f>"3250615510228"</f>
        <v>3250615510228</v>
      </c>
      <c r="J3668" t="s">
        <v>10335</v>
      </c>
    </row>
    <row r="3669" spans="1:10" x14ac:dyDescent="0.25">
      <c r="A3669" t="s">
        <v>8</v>
      </c>
      <c r="B3669" t="s">
        <v>10488</v>
      </c>
      <c r="C3669" t="s">
        <v>10489</v>
      </c>
      <c r="D3669">
        <v>1</v>
      </c>
      <c r="E3669" t="s">
        <v>10455</v>
      </c>
      <c r="F3669" t="s">
        <v>10456</v>
      </c>
      <c r="G3669" s="1"/>
      <c r="H3669" t="str">
        <f>"3250615510914"</f>
        <v>3250615510914</v>
      </c>
      <c r="J3669" t="s">
        <v>10490</v>
      </c>
    </row>
    <row r="3670" spans="1:10" x14ac:dyDescent="0.25">
      <c r="A3670" t="s">
        <v>8</v>
      </c>
      <c r="B3670" t="s">
        <v>10491</v>
      </c>
      <c r="C3670" t="s">
        <v>10492</v>
      </c>
      <c r="D3670">
        <v>1</v>
      </c>
      <c r="E3670" t="s">
        <v>10455</v>
      </c>
      <c r="F3670" t="s">
        <v>10456</v>
      </c>
      <c r="G3670" s="1"/>
      <c r="H3670" t="str">
        <f>"3250615511744"</f>
        <v>3250615511744</v>
      </c>
      <c r="J3670" t="s">
        <v>10493</v>
      </c>
    </row>
    <row r="3671" spans="1:10" x14ac:dyDescent="0.25">
      <c r="A3671" t="s">
        <v>8</v>
      </c>
      <c r="B3671" t="s">
        <v>10494</v>
      </c>
      <c r="C3671" t="s">
        <v>10495</v>
      </c>
      <c r="D3671">
        <v>1</v>
      </c>
      <c r="E3671" t="s">
        <v>10455</v>
      </c>
      <c r="F3671" t="s">
        <v>10456</v>
      </c>
      <c r="G3671" s="1"/>
      <c r="H3671" t="str">
        <f>"3250615510815"</f>
        <v>3250615510815</v>
      </c>
      <c r="J3671" t="s">
        <v>10496</v>
      </c>
    </row>
    <row r="3672" spans="1:10" x14ac:dyDescent="0.25">
      <c r="A3672" t="s">
        <v>8</v>
      </c>
      <c r="B3672" t="s">
        <v>10497</v>
      </c>
      <c r="C3672" t="s">
        <v>10498</v>
      </c>
      <c r="D3672">
        <v>1</v>
      </c>
      <c r="E3672" t="s">
        <v>10455</v>
      </c>
      <c r="F3672" t="s">
        <v>10456</v>
      </c>
      <c r="G3672" s="1"/>
      <c r="H3672" t="str">
        <f>"3250615510839"</f>
        <v>3250615510839</v>
      </c>
      <c r="J3672" t="s">
        <v>10499</v>
      </c>
    </row>
    <row r="3673" spans="1:10" x14ac:dyDescent="0.25">
      <c r="A3673" t="s">
        <v>8</v>
      </c>
      <c r="B3673" t="s">
        <v>10500</v>
      </c>
      <c r="C3673" t="s">
        <v>10501</v>
      </c>
      <c r="D3673">
        <v>1</v>
      </c>
      <c r="E3673" t="s">
        <v>10455</v>
      </c>
      <c r="F3673" t="s">
        <v>10456</v>
      </c>
      <c r="G3673" s="1"/>
      <c r="H3673" t="str">
        <f>"3250615511737"</f>
        <v>3250615511737</v>
      </c>
      <c r="J3673" t="s">
        <v>10502</v>
      </c>
    </row>
    <row r="3674" spans="1:10" x14ac:dyDescent="0.25">
      <c r="A3674" t="s">
        <v>8</v>
      </c>
      <c r="B3674" t="s">
        <v>10503</v>
      </c>
      <c r="C3674" t="s">
        <v>10504</v>
      </c>
      <c r="D3674">
        <v>1</v>
      </c>
      <c r="E3674" t="s">
        <v>10455</v>
      </c>
      <c r="F3674" t="s">
        <v>10456</v>
      </c>
      <c r="G3674" s="1"/>
      <c r="H3674" t="str">
        <f>"3250615510211"</f>
        <v>3250615510211</v>
      </c>
      <c r="J3674" t="s">
        <v>10505</v>
      </c>
    </row>
    <row r="3675" spans="1:10" x14ac:dyDescent="0.25">
      <c r="A3675" t="s">
        <v>8</v>
      </c>
      <c r="B3675" t="s">
        <v>10506</v>
      </c>
      <c r="C3675" t="s">
        <v>10507</v>
      </c>
      <c r="D3675">
        <v>1</v>
      </c>
      <c r="E3675" t="s">
        <v>10455</v>
      </c>
      <c r="F3675" t="s">
        <v>10456</v>
      </c>
      <c r="G3675" s="1"/>
      <c r="H3675" t="str">
        <f>"3250615510143"</f>
        <v>3250615510143</v>
      </c>
      <c r="J3675" t="s">
        <v>10508</v>
      </c>
    </row>
    <row r="3676" spans="1:10" x14ac:dyDescent="0.25">
      <c r="A3676" t="s">
        <v>8</v>
      </c>
      <c r="B3676" t="s">
        <v>10509</v>
      </c>
      <c r="C3676" t="s">
        <v>10510</v>
      </c>
      <c r="D3676">
        <v>1</v>
      </c>
      <c r="E3676" t="s">
        <v>10455</v>
      </c>
      <c r="F3676" t="s">
        <v>10456</v>
      </c>
      <c r="G3676" s="1"/>
      <c r="H3676" t="str">
        <f>"3250615511720"</f>
        <v>3250615511720</v>
      </c>
      <c r="J3676" t="s">
        <v>10511</v>
      </c>
    </row>
    <row r="3677" spans="1:10" x14ac:dyDescent="0.25">
      <c r="A3677" t="s">
        <v>8</v>
      </c>
      <c r="B3677" t="s">
        <v>10512</v>
      </c>
      <c r="C3677" t="s">
        <v>10513</v>
      </c>
      <c r="D3677">
        <v>1</v>
      </c>
      <c r="E3677" t="s">
        <v>10455</v>
      </c>
      <c r="F3677" t="s">
        <v>10456</v>
      </c>
      <c r="G3677" s="1"/>
      <c r="H3677" t="str">
        <f>"3250615510150"</f>
        <v>3250615510150</v>
      </c>
      <c r="I3677" s="1"/>
      <c r="J3677" t="s">
        <v>10514</v>
      </c>
    </row>
    <row r="3678" spans="1:10" x14ac:dyDescent="0.25">
      <c r="A3678" t="s">
        <v>8</v>
      </c>
      <c r="B3678" t="s">
        <v>10515</v>
      </c>
      <c r="C3678" t="s">
        <v>10516</v>
      </c>
      <c r="D3678">
        <v>1</v>
      </c>
      <c r="E3678" t="s">
        <v>10455</v>
      </c>
      <c r="F3678" t="s">
        <v>10456</v>
      </c>
      <c r="G3678" s="1"/>
      <c r="H3678" t="str">
        <f>"3250615510761"</f>
        <v>3250615510761</v>
      </c>
      <c r="J3678" t="s">
        <v>10517</v>
      </c>
    </row>
    <row r="3679" spans="1:10" x14ac:dyDescent="0.25">
      <c r="A3679" t="s">
        <v>8</v>
      </c>
      <c r="B3679" t="s">
        <v>10518</v>
      </c>
      <c r="C3679" t="s">
        <v>10519</v>
      </c>
      <c r="D3679">
        <v>1</v>
      </c>
      <c r="E3679" t="s">
        <v>10455</v>
      </c>
      <c r="F3679" t="s">
        <v>10456</v>
      </c>
      <c r="G3679" s="1"/>
      <c r="H3679" t="str">
        <f>"3250615510204"</f>
        <v>3250615510204</v>
      </c>
      <c r="J3679" t="s">
        <v>10520</v>
      </c>
    </row>
    <row r="3680" spans="1:10" x14ac:dyDescent="0.25">
      <c r="A3680" t="s">
        <v>8</v>
      </c>
      <c r="B3680" t="s">
        <v>10521</v>
      </c>
      <c r="C3680" t="s">
        <v>10522</v>
      </c>
      <c r="D3680">
        <v>1</v>
      </c>
      <c r="E3680" t="s">
        <v>10455</v>
      </c>
      <c r="F3680" t="s">
        <v>10456</v>
      </c>
      <c r="G3680" s="1"/>
      <c r="H3680" t="str">
        <f>"3250615510136"</f>
        <v>3250615510136</v>
      </c>
      <c r="J3680" t="s">
        <v>3495</v>
      </c>
    </row>
    <row r="3681" spans="1:10" x14ac:dyDescent="0.25">
      <c r="A3681" t="s">
        <v>8</v>
      </c>
      <c r="B3681" t="s">
        <v>10523</v>
      </c>
      <c r="C3681" t="s">
        <v>10524</v>
      </c>
      <c r="D3681">
        <v>1</v>
      </c>
      <c r="E3681" t="s">
        <v>10455</v>
      </c>
      <c r="F3681" t="s">
        <v>10456</v>
      </c>
      <c r="G3681" s="1"/>
      <c r="H3681" t="str">
        <f>"3250615510112"</f>
        <v>3250615510112</v>
      </c>
      <c r="J3681" t="s">
        <v>10525</v>
      </c>
    </row>
    <row r="3682" spans="1:10" x14ac:dyDescent="0.25">
      <c r="A3682" t="s">
        <v>8</v>
      </c>
      <c r="B3682" t="s">
        <v>10526</v>
      </c>
      <c r="C3682" t="s">
        <v>10527</v>
      </c>
      <c r="D3682">
        <v>1</v>
      </c>
      <c r="E3682" t="s">
        <v>10455</v>
      </c>
      <c r="F3682" t="s">
        <v>10456</v>
      </c>
      <c r="G3682" s="1"/>
      <c r="H3682" t="str">
        <f>"3250615510037"</f>
        <v>3250615510037</v>
      </c>
      <c r="J3682" t="s">
        <v>10528</v>
      </c>
    </row>
    <row r="3683" spans="1:10" x14ac:dyDescent="0.25">
      <c r="A3683" t="s">
        <v>8</v>
      </c>
      <c r="B3683" t="s">
        <v>10529</v>
      </c>
      <c r="C3683" t="s">
        <v>10530</v>
      </c>
      <c r="D3683">
        <v>1</v>
      </c>
      <c r="E3683" t="s">
        <v>10455</v>
      </c>
      <c r="F3683" t="s">
        <v>10456</v>
      </c>
      <c r="G3683" s="1"/>
      <c r="H3683" t="str">
        <f>"3250615510099"</f>
        <v>3250615510099</v>
      </c>
      <c r="J3683" t="s">
        <v>10531</v>
      </c>
    </row>
    <row r="3684" spans="1:10" x14ac:dyDescent="0.25">
      <c r="A3684" t="s">
        <v>8</v>
      </c>
      <c r="B3684" t="s">
        <v>10532</v>
      </c>
      <c r="C3684" t="s">
        <v>10533</v>
      </c>
      <c r="D3684">
        <v>1</v>
      </c>
      <c r="E3684" t="s">
        <v>10455</v>
      </c>
      <c r="F3684" t="s">
        <v>10456</v>
      </c>
      <c r="G3684" s="1"/>
      <c r="H3684" t="str">
        <f>"3250615510341"</f>
        <v>3250615510341</v>
      </c>
      <c r="J3684" t="s">
        <v>10534</v>
      </c>
    </row>
    <row r="3685" spans="1:10" x14ac:dyDescent="0.25">
      <c r="A3685" t="s">
        <v>8</v>
      </c>
      <c r="B3685" t="s">
        <v>10535</v>
      </c>
      <c r="C3685" t="s">
        <v>10536</v>
      </c>
      <c r="D3685">
        <v>1</v>
      </c>
      <c r="E3685" t="s">
        <v>10455</v>
      </c>
      <c r="F3685" t="s">
        <v>10456</v>
      </c>
      <c r="G3685" s="1"/>
      <c r="H3685" t="str">
        <f>"3250615510747"</f>
        <v>3250615510747</v>
      </c>
      <c r="J3685" t="s">
        <v>10537</v>
      </c>
    </row>
    <row r="3686" spans="1:10" x14ac:dyDescent="0.25">
      <c r="A3686" t="s">
        <v>8</v>
      </c>
      <c r="B3686" t="s">
        <v>10538</v>
      </c>
      <c r="C3686" t="s">
        <v>10539</v>
      </c>
      <c r="D3686">
        <v>1</v>
      </c>
      <c r="E3686" t="s">
        <v>10455</v>
      </c>
      <c r="F3686" t="s">
        <v>10456</v>
      </c>
      <c r="G3686" s="1"/>
      <c r="H3686" t="str">
        <f>"3250615510945"</f>
        <v>3250615510945</v>
      </c>
      <c r="J3686" t="s">
        <v>10540</v>
      </c>
    </row>
    <row r="3687" spans="1:10" x14ac:dyDescent="0.25">
      <c r="A3687" t="s">
        <v>8</v>
      </c>
      <c r="B3687" t="s">
        <v>10541</v>
      </c>
      <c r="C3687" t="s">
        <v>10542</v>
      </c>
      <c r="D3687">
        <v>1</v>
      </c>
      <c r="E3687" t="s">
        <v>10543</v>
      </c>
      <c r="F3687" t="s">
        <v>10544</v>
      </c>
      <c r="G3687" s="1"/>
      <c r="H3687" t="str">
        <f>"3250612545605"</f>
        <v>3250612545605</v>
      </c>
      <c r="J3687" t="s">
        <v>10545</v>
      </c>
    </row>
    <row r="3688" spans="1:10" x14ac:dyDescent="0.25">
      <c r="A3688" t="s">
        <v>8</v>
      </c>
      <c r="B3688" t="s">
        <v>10546</v>
      </c>
      <c r="C3688" t="s">
        <v>10547</v>
      </c>
      <c r="D3688">
        <v>1</v>
      </c>
      <c r="E3688" t="s">
        <v>10543</v>
      </c>
      <c r="F3688" t="s">
        <v>10544</v>
      </c>
      <c r="G3688" s="1"/>
      <c r="H3688" t="str">
        <f>"3250612545568"</f>
        <v>3250612545568</v>
      </c>
      <c r="J3688" t="s">
        <v>10548</v>
      </c>
    </row>
    <row r="3689" spans="1:10" x14ac:dyDescent="0.25">
      <c r="A3689" t="s">
        <v>8</v>
      </c>
      <c r="B3689" t="s">
        <v>10549</v>
      </c>
      <c r="C3689" t="s">
        <v>10550</v>
      </c>
      <c r="D3689">
        <v>1</v>
      </c>
      <c r="E3689" t="s">
        <v>10551</v>
      </c>
      <c r="F3689" t="s">
        <v>10552</v>
      </c>
      <c r="G3689" s="1"/>
      <c r="H3689" t="str">
        <f>"3250612400492"</f>
        <v>3250612400492</v>
      </c>
      <c r="J3689" t="s">
        <v>10553</v>
      </c>
    </row>
    <row r="3690" spans="1:10" x14ac:dyDescent="0.25">
      <c r="A3690" t="s">
        <v>8</v>
      </c>
      <c r="B3690" t="s">
        <v>10554</v>
      </c>
      <c r="C3690" t="s">
        <v>10555</v>
      </c>
      <c r="D3690">
        <v>1</v>
      </c>
      <c r="E3690" t="s">
        <v>10551</v>
      </c>
      <c r="F3690" t="s">
        <v>10552</v>
      </c>
      <c r="G3690" s="1"/>
      <c r="H3690" t="str">
        <f>"3250612400508"</f>
        <v>3250612400508</v>
      </c>
      <c r="J3690" t="s">
        <v>10556</v>
      </c>
    </row>
    <row r="3691" spans="1:10" x14ac:dyDescent="0.25">
      <c r="A3691" t="s">
        <v>8</v>
      </c>
      <c r="B3691" t="s">
        <v>10557</v>
      </c>
      <c r="C3691" t="s">
        <v>10558</v>
      </c>
      <c r="D3691">
        <v>1</v>
      </c>
      <c r="E3691" t="s">
        <v>10551</v>
      </c>
      <c r="F3691" t="s">
        <v>10552</v>
      </c>
      <c r="G3691" s="1"/>
      <c r="H3691" t="str">
        <f>"3250612400515"</f>
        <v>3250612400515</v>
      </c>
      <c r="J3691" t="s">
        <v>10559</v>
      </c>
    </row>
    <row r="3692" spans="1:10" x14ac:dyDescent="0.25">
      <c r="A3692" t="s">
        <v>8</v>
      </c>
      <c r="B3692" t="s">
        <v>10560</v>
      </c>
      <c r="C3692" t="s">
        <v>10561</v>
      </c>
      <c r="D3692">
        <v>1</v>
      </c>
      <c r="E3692" t="s">
        <v>10562</v>
      </c>
      <c r="F3692" t="s">
        <v>10563</v>
      </c>
      <c r="G3692" s="1"/>
      <c r="H3692" t="str">
        <f>"3250612401123"</f>
        <v>3250612401123</v>
      </c>
      <c r="J3692" t="s">
        <v>10564</v>
      </c>
    </row>
    <row r="3693" spans="1:10" x14ac:dyDescent="0.25">
      <c r="A3693" t="s">
        <v>8</v>
      </c>
      <c r="B3693" t="s">
        <v>10565</v>
      </c>
      <c r="C3693" t="s">
        <v>10566</v>
      </c>
      <c r="D3693">
        <v>1</v>
      </c>
      <c r="E3693" t="s">
        <v>10562</v>
      </c>
      <c r="F3693" t="s">
        <v>10563</v>
      </c>
      <c r="G3693" s="1"/>
      <c r="H3693" t="str">
        <f>"3250612400867"</f>
        <v>3250612400867</v>
      </c>
      <c r="J3693" t="s">
        <v>10567</v>
      </c>
    </row>
    <row r="3694" spans="1:10" x14ac:dyDescent="0.25">
      <c r="A3694" t="s">
        <v>8</v>
      </c>
      <c r="B3694" t="s">
        <v>10568</v>
      </c>
      <c r="C3694" t="s">
        <v>10569</v>
      </c>
      <c r="D3694">
        <v>1</v>
      </c>
      <c r="E3694" t="s">
        <v>10562</v>
      </c>
      <c r="F3694" t="s">
        <v>10563</v>
      </c>
      <c r="G3694" s="1"/>
      <c r="H3694" t="str">
        <f>"3250612400881"</f>
        <v>3250612400881</v>
      </c>
      <c r="J3694" t="s">
        <v>10570</v>
      </c>
    </row>
    <row r="3695" spans="1:10" x14ac:dyDescent="0.25">
      <c r="A3695" t="s">
        <v>8</v>
      </c>
      <c r="B3695" t="s">
        <v>10571</v>
      </c>
      <c r="C3695" t="s">
        <v>10572</v>
      </c>
      <c r="D3695">
        <v>1</v>
      </c>
      <c r="E3695" t="s">
        <v>10562</v>
      </c>
      <c r="F3695" t="s">
        <v>10563</v>
      </c>
      <c r="G3695" s="1"/>
      <c r="H3695" t="str">
        <f>"3250612400126"</f>
        <v>3250612400126</v>
      </c>
      <c r="J3695" t="s">
        <v>10570</v>
      </c>
    </row>
    <row r="3696" spans="1:10" x14ac:dyDescent="0.25">
      <c r="A3696" t="s">
        <v>8</v>
      </c>
      <c r="B3696" t="s">
        <v>10573</v>
      </c>
      <c r="C3696" t="s">
        <v>10574</v>
      </c>
      <c r="D3696">
        <v>1</v>
      </c>
      <c r="E3696" t="s">
        <v>10562</v>
      </c>
      <c r="F3696" t="s">
        <v>10563</v>
      </c>
      <c r="G3696" s="1"/>
      <c r="H3696" t="str">
        <f>"3250612400942"</f>
        <v>3250612400942</v>
      </c>
      <c r="J3696" t="s">
        <v>10575</v>
      </c>
    </row>
    <row r="3697" spans="1:10" x14ac:dyDescent="0.25">
      <c r="A3697" t="s">
        <v>8</v>
      </c>
      <c r="B3697" t="s">
        <v>10576</v>
      </c>
      <c r="C3697" t="s">
        <v>10577</v>
      </c>
      <c r="D3697">
        <v>1</v>
      </c>
      <c r="E3697" t="s">
        <v>10562</v>
      </c>
      <c r="F3697" t="s">
        <v>10563</v>
      </c>
      <c r="G3697" s="1"/>
      <c r="H3697" t="str">
        <f>"3250612400980"</f>
        <v>3250612400980</v>
      </c>
      <c r="J3697" t="s">
        <v>10578</v>
      </c>
    </row>
    <row r="3698" spans="1:10" x14ac:dyDescent="0.25">
      <c r="A3698" t="s">
        <v>8</v>
      </c>
      <c r="B3698" t="s">
        <v>10579</v>
      </c>
      <c r="C3698" t="s">
        <v>10580</v>
      </c>
      <c r="D3698">
        <v>1</v>
      </c>
      <c r="E3698" t="s">
        <v>10562</v>
      </c>
      <c r="F3698" t="s">
        <v>10563</v>
      </c>
      <c r="G3698" s="1"/>
      <c r="H3698" t="str">
        <f>"3250612401147"</f>
        <v>3250612401147</v>
      </c>
      <c r="J3698" t="s">
        <v>10581</v>
      </c>
    </row>
    <row r="3699" spans="1:10" x14ac:dyDescent="0.25">
      <c r="A3699" t="s">
        <v>8</v>
      </c>
      <c r="B3699" t="s">
        <v>10582</v>
      </c>
      <c r="C3699" t="s">
        <v>10583</v>
      </c>
      <c r="D3699">
        <v>1</v>
      </c>
      <c r="E3699" t="s">
        <v>10562</v>
      </c>
      <c r="F3699" t="s">
        <v>10563</v>
      </c>
      <c r="G3699" s="1"/>
      <c r="H3699" t="str">
        <f>"3250612400904"</f>
        <v>3250612400904</v>
      </c>
      <c r="J3699" t="s">
        <v>10584</v>
      </c>
    </row>
    <row r="3700" spans="1:10" x14ac:dyDescent="0.25">
      <c r="A3700" t="s">
        <v>8</v>
      </c>
      <c r="B3700" t="s">
        <v>10585</v>
      </c>
      <c r="C3700" t="s">
        <v>10586</v>
      </c>
      <c r="D3700">
        <v>1</v>
      </c>
      <c r="E3700" t="s">
        <v>10562</v>
      </c>
      <c r="F3700" t="s">
        <v>10563</v>
      </c>
      <c r="G3700" s="1"/>
      <c r="H3700" t="str">
        <f>"3250612401055"</f>
        <v>3250612401055</v>
      </c>
      <c r="J3700" t="s">
        <v>10587</v>
      </c>
    </row>
    <row r="3701" spans="1:10" x14ac:dyDescent="0.25">
      <c r="A3701" t="s">
        <v>8</v>
      </c>
      <c r="B3701" t="s">
        <v>10588</v>
      </c>
      <c r="C3701" t="s">
        <v>10589</v>
      </c>
      <c r="D3701">
        <v>1</v>
      </c>
      <c r="E3701" t="s">
        <v>10562</v>
      </c>
      <c r="F3701" t="s">
        <v>10563</v>
      </c>
      <c r="G3701" s="1"/>
      <c r="H3701" t="str">
        <f>"3250612400287"</f>
        <v>3250612400287</v>
      </c>
      <c r="J3701" t="s">
        <v>10590</v>
      </c>
    </row>
    <row r="3702" spans="1:10" x14ac:dyDescent="0.25">
      <c r="A3702" t="s">
        <v>8</v>
      </c>
      <c r="B3702" t="s">
        <v>10591</v>
      </c>
      <c r="C3702" t="s">
        <v>10592</v>
      </c>
      <c r="D3702">
        <v>1</v>
      </c>
      <c r="E3702" t="s">
        <v>10562</v>
      </c>
      <c r="F3702" t="s">
        <v>10563</v>
      </c>
      <c r="G3702" s="1"/>
      <c r="H3702" t="str">
        <f>"3250612401178"</f>
        <v>3250612401178</v>
      </c>
      <c r="J3702" t="s">
        <v>10593</v>
      </c>
    </row>
    <row r="3703" spans="1:10" x14ac:dyDescent="0.25">
      <c r="A3703" t="s">
        <v>8</v>
      </c>
      <c r="B3703" t="s">
        <v>10594</v>
      </c>
      <c r="C3703" t="s">
        <v>10595</v>
      </c>
      <c r="D3703">
        <v>1</v>
      </c>
      <c r="E3703" t="s">
        <v>10562</v>
      </c>
      <c r="F3703" t="s">
        <v>10563</v>
      </c>
      <c r="G3703" s="1"/>
      <c r="H3703" t="str">
        <f>"3250612401116"</f>
        <v>3250612401116</v>
      </c>
      <c r="J3703" t="s">
        <v>10596</v>
      </c>
    </row>
    <row r="3704" spans="1:10" x14ac:dyDescent="0.25">
      <c r="A3704" t="s">
        <v>8</v>
      </c>
      <c r="B3704" t="s">
        <v>10597</v>
      </c>
      <c r="C3704" t="s">
        <v>10598</v>
      </c>
      <c r="D3704">
        <v>1</v>
      </c>
      <c r="E3704" t="s">
        <v>10562</v>
      </c>
      <c r="F3704" t="s">
        <v>10563</v>
      </c>
      <c r="G3704" s="1"/>
      <c r="H3704" t="str">
        <f>"3250612400331"</f>
        <v>3250612400331</v>
      </c>
      <c r="J3704" t="s">
        <v>10599</v>
      </c>
    </row>
    <row r="3705" spans="1:10" x14ac:dyDescent="0.25">
      <c r="A3705" t="s">
        <v>8</v>
      </c>
      <c r="B3705" t="s">
        <v>10600</v>
      </c>
      <c r="C3705" t="s">
        <v>10601</v>
      </c>
      <c r="D3705">
        <v>1</v>
      </c>
      <c r="E3705" t="s">
        <v>10562</v>
      </c>
      <c r="F3705" t="s">
        <v>10563</v>
      </c>
      <c r="G3705" s="1"/>
      <c r="H3705" t="str">
        <f>"3250612401192"</f>
        <v>3250612401192</v>
      </c>
      <c r="J3705" t="s">
        <v>10602</v>
      </c>
    </row>
    <row r="3706" spans="1:10" x14ac:dyDescent="0.25">
      <c r="A3706" t="s">
        <v>8</v>
      </c>
      <c r="B3706" t="s">
        <v>10603</v>
      </c>
      <c r="C3706" t="s">
        <v>10604</v>
      </c>
      <c r="D3706">
        <v>1</v>
      </c>
      <c r="E3706" t="s">
        <v>10562</v>
      </c>
      <c r="F3706" t="s">
        <v>10563</v>
      </c>
      <c r="G3706" s="1"/>
      <c r="H3706" t="str">
        <f>"3250612400850"</f>
        <v>3250612400850</v>
      </c>
      <c r="J3706" t="s">
        <v>10605</v>
      </c>
    </row>
    <row r="3707" spans="1:10" x14ac:dyDescent="0.25">
      <c r="A3707" t="s">
        <v>8</v>
      </c>
      <c r="B3707" t="s">
        <v>10606</v>
      </c>
      <c r="C3707" t="s">
        <v>10607</v>
      </c>
      <c r="D3707">
        <v>1</v>
      </c>
      <c r="E3707" t="s">
        <v>10562</v>
      </c>
      <c r="F3707" t="s">
        <v>10563</v>
      </c>
      <c r="G3707" s="1"/>
      <c r="H3707" t="str">
        <f>"3250612401253"</f>
        <v>3250612401253</v>
      </c>
      <c r="J3707" t="s">
        <v>10608</v>
      </c>
    </row>
    <row r="3708" spans="1:10" x14ac:dyDescent="0.25">
      <c r="A3708" t="s">
        <v>8</v>
      </c>
      <c r="B3708" t="s">
        <v>10609</v>
      </c>
      <c r="C3708" t="s">
        <v>10610</v>
      </c>
      <c r="D3708">
        <v>1</v>
      </c>
      <c r="E3708" t="s">
        <v>10562</v>
      </c>
      <c r="F3708" t="s">
        <v>10563</v>
      </c>
      <c r="G3708" s="1"/>
      <c r="H3708" t="str">
        <f>"3250612400874"</f>
        <v>3250612400874</v>
      </c>
      <c r="J3708" t="s">
        <v>10611</v>
      </c>
    </row>
    <row r="3709" spans="1:10" x14ac:dyDescent="0.25">
      <c r="A3709" t="s">
        <v>8</v>
      </c>
      <c r="B3709" t="s">
        <v>10612</v>
      </c>
      <c r="C3709" t="s">
        <v>10613</v>
      </c>
      <c r="D3709">
        <v>1</v>
      </c>
      <c r="E3709" t="s">
        <v>10562</v>
      </c>
      <c r="F3709" t="s">
        <v>10563</v>
      </c>
      <c r="G3709" s="1"/>
      <c r="H3709" t="str">
        <f>"3250612400133"</f>
        <v>3250612400133</v>
      </c>
      <c r="J3709" t="s">
        <v>10614</v>
      </c>
    </row>
    <row r="3710" spans="1:10" x14ac:dyDescent="0.25">
      <c r="A3710" t="s">
        <v>8</v>
      </c>
      <c r="B3710" t="s">
        <v>10615</v>
      </c>
      <c r="C3710" t="s">
        <v>10616</v>
      </c>
      <c r="D3710">
        <v>1</v>
      </c>
      <c r="E3710" t="s">
        <v>10562</v>
      </c>
      <c r="F3710" t="s">
        <v>10563</v>
      </c>
      <c r="G3710" s="1"/>
      <c r="H3710" t="str">
        <f>"3250612400935"</f>
        <v>3250612400935</v>
      </c>
      <c r="J3710" t="s">
        <v>10617</v>
      </c>
    </row>
    <row r="3711" spans="1:10" x14ac:dyDescent="0.25">
      <c r="A3711" t="s">
        <v>8</v>
      </c>
      <c r="B3711" t="s">
        <v>10618</v>
      </c>
      <c r="C3711" t="s">
        <v>10619</v>
      </c>
      <c r="D3711">
        <v>1</v>
      </c>
      <c r="E3711" t="s">
        <v>10562</v>
      </c>
      <c r="F3711" t="s">
        <v>10563</v>
      </c>
      <c r="G3711" s="1"/>
      <c r="H3711" t="str">
        <f>"3250612400973"</f>
        <v>3250612400973</v>
      </c>
      <c r="J3711" t="s">
        <v>10620</v>
      </c>
    </row>
    <row r="3712" spans="1:10" x14ac:dyDescent="0.25">
      <c r="A3712" t="s">
        <v>8</v>
      </c>
      <c r="B3712" t="s">
        <v>10621</v>
      </c>
      <c r="C3712" t="s">
        <v>10622</v>
      </c>
      <c r="D3712">
        <v>1</v>
      </c>
      <c r="E3712" t="s">
        <v>10562</v>
      </c>
      <c r="F3712" t="s">
        <v>10563</v>
      </c>
      <c r="G3712" s="1"/>
      <c r="H3712" t="str">
        <f>"3250612401284"</f>
        <v>3250612401284</v>
      </c>
      <c r="J3712" t="s">
        <v>10623</v>
      </c>
    </row>
    <row r="3713" spans="1:10" x14ac:dyDescent="0.25">
      <c r="A3713" t="s">
        <v>8</v>
      </c>
      <c r="B3713" t="s">
        <v>10624</v>
      </c>
      <c r="C3713" t="s">
        <v>10625</v>
      </c>
      <c r="D3713">
        <v>1</v>
      </c>
      <c r="E3713" t="s">
        <v>10562</v>
      </c>
      <c r="F3713" t="s">
        <v>10563</v>
      </c>
      <c r="G3713" s="1"/>
      <c r="H3713" t="str">
        <f>"3250612400409"</f>
        <v>3250612400409</v>
      </c>
      <c r="J3713" t="s">
        <v>10626</v>
      </c>
    </row>
    <row r="3714" spans="1:10" x14ac:dyDescent="0.25">
      <c r="A3714" t="s">
        <v>8</v>
      </c>
      <c r="B3714" t="s">
        <v>10627</v>
      </c>
      <c r="C3714" t="s">
        <v>10628</v>
      </c>
      <c r="D3714">
        <v>1</v>
      </c>
      <c r="E3714" t="s">
        <v>10562</v>
      </c>
      <c r="F3714" t="s">
        <v>10563</v>
      </c>
      <c r="G3714" s="1"/>
      <c r="H3714" t="str">
        <f>"3250612401369"</f>
        <v>3250612401369</v>
      </c>
      <c r="J3714" t="s">
        <v>10629</v>
      </c>
    </row>
    <row r="3715" spans="1:10" x14ac:dyDescent="0.25">
      <c r="A3715" t="s">
        <v>8</v>
      </c>
      <c r="B3715" t="s">
        <v>10630</v>
      </c>
      <c r="C3715" t="s">
        <v>10631</v>
      </c>
      <c r="D3715">
        <v>1</v>
      </c>
      <c r="E3715" t="s">
        <v>10562</v>
      </c>
      <c r="F3715" t="s">
        <v>10563</v>
      </c>
      <c r="G3715" s="1"/>
      <c r="H3715" t="str">
        <f>"3250612401222"</f>
        <v>3250612401222</v>
      </c>
      <c r="J3715" t="s">
        <v>10632</v>
      </c>
    </row>
    <row r="3716" spans="1:10" x14ac:dyDescent="0.25">
      <c r="A3716" t="s">
        <v>8</v>
      </c>
      <c r="B3716" t="s">
        <v>10633</v>
      </c>
      <c r="C3716" t="s">
        <v>10634</v>
      </c>
      <c r="D3716">
        <v>1</v>
      </c>
      <c r="E3716" t="s">
        <v>10562</v>
      </c>
      <c r="F3716" t="s">
        <v>10563</v>
      </c>
      <c r="G3716" s="1"/>
      <c r="H3716" t="str">
        <f>"3250612401260"</f>
        <v>3250612401260</v>
      </c>
      <c r="J3716" t="s">
        <v>10635</v>
      </c>
    </row>
    <row r="3717" spans="1:10" x14ac:dyDescent="0.25">
      <c r="A3717" t="s">
        <v>8</v>
      </c>
      <c r="B3717" t="s">
        <v>10636</v>
      </c>
      <c r="C3717" t="s">
        <v>10637</v>
      </c>
      <c r="D3717">
        <v>1</v>
      </c>
      <c r="E3717" t="s">
        <v>10562</v>
      </c>
      <c r="F3717" t="s">
        <v>10563</v>
      </c>
      <c r="G3717" s="1"/>
      <c r="H3717" t="str">
        <f>"3250612401321"</f>
        <v>3250612401321</v>
      </c>
      <c r="J3717" t="s">
        <v>10638</v>
      </c>
    </row>
    <row r="3718" spans="1:10" x14ac:dyDescent="0.25">
      <c r="A3718" t="s">
        <v>8</v>
      </c>
      <c r="B3718" t="s">
        <v>10639</v>
      </c>
      <c r="C3718" t="s">
        <v>10640</v>
      </c>
      <c r="D3718">
        <v>1</v>
      </c>
      <c r="E3718" t="s">
        <v>10562</v>
      </c>
      <c r="F3718" t="s">
        <v>10563</v>
      </c>
      <c r="G3718" s="1"/>
      <c r="H3718" t="str">
        <f>"3250612400430"</f>
        <v>3250612400430</v>
      </c>
      <c r="J3718" t="s">
        <v>10638</v>
      </c>
    </row>
    <row r="3719" spans="1:10" x14ac:dyDescent="0.25">
      <c r="A3719" t="s">
        <v>8</v>
      </c>
      <c r="B3719" t="s">
        <v>10641</v>
      </c>
      <c r="C3719" t="s">
        <v>10642</v>
      </c>
      <c r="D3719">
        <v>1</v>
      </c>
      <c r="E3719" t="s">
        <v>10562</v>
      </c>
      <c r="F3719" t="s">
        <v>10563</v>
      </c>
      <c r="G3719" s="1"/>
      <c r="H3719" t="str">
        <f>"3250612401376"</f>
        <v>3250612401376</v>
      </c>
      <c r="J3719" t="s">
        <v>10643</v>
      </c>
    </row>
    <row r="3720" spans="1:10" x14ac:dyDescent="0.25">
      <c r="A3720" t="s">
        <v>8</v>
      </c>
      <c r="B3720" t="s">
        <v>10644</v>
      </c>
      <c r="C3720" t="s">
        <v>10645</v>
      </c>
      <c r="D3720">
        <v>1</v>
      </c>
      <c r="E3720" t="s">
        <v>10562</v>
      </c>
      <c r="F3720" t="s">
        <v>10563</v>
      </c>
      <c r="G3720" s="1"/>
      <c r="H3720" t="str">
        <f>"3250612401352"</f>
        <v>3250612401352</v>
      </c>
      <c r="J3720" t="s">
        <v>10646</v>
      </c>
    </row>
    <row r="3721" spans="1:10" x14ac:dyDescent="0.25">
      <c r="A3721" t="s">
        <v>8</v>
      </c>
      <c r="B3721" t="s">
        <v>10647</v>
      </c>
      <c r="C3721" t="s">
        <v>10648</v>
      </c>
      <c r="D3721">
        <v>1</v>
      </c>
      <c r="E3721" t="s">
        <v>10562</v>
      </c>
      <c r="F3721" t="s">
        <v>10563</v>
      </c>
      <c r="G3721" s="1"/>
      <c r="H3721" t="str">
        <f>"3250612401277"</f>
        <v>3250612401277</v>
      </c>
      <c r="J3721" t="s">
        <v>10649</v>
      </c>
    </row>
    <row r="3722" spans="1:10" x14ac:dyDescent="0.25">
      <c r="A3722" t="s">
        <v>8</v>
      </c>
      <c r="B3722" t="s">
        <v>10650</v>
      </c>
      <c r="C3722" t="s">
        <v>10651</v>
      </c>
      <c r="D3722">
        <v>1</v>
      </c>
      <c r="E3722" t="s">
        <v>10562</v>
      </c>
      <c r="F3722" t="s">
        <v>10563</v>
      </c>
      <c r="G3722" s="1"/>
      <c r="H3722" t="str">
        <f>"3250612401130"</f>
        <v>3250612401130</v>
      </c>
      <c r="J3722" t="s">
        <v>10652</v>
      </c>
    </row>
    <row r="3723" spans="1:10" x14ac:dyDescent="0.25">
      <c r="A3723" t="s">
        <v>8</v>
      </c>
      <c r="B3723" t="s">
        <v>10653</v>
      </c>
      <c r="C3723" t="s">
        <v>10654</v>
      </c>
      <c r="D3723">
        <v>1</v>
      </c>
      <c r="E3723" t="s">
        <v>10562</v>
      </c>
      <c r="F3723" t="s">
        <v>10563</v>
      </c>
      <c r="G3723" s="1"/>
      <c r="H3723" t="str">
        <f>"3250612401239"</f>
        <v>3250612401239</v>
      </c>
      <c r="J3723" t="s">
        <v>10655</v>
      </c>
    </row>
    <row r="3724" spans="1:10" x14ac:dyDescent="0.25">
      <c r="A3724" t="s">
        <v>8</v>
      </c>
      <c r="B3724" t="s">
        <v>10656</v>
      </c>
      <c r="C3724" t="s">
        <v>10657</v>
      </c>
      <c r="D3724">
        <v>1</v>
      </c>
      <c r="E3724" t="s">
        <v>10562</v>
      </c>
      <c r="F3724" t="s">
        <v>10563</v>
      </c>
      <c r="G3724" s="1"/>
      <c r="H3724" t="str">
        <f>"3250612400898"</f>
        <v>3250612400898</v>
      </c>
      <c r="J3724" t="s">
        <v>10658</v>
      </c>
    </row>
    <row r="3725" spans="1:10" x14ac:dyDescent="0.25">
      <c r="A3725" t="s">
        <v>8</v>
      </c>
      <c r="B3725" t="s">
        <v>10659</v>
      </c>
      <c r="C3725" t="s">
        <v>10660</v>
      </c>
      <c r="D3725">
        <v>1</v>
      </c>
      <c r="E3725" t="s">
        <v>10562</v>
      </c>
      <c r="F3725" t="s">
        <v>10563</v>
      </c>
      <c r="G3725" s="1"/>
      <c r="H3725" t="str">
        <f>"3250612400959"</f>
        <v>3250612400959</v>
      </c>
      <c r="J3725" t="s">
        <v>10661</v>
      </c>
    </row>
    <row r="3726" spans="1:10" x14ac:dyDescent="0.25">
      <c r="A3726" t="s">
        <v>8</v>
      </c>
      <c r="B3726" t="s">
        <v>10662</v>
      </c>
      <c r="C3726" t="s">
        <v>10663</v>
      </c>
      <c r="D3726">
        <v>1</v>
      </c>
      <c r="E3726" t="s">
        <v>10562</v>
      </c>
      <c r="F3726" t="s">
        <v>10563</v>
      </c>
      <c r="G3726" s="1"/>
      <c r="H3726" t="str">
        <f>"3250612400836"</f>
        <v>3250612400836</v>
      </c>
      <c r="J3726" t="s">
        <v>10664</v>
      </c>
    </row>
    <row r="3727" spans="1:10" x14ac:dyDescent="0.25">
      <c r="A3727" t="s">
        <v>8</v>
      </c>
      <c r="B3727" t="s">
        <v>10665</v>
      </c>
      <c r="C3727" t="s">
        <v>10666</v>
      </c>
      <c r="D3727">
        <v>1</v>
      </c>
      <c r="E3727" t="s">
        <v>10562</v>
      </c>
      <c r="F3727" t="s">
        <v>10563</v>
      </c>
      <c r="G3727" s="1"/>
      <c r="H3727" t="str">
        <f>"3250612401338"</f>
        <v>3250612401338</v>
      </c>
      <c r="J3727" t="s">
        <v>10667</v>
      </c>
    </row>
    <row r="3728" spans="1:10" x14ac:dyDescent="0.25">
      <c r="A3728" t="s">
        <v>8</v>
      </c>
      <c r="B3728" t="s">
        <v>10668</v>
      </c>
      <c r="C3728" t="s">
        <v>10669</v>
      </c>
      <c r="D3728">
        <v>1</v>
      </c>
      <c r="E3728" t="s">
        <v>10562</v>
      </c>
      <c r="F3728" t="s">
        <v>10563</v>
      </c>
      <c r="G3728" s="1"/>
      <c r="H3728" t="str">
        <f>"3250612401383"</f>
        <v>3250612401383</v>
      </c>
      <c r="J3728" t="s">
        <v>10670</v>
      </c>
    </row>
    <row r="3729" spans="1:10" x14ac:dyDescent="0.25">
      <c r="A3729" t="s">
        <v>8</v>
      </c>
      <c r="B3729" t="s">
        <v>10671</v>
      </c>
      <c r="C3729" t="s">
        <v>10672</v>
      </c>
      <c r="D3729">
        <v>1</v>
      </c>
      <c r="E3729" t="s">
        <v>10562</v>
      </c>
      <c r="F3729" t="s">
        <v>10563</v>
      </c>
      <c r="G3729" s="1"/>
      <c r="H3729" t="str">
        <f>"3250612230631"</f>
        <v>3250612230631</v>
      </c>
      <c r="J3729" t="s">
        <v>10673</v>
      </c>
    </row>
    <row r="3730" spans="1:10" x14ac:dyDescent="0.25">
      <c r="A3730" t="s">
        <v>8</v>
      </c>
      <c r="B3730" t="s">
        <v>10674</v>
      </c>
      <c r="C3730" t="s">
        <v>10675</v>
      </c>
      <c r="D3730">
        <v>1</v>
      </c>
      <c r="E3730" t="s">
        <v>10676</v>
      </c>
      <c r="F3730" t="s">
        <v>10677</v>
      </c>
      <c r="G3730" s="1"/>
      <c r="H3730" t="str">
        <f>"3250617573931"</f>
        <v>3250617573931</v>
      </c>
      <c r="J3730" t="s">
        <v>10678</v>
      </c>
    </row>
    <row r="3731" spans="1:10" x14ac:dyDescent="0.25">
      <c r="A3731" t="s">
        <v>8</v>
      </c>
      <c r="B3731" t="s">
        <v>10679</v>
      </c>
      <c r="C3731" t="s">
        <v>10680</v>
      </c>
      <c r="D3731">
        <v>1</v>
      </c>
      <c r="E3731" t="s">
        <v>10676</v>
      </c>
      <c r="F3731" t="s">
        <v>10677</v>
      </c>
      <c r="G3731" s="1"/>
      <c r="H3731" t="str">
        <f>"3250617573979"</f>
        <v>3250617573979</v>
      </c>
      <c r="J3731" t="s">
        <v>10681</v>
      </c>
    </row>
    <row r="3732" spans="1:10" x14ac:dyDescent="0.25">
      <c r="A3732" t="s">
        <v>8</v>
      </c>
      <c r="B3732" t="s">
        <v>10682</v>
      </c>
      <c r="C3732" t="s">
        <v>10683</v>
      </c>
      <c r="D3732">
        <v>1</v>
      </c>
      <c r="E3732" t="s">
        <v>10684</v>
      </c>
      <c r="F3732" t="s">
        <v>10685</v>
      </c>
      <c r="G3732" s="1"/>
      <c r="H3732" t="str">
        <f>"3250617573917"</f>
        <v>3250617573917</v>
      </c>
      <c r="J3732" t="s">
        <v>10686</v>
      </c>
    </row>
    <row r="3733" spans="1:10" x14ac:dyDescent="0.25">
      <c r="A3733" t="s">
        <v>8</v>
      </c>
      <c r="B3733" t="s">
        <v>10687</v>
      </c>
      <c r="C3733" t="s">
        <v>10688</v>
      </c>
      <c r="D3733">
        <v>1</v>
      </c>
      <c r="E3733" t="s">
        <v>10684</v>
      </c>
      <c r="F3733" t="s">
        <v>10685</v>
      </c>
      <c r="G3733" s="1"/>
      <c r="H3733" t="str">
        <f>"3250617573924"</f>
        <v>3250617573924</v>
      </c>
      <c r="J3733" t="s">
        <v>10689</v>
      </c>
    </row>
    <row r="3734" spans="1:10" x14ac:dyDescent="0.25">
      <c r="A3734" t="s">
        <v>8</v>
      </c>
      <c r="B3734" t="s">
        <v>10690</v>
      </c>
      <c r="C3734" t="s">
        <v>10691</v>
      </c>
      <c r="D3734">
        <v>1</v>
      </c>
      <c r="E3734" t="s">
        <v>10692</v>
      </c>
      <c r="F3734" t="s">
        <v>10693</v>
      </c>
      <c r="G3734" s="1"/>
      <c r="H3734" t="str">
        <f>"3250617150798"</f>
        <v>3250617150798</v>
      </c>
      <c r="J3734" t="s">
        <v>10694</v>
      </c>
    </row>
    <row r="3735" spans="1:10" x14ac:dyDescent="0.25">
      <c r="A3735" t="s">
        <v>8</v>
      </c>
      <c r="B3735" t="s">
        <v>10695</v>
      </c>
      <c r="C3735" t="s">
        <v>10696</v>
      </c>
      <c r="D3735">
        <v>1</v>
      </c>
      <c r="E3735" t="s">
        <v>10692</v>
      </c>
      <c r="F3735" t="s">
        <v>10693</v>
      </c>
      <c r="G3735" s="1"/>
      <c r="H3735" t="str">
        <f>"3250617150804"</f>
        <v>3250617150804</v>
      </c>
      <c r="J3735" t="s">
        <v>10694</v>
      </c>
    </row>
    <row r="3736" spans="1:10" x14ac:dyDescent="0.25">
      <c r="A3736" t="s">
        <v>8</v>
      </c>
      <c r="B3736" t="s">
        <v>10697</v>
      </c>
      <c r="C3736" t="s">
        <v>10698</v>
      </c>
      <c r="D3736">
        <v>1</v>
      </c>
      <c r="E3736" t="s">
        <v>10692</v>
      </c>
      <c r="F3736" t="s">
        <v>10693</v>
      </c>
      <c r="G3736" s="1"/>
      <c r="H3736" t="str">
        <f>"3250617150811"</f>
        <v>3250617150811</v>
      </c>
      <c r="J3736" t="s">
        <v>10699</v>
      </c>
    </row>
    <row r="3737" spans="1:10" x14ac:dyDescent="0.25">
      <c r="A3737" t="s">
        <v>8</v>
      </c>
      <c r="B3737" t="s">
        <v>10700</v>
      </c>
      <c r="C3737" t="s">
        <v>10701</v>
      </c>
      <c r="D3737">
        <v>1</v>
      </c>
      <c r="E3737" t="s">
        <v>10692</v>
      </c>
      <c r="F3737" t="s">
        <v>10693</v>
      </c>
      <c r="G3737" s="1"/>
      <c r="H3737" t="str">
        <f>"3250617150828"</f>
        <v>3250617150828</v>
      </c>
      <c r="J3737" t="s">
        <v>10702</v>
      </c>
    </row>
    <row r="3738" spans="1:10" x14ac:dyDescent="0.25">
      <c r="A3738" t="s">
        <v>8</v>
      </c>
      <c r="B3738" t="s">
        <v>10703</v>
      </c>
      <c r="C3738" t="s">
        <v>10704</v>
      </c>
      <c r="D3738">
        <v>1</v>
      </c>
      <c r="E3738" t="s">
        <v>10692</v>
      </c>
      <c r="F3738" t="s">
        <v>10693</v>
      </c>
      <c r="G3738" s="1"/>
      <c r="H3738" t="str">
        <f>"3250617150040"</f>
        <v>3250617150040</v>
      </c>
      <c r="J3738" t="s">
        <v>10705</v>
      </c>
    </row>
    <row r="3739" spans="1:10" x14ac:dyDescent="0.25">
      <c r="A3739" t="s">
        <v>8</v>
      </c>
      <c r="B3739" t="s">
        <v>10706</v>
      </c>
      <c r="C3739" t="s">
        <v>10707</v>
      </c>
      <c r="D3739">
        <v>1</v>
      </c>
      <c r="E3739" t="s">
        <v>10692</v>
      </c>
      <c r="F3739" t="s">
        <v>10693</v>
      </c>
      <c r="G3739" s="1"/>
      <c r="H3739" t="str">
        <f>"3250617150057"</f>
        <v>3250617150057</v>
      </c>
      <c r="J3739" t="s">
        <v>10705</v>
      </c>
    </row>
    <row r="3740" spans="1:10" x14ac:dyDescent="0.25">
      <c r="A3740" t="s">
        <v>8</v>
      </c>
      <c r="B3740" t="s">
        <v>10708</v>
      </c>
      <c r="C3740" t="s">
        <v>10709</v>
      </c>
      <c r="D3740">
        <v>1</v>
      </c>
      <c r="E3740" t="s">
        <v>10692</v>
      </c>
      <c r="F3740" t="s">
        <v>10693</v>
      </c>
      <c r="G3740" s="1"/>
      <c r="H3740" t="str">
        <f>"3250617150026"</f>
        <v>3250617150026</v>
      </c>
      <c r="J3740" t="s">
        <v>10702</v>
      </c>
    </row>
    <row r="3741" spans="1:10" x14ac:dyDescent="0.25">
      <c r="A3741" t="s">
        <v>8</v>
      </c>
      <c r="B3741" t="s">
        <v>10710</v>
      </c>
      <c r="C3741" t="s">
        <v>10711</v>
      </c>
      <c r="D3741">
        <v>1</v>
      </c>
      <c r="E3741" t="s">
        <v>10692</v>
      </c>
      <c r="F3741" t="s">
        <v>10693</v>
      </c>
      <c r="G3741" s="1"/>
      <c r="H3741" t="str">
        <f>"3250617150033"</f>
        <v>3250617150033</v>
      </c>
      <c r="J3741" t="s">
        <v>10702</v>
      </c>
    </row>
    <row r="3742" spans="1:10" x14ac:dyDescent="0.25">
      <c r="A3742" t="s">
        <v>8</v>
      </c>
      <c r="B3742" t="s">
        <v>10712</v>
      </c>
      <c r="C3742" t="s">
        <v>10713</v>
      </c>
      <c r="D3742">
        <v>1</v>
      </c>
      <c r="E3742" t="s">
        <v>10692</v>
      </c>
      <c r="F3742" t="s">
        <v>10693</v>
      </c>
      <c r="G3742" s="1"/>
      <c r="H3742" t="str">
        <f>"3250617150064"</f>
        <v>3250617150064</v>
      </c>
      <c r="J3742" t="s">
        <v>10714</v>
      </c>
    </row>
    <row r="3743" spans="1:10" x14ac:dyDescent="0.25">
      <c r="A3743" t="s">
        <v>8</v>
      </c>
      <c r="B3743" t="s">
        <v>10715</v>
      </c>
      <c r="C3743" t="s">
        <v>10716</v>
      </c>
      <c r="D3743">
        <v>1</v>
      </c>
      <c r="E3743" t="s">
        <v>10692</v>
      </c>
      <c r="F3743" t="s">
        <v>10693</v>
      </c>
      <c r="G3743" s="1"/>
      <c r="H3743" t="str">
        <f>"3250617150071"</f>
        <v>3250617150071</v>
      </c>
      <c r="J3743" s="1">
        <v>30</v>
      </c>
    </row>
    <row r="3744" spans="1:10" x14ac:dyDescent="0.25">
      <c r="A3744" t="s">
        <v>8</v>
      </c>
      <c r="B3744" t="s">
        <v>10717</v>
      </c>
      <c r="C3744" t="s">
        <v>10718</v>
      </c>
      <c r="D3744">
        <v>1</v>
      </c>
      <c r="E3744" t="s">
        <v>10692</v>
      </c>
      <c r="F3744" t="s">
        <v>10693</v>
      </c>
      <c r="G3744" s="1"/>
      <c r="H3744" t="str">
        <f>"3250617150088"</f>
        <v>3250617150088</v>
      </c>
      <c r="J3744" t="s">
        <v>10719</v>
      </c>
    </row>
    <row r="3745" spans="1:10" x14ac:dyDescent="0.25">
      <c r="A3745" t="s">
        <v>8</v>
      </c>
      <c r="B3745" t="s">
        <v>10720</v>
      </c>
      <c r="C3745" t="s">
        <v>10721</v>
      </c>
      <c r="D3745">
        <v>1</v>
      </c>
      <c r="E3745" t="s">
        <v>10692</v>
      </c>
      <c r="F3745" t="s">
        <v>10693</v>
      </c>
      <c r="G3745" s="1"/>
      <c r="H3745" t="str">
        <f>"3250617150095"</f>
        <v>3250617150095</v>
      </c>
      <c r="J3745" t="s">
        <v>10694</v>
      </c>
    </row>
    <row r="3746" spans="1:10" x14ac:dyDescent="0.25">
      <c r="A3746" t="s">
        <v>8</v>
      </c>
      <c r="B3746" t="s">
        <v>10722</v>
      </c>
      <c r="C3746" t="s">
        <v>10723</v>
      </c>
      <c r="D3746">
        <v>1</v>
      </c>
      <c r="E3746" t="s">
        <v>10692</v>
      </c>
      <c r="F3746" t="s">
        <v>10693</v>
      </c>
      <c r="G3746" s="1"/>
      <c r="H3746" t="str">
        <f>"3250617150101"</f>
        <v>3250617150101</v>
      </c>
      <c r="J3746" t="s">
        <v>10724</v>
      </c>
    </row>
    <row r="3747" spans="1:10" x14ac:dyDescent="0.25">
      <c r="A3747" t="s">
        <v>8</v>
      </c>
      <c r="B3747" t="s">
        <v>10725</v>
      </c>
      <c r="C3747" t="s">
        <v>10726</v>
      </c>
      <c r="D3747">
        <v>1</v>
      </c>
      <c r="E3747" t="s">
        <v>10692</v>
      </c>
      <c r="F3747" t="s">
        <v>10693</v>
      </c>
      <c r="G3747" s="1"/>
      <c r="H3747" t="str">
        <f>"3250617150118"</f>
        <v>3250617150118</v>
      </c>
      <c r="J3747" t="s">
        <v>10724</v>
      </c>
    </row>
    <row r="3748" spans="1:10" x14ac:dyDescent="0.25">
      <c r="A3748" t="s">
        <v>8</v>
      </c>
      <c r="B3748" t="s">
        <v>10727</v>
      </c>
      <c r="C3748" t="s">
        <v>10728</v>
      </c>
      <c r="D3748">
        <v>1</v>
      </c>
      <c r="E3748" t="s">
        <v>10692</v>
      </c>
      <c r="F3748" t="s">
        <v>10693</v>
      </c>
      <c r="G3748" s="1"/>
      <c r="H3748" t="str">
        <f>"3250617150187"</f>
        <v>3250617150187</v>
      </c>
      <c r="J3748" t="s">
        <v>6858</v>
      </c>
    </row>
    <row r="3749" spans="1:10" x14ac:dyDescent="0.25">
      <c r="A3749" t="s">
        <v>8</v>
      </c>
      <c r="B3749" t="s">
        <v>10729</v>
      </c>
      <c r="C3749" t="s">
        <v>10730</v>
      </c>
      <c r="D3749">
        <v>1</v>
      </c>
      <c r="E3749" t="s">
        <v>10692</v>
      </c>
      <c r="F3749" t="s">
        <v>10693</v>
      </c>
      <c r="G3749" s="1"/>
      <c r="H3749" t="str">
        <f>"3250617150194"</f>
        <v>3250617150194</v>
      </c>
      <c r="J3749" t="s">
        <v>6858</v>
      </c>
    </row>
    <row r="3750" spans="1:10" x14ac:dyDescent="0.25">
      <c r="A3750" t="s">
        <v>8</v>
      </c>
      <c r="B3750" t="s">
        <v>10731</v>
      </c>
      <c r="C3750" t="s">
        <v>10732</v>
      </c>
      <c r="D3750">
        <v>1</v>
      </c>
      <c r="E3750" t="s">
        <v>10692</v>
      </c>
      <c r="F3750" t="s">
        <v>10693</v>
      </c>
      <c r="G3750" s="1"/>
      <c r="H3750" t="str">
        <f>"3250617150200"</f>
        <v>3250617150200</v>
      </c>
      <c r="J3750" t="s">
        <v>10733</v>
      </c>
    </row>
    <row r="3751" spans="1:10" x14ac:dyDescent="0.25">
      <c r="A3751" t="s">
        <v>8</v>
      </c>
      <c r="B3751" t="s">
        <v>10734</v>
      </c>
      <c r="C3751" t="s">
        <v>10735</v>
      </c>
      <c r="D3751">
        <v>1</v>
      </c>
      <c r="E3751" t="s">
        <v>10692</v>
      </c>
      <c r="F3751" t="s">
        <v>10693</v>
      </c>
      <c r="G3751" s="1"/>
      <c r="H3751" t="str">
        <f>"3250617150217"</f>
        <v>3250617150217</v>
      </c>
      <c r="J3751" t="s">
        <v>10733</v>
      </c>
    </row>
    <row r="3752" spans="1:10" x14ac:dyDescent="0.25">
      <c r="A3752" t="s">
        <v>8</v>
      </c>
      <c r="B3752" t="s">
        <v>10736</v>
      </c>
      <c r="C3752" t="s">
        <v>10737</v>
      </c>
      <c r="D3752">
        <v>1</v>
      </c>
      <c r="E3752" t="s">
        <v>10692</v>
      </c>
      <c r="F3752" t="s">
        <v>10693</v>
      </c>
      <c r="G3752" s="1"/>
      <c r="H3752" t="str">
        <f>"4011334516156"</f>
        <v>4011334516156</v>
      </c>
      <c r="J3752" t="s">
        <v>10738</v>
      </c>
    </row>
    <row r="3753" spans="1:10" x14ac:dyDescent="0.25">
      <c r="A3753" t="s">
        <v>8</v>
      </c>
      <c r="B3753" t="s">
        <v>10739</v>
      </c>
      <c r="C3753" t="s">
        <v>10740</v>
      </c>
      <c r="D3753">
        <v>1</v>
      </c>
      <c r="E3753" t="s">
        <v>10692</v>
      </c>
      <c r="F3753" t="s">
        <v>10693</v>
      </c>
      <c r="G3753" s="1"/>
      <c r="H3753" t="str">
        <f>"4011334516163"</f>
        <v>4011334516163</v>
      </c>
      <c r="J3753" t="s">
        <v>10738</v>
      </c>
    </row>
    <row r="3754" spans="1:10" x14ac:dyDescent="0.25">
      <c r="A3754" t="s">
        <v>8</v>
      </c>
      <c r="B3754" t="s">
        <v>10741</v>
      </c>
      <c r="C3754" t="s">
        <v>10742</v>
      </c>
      <c r="D3754">
        <v>1</v>
      </c>
      <c r="E3754" t="s">
        <v>10692</v>
      </c>
      <c r="F3754" t="s">
        <v>10693</v>
      </c>
      <c r="G3754" s="1"/>
      <c r="H3754" t="str">
        <f>"4011334516170"</f>
        <v>4011334516170</v>
      </c>
      <c r="J3754" t="s">
        <v>10743</v>
      </c>
    </row>
    <row r="3755" spans="1:10" x14ac:dyDescent="0.25">
      <c r="A3755" t="s">
        <v>8</v>
      </c>
      <c r="B3755" t="s">
        <v>10744</v>
      </c>
      <c r="C3755" t="s">
        <v>10745</v>
      </c>
      <c r="D3755">
        <v>1</v>
      </c>
      <c r="E3755" t="s">
        <v>10692</v>
      </c>
      <c r="F3755" t="s">
        <v>10693</v>
      </c>
      <c r="G3755" s="1"/>
      <c r="H3755" t="str">
        <f>"4011334516187"</f>
        <v>4011334516187</v>
      </c>
      <c r="I3755" s="1"/>
      <c r="J3755" t="s">
        <v>10746</v>
      </c>
    </row>
    <row r="3756" spans="1:10" x14ac:dyDescent="0.25">
      <c r="A3756" t="s">
        <v>8</v>
      </c>
      <c r="B3756" t="s">
        <v>10747</v>
      </c>
      <c r="C3756" t="s">
        <v>10748</v>
      </c>
      <c r="D3756">
        <v>1</v>
      </c>
      <c r="E3756" t="s">
        <v>10692</v>
      </c>
      <c r="F3756" t="s">
        <v>10693</v>
      </c>
      <c r="G3756" s="1"/>
      <c r="H3756" t="str">
        <f>"3250617150453"</f>
        <v>3250617150453</v>
      </c>
      <c r="J3756" t="s">
        <v>10749</v>
      </c>
    </row>
    <row r="3757" spans="1:10" x14ac:dyDescent="0.25">
      <c r="A3757" t="s">
        <v>8</v>
      </c>
      <c r="B3757" t="s">
        <v>10750</v>
      </c>
      <c r="C3757" t="s">
        <v>10751</v>
      </c>
      <c r="D3757">
        <v>1</v>
      </c>
      <c r="E3757" t="s">
        <v>10692</v>
      </c>
      <c r="F3757" t="s">
        <v>10693</v>
      </c>
      <c r="G3757" s="1"/>
      <c r="H3757" t="str">
        <f>"3250617150477"</f>
        <v>3250617150477</v>
      </c>
      <c r="J3757" t="s">
        <v>10752</v>
      </c>
    </row>
    <row r="3758" spans="1:10" x14ac:dyDescent="0.25">
      <c r="A3758" t="s">
        <v>8</v>
      </c>
      <c r="B3758" t="s">
        <v>10753</v>
      </c>
      <c r="C3758" t="s">
        <v>10754</v>
      </c>
      <c r="D3758">
        <v>1</v>
      </c>
      <c r="E3758" t="s">
        <v>10692</v>
      </c>
      <c r="F3758" t="s">
        <v>10693</v>
      </c>
      <c r="G3758" s="1"/>
      <c r="H3758" t="str">
        <f>"3250617150491"</f>
        <v>3250617150491</v>
      </c>
      <c r="J3758" t="s">
        <v>10755</v>
      </c>
    </row>
    <row r="3759" spans="1:10" x14ac:dyDescent="0.25">
      <c r="A3759" t="s">
        <v>8</v>
      </c>
      <c r="B3759" t="s">
        <v>10756</v>
      </c>
      <c r="C3759" t="s">
        <v>10757</v>
      </c>
      <c r="D3759">
        <v>1</v>
      </c>
      <c r="E3759" t="s">
        <v>10692</v>
      </c>
      <c r="F3759" t="s">
        <v>10693</v>
      </c>
      <c r="G3759" s="1"/>
      <c r="H3759" t="str">
        <f>"3250617150446"</f>
        <v>3250617150446</v>
      </c>
      <c r="J3759" t="s">
        <v>10749</v>
      </c>
    </row>
    <row r="3760" spans="1:10" x14ac:dyDescent="0.25">
      <c r="A3760" t="s">
        <v>8</v>
      </c>
      <c r="B3760" t="s">
        <v>10758</v>
      </c>
      <c r="C3760" t="s">
        <v>10759</v>
      </c>
      <c r="D3760">
        <v>1</v>
      </c>
      <c r="E3760" t="s">
        <v>10692</v>
      </c>
      <c r="F3760" t="s">
        <v>10693</v>
      </c>
      <c r="G3760" s="1"/>
      <c r="H3760" t="str">
        <f>"3250617150460"</f>
        <v>3250617150460</v>
      </c>
      <c r="J3760" t="s">
        <v>10752</v>
      </c>
    </row>
    <row r="3761" spans="1:10" x14ac:dyDescent="0.25">
      <c r="A3761" t="s">
        <v>8</v>
      </c>
      <c r="B3761" t="s">
        <v>10760</v>
      </c>
      <c r="C3761" t="s">
        <v>10761</v>
      </c>
      <c r="D3761">
        <v>1</v>
      </c>
      <c r="E3761" t="s">
        <v>10692</v>
      </c>
      <c r="F3761" t="s">
        <v>10693</v>
      </c>
      <c r="G3761" s="1"/>
      <c r="H3761" t="str">
        <f>"3250617150484"</f>
        <v>3250617150484</v>
      </c>
      <c r="J3761" t="s">
        <v>10755</v>
      </c>
    </row>
    <row r="3762" spans="1:10" x14ac:dyDescent="0.25">
      <c r="A3762" t="s">
        <v>8</v>
      </c>
      <c r="B3762" t="s">
        <v>10762</v>
      </c>
      <c r="C3762" t="s">
        <v>10763</v>
      </c>
      <c r="D3762">
        <v>1</v>
      </c>
      <c r="E3762" t="s">
        <v>10692</v>
      </c>
      <c r="F3762" t="s">
        <v>10693</v>
      </c>
      <c r="G3762" s="1"/>
      <c r="H3762" t="str">
        <f>"3250617150507"</f>
        <v>3250617150507</v>
      </c>
      <c r="J3762" t="s">
        <v>10764</v>
      </c>
    </row>
    <row r="3763" spans="1:10" x14ac:dyDescent="0.25">
      <c r="A3763" t="s">
        <v>8</v>
      </c>
      <c r="B3763" t="s">
        <v>10765</v>
      </c>
      <c r="C3763" t="s">
        <v>10766</v>
      </c>
      <c r="D3763">
        <v>1</v>
      </c>
      <c r="E3763" t="s">
        <v>10692</v>
      </c>
      <c r="F3763" t="s">
        <v>10693</v>
      </c>
      <c r="G3763" s="1"/>
      <c r="H3763" t="str">
        <f>"3250617150514"</f>
        <v>3250617150514</v>
      </c>
      <c r="J3763" t="s">
        <v>10764</v>
      </c>
    </row>
    <row r="3764" spans="1:10" x14ac:dyDescent="0.25">
      <c r="A3764" t="s">
        <v>8</v>
      </c>
      <c r="B3764" t="s">
        <v>10767</v>
      </c>
      <c r="C3764" t="s">
        <v>10768</v>
      </c>
      <c r="D3764">
        <v>1</v>
      </c>
      <c r="E3764" t="s">
        <v>10692</v>
      </c>
      <c r="F3764" t="s">
        <v>10693</v>
      </c>
      <c r="G3764" s="1"/>
      <c r="H3764" t="str">
        <f>"3250617150224"</f>
        <v>3250617150224</v>
      </c>
      <c r="J3764" t="s">
        <v>10769</v>
      </c>
    </row>
    <row r="3765" spans="1:10" x14ac:dyDescent="0.25">
      <c r="A3765" t="s">
        <v>8</v>
      </c>
      <c r="B3765" t="s">
        <v>10770</v>
      </c>
      <c r="C3765" t="s">
        <v>10771</v>
      </c>
      <c r="D3765">
        <v>1</v>
      </c>
      <c r="E3765" t="s">
        <v>10692</v>
      </c>
      <c r="F3765" t="s">
        <v>10693</v>
      </c>
      <c r="G3765" s="1"/>
      <c r="H3765" t="str">
        <f>"3250617150231"</f>
        <v>3250617150231</v>
      </c>
      <c r="J3765" t="s">
        <v>10755</v>
      </c>
    </row>
    <row r="3766" spans="1:10" x14ac:dyDescent="0.25">
      <c r="A3766" t="s">
        <v>8</v>
      </c>
      <c r="B3766" t="s">
        <v>10772</v>
      </c>
      <c r="C3766" t="s">
        <v>10773</v>
      </c>
      <c r="D3766">
        <v>1</v>
      </c>
      <c r="E3766" t="s">
        <v>10692</v>
      </c>
      <c r="F3766" t="s">
        <v>10693</v>
      </c>
      <c r="G3766" s="1"/>
      <c r="H3766" t="str">
        <f>"3250617150286"</f>
        <v>3250617150286</v>
      </c>
      <c r="J3766" t="s">
        <v>10774</v>
      </c>
    </row>
    <row r="3767" spans="1:10" x14ac:dyDescent="0.25">
      <c r="A3767" t="s">
        <v>8</v>
      </c>
      <c r="B3767" t="s">
        <v>10775</v>
      </c>
      <c r="C3767" t="s">
        <v>10776</v>
      </c>
      <c r="D3767">
        <v>1</v>
      </c>
      <c r="E3767" t="s">
        <v>10692</v>
      </c>
      <c r="F3767" t="s">
        <v>10693</v>
      </c>
      <c r="G3767" s="1"/>
      <c r="H3767" t="str">
        <f>"3250617150019"</f>
        <v>3250617150019</v>
      </c>
      <c r="J3767" t="s">
        <v>10752</v>
      </c>
    </row>
    <row r="3768" spans="1:10" x14ac:dyDescent="0.25">
      <c r="A3768" t="s">
        <v>8</v>
      </c>
      <c r="B3768" t="s">
        <v>10777</v>
      </c>
      <c r="C3768" t="s">
        <v>10778</v>
      </c>
      <c r="D3768">
        <v>1</v>
      </c>
      <c r="E3768" t="s">
        <v>10692</v>
      </c>
      <c r="F3768" t="s">
        <v>10693</v>
      </c>
      <c r="G3768" s="1"/>
      <c r="H3768" t="str">
        <f>"3250617150002"</f>
        <v>3250617150002</v>
      </c>
      <c r="J3768" t="s">
        <v>10752</v>
      </c>
    </row>
    <row r="3769" spans="1:10" x14ac:dyDescent="0.25">
      <c r="A3769" t="s">
        <v>8</v>
      </c>
      <c r="B3769" t="s">
        <v>10779</v>
      </c>
      <c r="C3769" t="s">
        <v>10780</v>
      </c>
      <c r="D3769">
        <v>1</v>
      </c>
      <c r="E3769" t="s">
        <v>10692</v>
      </c>
      <c r="F3769" t="s">
        <v>10693</v>
      </c>
      <c r="G3769" s="1"/>
      <c r="H3769" t="str">
        <f>"3250617150439"</f>
        <v>3250617150439</v>
      </c>
      <c r="J3769" t="s">
        <v>10781</v>
      </c>
    </row>
    <row r="3770" spans="1:10" x14ac:dyDescent="0.25">
      <c r="A3770" t="s">
        <v>8</v>
      </c>
      <c r="B3770" t="s">
        <v>10782</v>
      </c>
      <c r="C3770" t="s">
        <v>10783</v>
      </c>
      <c r="D3770">
        <v>1</v>
      </c>
      <c r="E3770" t="s">
        <v>10692</v>
      </c>
      <c r="F3770" t="s">
        <v>10693</v>
      </c>
      <c r="G3770" s="1"/>
      <c r="H3770" t="str">
        <f>"3250617150422"</f>
        <v>3250617150422</v>
      </c>
      <c r="J3770" t="s">
        <v>10781</v>
      </c>
    </row>
    <row r="3771" spans="1:10" x14ac:dyDescent="0.25">
      <c r="A3771" t="s">
        <v>8</v>
      </c>
      <c r="B3771" t="s">
        <v>10784</v>
      </c>
      <c r="C3771" t="s">
        <v>10785</v>
      </c>
      <c r="D3771">
        <v>1</v>
      </c>
      <c r="E3771" t="s">
        <v>10692</v>
      </c>
      <c r="F3771" t="s">
        <v>10693</v>
      </c>
      <c r="G3771" s="1"/>
      <c r="H3771" t="str">
        <f>"3250617150644"</f>
        <v>3250617150644</v>
      </c>
      <c r="J3771" t="s">
        <v>10786</v>
      </c>
    </row>
    <row r="3772" spans="1:10" x14ac:dyDescent="0.25">
      <c r="A3772" t="s">
        <v>8</v>
      </c>
      <c r="B3772" t="s">
        <v>10787</v>
      </c>
      <c r="C3772" t="s">
        <v>10788</v>
      </c>
      <c r="D3772">
        <v>1</v>
      </c>
      <c r="E3772" t="s">
        <v>10692</v>
      </c>
      <c r="F3772" t="s">
        <v>10693</v>
      </c>
      <c r="G3772" s="1"/>
      <c r="H3772" t="str">
        <f>"3250617150637"</f>
        <v>3250617150637</v>
      </c>
      <c r="J3772" t="s">
        <v>10786</v>
      </c>
    </row>
    <row r="3773" spans="1:10" x14ac:dyDescent="0.25">
      <c r="A3773" t="s">
        <v>8</v>
      </c>
      <c r="B3773" t="s">
        <v>10789</v>
      </c>
      <c r="C3773" t="s">
        <v>10790</v>
      </c>
      <c r="D3773">
        <v>1</v>
      </c>
      <c r="E3773" t="s">
        <v>10692</v>
      </c>
      <c r="F3773" t="s">
        <v>10693</v>
      </c>
      <c r="G3773" s="1"/>
      <c r="H3773" t="str">
        <f>"3250617150668"</f>
        <v>3250617150668</v>
      </c>
      <c r="J3773" t="s">
        <v>10791</v>
      </c>
    </row>
    <row r="3774" spans="1:10" x14ac:dyDescent="0.25">
      <c r="A3774" t="s">
        <v>8</v>
      </c>
      <c r="B3774" t="s">
        <v>10792</v>
      </c>
      <c r="C3774" t="s">
        <v>10793</v>
      </c>
      <c r="D3774">
        <v>1</v>
      </c>
      <c r="E3774" t="s">
        <v>10692</v>
      </c>
      <c r="F3774" t="s">
        <v>10693</v>
      </c>
      <c r="G3774" s="1"/>
      <c r="H3774" t="str">
        <f>"3250617150651"</f>
        <v>3250617150651</v>
      </c>
      <c r="J3774" t="s">
        <v>10791</v>
      </c>
    </row>
    <row r="3775" spans="1:10" x14ac:dyDescent="0.25">
      <c r="A3775" t="s">
        <v>8</v>
      </c>
      <c r="B3775" t="s">
        <v>10794</v>
      </c>
      <c r="C3775" t="s">
        <v>10795</v>
      </c>
      <c r="D3775">
        <v>1</v>
      </c>
      <c r="E3775" t="s">
        <v>10692</v>
      </c>
      <c r="F3775" t="s">
        <v>10693</v>
      </c>
      <c r="G3775" s="1"/>
      <c r="H3775" t="str">
        <f>"3250617150613"</f>
        <v>3250617150613</v>
      </c>
      <c r="J3775" t="s">
        <v>10796</v>
      </c>
    </row>
    <row r="3776" spans="1:10" x14ac:dyDescent="0.25">
      <c r="A3776" t="s">
        <v>8</v>
      </c>
      <c r="B3776" t="s">
        <v>10797</v>
      </c>
      <c r="C3776" t="s">
        <v>10798</v>
      </c>
      <c r="D3776">
        <v>1</v>
      </c>
      <c r="E3776" t="s">
        <v>10692</v>
      </c>
      <c r="F3776" t="s">
        <v>10693</v>
      </c>
      <c r="G3776" s="1"/>
      <c r="H3776" t="str">
        <f>"3250617150620"</f>
        <v>3250617150620</v>
      </c>
      <c r="J3776" t="s">
        <v>10796</v>
      </c>
    </row>
    <row r="3777" spans="1:10" x14ac:dyDescent="0.25">
      <c r="A3777" t="s">
        <v>8</v>
      </c>
      <c r="B3777" t="s">
        <v>10799</v>
      </c>
      <c r="C3777" t="s">
        <v>10800</v>
      </c>
      <c r="D3777">
        <v>1</v>
      </c>
      <c r="E3777" t="s">
        <v>10692</v>
      </c>
      <c r="F3777" t="s">
        <v>10693</v>
      </c>
      <c r="G3777" s="1"/>
      <c r="H3777" t="str">
        <f>"3250617150767"</f>
        <v>3250617150767</v>
      </c>
      <c r="J3777" t="s">
        <v>10786</v>
      </c>
    </row>
    <row r="3778" spans="1:10" x14ac:dyDescent="0.25">
      <c r="A3778" t="s">
        <v>8</v>
      </c>
      <c r="B3778" t="s">
        <v>10801</v>
      </c>
      <c r="C3778" t="s">
        <v>10802</v>
      </c>
      <c r="D3778">
        <v>1</v>
      </c>
      <c r="E3778" t="s">
        <v>10692</v>
      </c>
      <c r="F3778" t="s">
        <v>10693</v>
      </c>
      <c r="G3778" s="1"/>
      <c r="H3778" t="str">
        <f>"3250617150378"</f>
        <v>3250617150378</v>
      </c>
      <c r="J3778" t="s">
        <v>10803</v>
      </c>
    </row>
    <row r="3779" spans="1:10" x14ac:dyDescent="0.25">
      <c r="A3779" t="s">
        <v>8</v>
      </c>
      <c r="B3779" t="s">
        <v>10804</v>
      </c>
      <c r="C3779" t="s">
        <v>10805</v>
      </c>
      <c r="D3779">
        <v>1</v>
      </c>
      <c r="E3779" t="s">
        <v>10692</v>
      </c>
      <c r="F3779" t="s">
        <v>10693</v>
      </c>
      <c r="G3779" s="1"/>
      <c r="H3779" t="str">
        <f>"3250617150385"</f>
        <v>3250617150385</v>
      </c>
      <c r="J3779" t="s">
        <v>10803</v>
      </c>
    </row>
    <row r="3780" spans="1:10" x14ac:dyDescent="0.25">
      <c r="A3780" t="s">
        <v>8</v>
      </c>
      <c r="B3780" t="s">
        <v>10806</v>
      </c>
      <c r="C3780" t="s">
        <v>10807</v>
      </c>
      <c r="D3780">
        <v>1</v>
      </c>
      <c r="E3780" t="s">
        <v>10692</v>
      </c>
      <c r="F3780" t="s">
        <v>10693</v>
      </c>
      <c r="G3780" s="1"/>
      <c r="H3780" t="str">
        <f>"3250617150392"</f>
        <v>3250617150392</v>
      </c>
      <c r="J3780" t="s">
        <v>10808</v>
      </c>
    </row>
    <row r="3781" spans="1:10" x14ac:dyDescent="0.25">
      <c r="A3781" t="s">
        <v>8</v>
      </c>
      <c r="B3781" t="s">
        <v>10809</v>
      </c>
      <c r="C3781" t="s">
        <v>10810</v>
      </c>
      <c r="D3781">
        <v>1</v>
      </c>
      <c r="E3781" t="s">
        <v>10692</v>
      </c>
      <c r="F3781" t="s">
        <v>10693</v>
      </c>
      <c r="G3781" s="1"/>
      <c r="H3781" t="str">
        <f>"3250617150408"</f>
        <v>3250617150408</v>
      </c>
      <c r="J3781" t="s">
        <v>10808</v>
      </c>
    </row>
    <row r="3782" spans="1:10" x14ac:dyDescent="0.25">
      <c r="A3782" t="s">
        <v>8</v>
      </c>
      <c r="B3782" t="s">
        <v>10811</v>
      </c>
      <c r="C3782" t="s">
        <v>10812</v>
      </c>
      <c r="D3782">
        <v>1</v>
      </c>
      <c r="E3782" t="s">
        <v>10692</v>
      </c>
      <c r="F3782" t="s">
        <v>10693</v>
      </c>
      <c r="G3782" s="1"/>
      <c r="H3782" t="str">
        <f>"3250617150415"</f>
        <v>3250617150415</v>
      </c>
      <c r="J3782" t="s">
        <v>10808</v>
      </c>
    </row>
    <row r="3783" spans="1:10" x14ac:dyDescent="0.25">
      <c r="A3783" t="s">
        <v>8</v>
      </c>
      <c r="B3783" t="s">
        <v>10813</v>
      </c>
      <c r="C3783" t="s">
        <v>10814</v>
      </c>
      <c r="D3783">
        <v>1</v>
      </c>
      <c r="E3783" t="s">
        <v>10692</v>
      </c>
      <c r="F3783" t="s">
        <v>10693</v>
      </c>
      <c r="G3783" s="1"/>
      <c r="H3783" t="str">
        <f>"3250617150125"</f>
        <v>3250617150125</v>
      </c>
      <c r="J3783" t="s">
        <v>10705</v>
      </c>
    </row>
    <row r="3784" spans="1:10" x14ac:dyDescent="0.25">
      <c r="A3784" t="s">
        <v>8</v>
      </c>
      <c r="B3784" t="s">
        <v>10815</v>
      </c>
      <c r="C3784" t="s">
        <v>10816</v>
      </c>
      <c r="D3784">
        <v>1</v>
      </c>
      <c r="E3784" t="s">
        <v>10692</v>
      </c>
      <c r="F3784" t="s">
        <v>10693</v>
      </c>
      <c r="G3784" s="1"/>
      <c r="H3784" t="str">
        <f>"3250617150132"</f>
        <v>3250617150132</v>
      </c>
      <c r="J3784" t="s">
        <v>10705</v>
      </c>
    </row>
    <row r="3785" spans="1:10" x14ac:dyDescent="0.25">
      <c r="A3785" t="s">
        <v>8</v>
      </c>
      <c r="B3785" t="s">
        <v>10817</v>
      </c>
      <c r="C3785" t="s">
        <v>10818</v>
      </c>
      <c r="D3785">
        <v>1</v>
      </c>
      <c r="E3785" t="s">
        <v>10692</v>
      </c>
      <c r="F3785" t="s">
        <v>10693</v>
      </c>
      <c r="G3785" s="1"/>
      <c r="H3785" t="str">
        <f>"3250617150163"</f>
        <v>3250617150163</v>
      </c>
      <c r="J3785" t="s">
        <v>10705</v>
      </c>
    </row>
    <row r="3786" spans="1:10" x14ac:dyDescent="0.25">
      <c r="A3786" t="s">
        <v>8</v>
      </c>
      <c r="B3786" t="s">
        <v>10819</v>
      </c>
      <c r="C3786" t="s">
        <v>10820</v>
      </c>
      <c r="D3786">
        <v>1</v>
      </c>
      <c r="E3786" t="s">
        <v>10692</v>
      </c>
      <c r="F3786" t="s">
        <v>10693</v>
      </c>
      <c r="G3786" s="1"/>
      <c r="H3786" t="str">
        <f>"3250617150170"</f>
        <v>3250617150170</v>
      </c>
      <c r="J3786" t="s">
        <v>10705</v>
      </c>
    </row>
    <row r="3787" spans="1:10" x14ac:dyDescent="0.25">
      <c r="A3787" t="s">
        <v>8</v>
      </c>
      <c r="B3787" t="s">
        <v>10821</v>
      </c>
      <c r="C3787" t="s">
        <v>10822</v>
      </c>
      <c r="D3787">
        <v>1</v>
      </c>
      <c r="E3787" t="s">
        <v>10692</v>
      </c>
      <c r="F3787" t="s">
        <v>10693</v>
      </c>
      <c r="G3787" s="1"/>
      <c r="H3787" t="str">
        <f>"3250617150149"</f>
        <v>3250617150149</v>
      </c>
      <c r="J3787" t="s">
        <v>10705</v>
      </c>
    </row>
    <row r="3788" spans="1:10" x14ac:dyDescent="0.25">
      <c r="A3788" t="s">
        <v>8</v>
      </c>
      <c r="B3788" t="s">
        <v>10823</v>
      </c>
      <c r="C3788" t="s">
        <v>10824</v>
      </c>
      <c r="D3788">
        <v>1</v>
      </c>
      <c r="E3788" t="s">
        <v>10692</v>
      </c>
      <c r="F3788" t="s">
        <v>10693</v>
      </c>
      <c r="G3788" s="1"/>
      <c r="H3788" t="str">
        <f>"3250617150156"</f>
        <v>3250617150156</v>
      </c>
      <c r="J3788" t="s">
        <v>10705</v>
      </c>
    </row>
    <row r="3789" spans="1:10" x14ac:dyDescent="0.25">
      <c r="A3789" t="s">
        <v>8</v>
      </c>
      <c r="B3789" t="s">
        <v>10825</v>
      </c>
      <c r="C3789" t="s">
        <v>10826</v>
      </c>
      <c r="D3789">
        <v>1</v>
      </c>
      <c r="E3789" t="s">
        <v>10692</v>
      </c>
      <c r="F3789" t="s">
        <v>10693</v>
      </c>
      <c r="G3789" s="1"/>
      <c r="H3789" t="str">
        <f>"3250617150569"</f>
        <v>3250617150569</v>
      </c>
      <c r="J3789" t="s">
        <v>3295</v>
      </c>
    </row>
    <row r="3790" spans="1:10" x14ac:dyDescent="0.25">
      <c r="A3790" t="s">
        <v>8</v>
      </c>
      <c r="B3790" t="s">
        <v>10827</v>
      </c>
      <c r="C3790" t="s">
        <v>10828</v>
      </c>
      <c r="D3790">
        <v>1</v>
      </c>
      <c r="E3790" t="s">
        <v>10692</v>
      </c>
      <c r="F3790" t="s">
        <v>10693</v>
      </c>
      <c r="G3790" s="1"/>
      <c r="H3790" t="str">
        <f>"3250617150576"</f>
        <v>3250617150576</v>
      </c>
      <c r="J3790" t="s">
        <v>3295</v>
      </c>
    </row>
    <row r="3791" spans="1:10" x14ac:dyDescent="0.25">
      <c r="A3791" t="s">
        <v>8</v>
      </c>
      <c r="B3791" t="s">
        <v>10829</v>
      </c>
      <c r="C3791" t="s">
        <v>10830</v>
      </c>
      <c r="D3791">
        <v>1</v>
      </c>
      <c r="E3791" t="s">
        <v>10692</v>
      </c>
      <c r="F3791" t="s">
        <v>10693</v>
      </c>
      <c r="G3791" s="1"/>
      <c r="H3791" t="str">
        <f>"3250617150316"</f>
        <v>3250617150316</v>
      </c>
      <c r="J3791" t="s">
        <v>10831</v>
      </c>
    </row>
    <row r="3792" spans="1:10" x14ac:dyDescent="0.25">
      <c r="A3792" t="s">
        <v>8</v>
      </c>
      <c r="B3792" t="s">
        <v>10832</v>
      </c>
      <c r="C3792" t="s">
        <v>10833</v>
      </c>
      <c r="D3792">
        <v>1</v>
      </c>
      <c r="E3792" t="s">
        <v>10692</v>
      </c>
      <c r="F3792" t="s">
        <v>10693</v>
      </c>
      <c r="G3792" s="1"/>
      <c r="H3792" t="str">
        <f>"3250617150330"</f>
        <v>3250617150330</v>
      </c>
      <c r="J3792" t="s">
        <v>10705</v>
      </c>
    </row>
    <row r="3793" spans="1:10" x14ac:dyDescent="0.25">
      <c r="A3793" t="s">
        <v>8</v>
      </c>
      <c r="B3793" t="s">
        <v>10834</v>
      </c>
      <c r="C3793" t="s">
        <v>10835</v>
      </c>
      <c r="D3793">
        <v>1</v>
      </c>
      <c r="E3793" t="s">
        <v>10692</v>
      </c>
      <c r="F3793" t="s">
        <v>10693</v>
      </c>
      <c r="G3793" s="1"/>
      <c r="H3793" t="str">
        <f>"3250617150323"</f>
        <v>3250617150323</v>
      </c>
      <c r="J3793" t="s">
        <v>10831</v>
      </c>
    </row>
    <row r="3794" spans="1:10" x14ac:dyDescent="0.25">
      <c r="A3794" t="s">
        <v>8</v>
      </c>
      <c r="B3794" t="s">
        <v>10836</v>
      </c>
      <c r="C3794" t="s">
        <v>10837</v>
      </c>
      <c r="D3794">
        <v>1</v>
      </c>
      <c r="E3794" t="s">
        <v>10692</v>
      </c>
      <c r="F3794" t="s">
        <v>10693</v>
      </c>
      <c r="G3794" s="1"/>
      <c r="H3794" t="str">
        <f>"3250617150354"</f>
        <v>3250617150354</v>
      </c>
      <c r="J3794" t="s">
        <v>10705</v>
      </c>
    </row>
    <row r="3795" spans="1:10" x14ac:dyDescent="0.25">
      <c r="A3795" t="s">
        <v>8</v>
      </c>
      <c r="B3795" t="s">
        <v>10838</v>
      </c>
      <c r="C3795" t="s">
        <v>10839</v>
      </c>
      <c r="D3795">
        <v>1</v>
      </c>
      <c r="E3795" t="s">
        <v>10692</v>
      </c>
      <c r="F3795" t="s">
        <v>10693</v>
      </c>
      <c r="G3795" s="1"/>
      <c r="H3795" t="str">
        <f>"3250617150347"</f>
        <v>3250617150347</v>
      </c>
      <c r="J3795" t="s">
        <v>10705</v>
      </c>
    </row>
    <row r="3796" spans="1:10" x14ac:dyDescent="0.25">
      <c r="A3796" t="s">
        <v>8</v>
      </c>
      <c r="B3796" t="s">
        <v>10840</v>
      </c>
      <c r="C3796" t="s">
        <v>10841</v>
      </c>
      <c r="D3796">
        <v>1</v>
      </c>
      <c r="E3796" t="s">
        <v>10692</v>
      </c>
      <c r="F3796" t="s">
        <v>10693</v>
      </c>
      <c r="G3796" s="1"/>
      <c r="H3796" t="str">
        <f>"3250617150361"</f>
        <v>3250617150361</v>
      </c>
      <c r="J3796" t="s">
        <v>10705</v>
      </c>
    </row>
    <row r="3797" spans="1:10" x14ac:dyDescent="0.25">
      <c r="A3797" t="s">
        <v>8</v>
      </c>
      <c r="B3797" t="s">
        <v>10842</v>
      </c>
      <c r="C3797" t="s">
        <v>10843</v>
      </c>
      <c r="D3797">
        <v>1</v>
      </c>
      <c r="E3797" t="s">
        <v>10692</v>
      </c>
      <c r="F3797" t="s">
        <v>10693</v>
      </c>
      <c r="G3797" s="1"/>
      <c r="H3797" t="str">
        <f>"3250617150309"</f>
        <v>3250617150309</v>
      </c>
      <c r="J3797" t="s">
        <v>10705</v>
      </c>
    </row>
    <row r="3798" spans="1:10" x14ac:dyDescent="0.25">
      <c r="A3798" t="s">
        <v>8</v>
      </c>
      <c r="B3798" t="s">
        <v>10844</v>
      </c>
      <c r="C3798" t="s">
        <v>10845</v>
      </c>
      <c r="D3798">
        <v>1</v>
      </c>
      <c r="E3798" t="s">
        <v>10692</v>
      </c>
      <c r="F3798" t="s">
        <v>10693</v>
      </c>
      <c r="G3798" s="1"/>
      <c r="H3798" t="str">
        <f>"3250617150293"</f>
        <v>3250617150293</v>
      </c>
      <c r="J3798" t="s">
        <v>10831</v>
      </c>
    </row>
    <row r="3799" spans="1:10" x14ac:dyDescent="0.25">
      <c r="A3799" t="s">
        <v>8</v>
      </c>
      <c r="B3799">
        <v>168000</v>
      </c>
      <c r="C3799" t="s">
        <v>10846</v>
      </c>
      <c r="D3799">
        <v>1</v>
      </c>
      <c r="E3799" t="s">
        <v>10692</v>
      </c>
      <c r="F3799" t="s">
        <v>10693</v>
      </c>
      <c r="G3799" s="1"/>
      <c r="H3799" t="str">
        <f>"4011334490906"</f>
        <v>4011334490906</v>
      </c>
      <c r="J3799" t="s">
        <v>10847</v>
      </c>
    </row>
    <row r="3800" spans="1:10" x14ac:dyDescent="0.25">
      <c r="A3800" t="s">
        <v>8</v>
      </c>
      <c r="B3800">
        <v>168001</v>
      </c>
      <c r="C3800" t="s">
        <v>10848</v>
      </c>
      <c r="D3800">
        <v>1</v>
      </c>
      <c r="E3800" t="s">
        <v>10692</v>
      </c>
      <c r="F3800" t="s">
        <v>10693</v>
      </c>
      <c r="G3800" s="1"/>
      <c r="H3800" t="str">
        <f>"4011334499541"</f>
        <v>4011334499541</v>
      </c>
      <c r="J3800" t="s">
        <v>10847</v>
      </c>
    </row>
    <row r="3801" spans="1:10" x14ac:dyDescent="0.25">
      <c r="A3801" t="s">
        <v>8</v>
      </c>
      <c r="B3801" t="s">
        <v>10849</v>
      </c>
      <c r="C3801" t="s">
        <v>10850</v>
      </c>
      <c r="D3801">
        <v>1</v>
      </c>
      <c r="E3801" t="s">
        <v>10692</v>
      </c>
      <c r="F3801" t="s">
        <v>10693</v>
      </c>
      <c r="G3801" s="1"/>
      <c r="H3801" t="str">
        <f>"4011334516040"</f>
        <v>4011334516040</v>
      </c>
      <c r="J3801" t="s">
        <v>10851</v>
      </c>
    </row>
    <row r="3802" spans="1:10" x14ac:dyDescent="0.25">
      <c r="A3802" t="s">
        <v>8</v>
      </c>
      <c r="B3802" t="s">
        <v>10852</v>
      </c>
      <c r="C3802" t="s">
        <v>10853</v>
      </c>
      <c r="D3802">
        <v>1</v>
      </c>
      <c r="E3802" t="s">
        <v>10692</v>
      </c>
      <c r="F3802" t="s">
        <v>10693</v>
      </c>
      <c r="G3802" s="1"/>
      <c r="H3802" t="str">
        <f>"4011334516057"</f>
        <v>4011334516057</v>
      </c>
      <c r="J3802" t="s">
        <v>10854</v>
      </c>
    </row>
    <row r="3803" spans="1:10" x14ac:dyDescent="0.25">
      <c r="A3803" t="s">
        <v>8</v>
      </c>
      <c r="B3803" t="s">
        <v>10855</v>
      </c>
      <c r="C3803" t="s">
        <v>10856</v>
      </c>
      <c r="D3803">
        <v>1</v>
      </c>
      <c r="E3803" t="s">
        <v>10692</v>
      </c>
      <c r="F3803" t="s">
        <v>10693</v>
      </c>
      <c r="G3803" s="1"/>
      <c r="H3803" t="str">
        <f>"4011334516064"</f>
        <v>4011334516064</v>
      </c>
      <c r="J3803" t="s">
        <v>10857</v>
      </c>
    </row>
    <row r="3804" spans="1:10" x14ac:dyDescent="0.25">
      <c r="A3804" t="s">
        <v>8</v>
      </c>
      <c r="B3804" t="s">
        <v>10858</v>
      </c>
      <c r="C3804" t="s">
        <v>10859</v>
      </c>
      <c r="D3804">
        <v>1</v>
      </c>
      <c r="E3804" t="s">
        <v>10692</v>
      </c>
      <c r="F3804" t="s">
        <v>10693</v>
      </c>
      <c r="G3804" s="1"/>
      <c r="H3804" t="str">
        <f>"4011334516071"</f>
        <v>4011334516071</v>
      </c>
      <c r="J3804" t="s">
        <v>10860</v>
      </c>
    </row>
    <row r="3805" spans="1:10" x14ac:dyDescent="0.25">
      <c r="A3805" t="s">
        <v>8</v>
      </c>
      <c r="B3805" t="s">
        <v>10861</v>
      </c>
      <c r="C3805" t="s">
        <v>10862</v>
      </c>
      <c r="D3805">
        <v>1</v>
      </c>
      <c r="E3805" t="s">
        <v>10692</v>
      </c>
      <c r="F3805" t="s">
        <v>10693</v>
      </c>
      <c r="G3805" s="1"/>
      <c r="H3805" t="str">
        <f>"4011334516088"</f>
        <v>4011334516088</v>
      </c>
      <c r="J3805" t="s">
        <v>10764</v>
      </c>
    </row>
    <row r="3806" spans="1:10" x14ac:dyDescent="0.25">
      <c r="A3806" t="s">
        <v>8</v>
      </c>
      <c r="B3806" t="s">
        <v>10863</v>
      </c>
      <c r="C3806" t="s">
        <v>10864</v>
      </c>
      <c r="D3806">
        <v>1</v>
      </c>
      <c r="E3806" t="s">
        <v>10692</v>
      </c>
      <c r="F3806" t="s">
        <v>10693</v>
      </c>
      <c r="G3806" s="1"/>
      <c r="H3806" t="str">
        <f>"4011334516095"</f>
        <v>4011334516095</v>
      </c>
      <c r="J3806" t="s">
        <v>10764</v>
      </c>
    </row>
    <row r="3807" spans="1:10" x14ac:dyDescent="0.25">
      <c r="A3807" t="s">
        <v>8</v>
      </c>
      <c r="B3807" t="s">
        <v>10865</v>
      </c>
      <c r="C3807" t="s">
        <v>10866</v>
      </c>
      <c r="D3807">
        <v>1</v>
      </c>
      <c r="E3807" t="s">
        <v>10692</v>
      </c>
      <c r="F3807" t="s">
        <v>10693</v>
      </c>
      <c r="G3807" s="1"/>
      <c r="H3807" t="str">
        <f>"4011334516309"</f>
        <v>4011334516309</v>
      </c>
      <c r="J3807" t="s">
        <v>10867</v>
      </c>
    </row>
    <row r="3808" spans="1:10" x14ac:dyDescent="0.25">
      <c r="A3808" t="s">
        <v>8</v>
      </c>
      <c r="B3808">
        <v>104001</v>
      </c>
      <c r="C3808" t="s">
        <v>10868</v>
      </c>
      <c r="D3808">
        <v>1</v>
      </c>
      <c r="E3808" t="s">
        <v>10692</v>
      </c>
      <c r="F3808" t="s">
        <v>10693</v>
      </c>
      <c r="G3808" s="1"/>
      <c r="H3808" t="str">
        <f>"4011334003212"</f>
        <v>4011334003212</v>
      </c>
      <c r="J3808" t="s">
        <v>10705</v>
      </c>
    </row>
    <row r="3809" spans="1:10" x14ac:dyDescent="0.25">
      <c r="A3809" t="s">
        <v>8</v>
      </c>
      <c r="B3809">
        <v>260215</v>
      </c>
      <c r="C3809" t="s">
        <v>10869</v>
      </c>
      <c r="D3809">
        <v>1</v>
      </c>
      <c r="E3809" t="s">
        <v>10692</v>
      </c>
      <c r="F3809" t="s">
        <v>10693</v>
      </c>
      <c r="G3809" s="1"/>
      <c r="H3809" t="str">
        <f>"4011334467861"</f>
        <v>4011334467861</v>
      </c>
      <c r="J3809" t="s">
        <v>10870</v>
      </c>
    </row>
    <row r="3810" spans="1:10" x14ac:dyDescent="0.25">
      <c r="A3810" t="s">
        <v>8</v>
      </c>
      <c r="B3810">
        <v>1040</v>
      </c>
      <c r="C3810" t="s">
        <v>10871</v>
      </c>
      <c r="D3810">
        <v>1</v>
      </c>
      <c r="E3810" t="s">
        <v>10692</v>
      </c>
      <c r="F3810" t="s">
        <v>10693</v>
      </c>
      <c r="G3810" s="1"/>
      <c r="H3810" t="str">
        <f>"4011334003205"</f>
        <v>4011334003205</v>
      </c>
      <c r="J3810" t="s">
        <v>10705</v>
      </c>
    </row>
    <row r="3811" spans="1:10" x14ac:dyDescent="0.25">
      <c r="A3811" t="s">
        <v>8</v>
      </c>
      <c r="B3811">
        <v>260219</v>
      </c>
      <c r="C3811" t="s">
        <v>10872</v>
      </c>
      <c r="D3811">
        <v>1</v>
      </c>
      <c r="E3811" t="s">
        <v>10692</v>
      </c>
      <c r="F3811" t="s">
        <v>10693</v>
      </c>
      <c r="G3811" s="1"/>
      <c r="H3811" t="str">
        <f>"4011334467854"</f>
        <v>4011334467854</v>
      </c>
      <c r="J3811" t="s">
        <v>10870</v>
      </c>
    </row>
    <row r="3812" spans="1:10" x14ac:dyDescent="0.25">
      <c r="A3812" t="s">
        <v>8</v>
      </c>
      <c r="B3812">
        <v>294410</v>
      </c>
      <c r="C3812" t="s">
        <v>10873</v>
      </c>
      <c r="D3812">
        <v>1</v>
      </c>
      <c r="E3812" t="s">
        <v>10692</v>
      </c>
      <c r="F3812" t="s">
        <v>10693</v>
      </c>
      <c r="G3812" s="1"/>
      <c r="H3812" t="str">
        <f>"4011334510109"</f>
        <v>4011334510109</v>
      </c>
      <c r="J3812" t="s">
        <v>10874</v>
      </c>
    </row>
    <row r="3813" spans="1:10" x14ac:dyDescent="0.25">
      <c r="A3813" t="s">
        <v>8</v>
      </c>
      <c r="B3813">
        <v>294411</v>
      </c>
      <c r="C3813" t="s">
        <v>10875</v>
      </c>
      <c r="D3813">
        <v>1</v>
      </c>
      <c r="E3813" t="s">
        <v>10692</v>
      </c>
      <c r="F3813" t="s">
        <v>10693</v>
      </c>
      <c r="G3813" s="1"/>
      <c r="H3813" t="str">
        <f>"4011334510116"</f>
        <v>4011334510116</v>
      </c>
      <c r="J3813" t="s">
        <v>10876</v>
      </c>
    </row>
    <row r="3814" spans="1:10" x14ac:dyDescent="0.25">
      <c r="A3814" t="s">
        <v>8</v>
      </c>
      <c r="B3814">
        <v>294510</v>
      </c>
      <c r="C3814" t="s">
        <v>10877</v>
      </c>
      <c r="D3814">
        <v>1</v>
      </c>
      <c r="E3814" t="s">
        <v>10692</v>
      </c>
      <c r="F3814" t="s">
        <v>10693</v>
      </c>
      <c r="G3814" s="1"/>
      <c r="H3814" t="str">
        <f>"4011334510123"</f>
        <v>4011334510123</v>
      </c>
      <c r="J3814" t="s">
        <v>10878</v>
      </c>
    </row>
    <row r="3815" spans="1:10" x14ac:dyDescent="0.25">
      <c r="A3815" t="s">
        <v>8</v>
      </c>
      <c r="B3815">
        <v>294511</v>
      </c>
      <c r="C3815" t="s">
        <v>10879</v>
      </c>
      <c r="D3815">
        <v>1</v>
      </c>
      <c r="E3815" t="s">
        <v>10692</v>
      </c>
      <c r="F3815" t="s">
        <v>10693</v>
      </c>
      <c r="G3815" s="1"/>
      <c r="H3815" t="str">
        <f>"4011334510130"</f>
        <v>4011334510130</v>
      </c>
      <c r="J3815" t="s">
        <v>10880</v>
      </c>
    </row>
    <row r="3816" spans="1:10" x14ac:dyDescent="0.25">
      <c r="A3816" t="s">
        <v>8</v>
      </c>
      <c r="B3816">
        <v>260415</v>
      </c>
      <c r="C3816" t="s">
        <v>10881</v>
      </c>
      <c r="D3816">
        <v>1</v>
      </c>
      <c r="E3816" t="s">
        <v>10692</v>
      </c>
      <c r="F3816" t="s">
        <v>10693</v>
      </c>
      <c r="G3816" s="1"/>
      <c r="H3816" t="str">
        <f>"4011334000594"</f>
        <v>4011334000594</v>
      </c>
      <c r="J3816" t="s">
        <v>10870</v>
      </c>
    </row>
    <row r="3817" spans="1:10" x14ac:dyDescent="0.25">
      <c r="A3817" t="s">
        <v>8</v>
      </c>
      <c r="B3817">
        <v>260419</v>
      </c>
      <c r="C3817" t="s">
        <v>10881</v>
      </c>
      <c r="D3817">
        <v>1</v>
      </c>
      <c r="E3817" t="s">
        <v>10692</v>
      </c>
      <c r="F3817" t="s">
        <v>10693</v>
      </c>
      <c r="G3817" s="1"/>
      <c r="H3817" t="str">
        <f>"4011334000549"</f>
        <v>4011334000549</v>
      </c>
      <c r="J3817" t="s">
        <v>10870</v>
      </c>
    </row>
    <row r="3818" spans="1:10" x14ac:dyDescent="0.25">
      <c r="A3818" t="s">
        <v>8</v>
      </c>
      <c r="B3818" t="s">
        <v>10882</v>
      </c>
      <c r="C3818" t="s">
        <v>10883</v>
      </c>
      <c r="D3818">
        <v>1</v>
      </c>
      <c r="E3818" t="s">
        <v>10692</v>
      </c>
      <c r="F3818" t="s">
        <v>10693</v>
      </c>
      <c r="G3818" s="1"/>
      <c r="H3818" t="str">
        <f>"3250610093030"</f>
        <v>3250610093030</v>
      </c>
      <c r="J3818" t="s">
        <v>10847</v>
      </c>
    </row>
    <row r="3819" spans="1:10" x14ac:dyDescent="0.25">
      <c r="A3819" t="s">
        <v>8</v>
      </c>
      <c r="B3819" t="s">
        <v>10884</v>
      </c>
      <c r="C3819" t="s">
        <v>10885</v>
      </c>
      <c r="D3819">
        <v>1</v>
      </c>
      <c r="E3819" t="s">
        <v>10692</v>
      </c>
      <c r="F3819" t="s">
        <v>10693</v>
      </c>
      <c r="G3819" s="1"/>
      <c r="H3819" t="str">
        <f>"3250610090312"</f>
        <v>3250610090312</v>
      </c>
      <c r="J3819" t="s">
        <v>10705</v>
      </c>
    </row>
    <row r="3820" spans="1:10" x14ac:dyDescent="0.25">
      <c r="A3820" t="s">
        <v>8</v>
      </c>
      <c r="B3820" t="s">
        <v>10886</v>
      </c>
      <c r="C3820" t="s">
        <v>10887</v>
      </c>
      <c r="D3820">
        <v>1</v>
      </c>
      <c r="E3820" t="s">
        <v>10692</v>
      </c>
      <c r="F3820" t="s">
        <v>10693</v>
      </c>
      <c r="G3820" s="1"/>
      <c r="H3820" t="str">
        <f>"3250610090060"</f>
        <v>3250610090060</v>
      </c>
      <c r="J3820" t="s">
        <v>10705</v>
      </c>
    </row>
    <row r="3821" spans="1:10" x14ac:dyDescent="0.25">
      <c r="A3821" t="s">
        <v>8</v>
      </c>
      <c r="B3821" t="s">
        <v>10888</v>
      </c>
      <c r="C3821" t="s">
        <v>10889</v>
      </c>
      <c r="D3821">
        <v>1</v>
      </c>
      <c r="E3821" t="s">
        <v>10692</v>
      </c>
      <c r="F3821" t="s">
        <v>10693</v>
      </c>
      <c r="G3821" s="1"/>
      <c r="H3821" t="str">
        <f>"3250610075456"</f>
        <v>3250610075456</v>
      </c>
      <c r="J3821" t="s">
        <v>10876</v>
      </c>
    </row>
    <row r="3822" spans="1:10" x14ac:dyDescent="0.25">
      <c r="A3822" t="s">
        <v>8</v>
      </c>
      <c r="B3822" t="s">
        <v>10890</v>
      </c>
      <c r="C3822" t="s">
        <v>10891</v>
      </c>
      <c r="D3822">
        <v>1</v>
      </c>
      <c r="E3822" t="s">
        <v>10692</v>
      </c>
      <c r="F3822" t="s">
        <v>10693</v>
      </c>
      <c r="G3822" s="1"/>
      <c r="H3822" t="str">
        <f>"3250610075449"</f>
        <v>3250610075449</v>
      </c>
      <c r="J3822" t="s">
        <v>10874</v>
      </c>
    </row>
    <row r="3823" spans="1:10" x14ac:dyDescent="0.25">
      <c r="A3823" t="s">
        <v>8</v>
      </c>
      <c r="B3823" t="s">
        <v>10892</v>
      </c>
      <c r="C3823" t="s">
        <v>10893</v>
      </c>
      <c r="D3823">
        <v>1</v>
      </c>
      <c r="E3823" t="s">
        <v>10692</v>
      </c>
      <c r="F3823" t="s">
        <v>10693</v>
      </c>
      <c r="G3823" s="1"/>
      <c r="H3823" t="str">
        <f>"3250610075470"</f>
        <v>3250610075470</v>
      </c>
      <c r="J3823" t="s">
        <v>10880</v>
      </c>
    </row>
    <row r="3824" spans="1:10" x14ac:dyDescent="0.25">
      <c r="A3824" t="s">
        <v>8</v>
      </c>
      <c r="B3824" t="s">
        <v>10894</v>
      </c>
      <c r="C3824" t="s">
        <v>10895</v>
      </c>
      <c r="D3824">
        <v>1</v>
      </c>
      <c r="E3824" t="s">
        <v>10692</v>
      </c>
      <c r="F3824" t="s">
        <v>10693</v>
      </c>
      <c r="G3824" s="1"/>
      <c r="H3824" t="str">
        <f>"3250610075463"</f>
        <v>3250610075463</v>
      </c>
      <c r="J3824" t="s">
        <v>10878</v>
      </c>
    </row>
    <row r="3825" spans="1:10" x14ac:dyDescent="0.25">
      <c r="A3825" t="s">
        <v>8</v>
      </c>
      <c r="B3825" t="s">
        <v>10896</v>
      </c>
      <c r="C3825" t="s">
        <v>10897</v>
      </c>
      <c r="D3825">
        <v>1</v>
      </c>
      <c r="E3825" t="s">
        <v>10692</v>
      </c>
      <c r="F3825" t="s">
        <v>10693</v>
      </c>
      <c r="G3825" s="1"/>
      <c r="H3825" t="str">
        <f>"3250610093047"</f>
        <v>3250610093047</v>
      </c>
      <c r="J3825" t="s">
        <v>10898</v>
      </c>
    </row>
    <row r="3826" spans="1:10" x14ac:dyDescent="0.25">
      <c r="A3826" t="s">
        <v>8</v>
      </c>
      <c r="B3826" t="s">
        <v>10899</v>
      </c>
      <c r="C3826" t="s">
        <v>10900</v>
      </c>
      <c r="D3826">
        <v>1</v>
      </c>
      <c r="E3826" t="s">
        <v>10901</v>
      </c>
      <c r="F3826" t="s">
        <v>10902</v>
      </c>
      <c r="G3826" s="1"/>
      <c r="H3826" t="str">
        <f>"3250614325908"</f>
        <v>3250614325908</v>
      </c>
      <c r="J3826" t="s">
        <v>10903</v>
      </c>
    </row>
    <row r="3827" spans="1:10" x14ac:dyDescent="0.25">
      <c r="A3827" t="s">
        <v>8</v>
      </c>
      <c r="B3827" t="s">
        <v>10904</v>
      </c>
      <c r="C3827" t="s">
        <v>10905</v>
      </c>
      <c r="D3827">
        <v>1</v>
      </c>
      <c r="E3827" t="s">
        <v>10901</v>
      </c>
      <c r="F3827" t="s">
        <v>10902</v>
      </c>
      <c r="G3827" s="1"/>
      <c r="H3827" t="str">
        <f>"3250614630729"</f>
        <v>3250614630729</v>
      </c>
      <c r="J3827" t="s">
        <v>10906</v>
      </c>
    </row>
    <row r="3828" spans="1:10" x14ac:dyDescent="0.25">
      <c r="A3828" t="s">
        <v>8</v>
      </c>
      <c r="B3828" t="s">
        <v>10907</v>
      </c>
      <c r="C3828" t="s">
        <v>10908</v>
      </c>
      <c r="D3828">
        <v>1</v>
      </c>
      <c r="E3828" t="s">
        <v>10901</v>
      </c>
      <c r="F3828" t="s">
        <v>10902</v>
      </c>
      <c r="G3828" s="1"/>
      <c r="H3828" t="str">
        <f>"3250614630835"</f>
        <v>3250614630835</v>
      </c>
      <c r="J3828" t="s">
        <v>10909</v>
      </c>
    </row>
    <row r="3829" spans="1:10" x14ac:dyDescent="0.25">
      <c r="A3829" t="s">
        <v>8</v>
      </c>
      <c r="B3829" t="s">
        <v>10910</v>
      </c>
      <c r="C3829" t="s">
        <v>10911</v>
      </c>
      <c r="D3829">
        <v>1</v>
      </c>
      <c r="E3829" t="s">
        <v>10901</v>
      </c>
      <c r="F3829" t="s">
        <v>10902</v>
      </c>
      <c r="G3829" s="1"/>
      <c r="H3829" t="str">
        <f>"3250614325823"</f>
        <v>3250614325823</v>
      </c>
      <c r="J3829" t="s">
        <v>10912</v>
      </c>
    </row>
    <row r="3830" spans="1:10" x14ac:dyDescent="0.25">
      <c r="A3830" t="s">
        <v>8</v>
      </c>
      <c r="B3830" t="s">
        <v>10913</v>
      </c>
      <c r="C3830" t="s">
        <v>10914</v>
      </c>
      <c r="D3830">
        <v>1</v>
      </c>
      <c r="E3830" t="s">
        <v>10901</v>
      </c>
      <c r="F3830" t="s">
        <v>10902</v>
      </c>
      <c r="G3830" s="1"/>
      <c r="H3830" t="str">
        <f>"3250614630712"</f>
        <v>3250614630712</v>
      </c>
      <c r="J3830" t="s">
        <v>10915</v>
      </c>
    </row>
    <row r="3831" spans="1:10" x14ac:dyDescent="0.25">
      <c r="A3831" t="s">
        <v>8</v>
      </c>
      <c r="B3831" t="s">
        <v>10916</v>
      </c>
      <c r="C3831" t="s">
        <v>10917</v>
      </c>
      <c r="D3831">
        <v>1</v>
      </c>
      <c r="E3831" t="s">
        <v>10901</v>
      </c>
      <c r="F3831" t="s">
        <v>10902</v>
      </c>
      <c r="G3831" s="1"/>
      <c r="H3831" t="str">
        <f>"3250614630767"</f>
        <v>3250614630767</v>
      </c>
      <c r="J3831" t="s">
        <v>10918</v>
      </c>
    </row>
    <row r="3832" spans="1:10" x14ac:dyDescent="0.25">
      <c r="A3832" t="s">
        <v>8</v>
      </c>
      <c r="B3832" t="s">
        <v>10919</v>
      </c>
      <c r="C3832" t="s">
        <v>10920</v>
      </c>
      <c r="D3832">
        <v>1</v>
      </c>
      <c r="E3832" t="s">
        <v>10901</v>
      </c>
      <c r="F3832" t="s">
        <v>10902</v>
      </c>
      <c r="G3832" s="1"/>
      <c r="H3832" t="str">
        <f>"3250614325816"</f>
        <v>3250614325816</v>
      </c>
      <c r="J3832" t="s">
        <v>10921</v>
      </c>
    </row>
    <row r="3833" spans="1:10" x14ac:dyDescent="0.25">
      <c r="A3833" t="s">
        <v>8</v>
      </c>
      <c r="B3833" t="s">
        <v>10922</v>
      </c>
      <c r="C3833" t="s">
        <v>10923</v>
      </c>
      <c r="D3833">
        <v>1</v>
      </c>
      <c r="E3833" t="s">
        <v>10901</v>
      </c>
      <c r="F3833" t="s">
        <v>10902</v>
      </c>
      <c r="G3833" s="1"/>
      <c r="H3833" t="str">
        <f>"3250614630705"</f>
        <v>3250614630705</v>
      </c>
      <c r="J3833" s="1">
        <v>31</v>
      </c>
    </row>
    <row r="3834" spans="1:10" x14ac:dyDescent="0.25">
      <c r="A3834" t="s">
        <v>8</v>
      </c>
      <c r="B3834" t="s">
        <v>10924</v>
      </c>
      <c r="C3834" t="s">
        <v>10925</v>
      </c>
      <c r="D3834">
        <v>1</v>
      </c>
      <c r="E3834" t="s">
        <v>10901</v>
      </c>
      <c r="F3834" t="s">
        <v>10902</v>
      </c>
      <c r="G3834" s="1"/>
      <c r="H3834" t="str">
        <f>"3250614325892"</f>
        <v>3250614325892</v>
      </c>
      <c r="J3834" t="s">
        <v>10926</v>
      </c>
    </row>
    <row r="3835" spans="1:10" x14ac:dyDescent="0.25">
      <c r="A3835" t="s">
        <v>8</v>
      </c>
      <c r="B3835" t="s">
        <v>10927</v>
      </c>
      <c r="C3835" t="s">
        <v>10928</v>
      </c>
      <c r="D3835">
        <v>1</v>
      </c>
      <c r="E3835" t="s">
        <v>10901</v>
      </c>
      <c r="F3835" t="s">
        <v>10902</v>
      </c>
      <c r="G3835" s="1"/>
      <c r="H3835" t="str">
        <f>"3250614325809"</f>
        <v>3250614325809</v>
      </c>
      <c r="J3835" t="s">
        <v>10929</v>
      </c>
    </row>
    <row r="3836" spans="1:10" x14ac:dyDescent="0.25">
      <c r="A3836" t="s">
        <v>8</v>
      </c>
      <c r="B3836" t="s">
        <v>10930</v>
      </c>
      <c r="C3836" t="s">
        <v>10931</v>
      </c>
      <c r="D3836">
        <v>1</v>
      </c>
      <c r="E3836" t="s">
        <v>10901</v>
      </c>
      <c r="F3836" t="s">
        <v>10902</v>
      </c>
      <c r="G3836" s="1"/>
      <c r="H3836" t="str">
        <f>"3250614630699"</f>
        <v>3250614630699</v>
      </c>
      <c r="J3836" t="s">
        <v>10932</v>
      </c>
    </row>
    <row r="3837" spans="1:10" x14ac:dyDescent="0.25">
      <c r="A3837" t="s">
        <v>8</v>
      </c>
      <c r="B3837" t="s">
        <v>10933</v>
      </c>
      <c r="C3837" t="s">
        <v>10934</v>
      </c>
      <c r="D3837">
        <v>1</v>
      </c>
      <c r="E3837" t="s">
        <v>10901</v>
      </c>
      <c r="F3837" t="s">
        <v>10902</v>
      </c>
      <c r="G3837" s="1"/>
      <c r="H3837" t="str">
        <f>"3250614325885"</f>
        <v>3250614325885</v>
      </c>
      <c r="J3837" t="s">
        <v>10926</v>
      </c>
    </row>
    <row r="3838" spans="1:10" x14ac:dyDescent="0.25">
      <c r="A3838" t="s">
        <v>8</v>
      </c>
      <c r="B3838" t="s">
        <v>10935</v>
      </c>
      <c r="C3838" t="s">
        <v>10936</v>
      </c>
      <c r="D3838">
        <v>1</v>
      </c>
      <c r="E3838" t="s">
        <v>10901</v>
      </c>
      <c r="F3838" t="s">
        <v>10902</v>
      </c>
      <c r="G3838" s="1"/>
      <c r="H3838" t="str">
        <f>"3250614325793"</f>
        <v>3250614325793</v>
      </c>
      <c r="J3838" t="s">
        <v>10929</v>
      </c>
    </row>
    <row r="3839" spans="1:10" x14ac:dyDescent="0.25">
      <c r="A3839" t="s">
        <v>8</v>
      </c>
      <c r="B3839" t="s">
        <v>10937</v>
      </c>
      <c r="C3839" t="s">
        <v>10938</v>
      </c>
      <c r="D3839">
        <v>1</v>
      </c>
      <c r="E3839" t="s">
        <v>10901</v>
      </c>
      <c r="F3839" t="s">
        <v>10902</v>
      </c>
      <c r="G3839" s="1"/>
      <c r="H3839" t="str">
        <f>"3250614630828"</f>
        <v>3250614630828</v>
      </c>
      <c r="J3839" t="s">
        <v>10939</v>
      </c>
    </row>
    <row r="3840" spans="1:10" x14ac:dyDescent="0.25">
      <c r="A3840" t="s">
        <v>8</v>
      </c>
      <c r="B3840" t="s">
        <v>10940</v>
      </c>
      <c r="C3840" t="s">
        <v>10941</v>
      </c>
      <c r="D3840">
        <v>1</v>
      </c>
      <c r="E3840" t="s">
        <v>10901</v>
      </c>
      <c r="F3840" t="s">
        <v>10902</v>
      </c>
      <c r="G3840" s="1"/>
      <c r="H3840" t="str">
        <f>"3250614325878"</f>
        <v>3250614325878</v>
      </c>
      <c r="J3840" t="s">
        <v>10942</v>
      </c>
    </row>
    <row r="3841" spans="1:10" x14ac:dyDescent="0.25">
      <c r="A3841" t="s">
        <v>8</v>
      </c>
      <c r="B3841" t="s">
        <v>10943</v>
      </c>
      <c r="C3841" t="s">
        <v>10944</v>
      </c>
      <c r="D3841">
        <v>1</v>
      </c>
      <c r="E3841" t="s">
        <v>10901</v>
      </c>
      <c r="F3841" t="s">
        <v>10902</v>
      </c>
      <c r="G3841" s="1"/>
      <c r="H3841" t="str">
        <f>"3250614325861"</f>
        <v>3250614325861</v>
      </c>
      <c r="J3841" t="s">
        <v>10945</v>
      </c>
    </row>
    <row r="3842" spans="1:10" x14ac:dyDescent="0.25">
      <c r="A3842" t="s">
        <v>8</v>
      </c>
      <c r="B3842" t="s">
        <v>10946</v>
      </c>
      <c r="C3842" t="s">
        <v>10947</v>
      </c>
      <c r="D3842">
        <v>1</v>
      </c>
      <c r="E3842" t="s">
        <v>10901</v>
      </c>
      <c r="F3842" t="s">
        <v>10902</v>
      </c>
      <c r="G3842" s="1"/>
      <c r="H3842" t="str">
        <f>"3250614630811"</f>
        <v>3250614630811</v>
      </c>
      <c r="J3842" t="s">
        <v>10948</v>
      </c>
    </row>
    <row r="3843" spans="1:10" x14ac:dyDescent="0.25">
      <c r="A3843" t="s">
        <v>8</v>
      </c>
      <c r="B3843" t="s">
        <v>10949</v>
      </c>
      <c r="C3843" t="s">
        <v>10950</v>
      </c>
      <c r="D3843">
        <v>1</v>
      </c>
      <c r="E3843" t="s">
        <v>10901</v>
      </c>
      <c r="F3843" t="s">
        <v>10902</v>
      </c>
      <c r="G3843" s="1"/>
      <c r="H3843" t="str">
        <f>"3250614325854"</f>
        <v>3250614325854</v>
      </c>
      <c r="J3843" t="s">
        <v>10951</v>
      </c>
    </row>
    <row r="3844" spans="1:10" x14ac:dyDescent="0.25">
      <c r="A3844" t="s">
        <v>8</v>
      </c>
      <c r="B3844" t="s">
        <v>10952</v>
      </c>
      <c r="C3844" t="s">
        <v>10953</v>
      </c>
      <c r="D3844">
        <v>1</v>
      </c>
      <c r="E3844" t="s">
        <v>10901</v>
      </c>
      <c r="F3844" t="s">
        <v>10902</v>
      </c>
      <c r="G3844" s="1"/>
      <c r="H3844" t="str">
        <f>"3250614630743"</f>
        <v>3250614630743</v>
      </c>
      <c r="J3844" t="s">
        <v>10954</v>
      </c>
    </row>
    <row r="3845" spans="1:10" x14ac:dyDescent="0.25">
      <c r="A3845" t="s">
        <v>8</v>
      </c>
      <c r="B3845" t="s">
        <v>10955</v>
      </c>
      <c r="C3845" t="s">
        <v>10956</v>
      </c>
      <c r="D3845">
        <v>1</v>
      </c>
      <c r="E3845" t="s">
        <v>10901</v>
      </c>
      <c r="F3845" t="s">
        <v>10902</v>
      </c>
      <c r="G3845" s="1"/>
      <c r="H3845" t="str">
        <f>"3250614630804"</f>
        <v>3250614630804</v>
      </c>
      <c r="J3845" t="s">
        <v>10957</v>
      </c>
    </row>
    <row r="3846" spans="1:10" x14ac:dyDescent="0.25">
      <c r="A3846" t="s">
        <v>8</v>
      </c>
      <c r="B3846" t="s">
        <v>10958</v>
      </c>
      <c r="C3846" t="s">
        <v>10959</v>
      </c>
      <c r="D3846">
        <v>1</v>
      </c>
      <c r="E3846" t="s">
        <v>10901</v>
      </c>
      <c r="F3846" t="s">
        <v>10902</v>
      </c>
      <c r="G3846" s="1"/>
      <c r="H3846" t="str">
        <f>"3250614325847"</f>
        <v>3250614325847</v>
      </c>
      <c r="J3846" t="s">
        <v>10960</v>
      </c>
    </row>
    <row r="3847" spans="1:10" x14ac:dyDescent="0.25">
      <c r="A3847" t="s">
        <v>8</v>
      </c>
      <c r="B3847" t="s">
        <v>10961</v>
      </c>
      <c r="C3847" t="s">
        <v>10962</v>
      </c>
      <c r="D3847">
        <v>1</v>
      </c>
      <c r="E3847" t="s">
        <v>10901</v>
      </c>
      <c r="F3847" t="s">
        <v>10902</v>
      </c>
      <c r="G3847" s="1"/>
      <c r="H3847" t="str">
        <f>"3250614630682"</f>
        <v>3250614630682</v>
      </c>
      <c r="J3847" t="s">
        <v>10963</v>
      </c>
    </row>
    <row r="3848" spans="1:10" x14ac:dyDescent="0.25">
      <c r="A3848" t="s">
        <v>8</v>
      </c>
      <c r="B3848" t="s">
        <v>10964</v>
      </c>
      <c r="C3848" t="s">
        <v>10965</v>
      </c>
      <c r="D3848">
        <v>1</v>
      </c>
      <c r="E3848" t="s">
        <v>10901</v>
      </c>
      <c r="F3848" t="s">
        <v>10902</v>
      </c>
      <c r="G3848" s="1"/>
      <c r="H3848" t="str">
        <f>"3250614630736"</f>
        <v>3250614630736</v>
      </c>
      <c r="J3848" t="s">
        <v>10966</v>
      </c>
    </row>
    <row r="3849" spans="1:10" x14ac:dyDescent="0.25">
      <c r="A3849" t="s">
        <v>8</v>
      </c>
      <c r="B3849" t="s">
        <v>10967</v>
      </c>
      <c r="C3849" t="s">
        <v>10968</v>
      </c>
      <c r="D3849">
        <v>1</v>
      </c>
      <c r="E3849" t="s">
        <v>10901</v>
      </c>
      <c r="F3849" t="s">
        <v>10902</v>
      </c>
      <c r="G3849" s="1"/>
      <c r="H3849" t="str">
        <f>"3250614630798"</f>
        <v>3250614630798</v>
      </c>
      <c r="J3849" t="s">
        <v>10969</v>
      </c>
    </row>
    <row r="3850" spans="1:10" x14ac:dyDescent="0.25">
      <c r="A3850" t="s">
        <v>8</v>
      </c>
      <c r="B3850" t="s">
        <v>10970</v>
      </c>
      <c r="C3850" t="s">
        <v>10971</v>
      </c>
      <c r="D3850">
        <v>1</v>
      </c>
      <c r="E3850" t="s">
        <v>10901</v>
      </c>
      <c r="F3850" t="s">
        <v>10902</v>
      </c>
      <c r="G3850" s="1"/>
      <c r="H3850" t="str">
        <f>"3250614325939"</f>
        <v>3250614325939</v>
      </c>
      <c r="J3850" t="s">
        <v>10973</v>
      </c>
    </row>
    <row r="3851" spans="1:10" x14ac:dyDescent="0.25">
      <c r="A3851" t="s">
        <v>8</v>
      </c>
      <c r="B3851" t="s">
        <v>10974</v>
      </c>
      <c r="C3851" t="s">
        <v>10975</v>
      </c>
      <c r="D3851">
        <v>1</v>
      </c>
      <c r="E3851" t="s">
        <v>10901</v>
      </c>
      <c r="F3851" t="s">
        <v>10902</v>
      </c>
      <c r="G3851" s="1"/>
      <c r="H3851" t="str">
        <f>"3250614325830"</f>
        <v>3250614325830</v>
      </c>
      <c r="J3851" t="s">
        <v>10976</v>
      </c>
    </row>
    <row r="3852" spans="1:10" x14ac:dyDescent="0.25">
      <c r="A3852" t="s">
        <v>8</v>
      </c>
      <c r="B3852" t="s">
        <v>10977</v>
      </c>
      <c r="C3852" t="s">
        <v>10978</v>
      </c>
      <c r="D3852">
        <v>1</v>
      </c>
      <c r="E3852" t="s">
        <v>10901</v>
      </c>
      <c r="F3852" t="s">
        <v>10902</v>
      </c>
      <c r="G3852" s="1"/>
      <c r="H3852" t="str">
        <f>"3250614630675"</f>
        <v>3250614630675</v>
      </c>
      <c r="J3852" t="s">
        <v>10979</v>
      </c>
    </row>
    <row r="3853" spans="1:10" x14ac:dyDescent="0.25">
      <c r="A3853" t="s">
        <v>8</v>
      </c>
      <c r="B3853" t="s">
        <v>10980</v>
      </c>
      <c r="C3853" t="s">
        <v>10981</v>
      </c>
      <c r="D3853">
        <v>1</v>
      </c>
      <c r="E3853" t="s">
        <v>10901</v>
      </c>
      <c r="F3853" t="s">
        <v>10902</v>
      </c>
      <c r="G3853" s="1"/>
      <c r="H3853" t="str">
        <f>"3250614325922"</f>
        <v>3250614325922</v>
      </c>
      <c r="J3853" t="s">
        <v>10982</v>
      </c>
    </row>
    <row r="3854" spans="1:10" x14ac:dyDescent="0.25">
      <c r="A3854" t="s">
        <v>8</v>
      </c>
      <c r="B3854" t="s">
        <v>10983</v>
      </c>
      <c r="C3854" t="s">
        <v>10984</v>
      </c>
      <c r="D3854">
        <v>1</v>
      </c>
      <c r="E3854" t="s">
        <v>10901</v>
      </c>
      <c r="F3854" t="s">
        <v>10902</v>
      </c>
      <c r="G3854" s="1"/>
      <c r="H3854" t="str">
        <f>"3250614630859"</f>
        <v>3250614630859</v>
      </c>
      <c r="J3854" t="s">
        <v>10985</v>
      </c>
    </row>
    <row r="3855" spans="1:10" x14ac:dyDescent="0.25">
      <c r="A3855" t="s">
        <v>8</v>
      </c>
      <c r="B3855" t="s">
        <v>10986</v>
      </c>
      <c r="C3855" t="s">
        <v>10987</v>
      </c>
      <c r="D3855">
        <v>1</v>
      </c>
      <c r="E3855" t="s">
        <v>10901</v>
      </c>
      <c r="F3855" t="s">
        <v>10902</v>
      </c>
      <c r="G3855" s="1"/>
      <c r="H3855" t="str">
        <f>"3250614325915"</f>
        <v>3250614325915</v>
      </c>
      <c r="J3855" t="s">
        <v>10988</v>
      </c>
    </row>
    <row r="3856" spans="1:10" x14ac:dyDescent="0.25">
      <c r="A3856" t="s">
        <v>8</v>
      </c>
      <c r="B3856" t="s">
        <v>10989</v>
      </c>
      <c r="C3856" t="s">
        <v>10990</v>
      </c>
      <c r="D3856">
        <v>1</v>
      </c>
      <c r="E3856" t="s">
        <v>10901</v>
      </c>
      <c r="F3856" t="s">
        <v>10902</v>
      </c>
      <c r="G3856" s="1"/>
      <c r="H3856" t="str">
        <f>"3250614630651"</f>
        <v>3250614630651</v>
      </c>
      <c r="J3856" t="s">
        <v>10979</v>
      </c>
    </row>
    <row r="3857" spans="1:10" x14ac:dyDescent="0.25">
      <c r="A3857" t="s">
        <v>8</v>
      </c>
      <c r="B3857" t="s">
        <v>10991</v>
      </c>
      <c r="C3857" t="s">
        <v>10992</v>
      </c>
      <c r="D3857">
        <v>1</v>
      </c>
      <c r="E3857" t="s">
        <v>10901</v>
      </c>
      <c r="F3857" t="s">
        <v>10902</v>
      </c>
      <c r="G3857" s="1"/>
      <c r="H3857" t="str">
        <f>"3250614630781"</f>
        <v>3250614630781</v>
      </c>
      <c r="J3857" t="s">
        <v>10993</v>
      </c>
    </row>
    <row r="3858" spans="1:10" x14ac:dyDescent="0.25">
      <c r="A3858" t="s">
        <v>8</v>
      </c>
      <c r="B3858" t="s">
        <v>10994</v>
      </c>
      <c r="C3858" t="s">
        <v>10995</v>
      </c>
      <c r="D3858">
        <v>1</v>
      </c>
      <c r="E3858" t="s">
        <v>10901</v>
      </c>
      <c r="F3858" t="s">
        <v>10902</v>
      </c>
      <c r="G3858" s="1"/>
      <c r="H3858" t="str">
        <f>"3250614630842"</f>
        <v>3250614630842</v>
      </c>
      <c r="J3858" t="s">
        <v>10996</v>
      </c>
    </row>
    <row r="3859" spans="1:10" x14ac:dyDescent="0.25">
      <c r="A3859" t="s">
        <v>8</v>
      </c>
      <c r="B3859" t="s">
        <v>10997</v>
      </c>
      <c r="C3859" t="s">
        <v>10998</v>
      </c>
      <c r="D3859">
        <v>1</v>
      </c>
      <c r="E3859" t="s">
        <v>10999</v>
      </c>
      <c r="F3859" t="s">
        <v>11000</v>
      </c>
      <c r="G3859" s="1"/>
      <c r="H3859" t="str">
        <f>"3250617579315"</f>
        <v>3250617579315</v>
      </c>
      <c r="J3859" t="s">
        <v>11001</v>
      </c>
    </row>
    <row r="3860" spans="1:10" x14ac:dyDescent="0.25">
      <c r="A3860" t="s">
        <v>8</v>
      </c>
      <c r="B3860" t="s">
        <v>11002</v>
      </c>
      <c r="C3860" t="s">
        <v>11003</v>
      </c>
      <c r="D3860">
        <v>1</v>
      </c>
      <c r="E3860" t="s">
        <v>10999</v>
      </c>
      <c r="F3860" t="s">
        <v>11000</v>
      </c>
      <c r="G3860" s="1"/>
      <c r="H3860" t="str">
        <f>"3250617579308"</f>
        <v>3250617579308</v>
      </c>
      <c r="J3860" t="s">
        <v>11001</v>
      </c>
    </row>
    <row r="3861" spans="1:10" x14ac:dyDescent="0.25">
      <c r="A3861" t="s">
        <v>8</v>
      </c>
      <c r="B3861" t="s">
        <v>11004</v>
      </c>
      <c r="C3861" t="s">
        <v>11005</v>
      </c>
      <c r="D3861">
        <v>1</v>
      </c>
      <c r="E3861" t="s">
        <v>11006</v>
      </c>
      <c r="F3861" t="s">
        <v>11007</v>
      </c>
      <c r="G3861" s="1"/>
      <c r="H3861" t="str">
        <f>"3250617579339"</f>
        <v>3250617579339</v>
      </c>
      <c r="J3861" t="s">
        <v>10605</v>
      </c>
    </row>
    <row r="3862" spans="1:10" x14ac:dyDescent="0.25">
      <c r="A3862" t="s">
        <v>8</v>
      </c>
      <c r="B3862" t="s">
        <v>11008</v>
      </c>
      <c r="C3862" t="s">
        <v>11009</v>
      </c>
      <c r="D3862">
        <v>1</v>
      </c>
      <c r="E3862" t="s">
        <v>11006</v>
      </c>
      <c r="F3862" t="s">
        <v>11007</v>
      </c>
      <c r="G3862" s="1"/>
      <c r="H3862" t="str">
        <f>"3250617579322"</f>
        <v>3250617579322</v>
      </c>
      <c r="J3862" t="s">
        <v>10605</v>
      </c>
    </row>
    <row r="3863" spans="1:10" x14ac:dyDescent="0.25">
      <c r="A3863" t="s">
        <v>8</v>
      </c>
      <c r="B3863" t="s">
        <v>11010</v>
      </c>
      <c r="C3863" t="s">
        <v>11011</v>
      </c>
      <c r="D3863">
        <v>1</v>
      </c>
      <c r="E3863" t="s">
        <v>11006</v>
      </c>
      <c r="F3863" t="s">
        <v>11007</v>
      </c>
      <c r="G3863" s="1"/>
      <c r="H3863" t="str">
        <f>"3250618502442"</f>
        <v>3250618502442</v>
      </c>
      <c r="J3863" t="s">
        <v>11012</v>
      </c>
    </row>
    <row r="3864" spans="1:10" x14ac:dyDescent="0.25">
      <c r="A3864" t="s">
        <v>8</v>
      </c>
      <c r="B3864" t="s">
        <v>11013</v>
      </c>
      <c r="C3864" t="s">
        <v>11014</v>
      </c>
      <c r="D3864">
        <v>1</v>
      </c>
      <c r="E3864" t="s">
        <v>11015</v>
      </c>
      <c r="F3864" t="s">
        <v>11016</v>
      </c>
      <c r="G3864" s="1"/>
      <c r="H3864" t="str">
        <f>"4012002247198"</f>
        <v>4012002247198</v>
      </c>
      <c r="J3864" t="s">
        <v>11017</v>
      </c>
    </row>
    <row r="3865" spans="1:10" x14ac:dyDescent="0.25">
      <c r="A3865" t="s">
        <v>8</v>
      </c>
      <c r="B3865" t="s">
        <v>11018</v>
      </c>
      <c r="C3865" t="s">
        <v>11019</v>
      </c>
      <c r="D3865">
        <v>1</v>
      </c>
      <c r="E3865" t="s">
        <v>11015</v>
      </c>
      <c r="F3865" t="s">
        <v>11016</v>
      </c>
      <c r="G3865" s="1"/>
      <c r="H3865" t="str">
        <f>"4012002244951"</f>
        <v>4012002244951</v>
      </c>
      <c r="J3865" t="s">
        <v>11020</v>
      </c>
    </row>
    <row r="3866" spans="1:10" x14ac:dyDescent="0.25">
      <c r="A3866" t="s">
        <v>8</v>
      </c>
      <c r="B3866" t="s">
        <v>11021</v>
      </c>
      <c r="C3866" t="s">
        <v>11022</v>
      </c>
      <c r="D3866">
        <v>1</v>
      </c>
      <c r="E3866" t="s">
        <v>11015</v>
      </c>
      <c r="F3866" t="s">
        <v>11016</v>
      </c>
      <c r="G3866" s="1"/>
      <c r="H3866" t="str">
        <f>"4012002245071"</f>
        <v>4012002245071</v>
      </c>
      <c r="J3866" t="s">
        <v>11023</v>
      </c>
    </row>
    <row r="3867" spans="1:10" x14ac:dyDescent="0.25">
      <c r="A3867" t="s">
        <v>8</v>
      </c>
      <c r="B3867" t="s">
        <v>11024</v>
      </c>
      <c r="C3867" t="s">
        <v>11025</v>
      </c>
      <c r="D3867">
        <v>1</v>
      </c>
      <c r="E3867" t="s">
        <v>11015</v>
      </c>
      <c r="F3867" t="s">
        <v>11016</v>
      </c>
      <c r="G3867" s="1"/>
      <c r="H3867" t="str">
        <f>"4012002247181"</f>
        <v>4012002247181</v>
      </c>
      <c r="J3867" t="s">
        <v>11026</v>
      </c>
    </row>
    <row r="3868" spans="1:10" x14ac:dyDescent="0.25">
      <c r="A3868" t="s">
        <v>8</v>
      </c>
      <c r="B3868" t="s">
        <v>11027</v>
      </c>
      <c r="C3868" t="s">
        <v>11028</v>
      </c>
      <c r="D3868">
        <v>1</v>
      </c>
      <c r="E3868" t="s">
        <v>11015</v>
      </c>
      <c r="F3868" t="s">
        <v>11016</v>
      </c>
      <c r="G3868" s="1"/>
      <c r="H3868" t="str">
        <f>"4012002244418"</f>
        <v>4012002244418</v>
      </c>
      <c r="J3868" t="s">
        <v>11029</v>
      </c>
    </row>
    <row r="3869" spans="1:10" x14ac:dyDescent="0.25">
      <c r="A3869" t="s">
        <v>8</v>
      </c>
      <c r="B3869" t="s">
        <v>11030</v>
      </c>
      <c r="C3869" t="s">
        <v>11031</v>
      </c>
      <c r="D3869">
        <v>1</v>
      </c>
      <c r="E3869" t="s">
        <v>11015</v>
      </c>
      <c r="F3869" t="s">
        <v>11016</v>
      </c>
      <c r="G3869" s="1"/>
      <c r="H3869" t="str">
        <f>"4012002245040"</f>
        <v>4012002245040</v>
      </c>
      <c r="J3869" t="s">
        <v>11032</v>
      </c>
    </row>
    <row r="3870" spans="1:10" x14ac:dyDescent="0.25">
      <c r="A3870" t="s">
        <v>8</v>
      </c>
      <c r="B3870" t="s">
        <v>11033</v>
      </c>
      <c r="C3870" t="s">
        <v>11034</v>
      </c>
      <c r="D3870">
        <v>1</v>
      </c>
      <c r="E3870" t="s">
        <v>11015</v>
      </c>
      <c r="F3870" t="s">
        <v>11016</v>
      </c>
      <c r="G3870" s="1"/>
      <c r="H3870" t="str">
        <f>"4012002244401"</f>
        <v>4012002244401</v>
      </c>
      <c r="J3870" t="s">
        <v>11029</v>
      </c>
    </row>
    <row r="3871" spans="1:10" x14ac:dyDescent="0.25">
      <c r="A3871" t="s">
        <v>8</v>
      </c>
      <c r="B3871" t="s">
        <v>11035</v>
      </c>
      <c r="C3871" t="s">
        <v>11036</v>
      </c>
      <c r="D3871">
        <v>1</v>
      </c>
      <c r="E3871" t="s">
        <v>11015</v>
      </c>
      <c r="F3871" t="s">
        <v>11016</v>
      </c>
      <c r="G3871" s="1"/>
      <c r="H3871" t="str">
        <f>"4012002245033"</f>
        <v>4012002245033</v>
      </c>
      <c r="J3871" t="s">
        <v>11032</v>
      </c>
    </row>
    <row r="3872" spans="1:10" x14ac:dyDescent="0.25">
      <c r="A3872" t="s">
        <v>8</v>
      </c>
      <c r="B3872" t="s">
        <v>11037</v>
      </c>
      <c r="C3872" t="s">
        <v>11038</v>
      </c>
      <c r="D3872">
        <v>1</v>
      </c>
      <c r="E3872" t="s">
        <v>11015</v>
      </c>
      <c r="F3872" t="s">
        <v>11016</v>
      </c>
      <c r="G3872" s="1"/>
      <c r="H3872" t="str">
        <f>"4012002245002"</f>
        <v>4012002245002</v>
      </c>
      <c r="J3872" t="s">
        <v>11039</v>
      </c>
    </row>
    <row r="3873" spans="1:10" x14ac:dyDescent="0.25">
      <c r="A3873" t="s">
        <v>8</v>
      </c>
      <c r="B3873" t="s">
        <v>11040</v>
      </c>
      <c r="C3873" t="s">
        <v>11041</v>
      </c>
      <c r="D3873">
        <v>1</v>
      </c>
      <c r="E3873" t="s">
        <v>11015</v>
      </c>
      <c r="F3873" t="s">
        <v>11016</v>
      </c>
      <c r="G3873" s="1"/>
      <c r="H3873" t="str">
        <f>"4012002245125"</f>
        <v>4012002245125</v>
      </c>
      <c r="J3873" t="s">
        <v>11042</v>
      </c>
    </row>
    <row r="3874" spans="1:10" x14ac:dyDescent="0.25">
      <c r="A3874" t="s">
        <v>8</v>
      </c>
      <c r="B3874" t="s">
        <v>11043</v>
      </c>
      <c r="C3874" t="s">
        <v>11044</v>
      </c>
      <c r="D3874">
        <v>1</v>
      </c>
      <c r="E3874" t="s">
        <v>11015</v>
      </c>
      <c r="F3874" t="s">
        <v>11016</v>
      </c>
      <c r="G3874" s="1"/>
      <c r="H3874" t="str">
        <f>"4012002244999"</f>
        <v>4012002244999</v>
      </c>
      <c r="J3874" t="s">
        <v>11039</v>
      </c>
    </row>
    <row r="3875" spans="1:10" x14ac:dyDescent="0.25">
      <c r="A3875" t="s">
        <v>8</v>
      </c>
      <c r="B3875" t="s">
        <v>11045</v>
      </c>
      <c r="C3875" t="s">
        <v>11046</v>
      </c>
      <c r="D3875">
        <v>1</v>
      </c>
      <c r="E3875" t="s">
        <v>11015</v>
      </c>
      <c r="F3875" t="s">
        <v>11016</v>
      </c>
      <c r="G3875" s="1"/>
      <c r="H3875" t="str">
        <f>"4012002244968"</f>
        <v>4012002244968</v>
      </c>
      <c r="J3875" t="s">
        <v>11020</v>
      </c>
    </row>
    <row r="3876" spans="1:10" x14ac:dyDescent="0.25">
      <c r="A3876" t="s">
        <v>8</v>
      </c>
      <c r="B3876" t="s">
        <v>11047</v>
      </c>
      <c r="C3876" t="s">
        <v>11048</v>
      </c>
      <c r="D3876">
        <v>1</v>
      </c>
      <c r="E3876" t="s">
        <v>11015</v>
      </c>
      <c r="F3876" t="s">
        <v>11016</v>
      </c>
      <c r="G3876" s="1"/>
      <c r="H3876" t="str">
        <f>"4012002245118"</f>
        <v>4012002245118</v>
      </c>
      <c r="J3876" t="s">
        <v>11042</v>
      </c>
    </row>
    <row r="3877" spans="1:10" x14ac:dyDescent="0.25">
      <c r="A3877" t="s">
        <v>8</v>
      </c>
      <c r="B3877" t="s">
        <v>11049</v>
      </c>
      <c r="C3877" t="s">
        <v>11041</v>
      </c>
      <c r="D3877">
        <v>1</v>
      </c>
      <c r="E3877" t="s">
        <v>11015</v>
      </c>
      <c r="F3877" t="s">
        <v>11016</v>
      </c>
      <c r="G3877" s="1"/>
      <c r="H3877" t="str">
        <f>"4012002245088"</f>
        <v>4012002245088</v>
      </c>
      <c r="J3877" t="s">
        <v>11023</v>
      </c>
    </row>
    <row r="3878" spans="1:10" x14ac:dyDescent="0.25">
      <c r="A3878" t="s">
        <v>8</v>
      </c>
      <c r="B3878" t="s">
        <v>11050</v>
      </c>
      <c r="C3878" t="s">
        <v>11051</v>
      </c>
      <c r="D3878">
        <v>1</v>
      </c>
      <c r="E3878" t="s">
        <v>11015</v>
      </c>
      <c r="F3878" t="s">
        <v>11016</v>
      </c>
      <c r="G3878" s="1"/>
      <c r="H3878" t="str">
        <f>"4012002244425"</f>
        <v>4012002244425</v>
      </c>
      <c r="J3878" t="s">
        <v>11052</v>
      </c>
    </row>
    <row r="3879" spans="1:10" x14ac:dyDescent="0.25">
      <c r="A3879" t="s">
        <v>8</v>
      </c>
      <c r="B3879" t="s">
        <v>11053</v>
      </c>
      <c r="C3879" t="s">
        <v>11054</v>
      </c>
      <c r="D3879">
        <v>1</v>
      </c>
      <c r="E3879" t="s">
        <v>11015</v>
      </c>
      <c r="F3879" t="s">
        <v>11016</v>
      </c>
      <c r="G3879" s="1"/>
      <c r="H3879" t="str">
        <f>"4012002244432"</f>
        <v>4012002244432</v>
      </c>
      <c r="J3879" t="s">
        <v>11052</v>
      </c>
    </row>
    <row r="3880" spans="1:10" x14ac:dyDescent="0.25">
      <c r="A3880" t="s">
        <v>8</v>
      </c>
      <c r="B3880" t="s">
        <v>11055</v>
      </c>
      <c r="C3880" t="s">
        <v>11056</v>
      </c>
      <c r="D3880">
        <v>1</v>
      </c>
      <c r="E3880" t="s">
        <v>11015</v>
      </c>
      <c r="F3880" t="s">
        <v>11016</v>
      </c>
      <c r="G3880" s="1"/>
      <c r="H3880" t="str">
        <f>"4012002244975"</f>
        <v>4012002244975</v>
      </c>
      <c r="J3880" t="s">
        <v>11057</v>
      </c>
    </row>
    <row r="3881" spans="1:10" x14ac:dyDescent="0.25">
      <c r="A3881" t="s">
        <v>8</v>
      </c>
      <c r="B3881" t="s">
        <v>11058</v>
      </c>
      <c r="C3881" t="s">
        <v>11059</v>
      </c>
      <c r="D3881">
        <v>1</v>
      </c>
      <c r="E3881" t="s">
        <v>11015</v>
      </c>
      <c r="F3881" t="s">
        <v>11016</v>
      </c>
      <c r="G3881" s="1"/>
      <c r="H3881" t="str">
        <f>"4012002244982"</f>
        <v>4012002244982</v>
      </c>
      <c r="J3881" t="s">
        <v>11057</v>
      </c>
    </row>
    <row r="3882" spans="1:10" x14ac:dyDescent="0.25">
      <c r="A3882" t="s">
        <v>8</v>
      </c>
      <c r="B3882" t="s">
        <v>11060</v>
      </c>
      <c r="C3882" t="s">
        <v>11061</v>
      </c>
      <c r="D3882">
        <v>1</v>
      </c>
      <c r="E3882" t="s">
        <v>11015</v>
      </c>
      <c r="F3882" t="s">
        <v>11016</v>
      </c>
      <c r="G3882" s="1"/>
      <c r="H3882" t="str">
        <f>"4012002245019"</f>
        <v>4012002245019</v>
      </c>
      <c r="J3882" t="s">
        <v>11062</v>
      </c>
    </row>
    <row r="3883" spans="1:10" x14ac:dyDescent="0.25">
      <c r="A3883" t="s">
        <v>8</v>
      </c>
      <c r="B3883" t="s">
        <v>11063</v>
      </c>
      <c r="C3883" t="s">
        <v>11064</v>
      </c>
      <c r="D3883">
        <v>1</v>
      </c>
      <c r="E3883" t="s">
        <v>11015</v>
      </c>
      <c r="F3883" t="s">
        <v>11016</v>
      </c>
      <c r="G3883" s="1"/>
      <c r="H3883" t="str">
        <f>"4012002245026"</f>
        <v>4012002245026</v>
      </c>
      <c r="J3883" t="s">
        <v>11062</v>
      </c>
    </row>
    <row r="3884" spans="1:10" x14ac:dyDescent="0.25">
      <c r="A3884" t="s">
        <v>8</v>
      </c>
      <c r="B3884" t="s">
        <v>11065</v>
      </c>
      <c r="C3884" t="s">
        <v>11056</v>
      </c>
      <c r="D3884">
        <v>1</v>
      </c>
      <c r="E3884" t="s">
        <v>11015</v>
      </c>
      <c r="F3884" t="s">
        <v>11016</v>
      </c>
      <c r="G3884" s="1"/>
      <c r="H3884" t="str">
        <f>"4012002245057"</f>
        <v>4012002245057</v>
      </c>
      <c r="J3884" t="s">
        <v>11066</v>
      </c>
    </row>
    <row r="3885" spans="1:10" x14ac:dyDescent="0.25">
      <c r="A3885" t="s">
        <v>8</v>
      </c>
      <c r="B3885" t="s">
        <v>11067</v>
      </c>
      <c r="C3885" t="s">
        <v>11059</v>
      </c>
      <c r="D3885">
        <v>1</v>
      </c>
      <c r="E3885" t="s">
        <v>11015</v>
      </c>
      <c r="F3885" t="s">
        <v>11016</v>
      </c>
      <c r="G3885" s="1"/>
      <c r="H3885" t="str">
        <f>"4012002245064"</f>
        <v>4012002245064</v>
      </c>
      <c r="J3885" t="s">
        <v>11066</v>
      </c>
    </row>
    <row r="3886" spans="1:10" x14ac:dyDescent="0.25">
      <c r="A3886" t="s">
        <v>8</v>
      </c>
      <c r="B3886" t="s">
        <v>11068</v>
      </c>
      <c r="C3886" t="s">
        <v>11069</v>
      </c>
      <c r="D3886">
        <v>1</v>
      </c>
      <c r="E3886" t="s">
        <v>11015</v>
      </c>
      <c r="F3886" t="s">
        <v>11016</v>
      </c>
      <c r="G3886" s="1"/>
      <c r="H3886" t="str">
        <f>"4012002245095"</f>
        <v>4012002245095</v>
      </c>
      <c r="J3886" t="s">
        <v>2155</v>
      </c>
    </row>
    <row r="3887" spans="1:10" x14ac:dyDescent="0.25">
      <c r="A3887" t="s">
        <v>8</v>
      </c>
      <c r="B3887" t="s">
        <v>11070</v>
      </c>
      <c r="C3887" t="s">
        <v>11071</v>
      </c>
      <c r="D3887">
        <v>1</v>
      </c>
      <c r="E3887" t="s">
        <v>11015</v>
      </c>
      <c r="F3887" t="s">
        <v>11016</v>
      </c>
      <c r="G3887" s="1"/>
      <c r="H3887" t="str">
        <f>"4012002245101"</f>
        <v>4012002245101</v>
      </c>
      <c r="J3887" t="s">
        <v>2155</v>
      </c>
    </row>
    <row r="3888" spans="1:10" x14ac:dyDescent="0.25">
      <c r="A3888" t="s">
        <v>8</v>
      </c>
      <c r="B3888" t="s">
        <v>11072</v>
      </c>
      <c r="C3888" t="s">
        <v>11061</v>
      </c>
      <c r="D3888">
        <v>1</v>
      </c>
      <c r="E3888" t="s">
        <v>11015</v>
      </c>
      <c r="F3888" t="s">
        <v>11016</v>
      </c>
      <c r="G3888" s="1"/>
      <c r="H3888" t="str">
        <f>"4012002245132"</f>
        <v>4012002245132</v>
      </c>
      <c r="J3888" t="s">
        <v>11073</v>
      </c>
    </row>
    <row r="3889" spans="1:10" x14ac:dyDescent="0.25">
      <c r="A3889" t="s">
        <v>8</v>
      </c>
      <c r="B3889" t="s">
        <v>11074</v>
      </c>
      <c r="C3889" t="s">
        <v>11064</v>
      </c>
      <c r="D3889">
        <v>1</v>
      </c>
      <c r="E3889" t="s">
        <v>11015</v>
      </c>
      <c r="F3889" t="s">
        <v>11016</v>
      </c>
      <c r="G3889" s="1"/>
      <c r="H3889" t="str">
        <f>"4012002245149"</f>
        <v>4012002245149</v>
      </c>
      <c r="J3889" t="s">
        <v>11073</v>
      </c>
    </row>
    <row r="3890" spans="1:10" x14ac:dyDescent="0.25">
      <c r="A3890" t="s">
        <v>8</v>
      </c>
      <c r="B3890" t="s">
        <v>11075</v>
      </c>
      <c r="C3890" t="s">
        <v>11076</v>
      </c>
      <c r="D3890">
        <v>1</v>
      </c>
      <c r="E3890" t="s">
        <v>11077</v>
      </c>
      <c r="F3890" t="s">
        <v>11078</v>
      </c>
      <c r="G3890" s="1"/>
      <c r="H3890" t="str">
        <f>"4012002238240"</f>
        <v>4012002238240</v>
      </c>
      <c r="J3890" t="s">
        <v>11079</v>
      </c>
    </row>
    <row r="3891" spans="1:10" x14ac:dyDescent="0.25">
      <c r="A3891" t="s">
        <v>8</v>
      </c>
      <c r="B3891" t="s">
        <v>11080</v>
      </c>
      <c r="C3891" t="s">
        <v>11081</v>
      </c>
      <c r="D3891">
        <v>1</v>
      </c>
      <c r="E3891" t="s">
        <v>11077</v>
      </c>
      <c r="F3891" t="s">
        <v>11078</v>
      </c>
      <c r="G3891" s="1"/>
      <c r="H3891" t="str">
        <f>"4012002238349"</f>
        <v>4012002238349</v>
      </c>
      <c r="J3891" t="s">
        <v>11082</v>
      </c>
    </row>
    <row r="3892" spans="1:10" x14ac:dyDescent="0.25">
      <c r="A3892" t="s">
        <v>8</v>
      </c>
      <c r="B3892" t="s">
        <v>11083</v>
      </c>
      <c r="C3892" t="s">
        <v>11084</v>
      </c>
      <c r="D3892">
        <v>1</v>
      </c>
      <c r="E3892" t="s">
        <v>11077</v>
      </c>
      <c r="F3892" t="s">
        <v>11078</v>
      </c>
      <c r="G3892" s="1"/>
      <c r="H3892" t="str">
        <f>"4012002238615"</f>
        <v>4012002238615</v>
      </c>
      <c r="J3892" t="s">
        <v>11085</v>
      </c>
    </row>
    <row r="3893" spans="1:10" x14ac:dyDescent="0.25">
      <c r="A3893" t="s">
        <v>8</v>
      </c>
      <c r="B3893" t="s">
        <v>11086</v>
      </c>
      <c r="C3893" t="s">
        <v>11087</v>
      </c>
      <c r="D3893">
        <v>1</v>
      </c>
      <c r="E3893" t="s">
        <v>11077</v>
      </c>
      <c r="F3893" t="s">
        <v>11078</v>
      </c>
      <c r="G3893" s="1"/>
      <c r="H3893" t="str">
        <f>"4012002238653"</f>
        <v>4012002238653</v>
      </c>
      <c r="J3893" t="s">
        <v>11088</v>
      </c>
    </row>
    <row r="3894" spans="1:10" x14ac:dyDescent="0.25">
      <c r="A3894" t="s">
        <v>8</v>
      </c>
      <c r="B3894" t="s">
        <v>11089</v>
      </c>
      <c r="C3894" t="s">
        <v>11090</v>
      </c>
      <c r="D3894">
        <v>1</v>
      </c>
      <c r="E3894" t="s">
        <v>11077</v>
      </c>
      <c r="F3894" t="s">
        <v>11078</v>
      </c>
      <c r="G3894" s="1"/>
      <c r="H3894" t="str">
        <f>"4012002238967"</f>
        <v>4012002238967</v>
      </c>
      <c r="J3894" t="s">
        <v>11091</v>
      </c>
    </row>
    <row r="3895" spans="1:10" x14ac:dyDescent="0.25">
      <c r="A3895" t="s">
        <v>8</v>
      </c>
      <c r="B3895" t="s">
        <v>11092</v>
      </c>
      <c r="C3895" t="s">
        <v>11093</v>
      </c>
      <c r="D3895">
        <v>1</v>
      </c>
      <c r="E3895" t="s">
        <v>11077</v>
      </c>
      <c r="F3895" t="s">
        <v>11078</v>
      </c>
      <c r="G3895" s="1"/>
      <c r="H3895" t="str">
        <f>"4012002238233"</f>
        <v>4012002238233</v>
      </c>
      <c r="J3895" t="s">
        <v>11079</v>
      </c>
    </row>
    <row r="3896" spans="1:10" x14ac:dyDescent="0.25">
      <c r="A3896" t="s">
        <v>8</v>
      </c>
      <c r="B3896" t="s">
        <v>11094</v>
      </c>
      <c r="C3896" t="s">
        <v>11095</v>
      </c>
      <c r="D3896">
        <v>1</v>
      </c>
      <c r="E3896" t="s">
        <v>11077</v>
      </c>
      <c r="F3896" t="s">
        <v>11078</v>
      </c>
      <c r="G3896" s="1"/>
      <c r="H3896" t="str">
        <f>"4012002238325"</f>
        <v>4012002238325</v>
      </c>
      <c r="J3896" t="s">
        <v>11082</v>
      </c>
    </row>
    <row r="3897" spans="1:10" x14ac:dyDescent="0.25">
      <c r="A3897" t="s">
        <v>8</v>
      </c>
      <c r="B3897" t="s">
        <v>11096</v>
      </c>
      <c r="C3897" t="s">
        <v>11097</v>
      </c>
      <c r="D3897">
        <v>1</v>
      </c>
      <c r="E3897" t="s">
        <v>11077</v>
      </c>
      <c r="F3897" t="s">
        <v>11078</v>
      </c>
      <c r="G3897" s="1"/>
      <c r="H3897" t="str">
        <f>"4012002238608"</f>
        <v>4012002238608</v>
      </c>
      <c r="J3897" t="s">
        <v>11098</v>
      </c>
    </row>
    <row r="3898" spans="1:10" x14ac:dyDescent="0.25">
      <c r="A3898" t="s">
        <v>8</v>
      </c>
      <c r="B3898" t="s">
        <v>11099</v>
      </c>
      <c r="C3898" t="s">
        <v>11100</v>
      </c>
      <c r="D3898">
        <v>1</v>
      </c>
      <c r="E3898" t="s">
        <v>11077</v>
      </c>
      <c r="F3898" t="s">
        <v>11078</v>
      </c>
      <c r="G3898" s="1"/>
      <c r="H3898" t="str">
        <f>"4012002238851"</f>
        <v>4012002238851</v>
      </c>
      <c r="J3898" t="s">
        <v>11101</v>
      </c>
    </row>
    <row r="3899" spans="1:10" x14ac:dyDescent="0.25">
      <c r="A3899" t="s">
        <v>8</v>
      </c>
      <c r="B3899" t="s">
        <v>11102</v>
      </c>
      <c r="C3899" t="s">
        <v>11103</v>
      </c>
      <c r="D3899">
        <v>1</v>
      </c>
      <c r="E3899" t="s">
        <v>11077</v>
      </c>
      <c r="F3899" t="s">
        <v>11078</v>
      </c>
      <c r="G3899" s="1"/>
      <c r="H3899" t="str">
        <f>"4012002238950"</f>
        <v>4012002238950</v>
      </c>
      <c r="J3899" t="s">
        <v>11104</v>
      </c>
    </row>
    <row r="3900" spans="1:10" x14ac:dyDescent="0.25">
      <c r="A3900" t="s">
        <v>8</v>
      </c>
      <c r="B3900" t="s">
        <v>11105</v>
      </c>
      <c r="C3900" t="s">
        <v>11106</v>
      </c>
      <c r="D3900">
        <v>1</v>
      </c>
      <c r="E3900" t="s">
        <v>11077</v>
      </c>
      <c r="F3900" t="s">
        <v>11078</v>
      </c>
      <c r="G3900" s="1"/>
      <c r="H3900" t="str">
        <f>"4012002238226"</f>
        <v>4012002238226</v>
      </c>
      <c r="J3900" t="s">
        <v>11079</v>
      </c>
    </row>
    <row r="3901" spans="1:10" x14ac:dyDescent="0.25">
      <c r="A3901" t="s">
        <v>8</v>
      </c>
      <c r="B3901" t="s">
        <v>11107</v>
      </c>
      <c r="C3901" t="s">
        <v>11108</v>
      </c>
      <c r="D3901">
        <v>1</v>
      </c>
      <c r="E3901" t="s">
        <v>11077</v>
      </c>
      <c r="F3901" t="s">
        <v>11078</v>
      </c>
      <c r="G3901" s="1"/>
      <c r="H3901" t="str">
        <f>"4012002238493"</f>
        <v>4012002238493</v>
      </c>
      <c r="J3901" t="s">
        <v>11109</v>
      </c>
    </row>
    <row r="3902" spans="1:10" x14ac:dyDescent="0.25">
      <c r="A3902" t="s">
        <v>8</v>
      </c>
      <c r="B3902" t="s">
        <v>11110</v>
      </c>
      <c r="C3902" t="s">
        <v>11111</v>
      </c>
      <c r="D3902">
        <v>1</v>
      </c>
      <c r="E3902" t="s">
        <v>11077</v>
      </c>
      <c r="F3902" t="s">
        <v>11078</v>
      </c>
      <c r="G3902" s="1"/>
      <c r="H3902" t="str">
        <f>"4012002238592"</f>
        <v>4012002238592</v>
      </c>
      <c r="J3902" t="s">
        <v>11112</v>
      </c>
    </row>
    <row r="3903" spans="1:10" x14ac:dyDescent="0.25">
      <c r="A3903" t="s">
        <v>8</v>
      </c>
      <c r="B3903" t="s">
        <v>11113</v>
      </c>
      <c r="C3903" t="s">
        <v>11114</v>
      </c>
      <c r="D3903">
        <v>1</v>
      </c>
      <c r="E3903" t="s">
        <v>11077</v>
      </c>
      <c r="F3903" t="s">
        <v>11078</v>
      </c>
      <c r="G3903" s="1"/>
      <c r="H3903" t="str">
        <f>"4012002238837"</f>
        <v>4012002238837</v>
      </c>
      <c r="J3903" t="s">
        <v>11115</v>
      </c>
    </row>
    <row r="3904" spans="1:10" x14ac:dyDescent="0.25">
      <c r="A3904" t="s">
        <v>8</v>
      </c>
      <c r="B3904" t="s">
        <v>11116</v>
      </c>
      <c r="C3904" t="s">
        <v>11117</v>
      </c>
      <c r="D3904">
        <v>1</v>
      </c>
      <c r="E3904" t="s">
        <v>11077</v>
      </c>
      <c r="F3904" t="s">
        <v>11078</v>
      </c>
      <c r="G3904" s="1"/>
      <c r="H3904" t="str">
        <f>"4012002245767"</f>
        <v>4012002245767</v>
      </c>
      <c r="J3904" t="s">
        <v>11118</v>
      </c>
    </row>
    <row r="3905" spans="1:10" x14ac:dyDescent="0.25">
      <c r="A3905" t="s">
        <v>8</v>
      </c>
      <c r="B3905" t="s">
        <v>11119</v>
      </c>
      <c r="C3905" t="s">
        <v>11120</v>
      </c>
      <c r="D3905">
        <v>1</v>
      </c>
      <c r="E3905" t="s">
        <v>11077</v>
      </c>
      <c r="F3905" t="s">
        <v>11078</v>
      </c>
      <c r="G3905" s="1"/>
      <c r="H3905" t="str">
        <f>"4012002237991"</f>
        <v>4012002237991</v>
      </c>
      <c r="J3905" t="s">
        <v>11121</v>
      </c>
    </row>
    <row r="3906" spans="1:10" x14ac:dyDescent="0.25">
      <c r="A3906" t="s">
        <v>8</v>
      </c>
      <c r="B3906" t="s">
        <v>11122</v>
      </c>
      <c r="C3906" t="s">
        <v>11123</v>
      </c>
      <c r="D3906">
        <v>1</v>
      </c>
      <c r="E3906" t="s">
        <v>11077</v>
      </c>
      <c r="F3906" t="s">
        <v>11078</v>
      </c>
      <c r="G3906" s="1"/>
      <c r="H3906" t="str">
        <f>"4012002238219"</f>
        <v>4012002238219</v>
      </c>
      <c r="J3906" t="s">
        <v>11079</v>
      </c>
    </row>
    <row r="3907" spans="1:10" x14ac:dyDescent="0.25">
      <c r="A3907" t="s">
        <v>8</v>
      </c>
      <c r="B3907" t="s">
        <v>11124</v>
      </c>
      <c r="C3907" t="s">
        <v>11125</v>
      </c>
      <c r="D3907">
        <v>1</v>
      </c>
      <c r="E3907" t="s">
        <v>11077</v>
      </c>
      <c r="F3907" t="s">
        <v>11078</v>
      </c>
      <c r="G3907" s="1"/>
      <c r="H3907" t="str">
        <f>"4012002230930"</f>
        <v>4012002230930</v>
      </c>
      <c r="J3907" t="s">
        <v>11126</v>
      </c>
    </row>
    <row r="3908" spans="1:10" x14ac:dyDescent="0.25">
      <c r="A3908" t="s">
        <v>8</v>
      </c>
      <c r="B3908" t="s">
        <v>11127</v>
      </c>
      <c r="C3908" t="s">
        <v>11128</v>
      </c>
      <c r="D3908">
        <v>1</v>
      </c>
      <c r="E3908" t="s">
        <v>11077</v>
      </c>
      <c r="F3908" t="s">
        <v>11078</v>
      </c>
      <c r="G3908" s="1"/>
      <c r="H3908" t="str">
        <f>"4012002238721"</f>
        <v>4012002238721</v>
      </c>
      <c r="J3908" t="s">
        <v>11088</v>
      </c>
    </row>
    <row r="3909" spans="1:10" x14ac:dyDescent="0.25">
      <c r="A3909" t="s">
        <v>8</v>
      </c>
      <c r="B3909" t="s">
        <v>11129</v>
      </c>
      <c r="C3909" t="s">
        <v>11130</v>
      </c>
      <c r="D3909">
        <v>1</v>
      </c>
      <c r="E3909" t="s">
        <v>11077</v>
      </c>
      <c r="F3909" t="s">
        <v>11078</v>
      </c>
      <c r="G3909" s="1"/>
      <c r="H3909" t="str">
        <f>"4012002239148"</f>
        <v>4012002239148</v>
      </c>
      <c r="J3909" t="s">
        <v>11131</v>
      </c>
    </row>
    <row r="3910" spans="1:10" x14ac:dyDescent="0.25">
      <c r="A3910" t="s">
        <v>8</v>
      </c>
      <c r="B3910" t="s">
        <v>11132</v>
      </c>
      <c r="C3910" t="s">
        <v>11133</v>
      </c>
      <c r="D3910">
        <v>1</v>
      </c>
      <c r="E3910" t="s">
        <v>11077</v>
      </c>
      <c r="F3910" t="s">
        <v>11078</v>
      </c>
      <c r="G3910" s="1"/>
      <c r="H3910" t="str">
        <f>"4012002245750"</f>
        <v>4012002245750</v>
      </c>
      <c r="J3910" t="s">
        <v>11134</v>
      </c>
    </row>
    <row r="3911" spans="1:10" x14ac:dyDescent="0.25">
      <c r="A3911" t="s">
        <v>8</v>
      </c>
      <c r="B3911" t="s">
        <v>11135</v>
      </c>
      <c r="C3911" t="s">
        <v>11136</v>
      </c>
      <c r="D3911">
        <v>1</v>
      </c>
      <c r="E3911" t="s">
        <v>11077</v>
      </c>
      <c r="F3911" t="s">
        <v>11078</v>
      </c>
      <c r="G3911" s="1"/>
      <c r="H3911" t="str">
        <f>"4012002237984"</f>
        <v>4012002237984</v>
      </c>
      <c r="J3911" t="s">
        <v>11137</v>
      </c>
    </row>
    <row r="3912" spans="1:10" x14ac:dyDescent="0.25">
      <c r="A3912" t="s">
        <v>8</v>
      </c>
      <c r="B3912" t="s">
        <v>11138</v>
      </c>
      <c r="C3912" t="s">
        <v>11139</v>
      </c>
      <c r="D3912">
        <v>1</v>
      </c>
      <c r="E3912" t="s">
        <v>11077</v>
      </c>
      <c r="F3912" t="s">
        <v>11078</v>
      </c>
      <c r="G3912" s="1"/>
      <c r="H3912" t="str">
        <f>"4012002238301"</f>
        <v>4012002238301</v>
      </c>
      <c r="J3912" t="s">
        <v>11082</v>
      </c>
    </row>
    <row r="3913" spans="1:10" x14ac:dyDescent="0.25">
      <c r="A3913" t="s">
        <v>8</v>
      </c>
      <c r="B3913" t="s">
        <v>11140</v>
      </c>
      <c r="C3913" t="s">
        <v>11141</v>
      </c>
      <c r="D3913">
        <v>1</v>
      </c>
      <c r="E3913" t="s">
        <v>11077</v>
      </c>
      <c r="F3913" t="s">
        <v>11078</v>
      </c>
      <c r="G3913" s="1"/>
      <c r="H3913" t="str">
        <f>"4012002238400"</f>
        <v>4012002238400</v>
      </c>
      <c r="J3913" t="s">
        <v>11142</v>
      </c>
    </row>
    <row r="3914" spans="1:10" x14ac:dyDescent="0.25">
      <c r="A3914" t="s">
        <v>8</v>
      </c>
      <c r="B3914" t="s">
        <v>11143</v>
      </c>
      <c r="C3914" t="s">
        <v>11144</v>
      </c>
      <c r="D3914">
        <v>1</v>
      </c>
      <c r="E3914" t="s">
        <v>11077</v>
      </c>
      <c r="F3914" t="s">
        <v>11078</v>
      </c>
      <c r="G3914" s="1"/>
      <c r="H3914" t="str">
        <f>"4012002238714"</f>
        <v>4012002238714</v>
      </c>
      <c r="J3914" t="s">
        <v>11088</v>
      </c>
    </row>
    <row r="3915" spans="1:10" x14ac:dyDescent="0.25">
      <c r="A3915" t="s">
        <v>8</v>
      </c>
      <c r="B3915" t="s">
        <v>11145</v>
      </c>
      <c r="C3915" t="s">
        <v>11146</v>
      </c>
      <c r="D3915">
        <v>1</v>
      </c>
      <c r="E3915" t="s">
        <v>11077</v>
      </c>
      <c r="F3915" t="s">
        <v>11078</v>
      </c>
      <c r="G3915" s="1"/>
      <c r="H3915" t="str">
        <f>"4012002239131"</f>
        <v>4012002239131</v>
      </c>
      <c r="J3915" t="s">
        <v>11131</v>
      </c>
    </row>
    <row r="3916" spans="1:10" x14ac:dyDescent="0.25">
      <c r="A3916" t="s">
        <v>8</v>
      </c>
      <c r="B3916" t="s">
        <v>11147</v>
      </c>
      <c r="C3916" t="s">
        <v>11148</v>
      </c>
      <c r="D3916">
        <v>1</v>
      </c>
      <c r="E3916" t="s">
        <v>11077</v>
      </c>
      <c r="F3916" t="s">
        <v>11078</v>
      </c>
      <c r="G3916" s="1"/>
      <c r="H3916" t="str">
        <f>"4012002237977"</f>
        <v>4012002237977</v>
      </c>
      <c r="J3916" t="s">
        <v>11149</v>
      </c>
    </row>
    <row r="3917" spans="1:10" x14ac:dyDescent="0.25">
      <c r="A3917" t="s">
        <v>8</v>
      </c>
      <c r="B3917" t="s">
        <v>11150</v>
      </c>
      <c r="C3917" t="s">
        <v>11151</v>
      </c>
      <c r="D3917">
        <v>1</v>
      </c>
      <c r="E3917" t="s">
        <v>11077</v>
      </c>
      <c r="F3917" t="s">
        <v>11078</v>
      </c>
      <c r="G3917" s="1"/>
      <c r="H3917" t="str">
        <f>"4012002238295"</f>
        <v>4012002238295</v>
      </c>
      <c r="J3917" t="s">
        <v>11082</v>
      </c>
    </row>
    <row r="3918" spans="1:10" x14ac:dyDescent="0.25">
      <c r="A3918" t="s">
        <v>8</v>
      </c>
      <c r="B3918" t="s">
        <v>11152</v>
      </c>
      <c r="C3918" t="s">
        <v>11153</v>
      </c>
      <c r="D3918">
        <v>1</v>
      </c>
      <c r="E3918" t="s">
        <v>11077</v>
      </c>
      <c r="F3918" t="s">
        <v>11078</v>
      </c>
      <c r="G3918" s="1"/>
      <c r="H3918" t="str">
        <f>"4012002238387"</f>
        <v>4012002238387</v>
      </c>
      <c r="J3918" t="s">
        <v>11082</v>
      </c>
    </row>
    <row r="3919" spans="1:10" x14ac:dyDescent="0.25">
      <c r="A3919" t="s">
        <v>8</v>
      </c>
      <c r="B3919" t="s">
        <v>11154</v>
      </c>
      <c r="C3919" t="s">
        <v>11155</v>
      </c>
      <c r="D3919">
        <v>1</v>
      </c>
      <c r="E3919" t="s">
        <v>11077</v>
      </c>
      <c r="F3919" t="s">
        <v>11078</v>
      </c>
      <c r="G3919" s="1"/>
      <c r="H3919" t="str">
        <f>"4012002238929"</f>
        <v>4012002238929</v>
      </c>
      <c r="J3919" t="s">
        <v>11156</v>
      </c>
    </row>
    <row r="3920" spans="1:10" x14ac:dyDescent="0.25">
      <c r="A3920" t="s">
        <v>8</v>
      </c>
      <c r="B3920" t="s">
        <v>11157</v>
      </c>
      <c r="C3920" t="s">
        <v>11158</v>
      </c>
      <c r="D3920">
        <v>1</v>
      </c>
      <c r="E3920" t="s">
        <v>11077</v>
      </c>
      <c r="F3920" t="s">
        <v>11078</v>
      </c>
      <c r="G3920" s="1"/>
      <c r="H3920" t="str">
        <f>"4012002239117"</f>
        <v>4012002239117</v>
      </c>
      <c r="J3920" t="s">
        <v>11131</v>
      </c>
    </row>
    <row r="3921" spans="1:10" x14ac:dyDescent="0.25">
      <c r="A3921" t="s">
        <v>8</v>
      </c>
      <c r="B3921" t="s">
        <v>11159</v>
      </c>
      <c r="C3921" t="s">
        <v>11160</v>
      </c>
      <c r="D3921">
        <v>1</v>
      </c>
      <c r="E3921" t="s">
        <v>11077</v>
      </c>
      <c r="F3921" t="s">
        <v>11078</v>
      </c>
      <c r="G3921" s="1"/>
      <c r="H3921" t="str">
        <f>"4012002237960"</f>
        <v>4012002237960</v>
      </c>
      <c r="J3921" t="s">
        <v>11161</v>
      </c>
    </row>
    <row r="3922" spans="1:10" x14ac:dyDescent="0.25">
      <c r="A3922" t="s">
        <v>8</v>
      </c>
      <c r="B3922" t="s">
        <v>11162</v>
      </c>
      <c r="C3922" t="s">
        <v>11163</v>
      </c>
      <c r="D3922">
        <v>1</v>
      </c>
      <c r="E3922" t="s">
        <v>11077</v>
      </c>
      <c r="F3922" t="s">
        <v>11078</v>
      </c>
      <c r="G3922" s="1"/>
      <c r="H3922" t="str">
        <f>"4012002238288"</f>
        <v>4012002238288</v>
      </c>
      <c r="J3922" t="s">
        <v>11082</v>
      </c>
    </row>
    <row r="3923" spans="1:10" x14ac:dyDescent="0.25">
      <c r="A3923" t="s">
        <v>8</v>
      </c>
      <c r="B3923" t="s">
        <v>11164</v>
      </c>
      <c r="C3923" t="s">
        <v>11165</v>
      </c>
      <c r="D3923">
        <v>1</v>
      </c>
      <c r="E3923" t="s">
        <v>11077</v>
      </c>
      <c r="F3923" t="s">
        <v>11078</v>
      </c>
      <c r="G3923" s="1"/>
      <c r="H3923" t="str">
        <f>"4012002238561"</f>
        <v>4012002238561</v>
      </c>
      <c r="J3923" t="s">
        <v>11166</v>
      </c>
    </row>
    <row r="3924" spans="1:10" x14ac:dyDescent="0.25">
      <c r="A3924" t="s">
        <v>8</v>
      </c>
      <c r="B3924" t="s">
        <v>11167</v>
      </c>
      <c r="C3924" t="s">
        <v>11168</v>
      </c>
      <c r="D3924">
        <v>1</v>
      </c>
      <c r="E3924" t="s">
        <v>11077</v>
      </c>
      <c r="F3924" t="s">
        <v>11078</v>
      </c>
      <c r="G3924" s="1"/>
      <c r="H3924" t="str">
        <f>"4012002238912"</f>
        <v>4012002238912</v>
      </c>
      <c r="J3924" t="s">
        <v>11169</v>
      </c>
    </row>
    <row r="3925" spans="1:10" x14ac:dyDescent="0.25">
      <c r="A3925" t="s">
        <v>8</v>
      </c>
      <c r="B3925" t="s">
        <v>11170</v>
      </c>
      <c r="C3925" t="s">
        <v>11171</v>
      </c>
      <c r="D3925">
        <v>1</v>
      </c>
      <c r="E3925" t="s">
        <v>11077</v>
      </c>
      <c r="F3925" t="s">
        <v>11078</v>
      </c>
      <c r="G3925" s="1"/>
      <c r="H3925" t="str">
        <f>"4012002239100"</f>
        <v>4012002239100</v>
      </c>
      <c r="J3925" t="s">
        <v>11131</v>
      </c>
    </row>
    <row r="3926" spans="1:10" x14ac:dyDescent="0.25">
      <c r="A3926" t="s">
        <v>8</v>
      </c>
      <c r="B3926" t="s">
        <v>11172</v>
      </c>
      <c r="C3926" t="s">
        <v>11173</v>
      </c>
      <c r="D3926">
        <v>1</v>
      </c>
      <c r="E3926" t="s">
        <v>11077</v>
      </c>
      <c r="F3926" t="s">
        <v>11078</v>
      </c>
      <c r="G3926" s="1"/>
      <c r="H3926" t="str">
        <f>"4012002238059"</f>
        <v>4012002238059</v>
      </c>
      <c r="J3926" t="s">
        <v>11174</v>
      </c>
    </row>
    <row r="3927" spans="1:10" x14ac:dyDescent="0.25">
      <c r="A3927" t="s">
        <v>8</v>
      </c>
      <c r="B3927" t="s">
        <v>11175</v>
      </c>
      <c r="C3927" t="s">
        <v>11176</v>
      </c>
      <c r="D3927">
        <v>1</v>
      </c>
      <c r="E3927" t="s">
        <v>11077</v>
      </c>
      <c r="F3927" t="s">
        <v>11078</v>
      </c>
      <c r="G3927" s="1"/>
      <c r="H3927" t="str">
        <f>"4012002238257"</f>
        <v>4012002238257</v>
      </c>
      <c r="J3927" t="s">
        <v>11079</v>
      </c>
    </row>
    <row r="3928" spans="1:10" x14ac:dyDescent="0.25">
      <c r="A3928" t="s">
        <v>8</v>
      </c>
      <c r="B3928" t="s">
        <v>11177</v>
      </c>
      <c r="C3928" t="s">
        <v>11178</v>
      </c>
      <c r="D3928">
        <v>1</v>
      </c>
      <c r="E3928" t="s">
        <v>11077</v>
      </c>
      <c r="F3928" t="s">
        <v>11078</v>
      </c>
      <c r="G3928" s="1"/>
      <c r="H3928" t="str">
        <f>"4012002238554"</f>
        <v>4012002238554</v>
      </c>
      <c r="J3928" t="s">
        <v>11179</v>
      </c>
    </row>
    <row r="3929" spans="1:10" x14ac:dyDescent="0.25">
      <c r="A3929" t="s">
        <v>8</v>
      </c>
      <c r="B3929" t="s">
        <v>11180</v>
      </c>
      <c r="C3929" t="s">
        <v>11181</v>
      </c>
      <c r="D3929">
        <v>1</v>
      </c>
      <c r="E3929" t="s">
        <v>11077</v>
      </c>
      <c r="F3929" t="s">
        <v>11078</v>
      </c>
      <c r="G3929" s="1"/>
      <c r="H3929" t="str">
        <f>"4012002238905"</f>
        <v>4012002238905</v>
      </c>
      <c r="J3929" t="s">
        <v>11182</v>
      </c>
    </row>
    <row r="3930" spans="1:10" x14ac:dyDescent="0.25">
      <c r="A3930" t="s">
        <v>8</v>
      </c>
      <c r="B3930" t="s">
        <v>11183</v>
      </c>
      <c r="C3930" t="s">
        <v>11184</v>
      </c>
      <c r="D3930">
        <v>1</v>
      </c>
      <c r="E3930" t="s">
        <v>11077</v>
      </c>
      <c r="F3930" t="s">
        <v>11078</v>
      </c>
      <c r="G3930" s="1"/>
      <c r="H3930" t="str">
        <f>"4012002245835"</f>
        <v>4012002245835</v>
      </c>
      <c r="J3930" t="s">
        <v>11185</v>
      </c>
    </row>
    <row r="3931" spans="1:10" x14ac:dyDescent="0.25">
      <c r="A3931" t="s">
        <v>8</v>
      </c>
      <c r="B3931" t="s">
        <v>11186</v>
      </c>
      <c r="C3931" t="s">
        <v>11187</v>
      </c>
      <c r="D3931">
        <v>1</v>
      </c>
      <c r="E3931" t="s">
        <v>11077</v>
      </c>
      <c r="F3931" t="s">
        <v>11078</v>
      </c>
      <c r="G3931" s="1"/>
      <c r="H3931" t="str">
        <f>"4012002238042"</f>
        <v>4012002238042</v>
      </c>
      <c r="J3931" t="s">
        <v>11188</v>
      </c>
    </row>
    <row r="3932" spans="1:10" x14ac:dyDescent="0.25">
      <c r="A3932" t="s">
        <v>8</v>
      </c>
      <c r="B3932" t="s">
        <v>11189</v>
      </c>
      <c r="C3932" t="s">
        <v>11190</v>
      </c>
      <c r="D3932">
        <v>1</v>
      </c>
      <c r="E3932" t="s">
        <v>11077</v>
      </c>
      <c r="F3932" t="s">
        <v>11078</v>
      </c>
      <c r="G3932" s="1"/>
      <c r="H3932" t="str">
        <f>"4012002238547"</f>
        <v>4012002238547</v>
      </c>
      <c r="J3932" t="s">
        <v>11191</v>
      </c>
    </row>
    <row r="3933" spans="1:10" x14ac:dyDescent="0.25">
      <c r="A3933" t="s">
        <v>8</v>
      </c>
      <c r="B3933" t="s">
        <v>11192</v>
      </c>
      <c r="C3933" t="s">
        <v>11193</v>
      </c>
      <c r="D3933">
        <v>1</v>
      </c>
      <c r="E3933" t="s">
        <v>11077</v>
      </c>
      <c r="F3933" t="s">
        <v>11078</v>
      </c>
      <c r="G3933" s="1"/>
      <c r="H3933" t="str">
        <f>"4012002238691"</f>
        <v>4012002238691</v>
      </c>
      <c r="J3933" t="s">
        <v>11088</v>
      </c>
    </row>
    <row r="3934" spans="1:10" x14ac:dyDescent="0.25">
      <c r="A3934" t="s">
        <v>8</v>
      </c>
      <c r="B3934" t="s">
        <v>11194</v>
      </c>
      <c r="C3934" t="s">
        <v>11195</v>
      </c>
      <c r="D3934">
        <v>1</v>
      </c>
      <c r="E3934" t="s">
        <v>11077</v>
      </c>
      <c r="F3934" t="s">
        <v>11078</v>
      </c>
      <c r="G3934" s="1"/>
      <c r="H3934" t="str">
        <f>"4012002238899"</f>
        <v>4012002238899</v>
      </c>
      <c r="J3934" t="s">
        <v>11196</v>
      </c>
    </row>
    <row r="3935" spans="1:10" x14ac:dyDescent="0.25">
      <c r="A3935" t="s">
        <v>8</v>
      </c>
      <c r="B3935" t="s">
        <v>11197</v>
      </c>
      <c r="C3935" t="s">
        <v>11198</v>
      </c>
      <c r="D3935">
        <v>1</v>
      </c>
      <c r="E3935" t="s">
        <v>11077</v>
      </c>
      <c r="F3935" t="s">
        <v>11078</v>
      </c>
      <c r="G3935" s="1"/>
      <c r="H3935" t="str">
        <f>"4012002245828"</f>
        <v>4012002245828</v>
      </c>
      <c r="J3935" t="s">
        <v>11199</v>
      </c>
    </row>
    <row r="3936" spans="1:10" x14ac:dyDescent="0.25">
      <c r="A3936" t="s">
        <v>8</v>
      </c>
      <c r="B3936" t="s">
        <v>11200</v>
      </c>
      <c r="C3936" t="s">
        <v>11201</v>
      </c>
      <c r="D3936">
        <v>1</v>
      </c>
      <c r="E3936" t="s">
        <v>11077</v>
      </c>
      <c r="F3936" t="s">
        <v>11078</v>
      </c>
      <c r="G3936" s="1"/>
      <c r="H3936" t="str">
        <f>"4012002238035"</f>
        <v>4012002238035</v>
      </c>
      <c r="J3936" t="s">
        <v>11202</v>
      </c>
    </row>
    <row r="3937" spans="1:10" x14ac:dyDescent="0.25">
      <c r="A3937" t="s">
        <v>8</v>
      </c>
      <c r="B3937" t="s">
        <v>11203</v>
      </c>
      <c r="C3937" t="s">
        <v>11204</v>
      </c>
      <c r="D3937">
        <v>1</v>
      </c>
      <c r="E3937" t="s">
        <v>11077</v>
      </c>
      <c r="F3937" t="s">
        <v>11078</v>
      </c>
      <c r="G3937" s="1"/>
      <c r="H3937" t="str">
        <f>"4012002238370"</f>
        <v>4012002238370</v>
      </c>
      <c r="J3937" t="s">
        <v>11082</v>
      </c>
    </row>
    <row r="3938" spans="1:10" x14ac:dyDescent="0.25">
      <c r="A3938" t="s">
        <v>8</v>
      </c>
      <c r="B3938" t="s">
        <v>11205</v>
      </c>
      <c r="C3938" t="s">
        <v>11206</v>
      </c>
      <c r="D3938">
        <v>1</v>
      </c>
      <c r="E3938" t="s">
        <v>11077</v>
      </c>
      <c r="F3938" t="s">
        <v>11078</v>
      </c>
      <c r="G3938" s="1"/>
      <c r="H3938" t="str">
        <f>"4012002238530"</f>
        <v>4012002238530</v>
      </c>
      <c r="J3938" t="s">
        <v>11057</v>
      </c>
    </row>
    <row r="3939" spans="1:10" x14ac:dyDescent="0.25">
      <c r="A3939" t="s">
        <v>8</v>
      </c>
      <c r="B3939" t="s">
        <v>11207</v>
      </c>
      <c r="C3939" t="s">
        <v>11208</v>
      </c>
      <c r="D3939">
        <v>1</v>
      </c>
      <c r="E3939" t="s">
        <v>11077</v>
      </c>
      <c r="F3939" t="s">
        <v>11078</v>
      </c>
      <c r="G3939" s="1"/>
      <c r="H3939" t="str">
        <f>"4012002238684"</f>
        <v>4012002238684</v>
      </c>
      <c r="J3939" t="s">
        <v>11088</v>
      </c>
    </row>
    <row r="3940" spans="1:10" x14ac:dyDescent="0.25">
      <c r="A3940" t="s">
        <v>8</v>
      </c>
      <c r="B3940" t="s">
        <v>11209</v>
      </c>
      <c r="C3940" t="s">
        <v>11210</v>
      </c>
      <c r="D3940">
        <v>1</v>
      </c>
      <c r="E3940" t="s">
        <v>11077</v>
      </c>
      <c r="F3940" t="s">
        <v>11078</v>
      </c>
      <c r="G3940" s="1"/>
      <c r="H3940" t="str">
        <f>"4012002238981"</f>
        <v>4012002238981</v>
      </c>
      <c r="J3940" t="s">
        <v>11212</v>
      </c>
    </row>
    <row r="3941" spans="1:10" x14ac:dyDescent="0.25">
      <c r="A3941" t="s">
        <v>8</v>
      </c>
      <c r="B3941" t="s">
        <v>11213</v>
      </c>
      <c r="C3941" t="s">
        <v>11214</v>
      </c>
      <c r="D3941">
        <v>1</v>
      </c>
      <c r="E3941" t="s">
        <v>11077</v>
      </c>
      <c r="F3941" t="s">
        <v>11078</v>
      </c>
      <c r="G3941" s="1"/>
      <c r="H3941" t="str">
        <f>"4012002239179"</f>
        <v>4012002239179</v>
      </c>
      <c r="J3941" t="s">
        <v>11131</v>
      </c>
    </row>
    <row r="3942" spans="1:10" x14ac:dyDescent="0.25">
      <c r="A3942" t="s">
        <v>8</v>
      </c>
      <c r="B3942" t="s">
        <v>11215</v>
      </c>
      <c r="C3942" t="s">
        <v>11216</v>
      </c>
      <c r="D3942">
        <v>1</v>
      </c>
      <c r="E3942" t="s">
        <v>11077</v>
      </c>
      <c r="F3942" t="s">
        <v>11078</v>
      </c>
      <c r="G3942" s="1"/>
      <c r="H3942" t="str">
        <f>"4012002245774"</f>
        <v>4012002245774</v>
      </c>
      <c r="J3942" t="s">
        <v>11217</v>
      </c>
    </row>
    <row r="3943" spans="1:10" x14ac:dyDescent="0.25">
      <c r="A3943" t="s">
        <v>8</v>
      </c>
      <c r="B3943" t="s">
        <v>11218</v>
      </c>
      <c r="C3943" t="s">
        <v>11219</v>
      </c>
      <c r="D3943">
        <v>1</v>
      </c>
      <c r="E3943" t="s">
        <v>11077</v>
      </c>
      <c r="F3943" t="s">
        <v>11078</v>
      </c>
      <c r="G3943" s="1"/>
      <c r="H3943" t="str">
        <f>"4012002238004"</f>
        <v>4012002238004</v>
      </c>
      <c r="J3943" t="s">
        <v>11220</v>
      </c>
    </row>
    <row r="3944" spans="1:10" x14ac:dyDescent="0.25">
      <c r="A3944" t="s">
        <v>8</v>
      </c>
      <c r="B3944" t="s">
        <v>11221</v>
      </c>
      <c r="C3944" t="s">
        <v>11222</v>
      </c>
      <c r="D3944">
        <v>1</v>
      </c>
      <c r="E3944" t="s">
        <v>11077</v>
      </c>
      <c r="F3944" t="s">
        <v>11078</v>
      </c>
      <c r="G3944" s="1"/>
      <c r="H3944" t="str">
        <f>"4012002238363"</f>
        <v>4012002238363</v>
      </c>
      <c r="J3944" t="s">
        <v>11082</v>
      </c>
    </row>
    <row r="3945" spans="1:10" x14ac:dyDescent="0.25">
      <c r="A3945" t="s">
        <v>8</v>
      </c>
      <c r="B3945" t="s">
        <v>11223</v>
      </c>
      <c r="C3945" t="s">
        <v>11224</v>
      </c>
      <c r="D3945">
        <v>1</v>
      </c>
      <c r="E3945" t="s">
        <v>11077</v>
      </c>
      <c r="F3945" t="s">
        <v>11078</v>
      </c>
      <c r="G3945" s="1"/>
      <c r="H3945" t="str">
        <f>"4012002238622"</f>
        <v>4012002238622</v>
      </c>
      <c r="J3945" t="s">
        <v>11225</v>
      </c>
    </row>
    <row r="3946" spans="1:10" x14ac:dyDescent="0.25">
      <c r="A3946" t="s">
        <v>8</v>
      </c>
      <c r="B3946" t="s">
        <v>11226</v>
      </c>
      <c r="C3946" t="s">
        <v>11227</v>
      </c>
      <c r="D3946">
        <v>1</v>
      </c>
      <c r="E3946" t="s">
        <v>11077</v>
      </c>
      <c r="F3946" t="s">
        <v>11078</v>
      </c>
      <c r="G3946" s="1"/>
      <c r="H3946" t="str">
        <f>"4012002238660"</f>
        <v>4012002238660</v>
      </c>
      <c r="J3946" t="s">
        <v>11088</v>
      </c>
    </row>
    <row r="3947" spans="1:10" x14ac:dyDescent="0.25">
      <c r="A3947" t="s">
        <v>8</v>
      </c>
      <c r="B3947" t="s">
        <v>11228</v>
      </c>
      <c r="C3947" t="s">
        <v>11229</v>
      </c>
      <c r="D3947">
        <v>1</v>
      </c>
      <c r="E3947" t="s">
        <v>11077</v>
      </c>
      <c r="F3947" t="s">
        <v>11078</v>
      </c>
      <c r="G3947" s="1"/>
      <c r="H3947" t="str">
        <f>"4012002238974"</f>
        <v>4012002238974</v>
      </c>
      <c r="J3947" t="s">
        <v>11230</v>
      </c>
    </row>
    <row r="3948" spans="1:10" x14ac:dyDescent="0.25">
      <c r="A3948" t="s">
        <v>8</v>
      </c>
      <c r="B3948" t="s">
        <v>11231</v>
      </c>
      <c r="C3948" t="s">
        <v>11232</v>
      </c>
      <c r="D3948">
        <v>1</v>
      </c>
      <c r="E3948" t="s">
        <v>11077</v>
      </c>
      <c r="F3948" t="s">
        <v>11078</v>
      </c>
      <c r="G3948" s="1"/>
      <c r="H3948" t="str">
        <f>"4012002239162"</f>
        <v>4012002239162</v>
      </c>
      <c r="J3948" t="s">
        <v>11131</v>
      </c>
    </row>
    <row r="3949" spans="1:10" x14ac:dyDescent="0.25">
      <c r="A3949" t="s">
        <v>8</v>
      </c>
      <c r="B3949" t="s">
        <v>11233</v>
      </c>
      <c r="C3949" t="s">
        <v>11234</v>
      </c>
      <c r="D3949">
        <v>1</v>
      </c>
      <c r="E3949" t="s">
        <v>11077</v>
      </c>
      <c r="F3949" t="s">
        <v>11078</v>
      </c>
      <c r="G3949" s="1"/>
      <c r="H3949" t="str">
        <f>"4012002247389"</f>
        <v>4012002247389</v>
      </c>
      <c r="J3949" t="s">
        <v>11235</v>
      </c>
    </row>
    <row r="3950" spans="1:10" x14ac:dyDescent="0.25">
      <c r="A3950" t="s">
        <v>8</v>
      </c>
      <c r="B3950" t="s">
        <v>11236</v>
      </c>
      <c r="C3950" t="s">
        <v>11237</v>
      </c>
      <c r="D3950">
        <v>1</v>
      </c>
      <c r="E3950" t="s">
        <v>11077</v>
      </c>
      <c r="F3950" t="s">
        <v>11078</v>
      </c>
      <c r="G3950" s="1"/>
      <c r="H3950" t="str">
        <f>"4012002247372"</f>
        <v>4012002247372</v>
      </c>
      <c r="J3950" t="s">
        <v>11238</v>
      </c>
    </row>
    <row r="3951" spans="1:10" x14ac:dyDescent="0.25">
      <c r="A3951" t="s">
        <v>8</v>
      </c>
      <c r="B3951">
        <v>4505</v>
      </c>
      <c r="C3951" t="s">
        <v>11239</v>
      </c>
      <c r="D3951">
        <v>1</v>
      </c>
      <c r="E3951" t="s">
        <v>11240</v>
      </c>
      <c r="F3951" t="s">
        <v>11241</v>
      </c>
      <c r="G3951" s="1"/>
      <c r="H3951" t="str">
        <f>"3542220045050"</f>
        <v>3542220045050</v>
      </c>
      <c r="J3951" t="s">
        <v>11242</v>
      </c>
    </row>
    <row r="3952" spans="1:10" x14ac:dyDescent="0.25">
      <c r="A3952" t="s">
        <v>8</v>
      </c>
      <c r="B3952">
        <v>4504</v>
      </c>
      <c r="C3952" t="s">
        <v>11243</v>
      </c>
      <c r="D3952">
        <v>1</v>
      </c>
      <c r="E3952" t="s">
        <v>11240</v>
      </c>
      <c r="F3952" t="s">
        <v>11241</v>
      </c>
      <c r="G3952" s="1"/>
      <c r="H3952" t="str">
        <f>"3542220045043"</f>
        <v>3542220045043</v>
      </c>
      <c r="J3952" t="s">
        <v>11244</v>
      </c>
    </row>
    <row r="3953" spans="1:10" x14ac:dyDescent="0.25">
      <c r="A3953" t="s">
        <v>8</v>
      </c>
      <c r="B3953" t="s">
        <v>11245</v>
      </c>
      <c r="C3953" t="s">
        <v>11246</v>
      </c>
      <c r="D3953">
        <v>1</v>
      </c>
      <c r="E3953" t="s">
        <v>11247</v>
      </c>
      <c r="F3953" t="s">
        <v>11248</v>
      </c>
      <c r="G3953" s="1"/>
      <c r="H3953" t="str">
        <f>"3250612547890"</f>
        <v>3250612547890</v>
      </c>
      <c r="J3953" t="s">
        <v>11249</v>
      </c>
    </row>
    <row r="3954" spans="1:10" x14ac:dyDescent="0.25">
      <c r="A3954" t="s">
        <v>8</v>
      </c>
      <c r="B3954" t="s">
        <v>11250</v>
      </c>
      <c r="C3954" t="s">
        <v>11251</v>
      </c>
      <c r="D3954">
        <v>1</v>
      </c>
      <c r="E3954" t="s">
        <v>11247</v>
      </c>
      <c r="F3954" t="s">
        <v>11248</v>
      </c>
      <c r="G3954" s="1"/>
      <c r="H3954" t="str">
        <f>"3250612540990"</f>
        <v>3250612540990</v>
      </c>
      <c r="J3954" t="s">
        <v>11252</v>
      </c>
    </row>
    <row r="3955" spans="1:10" x14ac:dyDescent="0.25">
      <c r="A3955" t="s">
        <v>8</v>
      </c>
      <c r="B3955" t="s">
        <v>11253</v>
      </c>
      <c r="C3955" t="s">
        <v>11254</v>
      </c>
      <c r="D3955">
        <v>1</v>
      </c>
      <c r="E3955" t="s">
        <v>11255</v>
      </c>
      <c r="F3955" t="s">
        <v>11256</v>
      </c>
      <c r="G3955" s="1"/>
      <c r="H3955" t="str">
        <f>"3250615640062"</f>
        <v>3250615640062</v>
      </c>
      <c r="J3955" t="s">
        <v>11257</v>
      </c>
    </row>
    <row r="3956" spans="1:10" x14ac:dyDescent="0.25">
      <c r="A3956" t="s">
        <v>8</v>
      </c>
      <c r="B3956" t="s">
        <v>11258</v>
      </c>
      <c r="C3956" t="s">
        <v>11259</v>
      </c>
      <c r="D3956">
        <v>1</v>
      </c>
      <c r="E3956" t="s">
        <v>11255</v>
      </c>
      <c r="F3956" t="s">
        <v>11256</v>
      </c>
      <c r="G3956" s="1"/>
      <c r="H3956" t="str">
        <f>"3250615640079"</f>
        <v>3250615640079</v>
      </c>
      <c r="J3956" t="s">
        <v>11260</v>
      </c>
    </row>
    <row r="3957" spans="1:10" x14ac:dyDescent="0.25">
      <c r="A3957" t="s">
        <v>8</v>
      </c>
      <c r="B3957" t="s">
        <v>11261</v>
      </c>
      <c r="C3957" t="s">
        <v>11262</v>
      </c>
      <c r="D3957">
        <v>1</v>
      </c>
      <c r="E3957" t="s">
        <v>11263</v>
      </c>
      <c r="F3957" t="s">
        <v>11264</v>
      </c>
      <c r="G3957" s="1"/>
      <c r="H3957" t="str">
        <f>"3250617174015"</f>
        <v>3250617174015</v>
      </c>
      <c r="I3957" s="1"/>
      <c r="J3957" t="s">
        <v>11265</v>
      </c>
    </row>
    <row r="3958" spans="1:10" x14ac:dyDescent="0.25">
      <c r="A3958" t="s">
        <v>8</v>
      </c>
      <c r="B3958" t="s">
        <v>11266</v>
      </c>
      <c r="C3958" t="s">
        <v>11267</v>
      </c>
      <c r="D3958">
        <v>1</v>
      </c>
      <c r="E3958" t="s">
        <v>11263</v>
      </c>
      <c r="F3958" t="s">
        <v>11264</v>
      </c>
      <c r="G3958" s="1"/>
      <c r="H3958" t="str">
        <f>"3250617175012"</f>
        <v>3250617175012</v>
      </c>
      <c r="J3958" t="s">
        <v>11269</v>
      </c>
    </row>
    <row r="3959" spans="1:10" x14ac:dyDescent="0.25">
      <c r="A3959" t="s">
        <v>8</v>
      </c>
      <c r="B3959" t="s">
        <v>11270</v>
      </c>
      <c r="C3959" t="s">
        <v>11271</v>
      </c>
      <c r="D3959">
        <v>1</v>
      </c>
      <c r="E3959" t="s">
        <v>11263</v>
      </c>
      <c r="F3959" t="s">
        <v>11264</v>
      </c>
      <c r="G3959" s="1"/>
      <c r="H3959" t="str">
        <f>"3250617174022"</f>
        <v>3250617174022</v>
      </c>
      <c r="J3959" t="s">
        <v>11272</v>
      </c>
    </row>
    <row r="3960" spans="1:10" x14ac:dyDescent="0.25">
      <c r="A3960" t="s">
        <v>8</v>
      </c>
      <c r="B3960" t="s">
        <v>11273</v>
      </c>
      <c r="C3960" t="s">
        <v>11274</v>
      </c>
      <c r="D3960">
        <v>1</v>
      </c>
      <c r="E3960" t="s">
        <v>11263</v>
      </c>
      <c r="F3960" t="s">
        <v>11264</v>
      </c>
      <c r="G3960" s="1"/>
      <c r="H3960" t="str">
        <f>"3250617175029"</f>
        <v>3250617175029</v>
      </c>
      <c r="J3960" t="s">
        <v>11275</v>
      </c>
    </row>
    <row r="3961" spans="1:10" x14ac:dyDescent="0.25">
      <c r="A3961" t="s">
        <v>8</v>
      </c>
      <c r="B3961" t="s">
        <v>11276</v>
      </c>
      <c r="C3961" t="s">
        <v>11277</v>
      </c>
      <c r="D3961">
        <v>1</v>
      </c>
      <c r="E3961" t="s">
        <v>11263</v>
      </c>
      <c r="F3961" t="s">
        <v>11264</v>
      </c>
      <c r="G3961" s="1"/>
      <c r="H3961" t="str">
        <f>"3250617174039"</f>
        <v>3250617174039</v>
      </c>
      <c r="J3961" t="s">
        <v>11278</v>
      </c>
    </row>
    <row r="3962" spans="1:10" x14ac:dyDescent="0.25">
      <c r="A3962" t="s">
        <v>8</v>
      </c>
      <c r="B3962" t="s">
        <v>11279</v>
      </c>
      <c r="C3962" t="s">
        <v>11280</v>
      </c>
      <c r="D3962">
        <v>1</v>
      </c>
      <c r="E3962" t="s">
        <v>11263</v>
      </c>
      <c r="F3962" t="s">
        <v>11264</v>
      </c>
      <c r="G3962" s="1"/>
      <c r="H3962" t="str">
        <f>"3250617175036"</f>
        <v>3250617175036</v>
      </c>
      <c r="J3962" t="s">
        <v>11281</v>
      </c>
    </row>
    <row r="3963" spans="1:10" x14ac:dyDescent="0.25">
      <c r="A3963" t="s">
        <v>8</v>
      </c>
      <c r="B3963" t="s">
        <v>11282</v>
      </c>
      <c r="C3963" t="s">
        <v>11283</v>
      </c>
      <c r="D3963">
        <v>1</v>
      </c>
      <c r="E3963" t="s">
        <v>11263</v>
      </c>
      <c r="F3963" t="s">
        <v>11264</v>
      </c>
      <c r="G3963" s="1"/>
      <c r="H3963" t="str">
        <f>"3250617174060"</f>
        <v>3250617174060</v>
      </c>
      <c r="J3963" t="s">
        <v>11284</v>
      </c>
    </row>
    <row r="3964" spans="1:10" x14ac:dyDescent="0.25">
      <c r="A3964" t="s">
        <v>8</v>
      </c>
      <c r="B3964" t="s">
        <v>11285</v>
      </c>
      <c r="C3964" t="s">
        <v>11286</v>
      </c>
      <c r="D3964">
        <v>1</v>
      </c>
      <c r="E3964" t="s">
        <v>11263</v>
      </c>
      <c r="F3964" t="s">
        <v>11264</v>
      </c>
      <c r="G3964" s="1"/>
      <c r="H3964" t="str">
        <f>"3250617175067"</f>
        <v>3250617175067</v>
      </c>
      <c r="J3964" t="s">
        <v>11287</v>
      </c>
    </row>
    <row r="3965" spans="1:10" x14ac:dyDescent="0.25">
      <c r="A3965" t="s">
        <v>8</v>
      </c>
      <c r="B3965" t="s">
        <v>11288</v>
      </c>
      <c r="C3965" t="s">
        <v>11289</v>
      </c>
      <c r="D3965">
        <v>1</v>
      </c>
      <c r="E3965" t="s">
        <v>11263</v>
      </c>
      <c r="F3965" t="s">
        <v>11264</v>
      </c>
      <c r="G3965" s="1"/>
      <c r="H3965" t="str">
        <f>"3250617174084"</f>
        <v>3250617174084</v>
      </c>
      <c r="J3965" t="s">
        <v>11290</v>
      </c>
    </row>
    <row r="3966" spans="1:10" x14ac:dyDescent="0.25">
      <c r="A3966" t="s">
        <v>8</v>
      </c>
      <c r="B3966" t="s">
        <v>11291</v>
      </c>
      <c r="C3966" t="s">
        <v>11292</v>
      </c>
      <c r="D3966">
        <v>1</v>
      </c>
      <c r="E3966" t="s">
        <v>11263</v>
      </c>
      <c r="F3966" t="s">
        <v>11264</v>
      </c>
      <c r="G3966" s="1"/>
      <c r="H3966" t="str">
        <f>"3250617175081"</f>
        <v>3250617175081</v>
      </c>
      <c r="J3966" t="s">
        <v>11293</v>
      </c>
    </row>
    <row r="3967" spans="1:10" x14ac:dyDescent="0.25">
      <c r="A3967" t="s">
        <v>8</v>
      </c>
      <c r="B3967" t="s">
        <v>11294</v>
      </c>
      <c r="C3967" t="s">
        <v>11295</v>
      </c>
      <c r="D3967">
        <v>1</v>
      </c>
      <c r="E3967" t="s">
        <v>11263</v>
      </c>
      <c r="F3967" t="s">
        <v>11264</v>
      </c>
      <c r="G3967" s="1"/>
      <c r="H3967" t="str">
        <f>"3250617174107"</f>
        <v>3250617174107</v>
      </c>
      <c r="J3967" t="s">
        <v>11296</v>
      </c>
    </row>
    <row r="3968" spans="1:10" x14ac:dyDescent="0.25">
      <c r="A3968" t="s">
        <v>8</v>
      </c>
      <c r="B3968" t="s">
        <v>11297</v>
      </c>
      <c r="C3968" t="s">
        <v>11298</v>
      </c>
      <c r="D3968">
        <v>1</v>
      </c>
      <c r="E3968" t="s">
        <v>11263</v>
      </c>
      <c r="F3968" t="s">
        <v>11264</v>
      </c>
      <c r="G3968" s="1"/>
      <c r="H3968" t="str">
        <f>"3250617174206"</f>
        <v>3250617174206</v>
      </c>
      <c r="J3968" t="s">
        <v>11299</v>
      </c>
    </row>
    <row r="3969" spans="1:10" x14ac:dyDescent="0.25">
      <c r="A3969" t="s">
        <v>8</v>
      </c>
      <c r="B3969" t="s">
        <v>11300</v>
      </c>
      <c r="C3969" t="s">
        <v>11301</v>
      </c>
      <c r="D3969">
        <v>1</v>
      </c>
      <c r="E3969" t="s">
        <v>11263</v>
      </c>
      <c r="F3969" t="s">
        <v>11264</v>
      </c>
      <c r="G3969" s="1"/>
      <c r="H3969" t="str">
        <f>"3250617175203"</f>
        <v>3250617175203</v>
      </c>
      <c r="J3969" t="s">
        <v>11302</v>
      </c>
    </row>
    <row r="3970" spans="1:10" x14ac:dyDescent="0.25">
      <c r="A3970" t="s">
        <v>8</v>
      </c>
      <c r="B3970" t="s">
        <v>11303</v>
      </c>
      <c r="C3970" t="s">
        <v>11304</v>
      </c>
      <c r="D3970">
        <v>1</v>
      </c>
      <c r="E3970" t="s">
        <v>11263</v>
      </c>
      <c r="F3970" t="s">
        <v>11264</v>
      </c>
      <c r="G3970" s="1"/>
      <c r="H3970" t="str">
        <f>"3250617174213"</f>
        <v>3250617174213</v>
      </c>
      <c r="J3970" t="s">
        <v>11305</v>
      </c>
    </row>
    <row r="3971" spans="1:10" x14ac:dyDescent="0.25">
      <c r="A3971" t="s">
        <v>8</v>
      </c>
      <c r="B3971" t="s">
        <v>11306</v>
      </c>
      <c r="C3971" t="s">
        <v>11307</v>
      </c>
      <c r="D3971">
        <v>1</v>
      </c>
      <c r="E3971" t="s">
        <v>11263</v>
      </c>
      <c r="F3971" t="s">
        <v>11264</v>
      </c>
      <c r="G3971" s="1"/>
      <c r="H3971" t="str">
        <f>"3250617175210"</f>
        <v>3250617175210</v>
      </c>
      <c r="J3971" t="s">
        <v>11308</v>
      </c>
    </row>
    <row r="3972" spans="1:10" x14ac:dyDescent="0.25">
      <c r="A3972" t="s">
        <v>8</v>
      </c>
      <c r="B3972" t="s">
        <v>11309</v>
      </c>
      <c r="C3972" t="s">
        <v>11310</v>
      </c>
      <c r="D3972">
        <v>1</v>
      </c>
      <c r="E3972" t="s">
        <v>11263</v>
      </c>
      <c r="F3972" t="s">
        <v>11264</v>
      </c>
      <c r="G3972" s="1"/>
      <c r="H3972" t="str">
        <f>"3250617174220"</f>
        <v>3250617174220</v>
      </c>
      <c r="J3972" t="s">
        <v>11311</v>
      </c>
    </row>
    <row r="3973" spans="1:10" x14ac:dyDescent="0.25">
      <c r="A3973" t="s">
        <v>8</v>
      </c>
      <c r="B3973" t="s">
        <v>11312</v>
      </c>
      <c r="C3973" t="s">
        <v>11313</v>
      </c>
      <c r="D3973">
        <v>1</v>
      </c>
      <c r="E3973" t="s">
        <v>11263</v>
      </c>
      <c r="F3973" t="s">
        <v>11264</v>
      </c>
      <c r="G3973" s="1"/>
      <c r="H3973" t="str">
        <f>"3250617175227"</f>
        <v>3250617175227</v>
      </c>
      <c r="J3973" t="s">
        <v>11314</v>
      </c>
    </row>
    <row r="3974" spans="1:10" x14ac:dyDescent="0.25">
      <c r="A3974" t="s">
        <v>8</v>
      </c>
      <c r="B3974" t="s">
        <v>11315</v>
      </c>
      <c r="C3974" t="s">
        <v>11316</v>
      </c>
      <c r="D3974">
        <v>1</v>
      </c>
      <c r="E3974" t="s">
        <v>11263</v>
      </c>
      <c r="F3974" t="s">
        <v>11264</v>
      </c>
      <c r="G3974" s="1"/>
      <c r="H3974" t="str">
        <f>"3250617174237"</f>
        <v>3250617174237</v>
      </c>
      <c r="J3974" t="s">
        <v>11317</v>
      </c>
    </row>
    <row r="3975" spans="1:10" x14ac:dyDescent="0.25">
      <c r="A3975" t="s">
        <v>8</v>
      </c>
      <c r="B3975" t="s">
        <v>11318</v>
      </c>
      <c r="C3975" t="s">
        <v>11319</v>
      </c>
      <c r="D3975">
        <v>1</v>
      </c>
      <c r="E3975" t="s">
        <v>11263</v>
      </c>
      <c r="F3975" t="s">
        <v>11264</v>
      </c>
      <c r="G3975" s="1"/>
      <c r="H3975" t="str">
        <f>"3250617175234"</f>
        <v>3250617175234</v>
      </c>
      <c r="J3975" t="s">
        <v>11320</v>
      </c>
    </row>
    <row r="3976" spans="1:10" x14ac:dyDescent="0.25">
      <c r="A3976" t="s">
        <v>8</v>
      </c>
      <c r="B3976" t="s">
        <v>11321</v>
      </c>
      <c r="C3976" t="s">
        <v>11322</v>
      </c>
      <c r="D3976">
        <v>1</v>
      </c>
      <c r="E3976" t="s">
        <v>11263</v>
      </c>
      <c r="F3976" t="s">
        <v>11264</v>
      </c>
      <c r="G3976" s="1"/>
      <c r="H3976" t="str">
        <f>"3250617174251"</f>
        <v>3250617174251</v>
      </c>
      <c r="J3976" t="s">
        <v>11323</v>
      </c>
    </row>
    <row r="3977" spans="1:10" x14ac:dyDescent="0.25">
      <c r="A3977" t="s">
        <v>8</v>
      </c>
      <c r="B3977" t="s">
        <v>11324</v>
      </c>
      <c r="C3977" t="s">
        <v>11325</v>
      </c>
      <c r="D3977">
        <v>1</v>
      </c>
      <c r="E3977" t="s">
        <v>11263</v>
      </c>
      <c r="F3977" t="s">
        <v>11264</v>
      </c>
      <c r="G3977" s="1"/>
      <c r="H3977" t="str">
        <f>"3250617175258"</f>
        <v>3250617175258</v>
      </c>
      <c r="J3977" t="s">
        <v>11326</v>
      </c>
    </row>
    <row r="3978" spans="1:10" x14ac:dyDescent="0.25">
      <c r="A3978" t="s">
        <v>8</v>
      </c>
      <c r="B3978" t="s">
        <v>11327</v>
      </c>
      <c r="C3978" t="s">
        <v>11328</v>
      </c>
      <c r="D3978">
        <v>1</v>
      </c>
      <c r="E3978" t="s">
        <v>11263</v>
      </c>
      <c r="F3978" t="s">
        <v>11264</v>
      </c>
      <c r="G3978" s="1"/>
      <c r="H3978" t="str">
        <f>"3250617174329"</f>
        <v>3250617174329</v>
      </c>
      <c r="J3978" t="s">
        <v>11329</v>
      </c>
    </row>
    <row r="3979" spans="1:10" x14ac:dyDescent="0.25">
      <c r="A3979" t="s">
        <v>8</v>
      </c>
      <c r="B3979" t="s">
        <v>11330</v>
      </c>
      <c r="C3979" t="s">
        <v>11331</v>
      </c>
      <c r="D3979">
        <v>1</v>
      </c>
      <c r="E3979" t="s">
        <v>11263</v>
      </c>
      <c r="F3979" t="s">
        <v>11264</v>
      </c>
      <c r="G3979" s="1"/>
      <c r="H3979" t="str">
        <f>"3250617174336"</f>
        <v>3250617174336</v>
      </c>
      <c r="J3979" t="s">
        <v>11332</v>
      </c>
    </row>
    <row r="3980" spans="1:10" x14ac:dyDescent="0.25">
      <c r="A3980" t="s">
        <v>8</v>
      </c>
      <c r="B3980" t="s">
        <v>11333</v>
      </c>
      <c r="C3980" t="s">
        <v>11334</v>
      </c>
      <c r="D3980">
        <v>1</v>
      </c>
      <c r="E3980" t="s">
        <v>11263</v>
      </c>
      <c r="F3980" t="s">
        <v>11264</v>
      </c>
      <c r="G3980" s="1"/>
      <c r="H3980" t="str">
        <f>"3250617174404"</f>
        <v>3250617174404</v>
      </c>
      <c r="J3980" t="s">
        <v>11335</v>
      </c>
    </row>
    <row r="3981" spans="1:10" x14ac:dyDescent="0.25">
      <c r="A3981" t="s">
        <v>8</v>
      </c>
      <c r="B3981" t="s">
        <v>11336</v>
      </c>
      <c r="C3981" t="s">
        <v>11337</v>
      </c>
      <c r="D3981">
        <v>1</v>
      </c>
      <c r="E3981" t="s">
        <v>11263</v>
      </c>
      <c r="F3981" t="s">
        <v>11264</v>
      </c>
      <c r="G3981" s="1"/>
      <c r="H3981" t="str">
        <f>"3250617175401"</f>
        <v>3250617175401</v>
      </c>
      <c r="J3981" t="s">
        <v>11338</v>
      </c>
    </row>
    <row r="3982" spans="1:10" x14ac:dyDescent="0.25">
      <c r="A3982" t="s">
        <v>8</v>
      </c>
      <c r="B3982" t="s">
        <v>11339</v>
      </c>
      <c r="C3982" t="s">
        <v>11340</v>
      </c>
      <c r="D3982">
        <v>1</v>
      </c>
      <c r="E3982" t="s">
        <v>11263</v>
      </c>
      <c r="F3982" t="s">
        <v>11264</v>
      </c>
      <c r="G3982" s="1"/>
      <c r="H3982" t="str">
        <f>"3250617174442"</f>
        <v>3250617174442</v>
      </c>
      <c r="J3982" t="s">
        <v>11341</v>
      </c>
    </row>
    <row r="3983" spans="1:10" x14ac:dyDescent="0.25">
      <c r="A3983" t="s">
        <v>8</v>
      </c>
      <c r="B3983" t="s">
        <v>11342</v>
      </c>
      <c r="C3983" t="s">
        <v>11343</v>
      </c>
      <c r="D3983">
        <v>1</v>
      </c>
      <c r="E3983" t="s">
        <v>11263</v>
      </c>
      <c r="F3983" t="s">
        <v>11264</v>
      </c>
      <c r="G3983" s="1"/>
      <c r="H3983" t="str">
        <f>"3250617175449"</f>
        <v>3250617175449</v>
      </c>
      <c r="J3983" t="s">
        <v>11344</v>
      </c>
    </row>
    <row r="3984" spans="1:10" x14ac:dyDescent="0.25">
      <c r="A3984" t="s">
        <v>8</v>
      </c>
      <c r="B3984" t="s">
        <v>11345</v>
      </c>
      <c r="C3984" t="s">
        <v>11346</v>
      </c>
      <c r="D3984">
        <v>1</v>
      </c>
      <c r="E3984" t="s">
        <v>11263</v>
      </c>
      <c r="F3984" t="s">
        <v>11264</v>
      </c>
      <c r="G3984" s="1"/>
      <c r="H3984" t="str">
        <f>"3250617174008"</f>
        <v>3250617174008</v>
      </c>
      <c r="J3984" t="s">
        <v>11347</v>
      </c>
    </row>
    <row r="3985" spans="1:10" x14ac:dyDescent="0.25">
      <c r="A3985" t="s">
        <v>8</v>
      </c>
      <c r="B3985" t="s">
        <v>11348</v>
      </c>
      <c r="C3985" t="s">
        <v>11349</v>
      </c>
      <c r="D3985">
        <v>1</v>
      </c>
      <c r="E3985" t="s">
        <v>11263</v>
      </c>
      <c r="F3985" t="s">
        <v>11264</v>
      </c>
      <c r="G3985" s="1"/>
      <c r="H3985" t="str">
        <f>"3250617175005"</f>
        <v>3250617175005</v>
      </c>
      <c r="J3985" t="s">
        <v>11351</v>
      </c>
    </row>
    <row r="3986" spans="1:10" x14ac:dyDescent="0.25">
      <c r="A3986" t="s">
        <v>8</v>
      </c>
      <c r="B3986" t="s">
        <v>11352</v>
      </c>
      <c r="C3986" t="s">
        <v>11353</v>
      </c>
      <c r="D3986">
        <v>1</v>
      </c>
      <c r="E3986" t="s">
        <v>11263</v>
      </c>
      <c r="F3986" t="s">
        <v>11264</v>
      </c>
      <c r="G3986" s="1"/>
      <c r="H3986" t="str">
        <f>"3250617174046"</f>
        <v>3250617174046</v>
      </c>
      <c r="J3986" t="s">
        <v>11354</v>
      </c>
    </row>
    <row r="3987" spans="1:10" x14ac:dyDescent="0.25">
      <c r="A3987" t="s">
        <v>8</v>
      </c>
      <c r="B3987" t="s">
        <v>11355</v>
      </c>
      <c r="C3987" t="s">
        <v>11356</v>
      </c>
      <c r="D3987">
        <v>1</v>
      </c>
      <c r="E3987" t="s">
        <v>11263</v>
      </c>
      <c r="F3987" t="s">
        <v>11264</v>
      </c>
      <c r="G3987" s="1"/>
      <c r="H3987" t="str">
        <f>"3250617175043"</f>
        <v>3250617175043</v>
      </c>
      <c r="J3987" t="s">
        <v>11357</v>
      </c>
    </row>
    <row r="3988" spans="1:10" x14ac:dyDescent="0.25">
      <c r="A3988" t="s">
        <v>8</v>
      </c>
      <c r="B3988" t="s">
        <v>11358</v>
      </c>
      <c r="C3988" t="s">
        <v>11359</v>
      </c>
      <c r="D3988">
        <v>1</v>
      </c>
      <c r="E3988" t="s">
        <v>11263</v>
      </c>
      <c r="F3988" t="s">
        <v>11264</v>
      </c>
      <c r="G3988" s="1"/>
      <c r="H3988" t="str">
        <f>"3250617174053"</f>
        <v>3250617174053</v>
      </c>
      <c r="J3988" t="s">
        <v>11360</v>
      </c>
    </row>
    <row r="3989" spans="1:10" x14ac:dyDescent="0.25">
      <c r="A3989" t="s">
        <v>8</v>
      </c>
      <c r="B3989" t="s">
        <v>11361</v>
      </c>
      <c r="C3989" t="s">
        <v>11362</v>
      </c>
      <c r="D3989">
        <v>1</v>
      </c>
      <c r="E3989" t="s">
        <v>11263</v>
      </c>
      <c r="F3989" t="s">
        <v>11264</v>
      </c>
      <c r="G3989" s="1"/>
      <c r="H3989" t="str">
        <f>"3250617175050"</f>
        <v>3250617175050</v>
      </c>
      <c r="J3989" t="s">
        <v>11363</v>
      </c>
    </row>
    <row r="3990" spans="1:10" x14ac:dyDescent="0.25">
      <c r="A3990" t="s">
        <v>8</v>
      </c>
      <c r="B3990" t="s">
        <v>11364</v>
      </c>
      <c r="C3990" t="s">
        <v>11365</v>
      </c>
      <c r="D3990">
        <v>1</v>
      </c>
      <c r="E3990" t="s">
        <v>11263</v>
      </c>
      <c r="F3990" t="s">
        <v>11264</v>
      </c>
      <c r="G3990" s="1"/>
      <c r="H3990" t="str">
        <f>"3250617174602"</f>
        <v>3250617174602</v>
      </c>
      <c r="J3990" t="s">
        <v>11366</v>
      </c>
    </row>
    <row r="3991" spans="1:10" x14ac:dyDescent="0.25">
      <c r="A3991" t="s">
        <v>8</v>
      </c>
      <c r="B3991" t="s">
        <v>11367</v>
      </c>
      <c r="C3991" t="s">
        <v>11368</v>
      </c>
      <c r="D3991">
        <v>1</v>
      </c>
      <c r="E3991" t="s">
        <v>11263</v>
      </c>
      <c r="F3991" t="s">
        <v>11264</v>
      </c>
      <c r="G3991" s="1"/>
      <c r="H3991" t="str">
        <f>"3250617175609"</f>
        <v>3250617175609</v>
      </c>
      <c r="J3991" t="s">
        <v>11131</v>
      </c>
    </row>
    <row r="3992" spans="1:10" x14ac:dyDescent="0.25">
      <c r="A3992" t="s">
        <v>8</v>
      </c>
      <c r="B3992" t="s">
        <v>11369</v>
      </c>
      <c r="C3992" t="s">
        <v>11370</v>
      </c>
      <c r="D3992">
        <v>1</v>
      </c>
      <c r="E3992" t="s">
        <v>11263</v>
      </c>
      <c r="F3992" t="s">
        <v>11264</v>
      </c>
      <c r="G3992" s="1"/>
      <c r="H3992" t="str">
        <f>"3250617174305"</f>
        <v>3250617174305</v>
      </c>
      <c r="J3992" t="s">
        <v>11371</v>
      </c>
    </row>
    <row r="3993" spans="1:10" x14ac:dyDescent="0.25">
      <c r="A3993" t="s">
        <v>8</v>
      </c>
      <c r="B3993" t="s">
        <v>11372</v>
      </c>
      <c r="C3993" t="s">
        <v>11373</v>
      </c>
      <c r="D3993">
        <v>1</v>
      </c>
      <c r="E3993" t="s">
        <v>11263</v>
      </c>
      <c r="F3993" t="s">
        <v>11264</v>
      </c>
      <c r="G3993" s="1"/>
      <c r="H3993" t="str">
        <f>"3250617175302"</f>
        <v>3250617175302</v>
      </c>
      <c r="J3993" t="s">
        <v>11374</v>
      </c>
    </row>
    <row r="3994" spans="1:10" x14ac:dyDescent="0.25">
      <c r="A3994" t="s">
        <v>8</v>
      </c>
      <c r="B3994" t="s">
        <v>11375</v>
      </c>
      <c r="C3994" t="s">
        <v>11376</v>
      </c>
      <c r="D3994">
        <v>1</v>
      </c>
      <c r="E3994" t="s">
        <v>11263</v>
      </c>
      <c r="F3994" t="s">
        <v>11264</v>
      </c>
      <c r="G3994" s="1"/>
      <c r="H3994" t="str">
        <f>"3250617174312"</f>
        <v>3250617174312</v>
      </c>
      <c r="J3994" t="s">
        <v>11377</v>
      </c>
    </row>
    <row r="3995" spans="1:10" x14ac:dyDescent="0.25">
      <c r="A3995" t="s">
        <v>8</v>
      </c>
      <c r="B3995" t="s">
        <v>11378</v>
      </c>
      <c r="C3995" t="s">
        <v>11379</v>
      </c>
      <c r="D3995">
        <v>1</v>
      </c>
      <c r="E3995" t="s">
        <v>11263</v>
      </c>
      <c r="F3995" t="s">
        <v>11264</v>
      </c>
      <c r="G3995" s="1"/>
      <c r="H3995" t="str">
        <f>"3250617175319"</f>
        <v>3250617175319</v>
      </c>
      <c r="J3995" t="s">
        <v>11380</v>
      </c>
    </row>
    <row r="3996" spans="1:10" x14ac:dyDescent="0.25">
      <c r="A3996" t="s">
        <v>8</v>
      </c>
      <c r="B3996" t="s">
        <v>11381</v>
      </c>
      <c r="C3996" t="s">
        <v>11382</v>
      </c>
      <c r="D3996">
        <v>1</v>
      </c>
      <c r="E3996" t="s">
        <v>11263</v>
      </c>
      <c r="F3996" t="s">
        <v>11264</v>
      </c>
      <c r="G3996" s="1"/>
      <c r="H3996" t="str">
        <f>"3250617170017"</f>
        <v>3250617170017</v>
      </c>
      <c r="J3996" t="s">
        <v>11383</v>
      </c>
    </row>
    <row r="3997" spans="1:10" x14ac:dyDescent="0.25">
      <c r="A3997" t="s">
        <v>8</v>
      </c>
      <c r="B3997" t="s">
        <v>11384</v>
      </c>
      <c r="C3997" t="s">
        <v>11385</v>
      </c>
      <c r="D3997">
        <v>1</v>
      </c>
      <c r="E3997" t="s">
        <v>11263</v>
      </c>
      <c r="F3997" t="s">
        <v>11264</v>
      </c>
      <c r="G3997" s="1"/>
      <c r="H3997" t="str">
        <f>"3250617170031"</f>
        <v>3250617170031</v>
      </c>
      <c r="J3997" t="s">
        <v>11386</v>
      </c>
    </row>
    <row r="3998" spans="1:10" x14ac:dyDescent="0.25">
      <c r="A3998" t="s">
        <v>8</v>
      </c>
      <c r="B3998" t="s">
        <v>11387</v>
      </c>
      <c r="C3998" t="s">
        <v>11388</v>
      </c>
      <c r="D3998">
        <v>1</v>
      </c>
      <c r="E3998" t="s">
        <v>11263</v>
      </c>
      <c r="F3998" t="s">
        <v>11264</v>
      </c>
      <c r="G3998" s="1"/>
      <c r="H3998" t="str">
        <f>"3250617170215"</f>
        <v>3250617170215</v>
      </c>
      <c r="J3998" t="s">
        <v>11389</v>
      </c>
    </row>
    <row r="3999" spans="1:10" x14ac:dyDescent="0.25">
      <c r="A3999" t="s">
        <v>8</v>
      </c>
      <c r="B3999" t="s">
        <v>11390</v>
      </c>
      <c r="C3999" t="s">
        <v>11391</v>
      </c>
      <c r="D3999">
        <v>1</v>
      </c>
      <c r="E3999" t="s">
        <v>11263</v>
      </c>
      <c r="F3999" t="s">
        <v>11264</v>
      </c>
      <c r="G3999" s="1"/>
      <c r="H3999" t="str">
        <f>"3250617170239"</f>
        <v>3250617170239</v>
      </c>
      <c r="J3999" t="s">
        <v>11392</v>
      </c>
    </row>
    <row r="4000" spans="1:10" x14ac:dyDescent="0.25">
      <c r="A4000" t="s">
        <v>8</v>
      </c>
      <c r="B4000" t="s">
        <v>11393</v>
      </c>
      <c r="C4000" t="s">
        <v>11394</v>
      </c>
      <c r="D4000">
        <v>1</v>
      </c>
      <c r="E4000" t="s">
        <v>11263</v>
      </c>
      <c r="F4000" t="s">
        <v>11264</v>
      </c>
      <c r="G4000" s="1"/>
      <c r="H4000" t="str">
        <f>"3250617170253"</f>
        <v>3250617170253</v>
      </c>
      <c r="J4000" t="s">
        <v>11395</v>
      </c>
    </row>
    <row r="4001" spans="1:10" x14ac:dyDescent="0.25">
      <c r="A4001" t="s">
        <v>8</v>
      </c>
      <c r="B4001" t="s">
        <v>11396</v>
      </c>
      <c r="C4001" t="s">
        <v>11397</v>
      </c>
      <c r="D4001">
        <v>1</v>
      </c>
      <c r="E4001" t="s">
        <v>11263</v>
      </c>
      <c r="F4001" t="s">
        <v>11264</v>
      </c>
      <c r="G4001" s="1"/>
      <c r="H4001" t="str">
        <f>"3250617170352"</f>
        <v>3250617170352</v>
      </c>
      <c r="J4001" t="s">
        <v>11398</v>
      </c>
    </row>
    <row r="4002" spans="1:10" x14ac:dyDescent="0.25">
      <c r="A4002" t="s">
        <v>8</v>
      </c>
      <c r="B4002" t="s">
        <v>11399</v>
      </c>
      <c r="C4002" t="s">
        <v>11400</v>
      </c>
      <c r="D4002">
        <v>1</v>
      </c>
      <c r="E4002" t="s">
        <v>11263</v>
      </c>
      <c r="F4002" t="s">
        <v>11264</v>
      </c>
      <c r="G4002" s="1"/>
      <c r="H4002" t="str">
        <f>"3250617170369"</f>
        <v>3250617170369</v>
      </c>
      <c r="J4002" t="s">
        <v>11401</v>
      </c>
    </row>
    <row r="4003" spans="1:10" x14ac:dyDescent="0.25">
      <c r="A4003" t="s">
        <v>8</v>
      </c>
      <c r="B4003" t="s">
        <v>11402</v>
      </c>
      <c r="C4003" t="s">
        <v>11403</v>
      </c>
      <c r="D4003">
        <v>1</v>
      </c>
      <c r="E4003" t="s">
        <v>11263</v>
      </c>
      <c r="F4003" t="s">
        <v>11264</v>
      </c>
      <c r="G4003" s="1"/>
      <c r="H4003" t="str">
        <f>"3250617170444"</f>
        <v>3250617170444</v>
      </c>
      <c r="J4003" t="s">
        <v>11404</v>
      </c>
    </row>
    <row r="4004" spans="1:10" x14ac:dyDescent="0.25">
      <c r="A4004" t="s">
        <v>8</v>
      </c>
      <c r="B4004" t="s">
        <v>11405</v>
      </c>
      <c r="C4004" t="s">
        <v>11406</v>
      </c>
      <c r="D4004">
        <v>1</v>
      </c>
      <c r="E4004" t="s">
        <v>11263</v>
      </c>
      <c r="F4004" t="s">
        <v>11264</v>
      </c>
      <c r="G4004" s="1"/>
      <c r="H4004" t="str">
        <f>"3250617171007"</f>
        <v>3250617171007</v>
      </c>
      <c r="J4004" t="s">
        <v>11407</v>
      </c>
    </row>
    <row r="4005" spans="1:10" x14ac:dyDescent="0.25">
      <c r="A4005" t="s">
        <v>8</v>
      </c>
      <c r="B4005" t="s">
        <v>11408</v>
      </c>
      <c r="C4005" t="s">
        <v>11409</v>
      </c>
      <c r="D4005">
        <v>1</v>
      </c>
      <c r="E4005" t="s">
        <v>11263</v>
      </c>
      <c r="F4005" t="s">
        <v>11264</v>
      </c>
      <c r="G4005" s="1"/>
      <c r="H4005" t="str">
        <f>"3250617171229"</f>
        <v>3250617171229</v>
      </c>
      <c r="J4005" t="s">
        <v>11410</v>
      </c>
    </row>
    <row r="4006" spans="1:10" x14ac:dyDescent="0.25">
      <c r="A4006" t="s">
        <v>8</v>
      </c>
      <c r="B4006" t="s">
        <v>11411</v>
      </c>
      <c r="C4006" t="s">
        <v>11412</v>
      </c>
      <c r="D4006">
        <v>1</v>
      </c>
      <c r="E4006" t="s">
        <v>11263</v>
      </c>
      <c r="F4006" t="s">
        <v>11264</v>
      </c>
      <c r="G4006" s="1"/>
      <c r="H4006" t="str">
        <f>"3250617171243"</f>
        <v>3250617171243</v>
      </c>
      <c r="J4006" t="s">
        <v>11413</v>
      </c>
    </row>
    <row r="4007" spans="1:10" x14ac:dyDescent="0.25">
      <c r="A4007" t="s">
        <v>8</v>
      </c>
      <c r="B4007" t="s">
        <v>11414</v>
      </c>
      <c r="C4007" t="s">
        <v>11415</v>
      </c>
      <c r="D4007">
        <v>1</v>
      </c>
      <c r="E4007" t="s">
        <v>11263</v>
      </c>
      <c r="F4007" t="s">
        <v>11264</v>
      </c>
      <c r="G4007" s="1"/>
      <c r="H4007" t="str">
        <f>"3250617171236"</f>
        <v>3250617171236</v>
      </c>
      <c r="J4007" t="s">
        <v>11416</v>
      </c>
    </row>
    <row r="4008" spans="1:10" x14ac:dyDescent="0.25">
      <c r="A4008" t="s">
        <v>8</v>
      </c>
      <c r="B4008" t="s">
        <v>11417</v>
      </c>
      <c r="C4008" t="s">
        <v>11418</v>
      </c>
      <c r="D4008">
        <v>1</v>
      </c>
      <c r="E4008" t="s">
        <v>11263</v>
      </c>
      <c r="F4008" t="s">
        <v>11264</v>
      </c>
      <c r="G4008" s="1"/>
      <c r="H4008" t="str">
        <f>"3250617171250"</f>
        <v>3250617171250</v>
      </c>
      <c r="J4008" t="s">
        <v>11419</v>
      </c>
    </row>
    <row r="4009" spans="1:10" x14ac:dyDescent="0.25">
      <c r="A4009" t="s">
        <v>8</v>
      </c>
      <c r="B4009" t="s">
        <v>11420</v>
      </c>
      <c r="C4009" t="s">
        <v>11421</v>
      </c>
      <c r="D4009">
        <v>1</v>
      </c>
      <c r="E4009" t="s">
        <v>11263</v>
      </c>
      <c r="F4009" t="s">
        <v>11264</v>
      </c>
      <c r="G4009" s="1"/>
      <c r="H4009" t="str">
        <f>"3250617171328"</f>
        <v>3250617171328</v>
      </c>
      <c r="J4009" t="s">
        <v>11410</v>
      </c>
    </row>
    <row r="4010" spans="1:10" x14ac:dyDescent="0.25">
      <c r="A4010" t="s">
        <v>8</v>
      </c>
      <c r="B4010" t="s">
        <v>11422</v>
      </c>
      <c r="C4010" t="s">
        <v>11423</v>
      </c>
      <c r="D4010">
        <v>1</v>
      </c>
      <c r="E4010" t="s">
        <v>11263</v>
      </c>
      <c r="F4010" t="s">
        <v>11264</v>
      </c>
      <c r="G4010" s="1"/>
      <c r="H4010" t="str">
        <f>"3250617171359"</f>
        <v>3250617171359</v>
      </c>
      <c r="J4010" t="s">
        <v>11424</v>
      </c>
    </row>
    <row r="4011" spans="1:10" x14ac:dyDescent="0.25">
      <c r="A4011" t="s">
        <v>8</v>
      </c>
      <c r="B4011" t="s">
        <v>11425</v>
      </c>
      <c r="C4011" t="s">
        <v>11426</v>
      </c>
      <c r="D4011">
        <v>1</v>
      </c>
      <c r="E4011" t="s">
        <v>11263</v>
      </c>
      <c r="F4011" t="s">
        <v>11264</v>
      </c>
      <c r="G4011" s="1"/>
      <c r="H4011" t="str">
        <f>"3250617171601"</f>
        <v>3250617171601</v>
      </c>
      <c r="J4011" t="s">
        <v>11427</v>
      </c>
    </row>
    <row r="4012" spans="1:10" x14ac:dyDescent="0.25">
      <c r="A4012" t="s">
        <v>8</v>
      </c>
      <c r="B4012" t="s">
        <v>11428</v>
      </c>
      <c r="C4012" t="s">
        <v>11429</v>
      </c>
      <c r="D4012">
        <v>1</v>
      </c>
      <c r="E4012" t="s">
        <v>11263</v>
      </c>
      <c r="F4012" t="s">
        <v>11264</v>
      </c>
      <c r="G4012" s="1"/>
      <c r="H4012" t="str">
        <f>"3250617172011"</f>
        <v>3250617172011</v>
      </c>
      <c r="J4012" t="s">
        <v>11430</v>
      </c>
    </row>
    <row r="4013" spans="1:10" x14ac:dyDescent="0.25">
      <c r="A4013" t="s">
        <v>8</v>
      </c>
      <c r="B4013" t="s">
        <v>11431</v>
      </c>
      <c r="C4013" t="s">
        <v>11432</v>
      </c>
      <c r="D4013">
        <v>1</v>
      </c>
      <c r="E4013" t="s">
        <v>11263</v>
      </c>
      <c r="F4013" t="s">
        <v>11264</v>
      </c>
      <c r="G4013" s="1"/>
      <c r="H4013" t="str">
        <f>"3250617173018"</f>
        <v>3250617173018</v>
      </c>
      <c r="J4013" t="s">
        <v>11433</v>
      </c>
    </row>
    <row r="4014" spans="1:10" x14ac:dyDescent="0.25">
      <c r="A4014" t="s">
        <v>8</v>
      </c>
      <c r="B4014" t="s">
        <v>11434</v>
      </c>
      <c r="C4014" t="s">
        <v>11435</v>
      </c>
      <c r="D4014">
        <v>1</v>
      </c>
      <c r="E4014" t="s">
        <v>11263</v>
      </c>
      <c r="F4014" t="s">
        <v>11264</v>
      </c>
      <c r="G4014" s="1"/>
      <c r="H4014" t="str">
        <f>"3250617172233"</f>
        <v>3250617172233</v>
      </c>
      <c r="I4014" s="1"/>
      <c r="J4014" t="s">
        <v>11436</v>
      </c>
    </row>
    <row r="4015" spans="1:10" x14ac:dyDescent="0.25">
      <c r="A4015" t="s">
        <v>8</v>
      </c>
      <c r="B4015" t="s">
        <v>11437</v>
      </c>
      <c r="C4015" t="s">
        <v>11438</v>
      </c>
      <c r="D4015">
        <v>1</v>
      </c>
      <c r="E4015" t="s">
        <v>11263</v>
      </c>
      <c r="F4015" t="s">
        <v>11264</v>
      </c>
      <c r="G4015" s="1"/>
      <c r="H4015" t="str">
        <f>"3250617173230"</f>
        <v>3250617173230</v>
      </c>
      <c r="I4015" s="1"/>
      <c r="J4015" t="s">
        <v>11436</v>
      </c>
    </row>
    <row r="4016" spans="1:10" x14ac:dyDescent="0.25">
      <c r="A4016" t="s">
        <v>8</v>
      </c>
      <c r="B4016" t="s">
        <v>11439</v>
      </c>
      <c r="C4016" t="s">
        <v>11440</v>
      </c>
      <c r="D4016">
        <v>1</v>
      </c>
      <c r="E4016" t="s">
        <v>11263</v>
      </c>
      <c r="F4016" t="s">
        <v>11264</v>
      </c>
      <c r="G4016" s="1"/>
      <c r="H4016" t="str">
        <f>"3250617172257"</f>
        <v>3250617172257</v>
      </c>
      <c r="J4016" t="s">
        <v>11441</v>
      </c>
    </row>
    <row r="4017" spans="1:10" x14ac:dyDescent="0.25">
      <c r="A4017" t="s">
        <v>8</v>
      </c>
      <c r="B4017" t="s">
        <v>11442</v>
      </c>
      <c r="C4017" t="s">
        <v>11443</v>
      </c>
      <c r="D4017">
        <v>1</v>
      </c>
      <c r="E4017" t="s">
        <v>11263</v>
      </c>
      <c r="F4017" t="s">
        <v>11264</v>
      </c>
      <c r="G4017" s="1"/>
      <c r="H4017" t="str">
        <f>"3250617173254"</f>
        <v>3250617173254</v>
      </c>
      <c r="J4017" t="s">
        <v>11441</v>
      </c>
    </row>
    <row r="4018" spans="1:10" x14ac:dyDescent="0.25">
      <c r="A4018" t="s">
        <v>8</v>
      </c>
      <c r="B4018" t="s">
        <v>11444</v>
      </c>
      <c r="C4018" t="s">
        <v>11445</v>
      </c>
      <c r="D4018">
        <v>1</v>
      </c>
      <c r="E4018" t="s">
        <v>11263</v>
      </c>
      <c r="F4018" t="s">
        <v>11264</v>
      </c>
      <c r="G4018" s="1"/>
      <c r="H4018" t="str">
        <f>"3250617172400"</f>
        <v>3250617172400</v>
      </c>
      <c r="J4018" t="s">
        <v>11363</v>
      </c>
    </row>
    <row r="4019" spans="1:10" x14ac:dyDescent="0.25">
      <c r="A4019" t="s">
        <v>8</v>
      </c>
      <c r="B4019" t="s">
        <v>11446</v>
      </c>
      <c r="C4019" t="s">
        <v>11447</v>
      </c>
      <c r="D4019">
        <v>1</v>
      </c>
      <c r="E4019" t="s">
        <v>11263</v>
      </c>
      <c r="F4019" t="s">
        <v>11264</v>
      </c>
      <c r="G4019" s="1"/>
      <c r="H4019" t="str">
        <f>"3250617173407"</f>
        <v>3250617173407</v>
      </c>
      <c r="J4019" t="s">
        <v>11363</v>
      </c>
    </row>
    <row r="4020" spans="1:10" x14ac:dyDescent="0.25">
      <c r="A4020" t="s">
        <v>8</v>
      </c>
      <c r="B4020" t="s">
        <v>11448</v>
      </c>
      <c r="C4020" t="s">
        <v>11449</v>
      </c>
      <c r="D4020">
        <v>1</v>
      </c>
      <c r="E4020" t="s">
        <v>11263</v>
      </c>
      <c r="F4020" t="s">
        <v>11264</v>
      </c>
      <c r="G4020" s="1"/>
      <c r="H4020" t="str">
        <f>"3250617172004"</f>
        <v>3250617172004</v>
      </c>
      <c r="J4020" t="s">
        <v>11450</v>
      </c>
    </row>
    <row r="4021" spans="1:10" x14ac:dyDescent="0.25">
      <c r="A4021" t="s">
        <v>8</v>
      </c>
      <c r="B4021" t="s">
        <v>11451</v>
      </c>
      <c r="C4021" t="s">
        <v>11452</v>
      </c>
      <c r="D4021">
        <v>1</v>
      </c>
      <c r="E4021" t="s">
        <v>11263</v>
      </c>
      <c r="F4021" t="s">
        <v>11264</v>
      </c>
      <c r="G4021" s="1"/>
      <c r="H4021" t="str">
        <f>"3250617173001"</f>
        <v>3250617173001</v>
      </c>
      <c r="J4021" t="s">
        <v>11453</v>
      </c>
    </row>
    <row r="4022" spans="1:10" x14ac:dyDescent="0.25">
      <c r="A4022" t="s">
        <v>8</v>
      </c>
      <c r="B4022" t="s">
        <v>11454</v>
      </c>
      <c r="C4022" t="s">
        <v>11455</v>
      </c>
      <c r="D4022">
        <v>1</v>
      </c>
      <c r="E4022" t="s">
        <v>11263</v>
      </c>
      <c r="F4022" t="s">
        <v>11264</v>
      </c>
      <c r="G4022" s="1"/>
      <c r="H4022" t="str">
        <f>"3250617172226"</f>
        <v>3250617172226</v>
      </c>
      <c r="J4022" t="s">
        <v>11456</v>
      </c>
    </row>
    <row r="4023" spans="1:10" x14ac:dyDescent="0.25">
      <c r="A4023" t="s">
        <v>8</v>
      </c>
      <c r="B4023" t="s">
        <v>11457</v>
      </c>
      <c r="C4023" t="s">
        <v>11458</v>
      </c>
      <c r="D4023">
        <v>1</v>
      </c>
      <c r="E4023" t="s">
        <v>11263</v>
      </c>
      <c r="F4023" t="s">
        <v>11264</v>
      </c>
      <c r="G4023" s="1"/>
      <c r="H4023" t="str">
        <f>"3250617173223"</f>
        <v>3250617173223</v>
      </c>
      <c r="J4023" t="s">
        <v>11459</v>
      </c>
    </row>
    <row r="4024" spans="1:10" x14ac:dyDescent="0.25">
      <c r="A4024" t="s">
        <v>8</v>
      </c>
      <c r="B4024" t="s">
        <v>11460</v>
      </c>
      <c r="C4024" t="s">
        <v>11461</v>
      </c>
      <c r="D4024">
        <v>1</v>
      </c>
      <c r="E4024" t="s">
        <v>11263</v>
      </c>
      <c r="F4024" t="s">
        <v>11264</v>
      </c>
      <c r="G4024" s="1"/>
      <c r="H4024" t="str">
        <f>"3250617172240"</f>
        <v>3250617172240</v>
      </c>
      <c r="J4024" t="s">
        <v>11462</v>
      </c>
    </row>
    <row r="4025" spans="1:10" x14ac:dyDescent="0.25">
      <c r="A4025" t="s">
        <v>8</v>
      </c>
      <c r="B4025" t="s">
        <v>11463</v>
      </c>
      <c r="C4025" t="s">
        <v>11464</v>
      </c>
      <c r="D4025">
        <v>1</v>
      </c>
      <c r="E4025" t="s">
        <v>11263</v>
      </c>
      <c r="F4025" t="s">
        <v>11264</v>
      </c>
      <c r="G4025" s="1"/>
      <c r="H4025" t="str">
        <f>"3250617173247"</f>
        <v>3250617173247</v>
      </c>
      <c r="J4025" t="s">
        <v>11465</v>
      </c>
    </row>
    <row r="4026" spans="1:10" x14ac:dyDescent="0.25">
      <c r="A4026" t="s">
        <v>8</v>
      </c>
      <c r="B4026" t="s">
        <v>11466</v>
      </c>
      <c r="C4026" t="s">
        <v>11467</v>
      </c>
      <c r="D4026">
        <v>1</v>
      </c>
      <c r="E4026" t="s">
        <v>11263</v>
      </c>
      <c r="F4026" t="s">
        <v>11264</v>
      </c>
      <c r="G4026" s="1"/>
      <c r="H4026" t="str">
        <f>"3250617172325"</f>
        <v>3250617172325</v>
      </c>
      <c r="J4026" t="s">
        <v>11456</v>
      </c>
    </row>
    <row r="4027" spans="1:10" x14ac:dyDescent="0.25">
      <c r="A4027" t="s">
        <v>8</v>
      </c>
      <c r="B4027" t="s">
        <v>11468</v>
      </c>
      <c r="C4027" t="s">
        <v>11469</v>
      </c>
      <c r="D4027">
        <v>1</v>
      </c>
      <c r="E4027" t="s">
        <v>11263</v>
      </c>
      <c r="F4027" t="s">
        <v>11264</v>
      </c>
      <c r="G4027" s="1"/>
      <c r="H4027" t="str">
        <f>"3250617173322"</f>
        <v>3250617173322</v>
      </c>
      <c r="J4027" t="s">
        <v>11459</v>
      </c>
    </row>
    <row r="4028" spans="1:10" x14ac:dyDescent="0.25">
      <c r="A4028" t="s">
        <v>8</v>
      </c>
      <c r="B4028" t="s">
        <v>11470</v>
      </c>
      <c r="C4028" t="s">
        <v>11471</v>
      </c>
      <c r="D4028">
        <v>1</v>
      </c>
      <c r="E4028" t="s">
        <v>11263</v>
      </c>
      <c r="F4028" t="s">
        <v>11264</v>
      </c>
      <c r="G4028" s="1"/>
      <c r="H4028" t="str">
        <f>"3250617174350"</f>
        <v>3250617174350</v>
      </c>
      <c r="J4028" t="s">
        <v>11472</v>
      </c>
    </row>
    <row r="4029" spans="1:10" x14ac:dyDescent="0.25">
      <c r="A4029" t="s">
        <v>8</v>
      </c>
      <c r="B4029" t="s">
        <v>11473</v>
      </c>
      <c r="C4029" t="s">
        <v>11474</v>
      </c>
      <c r="D4029">
        <v>1</v>
      </c>
      <c r="E4029" t="s">
        <v>11263</v>
      </c>
      <c r="F4029" t="s">
        <v>11264</v>
      </c>
      <c r="G4029" s="1"/>
      <c r="H4029" t="str">
        <f>"3250617174367"</f>
        <v>3250617174367</v>
      </c>
      <c r="J4029" t="s">
        <v>11475</v>
      </c>
    </row>
    <row r="4030" spans="1:10" x14ac:dyDescent="0.25">
      <c r="A4030" t="s">
        <v>8</v>
      </c>
      <c r="B4030" t="s">
        <v>11476</v>
      </c>
      <c r="C4030" t="s">
        <v>11477</v>
      </c>
      <c r="D4030">
        <v>1</v>
      </c>
      <c r="E4030" t="s">
        <v>11263</v>
      </c>
      <c r="F4030" t="s">
        <v>11264</v>
      </c>
      <c r="G4030" s="1"/>
      <c r="H4030" t="str">
        <f>"3250617174374"</f>
        <v>3250617174374</v>
      </c>
      <c r="J4030" t="s">
        <v>11478</v>
      </c>
    </row>
    <row r="4031" spans="1:10" x14ac:dyDescent="0.25">
      <c r="A4031" t="s">
        <v>8</v>
      </c>
      <c r="B4031" t="s">
        <v>11479</v>
      </c>
      <c r="C4031" t="s">
        <v>11480</v>
      </c>
      <c r="D4031">
        <v>1</v>
      </c>
      <c r="E4031" t="s">
        <v>11263</v>
      </c>
      <c r="F4031" t="s">
        <v>11264</v>
      </c>
      <c r="G4031" s="1"/>
      <c r="H4031" t="str">
        <f>"3250617175371"</f>
        <v>3250617175371</v>
      </c>
      <c r="J4031" t="s">
        <v>11481</v>
      </c>
    </row>
    <row r="4032" spans="1:10" x14ac:dyDescent="0.25">
      <c r="A4032" t="s">
        <v>8</v>
      </c>
      <c r="B4032" t="s">
        <v>11482</v>
      </c>
      <c r="C4032" t="s">
        <v>11483</v>
      </c>
      <c r="D4032">
        <v>1</v>
      </c>
      <c r="E4032" t="s">
        <v>11263</v>
      </c>
      <c r="F4032" t="s">
        <v>11264</v>
      </c>
      <c r="G4032" s="1"/>
      <c r="H4032" t="str">
        <f>"3250617174381"</f>
        <v>3250617174381</v>
      </c>
      <c r="J4032" t="s">
        <v>11484</v>
      </c>
    </row>
    <row r="4033" spans="1:10" x14ac:dyDescent="0.25">
      <c r="A4033" t="s">
        <v>8</v>
      </c>
      <c r="B4033" t="s">
        <v>11485</v>
      </c>
      <c r="C4033" t="s">
        <v>11486</v>
      </c>
      <c r="D4033">
        <v>1</v>
      </c>
      <c r="E4033" t="s">
        <v>11263</v>
      </c>
      <c r="F4033" t="s">
        <v>11264</v>
      </c>
      <c r="G4033" s="1"/>
      <c r="H4033" t="str">
        <f>"3250617171410"</f>
        <v>3250617171410</v>
      </c>
      <c r="I4033" s="1"/>
      <c r="J4033" t="s">
        <v>11487</v>
      </c>
    </row>
    <row r="4034" spans="1:10" x14ac:dyDescent="0.25">
      <c r="A4034" t="s">
        <v>8</v>
      </c>
      <c r="B4034" t="s">
        <v>11488</v>
      </c>
      <c r="C4034" t="s">
        <v>11489</v>
      </c>
      <c r="D4034">
        <v>1</v>
      </c>
      <c r="E4034" t="s">
        <v>11263</v>
      </c>
      <c r="F4034" t="s">
        <v>11264</v>
      </c>
      <c r="G4034" s="1"/>
      <c r="H4034" t="str">
        <f>"3250617177412"</f>
        <v>3250617177412</v>
      </c>
      <c r="J4034" t="s">
        <v>11490</v>
      </c>
    </row>
    <row r="4035" spans="1:10" x14ac:dyDescent="0.25">
      <c r="A4035" t="s">
        <v>8</v>
      </c>
      <c r="B4035" t="s">
        <v>11491</v>
      </c>
      <c r="C4035" t="s">
        <v>11492</v>
      </c>
      <c r="D4035">
        <v>1</v>
      </c>
      <c r="E4035" t="s">
        <v>11263</v>
      </c>
      <c r="F4035" t="s">
        <v>11264</v>
      </c>
      <c r="G4035" s="1"/>
      <c r="H4035" t="str">
        <f>"3250617174459"</f>
        <v>3250617174459</v>
      </c>
      <c r="J4035" t="s">
        <v>11493</v>
      </c>
    </row>
    <row r="4036" spans="1:10" x14ac:dyDescent="0.25">
      <c r="A4036" t="s">
        <v>8</v>
      </c>
      <c r="B4036" t="s">
        <v>11494</v>
      </c>
      <c r="C4036" t="s">
        <v>11495</v>
      </c>
      <c r="D4036">
        <v>1</v>
      </c>
      <c r="E4036" t="s">
        <v>11263</v>
      </c>
      <c r="F4036" t="s">
        <v>11264</v>
      </c>
      <c r="G4036" s="1"/>
      <c r="H4036" t="str">
        <f>"3250617175456"</f>
        <v>3250617175456</v>
      </c>
      <c r="J4036" t="s">
        <v>11496</v>
      </c>
    </row>
    <row r="4037" spans="1:10" x14ac:dyDescent="0.25">
      <c r="A4037" t="s">
        <v>8</v>
      </c>
      <c r="B4037" t="s">
        <v>11497</v>
      </c>
      <c r="C4037" t="s">
        <v>11498</v>
      </c>
      <c r="D4037">
        <v>1</v>
      </c>
      <c r="E4037" t="s">
        <v>11263</v>
      </c>
      <c r="F4037" t="s">
        <v>11264</v>
      </c>
      <c r="G4037" s="1"/>
      <c r="H4037" t="str">
        <f>"3250617176019"</f>
        <v>3250617176019</v>
      </c>
      <c r="J4037" t="s">
        <v>11499</v>
      </c>
    </row>
    <row r="4038" spans="1:10" x14ac:dyDescent="0.25">
      <c r="A4038" t="s">
        <v>8</v>
      </c>
      <c r="B4038" t="s">
        <v>11500</v>
      </c>
      <c r="C4038" t="s">
        <v>11501</v>
      </c>
      <c r="D4038">
        <v>1</v>
      </c>
      <c r="E4038" t="s">
        <v>11263</v>
      </c>
      <c r="F4038" t="s">
        <v>11264</v>
      </c>
      <c r="G4038" s="1"/>
      <c r="H4038" t="str">
        <f>"3250617170024"</f>
        <v>3250617170024</v>
      </c>
      <c r="J4038" t="s">
        <v>11502</v>
      </c>
    </row>
    <row r="4039" spans="1:10" x14ac:dyDescent="0.25">
      <c r="A4039" t="s">
        <v>8</v>
      </c>
      <c r="B4039" t="s">
        <v>11503</v>
      </c>
      <c r="C4039" t="s">
        <v>11504</v>
      </c>
      <c r="D4039">
        <v>1</v>
      </c>
      <c r="E4039" t="s">
        <v>11263</v>
      </c>
      <c r="F4039" t="s">
        <v>11264</v>
      </c>
      <c r="G4039" s="1"/>
      <c r="H4039" t="str">
        <f>"3250617170208"</f>
        <v>3250617170208</v>
      </c>
      <c r="J4039" t="s">
        <v>11505</v>
      </c>
    </row>
    <row r="4040" spans="1:10" x14ac:dyDescent="0.25">
      <c r="A4040" t="s">
        <v>8</v>
      </c>
      <c r="B4040" t="s">
        <v>11506</v>
      </c>
      <c r="C4040" t="s">
        <v>11507</v>
      </c>
      <c r="D4040">
        <v>1</v>
      </c>
      <c r="E4040" t="s">
        <v>11263</v>
      </c>
      <c r="F4040" t="s">
        <v>11264</v>
      </c>
      <c r="G4040" s="1"/>
      <c r="H4040" t="str">
        <f>"3250617170222"</f>
        <v>3250617170222</v>
      </c>
      <c r="J4040" t="s">
        <v>11508</v>
      </c>
    </row>
    <row r="4041" spans="1:10" x14ac:dyDescent="0.25">
      <c r="A4041" t="s">
        <v>8</v>
      </c>
      <c r="B4041" t="s">
        <v>11509</v>
      </c>
      <c r="C4041" t="s">
        <v>11510</v>
      </c>
      <c r="D4041">
        <v>1</v>
      </c>
      <c r="E4041" t="s">
        <v>11263</v>
      </c>
      <c r="F4041" t="s">
        <v>11264</v>
      </c>
      <c r="G4041" s="1"/>
      <c r="H4041" t="str">
        <f>"3250617170321"</f>
        <v>3250617170321</v>
      </c>
      <c r="J4041" t="s">
        <v>11511</v>
      </c>
    </row>
    <row r="4042" spans="1:10" x14ac:dyDescent="0.25">
      <c r="A4042" t="s">
        <v>8</v>
      </c>
      <c r="B4042" t="s">
        <v>11512</v>
      </c>
      <c r="C4042" t="s">
        <v>11513</v>
      </c>
      <c r="D4042">
        <v>1</v>
      </c>
      <c r="E4042" t="s">
        <v>11263</v>
      </c>
      <c r="F4042" t="s">
        <v>11264</v>
      </c>
      <c r="G4042" s="1"/>
      <c r="H4042" t="str">
        <f>"3250617170338"</f>
        <v>3250617170338</v>
      </c>
      <c r="J4042" t="s">
        <v>11514</v>
      </c>
    </row>
    <row r="4043" spans="1:10" x14ac:dyDescent="0.25">
      <c r="A4043" t="s">
        <v>8</v>
      </c>
      <c r="B4043" t="s">
        <v>11515</v>
      </c>
      <c r="C4043" t="s">
        <v>11516</v>
      </c>
      <c r="D4043">
        <v>1</v>
      </c>
      <c r="E4043" t="s">
        <v>11263</v>
      </c>
      <c r="F4043" t="s">
        <v>11264</v>
      </c>
      <c r="G4043" s="1"/>
      <c r="H4043" t="str">
        <f>"3250617170406"</f>
        <v>3250617170406</v>
      </c>
      <c r="J4043" t="s">
        <v>11517</v>
      </c>
    </row>
    <row r="4044" spans="1:10" x14ac:dyDescent="0.25">
      <c r="A4044" t="s">
        <v>8</v>
      </c>
      <c r="B4044" t="s">
        <v>11518</v>
      </c>
      <c r="C4044" t="s">
        <v>11519</v>
      </c>
      <c r="D4044">
        <v>1</v>
      </c>
      <c r="E4044" t="s">
        <v>11263</v>
      </c>
      <c r="F4044" t="s">
        <v>11264</v>
      </c>
      <c r="G4044" s="1"/>
      <c r="H4044" t="str">
        <f>"3250617170413"</f>
        <v>3250617170413</v>
      </c>
      <c r="J4044" t="s">
        <v>11520</v>
      </c>
    </row>
    <row r="4045" spans="1:10" x14ac:dyDescent="0.25">
      <c r="A4045" t="s">
        <v>8</v>
      </c>
      <c r="B4045" t="s">
        <v>11521</v>
      </c>
      <c r="C4045" t="s">
        <v>11522</v>
      </c>
      <c r="D4045">
        <v>1</v>
      </c>
      <c r="E4045" t="s">
        <v>11263</v>
      </c>
      <c r="F4045" t="s">
        <v>11264</v>
      </c>
      <c r="G4045" s="1"/>
      <c r="H4045" t="str">
        <f>"3250617174558"</f>
        <v>3250617174558</v>
      </c>
      <c r="J4045" t="s">
        <v>11523</v>
      </c>
    </row>
    <row r="4046" spans="1:10" x14ac:dyDescent="0.25">
      <c r="A4046" t="s">
        <v>8</v>
      </c>
      <c r="B4046" t="s">
        <v>11524</v>
      </c>
      <c r="C4046" t="s">
        <v>11525</v>
      </c>
      <c r="D4046">
        <v>1</v>
      </c>
      <c r="E4046" t="s">
        <v>11263</v>
      </c>
      <c r="F4046" t="s">
        <v>11264</v>
      </c>
      <c r="G4046" s="1"/>
      <c r="H4046" t="str">
        <f>"3250617175555"</f>
        <v>3250617175555</v>
      </c>
      <c r="J4046" t="s">
        <v>11526</v>
      </c>
    </row>
    <row r="4047" spans="1:10" x14ac:dyDescent="0.25">
      <c r="A4047" t="s">
        <v>8</v>
      </c>
      <c r="B4047" t="s">
        <v>11527</v>
      </c>
      <c r="C4047" t="s">
        <v>11528</v>
      </c>
      <c r="D4047">
        <v>1</v>
      </c>
      <c r="E4047" t="s">
        <v>11263</v>
      </c>
      <c r="F4047" t="s">
        <v>11264</v>
      </c>
      <c r="G4047" s="1"/>
      <c r="H4047" t="str">
        <f>"3250617174572"</f>
        <v>3250617174572</v>
      </c>
      <c r="J4047" t="s">
        <v>11529</v>
      </c>
    </row>
    <row r="4048" spans="1:10" x14ac:dyDescent="0.25">
      <c r="A4048" t="s">
        <v>8</v>
      </c>
      <c r="B4048" t="s">
        <v>11530</v>
      </c>
      <c r="C4048" t="s">
        <v>11531</v>
      </c>
      <c r="D4048">
        <v>1</v>
      </c>
      <c r="E4048" t="s">
        <v>11263</v>
      </c>
      <c r="F4048" t="s">
        <v>11264</v>
      </c>
      <c r="G4048" s="1"/>
      <c r="H4048" t="str">
        <f>"3250617175579"</f>
        <v>3250617175579</v>
      </c>
      <c r="J4048" t="s">
        <v>11532</v>
      </c>
    </row>
    <row r="4049" spans="1:10" x14ac:dyDescent="0.25">
      <c r="A4049" t="s">
        <v>8</v>
      </c>
      <c r="B4049" t="s">
        <v>11533</v>
      </c>
      <c r="C4049" t="s">
        <v>11534</v>
      </c>
      <c r="D4049">
        <v>1</v>
      </c>
      <c r="E4049" t="s">
        <v>11263</v>
      </c>
      <c r="F4049" t="s">
        <v>11264</v>
      </c>
      <c r="G4049" s="1"/>
      <c r="H4049" t="str">
        <f>"3250617175654"</f>
        <v>3250617175654</v>
      </c>
      <c r="J4049" t="s">
        <v>11535</v>
      </c>
    </row>
    <row r="4050" spans="1:10" x14ac:dyDescent="0.25">
      <c r="A4050" t="s">
        <v>8</v>
      </c>
      <c r="B4050" t="s">
        <v>11536</v>
      </c>
      <c r="C4050" t="s">
        <v>11537</v>
      </c>
      <c r="D4050">
        <v>1</v>
      </c>
      <c r="E4050" t="s">
        <v>11263</v>
      </c>
      <c r="F4050" t="s">
        <v>11264</v>
      </c>
      <c r="G4050" s="1"/>
      <c r="H4050" t="str">
        <f>"3250617175661"</f>
        <v>3250617175661</v>
      </c>
      <c r="J4050" t="s">
        <v>11538</v>
      </c>
    </row>
    <row r="4051" spans="1:10" x14ac:dyDescent="0.25">
      <c r="A4051" t="s">
        <v>8</v>
      </c>
      <c r="B4051" t="s">
        <v>11539</v>
      </c>
      <c r="C4051" t="s">
        <v>11540</v>
      </c>
      <c r="D4051">
        <v>1</v>
      </c>
      <c r="E4051" t="s">
        <v>11263</v>
      </c>
      <c r="F4051" t="s">
        <v>11264</v>
      </c>
      <c r="G4051" s="1"/>
      <c r="H4051" t="str">
        <f>"3250617171137"</f>
        <v>3250617171137</v>
      </c>
      <c r="J4051" t="s">
        <v>11541</v>
      </c>
    </row>
    <row r="4052" spans="1:10" x14ac:dyDescent="0.25">
      <c r="A4052" t="s">
        <v>8</v>
      </c>
      <c r="B4052" t="s">
        <v>11542</v>
      </c>
      <c r="C4052" t="s">
        <v>11543</v>
      </c>
      <c r="D4052">
        <v>1</v>
      </c>
      <c r="E4052" t="s">
        <v>11263</v>
      </c>
      <c r="F4052" t="s">
        <v>11264</v>
      </c>
      <c r="G4052" s="1"/>
      <c r="H4052" t="str">
        <f>"3250617171120"</f>
        <v>3250617171120</v>
      </c>
      <c r="J4052" t="s">
        <v>11544</v>
      </c>
    </row>
    <row r="4053" spans="1:10" x14ac:dyDescent="0.25">
      <c r="A4053" t="s">
        <v>8</v>
      </c>
      <c r="B4053" t="s">
        <v>11545</v>
      </c>
      <c r="C4053" t="s">
        <v>11546</v>
      </c>
      <c r="D4053">
        <v>1</v>
      </c>
      <c r="E4053" t="s">
        <v>11263</v>
      </c>
      <c r="F4053" t="s">
        <v>11264</v>
      </c>
      <c r="G4053" s="1"/>
      <c r="H4053" t="str">
        <f>"3250617171106"</f>
        <v>3250617171106</v>
      </c>
      <c r="J4053" t="s">
        <v>11547</v>
      </c>
    </row>
    <row r="4054" spans="1:10" x14ac:dyDescent="0.25">
      <c r="A4054" t="s">
        <v>8</v>
      </c>
      <c r="B4054" t="s">
        <v>11548</v>
      </c>
      <c r="C4054" t="s">
        <v>11549</v>
      </c>
      <c r="D4054">
        <v>1</v>
      </c>
      <c r="E4054" t="s">
        <v>11263</v>
      </c>
      <c r="F4054" t="s">
        <v>11264</v>
      </c>
      <c r="G4054" s="1"/>
      <c r="H4054" t="str">
        <f>"3250617171113"</f>
        <v>3250617171113</v>
      </c>
      <c r="J4054" t="s">
        <v>11547</v>
      </c>
    </row>
    <row r="4055" spans="1:10" x14ac:dyDescent="0.25">
      <c r="A4055" t="s">
        <v>8</v>
      </c>
      <c r="B4055" t="s">
        <v>11550</v>
      </c>
      <c r="C4055" t="s">
        <v>11551</v>
      </c>
      <c r="D4055">
        <v>1</v>
      </c>
      <c r="E4055" t="s">
        <v>11263</v>
      </c>
      <c r="F4055" t="s">
        <v>11264</v>
      </c>
      <c r="G4055" s="1"/>
      <c r="H4055" t="str">
        <f>"3250617171557"</f>
        <v>3250617171557</v>
      </c>
      <c r="J4055" t="s">
        <v>11552</v>
      </c>
    </row>
    <row r="4056" spans="1:10" x14ac:dyDescent="0.25">
      <c r="A4056" t="s">
        <v>8</v>
      </c>
      <c r="B4056" t="s">
        <v>11553</v>
      </c>
      <c r="C4056" t="s">
        <v>11554</v>
      </c>
      <c r="D4056">
        <v>1</v>
      </c>
      <c r="E4056" t="s">
        <v>11263</v>
      </c>
      <c r="F4056" t="s">
        <v>11264</v>
      </c>
      <c r="G4056" s="1"/>
      <c r="H4056" t="str">
        <f>"3250617176552"</f>
        <v>3250617176552</v>
      </c>
      <c r="J4056" t="s">
        <v>11555</v>
      </c>
    </row>
    <row r="4057" spans="1:10" x14ac:dyDescent="0.25">
      <c r="A4057" t="s">
        <v>8</v>
      </c>
      <c r="B4057" t="s">
        <v>11556</v>
      </c>
      <c r="C4057" t="s">
        <v>11557</v>
      </c>
      <c r="D4057">
        <v>1</v>
      </c>
      <c r="E4057" t="s">
        <v>11263</v>
      </c>
      <c r="F4057" t="s">
        <v>11264</v>
      </c>
      <c r="G4057" s="1"/>
      <c r="H4057" t="str">
        <f>"3250617170055"</f>
        <v>3250617170055</v>
      </c>
      <c r="J4057" t="s">
        <v>11558</v>
      </c>
    </row>
    <row r="4058" spans="1:10" x14ac:dyDescent="0.25">
      <c r="A4058" t="s">
        <v>8</v>
      </c>
      <c r="B4058" t="s">
        <v>11559</v>
      </c>
      <c r="C4058" t="s">
        <v>11560</v>
      </c>
      <c r="D4058">
        <v>1</v>
      </c>
      <c r="E4058" t="s">
        <v>11263</v>
      </c>
      <c r="F4058" t="s">
        <v>11264</v>
      </c>
      <c r="G4058" s="1"/>
      <c r="H4058" t="str">
        <f>"3250617170062"</f>
        <v>3250617170062</v>
      </c>
      <c r="I4058" s="1"/>
      <c r="J4058" t="s">
        <v>11561</v>
      </c>
    </row>
    <row r="4059" spans="1:10" x14ac:dyDescent="0.25">
      <c r="A4059" t="s">
        <v>8</v>
      </c>
      <c r="B4059" t="s">
        <v>11562</v>
      </c>
      <c r="C4059" t="s">
        <v>11563</v>
      </c>
      <c r="D4059">
        <v>1</v>
      </c>
      <c r="E4059" t="s">
        <v>11263</v>
      </c>
      <c r="F4059" t="s">
        <v>11264</v>
      </c>
      <c r="G4059" s="1"/>
      <c r="H4059" t="str">
        <f>"3250617172554"</f>
        <v>3250617172554</v>
      </c>
      <c r="J4059" t="s">
        <v>11564</v>
      </c>
    </row>
    <row r="4060" spans="1:10" x14ac:dyDescent="0.25">
      <c r="A4060" t="s">
        <v>8</v>
      </c>
      <c r="B4060" t="s">
        <v>11565</v>
      </c>
      <c r="C4060" t="s">
        <v>11566</v>
      </c>
      <c r="D4060">
        <v>1</v>
      </c>
      <c r="E4060" t="s">
        <v>11263</v>
      </c>
      <c r="F4060" t="s">
        <v>11264</v>
      </c>
      <c r="G4060" s="1"/>
      <c r="H4060" t="str">
        <f>"3250617173551"</f>
        <v>3250617173551</v>
      </c>
      <c r="J4060" t="s">
        <v>11567</v>
      </c>
    </row>
    <row r="4061" spans="1:10" x14ac:dyDescent="0.25">
      <c r="A4061" t="s">
        <v>8</v>
      </c>
      <c r="B4061" t="s">
        <v>11568</v>
      </c>
      <c r="C4061" t="s">
        <v>11569</v>
      </c>
      <c r="D4061">
        <v>1</v>
      </c>
      <c r="E4061" t="s">
        <v>11263</v>
      </c>
      <c r="F4061" t="s">
        <v>11264</v>
      </c>
      <c r="G4061" s="1"/>
      <c r="H4061" t="str">
        <f>"3250617174091"</f>
        <v>3250617174091</v>
      </c>
      <c r="J4061" t="s">
        <v>11570</v>
      </c>
    </row>
    <row r="4062" spans="1:10" x14ac:dyDescent="0.25">
      <c r="A4062" t="s">
        <v>8</v>
      </c>
      <c r="B4062" t="s">
        <v>11571</v>
      </c>
      <c r="C4062" t="s">
        <v>11572</v>
      </c>
      <c r="D4062">
        <v>1</v>
      </c>
      <c r="E4062" t="s">
        <v>11263</v>
      </c>
      <c r="F4062" t="s">
        <v>11264</v>
      </c>
      <c r="G4062" s="1"/>
      <c r="H4062" t="str">
        <f>"3250617175098"</f>
        <v>3250617175098</v>
      </c>
      <c r="J4062" t="s">
        <v>11573</v>
      </c>
    </row>
    <row r="4063" spans="1:10" x14ac:dyDescent="0.25">
      <c r="A4063" t="s">
        <v>8</v>
      </c>
      <c r="B4063" t="s">
        <v>11574</v>
      </c>
      <c r="C4063" t="s">
        <v>11575</v>
      </c>
      <c r="D4063">
        <v>1</v>
      </c>
      <c r="E4063" t="s">
        <v>11263</v>
      </c>
      <c r="F4063" t="s">
        <v>11264</v>
      </c>
      <c r="G4063" s="1"/>
      <c r="H4063" t="str">
        <f>"3250617170093"</f>
        <v>3250617170093</v>
      </c>
      <c r="J4063" t="s">
        <v>11576</v>
      </c>
    </row>
    <row r="4064" spans="1:10" x14ac:dyDescent="0.25">
      <c r="A4064" t="s">
        <v>8</v>
      </c>
      <c r="B4064" t="s">
        <v>11577</v>
      </c>
      <c r="C4064" t="s">
        <v>11578</v>
      </c>
      <c r="D4064">
        <v>1</v>
      </c>
      <c r="E4064" t="s">
        <v>11263</v>
      </c>
      <c r="F4064" t="s">
        <v>11264</v>
      </c>
      <c r="G4064" s="1"/>
      <c r="H4064" t="str">
        <f>"3250617176095"</f>
        <v>3250617176095</v>
      </c>
      <c r="J4064" t="s">
        <v>11579</v>
      </c>
    </row>
    <row r="4065" spans="1:10" x14ac:dyDescent="0.25">
      <c r="A4065" t="s">
        <v>8</v>
      </c>
      <c r="B4065" t="s">
        <v>11580</v>
      </c>
      <c r="C4065" t="s">
        <v>11581</v>
      </c>
      <c r="D4065">
        <v>1</v>
      </c>
      <c r="E4065" t="s">
        <v>11263</v>
      </c>
      <c r="F4065" t="s">
        <v>11264</v>
      </c>
      <c r="G4065" s="1"/>
      <c r="H4065" t="str">
        <f>"3250617178013"</f>
        <v>3250617178013</v>
      </c>
      <c r="J4065" t="s">
        <v>11582</v>
      </c>
    </row>
    <row r="4066" spans="1:10" x14ac:dyDescent="0.25">
      <c r="A4066" t="s">
        <v>8</v>
      </c>
      <c r="B4066" t="s">
        <v>11583</v>
      </c>
      <c r="C4066" t="s">
        <v>11584</v>
      </c>
      <c r="D4066">
        <v>1</v>
      </c>
      <c r="E4066" t="s">
        <v>11263</v>
      </c>
      <c r="F4066" t="s">
        <v>11264</v>
      </c>
      <c r="G4066" s="1"/>
      <c r="H4066" t="str">
        <f>"3250617177016"</f>
        <v>3250617177016</v>
      </c>
      <c r="J4066" t="s">
        <v>11586</v>
      </c>
    </row>
    <row r="4067" spans="1:10" x14ac:dyDescent="0.25">
      <c r="A4067" t="s">
        <v>8</v>
      </c>
      <c r="B4067" t="s">
        <v>11587</v>
      </c>
      <c r="C4067" t="s">
        <v>11588</v>
      </c>
      <c r="D4067">
        <v>1</v>
      </c>
      <c r="E4067" t="s">
        <v>11263</v>
      </c>
      <c r="F4067" t="s">
        <v>11264</v>
      </c>
      <c r="G4067" s="1"/>
      <c r="H4067" t="str">
        <f>"3250617179232"</f>
        <v>3250617179232</v>
      </c>
      <c r="J4067" t="s">
        <v>11589</v>
      </c>
    </row>
    <row r="4068" spans="1:10" x14ac:dyDescent="0.25">
      <c r="A4068" t="s">
        <v>8</v>
      </c>
      <c r="B4068" t="s">
        <v>11590</v>
      </c>
      <c r="C4068" t="s">
        <v>11591</v>
      </c>
      <c r="D4068">
        <v>1</v>
      </c>
      <c r="E4068" t="s">
        <v>11263</v>
      </c>
      <c r="F4068" t="s">
        <v>11264</v>
      </c>
      <c r="G4068" s="1"/>
      <c r="H4068" t="str">
        <f>"3250617178235"</f>
        <v>3250617178235</v>
      </c>
      <c r="J4068" t="s">
        <v>11589</v>
      </c>
    </row>
    <row r="4069" spans="1:10" x14ac:dyDescent="0.25">
      <c r="A4069" t="s">
        <v>8</v>
      </c>
      <c r="B4069" t="s">
        <v>11592</v>
      </c>
      <c r="C4069" t="s">
        <v>11593</v>
      </c>
      <c r="D4069">
        <v>1</v>
      </c>
      <c r="E4069" t="s">
        <v>11263</v>
      </c>
      <c r="F4069" t="s">
        <v>11264</v>
      </c>
      <c r="G4069" s="1"/>
      <c r="H4069" t="str">
        <f>"3250617178259"</f>
        <v>3250617178259</v>
      </c>
      <c r="J4069" t="s">
        <v>11594</v>
      </c>
    </row>
    <row r="4070" spans="1:10" x14ac:dyDescent="0.25">
      <c r="A4070" t="s">
        <v>8</v>
      </c>
      <c r="B4070" t="s">
        <v>11595</v>
      </c>
      <c r="C4070" t="s">
        <v>11596</v>
      </c>
      <c r="D4070">
        <v>1</v>
      </c>
      <c r="E4070" t="s">
        <v>11263</v>
      </c>
      <c r="F4070" t="s">
        <v>11264</v>
      </c>
      <c r="G4070" s="1"/>
      <c r="H4070" t="str">
        <f>"3250617179409"</f>
        <v>3250617179409</v>
      </c>
      <c r="J4070" t="s">
        <v>11597</v>
      </c>
    </row>
    <row r="4071" spans="1:10" x14ac:dyDescent="0.25">
      <c r="A4071" t="s">
        <v>8</v>
      </c>
      <c r="B4071" t="s">
        <v>11598</v>
      </c>
      <c r="C4071" t="s">
        <v>11599</v>
      </c>
      <c r="D4071">
        <v>1</v>
      </c>
      <c r="E4071" t="s">
        <v>11263</v>
      </c>
      <c r="F4071" t="s">
        <v>11264</v>
      </c>
      <c r="G4071" s="1"/>
      <c r="H4071" t="str">
        <f>"3250617178402"</f>
        <v>3250617178402</v>
      </c>
      <c r="J4071" t="s">
        <v>11597</v>
      </c>
    </row>
    <row r="4072" spans="1:10" x14ac:dyDescent="0.25">
      <c r="A4072" t="s">
        <v>8</v>
      </c>
      <c r="B4072" t="s">
        <v>11600</v>
      </c>
      <c r="C4072" t="s">
        <v>11601</v>
      </c>
      <c r="D4072">
        <v>1</v>
      </c>
      <c r="E4072" t="s">
        <v>11263</v>
      </c>
      <c r="F4072" t="s">
        <v>11264</v>
      </c>
      <c r="G4072" s="1"/>
      <c r="H4072" t="str">
        <f>"3250617179256"</f>
        <v>3250617179256</v>
      </c>
      <c r="J4072" t="s">
        <v>11594</v>
      </c>
    </row>
    <row r="4073" spans="1:10" x14ac:dyDescent="0.25">
      <c r="A4073" t="s">
        <v>8</v>
      </c>
      <c r="B4073">
        <v>47403521</v>
      </c>
      <c r="C4073" t="s">
        <v>11602</v>
      </c>
      <c r="D4073">
        <v>1</v>
      </c>
      <c r="E4073" t="s">
        <v>11263</v>
      </c>
      <c r="F4073" t="s">
        <v>11264</v>
      </c>
      <c r="G4073" s="1"/>
      <c r="H4073" t="str">
        <f>"4011334423287"</f>
        <v>4011334423287</v>
      </c>
      <c r="J4073" t="s">
        <v>11603</v>
      </c>
    </row>
    <row r="4074" spans="1:10" x14ac:dyDescent="0.25">
      <c r="A4074" t="s">
        <v>8</v>
      </c>
      <c r="B4074" t="s">
        <v>11604</v>
      </c>
      <c r="C4074" t="s">
        <v>11605</v>
      </c>
      <c r="D4074">
        <v>1</v>
      </c>
      <c r="E4074" t="s">
        <v>11606</v>
      </c>
      <c r="F4074" t="s">
        <v>11607</v>
      </c>
      <c r="G4074" s="1"/>
      <c r="H4074" t="str">
        <f>"3250617174411"</f>
        <v>3250617174411</v>
      </c>
      <c r="J4074" t="s">
        <v>11608</v>
      </c>
    </row>
    <row r="4075" spans="1:10" x14ac:dyDescent="0.25">
      <c r="A4075" t="s">
        <v>8</v>
      </c>
      <c r="B4075" t="s">
        <v>11609</v>
      </c>
      <c r="C4075" t="s">
        <v>11610</v>
      </c>
      <c r="D4075">
        <v>1</v>
      </c>
      <c r="E4075" t="s">
        <v>11606</v>
      </c>
      <c r="F4075" t="s">
        <v>11607</v>
      </c>
      <c r="G4075" s="1"/>
      <c r="H4075" t="str">
        <f>"3250617175418"</f>
        <v>3250617175418</v>
      </c>
      <c r="J4075" t="s">
        <v>11611</v>
      </c>
    </row>
    <row r="4076" spans="1:10" x14ac:dyDescent="0.25">
      <c r="A4076" t="s">
        <v>8</v>
      </c>
      <c r="B4076" t="s">
        <v>11612</v>
      </c>
      <c r="C4076" t="s">
        <v>11613</v>
      </c>
      <c r="D4076">
        <v>1</v>
      </c>
      <c r="E4076" t="s">
        <v>11606</v>
      </c>
      <c r="F4076" t="s">
        <v>11607</v>
      </c>
      <c r="G4076" s="1"/>
      <c r="H4076" t="str">
        <f>"3250617174428"</f>
        <v>3250617174428</v>
      </c>
      <c r="J4076" t="s">
        <v>11615</v>
      </c>
    </row>
    <row r="4077" spans="1:10" x14ac:dyDescent="0.25">
      <c r="A4077" t="s">
        <v>8</v>
      </c>
      <c r="B4077" t="s">
        <v>11616</v>
      </c>
      <c r="C4077" t="s">
        <v>11617</v>
      </c>
      <c r="D4077">
        <v>1</v>
      </c>
      <c r="E4077" t="s">
        <v>11606</v>
      </c>
      <c r="F4077" t="s">
        <v>11607</v>
      </c>
      <c r="G4077" s="1"/>
      <c r="H4077" t="str">
        <f>"3250617175425"</f>
        <v>3250617175425</v>
      </c>
      <c r="J4077" t="s">
        <v>11618</v>
      </c>
    </row>
    <row r="4078" spans="1:10" x14ac:dyDescent="0.25">
      <c r="A4078" t="s">
        <v>8</v>
      </c>
      <c r="B4078" t="s">
        <v>11619</v>
      </c>
      <c r="C4078" t="s">
        <v>11620</v>
      </c>
      <c r="D4078">
        <v>1</v>
      </c>
      <c r="E4078" t="s">
        <v>11606</v>
      </c>
      <c r="F4078" t="s">
        <v>11607</v>
      </c>
      <c r="G4078" s="1"/>
      <c r="H4078" t="str">
        <f>"3250617174435"</f>
        <v>3250617174435</v>
      </c>
      <c r="J4078" t="s">
        <v>11621</v>
      </c>
    </row>
    <row r="4079" spans="1:10" x14ac:dyDescent="0.25">
      <c r="A4079" t="s">
        <v>8</v>
      </c>
      <c r="B4079" t="s">
        <v>11622</v>
      </c>
      <c r="C4079" t="s">
        <v>11623</v>
      </c>
      <c r="D4079">
        <v>1</v>
      </c>
      <c r="E4079" t="s">
        <v>11606</v>
      </c>
      <c r="F4079" t="s">
        <v>11607</v>
      </c>
      <c r="G4079" s="1"/>
      <c r="H4079" t="str">
        <f>"3250617175432"</f>
        <v>3250617175432</v>
      </c>
      <c r="J4079" t="s">
        <v>11624</v>
      </c>
    </row>
    <row r="4080" spans="1:10" x14ac:dyDescent="0.25">
      <c r="A4080" t="s">
        <v>8</v>
      </c>
      <c r="B4080" t="s">
        <v>11625</v>
      </c>
      <c r="C4080" t="s">
        <v>11626</v>
      </c>
      <c r="D4080">
        <v>1</v>
      </c>
      <c r="E4080" t="s">
        <v>11606</v>
      </c>
      <c r="F4080" t="s">
        <v>11607</v>
      </c>
      <c r="G4080" s="1"/>
      <c r="H4080" t="str">
        <f>"3250617174480"</f>
        <v>3250617174480</v>
      </c>
      <c r="J4080" t="s">
        <v>11627</v>
      </c>
    </row>
    <row r="4081" spans="1:10" x14ac:dyDescent="0.25">
      <c r="A4081" t="s">
        <v>8</v>
      </c>
      <c r="B4081" t="s">
        <v>11628</v>
      </c>
      <c r="C4081" t="s">
        <v>11629</v>
      </c>
      <c r="D4081">
        <v>1</v>
      </c>
      <c r="E4081" t="s">
        <v>11606</v>
      </c>
      <c r="F4081" t="s">
        <v>11607</v>
      </c>
      <c r="G4081" s="1"/>
      <c r="H4081" t="str">
        <f>"3250617175487"</f>
        <v>3250617175487</v>
      </c>
      <c r="J4081" t="s">
        <v>11618</v>
      </c>
    </row>
    <row r="4082" spans="1:10" x14ac:dyDescent="0.25">
      <c r="A4082" t="s">
        <v>8</v>
      </c>
      <c r="B4082" t="s">
        <v>11630</v>
      </c>
      <c r="C4082" t="s">
        <v>11631</v>
      </c>
      <c r="D4082">
        <v>1</v>
      </c>
      <c r="E4082" t="s">
        <v>11606</v>
      </c>
      <c r="F4082" t="s">
        <v>11607</v>
      </c>
      <c r="G4082" s="1"/>
      <c r="H4082" t="str">
        <f>"3250617174503"</f>
        <v>3250617174503</v>
      </c>
      <c r="J4082" t="s">
        <v>11632</v>
      </c>
    </row>
    <row r="4083" spans="1:10" x14ac:dyDescent="0.25">
      <c r="A4083" t="s">
        <v>8</v>
      </c>
      <c r="B4083" t="s">
        <v>11633</v>
      </c>
      <c r="C4083" t="s">
        <v>11634</v>
      </c>
      <c r="D4083">
        <v>1</v>
      </c>
      <c r="E4083" t="s">
        <v>11606</v>
      </c>
      <c r="F4083" t="s">
        <v>11607</v>
      </c>
      <c r="G4083" s="1"/>
      <c r="H4083" t="str">
        <f>"3250617174619"</f>
        <v>3250617174619</v>
      </c>
      <c r="J4083" t="s">
        <v>11635</v>
      </c>
    </row>
    <row r="4084" spans="1:10" x14ac:dyDescent="0.25">
      <c r="A4084" t="s">
        <v>8</v>
      </c>
      <c r="B4084" t="s">
        <v>11636</v>
      </c>
      <c r="C4084" t="s">
        <v>11637</v>
      </c>
      <c r="D4084">
        <v>1</v>
      </c>
      <c r="E4084" t="s">
        <v>11606</v>
      </c>
      <c r="F4084" t="s">
        <v>11607</v>
      </c>
      <c r="G4084" s="1"/>
      <c r="H4084" t="str">
        <f>"3250617174626"</f>
        <v>3250617174626</v>
      </c>
      <c r="J4084" t="s">
        <v>11638</v>
      </c>
    </row>
    <row r="4085" spans="1:10" x14ac:dyDescent="0.25">
      <c r="A4085" t="s">
        <v>8</v>
      </c>
      <c r="B4085" t="s">
        <v>11639</v>
      </c>
      <c r="C4085" t="s">
        <v>11640</v>
      </c>
      <c r="D4085">
        <v>1</v>
      </c>
      <c r="E4085" t="s">
        <v>11606</v>
      </c>
      <c r="F4085" t="s">
        <v>11607</v>
      </c>
      <c r="G4085" s="1"/>
      <c r="H4085" t="str">
        <f>"3250617174633"</f>
        <v>3250617174633</v>
      </c>
      <c r="J4085" t="s">
        <v>11641</v>
      </c>
    </row>
    <row r="4086" spans="1:10" x14ac:dyDescent="0.25">
      <c r="A4086" t="s">
        <v>8</v>
      </c>
      <c r="B4086" t="s">
        <v>11642</v>
      </c>
      <c r="C4086" t="s">
        <v>11643</v>
      </c>
      <c r="D4086">
        <v>1</v>
      </c>
      <c r="E4086" t="s">
        <v>11606</v>
      </c>
      <c r="F4086" t="s">
        <v>11607</v>
      </c>
      <c r="G4086" s="1"/>
      <c r="H4086" t="str">
        <f>"3250617174817"</f>
        <v>3250617174817</v>
      </c>
      <c r="J4086" t="s">
        <v>11644</v>
      </c>
    </row>
    <row r="4087" spans="1:10" x14ac:dyDescent="0.25">
      <c r="A4087" t="s">
        <v>8</v>
      </c>
      <c r="B4087" t="s">
        <v>11645</v>
      </c>
      <c r="C4087" t="s">
        <v>11646</v>
      </c>
      <c r="D4087">
        <v>1</v>
      </c>
      <c r="E4087" t="s">
        <v>11606</v>
      </c>
      <c r="F4087" t="s">
        <v>11607</v>
      </c>
      <c r="G4087" s="1"/>
      <c r="H4087" t="str">
        <f>"3250617175814"</f>
        <v>3250617175814</v>
      </c>
      <c r="J4087" t="s">
        <v>11647</v>
      </c>
    </row>
    <row r="4088" spans="1:10" x14ac:dyDescent="0.25">
      <c r="A4088" t="s">
        <v>8</v>
      </c>
      <c r="B4088" t="s">
        <v>11648</v>
      </c>
      <c r="C4088" t="s">
        <v>11649</v>
      </c>
      <c r="D4088">
        <v>1</v>
      </c>
      <c r="E4088" t="s">
        <v>11606</v>
      </c>
      <c r="F4088" t="s">
        <v>11607</v>
      </c>
      <c r="G4088" s="1"/>
      <c r="H4088" t="str">
        <f>"3250617174824"</f>
        <v>3250617174824</v>
      </c>
      <c r="J4088" t="s">
        <v>11357</v>
      </c>
    </row>
    <row r="4089" spans="1:10" x14ac:dyDescent="0.25">
      <c r="A4089" t="s">
        <v>8</v>
      </c>
      <c r="B4089" t="s">
        <v>11650</v>
      </c>
      <c r="C4089" t="s">
        <v>11651</v>
      </c>
      <c r="D4089">
        <v>1</v>
      </c>
      <c r="E4089" t="s">
        <v>11606</v>
      </c>
      <c r="F4089" t="s">
        <v>11607</v>
      </c>
      <c r="G4089" s="1"/>
      <c r="H4089" t="str">
        <f>"3250617175821"</f>
        <v>3250617175821</v>
      </c>
      <c r="J4089" t="s">
        <v>11652</v>
      </c>
    </row>
    <row r="4090" spans="1:10" x14ac:dyDescent="0.25">
      <c r="A4090" t="s">
        <v>8</v>
      </c>
      <c r="B4090" t="s">
        <v>11653</v>
      </c>
      <c r="C4090" t="s">
        <v>11654</v>
      </c>
      <c r="D4090">
        <v>1</v>
      </c>
      <c r="E4090" t="s">
        <v>11606</v>
      </c>
      <c r="F4090" t="s">
        <v>11607</v>
      </c>
      <c r="G4090" s="1"/>
      <c r="H4090" t="str">
        <f>"3250617174831"</f>
        <v>3250617174831</v>
      </c>
      <c r="J4090" t="s">
        <v>11655</v>
      </c>
    </row>
    <row r="4091" spans="1:10" x14ac:dyDescent="0.25">
      <c r="A4091" t="s">
        <v>8</v>
      </c>
      <c r="B4091" t="s">
        <v>11656</v>
      </c>
      <c r="C4091" t="s">
        <v>11657</v>
      </c>
      <c r="D4091">
        <v>1</v>
      </c>
      <c r="E4091" t="s">
        <v>11606</v>
      </c>
      <c r="F4091" t="s">
        <v>11607</v>
      </c>
      <c r="G4091" s="1"/>
      <c r="H4091" t="str">
        <f>"3250617175838"</f>
        <v>3250617175838</v>
      </c>
      <c r="J4091" t="s">
        <v>11658</v>
      </c>
    </row>
    <row r="4092" spans="1:10" x14ac:dyDescent="0.25">
      <c r="A4092" t="s">
        <v>8</v>
      </c>
      <c r="B4092" t="s">
        <v>11659</v>
      </c>
      <c r="C4092" t="s">
        <v>11660</v>
      </c>
      <c r="D4092">
        <v>1</v>
      </c>
      <c r="E4092" t="s">
        <v>11606</v>
      </c>
      <c r="F4092" t="s">
        <v>11607</v>
      </c>
      <c r="G4092" s="1"/>
      <c r="H4092" t="str">
        <f>"3250617174848"</f>
        <v>3250617174848</v>
      </c>
      <c r="J4092" t="s">
        <v>11661</v>
      </c>
    </row>
    <row r="4093" spans="1:10" x14ac:dyDescent="0.25">
      <c r="A4093" t="s">
        <v>8</v>
      </c>
      <c r="B4093" t="s">
        <v>11662</v>
      </c>
      <c r="C4093" t="s">
        <v>11663</v>
      </c>
      <c r="D4093">
        <v>1</v>
      </c>
      <c r="E4093" t="s">
        <v>11606</v>
      </c>
      <c r="F4093" t="s">
        <v>11607</v>
      </c>
      <c r="G4093" s="1"/>
      <c r="H4093" t="str">
        <f>"3250617174855"</f>
        <v>3250617174855</v>
      </c>
      <c r="J4093" t="s">
        <v>7155</v>
      </c>
    </row>
    <row r="4094" spans="1:10" x14ac:dyDescent="0.25">
      <c r="A4094" t="s">
        <v>8</v>
      </c>
      <c r="B4094" t="s">
        <v>11664</v>
      </c>
      <c r="C4094" t="s">
        <v>11665</v>
      </c>
      <c r="D4094">
        <v>1</v>
      </c>
      <c r="E4094" t="s">
        <v>11606</v>
      </c>
      <c r="F4094" t="s">
        <v>11607</v>
      </c>
      <c r="G4094" s="1"/>
      <c r="H4094" t="str">
        <f>"3250617175852"</f>
        <v>3250617175852</v>
      </c>
      <c r="J4094" t="s">
        <v>11666</v>
      </c>
    </row>
    <row r="4095" spans="1:10" x14ac:dyDescent="0.25">
      <c r="A4095" t="s">
        <v>8</v>
      </c>
      <c r="B4095" t="s">
        <v>11667</v>
      </c>
      <c r="C4095" t="s">
        <v>11668</v>
      </c>
      <c r="D4095">
        <v>1</v>
      </c>
      <c r="E4095" t="s">
        <v>11606</v>
      </c>
      <c r="F4095" t="s">
        <v>11607</v>
      </c>
      <c r="G4095" s="1"/>
      <c r="H4095" t="str">
        <f>"3250617174862"</f>
        <v>3250617174862</v>
      </c>
      <c r="J4095" t="s">
        <v>11357</v>
      </c>
    </row>
    <row r="4096" spans="1:10" x14ac:dyDescent="0.25">
      <c r="A4096" t="s">
        <v>8</v>
      </c>
      <c r="B4096" t="s">
        <v>11669</v>
      </c>
      <c r="C4096" t="s">
        <v>11670</v>
      </c>
      <c r="D4096">
        <v>1</v>
      </c>
      <c r="E4096" t="s">
        <v>11606</v>
      </c>
      <c r="F4096" t="s">
        <v>11607</v>
      </c>
      <c r="G4096" s="1"/>
      <c r="H4096" t="str">
        <f>"3250617175869"</f>
        <v>3250617175869</v>
      </c>
      <c r="J4096" t="s">
        <v>11671</v>
      </c>
    </row>
    <row r="4097" spans="1:10" x14ac:dyDescent="0.25">
      <c r="A4097" t="s">
        <v>8</v>
      </c>
      <c r="B4097" t="s">
        <v>11672</v>
      </c>
      <c r="C4097" t="s">
        <v>11673</v>
      </c>
      <c r="D4097">
        <v>1</v>
      </c>
      <c r="E4097" t="s">
        <v>11606</v>
      </c>
      <c r="F4097" t="s">
        <v>11607</v>
      </c>
      <c r="G4097" s="1"/>
      <c r="H4097" t="str">
        <f>"3250617174909"</f>
        <v>3250617174909</v>
      </c>
      <c r="J4097" t="s">
        <v>11674</v>
      </c>
    </row>
    <row r="4098" spans="1:10" x14ac:dyDescent="0.25">
      <c r="A4098" t="s">
        <v>8</v>
      </c>
      <c r="B4098" t="s">
        <v>11675</v>
      </c>
      <c r="C4098" t="s">
        <v>11676</v>
      </c>
      <c r="D4098">
        <v>1</v>
      </c>
      <c r="E4098" t="s">
        <v>11606</v>
      </c>
      <c r="F4098" t="s">
        <v>11607</v>
      </c>
      <c r="G4098" s="1"/>
      <c r="H4098" t="str">
        <f>"3250617175906"</f>
        <v>3250617175906</v>
      </c>
      <c r="J4098" t="s">
        <v>11677</v>
      </c>
    </row>
    <row r="4099" spans="1:10" x14ac:dyDescent="0.25">
      <c r="A4099" t="s">
        <v>8</v>
      </c>
      <c r="B4099" t="s">
        <v>11678</v>
      </c>
      <c r="C4099" t="s">
        <v>11679</v>
      </c>
      <c r="D4099">
        <v>1</v>
      </c>
      <c r="E4099" t="s">
        <v>11606</v>
      </c>
      <c r="F4099" t="s">
        <v>11607</v>
      </c>
      <c r="G4099" s="1"/>
      <c r="H4099" t="str">
        <f>"3250617174916"</f>
        <v>3250617174916</v>
      </c>
      <c r="J4099" t="s">
        <v>11680</v>
      </c>
    </row>
    <row r="4100" spans="1:10" x14ac:dyDescent="0.25">
      <c r="A4100" t="s">
        <v>8</v>
      </c>
      <c r="B4100" t="s">
        <v>11681</v>
      </c>
      <c r="C4100" t="s">
        <v>11682</v>
      </c>
      <c r="D4100">
        <v>1</v>
      </c>
      <c r="E4100" t="s">
        <v>11606</v>
      </c>
      <c r="F4100" t="s">
        <v>11607</v>
      </c>
      <c r="G4100" s="1"/>
      <c r="H4100" t="str">
        <f>"3250617175913"</f>
        <v>3250617175913</v>
      </c>
      <c r="J4100" t="s">
        <v>11683</v>
      </c>
    </row>
    <row r="4101" spans="1:10" x14ac:dyDescent="0.25">
      <c r="A4101" t="s">
        <v>8</v>
      </c>
      <c r="B4101" t="s">
        <v>11684</v>
      </c>
      <c r="C4101" t="s">
        <v>11685</v>
      </c>
      <c r="D4101">
        <v>1</v>
      </c>
      <c r="E4101" t="s">
        <v>11606</v>
      </c>
      <c r="F4101" t="s">
        <v>11607</v>
      </c>
      <c r="G4101" s="1"/>
      <c r="H4101" t="str">
        <f>"3250617174930"</f>
        <v>3250617174930</v>
      </c>
      <c r="J4101" t="s">
        <v>11686</v>
      </c>
    </row>
    <row r="4102" spans="1:10" x14ac:dyDescent="0.25">
      <c r="A4102" t="s">
        <v>8</v>
      </c>
      <c r="B4102" t="s">
        <v>11687</v>
      </c>
      <c r="C4102" t="s">
        <v>11688</v>
      </c>
      <c r="D4102">
        <v>1</v>
      </c>
      <c r="E4102" t="s">
        <v>11606</v>
      </c>
      <c r="F4102" t="s">
        <v>11607</v>
      </c>
      <c r="G4102" s="1"/>
      <c r="H4102" t="str">
        <f>"3250617174947"</f>
        <v>3250617174947</v>
      </c>
      <c r="J4102" t="s">
        <v>11686</v>
      </c>
    </row>
    <row r="4103" spans="1:10" x14ac:dyDescent="0.25">
      <c r="A4103" t="s">
        <v>8</v>
      </c>
      <c r="B4103" t="s">
        <v>11689</v>
      </c>
      <c r="C4103" t="s">
        <v>11690</v>
      </c>
      <c r="D4103">
        <v>1</v>
      </c>
      <c r="E4103" t="s">
        <v>11606</v>
      </c>
      <c r="F4103" t="s">
        <v>11607</v>
      </c>
      <c r="G4103" s="1"/>
      <c r="H4103" t="str">
        <f>"3250617176958"</f>
        <v>3250617176958</v>
      </c>
      <c r="J4103" t="s">
        <v>11691</v>
      </c>
    </row>
    <row r="4104" spans="1:10" x14ac:dyDescent="0.25">
      <c r="A4104" t="s">
        <v>8</v>
      </c>
      <c r="B4104" t="s">
        <v>11692</v>
      </c>
      <c r="C4104" t="s">
        <v>11693</v>
      </c>
      <c r="D4104">
        <v>1</v>
      </c>
      <c r="E4104" t="s">
        <v>11606</v>
      </c>
      <c r="F4104" t="s">
        <v>11607</v>
      </c>
      <c r="G4104" s="1"/>
      <c r="H4104" t="str">
        <f>"3250617176965"</f>
        <v>3250617176965</v>
      </c>
      <c r="I4104" s="1"/>
      <c r="J4104" t="s">
        <v>11694</v>
      </c>
    </row>
    <row r="4105" spans="1:10" x14ac:dyDescent="0.25">
      <c r="A4105" t="s">
        <v>8</v>
      </c>
      <c r="B4105" t="s">
        <v>11695</v>
      </c>
      <c r="C4105" t="s">
        <v>11696</v>
      </c>
      <c r="D4105">
        <v>1</v>
      </c>
      <c r="E4105" t="s">
        <v>11606</v>
      </c>
      <c r="F4105" t="s">
        <v>11607</v>
      </c>
      <c r="G4105" s="1"/>
      <c r="H4105" t="str">
        <f>"3250617176972"</f>
        <v>3250617176972</v>
      </c>
      <c r="J4105" t="s">
        <v>11697</v>
      </c>
    </row>
    <row r="4106" spans="1:10" x14ac:dyDescent="0.25">
      <c r="A4106" t="s">
        <v>8</v>
      </c>
      <c r="B4106" t="s">
        <v>11698</v>
      </c>
      <c r="C4106" t="s">
        <v>11699</v>
      </c>
      <c r="D4106">
        <v>1</v>
      </c>
      <c r="E4106" t="s">
        <v>11606</v>
      </c>
      <c r="F4106" t="s">
        <v>11607</v>
      </c>
      <c r="G4106" s="1"/>
      <c r="H4106" t="str">
        <f>"3250617176989"</f>
        <v>3250617176989</v>
      </c>
      <c r="J4106" t="s">
        <v>11700</v>
      </c>
    </row>
    <row r="4107" spans="1:10" x14ac:dyDescent="0.25">
      <c r="A4107" t="s">
        <v>8</v>
      </c>
      <c r="B4107" t="s">
        <v>11701</v>
      </c>
      <c r="C4107" t="s">
        <v>11702</v>
      </c>
      <c r="D4107">
        <v>1</v>
      </c>
      <c r="E4107" t="s">
        <v>11606</v>
      </c>
      <c r="F4107" t="s">
        <v>11607</v>
      </c>
      <c r="G4107" s="1"/>
      <c r="H4107" t="str">
        <f>"3250617176996"</f>
        <v>3250617176996</v>
      </c>
      <c r="J4107" t="s">
        <v>11703</v>
      </c>
    </row>
    <row r="4108" spans="1:10" x14ac:dyDescent="0.25">
      <c r="A4108" t="s">
        <v>8</v>
      </c>
      <c r="B4108" t="s">
        <v>11704</v>
      </c>
      <c r="C4108" t="s">
        <v>11705</v>
      </c>
      <c r="D4108">
        <v>1</v>
      </c>
      <c r="E4108" t="s">
        <v>11606</v>
      </c>
      <c r="F4108" t="s">
        <v>11607</v>
      </c>
      <c r="G4108" s="1"/>
      <c r="H4108" t="str">
        <f>"3250617174893"</f>
        <v>3250617174893</v>
      </c>
      <c r="J4108" t="s">
        <v>11706</v>
      </c>
    </row>
    <row r="4109" spans="1:10" x14ac:dyDescent="0.25">
      <c r="A4109" t="s">
        <v>8</v>
      </c>
      <c r="B4109" t="s">
        <v>11707</v>
      </c>
      <c r="C4109" t="s">
        <v>11708</v>
      </c>
      <c r="D4109">
        <v>1</v>
      </c>
      <c r="E4109" t="s">
        <v>11606</v>
      </c>
      <c r="F4109" t="s">
        <v>11607</v>
      </c>
      <c r="G4109" s="1"/>
      <c r="H4109" t="str">
        <f>"3250617174923"</f>
        <v>3250617174923</v>
      </c>
      <c r="J4109" t="s">
        <v>11709</v>
      </c>
    </row>
    <row r="4110" spans="1:10" x14ac:dyDescent="0.25">
      <c r="A4110" t="s">
        <v>8</v>
      </c>
      <c r="B4110" t="s">
        <v>11710</v>
      </c>
      <c r="C4110" t="s">
        <v>11711</v>
      </c>
      <c r="D4110">
        <v>1</v>
      </c>
      <c r="E4110" t="s">
        <v>11606</v>
      </c>
      <c r="F4110" t="s">
        <v>11607</v>
      </c>
      <c r="G4110" s="1"/>
      <c r="H4110" t="str">
        <f>"3250617032506"</f>
        <v>3250617032506</v>
      </c>
      <c r="J4110" t="s">
        <v>11713</v>
      </c>
    </row>
    <row r="4111" spans="1:10" x14ac:dyDescent="0.25">
      <c r="A4111" t="s">
        <v>8</v>
      </c>
      <c r="B4111" t="s">
        <v>11714</v>
      </c>
      <c r="C4111" t="s">
        <v>11715</v>
      </c>
      <c r="D4111">
        <v>1</v>
      </c>
      <c r="E4111" t="s">
        <v>11606</v>
      </c>
      <c r="F4111" t="s">
        <v>11607</v>
      </c>
      <c r="G4111" s="1"/>
      <c r="H4111" t="str">
        <f>"3250617032513"</f>
        <v>3250617032513</v>
      </c>
      <c r="J4111" t="s">
        <v>11716</v>
      </c>
    </row>
    <row r="4112" spans="1:10" x14ac:dyDescent="0.25">
      <c r="A4112" t="s">
        <v>8</v>
      </c>
      <c r="B4112" t="s">
        <v>11717</v>
      </c>
      <c r="C4112" t="s">
        <v>11718</v>
      </c>
      <c r="D4112">
        <v>1</v>
      </c>
      <c r="E4112" t="s">
        <v>11606</v>
      </c>
      <c r="F4112" t="s">
        <v>11607</v>
      </c>
      <c r="G4112" s="1"/>
      <c r="H4112" t="str">
        <f>"3250617032520"</f>
        <v>3250617032520</v>
      </c>
      <c r="J4112" t="s">
        <v>11713</v>
      </c>
    </row>
    <row r="4113" spans="1:10" x14ac:dyDescent="0.25">
      <c r="A4113" t="s">
        <v>8</v>
      </c>
      <c r="B4113" t="s">
        <v>11719</v>
      </c>
      <c r="C4113" t="s">
        <v>11720</v>
      </c>
      <c r="D4113">
        <v>1</v>
      </c>
      <c r="E4113" t="s">
        <v>11606</v>
      </c>
      <c r="F4113" t="s">
        <v>11607</v>
      </c>
      <c r="G4113" s="1"/>
      <c r="H4113" t="str">
        <f>"3250617032537"</f>
        <v>3250617032537</v>
      </c>
      <c r="J4113" t="s">
        <v>11721</v>
      </c>
    </row>
    <row r="4114" spans="1:10" x14ac:dyDescent="0.25">
      <c r="A4114" t="s">
        <v>8</v>
      </c>
      <c r="B4114" t="s">
        <v>11722</v>
      </c>
      <c r="C4114" t="s">
        <v>11723</v>
      </c>
      <c r="D4114">
        <v>1</v>
      </c>
      <c r="E4114" t="s">
        <v>11606</v>
      </c>
      <c r="F4114" t="s">
        <v>11607</v>
      </c>
      <c r="G4114" s="1"/>
      <c r="H4114" t="str">
        <f>"3250617178419"</f>
        <v>3250617178419</v>
      </c>
      <c r="J4114" t="s">
        <v>11724</v>
      </c>
    </row>
    <row r="4115" spans="1:10" x14ac:dyDescent="0.25">
      <c r="A4115" t="s">
        <v>8</v>
      </c>
      <c r="B4115" t="s">
        <v>11725</v>
      </c>
      <c r="C4115" t="s">
        <v>11726</v>
      </c>
      <c r="D4115">
        <v>1</v>
      </c>
      <c r="E4115" t="s">
        <v>11606</v>
      </c>
      <c r="F4115" t="s">
        <v>11607</v>
      </c>
      <c r="G4115" s="1"/>
      <c r="H4115" t="str">
        <f>"3250617176415"</f>
        <v>3250617176415</v>
      </c>
      <c r="J4115" t="s">
        <v>11727</v>
      </c>
    </row>
    <row r="4116" spans="1:10" x14ac:dyDescent="0.25">
      <c r="A4116" t="s">
        <v>8</v>
      </c>
      <c r="B4116" t="s">
        <v>11728</v>
      </c>
      <c r="C4116" t="s">
        <v>11729</v>
      </c>
      <c r="D4116">
        <v>1</v>
      </c>
      <c r="E4116" t="s">
        <v>11606</v>
      </c>
      <c r="F4116" t="s">
        <v>11607</v>
      </c>
      <c r="G4116" s="1"/>
      <c r="H4116" t="str">
        <f>"3250617177108"</f>
        <v>3250617177108</v>
      </c>
      <c r="J4116" t="s">
        <v>11730</v>
      </c>
    </row>
    <row r="4117" spans="1:10" x14ac:dyDescent="0.25">
      <c r="A4117" t="s">
        <v>8</v>
      </c>
      <c r="B4117" t="s">
        <v>11731</v>
      </c>
      <c r="C4117" t="s">
        <v>11732</v>
      </c>
      <c r="D4117">
        <v>1</v>
      </c>
      <c r="E4117" t="s">
        <v>11606</v>
      </c>
      <c r="F4117" t="s">
        <v>11607</v>
      </c>
      <c r="G4117" s="1"/>
      <c r="H4117" t="str">
        <f>"3250617177115"</f>
        <v>3250617177115</v>
      </c>
      <c r="J4117" t="s">
        <v>11733</v>
      </c>
    </row>
    <row r="4118" spans="1:10" x14ac:dyDescent="0.25">
      <c r="A4118" t="s">
        <v>8</v>
      </c>
      <c r="B4118" t="s">
        <v>11734</v>
      </c>
      <c r="C4118" t="s">
        <v>11735</v>
      </c>
      <c r="D4118">
        <v>1</v>
      </c>
      <c r="E4118" t="s">
        <v>11606</v>
      </c>
      <c r="F4118" t="s">
        <v>11607</v>
      </c>
      <c r="G4118" s="1"/>
      <c r="H4118" t="str">
        <f>"3250617177122"</f>
        <v>3250617177122</v>
      </c>
      <c r="J4118" t="s">
        <v>11733</v>
      </c>
    </row>
    <row r="4119" spans="1:10" x14ac:dyDescent="0.25">
      <c r="A4119" t="s">
        <v>8</v>
      </c>
      <c r="B4119" t="s">
        <v>11736</v>
      </c>
      <c r="C4119" t="s">
        <v>11737</v>
      </c>
      <c r="D4119">
        <v>1</v>
      </c>
      <c r="E4119" t="s">
        <v>11738</v>
      </c>
      <c r="F4119" t="s">
        <v>11739</v>
      </c>
      <c r="G4119" s="1"/>
      <c r="H4119" t="str">
        <f>"3250612314508"</f>
        <v>3250612314508</v>
      </c>
      <c r="J4119" t="s">
        <v>11740</v>
      </c>
    </row>
    <row r="4120" spans="1:10" x14ac:dyDescent="0.25">
      <c r="A4120" t="s">
        <v>8</v>
      </c>
      <c r="B4120" t="s">
        <v>11741</v>
      </c>
      <c r="C4120" t="s">
        <v>11742</v>
      </c>
      <c r="D4120">
        <v>1</v>
      </c>
      <c r="E4120" t="s">
        <v>11738</v>
      </c>
      <c r="F4120" t="s">
        <v>11739</v>
      </c>
      <c r="G4120" s="1"/>
      <c r="H4120" t="str">
        <f>"3250612314539"</f>
        <v>3250612314539</v>
      </c>
      <c r="J4120" t="s">
        <v>11211</v>
      </c>
    </row>
    <row r="4121" spans="1:10" x14ac:dyDescent="0.25">
      <c r="A4121" t="s">
        <v>8</v>
      </c>
      <c r="B4121" t="s">
        <v>11743</v>
      </c>
      <c r="C4121" t="s">
        <v>11744</v>
      </c>
      <c r="D4121">
        <v>1</v>
      </c>
      <c r="E4121" t="s">
        <v>11745</v>
      </c>
      <c r="F4121" t="s">
        <v>11746</v>
      </c>
      <c r="G4121" s="1"/>
      <c r="H4121" t="str">
        <f>"3250617574136"</f>
        <v>3250617574136</v>
      </c>
      <c r="J4121" t="s">
        <v>11747</v>
      </c>
    </row>
    <row r="4122" spans="1:10" x14ac:dyDescent="0.25">
      <c r="A4122" t="s">
        <v>8</v>
      </c>
      <c r="B4122" t="s">
        <v>11748</v>
      </c>
      <c r="C4122" t="s">
        <v>11749</v>
      </c>
      <c r="D4122">
        <v>1</v>
      </c>
      <c r="E4122" t="s">
        <v>11745</v>
      </c>
      <c r="F4122" t="s">
        <v>11746</v>
      </c>
      <c r="G4122" s="1"/>
      <c r="H4122" t="str">
        <f>"3250617574143"</f>
        <v>3250617574143</v>
      </c>
      <c r="J4122" t="s">
        <v>11750</v>
      </c>
    </row>
    <row r="4123" spans="1:10" x14ac:dyDescent="0.25">
      <c r="A4123" t="s">
        <v>8</v>
      </c>
      <c r="B4123" t="s">
        <v>11751</v>
      </c>
      <c r="C4123" t="s">
        <v>11752</v>
      </c>
      <c r="D4123">
        <v>1</v>
      </c>
      <c r="E4123" t="s">
        <v>11745</v>
      </c>
      <c r="F4123" t="s">
        <v>11746</v>
      </c>
      <c r="G4123" s="1"/>
      <c r="H4123" t="str">
        <f>"3250612310289"</f>
        <v>3250612310289</v>
      </c>
      <c r="J4123" t="s">
        <v>11753</v>
      </c>
    </row>
    <row r="4124" spans="1:10" x14ac:dyDescent="0.25">
      <c r="A4124" t="s">
        <v>8</v>
      </c>
      <c r="B4124" t="s">
        <v>11754</v>
      </c>
      <c r="C4124" t="s">
        <v>11755</v>
      </c>
      <c r="D4124">
        <v>1</v>
      </c>
      <c r="E4124" t="s">
        <v>11756</v>
      </c>
      <c r="F4124" t="s">
        <v>11757</v>
      </c>
      <c r="G4124" s="1"/>
      <c r="H4124" t="str">
        <f>"4012002236239"</f>
        <v>4012002236239</v>
      </c>
      <c r="J4124" t="s">
        <v>11758</v>
      </c>
    </row>
    <row r="4125" spans="1:10" x14ac:dyDescent="0.25">
      <c r="A4125" t="s">
        <v>8</v>
      </c>
      <c r="B4125" t="s">
        <v>11759</v>
      </c>
      <c r="C4125" t="s">
        <v>11760</v>
      </c>
      <c r="D4125">
        <v>1</v>
      </c>
      <c r="E4125" t="s">
        <v>11756</v>
      </c>
      <c r="F4125" t="s">
        <v>11757</v>
      </c>
      <c r="G4125" s="1"/>
      <c r="H4125" t="str">
        <f>"4012002236284"</f>
        <v>4012002236284</v>
      </c>
      <c r="J4125" t="s">
        <v>11761</v>
      </c>
    </row>
    <row r="4126" spans="1:10" x14ac:dyDescent="0.25">
      <c r="A4126" t="s">
        <v>8</v>
      </c>
      <c r="B4126" t="s">
        <v>11762</v>
      </c>
      <c r="C4126" t="s">
        <v>11763</v>
      </c>
      <c r="D4126">
        <v>1</v>
      </c>
      <c r="E4126" t="s">
        <v>11756</v>
      </c>
      <c r="F4126" t="s">
        <v>11757</v>
      </c>
      <c r="G4126" s="1"/>
      <c r="H4126" t="str">
        <f>"4012002236321"</f>
        <v>4012002236321</v>
      </c>
      <c r="J4126" t="s">
        <v>11764</v>
      </c>
    </row>
    <row r="4127" spans="1:10" x14ac:dyDescent="0.25">
      <c r="A4127" t="s">
        <v>8</v>
      </c>
      <c r="B4127" t="s">
        <v>11765</v>
      </c>
      <c r="C4127" t="s">
        <v>11766</v>
      </c>
      <c r="D4127">
        <v>1</v>
      </c>
      <c r="E4127" t="s">
        <v>11756</v>
      </c>
      <c r="F4127" t="s">
        <v>11757</v>
      </c>
      <c r="G4127" s="1"/>
      <c r="H4127" t="str">
        <f>"4012002236338"</f>
        <v>4012002236338</v>
      </c>
      <c r="J4127" t="s">
        <v>11764</v>
      </c>
    </row>
    <row r="4128" spans="1:10" x14ac:dyDescent="0.25">
      <c r="A4128" t="s">
        <v>8</v>
      </c>
      <c r="B4128" t="s">
        <v>11767</v>
      </c>
      <c r="C4128" t="s">
        <v>11768</v>
      </c>
      <c r="D4128">
        <v>1</v>
      </c>
      <c r="E4128" t="s">
        <v>11756</v>
      </c>
      <c r="F4128" t="s">
        <v>11757</v>
      </c>
      <c r="G4128" s="1"/>
      <c r="H4128" t="str">
        <f>"4012002236420"</f>
        <v>4012002236420</v>
      </c>
      <c r="J4128" t="s">
        <v>11769</v>
      </c>
    </row>
    <row r="4129" spans="1:10" x14ac:dyDescent="0.25">
      <c r="A4129" t="s">
        <v>8</v>
      </c>
      <c r="B4129" t="s">
        <v>11770</v>
      </c>
      <c r="C4129" t="s">
        <v>11771</v>
      </c>
      <c r="D4129">
        <v>1</v>
      </c>
      <c r="E4129" t="s">
        <v>11756</v>
      </c>
      <c r="F4129" t="s">
        <v>11757</v>
      </c>
      <c r="G4129" s="1"/>
      <c r="H4129" t="str">
        <f>"4012002236468"</f>
        <v>4012002236468</v>
      </c>
      <c r="J4129" t="s">
        <v>11772</v>
      </c>
    </row>
    <row r="4130" spans="1:10" x14ac:dyDescent="0.25">
      <c r="A4130" t="s">
        <v>8</v>
      </c>
      <c r="B4130" t="s">
        <v>11773</v>
      </c>
      <c r="C4130" t="s">
        <v>11774</v>
      </c>
      <c r="D4130">
        <v>1</v>
      </c>
      <c r="E4130" t="s">
        <v>11756</v>
      </c>
      <c r="F4130" t="s">
        <v>11757</v>
      </c>
      <c r="G4130" s="1"/>
      <c r="H4130" t="str">
        <f>"4012002236482"</f>
        <v>4012002236482</v>
      </c>
      <c r="J4130" t="s">
        <v>11772</v>
      </c>
    </row>
    <row r="4131" spans="1:10" x14ac:dyDescent="0.25">
      <c r="A4131" t="s">
        <v>8</v>
      </c>
      <c r="B4131" t="s">
        <v>11775</v>
      </c>
      <c r="C4131" t="s">
        <v>11776</v>
      </c>
      <c r="D4131">
        <v>1</v>
      </c>
      <c r="E4131" t="s">
        <v>11756</v>
      </c>
      <c r="F4131" t="s">
        <v>11757</v>
      </c>
      <c r="G4131" s="1"/>
      <c r="H4131" t="str">
        <f>"4012002236499"</f>
        <v>4012002236499</v>
      </c>
      <c r="J4131" t="s">
        <v>11772</v>
      </c>
    </row>
    <row r="4132" spans="1:10" x14ac:dyDescent="0.25">
      <c r="A4132" t="s">
        <v>8</v>
      </c>
      <c r="B4132" t="s">
        <v>11777</v>
      </c>
      <c r="C4132" t="s">
        <v>11778</v>
      </c>
      <c r="D4132">
        <v>1</v>
      </c>
      <c r="E4132" t="s">
        <v>11756</v>
      </c>
      <c r="F4132" t="s">
        <v>11757</v>
      </c>
      <c r="G4132" s="1"/>
      <c r="H4132" t="str">
        <f>"4012002236512"</f>
        <v>4012002236512</v>
      </c>
      <c r="J4132" t="s">
        <v>11772</v>
      </c>
    </row>
    <row r="4133" spans="1:10" x14ac:dyDescent="0.25">
      <c r="A4133" t="s">
        <v>8</v>
      </c>
      <c r="B4133" t="s">
        <v>11779</v>
      </c>
      <c r="C4133" t="s">
        <v>11780</v>
      </c>
      <c r="D4133">
        <v>1</v>
      </c>
      <c r="E4133" t="s">
        <v>11756</v>
      </c>
      <c r="F4133" t="s">
        <v>11757</v>
      </c>
      <c r="G4133" s="1"/>
      <c r="H4133" t="str">
        <f>"4012002236628"</f>
        <v>4012002236628</v>
      </c>
      <c r="J4133" t="s">
        <v>11781</v>
      </c>
    </row>
    <row r="4134" spans="1:10" x14ac:dyDescent="0.25">
      <c r="A4134" t="s">
        <v>8</v>
      </c>
      <c r="B4134" t="s">
        <v>11782</v>
      </c>
      <c r="C4134" t="s">
        <v>11783</v>
      </c>
      <c r="D4134">
        <v>1</v>
      </c>
      <c r="E4134" t="s">
        <v>11756</v>
      </c>
      <c r="F4134" t="s">
        <v>11757</v>
      </c>
      <c r="G4134" s="1"/>
      <c r="H4134" t="str">
        <f>"4012002236666"</f>
        <v>4012002236666</v>
      </c>
      <c r="J4134" t="s">
        <v>11784</v>
      </c>
    </row>
    <row r="4135" spans="1:10" x14ac:dyDescent="0.25">
      <c r="A4135" t="s">
        <v>8</v>
      </c>
      <c r="B4135" t="s">
        <v>11785</v>
      </c>
      <c r="C4135" t="s">
        <v>11786</v>
      </c>
      <c r="D4135">
        <v>1</v>
      </c>
      <c r="E4135" t="s">
        <v>11756</v>
      </c>
      <c r="F4135" t="s">
        <v>11757</v>
      </c>
      <c r="G4135" s="1"/>
      <c r="H4135" t="str">
        <f>"4012002236680"</f>
        <v>4012002236680</v>
      </c>
      <c r="J4135" t="s">
        <v>11784</v>
      </c>
    </row>
    <row r="4136" spans="1:10" x14ac:dyDescent="0.25">
      <c r="A4136" t="s">
        <v>8</v>
      </c>
      <c r="B4136" t="s">
        <v>11787</v>
      </c>
      <c r="C4136" t="s">
        <v>11788</v>
      </c>
      <c r="D4136">
        <v>1</v>
      </c>
      <c r="E4136" t="s">
        <v>11756</v>
      </c>
      <c r="F4136" t="s">
        <v>11757</v>
      </c>
      <c r="G4136" s="1"/>
      <c r="H4136" t="str">
        <f>"4012002236697"</f>
        <v>4012002236697</v>
      </c>
      <c r="J4136" t="s">
        <v>11784</v>
      </c>
    </row>
    <row r="4137" spans="1:10" x14ac:dyDescent="0.25">
      <c r="A4137" t="s">
        <v>8</v>
      </c>
      <c r="B4137" t="s">
        <v>11789</v>
      </c>
      <c r="C4137" t="s">
        <v>11790</v>
      </c>
      <c r="D4137">
        <v>1</v>
      </c>
      <c r="E4137" t="s">
        <v>11756</v>
      </c>
      <c r="F4137" t="s">
        <v>11757</v>
      </c>
      <c r="G4137" s="1"/>
      <c r="H4137" t="str">
        <f>"4012002236710"</f>
        <v>4012002236710</v>
      </c>
      <c r="J4137" t="s">
        <v>11784</v>
      </c>
    </row>
    <row r="4138" spans="1:10" x14ac:dyDescent="0.25">
      <c r="A4138" t="s">
        <v>8</v>
      </c>
      <c r="B4138" t="s">
        <v>11791</v>
      </c>
      <c r="C4138" t="s">
        <v>11792</v>
      </c>
      <c r="D4138">
        <v>1</v>
      </c>
      <c r="E4138" t="s">
        <v>11756</v>
      </c>
      <c r="F4138" t="s">
        <v>11757</v>
      </c>
      <c r="G4138" s="1"/>
      <c r="H4138" t="str">
        <f>"4012002240984"</f>
        <v>4012002240984</v>
      </c>
      <c r="J4138" t="s">
        <v>11793</v>
      </c>
    </row>
    <row r="4139" spans="1:10" x14ac:dyDescent="0.25">
      <c r="A4139" t="s">
        <v>8</v>
      </c>
      <c r="B4139" t="s">
        <v>11794</v>
      </c>
      <c r="C4139" t="s">
        <v>11795</v>
      </c>
      <c r="D4139">
        <v>1</v>
      </c>
      <c r="E4139" t="s">
        <v>11756</v>
      </c>
      <c r="F4139" t="s">
        <v>11757</v>
      </c>
      <c r="G4139" s="1"/>
      <c r="H4139" t="str">
        <f>"4012002240991"</f>
        <v>4012002240991</v>
      </c>
      <c r="J4139" t="s">
        <v>11796</v>
      </c>
    </row>
    <row r="4140" spans="1:10" x14ac:dyDescent="0.25">
      <c r="A4140" t="s">
        <v>8</v>
      </c>
      <c r="B4140" t="s">
        <v>11797</v>
      </c>
      <c r="C4140" t="s">
        <v>11798</v>
      </c>
      <c r="D4140">
        <v>1</v>
      </c>
      <c r="E4140" t="s">
        <v>11756</v>
      </c>
      <c r="F4140" t="s">
        <v>11757</v>
      </c>
      <c r="G4140" s="1"/>
      <c r="H4140" t="str">
        <f>"4012002241004"</f>
        <v>4012002241004</v>
      </c>
      <c r="J4140" t="s">
        <v>11799</v>
      </c>
    </row>
    <row r="4141" spans="1:10" x14ac:dyDescent="0.25">
      <c r="A4141" t="s">
        <v>8</v>
      </c>
      <c r="B4141" t="s">
        <v>11800</v>
      </c>
      <c r="C4141" t="s">
        <v>11801</v>
      </c>
      <c r="D4141">
        <v>1</v>
      </c>
      <c r="E4141" t="s">
        <v>11756</v>
      </c>
      <c r="F4141" t="s">
        <v>11757</v>
      </c>
      <c r="G4141" s="1"/>
      <c r="H4141" t="str">
        <f>"4012002241011"</f>
        <v>4012002241011</v>
      </c>
      <c r="J4141" t="s">
        <v>11802</v>
      </c>
    </row>
    <row r="4142" spans="1:10" x14ac:dyDescent="0.25">
      <c r="A4142" t="s">
        <v>8</v>
      </c>
      <c r="B4142" t="s">
        <v>11803</v>
      </c>
      <c r="C4142" t="s">
        <v>11804</v>
      </c>
      <c r="D4142">
        <v>1</v>
      </c>
      <c r="E4142" t="s">
        <v>11756</v>
      </c>
      <c r="F4142" t="s">
        <v>11757</v>
      </c>
      <c r="G4142" s="1"/>
      <c r="H4142" t="str">
        <f>"4012002241028"</f>
        <v>4012002241028</v>
      </c>
      <c r="J4142" t="s">
        <v>11805</v>
      </c>
    </row>
    <row r="4143" spans="1:10" x14ac:dyDescent="0.25">
      <c r="A4143" t="s">
        <v>8</v>
      </c>
      <c r="B4143" t="s">
        <v>11806</v>
      </c>
      <c r="C4143" t="s">
        <v>11807</v>
      </c>
      <c r="D4143">
        <v>1</v>
      </c>
      <c r="E4143" t="s">
        <v>11756</v>
      </c>
      <c r="F4143" t="s">
        <v>11757</v>
      </c>
      <c r="G4143" s="1"/>
      <c r="H4143" t="str">
        <f>"4012002241035"</f>
        <v>4012002241035</v>
      </c>
      <c r="J4143" t="s">
        <v>11808</v>
      </c>
    </row>
    <row r="4144" spans="1:10" x14ac:dyDescent="0.25">
      <c r="A4144" t="s">
        <v>8</v>
      </c>
      <c r="B4144" t="s">
        <v>11809</v>
      </c>
      <c r="C4144" t="s">
        <v>11810</v>
      </c>
      <c r="D4144">
        <v>1</v>
      </c>
      <c r="E4144" t="s">
        <v>11756</v>
      </c>
      <c r="F4144" t="s">
        <v>11757</v>
      </c>
      <c r="G4144" s="1"/>
      <c r="H4144" t="str">
        <f>"4012002237311"</f>
        <v>4012002237311</v>
      </c>
      <c r="J4144" t="s">
        <v>11811</v>
      </c>
    </row>
    <row r="4145" spans="1:10" x14ac:dyDescent="0.25">
      <c r="A4145" t="s">
        <v>8</v>
      </c>
      <c r="B4145" t="s">
        <v>11812</v>
      </c>
      <c r="C4145" t="s">
        <v>11813</v>
      </c>
      <c r="D4145">
        <v>1</v>
      </c>
      <c r="E4145" t="s">
        <v>11756</v>
      </c>
      <c r="F4145" t="s">
        <v>11757</v>
      </c>
      <c r="G4145" s="1"/>
      <c r="H4145" t="str">
        <f>"4012002237328"</f>
        <v>4012002237328</v>
      </c>
      <c r="I4145" s="1"/>
      <c r="J4145" t="s">
        <v>11814</v>
      </c>
    </row>
    <row r="4146" spans="1:10" x14ac:dyDescent="0.25">
      <c r="A4146" t="s">
        <v>8</v>
      </c>
      <c r="B4146" t="s">
        <v>11815</v>
      </c>
      <c r="C4146" t="s">
        <v>11816</v>
      </c>
      <c r="D4146">
        <v>1</v>
      </c>
      <c r="E4146" t="s">
        <v>11756</v>
      </c>
      <c r="F4146" t="s">
        <v>11757</v>
      </c>
      <c r="G4146" s="1"/>
      <c r="H4146" t="str">
        <f>"4012002237335"</f>
        <v>4012002237335</v>
      </c>
      <c r="J4146" t="s">
        <v>11817</v>
      </c>
    </row>
    <row r="4147" spans="1:10" x14ac:dyDescent="0.25">
      <c r="A4147" t="s">
        <v>8</v>
      </c>
      <c r="B4147" t="s">
        <v>11818</v>
      </c>
      <c r="C4147" t="s">
        <v>11819</v>
      </c>
      <c r="D4147">
        <v>1</v>
      </c>
      <c r="E4147" t="s">
        <v>11756</v>
      </c>
      <c r="F4147" t="s">
        <v>11757</v>
      </c>
      <c r="G4147" s="1"/>
      <c r="H4147" t="str">
        <f>"4012002237342"</f>
        <v>4012002237342</v>
      </c>
      <c r="J4147" t="s">
        <v>11820</v>
      </c>
    </row>
    <row r="4148" spans="1:10" x14ac:dyDescent="0.25">
      <c r="A4148" t="s">
        <v>8</v>
      </c>
      <c r="B4148" t="s">
        <v>11821</v>
      </c>
      <c r="C4148" t="s">
        <v>11822</v>
      </c>
      <c r="D4148">
        <v>1</v>
      </c>
      <c r="E4148" t="s">
        <v>11756</v>
      </c>
      <c r="F4148" t="s">
        <v>11757</v>
      </c>
      <c r="G4148" s="1"/>
      <c r="H4148" t="str">
        <f>"4012002237397"</f>
        <v>4012002237397</v>
      </c>
      <c r="J4148" t="s">
        <v>11823</v>
      </c>
    </row>
    <row r="4149" spans="1:10" x14ac:dyDescent="0.25">
      <c r="A4149" t="s">
        <v>8</v>
      </c>
      <c r="B4149" t="s">
        <v>11824</v>
      </c>
      <c r="C4149" t="s">
        <v>11825</v>
      </c>
      <c r="D4149">
        <v>1</v>
      </c>
      <c r="E4149" t="s">
        <v>11756</v>
      </c>
      <c r="F4149" t="s">
        <v>11757</v>
      </c>
      <c r="G4149" s="1"/>
      <c r="H4149" t="str">
        <f>"4012002237403"</f>
        <v>4012002237403</v>
      </c>
      <c r="J4149" t="s">
        <v>11826</v>
      </c>
    </row>
    <row r="4150" spans="1:10" x14ac:dyDescent="0.25">
      <c r="A4150" t="s">
        <v>8</v>
      </c>
      <c r="B4150" t="s">
        <v>11827</v>
      </c>
      <c r="C4150" t="s">
        <v>11828</v>
      </c>
      <c r="D4150">
        <v>1</v>
      </c>
      <c r="E4150" t="s">
        <v>11756</v>
      </c>
      <c r="F4150" t="s">
        <v>11757</v>
      </c>
      <c r="G4150" s="1"/>
      <c r="H4150" t="str">
        <f>"4012002237410"</f>
        <v>4012002237410</v>
      </c>
      <c r="J4150" t="s">
        <v>11829</v>
      </c>
    </row>
    <row r="4151" spans="1:10" x14ac:dyDescent="0.25">
      <c r="A4151" t="s">
        <v>8</v>
      </c>
      <c r="B4151" t="s">
        <v>11830</v>
      </c>
      <c r="C4151" t="s">
        <v>11831</v>
      </c>
      <c r="D4151">
        <v>1</v>
      </c>
      <c r="E4151" t="s">
        <v>11756</v>
      </c>
      <c r="F4151" t="s">
        <v>11757</v>
      </c>
      <c r="G4151" s="1"/>
      <c r="H4151" t="str">
        <f>"4012002237427"</f>
        <v>4012002237427</v>
      </c>
      <c r="J4151" t="s">
        <v>11832</v>
      </c>
    </row>
    <row r="4152" spans="1:10" x14ac:dyDescent="0.25">
      <c r="A4152" t="s">
        <v>8</v>
      </c>
      <c r="B4152" t="s">
        <v>11833</v>
      </c>
      <c r="C4152" t="s">
        <v>11834</v>
      </c>
      <c r="D4152">
        <v>1</v>
      </c>
      <c r="E4152" t="s">
        <v>11756</v>
      </c>
      <c r="F4152" t="s">
        <v>11757</v>
      </c>
      <c r="G4152" s="1"/>
      <c r="H4152" t="str">
        <f>"4012002237472"</f>
        <v>4012002237472</v>
      </c>
      <c r="J4152" t="s">
        <v>11835</v>
      </c>
    </row>
    <row r="4153" spans="1:10" x14ac:dyDescent="0.25">
      <c r="A4153" t="s">
        <v>8</v>
      </c>
      <c r="B4153" t="s">
        <v>11836</v>
      </c>
      <c r="C4153" t="s">
        <v>11837</v>
      </c>
      <c r="D4153">
        <v>1</v>
      </c>
      <c r="E4153" t="s">
        <v>11756</v>
      </c>
      <c r="F4153" t="s">
        <v>11757</v>
      </c>
      <c r="G4153" s="1"/>
      <c r="H4153" t="str">
        <f>"4012002237489"</f>
        <v>4012002237489</v>
      </c>
      <c r="J4153" t="s">
        <v>11838</v>
      </c>
    </row>
    <row r="4154" spans="1:10" x14ac:dyDescent="0.25">
      <c r="A4154" t="s">
        <v>8</v>
      </c>
      <c r="B4154" t="s">
        <v>11839</v>
      </c>
      <c r="C4154" t="s">
        <v>11840</v>
      </c>
      <c r="D4154">
        <v>1</v>
      </c>
      <c r="E4154" t="s">
        <v>11756</v>
      </c>
      <c r="F4154" t="s">
        <v>11757</v>
      </c>
      <c r="G4154" s="1"/>
      <c r="H4154" t="str">
        <f>"4012002237496"</f>
        <v>4012002237496</v>
      </c>
      <c r="J4154" t="s">
        <v>11841</v>
      </c>
    </row>
    <row r="4155" spans="1:10" x14ac:dyDescent="0.25">
      <c r="A4155" t="s">
        <v>8</v>
      </c>
      <c r="B4155" t="s">
        <v>11842</v>
      </c>
      <c r="C4155" t="s">
        <v>11843</v>
      </c>
      <c r="D4155">
        <v>1</v>
      </c>
      <c r="E4155" t="s">
        <v>11756</v>
      </c>
      <c r="F4155" t="s">
        <v>11757</v>
      </c>
      <c r="G4155" s="1"/>
      <c r="H4155" t="str">
        <f>"4012002237502"</f>
        <v>4012002237502</v>
      </c>
      <c r="J4155" t="s">
        <v>11844</v>
      </c>
    </row>
    <row r="4156" spans="1:10" x14ac:dyDescent="0.25">
      <c r="A4156" t="s">
        <v>8</v>
      </c>
      <c r="B4156" t="s">
        <v>11845</v>
      </c>
      <c r="C4156" t="s">
        <v>11846</v>
      </c>
      <c r="D4156">
        <v>1</v>
      </c>
      <c r="E4156" t="s">
        <v>11756</v>
      </c>
      <c r="F4156" t="s">
        <v>11757</v>
      </c>
      <c r="G4156" s="1"/>
      <c r="H4156" t="str">
        <f>"4012002237557"</f>
        <v>4012002237557</v>
      </c>
      <c r="J4156" t="s">
        <v>11847</v>
      </c>
    </row>
    <row r="4157" spans="1:10" x14ac:dyDescent="0.25">
      <c r="A4157" t="s">
        <v>8</v>
      </c>
      <c r="B4157" t="s">
        <v>11848</v>
      </c>
      <c r="C4157" t="s">
        <v>11849</v>
      </c>
      <c r="D4157">
        <v>1</v>
      </c>
      <c r="E4157" t="s">
        <v>11756</v>
      </c>
      <c r="F4157" t="s">
        <v>11757</v>
      </c>
      <c r="G4157" s="1"/>
      <c r="H4157" t="str">
        <f>"4012002237564"</f>
        <v>4012002237564</v>
      </c>
      <c r="J4157" t="s">
        <v>11850</v>
      </c>
    </row>
    <row r="4158" spans="1:10" x14ac:dyDescent="0.25">
      <c r="A4158" t="s">
        <v>8</v>
      </c>
      <c r="B4158" t="s">
        <v>11851</v>
      </c>
      <c r="C4158" t="s">
        <v>11852</v>
      </c>
      <c r="D4158">
        <v>1</v>
      </c>
      <c r="E4158" t="s">
        <v>11756</v>
      </c>
      <c r="F4158" t="s">
        <v>11757</v>
      </c>
      <c r="G4158" s="1"/>
      <c r="H4158" t="str">
        <f>"4012002237571"</f>
        <v>4012002237571</v>
      </c>
      <c r="J4158" t="s">
        <v>11853</v>
      </c>
    </row>
    <row r="4159" spans="1:10" x14ac:dyDescent="0.25">
      <c r="A4159" t="s">
        <v>8</v>
      </c>
      <c r="B4159" t="s">
        <v>11854</v>
      </c>
      <c r="C4159" t="s">
        <v>11855</v>
      </c>
      <c r="D4159">
        <v>1</v>
      </c>
      <c r="E4159" t="s">
        <v>11756</v>
      </c>
      <c r="F4159" t="s">
        <v>11757</v>
      </c>
      <c r="G4159" s="1"/>
      <c r="H4159" t="str">
        <f>"4012002237588"</f>
        <v>4012002237588</v>
      </c>
      <c r="J4159" t="s">
        <v>11856</v>
      </c>
    </row>
    <row r="4160" spans="1:10" x14ac:dyDescent="0.25">
      <c r="A4160" t="s">
        <v>8</v>
      </c>
      <c r="B4160" t="s">
        <v>11857</v>
      </c>
      <c r="C4160" t="s">
        <v>11858</v>
      </c>
      <c r="D4160">
        <v>1</v>
      </c>
      <c r="E4160" t="s">
        <v>11756</v>
      </c>
      <c r="F4160" t="s">
        <v>11757</v>
      </c>
      <c r="G4160" s="1"/>
      <c r="H4160" t="str">
        <f>"4012002237656"</f>
        <v>4012002237656</v>
      </c>
      <c r="J4160" t="s">
        <v>11859</v>
      </c>
    </row>
    <row r="4161" spans="1:10" x14ac:dyDescent="0.25">
      <c r="A4161" t="s">
        <v>8</v>
      </c>
      <c r="B4161" t="s">
        <v>11860</v>
      </c>
      <c r="C4161" t="s">
        <v>11861</v>
      </c>
      <c r="D4161">
        <v>1</v>
      </c>
      <c r="E4161" t="s">
        <v>11756</v>
      </c>
      <c r="F4161" t="s">
        <v>11757</v>
      </c>
      <c r="G4161" s="1"/>
      <c r="H4161" t="str">
        <f>"4012002237663"</f>
        <v>4012002237663</v>
      </c>
      <c r="J4161" t="s">
        <v>11859</v>
      </c>
    </row>
    <row r="4162" spans="1:10" x14ac:dyDescent="0.25">
      <c r="A4162" t="s">
        <v>8</v>
      </c>
      <c r="B4162" t="s">
        <v>11862</v>
      </c>
      <c r="C4162" t="s">
        <v>11863</v>
      </c>
      <c r="D4162">
        <v>1</v>
      </c>
      <c r="E4162" t="s">
        <v>11756</v>
      </c>
      <c r="F4162" t="s">
        <v>11757</v>
      </c>
      <c r="G4162" s="1"/>
      <c r="H4162" t="str">
        <f>"4012002247631"</f>
        <v>4012002247631</v>
      </c>
      <c r="J4162" t="s">
        <v>11859</v>
      </c>
    </row>
    <row r="4163" spans="1:10" x14ac:dyDescent="0.25">
      <c r="A4163" t="s">
        <v>8</v>
      </c>
      <c r="B4163" t="s">
        <v>11864</v>
      </c>
      <c r="C4163" t="s">
        <v>11865</v>
      </c>
      <c r="D4163">
        <v>1</v>
      </c>
      <c r="E4163" t="s">
        <v>11756</v>
      </c>
      <c r="F4163" t="s">
        <v>11757</v>
      </c>
      <c r="G4163" s="1"/>
      <c r="H4163" t="str">
        <f>"4012002247648"</f>
        <v>4012002247648</v>
      </c>
      <c r="J4163" t="s">
        <v>11859</v>
      </c>
    </row>
    <row r="4164" spans="1:10" x14ac:dyDescent="0.25">
      <c r="A4164" t="s">
        <v>8</v>
      </c>
      <c r="B4164" t="s">
        <v>11866</v>
      </c>
      <c r="C4164" t="s">
        <v>11867</v>
      </c>
      <c r="D4164">
        <v>1</v>
      </c>
      <c r="E4164" t="s">
        <v>11756</v>
      </c>
      <c r="F4164" t="s">
        <v>11757</v>
      </c>
      <c r="G4164" s="1"/>
      <c r="H4164" t="str">
        <f>"4012002237717"</f>
        <v>4012002237717</v>
      </c>
      <c r="J4164" t="s">
        <v>11868</v>
      </c>
    </row>
    <row r="4165" spans="1:10" x14ac:dyDescent="0.25">
      <c r="A4165" t="s">
        <v>8</v>
      </c>
      <c r="B4165" t="s">
        <v>11869</v>
      </c>
      <c r="C4165" t="s">
        <v>11870</v>
      </c>
      <c r="D4165">
        <v>1</v>
      </c>
      <c r="E4165" t="s">
        <v>11756</v>
      </c>
      <c r="F4165" t="s">
        <v>11757</v>
      </c>
      <c r="G4165" s="1"/>
      <c r="H4165" t="str">
        <f>"4012002237724"</f>
        <v>4012002237724</v>
      </c>
      <c r="J4165" t="s">
        <v>11868</v>
      </c>
    </row>
    <row r="4166" spans="1:10" x14ac:dyDescent="0.25">
      <c r="A4166" t="s">
        <v>8</v>
      </c>
      <c r="B4166" t="s">
        <v>11871</v>
      </c>
      <c r="C4166" t="s">
        <v>11872</v>
      </c>
      <c r="D4166">
        <v>1</v>
      </c>
      <c r="E4166" t="s">
        <v>11756</v>
      </c>
      <c r="F4166" t="s">
        <v>11757</v>
      </c>
      <c r="G4166" s="1"/>
      <c r="H4166" t="str">
        <f>"4012002237731"</f>
        <v>4012002237731</v>
      </c>
      <c r="J4166" t="s">
        <v>11868</v>
      </c>
    </row>
    <row r="4167" spans="1:10" x14ac:dyDescent="0.25">
      <c r="A4167" t="s">
        <v>8</v>
      </c>
      <c r="B4167" t="s">
        <v>11873</v>
      </c>
      <c r="C4167" t="s">
        <v>11874</v>
      </c>
      <c r="D4167">
        <v>1</v>
      </c>
      <c r="E4167" t="s">
        <v>11756</v>
      </c>
      <c r="F4167" t="s">
        <v>11757</v>
      </c>
      <c r="G4167" s="1"/>
      <c r="H4167" t="str">
        <f>"4012002237748"</f>
        <v>4012002237748</v>
      </c>
      <c r="J4167" t="s">
        <v>11868</v>
      </c>
    </row>
    <row r="4168" spans="1:10" x14ac:dyDescent="0.25">
      <c r="A4168" t="s">
        <v>8</v>
      </c>
      <c r="B4168" t="s">
        <v>11875</v>
      </c>
      <c r="C4168" t="s">
        <v>11876</v>
      </c>
      <c r="D4168">
        <v>1</v>
      </c>
      <c r="E4168" t="s">
        <v>11756</v>
      </c>
      <c r="F4168" t="s">
        <v>11757</v>
      </c>
      <c r="G4168" s="1"/>
      <c r="H4168" t="str">
        <f>"4012002237793"</f>
        <v>4012002237793</v>
      </c>
      <c r="J4168" t="s">
        <v>11877</v>
      </c>
    </row>
    <row r="4169" spans="1:10" x14ac:dyDescent="0.25">
      <c r="A4169" t="s">
        <v>8</v>
      </c>
      <c r="B4169" t="s">
        <v>11878</v>
      </c>
      <c r="C4169" t="s">
        <v>11879</v>
      </c>
      <c r="D4169">
        <v>1</v>
      </c>
      <c r="E4169" t="s">
        <v>11756</v>
      </c>
      <c r="F4169" t="s">
        <v>11757</v>
      </c>
      <c r="G4169" s="1"/>
      <c r="H4169" t="str">
        <f>"4012002237809"</f>
        <v>4012002237809</v>
      </c>
      <c r="J4169" t="s">
        <v>11877</v>
      </c>
    </row>
    <row r="4170" spans="1:10" x14ac:dyDescent="0.25">
      <c r="A4170" t="s">
        <v>8</v>
      </c>
      <c r="B4170" t="s">
        <v>11880</v>
      </c>
      <c r="C4170" t="s">
        <v>11881</v>
      </c>
      <c r="D4170">
        <v>1</v>
      </c>
      <c r="E4170" t="s">
        <v>11756</v>
      </c>
      <c r="F4170" t="s">
        <v>11757</v>
      </c>
      <c r="G4170" s="1"/>
      <c r="H4170" t="str">
        <f>"4012002237816"</f>
        <v>4012002237816</v>
      </c>
      <c r="J4170" t="s">
        <v>11877</v>
      </c>
    </row>
    <row r="4171" spans="1:10" x14ac:dyDescent="0.25">
      <c r="A4171" t="s">
        <v>8</v>
      </c>
      <c r="B4171" t="s">
        <v>11882</v>
      </c>
      <c r="C4171" t="s">
        <v>11883</v>
      </c>
      <c r="D4171">
        <v>1</v>
      </c>
      <c r="E4171" t="s">
        <v>11756</v>
      </c>
      <c r="F4171" t="s">
        <v>11757</v>
      </c>
      <c r="G4171" s="1"/>
      <c r="H4171" t="str">
        <f>"4012002237823"</f>
        <v>4012002237823</v>
      </c>
      <c r="J4171" t="s">
        <v>11877</v>
      </c>
    </row>
    <row r="4172" spans="1:10" x14ac:dyDescent="0.25">
      <c r="A4172" t="s">
        <v>8</v>
      </c>
      <c r="B4172" t="s">
        <v>11884</v>
      </c>
      <c r="C4172" t="s">
        <v>11885</v>
      </c>
      <c r="D4172">
        <v>1</v>
      </c>
      <c r="E4172" t="s">
        <v>11756</v>
      </c>
      <c r="F4172" t="s">
        <v>11757</v>
      </c>
      <c r="G4172" s="1"/>
      <c r="H4172" t="str">
        <f>"4012002237878"</f>
        <v>4012002237878</v>
      </c>
      <c r="J4172" t="s">
        <v>11886</v>
      </c>
    </row>
    <row r="4173" spans="1:10" x14ac:dyDescent="0.25">
      <c r="A4173" t="s">
        <v>8</v>
      </c>
      <c r="B4173" t="s">
        <v>11887</v>
      </c>
      <c r="C4173" t="s">
        <v>11888</v>
      </c>
      <c r="D4173">
        <v>1</v>
      </c>
      <c r="E4173" t="s">
        <v>11756</v>
      </c>
      <c r="F4173" t="s">
        <v>11757</v>
      </c>
      <c r="G4173" s="1"/>
      <c r="H4173" t="str">
        <f>"4012002237885"</f>
        <v>4012002237885</v>
      </c>
      <c r="J4173" t="s">
        <v>11886</v>
      </c>
    </row>
    <row r="4174" spans="1:10" x14ac:dyDescent="0.25">
      <c r="A4174" t="s">
        <v>8</v>
      </c>
      <c r="B4174" t="s">
        <v>11889</v>
      </c>
      <c r="C4174" t="s">
        <v>11890</v>
      </c>
      <c r="D4174">
        <v>1</v>
      </c>
      <c r="E4174" t="s">
        <v>11756</v>
      </c>
      <c r="F4174" t="s">
        <v>11757</v>
      </c>
      <c r="G4174" s="1"/>
      <c r="H4174" t="str">
        <f>"4012002237892"</f>
        <v>4012002237892</v>
      </c>
      <c r="J4174" t="s">
        <v>11886</v>
      </c>
    </row>
    <row r="4175" spans="1:10" x14ac:dyDescent="0.25">
      <c r="A4175" t="s">
        <v>8</v>
      </c>
      <c r="B4175" t="s">
        <v>11891</v>
      </c>
      <c r="C4175" t="s">
        <v>11892</v>
      </c>
      <c r="D4175">
        <v>1</v>
      </c>
      <c r="E4175" t="s">
        <v>11756</v>
      </c>
      <c r="F4175" t="s">
        <v>11757</v>
      </c>
      <c r="G4175" s="1"/>
      <c r="H4175" t="str">
        <f>"4012002237908"</f>
        <v>4012002237908</v>
      </c>
      <c r="J4175" t="s">
        <v>11886</v>
      </c>
    </row>
    <row r="4176" spans="1:10" x14ac:dyDescent="0.25">
      <c r="A4176" t="s">
        <v>8</v>
      </c>
      <c r="B4176" t="s">
        <v>11893</v>
      </c>
      <c r="C4176" t="s">
        <v>11894</v>
      </c>
      <c r="D4176">
        <v>1</v>
      </c>
      <c r="E4176" t="s">
        <v>11756</v>
      </c>
      <c r="F4176" t="s">
        <v>11757</v>
      </c>
      <c r="G4176" s="1"/>
      <c r="H4176" t="str">
        <f>"4012002242117"</f>
        <v>4012002242117</v>
      </c>
      <c r="J4176" t="s">
        <v>11896</v>
      </c>
    </row>
    <row r="4177" spans="1:10" x14ac:dyDescent="0.25">
      <c r="A4177" t="s">
        <v>8</v>
      </c>
      <c r="B4177" t="s">
        <v>11897</v>
      </c>
      <c r="C4177" t="s">
        <v>11898</v>
      </c>
      <c r="D4177">
        <v>1</v>
      </c>
      <c r="E4177" t="s">
        <v>11756</v>
      </c>
      <c r="F4177" t="s">
        <v>11757</v>
      </c>
      <c r="G4177" s="1"/>
      <c r="H4177" t="str">
        <f>"4012740846974"</f>
        <v>4012740846974</v>
      </c>
      <c r="J4177" t="s">
        <v>11899</v>
      </c>
    </row>
    <row r="4178" spans="1:10" x14ac:dyDescent="0.25">
      <c r="A4178" t="s">
        <v>8</v>
      </c>
      <c r="B4178" t="s">
        <v>11900</v>
      </c>
      <c r="C4178" t="s">
        <v>11901</v>
      </c>
      <c r="D4178">
        <v>1</v>
      </c>
      <c r="E4178" t="s">
        <v>11756</v>
      </c>
      <c r="F4178" t="s">
        <v>11757</v>
      </c>
      <c r="G4178" s="1"/>
      <c r="H4178" t="str">
        <f>"4012740846967"</f>
        <v>4012740846967</v>
      </c>
      <c r="J4178" t="s">
        <v>11902</v>
      </c>
    </row>
    <row r="4179" spans="1:10" x14ac:dyDescent="0.25">
      <c r="A4179" t="s">
        <v>8</v>
      </c>
      <c r="B4179" t="s">
        <v>11903</v>
      </c>
      <c r="C4179" t="s">
        <v>11904</v>
      </c>
      <c r="D4179">
        <v>1</v>
      </c>
      <c r="E4179" t="s">
        <v>11756</v>
      </c>
      <c r="F4179" t="s">
        <v>11757</v>
      </c>
      <c r="G4179" s="1"/>
      <c r="H4179" t="str">
        <f>"4012740846998"</f>
        <v>4012740846998</v>
      </c>
      <c r="J4179" t="s">
        <v>11905</v>
      </c>
    </row>
    <row r="4180" spans="1:10" x14ac:dyDescent="0.25">
      <c r="A4180" t="s">
        <v>8</v>
      </c>
      <c r="B4180" t="s">
        <v>11906</v>
      </c>
      <c r="C4180" t="s">
        <v>11907</v>
      </c>
      <c r="D4180">
        <v>1</v>
      </c>
      <c r="E4180" t="s">
        <v>11756</v>
      </c>
      <c r="F4180" t="s">
        <v>11757</v>
      </c>
      <c r="G4180" s="1"/>
      <c r="H4180" t="str">
        <f>"4012740846981"</f>
        <v>4012740846981</v>
      </c>
      <c r="J4180" t="s">
        <v>11908</v>
      </c>
    </row>
    <row r="4181" spans="1:10" x14ac:dyDescent="0.25">
      <c r="A4181" t="s">
        <v>8</v>
      </c>
      <c r="B4181" t="s">
        <v>11909</v>
      </c>
      <c r="C4181" t="s">
        <v>11910</v>
      </c>
      <c r="D4181">
        <v>1</v>
      </c>
      <c r="E4181" t="s">
        <v>11911</v>
      </c>
      <c r="F4181" t="s">
        <v>11912</v>
      </c>
      <c r="G4181" s="1"/>
      <c r="H4181" t="str">
        <f>"3250611029021"</f>
        <v>3250611029021</v>
      </c>
      <c r="J4181" t="s">
        <v>11913</v>
      </c>
    </row>
    <row r="4182" spans="1:10" x14ac:dyDescent="0.25">
      <c r="A4182" t="s">
        <v>8</v>
      </c>
      <c r="B4182" t="s">
        <v>11914</v>
      </c>
      <c r="C4182" t="s">
        <v>11915</v>
      </c>
      <c r="D4182">
        <v>1</v>
      </c>
      <c r="E4182" t="s">
        <v>11911</v>
      </c>
      <c r="F4182" t="s">
        <v>11912</v>
      </c>
      <c r="G4182" s="1"/>
      <c r="H4182" t="str">
        <f>"3250611029038"</f>
        <v>3250611029038</v>
      </c>
      <c r="J4182" t="s">
        <v>11913</v>
      </c>
    </row>
    <row r="4183" spans="1:10" x14ac:dyDescent="0.25">
      <c r="A4183" t="s">
        <v>8</v>
      </c>
      <c r="B4183" t="s">
        <v>11916</v>
      </c>
      <c r="C4183" t="s">
        <v>11917</v>
      </c>
      <c r="D4183">
        <v>1</v>
      </c>
      <c r="E4183" t="s">
        <v>11911</v>
      </c>
      <c r="F4183" t="s">
        <v>11912</v>
      </c>
      <c r="G4183" s="1"/>
      <c r="H4183" t="str">
        <f>"3250611029113"</f>
        <v>3250611029113</v>
      </c>
      <c r="J4183" t="s">
        <v>11918</v>
      </c>
    </row>
    <row r="4184" spans="1:10" x14ac:dyDescent="0.25">
      <c r="A4184" t="s">
        <v>8</v>
      </c>
      <c r="B4184" t="s">
        <v>11919</v>
      </c>
      <c r="C4184" t="s">
        <v>11920</v>
      </c>
      <c r="D4184">
        <v>1</v>
      </c>
      <c r="E4184" t="s">
        <v>11911</v>
      </c>
      <c r="F4184" t="s">
        <v>11912</v>
      </c>
      <c r="G4184" s="1"/>
      <c r="H4184" t="str">
        <f>"3250611029144"</f>
        <v>3250611029144</v>
      </c>
      <c r="J4184" t="s">
        <v>11921</v>
      </c>
    </row>
    <row r="4185" spans="1:10" x14ac:dyDescent="0.25">
      <c r="A4185" t="s">
        <v>8</v>
      </c>
      <c r="B4185" t="s">
        <v>11922</v>
      </c>
      <c r="C4185" t="s">
        <v>11923</v>
      </c>
      <c r="D4185">
        <v>1</v>
      </c>
      <c r="E4185" t="s">
        <v>11911</v>
      </c>
      <c r="F4185" t="s">
        <v>11912</v>
      </c>
      <c r="G4185" s="1"/>
      <c r="H4185" t="str">
        <f>"3250611029151"</f>
        <v>3250611029151</v>
      </c>
      <c r="J4185" t="s">
        <v>11924</v>
      </c>
    </row>
    <row r="4186" spans="1:10" x14ac:dyDescent="0.25">
      <c r="A4186" t="s">
        <v>8</v>
      </c>
      <c r="B4186" t="s">
        <v>11925</v>
      </c>
      <c r="C4186" t="s">
        <v>11926</v>
      </c>
      <c r="D4186">
        <v>1</v>
      </c>
      <c r="E4186" t="s">
        <v>11911</v>
      </c>
      <c r="F4186" t="s">
        <v>11912</v>
      </c>
      <c r="G4186" s="1"/>
      <c r="H4186" t="str">
        <f>"3250616616103"</f>
        <v>3250616616103</v>
      </c>
      <c r="J4186" t="s">
        <v>11927</v>
      </c>
    </row>
    <row r="4187" spans="1:10" x14ac:dyDescent="0.25">
      <c r="A4187" t="s">
        <v>8</v>
      </c>
      <c r="B4187" t="s">
        <v>11928</v>
      </c>
      <c r="C4187" t="s">
        <v>11929</v>
      </c>
      <c r="D4187">
        <v>1</v>
      </c>
      <c r="E4187" t="s">
        <v>11911</v>
      </c>
      <c r="F4187" t="s">
        <v>11912</v>
      </c>
      <c r="G4187" s="1"/>
      <c r="H4187" t="str">
        <f>"3250613063658"</f>
        <v>3250613063658</v>
      </c>
      <c r="J4187" t="s">
        <v>11930</v>
      </c>
    </row>
    <row r="4188" spans="1:10" x14ac:dyDescent="0.25">
      <c r="A4188" t="s">
        <v>8</v>
      </c>
      <c r="B4188" t="s">
        <v>11931</v>
      </c>
      <c r="C4188" t="s">
        <v>11932</v>
      </c>
      <c r="D4188">
        <v>1</v>
      </c>
      <c r="E4188" t="s">
        <v>11911</v>
      </c>
      <c r="F4188" t="s">
        <v>11912</v>
      </c>
      <c r="G4188" s="1"/>
      <c r="H4188" t="str">
        <f>"3250613063665"</f>
        <v>3250613063665</v>
      </c>
      <c r="J4188" t="s">
        <v>11933</v>
      </c>
    </row>
    <row r="4189" spans="1:10" x14ac:dyDescent="0.25">
      <c r="A4189" t="s">
        <v>8</v>
      </c>
      <c r="B4189" t="s">
        <v>11934</v>
      </c>
      <c r="C4189" t="s">
        <v>11935</v>
      </c>
      <c r="D4189">
        <v>1</v>
      </c>
      <c r="E4189" t="s">
        <v>11911</v>
      </c>
      <c r="F4189" t="s">
        <v>11912</v>
      </c>
      <c r="G4189" s="1"/>
      <c r="H4189" t="str">
        <f>"3250613063672"</f>
        <v>3250613063672</v>
      </c>
      <c r="J4189" t="s">
        <v>11936</v>
      </c>
    </row>
    <row r="4190" spans="1:10" x14ac:dyDescent="0.25">
      <c r="A4190" t="s">
        <v>8</v>
      </c>
      <c r="B4190" t="s">
        <v>11937</v>
      </c>
      <c r="C4190" t="s">
        <v>11938</v>
      </c>
      <c r="D4190">
        <v>1</v>
      </c>
      <c r="E4190" t="s">
        <v>11911</v>
      </c>
      <c r="F4190" t="s">
        <v>11912</v>
      </c>
      <c r="G4190" s="1"/>
      <c r="H4190" t="str">
        <f>"3250613063689"</f>
        <v>3250613063689</v>
      </c>
      <c r="J4190" t="s">
        <v>11939</v>
      </c>
    </row>
    <row r="4191" spans="1:10" x14ac:dyDescent="0.25">
      <c r="A4191" t="s">
        <v>8</v>
      </c>
      <c r="B4191" t="s">
        <v>11940</v>
      </c>
      <c r="C4191" t="s">
        <v>11941</v>
      </c>
      <c r="D4191">
        <v>1</v>
      </c>
      <c r="E4191" t="s">
        <v>11942</v>
      </c>
      <c r="F4191" t="s">
        <v>11943</v>
      </c>
      <c r="G4191" s="1"/>
      <c r="H4191" t="str">
        <f>"3250611029045"</f>
        <v>3250611029045</v>
      </c>
      <c r="J4191" t="s">
        <v>11944</v>
      </c>
    </row>
    <row r="4192" spans="1:10" x14ac:dyDescent="0.25">
      <c r="A4192" t="s">
        <v>8</v>
      </c>
      <c r="B4192" t="s">
        <v>11945</v>
      </c>
      <c r="C4192" t="s">
        <v>11946</v>
      </c>
      <c r="D4192">
        <v>1</v>
      </c>
      <c r="E4192" t="s">
        <v>11942</v>
      </c>
      <c r="F4192" t="s">
        <v>11943</v>
      </c>
      <c r="G4192" s="1"/>
      <c r="H4192" t="str">
        <f>"3250611029052"</f>
        <v>3250611029052</v>
      </c>
      <c r="J4192" t="s">
        <v>11944</v>
      </c>
    </row>
    <row r="4193" spans="1:10" x14ac:dyDescent="0.25">
      <c r="A4193" t="s">
        <v>8</v>
      </c>
      <c r="B4193" t="s">
        <v>11947</v>
      </c>
      <c r="C4193" t="s">
        <v>11948</v>
      </c>
      <c r="D4193">
        <v>1</v>
      </c>
      <c r="E4193" t="s">
        <v>11942</v>
      </c>
      <c r="F4193" t="s">
        <v>11943</v>
      </c>
      <c r="G4193" s="1"/>
      <c r="H4193" t="str">
        <f>"3250611029069"</f>
        <v>3250611029069</v>
      </c>
      <c r="J4193" t="s">
        <v>11949</v>
      </c>
    </row>
    <row r="4194" spans="1:10" x14ac:dyDescent="0.25">
      <c r="A4194" t="s">
        <v>8</v>
      </c>
      <c r="B4194" t="s">
        <v>11950</v>
      </c>
      <c r="C4194" t="s">
        <v>11951</v>
      </c>
      <c r="D4194">
        <v>1</v>
      </c>
      <c r="E4194" t="s">
        <v>11942</v>
      </c>
      <c r="F4194" t="s">
        <v>11943</v>
      </c>
      <c r="G4194" s="1"/>
      <c r="H4194" t="str">
        <f>"3250611029076"</f>
        <v>3250611029076</v>
      </c>
      <c r="J4194" t="s">
        <v>11952</v>
      </c>
    </row>
    <row r="4195" spans="1:10" x14ac:dyDescent="0.25">
      <c r="A4195" t="s">
        <v>8</v>
      </c>
      <c r="B4195" t="s">
        <v>11953</v>
      </c>
      <c r="C4195" t="s">
        <v>11954</v>
      </c>
      <c r="D4195">
        <v>1</v>
      </c>
      <c r="E4195" t="s">
        <v>11942</v>
      </c>
      <c r="F4195" t="s">
        <v>11943</v>
      </c>
      <c r="G4195" s="1"/>
      <c r="H4195" t="str">
        <f>"3250611029090"</f>
        <v>3250611029090</v>
      </c>
      <c r="J4195" t="s">
        <v>11955</v>
      </c>
    </row>
    <row r="4196" spans="1:10" x14ac:dyDescent="0.25">
      <c r="A4196" t="s">
        <v>8</v>
      </c>
      <c r="B4196" t="s">
        <v>11956</v>
      </c>
      <c r="C4196" t="s">
        <v>11957</v>
      </c>
      <c r="D4196">
        <v>1</v>
      </c>
      <c r="E4196" t="s">
        <v>11942</v>
      </c>
      <c r="F4196" t="s">
        <v>11943</v>
      </c>
      <c r="G4196" s="1"/>
      <c r="H4196" t="str">
        <f>"3250611029106"</f>
        <v>3250611029106</v>
      </c>
      <c r="J4196" t="s">
        <v>11955</v>
      </c>
    </row>
    <row r="4197" spans="1:10" x14ac:dyDescent="0.25">
      <c r="A4197" t="s">
        <v>8</v>
      </c>
      <c r="B4197" t="s">
        <v>11958</v>
      </c>
      <c r="C4197" t="s">
        <v>11959</v>
      </c>
      <c r="D4197">
        <v>1</v>
      </c>
      <c r="E4197" t="s">
        <v>11960</v>
      </c>
      <c r="F4197" t="s">
        <v>11961</v>
      </c>
      <c r="G4197" s="1"/>
      <c r="H4197" t="str">
        <f>"3599430010514"</f>
        <v>3599430010514</v>
      </c>
      <c r="J4197" t="s">
        <v>11962</v>
      </c>
    </row>
    <row r="4198" spans="1:10" x14ac:dyDescent="0.25">
      <c r="A4198" t="s">
        <v>8</v>
      </c>
      <c r="B4198" t="s">
        <v>11963</v>
      </c>
      <c r="C4198" t="s">
        <v>11964</v>
      </c>
      <c r="D4198">
        <v>1</v>
      </c>
      <c r="E4198" t="s">
        <v>11965</v>
      </c>
      <c r="F4198" t="s">
        <v>11966</v>
      </c>
      <c r="G4198" s="1"/>
      <c r="H4198" t="str">
        <f>"3250617097024"</f>
        <v>3250617097024</v>
      </c>
      <c r="J4198" t="s">
        <v>11967</v>
      </c>
    </row>
    <row r="4199" spans="1:10" x14ac:dyDescent="0.25">
      <c r="A4199" t="s">
        <v>8</v>
      </c>
      <c r="B4199" t="s">
        <v>11968</v>
      </c>
      <c r="C4199" t="s">
        <v>11969</v>
      </c>
      <c r="D4199">
        <v>1</v>
      </c>
      <c r="E4199" t="s">
        <v>11965</v>
      </c>
      <c r="F4199" t="s">
        <v>11966</v>
      </c>
      <c r="G4199" s="1"/>
      <c r="H4199" t="str">
        <f>"3250617099028"</f>
        <v>3250617099028</v>
      </c>
      <c r="J4199" t="s">
        <v>11970</v>
      </c>
    </row>
    <row r="4200" spans="1:10" x14ac:dyDescent="0.25">
      <c r="A4200" t="s">
        <v>8</v>
      </c>
      <c r="B4200" t="s">
        <v>11971</v>
      </c>
      <c r="C4200" t="s">
        <v>11972</v>
      </c>
      <c r="D4200">
        <v>1</v>
      </c>
      <c r="E4200" t="s">
        <v>11965</v>
      </c>
      <c r="F4200" t="s">
        <v>11966</v>
      </c>
      <c r="G4200" s="1"/>
      <c r="H4200" t="str">
        <f>"3250617098021"</f>
        <v>3250617098021</v>
      </c>
      <c r="J4200" t="s">
        <v>11973</v>
      </c>
    </row>
    <row r="4201" spans="1:10" x14ac:dyDescent="0.25">
      <c r="A4201" t="s">
        <v>8</v>
      </c>
      <c r="B4201" t="s">
        <v>11974</v>
      </c>
      <c r="C4201" t="s">
        <v>11975</v>
      </c>
      <c r="D4201">
        <v>1</v>
      </c>
      <c r="E4201" t="s">
        <v>11965</v>
      </c>
      <c r="F4201" t="s">
        <v>11966</v>
      </c>
      <c r="G4201" s="1"/>
      <c r="H4201" t="str">
        <f>"3250617097048"</f>
        <v>3250617097048</v>
      </c>
      <c r="J4201" t="s">
        <v>11976</v>
      </c>
    </row>
    <row r="4202" spans="1:10" x14ac:dyDescent="0.25">
      <c r="A4202" t="s">
        <v>8</v>
      </c>
      <c r="B4202" t="s">
        <v>11977</v>
      </c>
      <c r="C4202" t="s">
        <v>11978</v>
      </c>
      <c r="D4202">
        <v>1</v>
      </c>
      <c r="E4202" t="s">
        <v>11965</v>
      </c>
      <c r="F4202" t="s">
        <v>11966</v>
      </c>
      <c r="G4202" s="1"/>
      <c r="H4202" t="str">
        <f>"3250617099042"</f>
        <v>3250617099042</v>
      </c>
      <c r="J4202" t="s">
        <v>11979</v>
      </c>
    </row>
    <row r="4203" spans="1:10" x14ac:dyDescent="0.25">
      <c r="A4203" t="s">
        <v>8</v>
      </c>
      <c r="B4203" t="s">
        <v>11980</v>
      </c>
      <c r="C4203" t="s">
        <v>11981</v>
      </c>
      <c r="D4203">
        <v>1</v>
      </c>
      <c r="E4203" t="s">
        <v>11965</v>
      </c>
      <c r="F4203" t="s">
        <v>11966</v>
      </c>
      <c r="G4203" s="1"/>
      <c r="H4203" t="str">
        <f>"3250617098045"</f>
        <v>3250617098045</v>
      </c>
      <c r="J4203" t="s">
        <v>11982</v>
      </c>
    </row>
    <row r="4204" spans="1:10" x14ac:dyDescent="0.25">
      <c r="A4204" t="s">
        <v>8</v>
      </c>
      <c r="B4204" t="s">
        <v>11983</v>
      </c>
      <c r="C4204" t="s">
        <v>11984</v>
      </c>
      <c r="D4204">
        <v>1</v>
      </c>
      <c r="E4204" t="s">
        <v>11965</v>
      </c>
      <c r="F4204" t="s">
        <v>11966</v>
      </c>
      <c r="G4204" s="1"/>
      <c r="H4204" t="str">
        <f>"3250617097062"</f>
        <v>3250617097062</v>
      </c>
      <c r="J4204" t="s">
        <v>11985</v>
      </c>
    </row>
    <row r="4205" spans="1:10" x14ac:dyDescent="0.25">
      <c r="A4205" t="s">
        <v>8</v>
      </c>
      <c r="B4205" t="s">
        <v>11986</v>
      </c>
      <c r="C4205" t="s">
        <v>11987</v>
      </c>
      <c r="D4205">
        <v>1</v>
      </c>
      <c r="E4205" t="s">
        <v>11965</v>
      </c>
      <c r="F4205" t="s">
        <v>11966</v>
      </c>
      <c r="G4205" s="1"/>
      <c r="H4205" t="str">
        <f>"3250617099066"</f>
        <v>3250617099066</v>
      </c>
      <c r="J4205" t="s">
        <v>11988</v>
      </c>
    </row>
    <row r="4206" spans="1:10" x14ac:dyDescent="0.25">
      <c r="A4206" t="s">
        <v>8</v>
      </c>
      <c r="B4206" t="s">
        <v>11989</v>
      </c>
      <c r="C4206" t="s">
        <v>11990</v>
      </c>
      <c r="D4206">
        <v>1</v>
      </c>
      <c r="E4206" t="s">
        <v>11965</v>
      </c>
      <c r="F4206" t="s">
        <v>11966</v>
      </c>
      <c r="G4206" s="1"/>
      <c r="H4206" t="str">
        <f>"3250617097123"</f>
        <v>3250617097123</v>
      </c>
      <c r="J4206" t="s">
        <v>11991</v>
      </c>
    </row>
    <row r="4207" spans="1:10" x14ac:dyDescent="0.25">
      <c r="A4207" t="s">
        <v>8</v>
      </c>
      <c r="B4207" t="s">
        <v>11992</v>
      </c>
      <c r="C4207" t="s">
        <v>11993</v>
      </c>
      <c r="D4207">
        <v>1</v>
      </c>
      <c r="E4207" t="s">
        <v>11965</v>
      </c>
      <c r="F4207" t="s">
        <v>11966</v>
      </c>
      <c r="G4207" s="1"/>
      <c r="H4207" t="str">
        <f>"3250617099127"</f>
        <v>3250617099127</v>
      </c>
      <c r="J4207" t="s">
        <v>11994</v>
      </c>
    </row>
    <row r="4208" spans="1:10" x14ac:dyDescent="0.25">
      <c r="A4208" t="s">
        <v>8</v>
      </c>
      <c r="B4208" t="s">
        <v>11995</v>
      </c>
      <c r="C4208" t="s">
        <v>11996</v>
      </c>
      <c r="D4208">
        <v>1</v>
      </c>
      <c r="E4208" t="s">
        <v>11965</v>
      </c>
      <c r="F4208" t="s">
        <v>11966</v>
      </c>
      <c r="G4208" s="1"/>
      <c r="H4208" t="str">
        <f>"3250617098120"</f>
        <v>3250617098120</v>
      </c>
      <c r="J4208" t="s">
        <v>11997</v>
      </c>
    </row>
    <row r="4209" spans="1:10" x14ac:dyDescent="0.25">
      <c r="A4209" t="s">
        <v>8</v>
      </c>
      <c r="B4209" t="s">
        <v>11998</v>
      </c>
      <c r="C4209" t="s">
        <v>11999</v>
      </c>
      <c r="D4209">
        <v>1</v>
      </c>
      <c r="E4209" t="s">
        <v>11965</v>
      </c>
      <c r="F4209" t="s">
        <v>11966</v>
      </c>
      <c r="G4209" s="1"/>
      <c r="H4209" t="str">
        <f>"3250617097147"</f>
        <v>3250617097147</v>
      </c>
      <c r="J4209" t="s">
        <v>12000</v>
      </c>
    </row>
    <row r="4210" spans="1:10" x14ac:dyDescent="0.25">
      <c r="A4210" t="s">
        <v>8</v>
      </c>
      <c r="B4210" t="s">
        <v>12001</v>
      </c>
      <c r="C4210" t="s">
        <v>12002</v>
      </c>
      <c r="D4210">
        <v>1</v>
      </c>
      <c r="E4210" t="s">
        <v>11965</v>
      </c>
      <c r="F4210" t="s">
        <v>11966</v>
      </c>
      <c r="G4210" s="1"/>
      <c r="H4210" t="str">
        <f>"3250617099141"</f>
        <v>3250617099141</v>
      </c>
      <c r="J4210" t="s">
        <v>12003</v>
      </c>
    </row>
    <row r="4211" spans="1:10" x14ac:dyDescent="0.25">
      <c r="A4211" t="s">
        <v>8</v>
      </c>
      <c r="B4211" t="s">
        <v>12004</v>
      </c>
      <c r="C4211" t="s">
        <v>12005</v>
      </c>
      <c r="D4211">
        <v>1</v>
      </c>
      <c r="E4211" t="s">
        <v>11965</v>
      </c>
      <c r="F4211" t="s">
        <v>11966</v>
      </c>
      <c r="G4211" s="1"/>
      <c r="H4211" t="str">
        <f>"3250617097161"</f>
        <v>3250617097161</v>
      </c>
      <c r="J4211" t="s">
        <v>12006</v>
      </c>
    </row>
    <row r="4212" spans="1:10" x14ac:dyDescent="0.25">
      <c r="A4212" t="s">
        <v>8</v>
      </c>
      <c r="B4212" t="s">
        <v>12007</v>
      </c>
      <c r="C4212" t="s">
        <v>12008</v>
      </c>
      <c r="D4212">
        <v>1</v>
      </c>
      <c r="E4212" t="s">
        <v>11965</v>
      </c>
      <c r="F4212" t="s">
        <v>11966</v>
      </c>
      <c r="G4212" s="1"/>
      <c r="H4212" t="str">
        <f>"3250617099165"</f>
        <v>3250617099165</v>
      </c>
      <c r="J4212" t="s">
        <v>12009</v>
      </c>
    </row>
    <row r="4213" spans="1:10" x14ac:dyDescent="0.25">
      <c r="A4213" t="s">
        <v>8</v>
      </c>
      <c r="B4213" t="s">
        <v>12010</v>
      </c>
      <c r="C4213" t="s">
        <v>12011</v>
      </c>
      <c r="D4213">
        <v>1</v>
      </c>
      <c r="E4213" t="s">
        <v>11965</v>
      </c>
      <c r="F4213" t="s">
        <v>11966</v>
      </c>
      <c r="G4213" s="1"/>
      <c r="H4213" t="str">
        <f>"3250617098168"</f>
        <v>3250617098168</v>
      </c>
      <c r="J4213" t="s">
        <v>12012</v>
      </c>
    </row>
    <row r="4214" spans="1:10" x14ac:dyDescent="0.25">
      <c r="A4214" t="s">
        <v>8</v>
      </c>
      <c r="B4214" t="s">
        <v>12013</v>
      </c>
      <c r="C4214" t="s">
        <v>12014</v>
      </c>
      <c r="D4214">
        <v>1</v>
      </c>
      <c r="E4214" t="s">
        <v>11965</v>
      </c>
      <c r="F4214" t="s">
        <v>11966</v>
      </c>
      <c r="G4214" s="1"/>
      <c r="H4214" t="str">
        <f>"3250617097222"</f>
        <v>3250617097222</v>
      </c>
      <c r="J4214" t="s">
        <v>12015</v>
      </c>
    </row>
    <row r="4215" spans="1:10" x14ac:dyDescent="0.25">
      <c r="A4215" t="s">
        <v>8</v>
      </c>
      <c r="B4215" t="s">
        <v>12016</v>
      </c>
      <c r="C4215" t="s">
        <v>12017</v>
      </c>
      <c r="D4215">
        <v>1</v>
      </c>
      <c r="E4215" t="s">
        <v>11965</v>
      </c>
      <c r="F4215" t="s">
        <v>11966</v>
      </c>
      <c r="G4215" s="1"/>
      <c r="H4215" t="str">
        <f>"3250617099226"</f>
        <v>3250617099226</v>
      </c>
      <c r="J4215" t="s">
        <v>12018</v>
      </c>
    </row>
    <row r="4216" spans="1:10" x14ac:dyDescent="0.25">
      <c r="A4216" t="s">
        <v>8</v>
      </c>
      <c r="B4216" t="s">
        <v>12019</v>
      </c>
      <c r="C4216" t="s">
        <v>12020</v>
      </c>
      <c r="D4216">
        <v>1</v>
      </c>
      <c r="E4216" t="s">
        <v>11965</v>
      </c>
      <c r="F4216" t="s">
        <v>11966</v>
      </c>
      <c r="G4216" s="1"/>
      <c r="H4216" t="str">
        <f>"3250617097246"</f>
        <v>3250617097246</v>
      </c>
      <c r="J4216" t="s">
        <v>12021</v>
      </c>
    </row>
    <row r="4217" spans="1:10" x14ac:dyDescent="0.25">
      <c r="A4217" t="s">
        <v>8</v>
      </c>
      <c r="B4217" t="s">
        <v>12022</v>
      </c>
      <c r="C4217" t="s">
        <v>12023</v>
      </c>
      <c r="D4217">
        <v>1</v>
      </c>
      <c r="E4217" t="s">
        <v>11965</v>
      </c>
      <c r="F4217" t="s">
        <v>11966</v>
      </c>
      <c r="G4217" s="1"/>
      <c r="H4217" t="str">
        <f>"3250617099240"</f>
        <v>3250617099240</v>
      </c>
      <c r="J4217" t="s">
        <v>12024</v>
      </c>
    </row>
    <row r="4218" spans="1:10" x14ac:dyDescent="0.25">
      <c r="A4218" t="s">
        <v>8</v>
      </c>
      <c r="B4218" t="s">
        <v>12025</v>
      </c>
      <c r="C4218" t="s">
        <v>12026</v>
      </c>
      <c r="D4218">
        <v>1</v>
      </c>
      <c r="E4218" t="s">
        <v>11965</v>
      </c>
      <c r="F4218" t="s">
        <v>11966</v>
      </c>
      <c r="G4218" s="1"/>
      <c r="H4218" t="str">
        <f>"3250617099004"</f>
        <v>3250617099004</v>
      </c>
      <c r="J4218" t="s">
        <v>12027</v>
      </c>
    </row>
    <row r="4219" spans="1:10" x14ac:dyDescent="0.25">
      <c r="A4219" t="s">
        <v>8</v>
      </c>
      <c r="B4219" t="s">
        <v>12028</v>
      </c>
      <c r="C4219" t="s">
        <v>12029</v>
      </c>
      <c r="D4219">
        <v>1</v>
      </c>
      <c r="E4219" t="s">
        <v>12030</v>
      </c>
      <c r="F4219" t="s">
        <v>12031</v>
      </c>
      <c r="G4219" s="1"/>
      <c r="H4219" t="str">
        <f>"3250617179805"</f>
        <v>3250617179805</v>
      </c>
      <c r="J4219" t="s">
        <v>12032</v>
      </c>
    </row>
    <row r="4220" spans="1:10" x14ac:dyDescent="0.25">
      <c r="A4220" t="s">
        <v>8</v>
      </c>
      <c r="B4220" t="s">
        <v>12033</v>
      </c>
      <c r="C4220" t="s">
        <v>12034</v>
      </c>
      <c r="D4220">
        <v>1</v>
      </c>
      <c r="E4220" t="s">
        <v>12030</v>
      </c>
      <c r="F4220" t="s">
        <v>12031</v>
      </c>
      <c r="G4220" s="1"/>
      <c r="H4220" t="str">
        <f>"3250617179812"</f>
        <v>3250617179812</v>
      </c>
      <c r="J4220" t="s">
        <v>12035</v>
      </c>
    </row>
    <row r="4221" spans="1:10" x14ac:dyDescent="0.25">
      <c r="A4221" t="s">
        <v>8</v>
      </c>
      <c r="B4221" t="s">
        <v>12036</v>
      </c>
      <c r="C4221" t="s">
        <v>12037</v>
      </c>
      <c r="D4221">
        <v>1</v>
      </c>
      <c r="E4221" t="s">
        <v>12030</v>
      </c>
      <c r="F4221" t="s">
        <v>12031</v>
      </c>
      <c r="G4221" s="1"/>
      <c r="H4221" t="str">
        <f>"3250617111751"</f>
        <v>3250617111751</v>
      </c>
      <c r="J4221" t="s">
        <v>12038</v>
      </c>
    </row>
    <row r="4222" spans="1:10" x14ac:dyDescent="0.25">
      <c r="A4222" t="s">
        <v>8</v>
      </c>
      <c r="B4222" t="s">
        <v>12039</v>
      </c>
      <c r="C4222" t="s">
        <v>12040</v>
      </c>
      <c r="D4222">
        <v>1</v>
      </c>
      <c r="E4222" t="s">
        <v>12041</v>
      </c>
      <c r="F4222" t="s">
        <v>12042</v>
      </c>
      <c r="G4222" s="1"/>
      <c r="H4222" t="str">
        <f>"4049857063857"</f>
        <v>4049857063857</v>
      </c>
      <c r="J4222" t="s">
        <v>12043</v>
      </c>
    </row>
    <row r="4223" spans="1:10" x14ac:dyDescent="0.25">
      <c r="A4223" t="s">
        <v>8</v>
      </c>
      <c r="B4223" t="s">
        <v>12044</v>
      </c>
      <c r="C4223" t="s">
        <v>12045</v>
      </c>
      <c r="D4223">
        <v>1</v>
      </c>
      <c r="E4223" t="s">
        <v>12041</v>
      </c>
      <c r="F4223" t="s">
        <v>12042</v>
      </c>
      <c r="G4223" s="1"/>
      <c r="H4223" t="str">
        <f>"4049857139293"</f>
        <v>4049857139293</v>
      </c>
      <c r="J4223" t="s">
        <v>12046</v>
      </c>
    </row>
    <row r="4224" spans="1:10" x14ac:dyDescent="0.25">
      <c r="A4224" t="s">
        <v>8</v>
      </c>
      <c r="B4224" t="s">
        <v>12047</v>
      </c>
      <c r="C4224" t="s">
        <v>12048</v>
      </c>
      <c r="D4224">
        <v>1</v>
      </c>
      <c r="E4224" t="s">
        <v>12041</v>
      </c>
      <c r="F4224" t="s">
        <v>12042</v>
      </c>
      <c r="G4224" s="1"/>
      <c r="H4224" t="str">
        <f>"4049857250035"</f>
        <v>4049857250035</v>
      </c>
      <c r="J4224" t="s">
        <v>12049</v>
      </c>
    </row>
    <row r="4225" spans="1:10" x14ac:dyDescent="0.25">
      <c r="A4225" t="s">
        <v>8</v>
      </c>
      <c r="B4225" t="s">
        <v>12050</v>
      </c>
      <c r="C4225" t="s">
        <v>12051</v>
      </c>
      <c r="D4225">
        <v>1</v>
      </c>
      <c r="E4225" t="s">
        <v>12041</v>
      </c>
      <c r="F4225" t="s">
        <v>12042</v>
      </c>
      <c r="G4225" s="1"/>
      <c r="H4225" t="str">
        <f>"4049857139323"</f>
        <v>4049857139323</v>
      </c>
      <c r="J4225" t="s">
        <v>12052</v>
      </c>
    </row>
    <row r="4226" spans="1:10" x14ac:dyDescent="0.25">
      <c r="A4226" t="s">
        <v>8</v>
      </c>
      <c r="B4226" t="s">
        <v>12053</v>
      </c>
      <c r="C4226" t="s">
        <v>12054</v>
      </c>
      <c r="D4226">
        <v>1</v>
      </c>
      <c r="E4226" t="s">
        <v>12041</v>
      </c>
      <c r="F4226" t="s">
        <v>12042</v>
      </c>
      <c r="G4226" s="1"/>
      <c r="H4226" t="str">
        <f>"4049857139330"</f>
        <v>4049857139330</v>
      </c>
      <c r="J4226" t="s">
        <v>12055</v>
      </c>
    </row>
    <row r="4227" spans="1:10" x14ac:dyDescent="0.25">
      <c r="A4227" t="s">
        <v>8</v>
      </c>
      <c r="B4227" t="s">
        <v>12056</v>
      </c>
      <c r="C4227" t="s">
        <v>12057</v>
      </c>
      <c r="D4227">
        <v>1</v>
      </c>
      <c r="E4227" t="s">
        <v>12041</v>
      </c>
      <c r="F4227" t="s">
        <v>12042</v>
      </c>
      <c r="G4227" s="1"/>
      <c r="H4227" t="str">
        <f>"4049857139347"</f>
        <v>4049857139347</v>
      </c>
      <c r="J4227" t="s">
        <v>12058</v>
      </c>
    </row>
    <row r="4228" spans="1:10" x14ac:dyDescent="0.25">
      <c r="A4228" t="s">
        <v>8</v>
      </c>
      <c r="B4228" t="s">
        <v>12059</v>
      </c>
      <c r="C4228" t="s">
        <v>12060</v>
      </c>
      <c r="D4228">
        <v>1</v>
      </c>
      <c r="E4228" t="s">
        <v>12041</v>
      </c>
      <c r="F4228" t="s">
        <v>12042</v>
      </c>
      <c r="G4228" s="1"/>
      <c r="H4228" t="str">
        <f>"4049857139354"</f>
        <v>4049857139354</v>
      </c>
      <c r="J4228" t="s">
        <v>12061</v>
      </c>
    </row>
    <row r="4229" spans="1:10" x14ac:dyDescent="0.25">
      <c r="A4229" t="s">
        <v>8</v>
      </c>
      <c r="B4229" t="s">
        <v>12062</v>
      </c>
      <c r="C4229" t="s">
        <v>12063</v>
      </c>
      <c r="D4229">
        <v>1</v>
      </c>
      <c r="E4229" t="s">
        <v>12041</v>
      </c>
      <c r="F4229" t="s">
        <v>12042</v>
      </c>
      <c r="G4229" s="1"/>
      <c r="H4229" t="str">
        <f>"4049857139385"</f>
        <v>4049857139385</v>
      </c>
      <c r="J4229" t="s">
        <v>12064</v>
      </c>
    </row>
    <row r="4230" spans="1:10" x14ac:dyDescent="0.25">
      <c r="A4230" t="s">
        <v>8</v>
      </c>
      <c r="B4230" t="s">
        <v>12065</v>
      </c>
      <c r="C4230" t="s">
        <v>12066</v>
      </c>
      <c r="D4230">
        <v>1</v>
      </c>
      <c r="E4230" t="s">
        <v>12041</v>
      </c>
      <c r="F4230" t="s">
        <v>12042</v>
      </c>
      <c r="G4230" s="1"/>
      <c r="H4230" t="str">
        <f>"4049857139392"</f>
        <v>4049857139392</v>
      </c>
      <c r="J4230" t="s">
        <v>12067</v>
      </c>
    </row>
    <row r="4231" spans="1:10" x14ac:dyDescent="0.25">
      <c r="A4231" t="s">
        <v>8</v>
      </c>
      <c r="B4231" t="s">
        <v>12068</v>
      </c>
      <c r="C4231" t="s">
        <v>12069</v>
      </c>
      <c r="D4231">
        <v>1</v>
      </c>
      <c r="E4231" t="s">
        <v>12041</v>
      </c>
      <c r="F4231" t="s">
        <v>12042</v>
      </c>
      <c r="G4231" s="1"/>
      <c r="H4231" t="str">
        <f>"4049857063888"</f>
        <v>4049857063888</v>
      </c>
      <c r="J4231" t="s">
        <v>12070</v>
      </c>
    </row>
    <row r="4232" spans="1:10" x14ac:dyDescent="0.25">
      <c r="A4232" t="s">
        <v>8</v>
      </c>
      <c r="B4232" t="s">
        <v>12071</v>
      </c>
      <c r="C4232" t="s">
        <v>12072</v>
      </c>
      <c r="D4232">
        <v>1</v>
      </c>
      <c r="E4232" t="s">
        <v>12041</v>
      </c>
      <c r="F4232" t="s">
        <v>12042</v>
      </c>
      <c r="G4232" s="1"/>
      <c r="H4232" t="str">
        <f>"4049857250080"</f>
        <v>4049857250080</v>
      </c>
      <c r="J4232" t="s">
        <v>12073</v>
      </c>
    </row>
    <row r="4233" spans="1:10" x14ac:dyDescent="0.25">
      <c r="A4233" t="s">
        <v>8</v>
      </c>
      <c r="B4233" t="s">
        <v>12074</v>
      </c>
      <c r="C4233" t="s">
        <v>12075</v>
      </c>
      <c r="D4233">
        <v>1</v>
      </c>
      <c r="E4233" t="s">
        <v>12041</v>
      </c>
      <c r="F4233" t="s">
        <v>12042</v>
      </c>
      <c r="G4233" s="1"/>
      <c r="H4233" t="str">
        <f>"4049857139415"</f>
        <v>4049857139415</v>
      </c>
      <c r="J4233" t="s">
        <v>12076</v>
      </c>
    </row>
    <row r="4234" spans="1:10" x14ac:dyDescent="0.25">
      <c r="A4234" t="s">
        <v>8</v>
      </c>
      <c r="B4234" t="s">
        <v>12077</v>
      </c>
      <c r="C4234" t="s">
        <v>12078</v>
      </c>
      <c r="D4234">
        <v>1</v>
      </c>
      <c r="E4234" t="s">
        <v>12041</v>
      </c>
      <c r="F4234" t="s">
        <v>12042</v>
      </c>
      <c r="G4234" s="1"/>
      <c r="H4234" t="str">
        <f>"4049857139422"</f>
        <v>4049857139422</v>
      </c>
      <c r="J4234" t="s">
        <v>12073</v>
      </c>
    </row>
    <row r="4235" spans="1:10" x14ac:dyDescent="0.25">
      <c r="A4235" t="s">
        <v>8</v>
      </c>
      <c r="B4235" t="s">
        <v>12079</v>
      </c>
      <c r="C4235" t="s">
        <v>12080</v>
      </c>
      <c r="D4235">
        <v>1</v>
      </c>
      <c r="E4235" t="s">
        <v>12041</v>
      </c>
      <c r="F4235" t="s">
        <v>12042</v>
      </c>
      <c r="G4235" s="1"/>
      <c r="H4235" t="str">
        <f>"4049857139439"</f>
        <v>4049857139439</v>
      </c>
      <c r="J4235" t="s">
        <v>12081</v>
      </c>
    </row>
    <row r="4236" spans="1:10" x14ac:dyDescent="0.25">
      <c r="A4236" t="s">
        <v>8</v>
      </c>
      <c r="B4236" t="s">
        <v>12082</v>
      </c>
      <c r="C4236" t="s">
        <v>12083</v>
      </c>
      <c r="D4236">
        <v>1</v>
      </c>
      <c r="E4236" t="s">
        <v>12041</v>
      </c>
      <c r="F4236" t="s">
        <v>12042</v>
      </c>
      <c r="G4236" s="1"/>
      <c r="H4236" t="str">
        <f>"4049857139446"</f>
        <v>4049857139446</v>
      </c>
      <c r="J4236" t="s">
        <v>12084</v>
      </c>
    </row>
    <row r="4237" spans="1:10" x14ac:dyDescent="0.25">
      <c r="A4237" t="s">
        <v>8</v>
      </c>
      <c r="B4237" t="s">
        <v>12085</v>
      </c>
      <c r="C4237" t="s">
        <v>12086</v>
      </c>
      <c r="D4237">
        <v>1</v>
      </c>
      <c r="E4237" t="s">
        <v>12041</v>
      </c>
      <c r="F4237" t="s">
        <v>12042</v>
      </c>
      <c r="G4237" s="1"/>
      <c r="H4237" t="str">
        <f>"4049857139453"</f>
        <v>4049857139453</v>
      </c>
      <c r="J4237" t="s">
        <v>12084</v>
      </c>
    </row>
    <row r="4238" spans="1:10" x14ac:dyDescent="0.25">
      <c r="A4238" t="s">
        <v>8</v>
      </c>
      <c r="B4238" t="s">
        <v>12087</v>
      </c>
      <c r="C4238" t="s">
        <v>12088</v>
      </c>
      <c r="D4238">
        <v>1</v>
      </c>
      <c r="E4238" t="s">
        <v>12041</v>
      </c>
      <c r="F4238" t="s">
        <v>12042</v>
      </c>
      <c r="G4238" s="1"/>
      <c r="H4238" t="str">
        <f>"4049857139460"</f>
        <v>4049857139460</v>
      </c>
      <c r="J4238" t="s">
        <v>12084</v>
      </c>
    </row>
    <row r="4239" spans="1:10" x14ac:dyDescent="0.25">
      <c r="A4239" t="s">
        <v>8</v>
      </c>
      <c r="B4239" t="s">
        <v>12089</v>
      </c>
      <c r="C4239" t="s">
        <v>12090</v>
      </c>
      <c r="D4239">
        <v>1</v>
      </c>
      <c r="E4239" t="s">
        <v>12041</v>
      </c>
      <c r="F4239" t="s">
        <v>12042</v>
      </c>
      <c r="G4239" s="1"/>
      <c r="H4239" t="str">
        <f>"4049857139477"</f>
        <v>4049857139477</v>
      </c>
      <c r="J4239" t="s">
        <v>12091</v>
      </c>
    </row>
    <row r="4240" spans="1:10" x14ac:dyDescent="0.25">
      <c r="A4240" t="s">
        <v>8</v>
      </c>
      <c r="B4240" t="s">
        <v>12092</v>
      </c>
      <c r="C4240" t="s">
        <v>12093</v>
      </c>
      <c r="D4240">
        <v>1</v>
      </c>
      <c r="E4240" t="s">
        <v>12041</v>
      </c>
      <c r="F4240" t="s">
        <v>12042</v>
      </c>
      <c r="G4240" s="1"/>
      <c r="H4240" t="str">
        <f>"4049857139484"</f>
        <v>4049857139484</v>
      </c>
      <c r="J4240" t="s">
        <v>12094</v>
      </c>
    </row>
    <row r="4241" spans="1:10" x14ac:dyDescent="0.25">
      <c r="A4241" t="s">
        <v>8</v>
      </c>
      <c r="B4241" t="s">
        <v>12095</v>
      </c>
      <c r="C4241" t="s">
        <v>12096</v>
      </c>
      <c r="D4241">
        <v>1</v>
      </c>
      <c r="E4241" t="s">
        <v>12041</v>
      </c>
      <c r="F4241" t="s">
        <v>12042</v>
      </c>
      <c r="G4241" s="1"/>
      <c r="H4241" t="str">
        <f>"4049857139507"</f>
        <v>4049857139507</v>
      </c>
      <c r="J4241" t="s">
        <v>12097</v>
      </c>
    </row>
    <row r="4242" spans="1:10" x14ac:dyDescent="0.25">
      <c r="A4242" t="s">
        <v>8</v>
      </c>
      <c r="B4242" t="s">
        <v>12098</v>
      </c>
      <c r="C4242" t="s">
        <v>12099</v>
      </c>
      <c r="D4242">
        <v>1</v>
      </c>
      <c r="E4242" t="s">
        <v>12041</v>
      </c>
      <c r="F4242" t="s">
        <v>12042</v>
      </c>
      <c r="G4242" s="1"/>
      <c r="H4242" t="str">
        <f>"4049857063864"</f>
        <v>4049857063864</v>
      </c>
      <c r="J4242" t="s">
        <v>12100</v>
      </c>
    </row>
    <row r="4243" spans="1:10" x14ac:dyDescent="0.25">
      <c r="A4243" t="s">
        <v>8</v>
      </c>
      <c r="B4243" t="s">
        <v>12101</v>
      </c>
      <c r="C4243" t="s">
        <v>12102</v>
      </c>
      <c r="D4243">
        <v>1</v>
      </c>
      <c r="E4243" t="s">
        <v>12041</v>
      </c>
      <c r="F4243" t="s">
        <v>12042</v>
      </c>
      <c r="G4243" s="1"/>
      <c r="H4243" t="str">
        <f>"4049857250004"</f>
        <v>4049857250004</v>
      </c>
      <c r="J4243" t="s">
        <v>12103</v>
      </c>
    </row>
    <row r="4244" spans="1:10" x14ac:dyDescent="0.25">
      <c r="A4244" t="s">
        <v>8</v>
      </c>
      <c r="B4244" t="s">
        <v>12104</v>
      </c>
      <c r="C4244" t="s">
        <v>12105</v>
      </c>
      <c r="D4244">
        <v>1</v>
      </c>
      <c r="E4244" t="s">
        <v>12041</v>
      </c>
      <c r="F4244" t="s">
        <v>12042</v>
      </c>
      <c r="G4244" s="1"/>
      <c r="H4244" t="str">
        <f>"4049857063871"</f>
        <v>4049857063871</v>
      </c>
      <c r="J4244" t="s">
        <v>12106</v>
      </c>
    </row>
    <row r="4245" spans="1:10" x14ac:dyDescent="0.25">
      <c r="A4245" t="s">
        <v>8</v>
      </c>
      <c r="B4245" t="s">
        <v>12107</v>
      </c>
      <c r="C4245" t="s">
        <v>12108</v>
      </c>
      <c r="D4245">
        <v>1</v>
      </c>
      <c r="E4245" t="s">
        <v>12041</v>
      </c>
      <c r="F4245" t="s">
        <v>12042</v>
      </c>
      <c r="G4245" s="1"/>
      <c r="H4245" t="str">
        <f>"4049857063710"</f>
        <v>4049857063710</v>
      </c>
      <c r="J4245" t="s">
        <v>12109</v>
      </c>
    </row>
    <row r="4246" spans="1:10" x14ac:dyDescent="0.25">
      <c r="A4246" t="s">
        <v>8</v>
      </c>
      <c r="B4246" t="s">
        <v>12110</v>
      </c>
      <c r="C4246" t="s">
        <v>12111</v>
      </c>
      <c r="D4246">
        <v>1</v>
      </c>
      <c r="E4246" t="s">
        <v>12041</v>
      </c>
      <c r="F4246" t="s">
        <v>12042</v>
      </c>
      <c r="G4246" s="1"/>
      <c r="H4246" t="str">
        <f>"3250613138776"</f>
        <v>3250613138776</v>
      </c>
      <c r="J4246" t="s">
        <v>12112</v>
      </c>
    </row>
    <row r="4247" spans="1:10" x14ac:dyDescent="0.25">
      <c r="A4247" t="s">
        <v>8</v>
      </c>
      <c r="B4247" t="s">
        <v>12113</v>
      </c>
      <c r="C4247" t="s">
        <v>12114</v>
      </c>
      <c r="D4247">
        <v>1</v>
      </c>
      <c r="E4247" t="s">
        <v>12041</v>
      </c>
      <c r="F4247" t="s">
        <v>12042</v>
      </c>
      <c r="G4247" s="1"/>
      <c r="H4247" t="str">
        <f>"3250613138783"</f>
        <v>3250613138783</v>
      </c>
      <c r="J4247" t="s">
        <v>12115</v>
      </c>
    </row>
    <row r="4248" spans="1:10" x14ac:dyDescent="0.25">
      <c r="A4248" t="s">
        <v>8</v>
      </c>
      <c r="B4248" t="s">
        <v>12116</v>
      </c>
      <c r="C4248" t="s">
        <v>12117</v>
      </c>
      <c r="D4248">
        <v>1</v>
      </c>
      <c r="E4248" t="s">
        <v>12041</v>
      </c>
      <c r="F4248" t="s">
        <v>12042</v>
      </c>
      <c r="G4248" s="1"/>
      <c r="H4248" t="str">
        <f>"3250613138806"</f>
        <v>3250613138806</v>
      </c>
      <c r="J4248" t="s">
        <v>12118</v>
      </c>
    </row>
    <row r="4249" spans="1:10" x14ac:dyDescent="0.25">
      <c r="A4249" t="s">
        <v>8</v>
      </c>
      <c r="B4249" t="s">
        <v>12119</v>
      </c>
      <c r="C4249" t="s">
        <v>12120</v>
      </c>
      <c r="D4249">
        <v>1</v>
      </c>
      <c r="E4249" t="s">
        <v>12041</v>
      </c>
      <c r="F4249" t="s">
        <v>12042</v>
      </c>
      <c r="G4249" s="1"/>
      <c r="H4249" t="str">
        <f>"3250613139001"</f>
        <v>3250613139001</v>
      </c>
      <c r="J4249" t="s">
        <v>12121</v>
      </c>
    </row>
    <row r="4250" spans="1:10" x14ac:dyDescent="0.25">
      <c r="A4250" t="s">
        <v>8</v>
      </c>
      <c r="B4250" t="s">
        <v>12122</v>
      </c>
      <c r="C4250" t="s">
        <v>12123</v>
      </c>
      <c r="D4250">
        <v>1</v>
      </c>
      <c r="E4250" t="s">
        <v>12041</v>
      </c>
      <c r="F4250" t="s">
        <v>12042</v>
      </c>
      <c r="G4250" s="1"/>
      <c r="H4250" t="str">
        <f>"3250615630032"</f>
        <v>3250615630032</v>
      </c>
      <c r="J4250" t="s">
        <v>12124</v>
      </c>
    </row>
    <row r="4251" spans="1:10" x14ac:dyDescent="0.25">
      <c r="A4251" t="s">
        <v>8</v>
      </c>
      <c r="B4251" t="s">
        <v>12125</v>
      </c>
      <c r="C4251" t="s">
        <v>12126</v>
      </c>
      <c r="D4251">
        <v>1</v>
      </c>
      <c r="E4251" t="s">
        <v>12041</v>
      </c>
      <c r="F4251" t="s">
        <v>12042</v>
      </c>
      <c r="G4251" s="1"/>
      <c r="H4251" t="str">
        <f>"3250613138004"</f>
        <v>3250613138004</v>
      </c>
      <c r="J4251" t="s">
        <v>12127</v>
      </c>
    </row>
    <row r="4252" spans="1:10" x14ac:dyDescent="0.25">
      <c r="A4252" t="s">
        <v>8</v>
      </c>
      <c r="B4252" t="s">
        <v>12128</v>
      </c>
      <c r="C4252" t="s">
        <v>12129</v>
      </c>
      <c r="D4252">
        <v>1</v>
      </c>
      <c r="E4252" t="s">
        <v>12041</v>
      </c>
      <c r="F4252" t="s">
        <v>12042</v>
      </c>
      <c r="G4252" s="1"/>
      <c r="H4252" t="str">
        <f>"3250613138844"</f>
        <v>3250613138844</v>
      </c>
      <c r="J4252" t="s">
        <v>12130</v>
      </c>
    </row>
    <row r="4253" spans="1:10" x14ac:dyDescent="0.25">
      <c r="A4253" t="s">
        <v>8</v>
      </c>
      <c r="B4253" t="s">
        <v>12131</v>
      </c>
      <c r="C4253" t="s">
        <v>12132</v>
      </c>
      <c r="D4253">
        <v>1</v>
      </c>
      <c r="E4253" t="s">
        <v>12133</v>
      </c>
      <c r="F4253" t="s">
        <v>12134</v>
      </c>
      <c r="G4253" s="1"/>
      <c r="H4253" t="str">
        <f>"3250616048737"</f>
        <v>3250616048737</v>
      </c>
      <c r="J4253" t="s">
        <v>12135</v>
      </c>
    </row>
    <row r="4254" spans="1:10" x14ac:dyDescent="0.25">
      <c r="A4254" t="s">
        <v>8</v>
      </c>
      <c r="B4254" t="s">
        <v>12136</v>
      </c>
      <c r="C4254" t="s">
        <v>12137</v>
      </c>
      <c r="D4254">
        <v>1</v>
      </c>
      <c r="E4254" t="s">
        <v>12133</v>
      </c>
      <c r="F4254" t="s">
        <v>12134</v>
      </c>
      <c r="G4254" s="1"/>
      <c r="H4254" t="str">
        <f>"3250616059504"</f>
        <v>3250616059504</v>
      </c>
      <c r="J4254" t="s">
        <v>12138</v>
      </c>
    </row>
    <row r="4255" spans="1:10" x14ac:dyDescent="0.25">
      <c r="A4255" t="s">
        <v>8</v>
      </c>
      <c r="B4255" t="s">
        <v>12139</v>
      </c>
      <c r="C4255" t="s">
        <v>12140</v>
      </c>
      <c r="D4255">
        <v>1</v>
      </c>
      <c r="E4255" t="s">
        <v>12133</v>
      </c>
      <c r="F4255" t="s">
        <v>12134</v>
      </c>
      <c r="G4255" s="1"/>
      <c r="H4255" t="str">
        <f>"3250616059528"</f>
        <v>3250616059528</v>
      </c>
      <c r="J4255" t="s">
        <v>12141</v>
      </c>
    </row>
    <row r="4256" spans="1:10" x14ac:dyDescent="0.25">
      <c r="A4256" t="s">
        <v>8</v>
      </c>
      <c r="B4256" t="s">
        <v>12142</v>
      </c>
      <c r="C4256" t="s">
        <v>12137</v>
      </c>
      <c r="D4256">
        <v>1</v>
      </c>
      <c r="E4256" t="s">
        <v>12133</v>
      </c>
      <c r="F4256" t="s">
        <v>12134</v>
      </c>
      <c r="G4256" s="1"/>
      <c r="H4256" t="str">
        <f>"3250610050064"</f>
        <v>3250610050064</v>
      </c>
      <c r="J4256" t="s">
        <v>12143</v>
      </c>
    </row>
    <row r="4257" spans="1:10" x14ac:dyDescent="0.25">
      <c r="A4257" t="s">
        <v>8</v>
      </c>
      <c r="B4257" t="s">
        <v>12144</v>
      </c>
      <c r="C4257" t="s">
        <v>12145</v>
      </c>
      <c r="D4257">
        <v>1</v>
      </c>
      <c r="E4257" t="s">
        <v>12133</v>
      </c>
      <c r="F4257" t="s">
        <v>12134</v>
      </c>
      <c r="G4257" s="1"/>
      <c r="H4257" t="str">
        <f>"3250610050071"</f>
        <v>3250610050071</v>
      </c>
      <c r="J4257" t="s">
        <v>12146</v>
      </c>
    </row>
    <row r="4258" spans="1:10" x14ac:dyDescent="0.25">
      <c r="A4258" t="s">
        <v>8</v>
      </c>
      <c r="B4258" t="s">
        <v>12147</v>
      </c>
      <c r="C4258" t="s">
        <v>12148</v>
      </c>
      <c r="D4258">
        <v>1</v>
      </c>
      <c r="E4258" t="s">
        <v>12149</v>
      </c>
      <c r="F4258" t="s">
        <v>12150</v>
      </c>
      <c r="G4258" s="1"/>
      <c r="H4258" t="str">
        <f>"3250617186902"</f>
        <v>3250617186902</v>
      </c>
      <c r="J4258" t="s">
        <v>12151</v>
      </c>
    </row>
    <row r="4259" spans="1:10" x14ac:dyDescent="0.25">
      <c r="A4259" t="s">
        <v>8</v>
      </c>
      <c r="B4259" t="s">
        <v>12152</v>
      </c>
      <c r="C4259" t="s">
        <v>12153</v>
      </c>
      <c r="D4259">
        <v>1</v>
      </c>
      <c r="E4259" t="s">
        <v>12149</v>
      </c>
      <c r="F4259" t="s">
        <v>12150</v>
      </c>
      <c r="G4259" s="1"/>
      <c r="H4259" t="str">
        <f>"3250617186919"</f>
        <v>3250617186919</v>
      </c>
      <c r="J4259" t="s">
        <v>12154</v>
      </c>
    </row>
    <row r="4260" spans="1:10" x14ac:dyDescent="0.25">
      <c r="A4260" t="s">
        <v>8</v>
      </c>
      <c r="B4260" t="s">
        <v>12155</v>
      </c>
      <c r="C4260" t="s">
        <v>12156</v>
      </c>
      <c r="D4260">
        <v>1</v>
      </c>
      <c r="E4260" t="s">
        <v>12149</v>
      </c>
      <c r="F4260" t="s">
        <v>12150</v>
      </c>
      <c r="G4260" s="1"/>
      <c r="H4260" t="str">
        <f>"3250617186926"</f>
        <v>3250617186926</v>
      </c>
      <c r="J4260" t="s">
        <v>12154</v>
      </c>
    </row>
    <row r="4261" spans="1:10" x14ac:dyDescent="0.25">
      <c r="A4261" t="s">
        <v>8</v>
      </c>
      <c r="B4261" t="s">
        <v>12157</v>
      </c>
      <c r="C4261" t="s">
        <v>12158</v>
      </c>
      <c r="D4261">
        <v>1</v>
      </c>
      <c r="E4261" t="s">
        <v>12149</v>
      </c>
      <c r="F4261" t="s">
        <v>12150</v>
      </c>
      <c r="G4261" s="1"/>
      <c r="H4261" t="str">
        <f>"3250617186933"</f>
        <v>3250617186933</v>
      </c>
      <c r="J4261" t="s">
        <v>12154</v>
      </c>
    </row>
    <row r="4262" spans="1:10" x14ac:dyDescent="0.25">
      <c r="A4262" t="s">
        <v>8</v>
      </c>
      <c r="B4262" t="s">
        <v>12159</v>
      </c>
      <c r="C4262" t="s">
        <v>12160</v>
      </c>
      <c r="D4262">
        <v>1</v>
      </c>
      <c r="E4262" t="s">
        <v>12149</v>
      </c>
      <c r="F4262" t="s">
        <v>12150</v>
      </c>
      <c r="G4262" s="1"/>
      <c r="H4262" t="str">
        <f>"3250617186940"</f>
        <v>3250617186940</v>
      </c>
      <c r="J4262" t="s">
        <v>12154</v>
      </c>
    </row>
    <row r="4263" spans="1:10" x14ac:dyDescent="0.25">
      <c r="A4263" t="s">
        <v>8</v>
      </c>
      <c r="B4263" t="s">
        <v>12161</v>
      </c>
      <c r="C4263" t="s">
        <v>12162</v>
      </c>
      <c r="D4263">
        <v>1</v>
      </c>
      <c r="E4263" t="s">
        <v>12149</v>
      </c>
      <c r="F4263" t="s">
        <v>12150</v>
      </c>
      <c r="G4263" s="1"/>
      <c r="H4263" t="str">
        <f>"3250617186957"</f>
        <v>3250617186957</v>
      </c>
      <c r="J4263" t="s">
        <v>12154</v>
      </c>
    </row>
    <row r="4264" spans="1:10" x14ac:dyDescent="0.25">
      <c r="A4264" t="s">
        <v>8</v>
      </c>
      <c r="B4264" t="s">
        <v>12163</v>
      </c>
      <c r="C4264" t="s">
        <v>12164</v>
      </c>
      <c r="D4264">
        <v>1</v>
      </c>
      <c r="E4264" t="s">
        <v>12149</v>
      </c>
      <c r="F4264" t="s">
        <v>12150</v>
      </c>
      <c r="G4264" s="1"/>
      <c r="H4264" t="str">
        <f>"3250617180429"</f>
        <v>3250617180429</v>
      </c>
      <c r="J4264" t="s">
        <v>12165</v>
      </c>
    </row>
    <row r="4265" spans="1:10" x14ac:dyDescent="0.25">
      <c r="A4265" t="s">
        <v>8</v>
      </c>
      <c r="B4265" t="s">
        <v>12166</v>
      </c>
      <c r="C4265" t="s">
        <v>12167</v>
      </c>
      <c r="D4265">
        <v>1</v>
      </c>
      <c r="E4265" t="s">
        <v>12149</v>
      </c>
      <c r="F4265" t="s">
        <v>12150</v>
      </c>
      <c r="G4265" s="1"/>
      <c r="H4265" t="str">
        <f>"3250617180436"</f>
        <v>3250617180436</v>
      </c>
      <c r="J4265" t="s">
        <v>12168</v>
      </c>
    </row>
    <row r="4266" spans="1:10" x14ac:dyDescent="0.25">
      <c r="A4266" t="s">
        <v>8</v>
      </c>
      <c r="B4266" t="s">
        <v>12169</v>
      </c>
      <c r="C4266" t="s">
        <v>12170</v>
      </c>
      <c r="D4266">
        <v>1</v>
      </c>
      <c r="E4266" t="s">
        <v>12149</v>
      </c>
      <c r="F4266" t="s">
        <v>12150</v>
      </c>
      <c r="G4266" s="1"/>
      <c r="H4266" t="str">
        <f>"3250617180443"</f>
        <v>3250617180443</v>
      </c>
      <c r="J4266" t="s">
        <v>12171</v>
      </c>
    </row>
    <row r="4267" spans="1:10" x14ac:dyDescent="0.25">
      <c r="A4267" t="s">
        <v>8</v>
      </c>
      <c r="B4267" t="s">
        <v>12172</v>
      </c>
      <c r="C4267" t="s">
        <v>12173</v>
      </c>
      <c r="D4267">
        <v>1</v>
      </c>
      <c r="E4267" t="s">
        <v>12174</v>
      </c>
      <c r="F4267" t="s">
        <v>12175</v>
      </c>
      <c r="G4267" s="1"/>
      <c r="H4267" t="str">
        <f>"4012740276986"</f>
        <v>4012740276986</v>
      </c>
      <c r="J4267" t="s">
        <v>12176</v>
      </c>
    </row>
    <row r="4268" spans="1:10" x14ac:dyDescent="0.25">
      <c r="A4268" t="s">
        <v>8</v>
      </c>
      <c r="B4268" t="s">
        <v>12177</v>
      </c>
      <c r="C4268" t="s">
        <v>12178</v>
      </c>
      <c r="D4268">
        <v>1</v>
      </c>
      <c r="E4268" t="s">
        <v>12174</v>
      </c>
      <c r="F4268" t="s">
        <v>12175</v>
      </c>
      <c r="G4268" s="1"/>
      <c r="H4268" t="str">
        <f>"4012740881340"</f>
        <v>4012740881340</v>
      </c>
      <c r="J4268" t="s">
        <v>12179</v>
      </c>
    </row>
    <row r="4269" spans="1:10" x14ac:dyDescent="0.25">
      <c r="A4269" t="s">
        <v>8</v>
      </c>
      <c r="B4269" t="s">
        <v>12180</v>
      </c>
      <c r="C4269" t="s">
        <v>12181</v>
      </c>
      <c r="D4269">
        <v>1</v>
      </c>
      <c r="E4269" t="s">
        <v>12174</v>
      </c>
      <c r="F4269" t="s">
        <v>12175</v>
      </c>
      <c r="G4269" s="1"/>
      <c r="H4269" t="str">
        <f>"4012740280105"</f>
        <v>4012740280105</v>
      </c>
      <c r="J4269" t="s">
        <v>12182</v>
      </c>
    </row>
    <row r="4270" spans="1:10" x14ac:dyDescent="0.25">
      <c r="A4270" t="s">
        <v>8</v>
      </c>
      <c r="B4270" t="s">
        <v>12183</v>
      </c>
      <c r="C4270" t="s">
        <v>12184</v>
      </c>
      <c r="D4270">
        <v>1</v>
      </c>
      <c r="E4270" t="s">
        <v>12174</v>
      </c>
      <c r="F4270" t="s">
        <v>12175</v>
      </c>
      <c r="G4270" s="1"/>
      <c r="H4270" t="str">
        <f>"4012740865524"</f>
        <v>4012740865524</v>
      </c>
      <c r="J4270" t="s">
        <v>12185</v>
      </c>
    </row>
    <row r="4271" spans="1:10" x14ac:dyDescent="0.25">
      <c r="A4271" t="s">
        <v>8</v>
      </c>
      <c r="B4271" t="s">
        <v>12186</v>
      </c>
      <c r="C4271" t="s">
        <v>12187</v>
      </c>
      <c r="D4271">
        <v>1</v>
      </c>
      <c r="E4271" t="s">
        <v>12174</v>
      </c>
      <c r="F4271" t="s">
        <v>12175</v>
      </c>
      <c r="G4271" s="1"/>
      <c r="H4271" t="str">
        <f>"4012740865531"</f>
        <v>4012740865531</v>
      </c>
      <c r="I4271" s="1"/>
      <c r="J4271" t="s">
        <v>12188</v>
      </c>
    </row>
    <row r="4272" spans="1:10" x14ac:dyDescent="0.25">
      <c r="A4272" t="s">
        <v>8</v>
      </c>
      <c r="B4272" t="s">
        <v>12189</v>
      </c>
      <c r="C4272" t="s">
        <v>12190</v>
      </c>
      <c r="D4272">
        <v>1</v>
      </c>
      <c r="E4272" t="s">
        <v>12174</v>
      </c>
      <c r="F4272" t="s">
        <v>12175</v>
      </c>
      <c r="G4272" s="1"/>
      <c r="H4272" t="str">
        <f>"4012740865579"</f>
        <v>4012740865579</v>
      </c>
      <c r="J4272" t="s">
        <v>12191</v>
      </c>
    </row>
    <row r="4273" spans="1:10" x14ac:dyDescent="0.25">
      <c r="A4273" t="s">
        <v>8</v>
      </c>
      <c r="B4273" t="s">
        <v>12192</v>
      </c>
      <c r="C4273" t="s">
        <v>12193</v>
      </c>
      <c r="D4273">
        <v>1</v>
      </c>
      <c r="E4273" t="s">
        <v>12174</v>
      </c>
      <c r="F4273" t="s">
        <v>12175</v>
      </c>
      <c r="G4273" s="1"/>
      <c r="H4273" t="str">
        <f>"4012740865586"</f>
        <v>4012740865586</v>
      </c>
      <c r="J4273" t="s">
        <v>12194</v>
      </c>
    </row>
    <row r="4274" spans="1:10" x14ac:dyDescent="0.25">
      <c r="A4274" t="s">
        <v>8</v>
      </c>
      <c r="B4274" t="s">
        <v>12195</v>
      </c>
      <c r="C4274" t="s">
        <v>12196</v>
      </c>
      <c r="D4274">
        <v>1</v>
      </c>
      <c r="E4274" t="s">
        <v>12174</v>
      </c>
      <c r="F4274" t="s">
        <v>12175</v>
      </c>
      <c r="G4274" s="1"/>
      <c r="H4274" t="str">
        <f>"4012740865593"</f>
        <v>4012740865593</v>
      </c>
      <c r="J4274" t="s">
        <v>12197</v>
      </c>
    </row>
    <row r="4275" spans="1:10" x14ac:dyDescent="0.25">
      <c r="A4275" t="s">
        <v>8</v>
      </c>
      <c r="B4275" t="s">
        <v>12198</v>
      </c>
      <c r="C4275" t="s">
        <v>12199</v>
      </c>
      <c r="D4275">
        <v>1</v>
      </c>
      <c r="E4275" t="s">
        <v>12174</v>
      </c>
      <c r="F4275" t="s">
        <v>12175</v>
      </c>
      <c r="G4275" s="1"/>
      <c r="H4275" t="str">
        <f>"4012740839327"</f>
        <v>4012740839327</v>
      </c>
      <c r="J4275" t="s">
        <v>12200</v>
      </c>
    </row>
    <row r="4276" spans="1:10" x14ac:dyDescent="0.25">
      <c r="A4276" t="s">
        <v>8</v>
      </c>
      <c r="B4276" t="s">
        <v>12201</v>
      </c>
      <c r="C4276" t="s">
        <v>12202</v>
      </c>
      <c r="D4276">
        <v>1</v>
      </c>
      <c r="E4276" t="s">
        <v>12174</v>
      </c>
      <c r="F4276" t="s">
        <v>12175</v>
      </c>
      <c r="G4276" s="1"/>
      <c r="H4276" t="str">
        <f>"4012740839310"</f>
        <v>4012740839310</v>
      </c>
      <c r="J4276" t="s">
        <v>12203</v>
      </c>
    </row>
    <row r="4277" spans="1:10" x14ac:dyDescent="0.25">
      <c r="A4277" t="s">
        <v>8</v>
      </c>
      <c r="B4277" t="s">
        <v>12204</v>
      </c>
      <c r="C4277" t="s">
        <v>12205</v>
      </c>
      <c r="D4277">
        <v>1</v>
      </c>
      <c r="E4277" t="s">
        <v>12174</v>
      </c>
      <c r="F4277" t="s">
        <v>12175</v>
      </c>
      <c r="G4277" s="1"/>
      <c r="H4277" t="str">
        <f>"4012740008280"</f>
        <v>4012740008280</v>
      </c>
      <c r="J4277" t="s">
        <v>12206</v>
      </c>
    </row>
    <row r="4278" spans="1:10" x14ac:dyDescent="0.25">
      <c r="A4278" t="s">
        <v>8</v>
      </c>
      <c r="B4278" t="s">
        <v>12207</v>
      </c>
      <c r="C4278" t="s">
        <v>12208</v>
      </c>
      <c r="D4278">
        <v>1</v>
      </c>
      <c r="E4278" t="s">
        <v>12174</v>
      </c>
      <c r="F4278" t="s">
        <v>12175</v>
      </c>
      <c r="G4278" s="1"/>
      <c r="H4278" t="str">
        <f>"4012740017282"</f>
        <v>4012740017282</v>
      </c>
      <c r="J4278" t="s">
        <v>12209</v>
      </c>
    </row>
    <row r="4279" spans="1:10" x14ac:dyDescent="0.25">
      <c r="A4279" t="s">
        <v>8</v>
      </c>
      <c r="B4279" t="s">
        <v>12210</v>
      </c>
      <c r="C4279" t="s">
        <v>12211</v>
      </c>
      <c r="D4279">
        <v>1</v>
      </c>
      <c r="E4279" t="s">
        <v>12174</v>
      </c>
      <c r="F4279" t="s">
        <v>12175</v>
      </c>
      <c r="G4279" s="1"/>
      <c r="H4279" t="str">
        <f>"4012740017299"</f>
        <v>4012740017299</v>
      </c>
      <c r="J4279" t="s">
        <v>12212</v>
      </c>
    </row>
    <row r="4280" spans="1:10" x14ac:dyDescent="0.25">
      <c r="A4280" t="s">
        <v>8</v>
      </c>
      <c r="B4280" t="s">
        <v>12213</v>
      </c>
      <c r="C4280" t="s">
        <v>12214</v>
      </c>
      <c r="D4280">
        <v>1</v>
      </c>
      <c r="E4280" t="s">
        <v>12174</v>
      </c>
      <c r="F4280" t="s">
        <v>12175</v>
      </c>
      <c r="G4280" s="1"/>
      <c r="H4280" t="str">
        <f>"4012740017305"</f>
        <v>4012740017305</v>
      </c>
      <c r="J4280" t="s">
        <v>12215</v>
      </c>
    </row>
    <row r="4281" spans="1:10" x14ac:dyDescent="0.25">
      <c r="A4281" t="s">
        <v>8</v>
      </c>
      <c r="B4281" t="s">
        <v>12216</v>
      </c>
      <c r="C4281" t="s">
        <v>12217</v>
      </c>
      <c r="D4281">
        <v>1</v>
      </c>
      <c r="E4281" t="s">
        <v>12174</v>
      </c>
      <c r="F4281" t="s">
        <v>12175</v>
      </c>
      <c r="G4281" s="1"/>
      <c r="H4281" t="str">
        <f>"4012740017312"</f>
        <v>4012740017312</v>
      </c>
      <c r="J4281" t="s">
        <v>12218</v>
      </c>
    </row>
    <row r="4282" spans="1:10" x14ac:dyDescent="0.25">
      <c r="A4282" t="s">
        <v>8</v>
      </c>
      <c r="B4282" t="s">
        <v>12219</v>
      </c>
      <c r="C4282" t="s">
        <v>12220</v>
      </c>
      <c r="D4282">
        <v>1</v>
      </c>
      <c r="E4282" t="s">
        <v>12174</v>
      </c>
      <c r="F4282" t="s">
        <v>12175</v>
      </c>
      <c r="G4282" s="1"/>
      <c r="H4282" t="str">
        <f>"4012740017329"</f>
        <v>4012740017329</v>
      </c>
      <c r="J4282" t="s">
        <v>12221</v>
      </c>
    </row>
    <row r="4283" spans="1:10" x14ac:dyDescent="0.25">
      <c r="A4283" t="s">
        <v>8</v>
      </c>
      <c r="B4283" t="s">
        <v>12222</v>
      </c>
      <c r="C4283" t="s">
        <v>12223</v>
      </c>
      <c r="D4283">
        <v>1</v>
      </c>
      <c r="E4283" t="s">
        <v>12174</v>
      </c>
      <c r="F4283" t="s">
        <v>12175</v>
      </c>
      <c r="G4283" s="1"/>
      <c r="H4283" t="str">
        <f>"4012740230254"</f>
        <v>4012740230254</v>
      </c>
      <c r="J4283" t="s">
        <v>12224</v>
      </c>
    </row>
    <row r="4284" spans="1:10" x14ac:dyDescent="0.25">
      <c r="A4284" t="s">
        <v>8</v>
      </c>
      <c r="B4284" t="s">
        <v>12225</v>
      </c>
      <c r="C4284" t="s">
        <v>12226</v>
      </c>
      <c r="D4284">
        <v>1</v>
      </c>
      <c r="E4284" t="s">
        <v>12227</v>
      </c>
      <c r="F4284" t="s">
        <v>12228</v>
      </c>
      <c r="G4284" s="1"/>
      <c r="H4284" t="str">
        <f>"4012740896719"</f>
        <v>4012740896719</v>
      </c>
      <c r="J4284" t="s">
        <v>12229</v>
      </c>
    </row>
    <row r="4285" spans="1:10" x14ac:dyDescent="0.25">
      <c r="A4285" t="s">
        <v>8</v>
      </c>
      <c r="B4285" t="s">
        <v>12230</v>
      </c>
      <c r="C4285" t="s">
        <v>12231</v>
      </c>
      <c r="D4285">
        <v>1</v>
      </c>
      <c r="E4285" t="s">
        <v>12227</v>
      </c>
      <c r="F4285" t="s">
        <v>12228</v>
      </c>
      <c r="G4285" s="1"/>
      <c r="H4285" t="str">
        <f>"4012740896726"</f>
        <v>4012740896726</v>
      </c>
      <c r="J4285" t="s">
        <v>12232</v>
      </c>
    </row>
    <row r="4286" spans="1:10" x14ac:dyDescent="0.25">
      <c r="A4286" t="s">
        <v>8</v>
      </c>
      <c r="B4286" t="s">
        <v>12233</v>
      </c>
      <c r="C4286" t="s">
        <v>12234</v>
      </c>
      <c r="D4286">
        <v>1</v>
      </c>
      <c r="E4286" t="s">
        <v>12227</v>
      </c>
      <c r="F4286" t="s">
        <v>12228</v>
      </c>
      <c r="G4286" s="1"/>
      <c r="H4286" t="str">
        <f>"4012740896733"</f>
        <v>4012740896733</v>
      </c>
      <c r="J4286" t="s">
        <v>12235</v>
      </c>
    </row>
    <row r="4287" spans="1:10" x14ac:dyDescent="0.25">
      <c r="A4287" t="s">
        <v>8</v>
      </c>
      <c r="B4287" t="s">
        <v>12236</v>
      </c>
      <c r="C4287" t="s">
        <v>12237</v>
      </c>
      <c r="D4287">
        <v>1</v>
      </c>
      <c r="E4287" t="s">
        <v>12227</v>
      </c>
      <c r="F4287" t="s">
        <v>12228</v>
      </c>
      <c r="G4287" s="1"/>
      <c r="H4287" t="str">
        <f>"4012740896740"</f>
        <v>4012740896740</v>
      </c>
      <c r="J4287" t="s">
        <v>12238</v>
      </c>
    </row>
    <row r="4288" spans="1:10" x14ac:dyDescent="0.25">
      <c r="A4288" t="s">
        <v>8</v>
      </c>
      <c r="B4288" t="s">
        <v>12239</v>
      </c>
      <c r="C4288" t="s">
        <v>12240</v>
      </c>
      <c r="D4288">
        <v>1</v>
      </c>
      <c r="E4288" t="s">
        <v>12227</v>
      </c>
      <c r="F4288" t="s">
        <v>12228</v>
      </c>
      <c r="G4288" s="1"/>
      <c r="H4288" t="str">
        <f>"4012740896757"</f>
        <v>4012740896757</v>
      </c>
      <c r="J4288" t="s">
        <v>12241</v>
      </c>
    </row>
    <row r="4289" spans="1:10" x14ac:dyDescent="0.25">
      <c r="A4289" t="s">
        <v>8</v>
      </c>
      <c r="B4289" t="s">
        <v>12242</v>
      </c>
      <c r="C4289" t="s">
        <v>12243</v>
      </c>
      <c r="D4289">
        <v>1</v>
      </c>
      <c r="E4289" t="s">
        <v>12227</v>
      </c>
      <c r="F4289" t="s">
        <v>12228</v>
      </c>
      <c r="G4289" s="1"/>
      <c r="H4289" t="str">
        <f>"4012740896764"</f>
        <v>4012740896764</v>
      </c>
      <c r="J4289" t="s">
        <v>12244</v>
      </c>
    </row>
    <row r="4290" spans="1:10" x14ac:dyDescent="0.25">
      <c r="A4290" t="s">
        <v>8</v>
      </c>
      <c r="B4290" t="s">
        <v>12245</v>
      </c>
      <c r="C4290" t="s">
        <v>12246</v>
      </c>
      <c r="D4290">
        <v>1</v>
      </c>
      <c r="E4290" t="s">
        <v>12227</v>
      </c>
      <c r="F4290" t="s">
        <v>12228</v>
      </c>
      <c r="G4290" s="1"/>
      <c r="H4290" t="str">
        <f>"4012740896771"</f>
        <v>4012740896771</v>
      </c>
      <c r="J4290" t="s">
        <v>12247</v>
      </c>
    </row>
    <row r="4291" spans="1:10" x14ac:dyDescent="0.25">
      <c r="A4291" t="s">
        <v>8</v>
      </c>
      <c r="B4291" t="s">
        <v>12248</v>
      </c>
      <c r="C4291" t="s">
        <v>12249</v>
      </c>
      <c r="D4291">
        <v>1</v>
      </c>
      <c r="E4291" t="s">
        <v>12227</v>
      </c>
      <c r="F4291" t="s">
        <v>12228</v>
      </c>
      <c r="G4291" s="1"/>
      <c r="H4291" t="str">
        <f>"4012740896788"</f>
        <v>4012740896788</v>
      </c>
      <c r="J4291" t="s">
        <v>9016</v>
      </c>
    </row>
    <row r="4292" spans="1:10" x14ac:dyDescent="0.25">
      <c r="A4292" t="s">
        <v>8</v>
      </c>
      <c r="B4292" t="s">
        <v>12250</v>
      </c>
      <c r="C4292" t="s">
        <v>12251</v>
      </c>
      <c r="D4292">
        <v>1</v>
      </c>
      <c r="E4292" t="s">
        <v>12227</v>
      </c>
      <c r="F4292" t="s">
        <v>12228</v>
      </c>
      <c r="G4292" s="1"/>
      <c r="H4292" t="str">
        <f>"4012740896795"</f>
        <v>4012740896795</v>
      </c>
      <c r="J4292" t="s">
        <v>12252</v>
      </c>
    </row>
    <row r="4293" spans="1:10" x14ac:dyDescent="0.25">
      <c r="A4293" t="s">
        <v>8</v>
      </c>
      <c r="B4293" t="s">
        <v>12253</v>
      </c>
      <c r="C4293" t="s">
        <v>12254</v>
      </c>
      <c r="D4293">
        <v>1</v>
      </c>
      <c r="E4293" t="s">
        <v>12227</v>
      </c>
      <c r="F4293" t="s">
        <v>12228</v>
      </c>
      <c r="G4293" s="1"/>
      <c r="H4293" t="str">
        <f>"4012740896801"</f>
        <v>4012740896801</v>
      </c>
      <c r="J4293" t="s">
        <v>12255</v>
      </c>
    </row>
    <row r="4294" spans="1:10" x14ac:dyDescent="0.25">
      <c r="A4294" t="s">
        <v>8</v>
      </c>
      <c r="B4294" t="s">
        <v>12256</v>
      </c>
      <c r="C4294" t="s">
        <v>12257</v>
      </c>
      <c r="D4294">
        <v>1</v>
      </c>
      <c r="E4294" t="s">
        <v>12227</v>
      </c>
      <c r="F4294" t="s">
        <v>12228</v>
      </c>
      <c r="G4294" s="1"/>
      <c r="H4294" t="str">
        <f>"4012740896818"</f>
        <v>4012740896818</v>
      </c>
      <c r="J4294" t="s">
        <v>12258</v>
      </c>
    </row>
    <row r="4295" spans="1:10" x14ac:dyDescent="0.25">
      <c r="A4295" t="s">
        <v>8</v>
      </c>
      <c r="B4295" t="s">
        <v>12259</v>
      </c>
      <c r="C4295" t="s">
        <v>12260</v>
      </c>
      <c r="D4295">
        <v>1</v>
      </c>
      <c r="E4295" t="s">
        <v>12227</v>
      </c>
      <c r="F4295" t="s">
        <v>12228</v>
      </c>
      <c r="G4295" s="1"/>
      <c r="H4295" t="str">
        <f>"4012740896825"</f>
        <v>4012740896825</v>
      </c>
      <c r="J4295" t="s">
        <v>12261</v>
      </c>
    </row>
    <row r="4296" spans="1:10" x14ac:dyDescent="0.25">
      <c r="A4296" t="s">
        <v>8</v>
      </c>
      <c r="B4296" t="s">
        <v>12262</v>
      </c>
      <c r="C4296" t="s">
        <v>12263</v>
      </c>
      <c r="D4296">
        <v>1</v>
      </c>
      <c r="E4296" t="s">
        <v>12227</v>
      </c>
      <c r="F4296" t="s">
        <v>12228</v>
      </c>
      <c r="G4296" s="1"/>
      <c r="H4296" t="str">
        <f>"4012740896832"</f>
        <v>4012740896832</v>
      </c>
      <c r="J4296" t="s">
        <v>12264</v>
      </c>
    </row>
    <row r="4297" spans="1:10" x14ac:dyDescent="0.25">
      <c r="A4297" t="s">
        <v>8</v>
      </c>
      <c r="B4297" t="s">
        <v>12265</v>
      </c>
      <c r="C4297" t="s">
        <v>12266</v>
      </c>
      <c r="D4297">
        <v>1</v>
      </c>
      <c r="E4297" t="s">
        <v>12227</v>
      </c>
      <c r="F4297" t="s">
        <v>12228</v>
      </c>
      <c r="G4297" s="1"/>
      <c r="H4297" t="str">
        <f>"4012740896849"</f>
        <v>4012740896849</v>
      </c>
      <c r="J4297" t="s">
        <v>12267</v>
      </c>
    </row>
    <row r="4298" spans="1:10" x14ac:dyDescent="0.25">
      <c r="A4298" t="s">
        <v>8</v>
      </c>
      <c r="B4298" t="s">
        <v>12268</v>
      </c>
      <c r="C4298" t="s">
        <v>12269</v>
      </c>
      <c r="D4298">
        <v>1</v>
      </c>
      <c r="E4298" t="s">
        <v>12227</v>
      </c>
      <c r="F4298" t="s">
        <v>12228</v>
      </c>
      <c r="G4298" s="1"/>
      <c r="H4298" t="str">
        <f>"4012740896856"</f>
        <v>4012740896856</v>
      </c>
      <c r="J4298" t="s">
        <v>12270</v>
      </c>
    </row>
    <row r="4299" spans="1:10" x14ac:dyDescent="0.25">
      <c r="A4299" t="s">
        <v>8</v>
      </c>
      <c r="B4299" t="s">
        <v>12271</v>
      </c>
      <c r="C4299" t="s">
        <v>12272</v>
      </c>
      <c r="D4299">
        <v>1</v>
      </c>
      <c r="E4299" t="s">
        <v>12227</v>
      </c>
      <c r="F4299" t="s">
        <v>12228</v>
      </c>
      <c r="G4299" s="1"/>
      <c r="H4299" t="str">
        <f>"4012740896863"</f>
        <v>4012740896863</v>
      </c>
      <c r="J4299" t="s">
        <v>12273</v>
      </c>
    </row>
    <row r="4300" spans="1:10" x14ac:dyDescent="0.25">
      <c r="A4300" t="s">
        <v>8</v>
      </c>
      <c r="B4300" t="s">
        <v>12274</v>
      </c>
      <c r="C4300" t="s">
        <v>12257</v>
      </c>
      <c r="D4300">
        <v>1</v>
      </c>
      <c r="E4300" t="s">
        <v>12227</v>
      </c>
      <c r="F4300" t="s">
        <v>12228</v>
      </c>
      <c r="G4300" s="1"/>
      <c r="H4300" t="str">
        <f>"4012740896870"</f>
        <v>4012740896870</v>
      </c>
      <c r="J4300" t="s">
        <v>12275</v>
      </c>
    </row>
    <row r="4301" spans="1:10" x14ac:dyDescent="0.25">
      <c r="A4301" t="s">
        <v>8</v>
      </c>
      <c r="B4301" t="s">
        <v>12276</v>
      </c>
      <c r="C4301" t="s">
        <v>12277</v>
      </c>
      <c r="D4301">
        <v>1</v>
      </c>
      <c r="E4301" t="s">
        <v>12227</v>
      </c>
      <c r="F4301" t="s">
        <v>12228</v>
      </c>
      <c r="G4301" s="1"/>
      <c r="H4301" t="str">
        <f>"4012740896887"</f>
        <v>4012740896887</v>
      </c>
      <c r="J4301" t="s">
        <v>12278</v>
      </c>
    </row>
    <row r="4302" spans="1:10" x14ac:dyDescent="0.25">
      <c r="A4302" t="s">
        <v>8</v>
      </c>
      <c r="B4302" t="s">
        <v>12279</v>
      </c>
      <c r="C4302" t="s">
        <v>12280</v>
      </c>
      <c r="D4302">
        <v>1</v>
      </c>
      <c r="E4302" t="s">
        <v>12227</v>
      </c>
      <c r="F4302" t="s">
        <v>12228</v>
      </c>
      <c r="G4302" s="1"/>
      <c r="H4302" t="str">
        <f>"4012740896894"</f>
        <v>4012740896894</v>
      </c>
      <c r="J4302" t="s">
        <v>12281</v>
      </c>
    </row>
    <row r="4303" spans="1:10" x14ac:dyDescent="0.25">
      <c r="A4303" t="s">
        <v>8</v>
      </c>
      <c r="B4303" t="s">
        <v>12282</v>
      </c>
      <c r="C4303" t="s">
        <v>12283</v>
      </c>
      <c r="D4303">
        <v>1</v>
      </c>
      <c r="E4303" t="s">
        <v>12227</v>
      </c>
      <c r="F4303" t="s">
        <v>12228</v>
      </c>
      <c r="G4303" s="1"/>
      <c r="H4303" t="str">
        <f>"4012740896900"</f>
        <v>4012740896900</v>
      </c>
      <c r="J4303" t="s">
        <v>12284</v>
      </c>
    </row>
    <row r="4304" spans="1:10" x14ac:dyDescent="0.25">
      <c r="A4304" t="s">
        <v>8</v>
      </c>
      <c r="B4304" t="s">
        <v>12285</v>
      </c>
      <c r="C4304" t="s">
        <v>12286</v>
      </c>
      <c r="D4304">
        <v>1</v>
      </c>
      <c r="E4304" t="s">
        <v>12227</v>
      </c>
      <c r="F4304" t="s">
        <v>12228</v>
      </c>
      <c r="G4304" s="1"/>
      <c r="H4304" t="str">
        <f>"4012740887144"</f>
        <v>4012740887144</v>
      </c>
      <c r="J4304" t="s">
        <v>12287</v>
      </c>
    </row>
    <row r="4305" spans="1:10" x14ac:dyDescent="0.25">
      <c r="A4305" t="s">
        <v>8</v>
      </c>
      <c r="B4305" t="s">
        <v>12288</v>
      </c>
      <c r="C4305" t="s">
        <v>12289</v>
      </c>
      <c r="D4305">
        <v>1</v>
      </c>
      <c r="E4305" t="s">
        <v>12227</v>
      </c>
      <c r="F4305" t="s">
        <v>12228</v>
      </c>
      <c r="G4305" s="1"/>
      <c r="H4305" t="str">
        <f>"4012740194464"</f>
        <v>4012740194464</v>
      </c>
      <c r="J4305" t="s">
        <v>12290</v>
      </c>
    </row>
    <row r="4306" spans="1:10" x14ac:dyDescent="0.25">
      <c r="A4306" t="s">
        <v>8</v>
      </c>
      <c r="B4306" t="s">
        <v>12291</v>
      </c>
      <c r="C4306" t="s">
        <v>12292</v>
      </c>
      <c r="D4306">
        <v>1</v>
      </c>
      <c r="E4306" t="s">
        <v>12227</v>
      </c>
      <c r="F4306" t="s">
        <v>12228</v>
      </c>
      <c r="G4306" s="1"/>
      <c r="H4306" t="str">
        <f>"4012740138208"</f>
        <v>4012740138208</v>
      </c>
      <c r="J4306" t="s">
        <v>12293</v>
      </c>
    </row>
    <row r="4307" spans="1:10" x14ac:dyDescent="0.25">
      <c r="A4307" t="s">
        <v>8</v>
      </c>
      <c r="B4307" t="s">
        <v>12294</v>
      </c>
      <c r="C4307" t="s">
        <v>12295</v>
      </c>
      <c r="D4307">
        <v>1</v>
      </c>
      <c r="E4307" t="s">
        <v>12227</v>
      </c>
      <c r="F4307" t="s">
        <v>12228</v>
      </c>
      <c r="G4307" s="1"/>
      <c r="H4307" t="str">
        <f>"4012740138192"</f>
        <v>4012740138192</v>
      </c>
      <c r="J4307" t="s">
        <v>12296</v>
      </c>
    </row>
    <row r="4308" spans="1:10" x14ac:dyDescent="0.25">
      <c r="A4308" t="s">
        <v>8</v>
      </c>
      <c r="B4308" t="s">
        <v>12297</v>
      </c>
      <c r="C4308" t="s">
        <v>12298</v>
      </c>
      <c r="D4308">
        <v>1</v>
      </c>
      <c r="E4308" t="s">
        <v>12227</v>
      </c>
      <c r="F4308" t="s">
        <v>12228</v>
      </c>
      <c r="G4308" s="1"/>
      <c r="H4308" t="str">
        <f>"4012740306980"</f>
        <v>4012740306980</v>
      </c>
      <c r="J4308" t="s">
        <v>12299</v>
      </c>
    </row>
    <row r="4309" spans="1:10" x14ac:dyDescent="0.25">
      <c r="A4309" t="s">
        <v>8</v>
      </c>
      <c r="B4309" t="s">
        <v>12300</v>
      </c>
      <c r="C4309" t="s">
        <v>12301</v>
      </c>
      <c r="D4309">
        <v>1</v>
      </c>
      <c r="E4309" t="s">
        <v>12227</v>
      </c>
      <c r="F4309" t="s">
        <v>12228</v>
      </c>
      <c r="G4309" s="1"/>
      <c r="H4309" t="str">
        <f>"4012740152624"</f>
        <v>4012740152624</v>
      </c>
      <c r="J4309" t="s">
        <v>12302</v>
      </c>
    </row>
    <row r="4310" spans="1:10" x14ac:dyDescent="0.25">
      <c r="A4310" t="s">
        <v>8</v>
      </c>
      <c r="B4310" t="s">
        <v>12303</v>
      </c>
      <c r="C4310" t="s">
        <v>12304</v>
      </c>
      <c r="D4310">
        <v>1</v>
      </c>
      <c r="E4310" t="s">
        <v>12227</v>
      </c>
      <c r="F4310" t="s">
        <v>12228</v>
      </c>
      <c r="G4310" s="1"/>
      <c r="H4310" t="str">
        <f>"4012740193689"</f>
        <v>4012740193689</v>
      </c>
      <c r="J4310" t="s">
        <v>12305</v>
      </c>
    </row>
    <row r="4311" spans="1:10" x14ac:dyDescent="0.25">
      <c r="A4311" t="s">
        <v>8</v>
      </c>
      <c r="B4311" t="s">
        <v>12306</v>
      </c>
      <c r="C4311" t="s">
        <v>12307</v>
      </c>
      <c r="D4311">
        <v>1</v>
      </c>
      <c r="E4311" t="s">
        <v>12227</v>
      </c>
      <c r="F4311" t="s">
        <v>12228</v>
      </c>
      <c r="G4311" s="1"/>
      <c r="H4311" t="str">
        <f>"4012740276870"</f>
        <v>4012740276870</v>
      </c>
      <c r="J4311" t="s">
        <v>12308</v>
      </c>
    </row>
    <row r="4312" spans="1:10" x14ac:dyDescent="0.25">
      <c r="A4312" t="s">
        <v>8</v>
      </c>
      <c r="B4312" t="s">
        <v>12309</v>
      </c>
      <c r="C4312" t="s">
        <v>12310</v>
      </c>
      <c r="D4312">
        <v>1</v>
      </c>
      <c r="E4312" t="s">
        <v>12227</v>
      </c>
      <c r="F4312" t="s">
        <v>12228</v>
      </c>
      <c r="G4312" s="1"/>
      <c r="H4312" t="str">
        <f>"4012740276887"</f>
        <v>4012740276887</v>
      </c>
      <c r="J4312" t="s">
        <v>12311</v>
      </c>
    </row>
    <row r="4313" spans="1:10" x14ac:dyDescent="0.25">
      <c r="A4313" t="s">
        <v>8</v>
      </c>
      <c r="B4313" t="s">
        <v>12312</v>
      </c>
      <c r="C4313" t="s">
        <v>12313</v>
      </c>
      <c r="D4313">
        <v>1</v>
      </c>
      <c r="E4313" t="s">
        <v>12314</v>
      </c>
      <c r="F4313" t="s">
        <v>12315</v>
      </c>
      <c r="G4313" s="1"/>
      <c r="H4313" t="str">
        <f>"4012740864411"</f>
        <v>4012740864411</v>
      </c>
      <c r="J4313" t="s">
        <v>12316</v>
      </c>
    </row>
    <row r="4314" spans="1:10" x14ac:dyDescent="0.25">
      <c r="A4314" t="s">
        <v>8</v>
      </c>
      <c r="B4314" t="s">
        <v>12317</v>
      </c>
      <c r="C4314" t="s">
        <v>12318</v>
      </c>
      <c r="D4314">
        <v>1</v>
      </c>
      <c r="E4314" t="s">
        <v>12314</v>
      </c>
      <c r="F4314" t="s">
        <v>12315</v>
      </c>
      <c r="G4314" s="1"/>
      <c r="H4314" t="str">
        <f>"4012740864633"</f>
        <v>4012740864633</v>
      </c>
      <c r="I4314" s="1"/>
      <c r="J4314" t="s">
        <v>12319</v>
      </c>
    </row>
    <row r="4315" spans="1:10" x14ac:dyDescent="0.25">
      <c r="A4315" t="s">
        <v>8</v>
      </c>
      <c r="B4315" t="s">
        <v>12320</v>
      </c>
      <c r="C4315" t="s">
        <v>12321</v>
      </c>
      <c r="D4315">
        <v>1</v>
      </c>
      <c r="E4315" t="s">
        <v>12314</v>
      </c>
      <c r="F4315" t="s">
        <v>12315</v>
      </c>
      <c r="G4315" s="1"/>
      <c r="H4315" t="str">
        <f>"4012740865067"</f>
        <v>4012740865067</v>
      </c>
      <c r="J4315" t="s">
        <v>12322</v>
      </c>
    </row>
    <row r="4316" spans="1:10" x14ac:dyDescent="0.25">
      <c r="A4316" t="s">
        <v>8</v>
      </c>
      <c r="B4316" t="s">
        <v>12323</v>
      </c>
      <c r="C4316" t="s">
        <v>12324</v>
      </c>
      <c r="D4316">
        <v>1</v>
      </c>
      <c r="E4316" t="s">
        <v>12314</v>
      </c>
      <c r="F4316" t="s">
        <v>12315</v>
      </c>
      <c r="G4316" s="1"/>
      <c r="H4316" t="str">
        <f>"4012740865234"</f>
        <v>4012740865234</v>
      </c>
      <c r="J4316" t="s">
        <v>12326</v>
      </c>
    </row>
    <row r="4317" spans="1:10" x14ac:dyDescent="0.25">
      <c r="A4317" t="s">
        <v>8</v>
      </c>
      <c r="B4317" t="s">
        <v>12327</v>
      </c>
      <c r="C4317" t="s">
        <v>12328</v>
      </c>
      <c r="D4317">
        <v>1</v>
      </c>
      <c r="E4317" t="s">
        <v>12314</v>
      </c>
      <c r="F4317" t="s">
        <v>12315</v>
      </c>
      <c r="G4317" s="1"/>
      <c r="H4317" t="str">
        <f>"4012740865258"</f>
        <v>4012740865258</v>
      </c>
      <c r="J4317" t="s">
        <v>12329</v>
      </c>
    </row>
    <row r="4318" spans="1:10" x14ac:dyDescent="0.25">
      <c r="A4318" t="s">
        <v>8</v>
      </c>
      <c r="B4318" t="s">
        <v>12330</v>
      </c>
      <c r="C4318" t="s">
        <v>12331</v>
      </c>
      <c r="D4318">
        <v>1</v>
      </c>
      <c r="E4318" t="s">
        <v>12314</v>
      </c>
      <c r="F4318" t="s">
        <v>12315</v>
      </c>
      <c r="G4318" s="1"/>
      <c r="H4318" t="str">
        <f>"4012740016612"</f>
        <v>4012740016612</v>
      </c>
      <c r="J4318" t="s">
        <v>12332</v>
      </c>
    </row>
    <row r="4319" spans="1:10" x14ac:dyDescent="0.25">
      <c r="A4319" t="s">
        <v>8</v>
      </c>
      <c r="B4319" t="s">
        <v>12333</v>
      </c>
      <c r="C4319" t="s">
        <v>12334</v>
      </c>
      <c r="D4319">
        <v>1</v>
      </c>
      <c r="E4319" t="s">
        <v>12314</v>
      </c>
      <c r="F4319" t="s">
        <v>12315</v>
      </c>
      <c r="G4319" s="1"/>
      <c r="H4319" t="str">
        <f>"4012740016643"</f>
        <v>4012740016643</v>
      </c>
      <c r="J4319" t="s">
        <v>12335</v>
      </c>
    </row>
    <row r="4320" spans="1:10" x14ac:dyDescent="0.25">
      <c r="A4320" t="s">
        <v>8</v>
      </c>
      <c r="B4320" t="s">
        <v>12336</v>
      </c>
      <c r="C4320" t="s">
        <v>12337</v>
      </c>
      <c r="D4320">
        <v>1</v>
      </c>
      <c r="E4320" t="s">
        <v>12314</v>
      </c>
      <c r="F4320" t="s">
        <v>12315</v>
      </c>
      <c r="G4320" s="1"/>
      <c r="H4320" t="str">
        <f>"4012740016742"</f>
        <v>4012740016742</v>
      </c>
      <c r="J4320" s="1">
        <v>3</v>
      </c>
    </row>
    <row r="4321" spans="1:10" x14ac:dyDescent="0.25">
      <c r="A4321" t="s">
        <v>8</v>
      </c>
      <c r="B4321" t="s">
        <v>12338</v>
      </c>
      <c r="C4321" t="s">
        <v>12339</v>
      </c>
      <c r="D4321">
        <v>1</v>
      </c>
      <c r="E4321" t="s">
        <v>12314</v>
      </c>
      <c r="F4321" t="s">
        <v>12315</v>
      </c>
      <c r="G4321" s="1"/>
      <c r="H4321" t="str">
        <f>"4012740016773"</f>
        <v>4012740016773</v>
      </c>
      <c r="J4321" t="s">
        <v>12340</v>
      </c>
    </row>
    <row r="4322" spans="1:10" x14ac:dyDescent="0.25">
      <c r="A4322" t="s">
        <v>8</v>
      </c>
      <c r="B4322" t="s">
        <v>12341</v>
      </c>
      <c r="C4322" t="s">
        <v>12342</v>
      </c>
      <c r="D4322">
        <v>1</v>
      </c>
      <c r="E4322" t="s">
        <v>12314</v>
      </c>
      <c r="F4322" t="s">
        <v>12315</v>
      </c>
      <c r="G4322" s="1"/>
      <c r="H4322" t="str">
        <f>"4012740016872"</f>
        <v>4012740016872</v>
      </c>
      <c r="J4322" t="s">
        <v>12343</v>
      </c>
    </row>
    <row r="4323" spans="1:10" x14ac:dyDescent="0.25">
      <c r="A4323" t="s">
        <v>8</v>
      </c>
      <c r="B4323" t="s">
        <v>12344</v>
      </c>
      <c r="C4323" t="s">
        <v>12345</v>
      </c>
      <c r="D4323">
        <v>1</v>
      </c>
      <c r="E4323" t="s">
        <v>12314</v>
      </c>
      <c r="F4323" t="s">
        <v>12315</v>
      </c>
      <c r="G4323" s="1"/>
      <c r="H4323" t="str">
        <f>"4012740016889"</f>
        <v>4012740016889</v>
      </c>
      <c r="J4323" t="s">
        <v>12346</v>
      </c>
    </row>
    <row r="4324" spans="1:10" x14ac:dyDescent="0.25">
      <c r="A4324" t="s">
        <v>8</v>
      </c>
      <c r="B4324" t="s">
        <v>12347</v>
      </c>
      <c r="C4324" t="s">
        <v>12348</v>
      </c>
      <c r="D4324">
        <v>1</v>
      </c>
      <c r="E4324" t="s">
        <v>12314</v>
      </c>
      <c r="F4324" t="s">
        <v>12315</v>
      </c>
      <c r="G4324" s="1"/>
      <c r="H4324" t="str">
        <f>"4012740016902"</f>
        <v>4012740016902</v>
      </c>
      <c r="J4324" t="s">
        <v>12349</v>
      </c>
    </row>
    <row r="4325" spans="1:10" x14ac:dyDescent="0.25">
      <c r="A4325" t="s">
        <v>8</v>
      </c>
      <c r="B4325" t="s">
        <v>12350</v>
      </c>
      <c r="C4325" t="s">
        <v>12351</v>
      </c>
      <c r="D4325">
        <v>1</v>
      </c>
      <c r="E4325" t="s">
        <v>12314</v>
      </c>
      <c r="F4325" t="s">
        <v>12315</v>
      </c>
      <c r="G4325" s="1"/>
      <c r="H4325" t="str">
        <f>"4012740017008"</f>
        <v>4012740017008</v>
      </c>
      <c r="J4325" t="s">
        <v>12352</v>
      </c>
    </row>
    <row r="4326" spans="1:10" x14ac:dyDescent="0.25">
      <c r="A4326" t="s">
        <v>8</v>
      </c>
      <c r="B4326" t="s">
        <v>12353</v>
      </c>
      <c r="C4326" t="s">
        <v>12354</v>
      </c>
      <c r="D4326">
        <v>1</v>
      </c>
      <c r="E4326" t="s">
        <v>12314</v>
      </c>
      <c r="F4326" t="s">
        <v>12315</v>
      </c>
      <c r="G4326" s="1"/>
      <c r="H4326" t="str">
        <f>"4012740017039"</f>
        <v>4012740017039</v>
      </c>
      <c r="J4326" t="s">
        <v>12355</v>
      </c>
    </row>
    <row r="4327" spans="1:10" x14ac:dyDescent="0.25">
      <c r="A4327" t="s">
        <v>8</v>
      </c>
      <c r="B4327" t="s">
        <v>12356</v>
      </c>
      <c r="C4327" t="s">
        <v>12357</v>
      </c>
      <c r="D4327">
        <v>1</v>
      </c>
      <c r="E4327" t="s">
        <v>12314</v>
      </c>
      <c r="F4327" t="s">
        <v>12315</v>
      </c>
      <c r="G4327" s="1"/>
      <c r="H4327" t="str">
        <f>"4012740017107"</f>
        <v>4012740017107</v>
      </c>
      <c r="J4327" t="s">
        <v>12358</v>
      </c>
    </row>
    <row r="4328" spans="1:10" x14ac:dyDescent="0.25">
      <c r="A4328" t="s">
        <v>8</v>
      </c>
      <c r="B4328" t="s">
        <v>12359</v>
      </c>
      <c r="C4328" t="s">
        <v>12360</v>
      </c>
      <c r="D4328">
        <v>1</v>
      </c>
      <c r="E4328" t="s">
        <v>12314</v>
      </c>
      <c r="F4328" t="s">
        <v>12315</v>
      </c>
      <c r="G4328" s="1"/>
      <c r="H4328" t="str">
        <f>"4012740017114"</f>
        <v>4012740017114</v>
      </c>
      <c r="J4328" t="s">
        <v>12361</v>
      </c>
    </row>
    <row r="4329" spans="1:10" x14ac:dyDescent="0.25">
      <c r="A4329" t="s">
        <v>8</v>
      </c>
      <c r="B4329" t="s">
        <v>12362</v>
      </c>
      <c r="C4329" t="s">
        <v>12363</v>
      </c>
      <c r="D4329">
        <v>1</v>
      </c>
      <c r="E4329" t="s">
        <v>12314</v>
      </c>
      <c r="F4329" t="s">
        <v>12315</v>
      </c>
      <c r="G4329" s="1"/>
      <c r="H4329" t="str">
        <f>"4012740017138"</f>
        <v>4012740017138</v>
      </c>
      <c r="J4329" t="s">
        <v>12364</v>
      </c>
    </row>
    <row r="4330" spans="1:10" x14ac:dyDescent="0.25">
      <c r="A4330" t="s">
        <v>8</v>
      </c>
      <c r="B4330" t="s">
        <v>12365</v>
      </c>
      <c r="C4330" t="s">
        <v>12366</v>
      </c>
      <c r="D4330">
        <v>1</v>
      </c>
      <c r="E4330" t="s">
        <v>12314</v>
      </c>
      <c r="F4330" t="s">
        <v>12315</v>
      </c>
      <c r="G4330" s="1"/>
      <c r="H4330" t="str">
        <f>"4012740017206"</f>
        <v>4012740017206</v>
      </c>
      <c r="J4330" t="s">
        <v>12367</v>
      </c>
    </row>
    <row r="4331" spans="1:10" x14ac:dyDescent="0.25">
      <c r="A4331" t="s">
        <v>8</v>
      </c>
      <c r="B4331" t="s">
        <v>12368</v>
      </c>
      <c r="C4331" t="s">
        <v>12369</v>
      </c>
      <c r="D4331">
        <v>1</v>
      </c>
      <c r="E4331" t="s">
        <v>12314</v>
      </c>
      <c r="F4331" t="s">
        <v>12315</v>
      </c>
      <c r="G4331" s="1"/>
      <c r="H4331" t="str">
        <f>"4012740017275"</f>
        <v>4012740017275</v>
      </c>
      <c r="J4331" t="s">
        <v>12370</v>
      </c>
    </row>
    <row r="4332" spans="1:10" x14ac:dyDescent="0.25">
      <c r="A4332" t="s">
        <v>8</v>
      </c>
      <c r="B4332" t="s">
        <v>12371</v>
      </c>
      <c r="C4332" t="s">
        <v>12372</v>
      </c>
      <c r="D4332">
        <v>1</v>
      </c>
      <c r="E4332" t="s">
        <v>12373</v>
      </c>
      <c r="F4332" t="s">
        <v>12374</v>
      </c>
      <c r="G4332" s="1"/>
      <c r="H4332" t="str">
        <f>"4012740864435"</f>
        <v>4012740864435</v>
      </c>
      <c r="J4332" t="s">
        <v>12375</v>
      </c>
    </row>
    <row r="4333" spans="1:10" x14ac:dyDescent="0.25">
      <c r="A4333" t="s">
        <v>8</v>
      </c>
      <c r="B4333" t="s">
        <v>12376</v>
      </c>
      <c r="C4333" t="s">
        <v>12377</v>
      </c>
      <c r="D4333">
        <v>1</v>
      </c>
      <c r="E4333" t="s">
        <v>12373</v>
      </c>
      <c r="F4333" t="s">
        <v>12374</v>
      </c>
      <c r="G4333" s="1"/>
      <c r="H4333" t="str">
        <f>"4012740864442"</f>
        <v>4012740864442</v>
      </c>
      <c r="J4333" t="s">
        <v>12379</v>
      </c>
    </row>
    <row r="4334" spans="1:10" x14ac:dyDescent="0.25">
      <c r="A4334" t="s">
        <v>8</v>
      </c>
      <c r="B4334" t="s">
        <v>12380</v>
      </c>
      <c r="C4334" t="s">
        <v>12381</v>
      </c>
      <c r="D4334">
        <v>1</v>
      </c>
      <c r="E4334" t="s">
        <v>12373</v>
      </c>
      <c r="F4334" t="s">
        <v>12374</v>
      </c>
      <c r="G4334" s="1"/>
      <c r="H4334" t="str">
        <f>"4012740864459"</f>
        <v>4012740864459</v>
      </c>
      <c r="J4334" t="s">
        <v>12382</v>
      </c>
    </row>
    <row r="4335" spans="1:10" x14ac:dyDescent="0.25">
      <c r="A4335" t="s">
        <v>8</v>
      </c>
      <c r="B4335" t="s">
        <v>12383</v>
      </c>
      <c r="C4335" t="s">
        <v>12384</v>
      </c>
      <c r="D4335">
        <v>1</v>
      </c>
      <c r="E4335" t="s">
        <v>12373</v>
      </c>
      <c r="F4335" t="s">
        <v>12374</v>
      </c>
      <c r="G4335" s="1"/>
      <c r="H4335" t="str">
        <f>"4012740864466"</f>
        <v>4012740864466</v>
      </c>
      <c r="J4335" t="s">
        <v>9131</v>
      </c>
    </row>
    <row r="4336" spans="1:10" x14ac:dyDescent="0.25">
      <c r="A4336" t="s">
        <v>8</v>
      </c>
      <c r="B4336" t="s">
        <v>12385</v>
      </c>
      <c r="C4336" t="s">
        <v>12386</v>
      </c>
      <c r="D4336">
        <v>1</v>
      </c>
      <c r="E4336" t="s">
        <v>12373</v>
      </c>
      <c r="F4336" t="s">
        <v>12374</v>
      </c>
      <c r="G4336" s="1"/>
      <c r="H4336" t="str">
        <f>"4012740864473"</f>
        <v>4012740864473</v>
      </c>
      <c r="J4336" t="s">
        <v>12387</v>
      </c>
    </row>
    <row r="4337" spans="1:10" x14ac:dyDescent="0.25">
      <c r="A4337" t="s">
        <v>8</v>
      </c>
      <c r="B4337" t="s">
        <v>12388</v>
      </c>
      <c r="C4337" t="s">
        <v>12389</v>
      </c>
      <c r="D4337">
        <v>1</v>
      </c>
      <c r="E4337" t="s">
        <v>12373</v>
      </c>
      <c r="F4337" t="s">
        <v>12374</v>
      </c>
      <c r="G4337" s="1"/>
      <c r="H4337" t="str">
        <f>"4012740864480"</f>
        <v>4012740864480</v>
      </c>
      <c r="J4337" t="s">
        <v>12390</v>
      </c>
    </row>
    <row r="4338" spans="1:10" x14ac:dyDescent="0.25">
      <c r="A4338" t="s">
        <v>8</v>
      </c>
      <c r="B4338" t="s">
        <v>12391</v>
      </c>
      <c r="C4338" t="s">
        <v>12392</v>
      </c>
      <c r="D4338">
        <v>1</v>
      </c>
      <c r="E4338" t="s">
        <v>12373</v>
      </c>
      <c r="F4338" t="s">
        <v>12374</v>
      </c>
      <c r="G4338" s="1"/>
      <c r="H4338" t="str">
        <f>"4012740864657"</f>
        <v>4012740864657</v>
      </c>
      <c r="J4338" t="s">
        <v>12393</v>
      </c>
    </row>
    <row r="4339" spans="1:10" x14ac:dyDescent="0.25">
      <c r="A4339" t="s">
        <v>8</v>
      </c>
      <c r="B4339" t="s">
        <v>12394</v>
      </c>
      <c r="C4339" t="s">
        <v>12395</v>
      </c>
      <c r="D4339">
        <v>1</v>
      </c>
      <c r="E4339" t="s">
        <v>12373</v>
      </c>
      <c r="F4339" t="s">
        <v>12374</v>
      </c>
      <c r="G4339" s="1"/>
      <c r="H4339" t="str">
        <f>"4012740864664"</f>
        <v>4012740864664</v>
      </c>
      <c r="J4339" t="s">
        <v>12393</v>
      </c>
    </row>
    <row r="4340" spans="1:10" x14ac:dyDescent="0.25">
      <c r="A4340" t="s">
        <v>8</v>
      </c>
      <c r="B4340" t="s">
        <v>12396</v>
      </c>
      <c r="C4340" t="s">
        <v>12397</v>
      </c>
      <c r="D4340">
        <v>1</v>
      </c>
      <c r="E4340" t="s">
        <v>12373</v>
      </c>
      <c r="F4340" t="s">
        <v>12374</v>
      </c>
      <c r="G4340" s="1"/>
      <c r="H4340" t="str">
        <f>"4012740864671"</f>
        <v>4012740864671</v>
      </c>
      <c r="J4340" t="s">
        <v>12398</v>
      </c>
    </row>
    <row r="4341" spans="1:10" x14ac:dyDescent="0.25">
      <c r="A4341" t="s">
        <v>8</v>
      </c>
      <c r="B4341" t="s">
        <v>12399</v>
      </c>
      <c r="C4341" t="s">
        <v>12400</v>
      </c>
      <c r="D4341">
        <v>1</v>
      </c>
      <c r="E4341" t="s">
        <v>12373</v>
      </c>
      <c r="F4341" t="s">
        <v>12374</v>
      </c>
      <c r="G4341" s="1"/>
      <c r="H4341" t="str">
        <f>"4012740864688"</f>
        <v>4012740864688</v>
      </c>
      <c r="J4341" t="s">
        <v>9131</v>
      </c>
    </row>
    <row r="4342" spans="1:10" x14ac:dyDescent="0.25">
      <c r="A4342" t="s">
        <v>8</v>
      </c>
      <c r="B4342" t="s">
        <v>12401</v>
      </c>
      <c r="C4342" t="s">
        <v>12402</v>
      </c>
      <c r="D4342">
        <v>1</v>
      </c>
      <c r="E4342" t="s">
        <v>12373</v>
      </c>
      <c r="F4342" t="s">
        <v>12374</v>
      </c>
      <c r="G4342" s="1"/>
      <c r="H4342" t="str">
        <f>"4012740864695"</f>
        <v>4012740864695</v>
      </c>
      <c r="J4342" t="s">
        <v>12403</v>
      </c>
    </row>
    <row r="4343" spans="1:10" x14ac:dyDescent="0.25">
      <c r="A4343" t="s">
        <v>8</v>
      </c>
      <c r="B4343" t="s">
        <v>12404</v>
      </c>
      <c r="C4343" t="s">
        <v>12405</v>
      </c>
      <c r="D4343">
        <v>1</v>
      </c>
      <c r="E4343" t="s">
        <v>12373</v>
      </c>
      <c r="F4343" t="s">
        <v>12374</v>
      </c>
      <c r="G4343" s="1"/>
      <c r="H4343" t="str">
        <f>"4012740864701"</f>
        <v>4012740864701</v>
      </c>
      <c r="J4343" t="s">
        <v>12406</v>
      </c>
    </row>
    <row r="4344" spans="1:10" x14ac:dyDescent="0.25">
      <c r="A4344" t="s">
        <v>8</v>
      </c>
      <c r="B4344" t="s">
        <v>12407</v>
      </c>
      <c r="C4344" t="s">
        <v>12408</v>
      </c>
      <c r="D4344">
        <v>1</v>
      </c>
      <c r="E4344" t="s">
        <v>12373</v>
      </c>
      <c r="F4344" t="s">
        <v>12374</v>
      </c>
      <c r="G4344" s="1"/>
      <c r="H4344" t="str">
        <f>"4012740865081"</f>
        <v>4012740865081</v>
      </c>
      <c r="J4344" t="s">
        <v>12409</v>
      </c>
    </row>
    <row r="4345" spans="1:10" x14ac:dyDescent="0.25">
      <c r="A4345" t="s">
        <v>8</v>
      </c>
      <c r="B4345" t="s">
        <v>12410</v>
      </c>
      <c r="C4345" t="s">
        <v>12411</v>
      </c>
      <c r="D4345">
        <v>1</v>
      </c>
      <c r="E4345" t="s">
        <v>12373</v>
      </c>
      <c r="F4345" t="s">
        <v>12374</v>
      </c>
      <c r="G4345" s="1"/>
      <c r="H4345" t="str">
        <f>"4012740865098"</f>
        <v>4012740865098</v>
      </c>
      <c r="J4345" t="s">
        <v>12409</v>
      </c>
    </row>
    <row r="4346" spans="1:10" x14ac:dyDescent="0.25">
      <c r="A4346" t="s">
        <v>8</v>
      </c>
      <c r="B4346" t="s">
        <v>12412</v>
      </c>
      <c r="C4346" t="s">
        <v>12413</v>
      </c>
      <c r="D4346">
        <v>1</v>
      </c>
      <c r="E4346" t="s">
        <v>12373</v>
      </c>
      <c r="F4346" t="s">
        <v>12374</v>
      </c>
      <c r="G4346" s="1"/>
      <c r="H4346" t="str">
        <f>"4012740865104"</f>
        <v>4012740865104</v>
      </c>
      <c r="J4346" t="s">
        <v>12414</v>
      </c>
    </row>
    <row r="4347" spans="1:10" x14ac:dyDescent="0.25">
      <c r="A4347" t="s">
        <v>8</v>
      </c>
      <c r="B4347" t="s">
        <v>12415</v>
      </c>
      <c r="C4347" t="s">
        <v>12416</v>
      </c>
      <c r="D4347">
        <v>1</v>
      </c>
      <c r="E4347" t="s">
        <v>12373</v>
      </c>
      <c r="F4347" t="s">
        <v>12374</v>
      </c>
      <c r="G4347" s="1"/>
      <c r="H4347" t="str">
        <f>"4012740865111"</f>
        <v>4012740865111</v>
      </c>
      <c r="J4347" t="s">
        <v>12417</v>
      </c>
    </row>
    <row r="4348" spans="1:10" x14ac:dyDescent="0.25">
      <c r="A4348" t="s">
        <v>8</v>
      </c>
      <c r="B4348" t="s">
        <v>12418</v>
      </c>
      <c r="C4348" t="s">
        <v>12419</v>
      </c>
      <c r="D4348">
        <v>1</v>
      </c>
      <c r="E4348" t="s">
        <v>12373</v>
      </c>
      <c r="F4348" t="s">
        <v>12374</v>
      </c>
      <c r="G4348" s="1"/>
      <c r="H4348" t="str">
        <f>"4012740865128"</f>
        <v>4012740865128</v>
      </c>
      <c r="J4348" t="s">
        <v>12420</v>
      </c>
    </row>
    <row r="4349" spans="1:10" x14ac:dyDescent="0.25">
      <c r="A4349" t="s">
        <v>8</v>
      </c>
      <c r="B4349" t="s">
        <v>12421</v>
      </c>
      <c r="C4349" t="s">
        <v>12422</v>
      </c>
      <c r="D4349">
        <v>1</v>
      </c>
      <c r="E4349" t="s">
        <v>12373</v>
      </c>
      <c r="F4349" t="s">
        <v>12374</v>
      </c>
      <c r="G4349" s="1"/>
      <c r="H4349" t="str">
        <f>"4012740865135"</f>
        <v>4012740865135</v>
      </c>
      <c r="J4349" t="s">
        <v>12423</v>
      </c>
    </row>
    <row r="4350" spans="1:10" x14ac:dyDescent="0.25">
      <c r="A4350" t="s">
        <v>8</v>
      </c>
      <c r="B4350" t="s">
        <v>12424</v>
      </c>
      <c r="C4350" t="s">
        <v>12425</v>
      </c>
      <c r="D4350">
        <v>1</v>
      </c>
      <c r="E4350" t="s">
        <v>12373</v>
      </c>
      <c r="F4350" t="s">
        <v>12374</v>
      </c>
      <c r="G4350" s="1"/>
      <c r="H4350" t="str">
        <f>"4012740865265"</f>
        <v>4012740865265</v>
      </c>
      <c r="J4350" t="s">
        <v>12426</v>
      </c>
    </row>
    <row r="4351" spans="1:10" x14ac:dyDescent="0.25">
      <c r="A4351" t="s">
        <v>8</v>
      </c>
      <c r="B4351" t="s">
        <v>12427</v>
      </c>
      <c r="C4351" t="s">
        <v>12428</v>
      </c>
      <c r="D4351">
        <v>1</v>
      </c>
      <c r="E4351" t="s">
        <v>12373</v>
      </c>
      <c r="F4351" t="s">
        <v>12374</v>
      </c>
      <c r="G4351" s="1"/>
      <c r="H4351" t="str">
        <f>"4012740865272"</f>
        <v>4012740865272</v>
      </c>
      <c r="J4351" t="s">
        <v>12429</v>
      </c>
    </row>
    <row r="4352" spans="1:10" x14ac:dyDescent="0.25">
      <c r="A4352" t="s">
        <v>8</v>
      </c>
      <c r="B4352" t="s">
        <v>12430</v>
      </c>
      <c r="C4352" t="s">
        <v>12431</v>
      </c>
      <c r="D4352">
        <v>1</v>
      </c>
      <c r="E4352" t="s">
        <v>12373</v>
      </c>
      <c r="F4352" t="s">
        <v>12374</v>
      </c>
      <c r="G4352" s="1"/>
      <c r="H4352" t="str">
        <f>"4012740865289"</f>
        <v>4012740865289</v>
      </c>
      <c r="J4352" t="s">
        <v>12432</v>
      </c>
    </row>
    <row r="4353" spans="1:10" x14ac:dyDescent="0.25">
      <c r="A4353" t="s">
        <v>8</v>
      </c>
      <c r="B4353" t="s">
        <v>12433</v>
      </c>
      <c r="C4353" t="s">
        <v>12434</v>
      </c>
      <c r="D4353">
        <v>1</v>
      </c>
      <c r="E4353" t="s">
        <v>12373</v>
      </c>
      <c r="F4353" t="s">
        <v>12374</v>
      </c>
      <c r="G4353" s="1"/>
      <c r="H4353" t="str">
        <f>"4012740865296"</f>
        <v>4012740865296</v>
      </c>
      <c r="J4353" t="s">
        <v>12435</v>
      </c>
    </row>
    <row r="4354" spans="1:10" x14ac:dyDescent="0.25">
      <c r="A4354" t="s">
        <v>8</v>
      </c>
      <c r="B4354" t="s">
        <v>12436</v>
      </c>
      <c r="C4354" t="s">
        <v>12437</v>
      </c>
      <c r="D4354">
        <v>1</v>
      </c>
      <c r="E4354" t="s">
        <v>12373</v>
      </c>
      <c r="F4354" t="s">
        <v>12374</v>
      </c>
      <c r="G4354" s="1"/>
      <c r="H4354" t="str">
        <f>"4012740865319"</f>
        <v>4012740865319</v>
      </c>
      <c r="J4354" t="s">
        <v>12438</v>
      </c>
    </row>
    <row r="4355" spans="1:10" x14ac:dyDescent="0.25">
      <c r="A4355" t="s">
        <v>8</v>
      </c>
      <c r="B4355" t="s">
        <v>12439</v>
      </c>
      <c r="C4355" t="s">
        <v>12440</v>
      </c>
      <c r="D4355">
        <v>1</v>
      </c>
      <c r="E4355" t="s">
        <v>12373</v>
      </c>
      <c r="F4355" t="s">
        <v>12374</v>
      </c>
      <c r="G4355" s="1"/>
      <c r="H4355" t="str">
        <f>"4012740016650"</f>
        <v>4012740016650</v>
      </c>
      <c r="J4355" t="s">
        <v>12441</v>
      </c>
    </row>
    <row r="4356" spans="1:10" x14ac:dyDescent="0.25">
      <c r="A4356" t="s">
        <v>8</v>
      </c>
      <c r="B4356" t="s">
        <v>12442</v>
      </c>
      <c r="C4356" t="s">
        <v>12443</v>
      </c>
      <c r="D4356">
        <v>1</v>
      </c>
      <c r="E4356" t="s">
        <v>12373</v>
      </c>
      <c r="F4356" t="s">
        <v>12374</v>
      </c>
      <c r="G4356" s="1"/>
      <c r="H4356" t="str">
        <f>"4012740016667"</f>
        <v>4012740016667</v>
      </c>
      <c r="J4356" t="s">
        <v>12441</v>
      </c>
    </row>
    <row r="4357" spans="1:10" x14ac:dyDescent="0.25">
      <c r="A4357" t="s">
        <v>8</v>
      </c>
      <c r="B4357" t="s">
        <v>12444</v>
      </c>
      <c r="C4357" t="s">
        <v>12445</v>
      </c>
      <c r="D4357">
        <v>1</v>
      </c>
      <c r="E4357" t="s">
        <v>12373</v>
      </c>
      <c r="F4357" t="s">
        <v>12374</v>
      </c>
      <c r="G4357" s="1"/>
      <c r="H4357" t="str">
        <f>"4012740016674"</f>
        <v>4012740016674</v>
      </c>
      <c r="J4357" t="s">
        <v>12446</v>
      </c>
    </row>
    <row r="4358" spans="1:10" x14ac:dyDescent="0.25">
      <c r="A4358" t="s">
        <v>8</v>
      </c>
      <c r="B4358" t="s">
        <v>12447</v>
      </c>
      <c r="C4358" t="s">
        <v>12448</v>
      </c>
      <c r="D4358">
        <v>1</v>
      </c>
      <c r="E4358" t="s">
        <v>12373</v>
      </c>
      <c r="F4358" t="s">
        <v>12374</v>
      </c>
      <c r="G4358" s="1"/>
      <c r="H4358" t="str">
        <f>"4012740016681"</f>
        <v>4012740016681</v>
      </c>
      <c r="J4358" t="s">
        <v>12449</v>
      </c>
    </row>
    <row r="4359" spans="1:10" x14ac:dyDescent="0.25">
      <c r="A4359" t="s">
        <v>8</v>
      </c>
      <c r="B4359" t="s">
        <v>12450</v>
      </c>
      <c r="C4359" t="s">
        <v>12451</v>
      </c>
      <c r="D4359">
        <v>1</v>
      </c>
      <c r="E4359" t="s">
        <v>12373</v>
      </c>
      <c r="F4359" t="s">
        <v>12374</v>
      </c>
      <c r="G4359" s="1"/>
      <c r="H4359" t="str">
        <f>"4012740016698"</f>
        <v>4012740016698</v>
      </c>
      <c r="J4359" t="s">
        <v>12452</v>
      </c>
    </row>
    <row r="4360" spans="1:10" x14ac:dyDescent="0.25">
      <c r="A4360" t="s">
        <v>8</v>
      </c>
      <c r="B4360" t="s">
        <v>12453</v>
      </c>
      <c r="C4360" t="s">
        <v>12454</v>
      </c>
      <c r="D4360">
        <v>1</v>
      </c>
      <c r="E4360" t="s">
        <v>12373</v>
      </c>
      <c r="F4360" t="s">
        <v>12374</v>
      </c>
      <c r="G4360" s="1"/>
      <c r="H4360" t="str">
        <f>"4012740016704"</f>
        <v>4012740016704</v>
      </c>
      <c r="J4360" t="s">
        <v>12455</v>
      </c>
    </row>
    <row r="4361" spans="1:10" x14ac:dyDescent="0.25">
      <c r="A4361" t="s">
        <v>8</v>
      </c>
      <c r="B4361" t="s">
        <v>12456</v>
      </c>
      <c r="C4361" t="s">
        <v>12457</v>
      </c>
      <c r="D4361">
        <v>1</v>
      </c>
      <c r="E4361" t="s">
        <v>12373</v>
      </c>
      <c r="F4361" t="s">
        <v>12374</v>
      </c>
      <c r="G4361" s="1"/>
      <c r="H4361" t="str">
        <f>"4012740016780"</f>
        <v>4012740016780</v>
      </c>
      <c r="J4361" t="s">
        <v>12458</v>
      </c>
    </row>
    <row r="4362" spans="1:10" x14ac:dyDescent="0.25">
      <c r="A4362" t="s">
        <v>8</v>
      </c>
      <c r="B4362" t="s">
        <v>12459</v>
      </c>
      <c r="C4362" t="s">
        <v>12460</v>
      </c>
      <c r="D4362">
        <v>1</v>
      </c>
      <c r="E4362" t="s">
        <v>12373</v>
      </c>
      <c r="F4362" t="s">
        <v>12374</v>
      </c>
      <c r="G4362" s="1"/>
      <c r="H4362" t="str">
        <f>"4012740016797"</f>
        <v>4012740016797</v>
      </c>
      <c r="J4362" t="s">
        <v>12458</v>
      </c>
    </row>
    <row r="4363" spans="1:10" x14ac:dyDescent="0.25">
      <c r="A4363" t="s">
        <v>8</v>
      </c>
      <c r="B4363" t="s">
        <v>12461</v>
      </c>
      <c r="C4363" t="s">
        <v>12462</v>
      </c>
      <c r="D4363">
        <v>1</v>
      </c>
      <c r="E4363" t="s">
        <v>12373</v>
      </c>
      <c r="F4363" t="s">
        <v>12374</v>
      </c>
      <c r="G4363" s="1"/>
      <c r="H4363" t="str">
        <f>"4012740016803"</f>
        <v>4012740016803</v>
      </c>
      <c r="J4363" t="s">
        <v>12463</v>
      </c>
    </row>
    <row r="4364" spans="1:10" x14ac:dyDescent="0.25">
      <c r="A4364" t="s">
        <v>8</v>
      </c>
      <c r="B4364" t="s">
        <v>12464</v>
      </c>
      <c r="C4364" t="s">
        <v>12465</v>
      </c>
      <c r="D4364">
        <v>1</v>
      </c>
      <c r="E4364" t="s">
        <v>12373</v>
      </c>
      <c r="F4364" t="s">
        <v>12374</v>
      </c>
      <c r="G4364" s="1"/>
      <c r="H4364" t="str">
        <f>"4012740016810"</f>
        <v>4012740016810</v>
      </c>
      <c r="J4364" t="s">
        <v>12449</v>
      </c>
    </row>
    <row r="4365" spans="1:10" x14ac:dyDescent="0.25">
      <c r="A4365" t="s">
        <v>8</v>
      </c>
      <c r="B4365" t="s">
        <v>12466</v>
      </c>
      <c r="C4365" t="s">
        <v>12467</v>
      </c>
      <c r="D4365">
        <v>1</v>
      </c>
      <c r="E4365" t="s">
        <v>12373</v>
      </c>
      <c r="F4365" t="s">
        <v>12374</v>
      </c>
      <c r="G4365" s="1"/>
      <c r="H4365" t="str">
        <f>"4012740016827"</f>
        <v>4012740016827</v>
      </c>
      <c r="J4365" t="s">
        <v>12458</v>
      </c>
    </row>
    <row r="4366" spans="1:10" x14ac:dyDescent="0.25">
      <c r="A4366" t="s">
        <v>8</v>
      </c>
      <c r="B4366" t="s">
        <v>12468</v>
      </c>
      <c r="C4366" t="s">
        <v>12469</v>
      </c>
      <c r="D4366">
        <v>1</v>
      </c>
      <c r="E4366" t="s">
        <v>12373</v>
      </c>
      <c r="F4366" t="s">
        <v>12374</v>
      </c>
      <c r="G4366" s="1"/>
      <c r="H4366" t="str">
        <f>"4012740016834"</f>
        <v>4012740016834</v>
      </c>
      <c r="J4366" t="s">
        <v>12470</v>
      </c>
    </row>
    <row r="4367" spans="1:10" x14ac:dyDescent="0.25">
      <c r="A4367" t="s">
        <v>8</v>
      </c>
      <c r="B4367" t="s">
        <v>12471</v>
      </c>
      <c r="C4367" t="s">
        <v>12472</v>
      </c>
      <c r="D4367">
        <v>1</v>
      </c>
      <c r="E4367" t="s">
        <v>12373</v>
      </c>
      <c r="F4367" t="s">
        <v>12374</v>
      </c>
      <c r="G4367" s="1"/>
      <c r="H4367" t="str">
        <f>"4012740016919"</f>
        <v>4012740016919</v>
      </c>
      <c r="J4367" t="s">
        <v>12473</v>
      </c>
    </row>
    <row r="4368" spans="1:10" x14ac:dyDescent="0.25">
      <c r="A4368" t="s">
        <v>8</v>
      </c>
      <c r="B4368" t="s">
        <v>12474</v>
      </c>
      <c r="C4368" t="s">
        <v>12475</v>
      </c>
      <c r="D4368">
        <v>1</v>
      </c>
      <c r="E4368" t="s">
        <v>12373</v>
      </c>
      <c r="F4368" t="s">
        <v>12374</v>
      </c>
      <c r="G4368" s="1"/>
      <c r="H4368" t="str">
        <f>"4012740016926"</f>
        <v>4012740016926</v>
      </c>
      <c r="J4368" t="s">
        <v>12473</v>
      </c>
    </row>
    <row r="4369" spans="1:10" x14ac:dyDescent="0.25">
      <c r="A4369" t="s">
        <v>8</v>
      </c>
      <c r="B4369" t="s">
        <v>12476</v>
      </c>
      <c r="C4369" t="s">
        <v>12477</v>
      </c>
      <c r="D4369">
        <v>1</v>
      </c>
      <c r="E4369" t="s">
        <v>12373</v>
      </c>
      <c r="F4369" t="s">
        <v>12374</v>
      </c>
      <c r="G4369" s="1"/>
      <c r="H4369" t="str">
        <f>"4012740016933"</f>
        <v>4012740016933</v>
      </c>
      <c r="J4369" t="s">
        <v>8967</v>
      </c>
    </row>
    <row r="4370" spans="1:10" x14ac:dyDescent="0.25">
      <c r="A4370" t="s">
        <v>8</v>
      </c>
      <c r="B4370" t="s">
        <v>12478</v>
      </c>
      <c r="C4370" t="s">
        <v>12479</v>
      </c>
      <c r="D4370">
        <v>1</v>
      </c>
      <c r="E4370" t="s">
        <v>12373</v>
      </c>
      <c r="F4370" t="s">
        <v>12374</v>
      </c>
      <c r="G4370" s="1"/>
      <c r="H4370" t="str">
        <f>"4012740016940"</f>
        <v>4012740016940</v>
      </c>
      <c r="J4370" t="s">
        <v>12480</v>
      </c>
    </row>
    <row r="4371" spans="1:10" x14ac:dyDescent="0.25">
      <c r="A4371" t="s">
        <v>8</v>
      </c>
      <c r="B4371" t="s">
        <v>12481</v>
      </c>
      <c r="C4371" t="s">
        <v>12482</v>
      </c>
      <c r="D4371">
        <v>1</v>
      </c>
      <c r="E4371" t="s">
        <v>12373</v>
      </c>
      <c r="F4371" t="s">
        <v>12374</v>
      </c>
      <c r="G4371" s="1"/>
      <c r="H4371" t="str">
        <f>"4012740016957"</f>
        <v>4012740016957</v>
      </c>
      <c r="J4371" t="s">
        <v>12483</v>
      </c>
    </row>
    <row r="4372" spans="1:10" x14ac:dyDescent="0.25">
      <c r="A4372" t="s">
        <v>8</v>
      </c>
      <c r="B4372" t="s">
        <v>12484</v>
      </c>
      <c r="C4372" t="s">
        <v>12485</v>
      </c>
      <c r="D4372">
        <v>1</v>
      </c>
      <c r="E4372" t="s">
        <v>12373</v>
      </c>
      <c r="F4372" t="s">
        <v>12374</v>
      </c>
      <c r="G4372" s="1"/>
      <c r="H4372" t="str">
        <f>"4012740016964"</f>
        <v>4012740016964</v>
      </c>
      <c r="J4372" t="s">
        <v>12486</v>
      </c>
    </row>
    <row r="4373" spans="1:10" x14ac:dyDescent="0.25">
      <c r="A4373" t="s">
        <v>8</v>
      </c>
      <c r="B4373" t="s">
        <v>12487</v>
      </c>
      <c r="C4373" t="s">
        <v>12488</v>
      </c>
      <c r="D4373">
        <v>1</v>
      </c>
      <c r="E4373" t="s">
        <v>12373</v>
      </c>
      <c r="F4373" t="s">
        <v>12374</v>
      </c>
      <c r="G4373" s="1"/>
      <c r="H4373" t="str">
        <f>"4012740017046"</f>
        <v>4012740017046</v>
      </c>
      <c r="J4373" t="s">
        <v>12489</v>
      </c>
    </row>
    <row r="4374" spans="1:10" x14ac:dyDescent="0.25">
      <c r="A4374" t="s">
        <v>8</v>
      </c>
      <c r="B4374" t="s">
        <v>12490</v>
      </c>
      <c r="C4374" t="s">
        <v>12491</v>
      </c>
      <c r="D4374">
        <v>1</v>
      </c>
      <c r="E4374" t="s">
        <v>12373</v>
      </c>
      <c r="F4374" t="s">
        <v>12374</v>
      </c>
      <c r="G4374" s="1"/>
      <c r="H4374" t="str">
        <f>"4012740017053"</f>
        <v>4012740017053</v>
      </c>
      <c r="J4374" t="s">
        <v>12489</v>
      </c>
    </row>
    <row r="4375" spans="1:10" x14ac:dyDescent="0.25">
      <c r="A4375" t="s">
        <v>8</v>
      </c>
      <c r="B4375" t="s">
        <v>12492</v>
      </c>
      <c r="C4375" t="s">
        <v>12493</v>
      </c>
      <c r="D4375">
        <v>1</v>
      </c>
      <c r="E4375" t="s">
        <v>12373</v>
      </c>
      <c r="F4375" t="s">
        <v>12374</v>
      </c>
      <c r="G4375" s="1"/>
      <c r="H4375" t="str">
        <f>"4012740017060"</f>
        <v>4012740017060</v>
      </c>
      <c r="J4375" t="s">
        <v>11608</v>
      </c>
    </row>
    <row r="4376" spans="1:10" x14ac:dyDescent="0.25">
      <c r="A4376" t="s">
        <v>8</v>
      </c>
      <c r="B4376" t="s">
        <v>12494</v>
      </c>
      <c r="C4376" t="s">
        <v>12495</v>
      </c>
      <c r="D4376">
        <v>1</v>
      </c>
      <c r="E4376" t="s">
        <v>12373</v>
      </c>
      <c r="F4376" t="s">
        <v>12374</v>
      </c>
      <c r="G4376" s="1"/>
      <c r="H4376" t="str">
        <f>"4012740017077"</f>
        <v>4012740017077</v>
      </c>
      <c r="J4376" t="s">
        <v>12496</v>
      </c>
    </row>
    <row r="4377" spans="1:10" x14ac:dyDescent="0.25">
      <c r="A4377" t="s">
        <v>8</v>
      </c>
      <c r="B4377" t="s">
        <v>12497</v>
      </c>
      <c r="C4377" t="s">
        <v>12498</v>
      </c>
      <c r="D4377">
        <v>1</v>
      </c>
      <c r="E4377" t="s">
        <v>12373</v>
      </c>
      <c r="F4377" t="s">
        <v>12374</v>
      </c>
      <c r="G4377" s="1"/>
      <c r="H4377" t="str">
        <f>"4012740017084"</f>
        <v>4012740017084</v>
      </c>
      <c r="J4377" t="s">
        <v>12499</v>
      </c>
    </row>
    <row r="4378" spans="1:10" x14ac:dyDescent="0.25">
      <c r="A4378" t="s">
        <v>8</v>
      </c>
      <c r="B4378" t="s">
        <v>12500</v>
      </c>
      <c r="C4378" t="s">
        <v>12501</v>
      </c>
      <c r="D4378">
        <v>1</v>
      </c>
      <c r="E4378" t="s">
        <v>12373</v>
      </c>
      <c r="F4378" t="s">
        <v>12374</v>
      </c>
      <c r="G4378" s="1"/>
      <c r="H4378" t="str">
        <f>"4012740017091"</f>
        <v>4012740017091</v>
      </c>
      <c r="J4378" t="s">
        <v>12502</v>
      </c>
    </row>
    <row r="4379" spans="1:10" x14ac:dyDescent="0.25">
      <c r="A4379" t="s">
        <v>8</v>
      </c>
      <c r="B4379" t="s">
        <v>12503</v>
      </c>
      <c r="C4379" t="s">
        <v>12504</v>
      </c>
      <c r="D4379">
        <v>1</v>
      </c>
      <c r="E4379" t="s">
        <v>12373</v>
      </c>
      <c r="F4379" t="s">
        <v>12374</v>
      </c>
      <c r="G4379" s="1"/>
      <c r="H4379" t="str">
        <f>"4012740017145"</f>
        <v>4012740017145</v>
      </c>
      <c r="J4379" t="s">
        <v>12505</v>
      </c>
    </row>
    <row r="4380" spans="1:10" x14ac:dyDescent="0.25">
      <c r="A4380" t="s">
        <v>8</v>
      </c>
      <c r="B4380" t="s">
        <v>12506</v>
      </c>
      <c r="C4380" t="s">
        <v>12507</v>
      </c>
      <c r="D4380">
        <v>1</v>
      </c>
      <c r="E4380" t="s">
        <v>12373</v>
      </c>
      <c r="F4380" t="s">
        <v>12374</v>
      </c>
      <c r="G4380" s="1"/>
      <c r="H4380" t="str">
        <f>"4012740017152"</f>
        <v>4012740017152</v>
      </c>
      <c r="J4380" t="s">
        <v>12508</v>
      </c>
    </row>
    <row r="4381" spans="1:10" x14ac:dyDescent="0.25">
      <c r="A4381" t="s">
        <v>8</v>
      </c>
      <c r="B4381" t="s">
        <v>12509</v>
      </c>
      <c r="C4381" t="s">
        <v>12510</v>
      </c>
      <c r="D4381">
        <v>1</v>
      </c>
      <c r="E4381" t="s">
        <v>12373</v>
      </c>
      <c r="F4381" t="s">
        <v>12374</v>
      </c>
      <c r="G4381" s="1"/>
      <c r="H4381" t="str">
        <f>"4012740017169"</f>
        <v>4012740017169</v>
      </c>
      <c r="J4381" t="s">
        <v>12511</v>
      </c>
    </row>
    <row r="4382" spans="1:10" x14ac:dyDescent="0.25">
      <c r="A4382" t="s">
        <v>8</v>
      </c>
      <c r="B4382" t="s">
        <v>12512</v>
      </c>
      <c r="C4382" t="s">
        <v>12513</v>
      </c>
      <c r="D4382">
        <v>1</v>
      </c>
      <c r="E4382" t="s">
        <v>12373</v>
      </c>
      <c r="F4382" t="s">
        <v>12374</v>
      </c>
      <c r="G4382" s="1"/>
      <c r="H4382" t="str">
        <f>"4012740017176"</f>
        <v>4012740017176</v>
      </c>
      <c r="J4382" t="s">
        <v>12514</v>
      </c>
    </row>
    <row r="4383" spans="1:10" x14ac:dyDescent="0.25">
      <c r="A4383" t="s">
        <v>8</v>
      </c>
      <c r="B4383" t="s">
        <v>12515</v>
      </c>
      <c r="C4383" t="s">
        <v>12516</v>
      </c>
      <c r="D4383">
        <v>1</v>
      </c>
      <c r="E4383" t="s">
        <v>12373</v>
      </c>
      <c r="F4383" t="s">
        <v>12374</v>
      </c>
      <c r="G4383" s="1"/>
      <c r="H4383" t="str">
        <f>"4012740017183"</f>
        <v>4012740017183</v>
      </c>
      <c r="J4383" t="s">
        <v>12517</v>
      </c>
    </row>
    <row r="4384" spans="1:10" x14ac:dyDescent="0.25">
      <c r="A4384" t="s">
        <v>8</v>
      </c>
      <c r="B4384" t="s">
        <v>12518</v>
      </c>
      <c r="C4384" t="s">
        <v>12519</v>
      </c>
      <c r="D4384">
        <v>1</v>
      </c>
      <c r="E4384" t="s">
        <v>12373</v>
      </c>
      <c r="F4384" t="s">
        <v>12374</v>
      </c>
      <c r="G4384" s="1"/>
      <c r="H4384" t="str">
        <f>"4012740017190"</f>
        <v>4012740017190</v>
      </c>
      <c r="J4384" t="s">
        <v>6949</v>
      </c>
    </row>
    <row r="4385" spans="1:10" x14ac:dyDescent="0.25">
      <c r="A4385" t="s">
        <v>8</v>
      </c>
      <c r="B4385" t="s">
        <v>12520</v>
      </c>
      <c r="C4385" t="s">
        <v>12521</v>
      </c>
      <c r="D4385">
        <v>1</v>
      </c>
      <c r="E4385" t="s">
        <v>12373</v>
      </c>
      <c r="F4385" t="s">
        <v>12374</v>
      </c>
      <c r="G4385" s="1"/>
      <c r="H4385" t="str">
        <f>"4012740017213"</f>
        <v>4012740017213</v>
      </c>
      <c r="J4385" t="s">
        <v>12522</v>
      </c>
    </row>
    <row r="4386" spans="1:10" x14ac:dyDescent="0.25">
      <c r="A4386" t="s">
        <v>8</v>
      </c>
      <c r="B4386" t="s">
        <v>12523</v>
      </c>
      <c r="C4386" t="s">
        <v>12524</v>
      </c>
      <c r="D4386">
        <v>1</v>
      </c>
      <c r="E4386" t="s">
        <v>12373</v>
      </c>
      <c r="F4386" t="s">
        <v>12374</v>
      </c>
      <c r="G4386" s="1"/>
      <c r="H4386" t="str">
        <f>"4012740017220"</f>
        <v>4012740017220</v>
      </c>
      <c r="J4386" t="s">
        <v>12525</v>
      </c>
    </row>
    <row r="4387" spans="1:10" x14ac:dyDescent="0.25">
      <c r="A4387" t="s">
        <v>8</v>
      </c>
      <c r="B4387" t="s">
        <v>12526</v>
      </c>
      <c r="C4387" t="s">
        <v>12527</v>
      </c>
      <c r="D4387">
        <v>1</v>
      </c>
      <c r="E4387" t="s">
        <v>12373</v>
      </c>
      <c r="F4387" t="s">
        <v>12374</v>
      </c>
      <c r="G4387" s="1"/>
      <c r="H4387" t="str">
        <f>"4012740017237"</f>
        <v>4012740017237</v>
      </c>
      <c r="J4387" t="s">
        <v>10126</v>
      </c>
    </row>
    <row r="4388" spans="1:10" x14ac:dyDescent="0.25">
      <c r="A4388" t="s">
        <v>8</v>
      </c>
      <c r="B4388" t="s">
        <v>12528</v>
      </c>
      <c r="C4388" t="s">
        <v>12529</v>
      </c>
      <c r="D4388">
        <v>1</v>
      </c>
      <c r="E4388" t="s">
        <v>12373</v>
      </c>
      <c r="F4388" t="s">
        <v>12374</v>
      </c>
      <c r="G4388" s="1"/>
      <c r="H4388" t="str">
        <f>"4012740017244"</f>
        <v>4012740017244</v>
      </c>
      <c r="J4388" t="s">
        <v>12530</v>
      </c>
    </row>
    <row r="4389" spans="1:10" x14ac:dyDescent="0.25">
      <c r="A4389" t="s">
        <v>8</v>
      </c>
      <c r="B4389" t="s">
        <v>12531</v>
      </c>
      <c r="C4389" t="s">
        <v>12532</v>
      </c>
      <c r="D4389">
        <v>1</v>
      </c>
      <c r="E4389" t="s">
        <v>12373</v>
      </c>
      <c r="F4389" t="s">
        <v>12374</v>
      </c>
      <c r="G4389" s="1"/>
      <c r="H4389" t="str">
        <f>"4012740017251"</f>
        <v>4012740017251</v>
      </c>
      <c r="J4389" t="s">
        <v>12533</v>
      </c>
    </row>
    <row r="4390" spans="1:10" x14ac:dyDescent="0.25">
      <c r="A4390" t="s">
        <v>8</v>
      </c>
      <c r="B4390" t="s">
        <v>12534</v>
      </c>
      <c r="C4390" t="s">
        <v>12535</v>
      </c>
      <c r="D4390">
        <v>1</v>
      </c>
      <c r="E4390" t="s">
        <v>12373</v>
      </c>
      <c r="F4390" t="s">
        <v>12374</v>
      </c>
      <c r="G4390" s="1"/>
      <c r="H4390" t="str">
        <f>"4012740017268"</f>
        <v>4012740017268</v>
      </c>
      <c r="J4390" t="s">
        <v>12537</v>
      </c>
    </row>
    <row r="4391" spans="1:10" x14ac:dyDescent="0.25">
      <c r="A4391" t="s">
        <v>8</v>
      </c>
      <c r="B4391" t="s">
        <v>12538</v>
      </c>
      <c r="C4391" t="s">
        <v>12539</v>
      </c>
      <c r="D4391">
        <v>1</v>
      </c>
      <c r="E4391" t="s">
        <v>12540</v>
      </c>
      <c r="F4391" t="s">
        <v>12541</v>
      </c>
      <c r="G4391" s="1"/>
      <c r="H4391" t="str">
        <f>"4012740864497"</f>
        <v>4012740864497</v>
      </c>
      <c r="J4391" t="s">
        <v>12542</v>
      </c>
    </row>
    <row r="4392" spans="1:10" x14ac:dyDescent="0.25">
      <c r="A4392" t="s">
        <v>8</v>
      </c>
      <c r="B4392" t="s">
        <v>12543</v>
      </c>
      <c r="C4392" t="s">
        <v>12544</v>
      </c>
      <c r="D4392">
        <v>1</v>
      </c>
      <c r="E4392" t="s">
        <v>12540</v>
      </c>
      <c r="F4392" t="s">
        <v>12541</v>
      </c>
      <c r="G4392" s="1"/>
      <c r="H4392" t="str">
        <f>"4012740864718"</f>
        <v>4012740864718</v>
      </c>
      <c r="J4392" t="s">
        <v>12545</v>
      </c>
    </row>
    <row r="4393" spans="1:10" x14ac:dyDescent="0.25">
      <c r="A4393" t="s">
        <v>8</v>
      </c>
      <c r="B4393" t="s">
        <v>12546</v>
      </c>
      <c r="C4393" t="s">
        <v>12547</v>
      </c>
      <c r="D4393">
        <v>1</v>
      </c>
      <c r="E4393" t="s">
        <v>12540</v>
      </c>
      <c r="F4393" t="s">
        <v>12541</v>
      </c>
      <c r="G4393" s="1"/>
      <c r="H4393" t="str">
        <f>"4012740864954"</f>
        <v>4012740864954</v>
      </c>
      <c r="J4393" t="s">
        <v>12548</v>
      </c>
    </row>
    <row r="4394" spans="1:10" x14ac:dyDescent="0.25">
      <c r="A4394" t="s">
        <v>8</v>
      </c>
      <c r="B4394" t="s">
        <v>12549</v>
      </c>
      <c r="C4394" t="s">
        <v>12550</v>
      </c>
      <c r="D4394">
        <v>1</v>
      </c>
      <c r="E4394" t="s">
        <v>12540</v>
      </c>
      <c r="F4394" t="s">
        <v>12541</v>
      </c>
      <c r="G4394" s="1"/>
      <c r="H4394" t="str">
        <f>"4012740016711"</f>
        <v>4012740016711</v>
      </c>
      <c r="J4394" t="s">
        <v>12455</v>
      </c>
    </row>
    <row r="4395" spans="1:10" x14ac:dyDescent="0.25">
      <c r="A4395" t="s">
        <v>8</v>
      </c>
      <c r="B4395" t="s">
        <v>12551</v>
      </c>
      <c r="C4395" t="s">
        <v>12552</v>
      </c>
      <c r="D4395">
        <v>1</v>
      </c>
      <c r="E4395" t="s">
        <v>12540</v>
      </c>
      <c r="F4395" t="s">
        <v>12541</v>
      </c>
      <c r="G4395" s="1"/>
      <c r="H4395" t="str">
        <f>"4012740016728"</f>
        <v>4012740016728</v>
      </c>
      <c r="J4395" t="s">
        <v>12553</v>
      </c>
    </row>
    <row r="4396" spans="1:10" x14ac:dyDescent="0.25">
      <c r="A4396" t="s">
        <v>8</v>
      </c>
      <c r="B4396" t="s">
        <v>12554</v>
      </c>
      <c r="C4396" t="s">
        <v>12555</v>
      </c>
      <c r="D4396">
        <v>1</v>
      </c>
      <c r="E4396" t="s">
        <v>12540</v>
      </c>
      <c r="F4396" t="s">
        <v>12541</v>
      </c>
      <c r="G4396" s="1"/>
      <c r="H4396" t="str">
        <f>"4012740016735"</f>
        <v>4012740016735</v>
      </c>
      <c r="J4396" t="s">
        <v>12556</v>
      </c>
    </row>
    <row r="4397" spans="1:10" x14ac:dyDescent="0.25">
      <c r="A4397" t="s">
        <v>8</v>
      </c>
      <c r="B4397" t="s">
        <v>12557</v>
      </c>
      <c r="C4397" t="s">
        <v>12558</v>
      </c>
      <c r="D4397">
        <v>1</v>
      </c>
      <c r="E4397" t="s">
        <v>12540</v>
      </c>
      <c r="F4397" t="s">
        <v>12541</v>
      </c>
      <c r="G4397" s="1"/>
      <c r="H4397" t="str">
        <f>"4012740016841"</f>
        <v>4012740016841</v>
      </c>
      <c r="J4397" t="s">
        <v>12559</v>
      </c>
    </row>
    <row r="4398" spans="1:10" x14ac:dyDescent="0.25">
      <c r="A4398" t="s">
        <v>8</v>
      </c>
      <c r="B4398" t="s">
        <v>12560</v>
      </c>
      <c r="C4398" t="s">
        <v>12561</v>
      </c>
      <c r="D4398">
        <v>1</v>
      </c>
      <c r="E4398" t="s">
        <v>12540</v>
      </c>
      <c r="F4398" t="s">
        <v>12541</v>
      </c>
      <c r="G4398" s="1"/>
      <c r="H4398" t="str">
        <f>"4012740016858"</f>
        <v>4012740016858</v>
      </c>
      <c r="J4398" t="s">
        <v>12562</v>
      </c>
    </row>
    <row r="4399" spans="1:10" x14ac:dyDescent="0.25">
      <c r="A4399" t="s">
        <v>8</v>
      </c>
      <c r="B4399" t="s">
        <v>12563</v>
      </c>
      <c r="C4399" t="s">
        <v>12564</v>
      </c>
      <c r="D4399">
        <v>1</v>
      </c>
      <c r="E4399" t="s">
        <v>12540</v>
      </c>
      <c r="F4399" t="s">
        <v>12541</v>
      </c>
      <c r="G4399" s="1"/>
      <c r="H4399" t="str">
        <f>"4012740016865"</f>
        <v>4012740016865</v>
      </c>
      <c r="J4399" t="s">
        <v>12565</v>
      </c>
    </row>
    <row r="4400" spans="1:10" x14ac:dyDescent="0.25">
      <c r="A4400" t="s">
        <v>8</v>
      </c>
      <c r="B4400" t="s">
        <v>12566</v>
      </c>
      <c r="C4400" t="s">
        <v>12567</v>
      </c>
      <c r="D4400">
        <v>1</v>
      </c>
      <c r="E4400" t="s">
        <v>12540</v>
      </c>
      <c r="F4400" t="s">
        <v>12541</v>
      </c>
      <c r="G4400" s="1"/>
      <c r="H4400" t="str">
        <f>"4012740019002"</f>
        <v>4012740019002</v>
      </c>
      <c r="J4400" t="s">
        <v>12568</v>
      </c>
    </row>
    <row r="4401" spans="1:10" x14ac:dyDescent="0.25">
      <c r="A4401" t="s">
        <v>8</v>
      </c>
      <c r="B4401" t="s">
        <v>12569</v>
      </c>
      <c r="C4401" t="s">
        <v>12570</v>
      </c>
      <c r="D4401">
        <v>1</v>
      </c>
      <c r="E4401" t="s">
        <v>12540</v>
      </c>
      <c r="F4401" t="s">
        <v>12541</v>
      </c>
      <c r="G4401" s="1"/>
      <c r="H4401" t="str">
        <f>"4012740019019"</f>
        <v>4012740019019</v>
      </c>
      <c r="J4401" t="s">
        <v>3469</v>
      </c>
    </row>
    <row r="4402" spans="1:10" x14ac:dyDescent="0.25">
      <c r="A4402" t="s">
        <v>8</v>
      </c>
      <c r="B4402" t="s">
        <v>12571</v>
      </c>
      <c r="C4402" t="s">
        <v>12572</v>
      </c>
      <c r="D4402">
        <v>1</v>
      </c>
      <c r="E4402" t="s">
        <v>12540</v>
      </c>
      <c r="F4402" t="s">
        <v>12541</v>
      </c>
      <c r="G4402" s="1"/>
      <c r="H4402" t="str">
        <f>"4012740016971"</f>
        <v>4012740016971</v>
      </c>
      <c r="J4402" t="s">
        <v>6794</v>
      </c>
    </row>
    <row r="4403" spans="1:10" x14ac:dyDescent="0.25">
      <c r="A4403" t="s">
        <v>8</v>
      </c>
      <c r="B4403" t="s">
        <v>12573</v>
      </c>
      <c r="C4403" t="s">
        <v>12574</v>
      </c>
      <c r="D4403">
        <v>1</v>
      </c>
      <c r="E4403" t="s">
        <v>12540</v>
      </c>
      <c r="F4403" t="s">
        <v>12541</v>
      </c>
      <c r="G4403" s="1"/>
      <c r="H4403" t="str">
        <f>"4012740016988"</f>
        <v>4012740016988</v>
      </c>
      <c r="J4403" t="s">
        <v>12575</v>
      </c>
    </row>
    <row r="4404" spans="1:10" x14ac:dyDescent="0.25">
      <c r="A4404" t="s">
        <v>8</v>
      </c>
      <c r="B4404" t="s">
        <v>12576</v>
      </c>
      <c r="C4404" t="s">
        <v>12577</v>
      </c>
      <c r="D4404">
        <v>1</v>
      </c>
      <c r="E4404" t="s">
        <v>12540</v>
      </c>
      <c r="F4404" t="s">
        <v>12541</v>
      </c>
      <c r="G4404" s="1"/>
      <c r="H4404" t="str">
        <f>"4012740016995"</f>
        <v>4012740016995</v>
      </c>
      <c r="J4404" t="s">
        <v>12578</v>
      </c>
    </row>
    <row r="4405" spans="1:10" x14ac:dyDescent="0.25">
      <c r="A4405" t="s">
        <v>8</v>
      </c>
      <c r="B4405" t="s">
        <v>12579</v>
      </c>
      <c r="C4405" t="s">
        <v>12580</v>
      </c>
      <c r="D4405">
        <v>1</v>
      </c>
      <c r="E4405" t="s">
        <v>12540</v>
      </c>
      <c r="F4405" t="s">
        <v>12541</v>
      </c>
      <c r="G4405" s="1"/>
      <c r="H4405" t="str">
        <f>"4012740019026"</f>
        <v>4012740019026</v>
      </c>
      <c r="J4405" t="s">
        <v>12581</v>
      </c>
    </row>
    <row r="4406" spans="1:10" x14ac:dyDescent="0.25">
      <c r="A4406" t="s">
        <v>8</v>
      </c>
      <c r="B4406" t="s">
        <v>12582</v>
      </c>
      <c r="C4406" t="s">
        <v>12583</v>
      </c>
      <c r="D4406">
        <v>1</v>
      </c>
      <c r="E4406" t="s">
        <v>12540</v>
      </c>
      <c r="F4406" t="s">
        <v>12541</v>
      </c>
      <c r="G4406" s="1"/>
      <c r="H4406" t="str">
        <f>"4012740019033"</f>
        <v>4012740019033</v>
      </c>
      <c r="J4406" t="s">
        <v>12584</v>
      </c>
    </row>
    <row r="4407" spans="1:10" x14ac:dyDescent="0.25">
      <c r="A4407" t="s">
        <v>8</v>
      </c>
      <c r="B4407" t="s">
        <v>12585</v>
      </c>
      <c r="C4407" t="s">
        <v>12586</v>
      </c>
      <c r="D4407">
        <v>1</v>
      </c>
      <c r="E4407" t="s">
        <v>12540</v>
      </c>
      <c r="F4407" t="s">
        <v>12541</v>
      </c>
      <c r="G4407" s="1"/>
      <c r="H4407" t="str">
        <f>"4012740019040"</f>
        <v>4012740019040</v>
      </c>
      <c r="J4407" t="s">
        <v>12587</v>
      </c>
    </row>
    <row r="4408" spans="1:10" x14ac:dyDescent="0.25">
      <c r="A4408" t="s">
        <v>8</v>
      </c>
      <c r="B4408" t="s">
        <v>12588</v>
      </c>
      <c r="C4408" t="s">
        <v>12589</v>
      </c>
      <c r="D4408">
        <v>1</v>
      </c>
      <c r="E4408" t="s">
        <v>12540</v>
      </c>
      <c r="F4408" t="s">
        <v>12541</v>
      </c>
      <c r="G4408" s="1"/>
      <c r="H4408" t="str">
        <f>"4012740019057"</f>
        <v>4012740019057</v>
      </c>
      <c r="J4408" t="s">
        <v>12590</v>
      </c>
    </row>
    <row r="4409" spans="1:10" x14ac:dyDescent="0.25">
      <c r="A4409" t="s">
        <v>8</v>
      </c>
      <c r="B4409" t="s">
        <v>12591</v>
      </c>
      <c r="C4409" t="s">
        <v>12592</v>
      </c>
      <c r="D4409">
        <v>1</v>
      </c>
      <c r="E4409" t="s">
        <v>12540</v>
      </c>
      <c r="F4409" t="s">
        <v>12541</v>
      </c>
      <c r="G4409" s="1"/>
      <c r="H4409" t="str">
        <f>"4012740019064"</f>
        <v>4012740019064</v>
      </c>
      <c r="J4409" t="s">
        <v>12593</v>
      </c>
    </row>
    <row r="4410" spans="1:10" x14ac:dyDescent="0.25">
      <c r="A4410" t="s">
        <v>8</v>
      </c>
      <c r="B4410" t="s">
        <v>12594</v>
      </c>
      <c r="C4410" t="s">
        <v>12595</v>
      </c>
      <c r="D4410">
        <v>1</v>
      </c>
      <c r="E4410" t="s">
        <v>12540</v>
      </c>
      <c r="F4410" t="s">
        <v>12541</v>
      </c>
      <c r="G4410" s="1"/>
      <c r="H4410" t="str">
        <f>"4012740019071"</f>
        <v>4012740019071</v>
      </c>
      <c r="J4410" t="s">
        <v>12584</v>
      </c>
    </row>
    <row r="4411" spans="1:10" x14ac:dyDescent="0.25">
      <c r="A4411" t="s">
        <v>8</v>
      </c>
      <c r="B4411" t="s">
        <v>12596</v>
      </c>
      <c r="C4411" t="s">
        <v>12597</v>
      </c>
      <c r="D4411">
        <v>1</v>
      </c>
      <c r="E4411" t="s">
        <v>12598</v>
      </c>
      <c r="F4411" t="s">
        <v>12599</v>
      </c>
      <c r="G4411" s="1"/>
      <c r="H4411" t="str">
        <f>"4012740878692"</f>
        <v>4012740878692</v>
      </c>
      <c r="J4411" t="s">
        <v>12600</v>
      </c>
    </row>
    <row r="4412" spans="1:10" x14ac:dyDescent="0.25">
      <c r="A4412" t="s">
        <v>8</v>
      </c>
      <c r="B4412" t="s">
        <v>12601</v>
      </c>
      <c r="C4412" t="s">
        <v>12602</v>
      </c>
      <c r="D4412">
        <v>1</v>
      </c>
      <c r="E4412" t="s">
        <v>12598</v>
      </c>
      <c r="F4412" t="s">
        <v>12599</v>
      </c>
      <c r="G4412" s="1"/>
      <c r="H4412" t="str">
        <f>"4012740878753"</f>
        <v>4012740878753</v>
      </c>
      <c r="J4412" t="s">
        <v>12600</v>
      </c>
    </row>
    <row r="4413" spans="1:10" x14ac:dyDescent="0.25">
      <c r="A4413" t="s">
        <v>8</v>
      </c>
      <c r="B4413" t="s">
        <v>12603</v>
      </c>
      <c r="C4413" t="s">
        <v>12604</v>
      </c>
      <c r="D4413">
        <v>1</v>
      </c>
      <c r="E4413" t="s">
        <v>12598</v>
      </c>
      <c r="F4413" t="s">
        <v>12599</v>
      </c>
      <c r="G4413" s="1"/>
      <c r="H4413" t="str">
        <f>"4012740212540"</f>
        <v>4012740212540</v>
      </c>
      <c r="J4413" t="s">
        <v>12605</v>
      </c>
    </row>
    <row r="4414" spans="1:10" x14ac:dyDescent="0.25">
      <c r="A4414" t="s">
        <v>8</v>
      </c>
      <c r="B4414" t="s">
        <v>12606</v>
      </c>
      <c r="C4414" t="s">
        <v>12607</v>
      </c>
      <c r="D4414">
        <v>1</v>
      </c>
      <c r="E4414" t="s">
        <v>12598</v>
      </c>
      <c r="F4414" t="s">
        <v>12599</v>
      </c>
      <c r="G4414" s="1"/>
      <c r="H4414" t="str">
        <f>"4012740878708"</f>
        <v>4012740878708</v>
      </c>
      <c r="J4414" t="s">
        <v>12608</v>
      </c>
    </row>
    <row r="4415" spans="1:10" x14ac:dyDescent="0.25">
      <c r="A4415" t="s">
        <v>8</v>
      </c>
      <c r="B4415" t="s">
        <v>12609</v>
      </c>
      <c r="C4415" t="s">
        <v>12610</v>
      </c>
      <c r="D4415">
        <v>1</v>
      </c>
      <c r="E4415" t="s">
        <v>12598</v>
      </c>
      <c r="F4415" t="s">
        <v>12599</v>
      </c>
      <c r="G4415" s="1"/>
      <c r="H4415" t="str">
        <f>"4012740878760"</f>
        <v>4012740878760</v>
      </c>
      <c r="J4415" t="s">
        <v>12608</v>
      </c>
    </row>
    <row r="4416" spans="1:10" x14ac:dyDescent="0.25">
      <c r="A4416" t="s">
        <v>8</v>
      </c>
      <c r="B4416" t="s">
        <v>12611</v>
      </c>
      <c r="C4416" t="s">
        <v>12612</v>
      </c>
      <c r="D4416">
        <v>1</v>
      </c>
      <c r="E4416" t="s">
        <v>12598</v>
      </c>
      <c r="F4416" t="s">
        <v>12599</v>
      </c>
      <c r="G4416" s="1"/>
      <c r="H4416" t="str">
        <f>"4012740878715"</f>
        <v>4012740878715</v>
      </c>
      <c r="J4416" t="s">
        <v>12613</v>
      </c>
    </row>
    <row r="4417" spans="1:10" x14ac:dyDescent="0.25">
      <c r="A4417" t="s">
        <v>8</v>
      </c>
      <c r="B4417" t="s">
        <v>12614</v>
      </c>
      <c r="C4417" t="s">
        <v>12615</v>
      </c>
      <c r="D4417">
        <v>1</v>
      </c>
      <c r="E4417" t="s">
        <v>12598</v>
      </c>
      <c r="F4417" t="s">
        <v>12599</v>
      </c>
      <c r="G4417" s="1"/>
      <c r="H4417" t="str">
        <f>"4012740878722"</f>
        <v>4012740878722</v>
      </c>
      <c r="J4417" t="s">
        <v>12616</v>
      </c>
    </row>
    <row r="4418" spans="1:10" x14ac:dyDescent="0.25">
      <c r="A4418" t="s">
        <v>8</v>
      </c>
      <c r="B4418" t="s">
        <v>12617</v>
      </c>
      <c r="C4418" t="s">
        <v>12618</v>
      </c>
      <c r="D4418">
        <v>1</v>
      </c>
      <c r="E4418" t="s">
        <v>12598</v>
      </c>
      <c r="F4418" t="s">
        <v>12599</v>
      </c>
      <c r="G4418" s="1"/>
      <c r="H4418" t="str">
        <f>"4012740212533"</f>
        <v>4012740212533</v>
      </c>
      <c r="J4418" t="s">
        <v>12619</v>
      </c>
    </row>
    <row r="4419" spans="1:10" x14ac:dyDescent="0.25">
      <c r="A4419" t="s">
        <v>8</v>
      </c>
      <c r="B4419" t="s">
        <v>12620</v>
      </c>
      <c r="C4419" t="s">
        <v>12621</v>
      </c>
      <c r="D4419">
        <v>1</v>
      </c>
      <c r="E4419" t="s">
        <v>12598</v>
      </c>
      <c r="F4419" t="s">
        <v>12599</v>
      </c>
      <c r="G4419" s="1"/>
      <c r="H4419" t="str">
        <f>"4012740878661"</f>
        <v>4012740878661</v>
      </c>
      <c r="J4419" t="s">
        <v>12622</v>
      </c>
    </row>
    <row r="4420" spans="1:10" x14ac:dyDescent="0.25">
      <c r="A4420" t="s">
        <v>8</v>
      </c>
      <c r="B4420" t="s">
        <v>12623</v>
      </c>
      <c r="C4420" t="s">
        <v>12624</v>
      </c>
      <c r="D4420">
        <v>1</v>
      </c>
      <c r="E4420" t="s">
        <v>12598</v>
      </c>
      <c r="F4420" t="s">
        <v>12599</v>
      </c>
      <c r="G4420" s="1"/>
      <c r="H4420" t="str">
        <f>"4012740878678"</f>
        <v>4012740878678</v>
      </c>
      <c r="J4420" t="s">
        <v>12625</v>
      </c>
    </row>
    <row r="4421" spans="1:10" x14ac:dyDescent="0.25">
      <c r="A4421" t="s">
        <v>8</v>
      </c>
      <c r="B4421" t="s">
        <v>12626</v>
      </c>
      <c r="C4421" t="s">
        <v>12627</v>
      </c>
      <c r="D4421">
        <v>1</v>
      </c>
      <c r="E4421" t="s">
        <v>12598</v>
      </c>
      <c r="F4421" t="s">
        <v>12599</v>
      </c>
      <c r="G4421" s="1"/>
      <c r="H4421" t="str">
        <f>"4012740878685"</f>
        <v>4012740878685</v>
      </c>
      <c r="J4421" t="s">
        <v>1584</v>
      </c>
    </row>
    <row r="4422" spans="1:10" x14ac:dyDescent="0.25">
      <c r="A4422" t="s">
        <v>8</v>
      </c>
      <c r="B4422" t="s">
        <v>12628</v>
      </c>
      <c r="C4422" t="s">
        <v>12629</v>
      </c>
      <c r="D4422">
        <v>1</v>
      </c>
      <c r="E4422" t="s">
        <v>12598</v>
      </c>
      <c r="F4422" t="s">
        <v>12599</v>
      </c>
      <c r="G4422" s="1"/>
      <c r="H4422" t="str">
        <f>"4012740878739"</f>
        <v>4012740878739</v>
      </c>
      <c r="J4422" t="s">
        <v>12630</v>
      </c>
    </row>
    <row r="4423" spans="1:10" x14ac:dyDescent="0.25">
      <c r="A4423" t="s">
        <v>8</v>
      </c>
      <c r="B4423" t="s">
        <v>12631</v>
      </c>
      <c r="C4423" t="s">
        <v>12632</v>
      </c>
      <c r="D4423">
        <v>1</v>
      </c>
      <c r="E4423" t="s">
        <v>12598</v>
      </c>
      <c r="F4423" t="s">
        <v>12599</v>
      </c>
      <c r="G4423" s="1"/>
      <c r="H4423" t="str">
        <f>"4012740878746"</f>
        <v>4012740878746</v>
      </c>
      <c r="J4423" t="s">
        <v>12633</v>
      </c>
    </row>
    <row r="4424" spans="1:10" x14ac:dyDescent="0.25">
      <c r="A4424" t="s">
        <v>8</v>
      </c>
      <c r="B4424" t="s">
        <v>12634</v>
      </c>
      <c r="C4424" t="s">
        <v>12635</v>
      </c>
      <c r="D4424">
        <v>1</v>
      </c>
      <c r="E4424" t="s">
        <v>12598</v>
      </c>
      <c r="F4424" t="s">
        <v>12599</v>
      </c>
      <c r="G4424" s="1"/>
      <c r="H4424" t="str">
        <f>"4012740878470"</f>
        <v>4012740878470</v>
      </c>
      <c r="J4424" t="s">
        <v>12636</v>
      </c>
    </row>
    <row r="4425" spans="1:10" x14ac:dyDescent="0.25">
      <c r="A4425" t="s">
        <v>8</v>
      </c>
      <c r="B4425" t="s">
        <v>12637</v>
      </c>
      <c r="C4425" t="s">
        <v>12638</v>
      </c>
      <c r="D4425">
        <v>1</v>
      </c>
      <c r="E4425" t="s">
        <v>12598</v>
      </c>
      <c r="F4425" t="s">
        <v>12599</v>
      </c>
      <c r="G4425" s="1"/>
      <c r="H4425" t="str">
        <f>"4012740878784"</f>
        <v>4012740878784</v>
      </c>
      <c r="J4425" t="s">
        <v>12639</v>
      </c>
    </row>
    <row r="4426" spans="1:10" x14ac:dyDescent="0.25">
      <c r="A4426" t="s">
        <v>8</v>
      </c>
      <c r="B4426" t="s">
        <v>12640</v>
      </c>
      <c r="C4426" t="s">
        <v>12641</v>
      </c>
      <c r="D4426">
        <v>1</v>
      </c>
      <c r="E4426" t="s">
        <v>12598</v>
      </c>
      <c r="F4426" t="s">
        <v>12599</v>
      </c>
      <c r="G4426" s="1"/>
      <c r="H4426" t="str">
        <f>"4012740878487"</f>
        <v>4012740878487</v>
      </c>
      <c r="J4426" t="s">
        <v>12642</v>
      </c>
    </row>
    <row r="4427" spans="1:10" x14ac:dyDescent="0.25">
      <c r="A4427" t="s">
        <v>8</v>
      </c>
      <c r="B4427" t="s">
        <v>12643</v>
      </c>
      <c r="C4427" t="s">
        <v>12644</v>
      </c>
      <c r="D4427">
        <v>1</v>
      </c>
      <c r="E4427" t="s">
        <v>12598</v>
      </c>
      <c r="F4427" t="s">
        <v>12599</v>
      </c>
      <c r="G4427" s="1"/>
      <c r="H4427" t="str">
        <f>"4012740878494"</f>
        <v>4012740878494</v>
      </c>
      <c r="J4427" t="s">
        <v>12645</v>
      </c>
    </row>
    <row r="4428" spans="1:10" x14ac:dyDescent="0.25">
      <c r="A4428" t="s">
        <v>8</v>
      </c>
      <c r="B4428" t="s">
        <v>12646</v>
      </c>
      <c r="C4428" t="s">
        <v>12647</v>
      </c>
      <c r="D4428">
        <v>1</v>
      </c>
      <c r="E4428" t="s">
        <v>12598</v>
      </c>
      <c r="F4428" t="s">
        <v>12599</v>
      </c>
      <c r="G4428" s="1"/>
      <c r="H4428" t="str">
        <f>"4012740878791"</f>
        <v>4012740878791</v>
      </c>
      <c r="J4428" t="s">
        <v>12648</v>
      </c>
    </row>
    <row r="4429" spans="1:10" x14ac:dyDescent="0.25">
      <c r="A4429" t="s">
        <v>8</v>
      </c>
      <c r="B4429" t="s">
        <v>12649</v>
      </c>
      <c r="C4429" t="s">
        <v>12650</v>
      </c>
      <c r="D4429">
        <v>1</v>
      </c>
      <c r="E4429" t="s">
        <v>12598</v>
      </c>
      <c r="F4429" t="s">
        <v>12599</v>
      </c>
      <c r="G4429" s="1"/>
      <c r="H4429" t="str">
        <f>"4012740878500"</f>
        <v>4012740878500</v>
      </c>
      <c r="J4429" t="s">
        <v>8988</v>
      </c>
    </row>
    <row r="4430" spans="1:10" x14ac:dyDescent="0.25">
      <c r="A4430" t="s">
        <v>8</v>
      </c>
      <c r="B4430" t="s">
        <v>12651</v>
      </c>
      <c r="C4430" t="s">
        <v>12652</v>
      </c>
      <c r="D4430">
        <v>1</v>
      </c>
      <c r="E4430" t="s">
        <v>12598</v>
      </c>
      <c r="F4430" t="s">
        <v>12599</v>
      </c>
      <c r="G4430" s="1"/>
      <c r="H4430" t="str">
        <f>"4012740878807"</f>
        <v>4012740878807</v>
      </c>
      <c r="J4430" t="s">
        <v>12653</v>
      </c>
    </row>
    <row r="4431" spans="1:10" x14ac:dyDescent="0.25">
      <c r="A4431" t="s">
        <v>8</v>
      </c>
      <c r="B4431" t="s">
        <v>12654</v>
      </c>
      <c r="C4431" t="s">
        <v>12655</v>
      </c>
      <c r="D4431">
        <v>1</v>
      </c>
      <c r="E4431" t="s">
        <v>12598</v>
      </c>
      <c r="F4431" t="s">
        <v>12599</v>
      </c>
      <c r="G4431" s="1"/>
      <c r="H4431" t="str">
        <f>"4012740878517"</f>
        <v>4012740878517</v>
      </c>
      <c r="J4431" t="s">
        <v>12656</v>
      </c>
    </row>
    <row r="4432" spans="1:10" x14ac:dyDescent="0.25">
      <c r="A4432" t="s">
        <v>8</v>
      </c>
      <c r="B4432" t="s">
        <v>12657</v>
      </c>
      <c r="C4432" t="s">
        <v>12658</v>
      </c>
      <c r="D4432">
        <v>1</v>
      </c>
      <c r="E4432" t="s">
        <v>12598</v>
      </c>
      <c r="F4432" t="s">
        <v>12599</v>
      </c>
      <c r="G4432" s="1"/>
      <c r="H4432" t="str">
        <f>"4012740878814"</f>
        <v>4012740878814</v>
      </c>
      <c r="J4432" t="s">
        <v>12659</v>
      </c>
    </row>
    <row r="4433" spans="1:10" x14ac:dyDescent="0.25">
      <c r="A4433" t="s">
        <v>8</v>
      </c>
      <c r="B4433" t="s">
        <v>12660</v>
      </c>
      <c r="C4433" t="s">
        <v>12661</v>
      </c>
      <c r="D4433">
        <v>1</v>
      </c>
      <c r="E4433" t="s">
        <v>12598</v>
      </c>
      <c r="F4433" t="s">
        <v>12599</v>
      </c>
      <c r="G4433" s="1"/>
      <c r="H4433" t="str">
        <f>"4012740878524"</f>
        <v>4012740878524</v>
      </c>
      <c r="J4433" t="s">
        <v>12662</v>
      </c>
    </row>
    <row r="4434" spans="1:10" x14ac:dyDescent="0.25">
      <c r="A4434" t="s">
        <v>8</v>
      </c>
      <c r="B4434" t="s">
        <v>12663</v>
      </c>
      <c r="C4434" t="s">
        <v>12664</v>
      </c>
      <c r="D4434">
        <v>1</v>
      </c>
      <c r="E4434" t="s">
        <v>12598</v>
      </c>
      <c r="F4434" t="s">
        <v>12599</v>
      </c>
      <c r="G4434" s="1"/>
      <c r="H4434" t="str">
        <f>"4012740878531"</f>
        <v>4012740878531</v>
      </c>
      <c r="J4434" t="s">
        <v>12665</v>
      </c>
    </row>
    <row r="4435" spans="1:10" x14ac:dyDescent="0.25">
      <c r="A4435" t="s">
        <v>8</v>
      </c>
      <c r="B4435" t="s">
        <v>12666</v>
      </c>
      <c r="C4435" t="s">
        <v>12667</v>
      </c>
      <c r="D4435">
        <v>1</v>
      </c>
      <c r="E4435" t="s">
        <v>12598</v>
      </c>
      <c r="F4435" t="s">
        <v>12599</v>
      </c>
      <c r="G4435" s="1"/>
      <c r="H4435" t="str">
        <f>"4012740878548"</f>
        <v>4012740878548</v>
      </c>
      <c r="J4435" t="s">
        <v>12668</v>
      </c>
    </row>
    <row r="4436" spans="1:10" x14ac:dyDescent="0.25">
      <c r="A4436" t="s">
        <v>8</v>
      </c>
      <c r="B4436" t="s">
        <v>12669</v>
      </c>
      <c r="C4436" t="s">
        <v>12670</v>
      </c>
      <c r="D4436">
        <v>1</v>
      </c>
      <c r="E4436" t="s">
        <v>12598</v>
      </c>
      <c r="F4436" t="s">
        <v>12599</v>
      </c>
      <c r="G4436" s="1"/>
      <c r="H4436" t="str">
        <f>"4012740878821"</f>
        <v>4012740878821</v>
      </c>
      <c r="J4436" t="s">
        <v>12671</v>
      </c>
    </row>
    <row r="4437" spans="1:10" x14ac:dyDescent="0.25">
      <c r="A4437" t="s">
        <v>8</v>
      </c>
      <c r="B4437" t="s">
        <v>12672</v>
      </c>
      <c r="C4437" t="s">
        <v>12673</v>
      </c>
      <c r="D4437">
        <v>1</v>
      </c>
      <c r="E4437" t="s">
        <v>12598</v>
      </c>
      <c r="F4437" t="s">
        <v>12599</v>
      </c>
      <c r="G4437" s="1"/>
      <c r="H4437" t="str">
        <f>"4012740878555"</f>
        <v>4012740878555</v>
      </c>
      <c r="J4437" t="s">
        <v>12674</v>
      </c>
    </row>
    <row r="4438" spans="1:10" x14ac:dyDescent="0.25">
      <c r="A4438" t="s">
        <v>8</v>
      </c>
      <c r="B4438" t="s">
        <v>12675</v>
      </c>
      <c r="C4438" t="s">
        <v>12676</v>
      </c>
      <c r="D4438">
        <v>1</v>
      </c>
      <c r="E4438" t="s">
        <v>12598</v>
      </c>
      <c r="F4438" t="s">
        <v>12599</v>
      </c>
      <c r="G4438" s="1"/>
      <c r="H4438" t="str">
        <f>"4012740878838"</f>
        <v>4012740878838</v>
      </c>
      <c r="J4438" t="s">
        <v>12677</v>
      </c>
    </row>
    <row r="4439" spans="1:10" x14ac:dyDescent="0.25">
      <c r="A4439" t="s">
        <v>8</v>
      </c>
      <c r="B4439" t="s">
        <v>12678</v>
      </c>
      <c r="C4439" t="s">
        <v>12679</v>
      </c>
      <c r="D4439">
        <v>1</v>
      </c>
      <c r="E4439" t="s">
        <v>12598</v>
      </c>
      <c r="F4439" t="s">
        <v>12599</v>
      </c>
      <c r="G4439" s="1"/>
      <c r="H4439" t="str">
        <f>"4012740878562"</f>
        <v>4012740878562</v>
      </c>
      <c r="J4439" t="s">
        <v>12680</v>
      </c>
    </row>
    <row r="4440" spans="1:10" x14ac:dyDescent="0.25">
      <c r="A4440" t="s">
        <v>8</v>
      </c>
      <c r="B4440" t="s">
        <v>12681</v>
      </c>
      <c r="C4440" t="s">
        <v>12682</v>
      </c>
      <c r="D4440">
        <v>1</v>
      </c>
      <c r="E4440" t="s">
        <v>12598</v>
      </c>
      <c r="F4440" t="s">
        <v>12599</v>
      </c>
      <c r="G4440" s="1"/>
      <c r="H4440" t="str">
        <f>"4012740878845"</f>
        <v>4012740878845</v>
      </c>
      <c r="J4440" t="s">
        <v>12683</v>
      </c>
    </row>
    <row r="4441" spans="1:10" x14ac:dyDescent="0.25">
      <c r="A4441" t="s">
        <v>8</v>
      </c>
      <c r="B4441" t="s">
        <v>12684</v>
      </c>
      <c r="C4441" t="s">
        <v>12685</v>
      </c>
      <c r="D4441">
        <v>1</v>
      </c>
      <c r="E4441" t="s">
        <v>12598</v>
      </c>
      <c r="F4441" t="s">
        <v>12599</v>
      </c>
      <c r="G4441" s="1"/>
      <c r="H4441" t="str">
        <f>"4012740878579"</f>
        <v>4012740878579</v>
      </c>
      <c r="J4441" t="s">
        <v>12686</v>
      </c>
    </row>
    <row r="4442" spans="1:10" x14ac:dyDescent="0.25">
      <c r="A4442" t="s">
        <v>8</v>
      </c>
      <c r="B4442" t="s">
        <v>12687</v>
      </c>
      <c r="C4442" t="s">
        <v>12688</v>
      </c>
      <c r="D4442">
        <v>1</v>
      </c>
      <c r="E4442" t="s">
        <v>12598</v>
      </c>
      <c r="F4442" t="s">
        <v>12599</v>
      </c>
      <c r="G4442" s="1"/>
      <c r="H4442" t="str">
        <f>"4012740878586"</f>
        <v>4012740878586</v>
      </c>
      <c r="J4442" t="s">
        <v>3445</v>
      </c>
    </row>
    <row r="4443" spans="1:10" x14ac:dyDescent="0.25">
      <c r="A4443" t="s">
        <v>8</v>
      </c>
      <c r="B4443" t="s">
        <v>12689</v>
      </c>
      <c r="C4443" t="s">
        <v>12690</v>
      </c>
      <c r="D4443">
        <v>1</v>
      </c>
      <c r="E4443" t="s">
        <v>12598</v>
      </c>
      <c r="F4443" t="s">
        <v>12599</v>
      </c>
      <c r="G4443" s="1"/>
      <c r="H4443" t="str">
        <f>"4012740878593"</f>
        <v>4012740878593</v>
      </c>
      <c r="J4443" t="s">
        <v>12691</v>
      </c>
    </row>
    <row r="4444" spans="1:10" x14ac:dyDescent="0.25">
      <c r="A4444" t="s">
        <v>8</v>
      </c>
      <c r="B4444" t="s">
        <v>12692</v>
      </c>
      <c r="C4444" t="s">
        <v>12693</v>
      </c>
      <c r="D4444">
        <v>1</v>
      </c>
      <c r="E4444" t="s">
        <v>12598</v>
      </c>
      <c r="F4444" t="s">
        <v>12599</v>
      </c>
      <c r="G4444" s="1"/>
      <c r="H4444" t="str">
        <f>"4012740878609"</f>
        <v>4012740878609</v>
      </c>
      <c r="J4444" t="s">
        <v>12694</v>
      </c>
    </row>
    <row r="4445" spans="1:10" x14ac:dyDescent="0.25">
      <c r="A4445" t="s">
        <v>8</v>
      </c>
      <c r="B4445" t="s">
        <v>12695</v>
      </c>
      <c r="C4445" t="s">
        <v>12696</v>
      </c>
      <c r="D4445">
        <v>1</v>
      </c>
      <c r="E4445" t="s">
        <v>12598</v>
      </c>
      <c r="F4445" t="s">
        <v>12599</v>
      </c>
      <c r="G4445" s="1"/>
      <c r="H4445" t="str">
        <f>"4012740878852"</f>
        <v>4012740878852</v>
      </c>
      <c r="J4445" t="s">
        <v>12697</v>
      </c>
    </row>
    <row r="4446" spans="1:10" x14ac:dyDescent="0.25">
      <c r="A4446" t="s">
        <v>8</v>
      </c>
      <c r="B4446" t="s">
        <v>12698</v>
      </c>
      <c r="C4446" t="s">
        <v>12699</v>
      </c>
      <c r="D4446">
        <v>1</v>
      </c>
      <c r="E4446" t="s">
        <v>12598</v>
      </c>
      <c r="F4446" t="s">
        <v>12599</v>
      </c>
      <c r="G4446" s="1"/>
      <c r="H4446" t="str">
        <f>"4012740878616"</f>
        <v>4012740878616</v>
      </c>
      <c r="J4446" t="s">
        <v>12700</v>
      </c>
    </row>
    <row r="4447" spans="1:10" x14ac:dyDescent="0.25">
      <c r="A4447" t="s">
        <v>8</v>
      </c>
      <c r="B4447" t="s">
        <v>12701</v>
      </c>
      <c r="C4447" t="s">
        <v>12702</v>
      </c>
      <c r="D4447">
        <v>1</v>
      </c>
      <c r="E4447" t="s">
        <v>12598</v>
      </c>
      <c r="F4447" t="s">
        <v>12599</v>
      </c>
      <c r="G4447" s="1"/>
      <c r="H4447" t="str">
        <f>"4012740878623"</f>
        <v>4012740878623</v>
      </c>
      <c r="J4447" t="s">
        <v>12703</v>
      </c>
    </row>
    <row r="4448" spans="1:10" x14ac:dyDescent="0.25">
      <c r="A4448" t="s">
        <v>8</v>
      </c>
      <c r="B4448" t="s">
        <v>12704</v>
      </c>
      <c r="C4448" t="s">
        <v>12705</v>
      </c>
      <c r="D4448">
        <v>1</v>
      </c>
      <c r="E4448" t="s">
        <v>12598</v>
      </c>
      <c r="F4448" t="s">
        <v>12599</v>
      </c>
      <c r="G4448" s="1"/>
      <c r="H4448" t="str">
        <f>"4012740878869"</f>
        <v>4012740878869</v>
      </c>
      <c r="J4448" t="s">
        <v>12706</v>
      </c>
    </row>
    <row r="4449" spans="1:10" x14ac:dyDescent="0.25">
      <c r="A4449" t="s">
        <v>8</v>
      </c>
      <c r="B4449" t="s">
        <v>12707</v>
      </c>
      <c r="C4449" t="s">
        <v>12708</v>
      </c>
      <c r="D4449">
        <v>1</v>
      </c>
      <c r="E4449" t="s">
        <v>12598</v>
      </c>
      <c r="F4449" t="s">
        <v>12599</v>
      </c>
      <c r="G4449" s="1"/>
      <c r="H4449" t="str">
        <f>"4012740878630"</f>
        <v>4012740878630</v>
      </c>
      <c r="J4449" t="s">
        <v>12709</v>
      </c>
    </row>
    <row r="4450" spans="1:10" x14ac:dyDescent="0.25">
      <c r="A4450" t="s">
        <v>8</v>
      </c>
      <c r="B4450" t="s">
        <v>12710</v>
      </c>
      <c r="C4450" t="s">
        <v>12711</v>
      </c>
      <c r="D4450">
        <v>1</v>
      </c>
      <c r="E4450" t="s">
        <v>12598</v>
      </c>
      <c r="F4450" t="s">
        <v>12599</v>
      </c>
      <c r="G4450" s="1"/>
      <c r="H4450" t="str">
        <f>"4012740878647"</f>
        <v>4012740878647</v>
      </c>
      <c r="J4450" t="s">
        <v>12712</v>
      </c>
    </row>
    <row r="4451" spans="1:10" x14ac:dyDescent="0.25">
      <c r="A4451" t="s">
        <v>8</v>
      </c>
      <c r="B4451" t="s">
        <v>12713</v>
      </c>
      <c r="C4451" t="s">
        <v>12714</v>
      </c>
      <c r="D4451">
        <v>1</v>
      </c>
      <c r="E4451" t="s">
        <v>12598</v>
      </c>
      <c r="F4451" t="s">
        <v>12599</v>
      </c>
      <c r="G4451" s="1"/>
      <c r="H4451" t="str">
        <f>"4012740878876"</f>
        <v>4012740878876</v>
      </c>
      <c r="J4451" t="s">
        <v>12716</v>
      </c>
    </row>
    <row r="4452" spans="1:10" x14ac:dyDescent="0.25">
      <c r="A4452" t="s">
        <v>8</v>
      </c>
      <c r="B4452" t="s">
        <v>12717</v>
      </c>
      <c r="C4452" t="s">
        <v>12718</v>
      </c>
      <c r="D4452">
        <v>1</v>
      </c>
      <c r="E4452" t="s">
        <v>12598</v>
      </c>
      <c r="F4452" t="s">
        <v>12599</v>
      </c>
      <c r="G4452" s="1"/>
      <c r="H4452" t="str">
        <f>"4012740878654"</f>
        <v>4012740878654</v>
      </c>
      <c r="J4452" t="s">
        <v>12719</v>
      </c>
    </row>
    <row r="4453" spans="1:10" x14ac:dyDescent="0.25">
      <c r="A4453" t="s">
        <v>8</v>
      </c>
      <c r="B4453" t="s">
        <v>12720</v>
      </c>
      <c r="C4453" t="s">
        <v>12721</v>
      </c>
      <c r="D4453">
        <v>1</v>
      </c>
      <c r="E4453" t="s">
        <v>12598</v>
      </c>
      <c r="F4453" t="s">
        <v>12599</v>
      </c>
      <c r="G4453" s="1"/>
      <c r="H4453" t="str">
        <f>"4012740212601"</f>
        <v>4012740212601</v>
      </c>
      <c r="J4453" t="s">
        <v>12722</v>
      </c>
    </row>
    <row r="4454" spans="1:10" x14ac:dyDescent="0.25">
      <c r="A4454" t="s">
        <v>8</v>
      </c>
      <c r="B4454" t="s">
        <v>12723</v>
      </c>
      <c r="C4454" t="s">
        <v>12724</v>
      </c>
      <c r="D4454">
        <v>1</v>
      </c>
      <c r="E4454" t="s">
        <v>12598</v>
      </c>
      <c r="F4454" t="s">
        <v>12599</v>
      </c>
      <c r="G4454" s="1"/>
      <c r="H4454" t="str">
        <f>"4012740212618"</f>
        <v>4012740212618</v>
      </c>
      <c r="J4454" t="s">
        <v>12665</v>
      </c>
    </row>
    <row r="4455" spans="1:10" x14ac:dyDescent="0.25">
      <c r="A4455" t="s">
        <v>8</v>
      </c>
      <c r="B4455" t="s">
        <v>12725</v>
      </c>
      <c r="C4455" t="s">
        <v>12726</v>
      </c>
      <c r="D4455">
        <v>1</v>
      </c>
      <c r="E4455" t="s">
        <v>12598</v>
      </c>
      <c r="F4455" t="s">
        <v>12599</v>
      </c>
      <c r="G4455" s="1"/>
      <c r="H4455" t="str">
        <f>"4012740199087"</f>
        <v>4012740199087</v>
      </c>
      <c r="J4455" t="s">
        <v>12727</v>
      </c>
    </row>
    <row r="4456" spans="1:10" x14ac:dyDescent="0.25">
      <c r="A4456" t="s">
        <v>8</v>
      </c>
      <c r="B4456" t="s">
        <v>12728</v>
      </c>
      <c r="C4456" t="s">
        <v>12729</v>
      </c>
      <c r="D4456">
        <v>1</v>
      </c>
      <c r="E4456" t="s">
        <v>12598</v>
      </c>
      <c r="F4456" t="s">
        <v>12599</v>
      </c>
      <c r="G4456" s="1"/>
      <c r="H4456" t="str">
        <f>"4012740199094"</f>
        <v>4012740199094</v>
      </c>
      <c r="J4456" t="s">
        <v>3348</v>
      </c>
    </row>
    <row r="4457" spans="1:10" x14ac:dyDescent="0.25">
      <c r="A4457" t="s">
        <v>8</v>
      </c>
      <c r="B4457" t="s">
        <v>12730</v>
      </c>
      <c r="C4457" t="s">
        <v>12731</v>
      </c>
      <c r="D4457">
        <v>1</v>
      </c>
      <c r="E4457" t="s">
        <v>12598</v>
      </c>
      <c r="F4457" t="s">
        <v>12599</v>
      </c>
      <c r="G4457" s="1"/>
      <c r="H4457" t="str">
        <f>"4012740199100"</f>
        <v>4012740199100</v>
      </c>
      <c r="J4457" t="s">
        <v>12732</v>
      </c>
    </row>
    <row r="4458" spans="1:10" x14ac:dyDescent="0.25">
      <c r="A4458" t="s">
        <v>8</v>
      </c>
      <c r="B4458" t="s">
        <v>12733</v>
      </c>
      <c r="C4458" t="s">
        <v>12734</v>
      </c>
      <c r="D4458">
        <v>1</v>
      </c>
      <c r="E4458" t="s">
        <v>12598</v>
      </c>
      <c r="F4458" t="s">
        <v>12599</v>
      </c>
      <c r="G4458" s="1"/>
      <c r="H4458" t="str">
        <f>"4012740198851"</f>
        <v>4012740198851</v>
      </c>
      <c r="J4458" t="s">
        <v>12735</v>
      </c>
    </row>
    <row r="4459" spans="1:10" x14ac:dyDescent="0.25">
      <c r="A4459" t="s">
        <v>8</v>
      </c>
      <c r="B4459" t="s">
        <v>12736</v>
      </c>
      <c r="C4459" t="s">
        <v>12737</v>
      </c>
      <c r="D4459">
        <v>1</v>
      </c>
      <c r="E4459" t="s">
        <v>12598</v>
      </c>
      <c r="F4459" t="s">
        <v>12599</v>
      </c>
      <c r="G4459" s="1"/>
      <c r="H4459" t="str">
        <f>"4012740198868"</f>
        <v>4012740198868</v>
      </c>
      <c r="J4459" t="s">
        <v>12738</v>
      </c>
    </row>
    <row r="4460" spans="1:10" x14ac:dyDescent="0.25">
      <c r="A4460" t="s">
        <v>8</v>
      </c>
      <c r="B4460" t="s">
        <v>12739</v>
      </c>
      <c r="C4460" t="s">
        <v>12740</v>
      </c>
      <c r="D4460">
        <v>1</v>
      </c>
      <c r="E4460" t="s">
        <v>12598</v>
      </c>
      <c r="F4460" t="s">
        <v>12599</v>
      </c>
      <c r="G4460" s="1"/>
      <c r="H4460" t="str">
        <f>"4012740212557"</f>
        <v>4012740212557</v>
      </c>
      <c r="J4460" t="s">
        <v>12659</v>
      </c>
    </row>
    <row r="4461" spans="1:10" x14ac:dyDescent="0.25">
      <c r="A4461" t="s">
        <v>8</v>
      </c>
      <c r="B4461" t="s">
        <v>12741</v>
      </c>
      <c r="C4461" t="s">
        <v>12742</v>
      </c>
      <c r="D4461">
        <v>1</v>
      </c>
      <c r="E4461" t="s">
        <v>12598</v>
      </c>
      <c r="F4461" t="s">
        <v>12599</v>
      </c>
      <c r="G4461" s="1"/>
      <c r="H4461" t="str">
        <f>"4012740198875"</f>
        <v>4012740198875</v>
      </c>
      <c r="J4461" t="s">
        <v>8985</v>
      </c>
    </row>
    <row r="4462" spans="1:10" x14ac:dyDescent="0.25">
      <c r="A4462" t="s">
        <v>8</v>
      </c>
      <c r="B4462" t="s">
        <v>12743</v>
      </c>
      <c r="C4462" t="s">
        <v>12744</v>
      </c>
      <c r="D4462">
        <v>1</v>
      </c>
      <c r="E4462" t="s">
        <v>12598</v>
      </c>
      <c r="F4462" t="s">
        <v>12599</v>
      </c>
      <c r="G4462" s="1"/>
      <c r="H4462" t="str">
        <f>"4012740212564"</f>
        <v>4012740212564</v>
      </c>
      <c r="J4462" t="s">
        <v>12745</v>
      </c>
    </row>
    <row r="4463" spans="1:10" x14ac:dyDescent="0.25">
      <c r="A4463" t="s">
        <v>8</v>
      </c>
      <c r="B4463" t="s">
        <v>12746</v>
      </c>
      <c r="C4463" t="s">
        <v>12747</v>
      </c>
      <c r="D4463">
        <v>1</v>
      </c>
      <c r="E4463" t="s">
        <v>12598</v>
      </c>
      <c r="F4463" t="s">
        <v>12599</v>
      </c>
      <c r="G4463" s="1"/>
      <c r="H4463" t="str">
        <f>"4012740198882"</f>
        <v>4012740198882</v>
      </c>
      <c r="J4463" t="s">
        <v>12748</v>
      </c>
    </row>
    <row r="4464" spans="1:10" x14ac:dyDescent="0.25">
      <c r="A4464" t="s">
        <v>8</v>
      </c>
      <c r="B4464" t="s">
        <v>12749</v>
      </c>
      <c r="C4464" t="s">
        <v>12750</v>
      </c>
      <c r="D4464">
        <v>1</v>
      </c>
      <c r="E4464" t="s">
        <v>12598</v>
      </c>
      <c r="F4464" t="s">
        <v>12599</v>
      </c>
      <c r="G4464" s="1"/>
      <c r="H4464" t="str">
        <f>"4012740198899"</f>
        <v>4012740198899</v>
      </c>
      <c r="J4464" t="s">
        <v>12751</v>
      </c>
    </row>
    <row r="4465" spans="1:10" x14ac:dyDescent="0.25">
      <c r="A4465" t="s">
        <v>8</v>
      </c>
      <c r="B4465" t="s">
        <v>12752</v>
      </c>
      <c r="C4465" t="s">
        <v>12753</v>
      </c>
      <c r="D4465">
        <v>1</v>
      </c>
      <c r="E4465" t="s">
        <v>12598</v>
      </c>
      <c r="F4465" t="s">
        <v>12599</v>
      </c>
      <c r="G4465" s="1"/>
      <c r="H4465" t="str">
        <f>"4012740198905"</f>
        <v>4012740198905</v>
      </c>
      <c r="J4465" t="s">
        <v>12754</v>
      </c>
    </row>
    <row r="4466" spans="1:10" x14ac:dyDescent="0.25">
      <c r="A4466" t="s">
        <v>8</v>
      </c>
      <c r="B4466" t="s">
        <v>12755</v>
      </c>
      <c r="C4466" t="s">
        <v>12756</v>
      </c>
      <c r="D4466">
        <v>1</v>
      </c>
      <c r="E4466" t="s">
        <v>12598</v>
      </c>
      <c r="F4466" t="s">
        <v>12599</v>
      </c>
      <c r="G4466" s="1"/>
      <c r="H4466" t="str">
        <f>"4012740198912"</f>
        <v>4012740198912</v>
      </c>
      <c r="I4466" s="1"/>
      <c r="J4466" t="s">
        <v>12757</v>
      </c>
    </row>
    <row r="4467" spans="1:10" x14ac:dyDescent="0.25">
      <c r="A4467" t="s">
        <v>8</v>
      </c>
      <c r="B4467" t="s">
        <v>12758</v>
      </c>
      <c r="C4467" t="s">
        <v>12759</v>
      </c>
      <c r="D4467">
        <v>1</v>
      </c>
      <c r="E4467" t="s">
        <v>12598</v>
      </c>
      <c r="F4467" t="s">
        <v>12599</v>
      </c>
      <c r="G4467" s="1"/>
      <c r="H4467" t="str">
        <f>"4012740198929"</f>
        <v>4012740198929</v>
      </c>
      <c r="J4467" t="s">
        <v>12760</v>
      </c>
    </row>
    <row r="4468" spans="1:10" x14ac:dyDescent="0.25">
      <c r="A4468" t="s">
        <v>8</v>
      </c>
      <c r="B4468" t="s">
        <v>12761</v>
      </c>
      <c r="C4468" t="s">
        <v>12762</v>
      </c>
      <c r="D4468">
        <v>1</v>
      </c>
      <c r="E4468" t="s">
        <v>12598</v>
      </c>
      <c r="F4468" t="s">
        <v>12599</v>
      </c>
      <c r="G4468" s="1"/>
      <c r="H4468" t="str">
        <f>"4012740212571"</f>
        <v>4012740212571</v>
      </c>
      <c r="J4468" t="s">
        <v>12763</v>
      </c>
    </row>
    <row r="4469" spans="1:10" x14ac:dyDescent="0.25">
      <c r="A4469" t="s">
        <v>8</v>
      </c>
      <c r="B4469" t="s">
        <v>12764</v>
      </c>
      <c r="C4469" t="s">
        <v>12765</v>
      </c>
      <c r="D4469">
        <v>1</v>
      </c>
      <c r="E4469" t="s">
        <v>12598</v>
      </c>
      <c r="F4469" t="s">
        <v>12599</v>
      </c>
      <c r="G4469" s="1"/>
      <c r="H4469" t="str">
        <f>"4012740198936"</f>
        <v>4012740198936</v>
      </c>
      <c r="J4469" t="s">
        <v>12766</v>
      </c>
    </row>
    <row r="4470" spans="1:10" x14ac:dyDescent="0.25">
      <c r="A4470" t="s">
        <v>8</v>
      </c>
      <c r="B4470" t="s">
        <v>12767</v>
      </c>
      <c r="C4470" t="s">
        <v>12768</v>
      </c>
      <c r="D4470">
        <v>1</v>
      </c>
      <c r="E4470" t="s">
        <v>12598</v>
      </c>
      <c r="F4470" t="s">
        <v>12599</v>
      </c>
      <c r="G4470" s="1"/>
      <c r="H4470" t="str">
        <f>"4012740198943"</f>
        <v>4012740198943</v>
      </c>
      <c r="J4470" t="s">
        <v>12769</v>
      </c>
    </row>
    <row r="4471" spans="1:10" x14ac:dyDescent="0.25">
      <c r="A4471" t="s">
        <v>8</v>
      </c>
      <c r="B4471" t="s">
        <v>12770</v>
      </c>
      <c r="C4471" t="s">
        <v>12771</v>
      </c>
      <c r="D4471">
        <v>1</v>
      </c>
      <c r="E4471" t="s">
        <v>12598</v>
      </c>
      <c r="F4471" t="s">
        <v>12599</v>
      </c>
      <c r="G4471" s="1"/>
      <c r="H4471" t="str">
        <f>"4012740198950"</f>
        <v>4012740198950</v>
      </c>
      <c r="J4471" t="s">
        <v>12772</v>
      </c>
    </row>
    <row r="4472" spans="1:10" x14ac:dyDescent="0.25">
      <c r="A4472" t="s">
        <v>8</v>
      </c>
      <c r="B4472" t="s">
        <v>12773</v>
      </c>
      <c r="C4472" t="s">
        <v>12774</v>
      </c>
      <c r="D4472">
        <v>1</v>
      </c>
      <c r="E4472" t="s">
        <v>12598</v>
      </c>
      <c r="F4472" t="s">
        <v>12599</v>
      </c>
      <c r="G4472" s="1"/>
      <c r="H4472" t="str">
        <f>"4012740198967"</f>
        <v>4012740198967</v>
      </c>
      <c r="J4472" t="s">
        <v>12775</v>
      </c>
    </row>
    <row r="4473" spans="1:10" x14ac:dyDescent="0.25">
      <c r="A4473" t="s">
        <v>8</v>
      </c>
      <c r="B4473" t="s">
        <v>12776</v>
      </c>
      <c r="C4473" t="s">
        <v>12777</v>
      </c>
      <c r="D4473">
        <v>1</v>
      </c>
      <c r="E4473" t="s">
        <v>12598</v>
      </c>
      <c r="F4473" t="s">
        <v>12599</v>
      </c>
      <c r="G4473" s="1"/>
      <c r="H4473" t="str">
        <f>"4012740198998"</f>
        <v>4012740198998</v>
      </c>
      <c r="J4473" t="s">
        <v>12778</v>
      </c>
    </row>
    <row r="4474" spans="1:10" x14ac:dyDescent="0.25">
      <c r="A4474" t="s">
        <v>8</v>
      </c>
      <c r="B4474" t="s">
        <v>12779</v>
      </c>
      <c r="C4474" t="s">
        <v>12780</v>
      </c>
      <c r="D4474">
        <v>1</v>
      </c>
      <c r="E4474" t="s">
        <v>12598</v>
      </c>
      <c r="F4474" t="s">
        <v>12599</v>
      </c>
      <c r="G4474" s="1"/>
      <c r="H4474" t="str">
        <f>"4012740199001"</f>
        <v>4012740199001</v>
      </c>
      <c r="J4474" t="s">
        <v>12781</v>
      </c>
    </row>
    <row r="4475" spans="1:10" x14ac:dyDescent="0.25">
      <c r="A4475" t="s">
        <v>8</v>
      </c>
      <c r="B4475" t="s">
        <v>12782</v>
      </c>
      <c r="C4475" t="s">
        <v>12783</v>
      </c>
      <c r="D4475">
        <v>1</v>
      </c>
      <c r="E4475" t="s">
        <v>12598</v>
      </c>
      <c r="F4475" t="s">
        <v>12599</v>
      </c>
      <c r="G4475" s="1"/>
      <c r="H4475" t="str">
        <f>"4012740212588"</f>
        <v>4012740212588</v>
      </c>
      <c r="J4475" t="s">
        <v>12784</v>
      </c>
    </row>
    <row r="4476" spans="1:10" x14ac:dyDescent="0.25">
      <c r="A4476" t="s">
        <v>8</v>
      </c>
      <c r="B4476" t="s">
        <v>12785</v>
      </c>
      <c r="C4476" t="s">
        <v>12786</v>
      </c>
      <c r="D4476">
        <v>1</v>
      </c>
      <c r="E4476" t="s">
        <v>12598</v>
      </c>
      <c r="F4476" t="s">
        <v>12599</v>
      </c>
      <c r="G4476" s="1"/>
      <c r="H4476" t="str">
        <f>"4012740199032"</f>
        <v>4012740199032</v>
      </c>
      <c r="J4476" t="s">
        <v>12677</v>
      </c>
    </row>
    <row r="4477" spans="1:10" x14ac:dyDescent="0.25">
      <c r="A4477" t="s">
        <v>8</v>
      </c>
      <c r="B4477" t="s">
        <v>12787</v>
      </c>
      <c r="C4477" t="s">
        <v>12788</v>
      </c>
      <c r="D4477">
        <v>1</v>
      </c>
      <c r="E4477" t="s">
        <v>12598</v>
      </c>
      <c r="F4477" t="s">
        <v>12599</v>
      </c>
      <c r="G4477" s="1"/>
      <c r="H4477" t="str">
        <f>"4012740199049"</f>
        <v>4012740199049</v>
      </c>
      <c r="J4477" t="s">
        <v>12789</v>
      </c>
    </row>
    <row r="4478" spans="1:10" x14ac:dyDescent="0.25">
      <c r="A4478" t="s">
        <v>8</v>
      </c>
      <c r="B4478" t="s">
        <v>12790</v>
      </c>
      <c r="C4478" t="s">
        <v>12791</v>
      </c>
      <c r="D4478">
        <v>1</v>
      </c>
      <c r="E4478" t="s">
        <v>12598</v>
      </c>
      <c r="F4478" t="s">
        <v>12599</v>
      </c>
      <c r="G4478" s="1"/>
      <c r="H4478" t="str">
        <f>"4012740199056"</f>
        <v>4012740199056</v>
      </c>
      <c r="J4478" t="s">
        <v>12792</v>
      </c>
    </row>
    <row r="4479" spans="1:10" x14ac:dyDescent="0.25">
      <c r="A4479" t="s">
        <v>8</v>
      </c>
      <c r="B4479" t="s">
        <v>12793</v>
      </c>
      <c r="C4479" t="s">
        <v>12794</v>
      </c>
      <c r="D4479">
        <v>1</v>
      </c>
      <c r="E4479" t="s">
        <v>12598</v>
      </c>
      <c r="F4479" t="s">
        <v>12599</v>
      </c>
      <c r="G4479" s="1"/>
      <c r="H4479" t="str">
        <f>"4012740199063"</f>
        <v>4012740199063</v>
      </c>
      <c r="J4479" t="s">
        <v>12795</v>
      </c>
    </row>
    <row r="4480" spans="1:10" x14ac:dyDescent="0.25">
      <c r="A4480" t="s">
        <v>8</v>
      </c>
      <c r="B4480" t="s">
        <v>12796</v>
      </c>
      <c r="C4480" t="s">
        <v>12797</v>
      </c>
      <c r="D4480">
        <v>1</v>
      </c>
      <c r="E4480" t="s">
        <v>12598</v>
      </c>
      <c r="F4480" t="s">
        <v>12599</v>
      </c>
      <c r="G4480" s="1"/>
      <c r="H4480" t="str">
        <f>"4012740199070"</f>
        <v>4012740199070</v>
      </c>
      <c r="J4480" t="s">
        <v>12798</v>
      </c>
    </row>
    <row r="4481" spans="1:10" x14ac:dyDescent="0.25">
      <c r="A4481" t="s">
        <v>8</v>
      </c>
      <c r="B4481" t="s">
        <v>12799</v>
      </c>
      <c r="C4481" t="s">
        <v>12800</v>
      </c>
      <c r="D4481">
        <v>1</v>
      </c>
      <c r="E4481" t="s">
        <v>12598</v>
      </c>
      <c r="F4481" t="s">
        <v>12599</v>
      </c>
      <c r="G4481" s="1"/>
      <c r="H4481" t="str">
        <f>"4012740878777"</f>
        <v>4012740878777</v>
      </c>
      <c r="J4481" t="s">
        <v>12801</v>
      </c>
    </row>
    <row r="4482" spans="1:10" x14ac:dyDescent="0.25">
      <c r="A4482" t="s">
        <v>8</v>
      </c>
      <c r="B4482" t="s">
        <v>12802</v>
      </c>
      <c r="C4482" t="s">
        <v>12803</v>
      </c>
      <c r="D4482">
        <v>1</v>
      </c>
      <c r="E4482" t="s">
        <v>12598</v>
      </c>
      <c r="F4482" t="s">
        <v>12599</v>
      </c>
      <c r="G4482" s="1"/>
      <c r="H4482" t="str">
        <f>"4012740138659"</f>
        <v>4012740138659</v>
      </c>
      <c r="J4482" t="s">
        <v>12804</v>
      </c>
    </row>
    <row r="4483" spans="1:10" x14ac:dyDescent="0.25">
      <c r="A4483" t="s">
        <v>8</v>
      </c>
      <c r="B4483" t="s">
        <v>12805</v>
      </c>
      <c r="C4483" t="s">
        <v>12806</v>
      </c>
      <c r="D4483">
        <v>1</v>
      </c>
      <c r="E4483" t="s">
        <v>12807</v>
      </c>
      <c r="F4483" t="s">
        <v>12808</v>
      </c>
      <c r="G4483" s="1"/>
      <c r="H4483" t="str">
        <f>"4012740203319"</f>
        <v>4012740203319</v>
      </c>
      <c r="J4483" t="s">
        <v>12809</v>
      </c>
    </row>
    <row r="4484" spans="1:10" x14ac:dyDescent="0.25">
      <c r="A4484" t="s">
        <v>8</v>
      </c>
      <c r="B4484" t="s">
        <v>12810</v>
      </c>
      <c r="C4484" t="s">
        <v>12811</v>
      </c>
      <c r="D4484">
        <v>1</v>
      </c>
      <c r="E4484" t="s">
        <v>12807</v>
      </c>
      <c r="F4484" t="s">
        <v>12808</v>
      </c>
      <c r="G4484" s="1"/>
      <c r="H4484" t="str">
        <f>"4012740205894"</f>
        <v>4012740205894</v>
      </c>
      <c r="J4484" t="s">
        <v>12812</v>
      </c>
    </row>
    <row r="4485" spans="1:10" x14ac:dyDescent="0.25">
      <c r="A4485" t="s">
        <v>8</v>
      </c>
      <c r="B4485" t="s">
        <v>12813</v>
      </c>
      <c r="C4485" t="s">
        <v>12814</v>
      </c>
      <c r="D4485">
        <v>1</v>
      </c>
      <c r="E4485" t="s">
        <v>12807</v>
      </c>
      <c r="F4485" t="s">
        <v>12808</v>
      </c>
      <c r="G4485" s="1"/>
      <c r="H4485" t="str">
        <f>"4012740205658"</f>
        <v>4012740205658</v>
      </c>
      <c r="J4485" t="s">
        <v>12815</v>
      </c>
    </row>
    <row r="4486" spans="1:10" x14ac:dyDescent="0.25">
      <c r="A4486" t="s">
        <v>8</v>
      </c>
      <c r="B4486" t="s">
        <v>12816</v>
      </c>
      <c r="C4486" t="s">
        <v>12817</v>
      </c>
      <c r="D4486">
        <v>1</v>
      </c>
      <c r="E4486" t="s">
        <v>12807</v>
      </c>
      <c r="F4486" t="s">
        <v>12808</v>
      </c>
      <c r="G4486" s="1"/>
      <c r="H4486" t="str">
        <f>"4012740205863"</f>
        <v>4012740205863</v>
      </c>
      <c r="J4486" t="s">
        <v>12818</v>
      </c>
    </row>
    <row r="4487" spans="1:10" x14ac:dyDescent="0.25">
      <c r="A4487" t="s">
        <v>8</v>
      </c>
      <c r="B4487" t="s">
        <v>12819</v>
      </c>
      <c r="C4487" t="s">
        <v>12820</v>
      </c>
      <c r="D4487">
        <v>1</v>
      </c>
      <c r="E4487" t="s">
        <v>12807</v>
      </c>
      <c r="F4487" t="s">
        <v>12808</v>
      </c>
      <c r="G4487" s="1"/>
      <c r="H4487" t="str">
        <f>"4012740205627"</f>
        <v>4012740205627</v>
      </c>
      <c r="J4487" t="s">
        <v>12821</v>
      </c>
    </row>
    <row r="4488" spans="1:10" x14ac:dyDescent="0.25">
      <c r="A4488" t="s">
        <v>8</v>
      </c>
      <c r="B4488" t="s">
        <v>12822</v>
      </c>
      <c r="C4488" t="s">
        <v>12823</v>
      </c>
      <c r="D4488">
        <v>1</v>
      </c>
      <c r="E4488" t="s">
        <v>12807</v>
      </c>
      <c r="F4488" t="s">
        <v>12808</v>
      </c>
      <c r="G4488" s="1"/>
      <c r="H4488" t="str">
        <f>"4012740205924"</f>
        <v>4012740205924</v>
      </c>
      <c r="J4488" t="s">
        <v>12824</v>
      </c>
    </row>
    <row r="4489" spans="1:10" x14ac:dyDescent="0.25">
      <c r="A4489" t="s">
        <v>8</v>
      </c>
      <c r="B4489" t="s">
        <v>12825</v>
      </c>
      <c r="C4489" t="s">
        <v>12826</v>
      </c>
      <c r="D4489">
        <v>1</v>
      </c>
      <c r="E4489" t="s">
        <v>12807</v>
      </c>
      <c r="F4489" t="s">
        <v>12808</v>
      </c>
      <c r="G4489" s="1"/>
      <c r="H4489" t="str">
        <f>"4012740205689"</f>
        <v>4012740205689</v>
      </c>
      <c r="J4489" t="s">
        <v>12827</v>
      </c>
    </row>
    <row r="4490" spans="1:10" x14ac:dyDescent="0.25">
      <c r="A4490" t="s">
        <v>8</v>
      </c>
      <c r="B4490" t="s">
        <v>12828</v>
      </c>
      <c r="C4490" t="s">
        <v>12829</v>
      </c>
      <c r="D4490">
        <v>1</v>
      </c>
      <c r="E4490" t="s">
        <v>12807</v>
      </c>
      <c r="F4490" t="s">
        <v>12808</v>
      </c>
      <c r="G4490" s="1"/>
      <c r="H4490" t="str">
        <f>"4012740206105"</f>
        <v>4012740206105</v>
      </c>
      <c r="J4490" t="s">
        <v>12830</v>
      </c>
    </row>
    <row r="4491" spans="1:10" x14ac:dyDescent="0.25">
      <c r="A4491" t="s">
        <v>8</v>
      </c>
      <c r="B4491" t="s">
        <v>12831</v>
      </c>
      <c r="C4491" t="s">
        <v>12832</v>
      </c>
      <c r="D4491">
        <v>1</v>
      </c>
      <c r="E4491" t="s">
        <v>12807</v>
      </c>
      <c r="F4491" t="s">
        <v>12808</v>
      </c>
      <c r="G4491" s="1"/>
      <c r="H4491" t="str">
        <f>"4012740206044"</f>
        <v>4012740206044</v>
      </c>
      <c r="J4491" t="s">
        <v>12833</v>
      </c>
    </row>
    <row r="4492" spans="1:10" x14ac:dyDescent="0.25">
      <c r="A4492" t="s">
        <v>8</v>
      </c>
      <c r="B4492" t="s">
        <v>12834</v>
      </c>
      <c r="C4492" t="s">
        <v>12835</v>
      </c>
      <c r="D4492">
        <v>1</v>
      </c>
      <c r="E4492" t="s">
        <v>12807</v>
      </c>
      <c r="F4492" t="s">
        <v>12808</v>
      </c>
      <c r="G4492" s="1"/>
      <c r="H4492" t="str">
        <f>"4012740208215"</f>
        <v>4012740208215</v>
      </c>
      <c r="J4492" t="s">
        <v>12836</v>
      </c>
    </row>
    <row r="4493" spans="1:10" x14ac:dyDescent="0.25">
      <c r="A4493" t="s">
        <v>8</v>
      </c>
      <c r="B4493" t="s">
        <v>12837</v>
      </c>
      <c r="C4493" t="s">
        <v>12838</v>
      </c>
      <c r="D4493">
        <v>1</v>
      </c>
      <c r="E4493" t="s">
        <v>12807</v>
      </c>
      <c r="F4493" t="s">
        <v>12808</v>
      </c>
      <c r="G4493" s="1"/>
      <c r="H4493" t="str">
        <f>"4012740205719"</f>
        <v>4012740205719</v>
      </c>
      <c r="J4493" t="s">
        <v>12839</v>
      </c>
    </row>
    <row r="4494" spans="1:10" x14ac:dyDescent="0.25">
      <c r="A4494" t="s">
        <v>8</v>
      </c>
      <c r="B4494" t="s">
        <v>12840</v>
      </c>
      <c r="C4494" t="s">
        <v>12841</v>
      </c>
      <c r="D4494">
        <v>1</v>
      </c>
      <c r="E4494" t="s">
        <v>12807</v>
      </c>
      <c r="F4494" t="s">
        <v>12808</v>
      </c>
      <c r="G4494" s="1"/>
      <c r="H4494" t="str">
        <f>"4012740203357"</f>
        <v>4012740203357</v>
      </c>
      <c r="J4494" t="s">
        <v>12842</v>
      </c>
    </row>
    <row r="4495" spans="1:10" x14ac:dyDescent="0.25">
      <c r="A4495" t="s">
        <v>8</v>
      </c>
      <c r="B4495" t="s">
        <v>12843</v>
      </c>
      <c r="C4495" t="s">
        <v>12844</v>
      </c>
      <c r="D4495">
        <v>1</v>
      </c>
      <c r="E4495" t="s">
        <v>12807</v>
      </c>
      <c r="F4495" t="s">
        <v>12808</v>
      </c>
      <c r="G4495" s="1"/>
      <c r="H4495" t="str">
        <f>"4012740203289"</f>
        <v>4012740203289</v>
      </c>
      <c r="J4495" t="s">
        <v>12845</v>
      </c>
    </row>
    <row r="4496" spans="1:10" x14ac:dyDescent="0.25">
      <c r="A4496" t="s">
        <v>8</v>
      </c>
      <c r="B4496" t="s">
        <v>12846</v>
      </c>
      <c r="C4496" t="s">
        <v>12847</v>
      </c>
      <c r="D4496">
        <v>1</v>
      </c>
      <c r="E4496" t="s">
        <v>12807</v>
      </c>
      <c r="F4496" t="s">
        <v>12808</v>
      </c>
      <c r="G4496" s="1"/>
      <c r="H4496" t="str">
        <f>"4012740205986"</f>
        <v>4012740205986</v>
      </c>
      <c r="J4496" t="s">
        <v>12848</v>
      </c>
    </row>
    <row r="4497" spans="1:10" x14ac:dyDescent="0.25">
      <c r="A4497" t="s">
        <v>8</v>
      </c>
      <c r="B4497" t="s">
        <v>12849</v>
      </c>
      <c r="C4497" t="s">
        <v>12850</v>
      </c>
      <c r="D4497">
        <v>1</v>
      </c>
      <c r="E4497" t="s">
        <v>12807</v>
      </c>
      <c r="F4497" t="s">
        <v>12808</v>
      </c>
      <c r="G4497" s="1"/>
      <c r="H4497" t="str">
        <f>"4012740205771"</f>
        <v>4012740205771</v>
      </c>
      <c r="J4497" t="s">
        <v>12851</v>
      </c>
    </row>
    <row r="4498" spans="1:10" x14ac:dyDescent="0.25">
      <c r="A4498" t="s">
        <v>8</v>
      </c>
      <c r="B4498" t="s">
        <v>12852</v>
      </c>
      <c r="C4498" t="s">
        <v>12853</v>
      </c>
      <c r="D4498">
        <v>1</v>
      </c>
      <c r="E4498" t="s">
        <v>12807</v>
      </c>
      <c r="F4498" t="s">
        <v>12808</v>
      </c>
      <c r="G4498" s="1"/>
      <c r="H4498" t="str">
        <f>"4012740205955"</f>
        <v>4012740205955</v>
      </c>
      <c r="J4498" t="s">
        <v>12854</v>
      </c>
    </row>
    <row r="4499" spans="1:10" x14ac:dyDescent="0.25">
      <c r="A4499" t="s">
        <v>8</v>
      </c>
      <c r="B4499" t="s">
        <v>12855</v>
      </c>
      <c r="C4499" t="s">
        <v>12856</v>
      </c>
      <c r="D4499">
        <v>1</v>
      </c>
      <c r="E4499" t="s">
        <v>12807</v>
      </c>
      <c r="F4499" t="s">
        <v>12808</v>
      </c>
      <c r="G4499" s="1"/>
      <c r="H4499" t="str">
        <f>"4012740205740"</f>
        <v>4012740205740</v>
      </c>
      <c r="J4499" t="s">
        <v>12857</v>
      </c>
    </row>
    <row r="4500" spans="1:10" x14ac:dyDescent="0.25">
      <c r="A4500" t="s">
        <v>8</v>
      </c>
      <c r="B4500" t="s">
        <v>12858</v>
      </c>
      <c r="C4500" t="s">
        <v>12859</v>
      </c>
      <c r="D4500">
        <v>1</v>
      </c>
      <c r="E4500" t="s">
        <v>12807</v>
      </c>
      <c r="F4500" t="s">
        <v>12808</v>
      </c>
      <c r="G4500" s="1"/>
      <c r="H4500" t="str">
        <f>"4012740206013"</f>
        <v>4012740206013</v>
      </c>
      <c r="J4500" t="s">
        <v>12860</v>
      </c>
    </row>
    <row r="4501" spans="1:10" x14ac:dyDescent="0.25">
      <c r="A4501" t="s">
        <v>8</v>
      </c>
      <c r="B4501" t="s">
        <v>12861</v>
      </c>
      <c r="C4501" t="s">
        <v>12862</v>
      </c>
      <c r="D4501">
        <v>1</v>
      </c>
      <c r="E4501" t="s">
        <v>12807</v>
      </c>
      <c r="F4501" t="s">
        <v>12808</v>
      </c>
      <c r="G4501" s="1"/>
      <c r="H4501" t="str">
        <f>"4012740205801"</f>
        <v>4012740205801</v>
      </c>
      <c r="J4501" t="s">
        <v>12863</v>
      </c>
    </row>
    <row r="4502" spans="1:10" x14ac:dyDescent="0.25">
      <c r="A4502" t="s">
        <v>8</v>
      </c>
      <c r="B4502" t="s">
        <v>12864</v>
      </c>
      <c r="C4502" t="s">
        <v>12865</v>
      </c>
      <c r="D4502">
        <v>1</v>
      </c>
      <c r="E4502" t="s">
        <v>12807</v>
      </c>
      <c r="F4502" t="s">
        <v>12808</v>
      </c>
      <c r="G4502" s="1"/>
      <c r="H4502" t="str">
        <f>"4012740206136"</f>
        <v>4012740206136</v>
      </c>
      <c r="J4502" t="s">
        <v>12866</v>
      </c>
    </row>
    <row r="4503" spans="1:10" x14ac:dyDescent="0.25">
      <c r="A4503" t="s">
        <v>8</v>
      </c>
      <c r="B4503" t="s">
        <v>12867</v>
      </c>
      <c r="C4503" t="s">
        <v>12868</v>
      </c>
      <c r="D4503">
        <v>1</v>
      </c>
      <c r="E4503" t="s">
        <v>12807</v>
      </c>
      <c r="F4503" t="s">
        <v>12808</v>
      </c>
      <c r="G4503" s="1"/>
      <c r="H4503" t="str">
        <f>"4012740206075"</f>
        <v>4012740206075</v>
      </c>
      <c r="J4503" t="s">
        <v>12869</v>
      </c>
    </row>
    <row r="4504" spans="1:10" x14ac:dyDescent="0.25">
      <c r="A4504" t="s">
        <v>8</v>
      </c>
      <c r="B4504" t="s">
        <v>12870</v>
      </c>
      <c r="C4504" t="s">
        <v>12871</v>
      </c>
      <c r="D4504">
        <v>1</v>
      </c>
      <c r="E4504" t="s">
        <v>12807</v>
      </c>
      <c r="F4504" t="s">
        <v>12808</v>
      </c>
      <c r="G4504" s="1"/>
      <c r="H4504" t="str">
        <f>"4012740208222"</f>
        <v>4012740208222</v>
      </c>
      <c r="J4504" t="s">
        <v>12860</v>
      </c>
    </row>
    <row r="4505" spans="1:10" x14ac:dyDescent="0.25">
      <c r="A4505" t="s">
        <v>8</v>
      </c>
      <c r="B4505" t="s">
        <v>12872</v>
      </c>
      <c r="C4505" t="s">
        <v>12873</v>
      </c>
      <c r="D4505">
        <v>1</v>
      </c>
      <c r="E4505" t="s">
        <v>12807</v>
      </c>
      <c r="F4505" t="s">
        <v>12808</v>
      </c>
      <c r="G4505" s="1"/>
      <c r="H4505" t="str">
        <f>"4012740205832"</f>
        <v>4012740205832</v>
      </c>
      <c r="J4505" t="s">
        <v>12863</v>
      </c>
    </row>
    <row r="4506" spans="1:10" x14ac:dyDescent="0.25">
      <c r="A4506" t="s">
        <v>8</v>
      </c>
      <c r="B4506" t="s">
        <v>12874</v>
      </c>
      <c r="C4506" t="s">
        <v>12875</v>
      </c>
      <c r="D4506">
        <v>1</v>
      </c>
      <c r="E4506" t="s">
        <v>12807</v>
      </c>
      <c r="F4506" t="s">
        <v>12808</v>
      </c>
      <c r="G4506" s="1"/>
      <c r="H4506" t="str">
        <f>"4012740205597"</f>
        <v>4012740205597</v>
      </c>
      <c r="J4506" t="s">
        <v>12876</v>
      </c>
    </row>
    <row r="4507" spans="1:10" x14ac:dyDescent="0.25">
      <c r="A4507" t="s">
        <v>8</v>
      </c>
      <c r="B4507" t="s">
        <v>12877</v>
      </c>
      <c r="C4507" t="s">
        <v>12878</v>
      </c>
      <c r="D4507">
        <v>1</v>
      </c>
      <c r="E4507" t="s">
        <v>12807</v>
      </c>
      <c r="F4507" t="s">
        <v>12808</v>
      </c>
      <c r="G4507" s="1"/>
      <c r="H4507" t="str">
        <f>"4012740205580"</f>
        <v>4012740205580</v>
      </c>
      <c r="J4507" t="s">
        <v>12879</v>
      </c>
    </row>
    <row r="4508" spans="1:10" x14ac:dyDescent="0.25">
      <c r="A4508" t="s">
        <v>8</v>
      </c>
      <c r="B4508" t="s">
        <v>12880</v>
      </c>
      <c r="C4508" t="s">
        <v>12881</v>
      </c>
      <c r="D4508">
        <v>1</v>
      </c>
      <c r="E4508" t="s">
        <v>12807</v>
      </c>
      <c r="F4508" t="s">
        <v>12808</v>
      </c>
      <c r="G4508" s="1"/>
      <c r="H4508" t="str">
        <f>"4012740222907"</f>
        <v>4012740222907</v>
      </c>
      <c r="J4508" t="s">
        <v>12882</v>
      </c>
    </row>
    <row r="4509" spans="1:10" x14ac:dyDescent="0.25">
      <c r="A4509" t="s">
        <v>8</v>
      </c>
      <c r="B4509" t="s">
        <v>12883</v>
      </c>
      <c r="C4509" t="s">
        <v>12884</v>
      </c>
      <c r="D4509">
        <v>1</v>
      </c>
      <c r="E4509" t="s">
        <v>12807</v>
      </c>
      <c r="F4509" t="s">
        <v>12808</v>
      </c>
      <c r="G4509" s="1"/>
      <c r="H4509" t="str">
        <f>"4012740837675"</f>
        <v>4012740837675</v>
      </c>
      <c r="J4509" t="s">
        <v>12885</v>
      </c>
    </row>
    <row r="4510" spans="1:10" x14ac:dyDescent="0.25">
      <c r="A4510" t="s">
        <v>8</v>
      </c>
      <c r="B4510" t="s">
        <v>12886</v>
      </c>
      <c r="C4510" t="s">
        <v>12887</v>
      </c>
      <c r="D4510">
        <v>1</v>
      </c>
      <c r="E4510" t="s">
        <v>12807</v>
      </c>
      <c r="F4510" t="s">
        <v>12808</v>
      </c>
      <c r="G4510" s="1"/>
      <c r="H4510" t="str">
        <f>"4012740219945"</f>
        <v>4012740219945</v>
      </c>
      <c r="J4510" t="s">
        <v>12888</v>
      </c>
    </row>
    <row r="4511" spans="1:10" x14ac:dyDescent="0.25">
      <c r="A4511" t="s">
        <v>8</v>
      </c>
      <c r="B4511" t="s">
        <v>12889</v>
      </c>
      <c r="C4511" t="s">
        <v>12890</v>
      </c>
      <c r="D4511">
        <v>1</v>
      </c>
      <c r="E4511" t="s">
        <v>12807</v>
      </c>
      <c r="F4511" t="s">
        <v>12808</v>
      </c>
      <c r="G4511" s="1"/>
      <c r="H4511" t="str">
        <f>"4012740222747"</f>
        <v>4012740222747</v>
      </c>
      <c r="J4511" t="s">
        <v>12885</v>
      </c>
    </row>
    <row r="4512" spans="1:10" x14ac:dyDescent="0.25">
      <c r="A4512" t="s">
        <v>8</v>
      </c>
      <c r="B4512" t="s">
        <v>12891</v>
      </c>
      <c r="C4512" t="s">
        <v>12890</v>
      </c>
      <c r="D4512">
        <v>1</v>
      </c>
      <c r="E4512" t="s">
        <v>12807</v>
      </c>
      <c r="F4512" t="s">
        <v>12808</v>
      </c>
      <c r="G4512" s="1"/>
      <c r="H4512" t="str">
        <f>"4012740219822"</f>
        <v>4012740219822</v>
      </c>
      <c r="J4512" t="s">
        <v>12888</v>
      </c>
    </row>
    <row r="4513" spans="1:10" x14ac:dyDescent="0.25">
      <c r="A4513" t="s">
        <v>8</v>
      </c>
      <c r="B4513" t="s">
        <v>12892</v>
      </c>
      <c r="C4513" t="s">
        <v>12893</v>
      </c>
      <c r="D4513">
        <v>1</v>
      </c>
      <c r="E4513" t="s">
        <v>12807</v>
      </c>
      <c r="F4513" t="s">
        <v>12808</v>
      </c>
      <c r="G4513" s="1"/>
      <c r="H4513" t="str">
        <f>"4012740215848"</f>
        <v>4012740215848</v>
      </c>
      <c r="J4513" t="s">
        <v>12894</v>
      </c>
    </row>
    <row r="4514" spans="1:10" x14ac:dyDescent="0.25">
      <c r="A4514" t="s">
        <v>8</v>
      </c>
      <c r="B4514" t="s">
        <v>12895</v>
      </c>
      <c r="C4514" t="s">
        <v>12896</v>
      </c>
      <c r="D4514">
        <v>1</v>
      </c>
      <c r="E4514" t="s">
        <v>12807</v>
      </c>
      <c r="F4514" t="s">
        <v>12808</v>
      </c>
      <c r="G4514" s="1"/>
      <c r="H4514" t="str">
        <f>"4012740853101"</f>
        <v>4012740853101</v>
      </c>
      <c r="J4514" t="s">
        <v>12897</v>
      </c>
    </row>
    <row r="4515" spans="1:10" x14ac:dyDescent="0.25">
      <c r="A4515" t="s">
        <v>8</v>
      </c>
      <c r="B4515" t="s">
        <v>12898</v>
      </c>
      <c r="C4515" t="s">
        <v>12899</v>
      </c>
      <c r="D4515">
        <v>1</v>
      </c>
      <c r="E4515" t="s">
        <v>12807</v>
      </c>
      <c r="F4515" t="s">
        <v>12808</v>
      </c>
      <c r="G4515" s="1"/>
      <c r="H4515" t="str">
        <f>"4012740220040"</f>
        <v>4012740220040</v>
      </c>
      <c r="J4515" t="s">
        <v>12900</v>
      </c>
    </row>
    <row r="4516" spans="1:10" x14ac:dyDescent="0.25">
      <c r="A4516" t="s">
        <v>8</v>
      </c>
      <c r="B4516" t="s">
        <v>12901</v>
      </c>
      <c r="C4516" t="s">
        <v>12902</v>
      </c>
      <c r="D4516">
        <v>1</v>
      </c>
      <c r="E4516" t="s">
        <v>12807</v>
      </c>
      <c r="F4516" t="s">
        <v>12808</v>
      </c>
      <c r="G4516" s="1"/>
      <c r="H4516" t="str">
        <f>"4012740220057"</f>
        <v>4012740220057</v>
      </c>
      <c r="J4516" t="s">
        <v>12903</v>
      </c>
    </row>
    <row r="4517" spans="1:10" x14ac:dyDescent="0.25">
      <c r="A4517" t="s">
        <v>8</v>
      </c>
      <c r="B4517" t="s">
        <v>12904</v>
      </c>
      <c r="C4517" t="s">
        <v>12905</v>
      </c>
      <c r="D4517">
        <v>1</v>
      </c>
      <c r="E4517" t="s">
        <v>12807</v>
      </c>
      <c r="F4517" t="s">
        <v>12808</v>
      </c>
      <c r="G4517" s="1"/>
      <c r="H4517" t="str">
        <f>"4012740213929"</f>
        <v>4012740213929</v>
      </c>
      <c r="J4517" t="s">
        <v>12906</v>
      </c>
    </row>
    <row r="4518" spans="1:10" x14ac:dyDescent="0.25">
      <c r="A4518" t="s">
        <v>8</v>
      </c>
      <c r="B4518" t="s">
        <v>12907</v>
      </c>
      <c r="C4518" t="s">
        <v>12908</v>
      </c>
      <c r="D4518">
        <v>1</v>
      </c>
      <c r="E4518" t="s">
        <v>12807</v>
      </c>
      <c r="F4518" t="s">
        <v>12808</v>
      </c>
      <c r="G4518" s="1"/>
      <c r="H4518" t="str">
        <f>"4012740213950"</f>
        <v>4012740213950</v>
      </c>
      <c r="J4518" t="s">
        <v>12909</v>
      </c>
    </row>
    <row r="4519" spans="1:10" x14ac:dyDescent="0.25">
      <c r="A4519" t="s">
        <v>8</v>
      </c>
      <c r="B4519" t="s">
        <v>12910</v>
      </c>
      <c r="C4519" t="s">
        <v>12911</v>
      </c>
      <c r="D4519">
        <v>1</v>
      </c>
      <c r="E4519" t="s">
        <v>12807</v>
      </c>
      <c r="F4519" t="s">
        <v>12808</v>
      </c>
      <c r="G4519" s="1"/>
      <c r="H4519" t="str">
        <f>"4012740213936"</f>
        <v>4012740213936</v>
      </c>
      <c r="J4519" t="s">
        <v>12912</v>
      </c>
    </row>
    <row r="4520" spans="1:10" x14ac:dyDescent="0.25">
      <c r="A4520" t="s">
        <v>8</v>
      </c>
      <c r="B4520" t="s">
        <v>12913</v>
      </c>
      <c r="C4520" t="s">
        <v>12914</v>
      </c>
      <c r="D4520">
        <v>1</v>
      </c>
      <c r="E4520" t="s">
        <v>12807</v>
      </c>
      <c r="F4520" t="s">
        <v>12808</v>
      </c>
      <c r="G4520" s="1"/>
      <c r="H4520" t="str">
        <f>"4012740213943"</f>
        <v>4012740213943</v>
      </c>
      <c r="J4520" t="s">
        <v>12915</v>
      </c>
    </row>
    <row r="4521" spans="1:10" x14ac:dyDescent="0.25">
      <c r="A4521" t="s">
        <v>8</v>
      </c>
      <c r="B4521" t="s">
        <v>12916</v>
      </c>
      <c r="C4521" t="s">
        <v>12917</v>
      </c>
      <c r="D4521">
        <v>1</v>
      </c>
      <c r="E4521" t="s">
        <v>12807</v>
      </c>
      <c r="F4521" t="s">
        <v>12808</v>
      </c>
      <c r="G4521" s="1"/>
      <c r="H4521" t="str">
        <f>"4012740213974"</f>
        <v>4012740213974</v>
      </c>
      <c r="J4521" t="s">
        <v>12918</v>
      </c>
    </row>
    <row r="4522" spans="1:10" x14ac:dyDescent="0.25">
      <c r="A4522" t="s">
        <v>8</v>
      </c>
      <c r="B4522" t="s">
        <v>12919</v>
      </c>
      <c r="C4522" t="s">
        <v>12920</v>
      </c>
      <c r="D4522">
        <v>1</v>
      </c>
      <c r="E4522" t="s">
        <v>12807</v>
      </c>
      <c r="F4522" t="s">
        <v>12808</v>
      </c>
      <c r="G4522" s="1"/>
      <c r="H4522" t="str">
        <f>"4012740993944"</f>
        <v>4012740993944</v>
      </c>
      <c r="J4522" t="s">
        <v>12921</v>
      </c>
    </row>
    <row r="4523" spans="1:10" x14ac:dyDescent="0.25">
      <c r="A4523" t="s">
        <v>8</v>
      </c>
      <c r="B4523" t="s">
        <v>12922</v>
      </c>
      <c r="C4523" t="s">
        <v>12923</v>
      </c>
      <c r="D4523">
        <v>1</v>
      </c>
      <c r="E4523" t="s">
        <v>12807</v>
      </c>
      <c r="F4523" t="s">
        <v>12808</v>
      </c>
      <c r="G4523" s="1"/>
      <c r="H4523" t="str">
        <f>"4012740993951"</f>
        <v>4012740993951</v>
      </c>
      <c r="J4523" t="s">
        <v>12924</v>
      </c>
    </row>
    <row r="4524" spans="1:10" x14ac:dyDescent="0.25">
      <c r="A4524" t="s">
        <v>8</v>
      </c>
      <c r="B4524" t="s">
        <v>12925</v>
      </c>
      <c r="C4524" t="s">
        <v>12926</v>
      </c>
      <c r="D4524">
        <v>1</v>
      </c>
      <c r="E4524" t="s">
        <v>12807</v>
      </c>
      <c r="F4524" t="s">
        <v>12808</v>
      </c>
      <c r="G4524" s="1"/>
      <c r="H4524" t="str">
        <f>"4012740993968"</f>
        <v>4012740993968</v>
      </c>
      <c r="J4524" t="s">
        <v>12927</v>
      </c>
    </row>
    <row r="4525" spans="1:10" x14ac:dyDescent="0.25">
      <c r="A4525" t="s">
        <v>8</v>
      </c>
      <c r="B4525" t="s">
        <v>12928</v>
      </c>
      <c r="C4525" t="s">
        <v>12929</v>
      </c>
      <c r="D4525">
        <v>1</v>
      </c>
      <c r="E4525" t="s">
        <v>12807</v>
      </c>
      <c r="F4525" t="s">
        <v>12808</v>
      </c>
      <c r="G4525" s="1"/>
      <c r="H4525" t="str">
        <f>"4012740993975"</f>
        <v>4012740993975</v>
      </c>
      <c r="J4525" t="s">
        <v>12930</v>
      </c>
    </row>
    <row r="4526" spans="1:10" x14ac:dyDescent="0.25">
      <c r="A4526" t="s">
        <v>8</v>
      </c>
      <c r="B4526" t="s">
        <v>12931</v>
      </c>
      <c r="C4526" t="s">
        <v>12932</v>
      </c>
      <c r="D4526">
        <v>1</v>
      </c>
      <c r="E4526" t="s">
        <v>12807</v>
      </c>
      <c r="F4526" t="s">
        <v>12808</v>
      </c>
      <c r="G4526" s="1"/>
      <c r="H4526" t="str">
        <f>"4012740993982"</f>
        <v>4012740993982</v>
      </c>
      <c r="J4526" t="s">
        <v>12933</v>
      </c>
    </row>
    <row r="4527" spans="1:10" x14ac:dyDescent="0.25">
      <c r="A4527" t="s">
        <v>8</v>
      </c>
      <c r="B4527" t="s">
        <v>12934</v>
      </c>
      <c r="C4527" t="s">
        <v>12935</v>
      </c>
      <c r="D4527">
        <v>1</v>
      </c>
      <c r="E4527" t="s">
        <v>12807</v>
      </c>
      <c r="F4527" t="s">
        <v>12808</v>
      </c>
      <c r="G4527" s="1"/>
      <c r="H4527" t="str">
        <f>"4012740993999"</f>
        <v>4012740993999</v>
      </c>
      <c r="J4527" t="s">
        <v>12936</v>
      </c>
    </row>
    <row r="4528" spans="1:10" x14ac:dyDescent="0.25">
      <c r="A4528" t="s">
        <v>8</v>
      </c>
      <c r="B4528" t="s">
        <v>12937</v>
      </c>
      <c r="C4528" t="s">
        <v>12938</v>
      </c>
      <c r="D4528">
        <v>1</v>
      </c>
      <c r="E4528" t="s">
        <v>12807</v>
      </c>
      <c r="F4528" t="s">
        <v>12808</v>
      </c>
      <c r="G4528" s="1"/>
      <c r="H4528" t="str">
        <f>"4012740994002"</f>
        <v>4012740994002</v>
      </c>
      <c r="J4528" t="s">
        <v>12939</v>
      </c>
    </row>
    <row r="4529" spans="1:10" x14ac:dyDescent="0.25">
      <c r="A4529" t="s">
        <v>8</v>
      </c>
      <c r="B4529" t="s">
        <v>12940</v>
      </c>
      <c r="C4529" t="s">
        <v>12941</v>
      </c>
      <c r="D4529">
        <v>1</v>
      </c>
      <c r="E4529" t="s">
        <v>12807</v>
      </c>
      <c r="F4529" t="s">
        <v>12808</v>
      </c>
      <c r="G4529" s="1"/>
      <c r="H4529" t="str">
        <f>"4012740994118"</f>
        <v>4012740994118</v>
      </c>
      <c r="J4529" t="s">
        <v>12942</v>
      </c>
    </row>
    <row r="4530" spans="1:10" x14ac:dyDescent="0.25">
      <c r="A4530" t="s">
        <v>8</v>
      </c>
      <c r="B4530" t="s">
        <v>12943</v>
      </c>
      <c r="C4530" t="s">
        <v>12944</v>
      </c>
      <c r="D4530">
        <v>1</v>
      </c>
      <c r="E4530" t="s">
        <v>12807</v>
      </c>
      <c r="F4530" t="s">
        <v>12808</v>
      </c>
      <c r="G4530" s="1"/>
      <c r="H4530" t="str">
        <f>"4012740994125"</f>
        <v>4012740994125</v>
      </c>
      <c r="J4530" t="s">
        <v>12945</v>
      </c>
    </row>
    <row r="4531" spans="1:10" x14ac:dyDescent="0.25">
      <c r="A4531" t="s">
        <v>8</v>
      </c>
      <c r="B4531" t="s">
        <v>12946</v>
      </c>
      <c r="C4531" t="s">
        <v>12947</v>
      </c>
      <c r="D4531">
        <v>1</v>
      </c>
      <c r="E4531" t="s">
        <v>12807</v>
      </c>
      <c r="F4531" t="s">
        <v>12808</v>
      </c>
      <c r="G4531" s="1"/>
      <c r="H4531" t="str">
        <f>"4012740994132"</f>
        <v>4012740994132</v>
      </c>
      <c r="J4531" t="s">
        <v>12948</v>
      </c>
    </row>
    <row r="4532" spans="1:10" x14ac:dyDescent="0.25">
      <c r="A4532" t="s">
        <v>8</v>
      </c>
      <c r="B4532" t="s">
        <v>12949</v>
      </c>
      <c r="C4532" t="s">
        <v>12950</v>
      </c>
      <c r="D4532">
        <v>1</v>
      </c>
      <c r="E4532" t="s">
        <v>12807</v>
      </c>
      <c r="F4532" t="s">
        <v>12808</v>
      </c>
      <c r="G4532" s="1"/>
      <c r="H4532" t="str">
        <f>"4012740994149"</f>
        <v>4012740994149</v>
      </c>
      <c r="J4532" t="s">
        <v>2045</v>
      </c>
    </row>
    <row r="4533" spans="1:10" x14ac:dyDescent="0.25">
      <c r="A4533" t="s">
        <v>8</v>
      </c>
      <c r="B4533" t="s">
        <v>12951</v>
      </c>
      <c r="C4533" t="s">
        <v>12952</v>
      </c>
      <c r="D4533">
        <v>1</v>
      </c>
      <c r="E4533" t="s">
        <v>12807</v>
      </c>
      <c r="F4533" t="s">
        <v>12808</v>
      </c>
      <c r="G4533" s="1"/>
      <c r="H4533" t="str">
        <f>"4012740994156"</f>
        <v>4012740994156</v>
      </c>
      <c r="J4533" t="s">
        <v>7465</v>
      </c>
    </row>
    <row r="4534" spans="1:10" x14ac:dyDescent="0.25">
      <c r="A4534" t="s">
        <v>8</v>
      </c>
      <c r="B4534" t="s">
        <v>12953</v>
      </c>
      <c r="C4534" t="s">
        <v>12954</v>
      </c>
      <c r="D4534">
        <v>1</v>
      </c>
      <c r="E4534" t="s">
        <v>12807</v>
      </c>
      <c r="F4534" t="s">
        <v>12808</v>
      </c>
      <c r="G4534" s="1"/>
      <c r="H4534" t="str">
        <f>"4012740994163"</f>
        <v>4012740994163</v>
      </c>
      <c r="J4534" t="s">
        <v>12955</v>
      </c>
    </row>
    <row r="4535" spans="1:10" x14ac:dyDescent="0.25">
      <c r="A4535" t="s">
        <v>8</v>
      </c>
      <c r="B4535" t="s">
        <v>12956</v>
      </c>
      <c r="C4535" t="s">
        <v>12957</v>
      </c>
      <c r="D4535">
        <v>1</v>
      </c>
      <c r="E4535" t="s">
        <v>12807</v>
      </c>
      <c r="F4535" t="s">
        <v>12808</v>
      </c>
      <c r="G4535" s="1"/>
      <c r="H4535" t="str">
        <f>"4012740994170"</f>
        <v>4012740994170</v>
      </c>
      <c r="J4535" t="s">
        <v>12848</v>
      </c>
    </row>
    <row r="4536" spans="1:10" x14ac:dyDescent="0.25">
      <c r="A4536" t="s">
        <v>8</v>
      </c>
      <c r="B4536" t="s">
        <v>12958</v>
      </c>
      <c r="C4536" t="s">
        <v>12959</v>
      </c>
      <c r="D4536">
        <v>1</v>
      </c>
      <c r="E4536" t="s">
        <v>12807</v>
      </c>
      <c r="F4536" t="s">
        <v>12808</v>
      </c>
      <c r="G4536" s="1"/>
      <c r="H4536" t="str">
        <f>"4012740994187"</f>
        <v>4012740994187</v>
      </c>
      <c r="J4536" t="s">
        <v>12960</v>
      </c>
    </row>
    <row r="4537" spans="1:10" x14ac:dyDescent="0.25">
      <c r="A4537" t="s">
        <v>8</v>
      </c>
      <c r="B4537" t="s">
        <v>12961</v>
      </c>
      <c r="C4537" t="s">
        <v>12962</v>
      </c>
      <c r="D4537">
        <v>1</v>
      </c>
      <c r="E4537" t="s">
        <v>12807</v>
      </c>
      <c r="F4537" t="s">
        <v>12808</v>
      </c>
      <c r="G4537" s="1"/>
      <c r="H4537" t="str">
        <f>"4012740994194"</f>
        <v>4012740994194</v>
      </c>
      <c r="J4537" t="s">
        <v>12963</v>
      </c>
    </row>
    <row r="4538" spans="1:10" x14ac:dyDescent="0.25">
      <c r="A4538" t="s">
        <v>8</v>
      </c>
      <c r="B4538" t="s">
        <v>12964</v>
      </c>
      <c r="C4538" t="s">
        <v>12965</v>
      </c>
      <c r="D4538">
        <v>1</v>
      </c>
      <c r="E4538" t="s">
        <v>12807</v>
      </c>
      <c r="F4538" t="s">
        <v>12808</v>
      </c>
      <c r="G4538" s="1"/>
      <c r="H4538" t="str">
        <f>"4012740994200"</f>
        <v>4012740994200</v>
      </c>
      <c r="J4538" t="s">
        <v>12966</v>
      </c>
    </row>
    <row r="4539" spans="1:10" x14ac:dyDescent="0.25">
      <c r="A4539" t="s">
        <v>8</v>
      </c>
      <c r="B4539" t="s">
        <v>12967</v>
      </c>
      <c r="C4539" t="s">
        <v>12968</v>
      </c>
      <c r="D4539">
        <v>1</v>
      </c>
      <c r="E4539" t="s">
        <v>12807</v>
      </c>
      <c r="F4539" t="s">
        <v>12808</v>
      </c>
      <c r="G4539" s="1"/>
      <c r="H4539" t="str">
        <f>"4012740994217"</f>
        <v>4012740994217</v>
      </c>
      <c r="J4539" t="s">
        <v>12969</v>
      </c>
    </row>
    <row r="4540" spans="1:10" x14ac:dyDescent="0.25">
      <c r="A4540" t="s">
        <v>8</v>
      </c>
      <c r="B4540" t="s">
        <v>12970</v>
      </c>
      <c r="C4540" t="s">
        <v>12971</v>
      </c>
      <c r="D4540">
        <v>1</v>
      </c>
      <c r="E4540" t="s">
        <v>12807</v>
      </c>
      <c r="F4540" t="s">
        <v>12808</v>
      </c>
      <c r="G4540" s="1"/>
      <c r="H4540" t="str">
        <f>"4012740994224"</f>
        <v>4012740994224</v>
      </c>
      <c r="J4540" t="s">
        <v>12972</v>
      </c>
    </row>
    <row r="4541" spans="1:10" x14ac:dyDescent="0.25">
      <c r="A4541" t="s">
        <v>8</v>
      </c>
      <c r="B4541" t="s">
        <v>12973</v>
      </c>
      <c r="C4541" t="s">
        <v>12974</v>
      </c>
      <c r="D4541">
        <v>1</v>
      </c>
      <c r="E4541" t="s">
        <v>12807</v>
      </c>
      <c r="F4541" t="s">
        <v>12808</v>
      </c>
      <c r="G4541" s="1"/>
      <c r="H4541" t="str">
        <f>"4012740994231"</f>
        <v>4012740994231</v>
      </c>
      <c r="J4541" t="s">
        <v>12975</v>
      </c>
    </row>
    <row r="4542" spans="1:10" x14ac:dyDescent="0.25">
      <c r="A4542" t="s">
        <v>8</v>
      </c>
      <c r="B4542" t="s">
        <v>12976</v>
      </c>
      <c r="C4542" t="s">
        <v>12977</v>
      </c>
      <c r="D4542">
        <v>1</v>
      </c>
      <c r="E4542" t="s">
        <v>12807</v>
      </c>
      <c r="F4542" t="s">
        <v>12808</v>
      </c>
      <c r="G4542" s="1"/>
      <c r="H4542" t="str">
        <f>"4012740994248"</f>
        <v>4012740994248</v>
      </c>
      <c r="J4542" t="s">
        <v>12978</v>
      </c>
    </row>
    <row r="4543" spans="1:10" x14ac:dyDescent="0.25">
      <c r="A4543" t="s">
        <v>8</v>
      </c>
      <c r="B4543" t="s">
        <v>12979</v>
      </c>
      <c r="C4543" t="s">
        <v>12980</v>
      </c>
      <c r="D4543">
        <v>1</v>
      </c>
      <c r="E4543" t="s">
        <v>12807</v>
      </c>
      <c r="F4543" t="s">
        <v>12808</v>
      </c>
      <c r="G4543" s="1"/>
      <c r="H4543" t="str">
        <f>"4012740994255"</f>
        <v>4012740994255</v>
      </c>
      <c r="J4543" t="s">
        <v>12969</v>
      </c>
    </row>
    <row r="4544" spans="1:10" x14ac:dyDescent="0.25">
      <c r="A4544" t="s">
        <v>8</v>
      </c>
      <c r="B4544" t="s">
        <v>12981</v>
      </c>
      <c r="C4544" t="s">
        <v>12982</v>
      </c>
      <c r="D4544">
        <v>1</v>
      </c>
      <c r="E4544" t="s">
        <v>12807</v>
      </c>
      <c r="F4544" t="s">
        <v>12808</v>
      </c>
      <c r="G4544" s="1"/>
      <c r="H4544" t="str">
        <f>"4012740994262"</f>
        <v>4012740994262</v>
      </c>
      <c r="J4544" t="s">
        <v>12972</v>
      </c>
    </row>
    <row r="4545" spans="1:10" x14ac:dyDescent="0.25">
      <c r="A4545" t="s">
        <v>8</v>
      </c>
      <c r="B4545" t="s">
        <v>12983</v>
      </c>
      <c r="C4545" t="s">
        <v>12984</v>
      </c>
      <c r="D4545">
        <v>1</v>
      </c>
      <c r="E4545" t="s">
        <v>12807</v>
      </c>
      <c r="F4545" t="s">
        <v>12808</v>
      </c>
      <c r="G4545" s="1"/>
      <c r="H4545" t="str">
        <f>"4012740989152"</f>
        <v>4012740989152</v>
      </c>
      <c r="J4545" t="s">
        <v>12985</v>
      </c>
    </row>
    <row r="4546" spans="1:10" x14ac:dyDescent="0.25">
      <c r="A4546" t="s">
        <v>8</v>
      </c>
      <c r="B4546" t="s">
        <v>12986</v>
      </c>
      <c r="C4546" t="s">
        <v>12987</v>
      </c>
      <c r="D4546">
        <v>1</v>
      </c>
      <c r="E4546" t="s">
        <v>12807</v>
      </c>
      <c r="F4546" t="s">
        <v>12808</v>
      </c>
      <c r="G4546" s="1"/>
      <c r="H4546" t="str">
        <f>"4012740989169"</f>
        <v>4012740989169</v>
      </c>
      <c r="J4546" t="s">
        <v>12988</v>
      </c>
    </row>
    <row r="4547" spans="1:10" x14ac:dyDescent="0.25">
      <c r="A4547" t="s">
        <v>8</v>
      </c>
      <c r="B4547" t="s">
        <v>12989</v>
      </c>
      <c r="C4547" t="s">
        <v>12990</v>
      </c>
      <c r="D4547">
        <v>1</v>
      </c>
      <c r="E4547" t="s">
        <v>12807</v>
      </c>
      <c r="F4547" t="s">
        <v>12808</v>
      </c>
      <c r="G4547" s="1"/>
      <c r="H4547" t="str">
        <f>"4012740994279"</f>
        <v>4012740994279</v>
      </c>
      <c r="J4547" t="s">
        <v>12988</v>
      </c>
    </row>
    <row r="4548" spans="1:10" x14ac:dyDescent="0.25">
      <c r="A4548" t="s">
        <v>8</v>
      </c>
      <c r="B4548" t="s">
        <v>12991</v>
      </c>
      <c r="C4548" t="s">
        <v>12992</v>
      </c>
      <c r="D4548">
        <v>1</v>
      </c>
      <c r="E4548" t="s">
        <v>12807</v>
      </c>
      <c r="F4548" t="s">
        <v>12808</v>
      </c>
      <c r="G4548" s="1"/>
      <c r="H4548" t="str">
        <f>"4012740023313"</f>
        <v>4012740023313</v>
      </c>
      <c r="J4548" t="s">
        <v>12993</v>
      </c>
    </row>
    <row r="4549" spans="1:10" x14ac:dyDescent="0.25">
      <c r="A4549" t="s">
        <v>8</v>
      </c>
      <c r="B4549" t="s">
        <v>12994</v>
      </c>
      <c r="C4549" t="s">
        <v>12995</v>
      </c>
      <c r="D4549">
        <v>1</v>
      </c>
      <c r="E4549" t="s">
        <v>12807</v>
      </c>
      <c r="F4549" t="s">
        <v>12808</v>
      </c>
      <c r="G4549" s="1"/>
      <c r="H4549" t="str">
        <f>"4012740023320"</f>
        <v>4012740023320</v>
      </c>
      <c r="J4549" t="s">
        <v>12996</v>
      </c>
    </row>
    <row r="4550" spans="1:10" x14ac:dyDescent="0.25">
      <c r="A4550" t="s">
        <v>8</v>
      </c>
      <c r="B4550" t="s">
        <v>12997</v>
      </c>
      <c r="C4550" t="s">
        <v>12998</v>
      </c>
      <c r="D4550">
        <v>1</v>
      </c>
      <c r="E4550" t="s">
        <v>12807</v>
      </c>
      <c r="F4550" t="s">
        <v>12808</v>
      </c>
      <c r="G4550" s="1"/>
      <c r="H4550" t="str">
        <f>"4012740023337"</f>
        <v>4012740023337</v>
      </c>
      <c r="J4550" t="s">
        <v>12999</v>
      </c>
    </row>
    <row r="4551" spans="1:10" x14ac:dyDescent="0.25">
      <c r="A4551" t="s">
        <v>8</v>
      </c>
      <c r="B4551" t="s">
        <v>13000</v>
      </c>
      <c r="C4551" t="s">
        <v>13001</v>
      </c>
      <c r="D4551">
        <v>1</v>
      </c>
      <c r="E4551" t="s">
        <v>13002</v>
      </c>
      <c r="F4551" t="s">
        <v>13003</v>
      </c>
      <c r="G4551" s="1"/>
      <c r="H4551" t="str">
        <f>"4012740222952"</f>
        <v>4012740222952</v>
      </c>
      <c r="J4551" t="s">
        <v>13004</v>
      </c>
    </row>
    <row r="4552" spans="1:10" x14ac:dyDescent="0.25">
      <c r="A4552" t="s">
        <v>8</v>
      </c>
      <c r="B4552" t="s">
        <v>13005</v>
      </c>
      <c r="C4552" t="s">
        <v>13006</v>
      </c>
      <c r="D4552">
        <v>1</v>
      </c>
      <c r="E4552" t="s">
        <v>13002</v>
      </c>
      <c r="F4552" t="s">
        <v>13003</v>
      </c>
      <c r="G4552" s="1"/>
      <c r="H4552" t="str">
        <f>"4012740222945"</f>
        <v>4012740222945</v>
      </c>
      <c r="J4552" t="s">
        <v>13007</v>
      </c>
    </row>
    <row r="4553" spans="1:10" x14ac:dyDescent="0.25">
      <c r="A4553" t="s">
        <v>8</v>
      </c>
      <c r="B4553" t="s">
        <v>13008</v>
      </c>
      <c r="C4553" t="s">
        <v>13009</v>
      </c>
      <c r="D4553">
        <v>1</v>
      </c>
      <c r="E4553" t="s">
        <v>13002</v>
      </c>
      <c r="F4553" t="s">
        <v>13003</v>
      </c>
      <c r="G4553" s="1"/>
      <c r="H4553" t="str">
        <f>"4012740222938"</f>
        <v>4012740222938</v>
      </c>
      <c r="J4553" t="s">
        <v>13010</v>
      </c>
    </row>
    <row r="4554" spans="1:10" x14ac:dyDescent="0.25">
      <c r="A4554" t="s">
        <v>8</v>
      </c>
      <c r="B4554" t="s">
        <v>13011</v>
      </c>
      <c r="C4554" t="s">
        <v>13012</v>
      </c>
      <c r="D4554">
        <v>1</v>
      </c>
      <c r="E4554" t="s">
        <v>13002</v>
      </c>
      <c r="F4554" t="s">
        <v>13003</v>
      </c>
      <c r="G4554" s="1"/>
      <c r="H4554" t="str">
        <f>"4012740209755"</f>
        <v>4012740209755</v>
      </c>
      <c r="J4554" t="s">
        <v>9084</v>
      </c>
    </row>
    <row r="4555" spans="1:10" x14ac:dyDescent="0.25">
      <c r="A4555" t="s">
        <v>8</v>
      </c>
      <c r="B4555" t="s">
        <v>13013</v>
      </c>
      <c r="C4555" t="s">
        <v>13014</v>
      </c>
      <c r="D4555">
        <v>1</v>
      </c>
      <c r="E4555" t="s">
        <v>13002</v>
      </c>
      <c r="F4555" t="s">
        <v>13003</v>
      </c>
      <c r="G4555" s="1"/>
      <c r="H4555" t="str">
        <f>"4012740828901"</f>
        <v>4012740828901</v>
      </c>
      <c r="J4555" t="s">
        <v>13015</v>
      </c>
    </row>
    <row r="4556" spans="1:10" x14ac:dyDescent="0.25">
      <c r="A4556" t="s">
        <v>8</v>
      </c>
      <c r="B4556" t="s">
        <v>13016</v>
      </c>
      <c r="C4556" t="s">
        <v>13017</v>
      </c>
      <c r="D4556">
        <v>1</v>
      </c>
      <c r="E4556" t="s">
        <v>13002</v>
      </c>
      <c r="F4556" t="s">
        <v>13003</v>
      </c>
      <c r="G4556" s="1"/>
      <c r="H4556" t="str">
        <f>"4012740139533"</f>
        <v>4012740139533</v>
      </c>
      <c r="J4556" t="s">
        <v>13018</v>
      </c>
    </row>
    <row r="4557" spans="1:10" x14ac:dyDescent="0.25">
      <c r="A4557" t="s">
        <v>8</v>
      </c>
      <c r="B4557" t="s">
        <v>13019</v>
      </c>
      <c r="C4557" t="s">
        <v>13020</v>
      </c>
      <c r="D4557">
        <v>1</v>
      </c>
      <c r="E4557" t="s">
        <v>13002</v>
      </c>
      <c r="F4557" t="s">
        <v>13003</v>
      </c>
      <c r="G4557" s="1"/>
      <c r="H4557" t="str">
        <f>"4012740100434"</f>
        <v>4012740100434</v>
      </c>
      <c r="J4557" t="s">
        <v>13021</v>
      </c>
    </row>
    <row r="4558" spans="1:10" x14ac:dyDescent="0.25">
      <c r="A4558" t="s">
        <v>8</v>
      </c>
      <c r="B4558" t="s">
        <v>13022</v>
      </c>
      <c r="C4558" t="s">
        <v>13023</v>
      </c>
      <c r="D4558">
        <v>1</v>
      </c>
      <c r="E4558" t="s">
        <v>13002</v>
      </c>
      <c r="F4558" t="s">
        <v>13003</v>
      </c>
      <c r="G4558" s="1"/>
      <c r="H4558" t="str">
        <f>"4012740875189"</f>
        <v>4012740875189</v>
      </c>
      <c r="J4558" t="s">
        <v>13024</v>
      </c>
    </row>
    <row r="4559" spans="1:10" x14ac:dyDescent="0.25">
      <c r="A4559" t="s">
        <v>8</v>
      </c>
      <c r="B4559" t="s">
        <v>13025</v>
      </c>
      <c r="C4559" t="s">
        <v>13026</v>
      </c>
      <c r="D4559">
        <v>1</v>
      </c>
      <c r="E4559" t="s">
        <v>13002</v>
      </c>
      <c r="F4559" t="s">
        <v>13003</v>
      </c>
      <c r="G4559" s="1"/>
      <c r="H4559" t="str">
        <f>"4012740875318"</f>
        <v>4012740875318</v>
      </c>
      <c r="J4559" t="s">
        <v>13027</v>
      </c>
    </row>
    <row r="4560" spans="1:10" x14ac:dyDescent="0.25">
      <c r="A4560" t="s">
        <v>8</v>
      </c>
      <c r="B4560" t="s">
        <v>13028</v>
      </c>
      <c r="C4560" t="s">
        <v>13029</v>
      </c>
      <c r="D4560">
        <v>1</v>
      </c>
      <c r="E4560" t="s">
        <v>13002</v>
      </c>
      <c r="F4560" t="s">
        <v>13003</v>
      </c>
      <c r="G4560" s="1"/>
      <c r="H4560" t="str">
        <f>"4012740106962"</f>
        <v>4012740106962</v>
      </c>
      <c r="J4560" t="s">
        <v>13030</v>
      </c>
    </row>
    <row r="4561" spans="1:10" x14ac:dyDescent="0.25">
      <c r="A4561" t="s">
        <v>8</v>
      </c>
      <c r="B4561" t="s">
        <v>13031</v>
      </c>
      <c r="C4561" t="s">
        <v>13032</v>
      </c>
      <c r="D4561">
        <v>1</v>
      </c>
      <c r="E4561" t="s">
        <v>13002</v>
      </c>
      <c r="F4561" t="s">
        <v>13003</v>
      </c>
      <c r="G4561" s="1"/>
      <c r="H4561" t="str">
        <f>"4012740106979"</f>
        <v>4012740106979</v>
      </c>
      <c r="J4561" t="s">
        <v>13033</v>
      </c>
    </row>
    <row r="4562" spans="1:10" x14ac:dyDescent="0.25">
      <c r="A4562" t="s">
        <v>8</v>
      </c>
      <c r="B4562" t="s">
        <v>13034</v>
      </c>
      <c r="C4562" t="s">
        <v>13035</v>
      </c>
      <c r="D4562">
        <v>1</v>
      </c>
      <c r="E4562" t="s">
        <v>13002</v>
      </c>
      <c r="F4562" t="s">
        <v>13003</v>
      </c>
      <c r="G4562" s="1"/>
      <c r="H4562" t="str">
        <f>"4012740106986"</f>
        <v>4012740106986</v>
      </c>
      <c r="J4562" t="s">
        <v>13036</v>
      </c>
    </row>
    <row r="4563" spans="1:10" x14ac:dyDescent="0.25">
      <c r="A4563" t="s">
        <v>8</v>
      </c>
      <c r="B4563" t="s">
        <v>13037</v>
      </c>
      <c r="C4563" t="s">
        <v>13038</v>
      </c>
      <c r="D4563">
        <v>1</v>
      </c>
      <c r="E4563" t="s">
        <v>13002</v>
      </c>
      <c r="F4563" t="s">
        <v>13003</v>
      </c>
      <c r="G4563" s="1"/>
      <c r="H4563" t="str">
        <f>"4012740857529"</f>
        <v>4012740857529</v>
      </c>
      <c r="J4563" t="s">
        <v>13039</v>
      </c>
    </row>
    <row r="4564" spans="1:10" x14ac:dyDescent="0.25">
      <c r="A4564" t="s">
        <v>8</v>
      </c>
      <c r="B4564" t="s">
        <v>13040</v>
      </c>
      <c r="C4564" t="s">
        <v>13041</v>
      </c>
      <c r="D4564">
        <v>1</v>
      </c>
      <c r="E4564" t="s">
        <v>13002</v>
      </c>
      <c r="F4564" t="s">
        <v>13003</v>
      </c>
      <c r="G4564" s="1"/>
      <c r="H4564" t="str">
        <f>"4012740857536"</f>
        <v>4012740857536</v>
      </c>
      <c r="J4564" t="s">
        <v>13042</v>
      </c>
    </row>
    <row r="4565" spans="1:10" x14ac:dyDescent="0.25">
      <c r="A4565" t="s">
        <v>8</v>
      </c>
      <c r="B4565" t="s">
        <v>13043</v>
      </c>
      <c r="C4565" t="s">
        <v>13044</v>
      </c>
      <c r="D4565">
        <v>1</v>
      </c>
      <c r="E4565" t="s">
        <v>13002</v>
      </c>
      <c r="F4565" t="s">
        <v>13003</v>
      </c>
      <c r="G4565" s="1"/>
      <c r="H4565" t="str">
        <f>"4012740857543"</f>
        <v>4012740857543</v>
      </c>
      <c r="J4565" t="s">
        <v>13045</v>
      </c>
    </row>
    <row r="4566" spans="1:10" x14ac:dyDescent="0.25">
      <c r="A4566" t="s">
        <v>8</v>
      </c>
      <c r="B4566" t="s">
        <v>13046</v>
      </c>
      <c r="C4566" t="s">
        <v>13047</v>
      </c>
      <c r="D4566">
        <v>1</v>
      </c>
      <c r="E4566" t="s">
        <v>13002</v>
      </c>
      <c r="F4566" t="s">
        <v>13003</v>
      </c>
      <c r="G4566" s="1"/>
      <c r="H4566" t="str">
        <f>"4012740857550"</f>
        <v>4012740857550</v>
      </c>
      <c r="J4566" t="s">
        <v>13048</v>
      </c>
    </row>
    <row r="4567" spans="1:10" x14ac:dyDescent="0.25">
      <c r="A4567" t="s">
        <v>8</v>
      </c>
      <c r="B4567" t="s">
        <v>13049</v>
      </c>
      <c r="C4567" t="s">
        <v>13050</v>
      </c>
      <c r="D4567">
        <v>1</v>
      </c>
      <c r="E4567" t="s">
        <v>13002</v>
      </c>
      <c r="F4567" t="s">
        <v>13003</v>
      </c>
      <c r="G4567" s="1"/>
      <c r="H4567" t="str">
        <f>"4012740857567"</f>
        <v>4012740857567</v>
      </c>
      <c r="J4567" t="s">
        <v>13052</v>
      </c>
    </row>
    <row r="4568" spans="1:10" x14ac:dyDescent="0.25">
      <c r="A4568" t="s">
        <v>8</v>
      </c>
      <c r="B4568" t="s">
        <v>13053</v>
      </c>
      <c r="C4568" t="s">
        <v>13054</v>
      </c>
      <c r="D4568">
        <v>1</v>
      </c>
      <c r="E4568" t="s">
        <v>13002</v>
      </c>
      <c r="F4568" t="s">
        <v>13003</v>
      </c>
      <c r="G4568" s="1"/>
      <c r="H4568" t="str">
        <f>"4012740104951"</f>
        <v>4012740104951</v>
      </c>
      <c r="J4568" t="s">
        <v>13055</v>
      </c>
    </row>
    <row r="4569" spans="1:10" x14ac:dyDescent="0.25">
      <c r="A4569" t="s">
        <v>8</v>
      </c>
      <c r="B4569" t="s">
        <v>13056</v>
      </c>
      <c r="C4569" t="s">
        <v>13057</v>
      </c>
      <c r="D4569">
        <v>1</v>
      </c>
      <c r="E4569" t="s">
        <v>13002</v>
      </c>
      <c r="F4569" t="s">
        <v>13003</v>
      </c>
      <c r="G4569" s="1"/>
      <c r="H4569" t="str">
        <f>"4012740839433"</f>
        <v>4012740839433</v>
      </c>
      <c r="J4569" t="s">
        <v>13058</v>
      </c>
    </row>
    <row r="4570" spans="1:10" x14ac:dyDescent="0.25">
      <c r="A4570" t="s">
        <v>8</v>
      </c>
      <c r="B4570" t="s">
        <v>13059</v>
      </c>
      <c r="C4570" t="s">
        <v>13060</v>
      </c>
      <c r="D4570">
        <v>1</v>
      </c>
      <c r="E4570" t="s">
        <v>13002</v>
      </c>
      <c r="F4570" t="s">
        <v>13003</v>
      </c>
      <c r="G4570" s="1"/>
      <c r="H4570" t="str">
        <f>"4012740838405"</f>
        <v>4012740838405</v>
      </c>
      <c r="J4570" t="s">
        <v>13061</v>
      </c>
    </row>
    <row r="4571" spans="1:10" x14ac:dyDescent="0.25">
      <c r="A4571" t="s">
        <v>8</v>
      </c>
      <c r="B4571" t="s">
        <v>13062</v>
      </c>
      <c r="C4571" t="s">
        <v>13063</v>
      </c>
      <c r="D4571">
        <v>1</v>
      </c>
      <c r="E4571" t="s">
        <v>13002</v>
      </c>
      <c r="F4571" t="s">
        <v>13003</v>
      </c>
      <c r="G4571" s="1"/>
      <c r="H4571" t="str">
        <f>"4012740875325"</f>
        <v>4012740875325</v>
      </c>
      <c r="J4571" t="s">
        <v>13064</v>
      </c>
    </row>
    <row r="4572" spans="1:10" x14ac:dyDescent="0.25">
      <c r="A4572" t="s">
        <v>8</v>
      </c>
      <c r="B4572" t="s">
        <v>13065</v>
      </c>
      <c r="C4572" t="s">
        <v>13066</v>
      </c>
      <c r="D4572">
        <v>1</v>
      </c>
      <c r="E4572" t="s">
        <v>13002</v>
      </c>
      <c r="F4572" t="s">
        <v>13003</v>
      </c>
      <c r="G4572" s="1"/>
      <c r="H4572" t="str">
        <f>"4012740875332"</f>
        <v>4012740875332</v>
      </c>
      <c r="J4572" t="s">
        <v>13067</v>
      </c>
    </row>
    <row r="4573" spans="1:10" x14ac:dyDescent="0.25">
      <c r="A4573" t="s">
        <v>8</v>
      </c>
      <c r="B4573" t="s">
        <v>13068</v>
      </c>
      <c r="C4573" t="s">
        <v>13069</v>
      </c>
      <c r="D4573">
        <v>1</v>
      </c>
      <c r="E4573" t="s">
        <v>13002</v>
      </c>
      <c r="F4573" t="s">
        <v>13003</v>
      </c>
      <c r="G4573" s="1"/>
      <c r="H4573" t="str">
        <f>"4012740875349"</f>
        <v>4012740875349</v>
      </c>
      <c r="J4573" t="s">
        <v>13070</v>
      </c>
    </row>
    <row r="4574" spans="1:10" x14ac:dyDescent="0.25">
      <c r="A4574" t="s">
        <v>8</v>
      </c>
      <c r="B4574" t="s">
        <v>13071</v>
      </c>
      <c r="C4574" t="s">
        <v>13072</v>
      </c>
      <c r="D4574">
        <v>1</v>
      </c>
      <c r="E4574" t="s">
        <v>13002</v>
      </c>
      <c r="F4574" t="s">
        <v>13003</v>
      </c>
      <c r="G4574" s="1"/>
      <c r="H4574" t="str">
        <f>"4012740838412"</f>
        <v>4012740838412</v>
      </c>
      <c r="J4574" t="s">
        <v>13073</v>
      </c>
    </row>
    <row r="4575" spans="1:10" x14ac:dyDescent="0.25">
      <c r="A4575" t="s">
        <v>8</v>
      </c>
      <c r="B4575" t="s">
        <v>13074</v>
      </c>
      <c r="C4575" t="s">
        <v>13075</v>
      </c>
      <c r="D4575">
        <v>1</v>
      </c>
      <c r="E4575" t="s">
        <v>13076</v>
      </c>
      <c r="F4575" t="s">
        <v>13077</v>
      </c>
      <c r="G4575" s="1"/>
      <c r="H4575" t="str">
        <f>"4012740209670"</f>
        <v>4012740209670</v>
      </c>
      <c r="J4575" t="s">
        <v>13078</v>
      </c>
    </row>
    <row r="4576" spans="1:10" x14ac:dyDescent="0.25">
      <c r="A4576" t="s">
        <v>8</v>
      </c>
      <c r="B4576" t="s">
        <v>13079</v>
      </c>
      <c r="C4576" t="s">
        <v>13080</v>
      </c>
      <c r="D4576">
        <v>1</v>
      </c>
      <c r="E4576" t="s">
        <v>13076</v>
      </c>
      <c r="F4576" t="s">
        <v>13077</v>
      </c>
      <c r="G4576" s="1"/>
      <c r="H4576" t="str">
        <f>"4012740211253"</f>
        <v>4012740211253</v>
      </c>
      <c r="J4576" t="s">
        <v>13081</v>
      </c>
    </row>
    <row r="4577" spans="1:10" x14ac:dyDescent="0.25">
      <c r="A4577" t="s">
        <v>8</v>
      </c>
      <c r="B4577" t="s">
        <v>13082</v>
      </c>
      <c r="C4577" t="s">
        <v>13083</v>
      </c>
      <c r="D4577">
        <v>1</v>
      </c>
      <c r="E4577" t="s">
        <v>13076</v>
      </c>
      <c r="F4577" t="s">
        <v>13077</v>
      </c>
      <c r="G4577" s="1"/>
      <c r="H4577" t="str">
        <f>"4012740210300"</f>
        <v>4012740210300</v>
      </c>
      <c r="J4577" t="s">
        <v>13084</v>
      </c>
    </row>
    <row r="4578" spans="1:10" x14ac:dyDescent="0.25">
      <c r="A4578" t="s">
        <v>8</v>
      </c>
      <c r="B4578" t="s">
        <v>13085</v>
      </c>
      <c r="C4578" t="s">
        <v>13086</v>
      </c>
      <c r="D4578">
        <v>1</v>
      </c>
      <c r="E4578" t="s">
        <v>13076</v>
      </c>
      <c r="F4578" t="s">
        <v>13077</v>
      </c>
      <c r="G4578" s="1"/>
      <c r="H4578" t="str">
        <f>"4012740210317"</f>
        <v>4012740210317</v>
      </c>
      <c r="J4578" t="s">
        <v>13087</v>
      </c>
    </row>
    <row r="4579" spans="1:10" x14ac:dyDescent="0.25">
      <c r="A4579" t="s">
        <v>8</v>
      </c>
      <c r="B4579" t="s">
        <v>13088</v>
      </c>
      <c r="C4579" t="s">
        <v>13089</v>
      </c>
      <c r="D4579">
        <v>1</v>
      </c>
      <c r="E4579" t="s">
        <v>13090</v>
      </c>
      <c r="F4579" t="s">
        <v>13091</v>
      </c>
      <c r="G4579" s="1"/>
      <c r="H4579" t="str">
        <f>"4012740209687"</f>
        <v>4012740209687</v>
      </c>
      <c r="J4579" t="s">
        <v>8967</v>
      </c>
    </row>
    <row r="4580" spans="1:10" x14ac:dyDescent="0.25">
      <c r="A4580" t="s">
        <v>8</v>
      </c>
      <c r="B4580" t="s">
        <v>13092</v>
      </c>
      <c r="C4580" t="s">
        <v>13093</v>
      </c>
      <c r="D4580">
        <v>1</v>
      </c>
      <c r="E4580" t="s">
        <v>13090</v>
      </c>
      <c r="F4580" t="s">
        <v>13091</v>
      </c>
      <c r="G4580" s="1"/>
      <c r="H4580" t="str">
        <f>"4012740209694"</f>
        <v>4012740209694</v>
      </c>
      <c r="J4580" t="s">
        <v>13094</v>
      </c>
    </row>
    <row r="4581" spans="1:10" x14ac:dyDescent="0.25">
      <c r="A4581" t="s">
        <v>8</v>
      </c>
      <c r="B4581" t="s">
        <v>13095</v>
      </c>
      <c r="C4581" t="s">
        <v>13096</v>
      </c>
      <c r="D4581">
        <v>1</v>
      </c>
      <c r="E4581" t="s">
        <v>13090</v>
      </c>
      <c r="F4581" t="s">
        <v>13091</v>
      </c>
      <c r="G4581" s="1"/>
      <c r="H4581" t="str">
        <f>"4012740209700"</f>
        <v>4012740209700</v>
      </c>
      <c r="J4581" t="s">
        <v>13097</v>
      </c>
    </row>
    <row r="4582" spans="1:10" x14ac:dyDescent="0.25">
      <c r="A4582" t="s">
        <v>8</v>
      </c>
      <c r="B4582" t="s">
        <v>13098</v>
      </c>
      <c r="C4582" t="s">
        <v>13099</v>
      </c>
      <c r="D4582">
        <v>1</v>
      </c>
      <c r="E4582" t="s">
        <v>13090</v>
      </c>
      <c r="F4582" t="s">
        <v>13091</v>
      </c>
      <c r="G4582" s="1"/>
      <c r="H4582" t="str">
        <f>"4012740209717"</f>
        <v>4012740209717</v>
      </c>
      <c r="J4582" t="s">
        <v>13100</v>
      </c>
    </row>
    <row r="4583" spans="1:10" x14ac:dyDescent="0.25">
      <c r="A4583" t="s">
        <v>8</v>
      </c>
      <c r="B4583" t="s">
        <v>13101</v>
      </c>
      <c r="C4583" t="s">
        <v>13102</v>
      </c>
      <c r="D4583">
        <v>1</v>
      </c>
      <c r="E4583" t="s">
        <v>13090</v>
      </c>
      <c r="F4583" t="s">
        <v>13091</v>
      </c>
      <c r="G4583" s="1"/>
      <c r="H4583" t="str">
        <f>"4012740209724"</f>
        <v>4012740209724</v>
      </c>
      <c r="J4583" t="s">
        <v>13103</v>
      </c>
    </row>
    <row r="4584" spans="1:10" x14ac:dyDescent="0.25">
      <c r="A4584" t="s">
        <v>8</v>
      </c>
      <c r="B4584" t="s">
        <v>13104</v>
      </c>
      <c r="C4584" t="s">
        <v>13105</v>
      </c>
      <c r="D4584">
        <v>1</v>
      </c>
      <c r="E4584" t="s">
        <v>13090</v>
      </c>
      <c r="F4584" t="s">
        <v>13091</v>
      </c>
      <c r="G4584" s="1"/>
      <c r="H4584" t="str">
        <f>"4012740209731"</f>
        <v>4012740209731</v>
      </c>
      <c r="J4584" t="s">
        <v>13106</v>
      </c>
    </row>
    <row r="4585" spans="1:10" x14ac:dyDescent="0.25">
      <c r="A4585" t="s">
        <v>8</v>
      </c>
      <c r="B4585" t="s">
        <v>13107</v>
      </c>
      <c r="C4585" t="s">
        <v>13108</v>
      </c>
      <c r="D4585">
        <v>1</v>
      </c>
      <c r="E4585" t="s">
        <v>13090</v>
      </c>
      <c r="F4585" t="s">
        <v>13091</v>
      </c>
      <c r="G4585" s="1"/>
      <c r="H4585" t="str">
        <f>"4012740209786"</f>
        <v>4012740209786</v>
      </c>
      <c r="J4585" t="s">
        <v>13109</v>
      </c>
    </row>
    <row r="4586" spans="1:10" x14ac:dyDescent="0.25">
      <c r="A4586" t="s">
        <v>8</v>
      </c>
      <c r="B4586" t="s">
        <v>13110</v>
      </c>
      <c r="C4586" t="s">
        <v>13111</v>
      </c>
      <c r="D4586">
        <v>1</v>
      </c>
      <c r="E4586" t="s">
        <v>13090</v>
      </c>
      <c r="F4586" t="s">
        <v>13091</v>
      </c>
      <c r="G4586" s="1"/>
      <c r="H4586" t="str">
        <f>"4012740209793"</f>
        <v>4012740209793</v>
      </c>
      <c r="J4586" t="s">
        <v>13112</v>
      </c>
    </row>
    <row r="4587" spans="1:10" x14ac:dyDescent="0.25">
      <c r="A4587" t="s">
        <v>8</v>
      </c>
      <c r="B4587" t="s">
        <v>13113</v>
      </c>
      <c r="C4587" t="s">
        <v>13114</v>
      </c>
      <c r="D4587">
        <v>1</v>
      </c>
      <c r="E4587" t="s">
        <v>13090</v>
      </c>
      <c r="F4587" t="s">
        <v>13091</v>
      </c>
      <c r="G4587" s="1"/>
      <c r="H4587" t="str">
        <f>"4012740209809"</f>
        <v>4012740209809</v>
      </c>
      <c r="J4587" t="s">
        <v>13115</v>
      </c>
    </row>
    <row r="4588" spans="1:10" x14ac:dyDescent="0.25">
      <c r="A4588" t="s">
        <v>8</v>
      </c>
      <c r="B4588" t="s">
        <v>13116</v>
      </c>
      <c r="C4588" t="s">
        <v>13117</v>
      </c>
      <c r="D4588">
        <v>1</v>
      </c>
      <c r="E4588" t="s">
        <v>13090</v>
      </c>
      <c r="F4588" t="s">
        <v>13091</v>
      </c>
      <c r="G4588" s="1"/>
      <c r="H4588" t="str">
        <f>"4012740209816"</f>
        <v>4012740209816</v>
      </c>
      <c r="J4588" t="s">
        <v>13118</v>
      </c>
    </row>
    <row r="4589" spans="1:10" x14ac:dyDescent="0.25">
      <c r="A4589" t="s">
        <v>8</v>
      </c>
      <c r="B4589" t="s">
        <v>13119</v>
      </c>
      <c r="C4589" t="s">
        <v>13120</v>
      </c>
      <c r="D4589">
        <v>1</v>
      </c>
      <c r="E4589" t="s">
        <v>13090</v>
      </c>
      <c r="F4589" t="s">
        <v>13091</v>
      </c>
      <c r="G4589" s="1"/>
      <c r="H4589" t="str">
        <f>"4012740209823"</f>
        <v>4012740209823</v>
      </c>
      <c r="J4589" t="s">
        <v>13121</v>
      </c>
    </row>
    <row r="4590" spans="1:10" x14ac:dyDescent="0.25">
      <c r="A4590" t="s">
        <v>8</v>
      </c>
      <c r="B4590" t="s">
        <v>13122</v>
      </c>
      <c r="C4590" t="s">
        <v>13123</v>
      </c>
      <c r="D4590">
        <v>1</v>
      </c>
      <c r="E4590" t="s">
        <v>13090</v>
      </c>
      <c r="F4590" t="s">
        <v>13091</v>
      </c>
      <c r="G4590" s="1"/>
      <c r="H4590" t="str">
        <f>"4012740209830"</f>
        <v>4012740209830</v>
      </c>
      <c r="J4590" t="s">
        <v>13124</v>
      </c>
    </row>
    <row r="4591" spans="1:10" x14ac:dyDescent="0.25">
      <c r="A4591" t="s">
        <v>8</v>
      </c>
      <c r="B4591" t="s">
        <v>13125</v>
      </c>
      <c r="C4591" t="s">
        <v>13126</v>
      </c>
      <c r="D4591">
        <v>1</v>
      </c>
      <c r="E4591" t="s">
        <v>13090</v>
      </c>
      <c r="F4591" t="s">
        <v>13091</v>
      </c>
      <c r="G4591" s="1"/>
      <c r="H4591" t="str">
        <f>"4012740209847"</f>
        <v>4012740209847</v>
      </c>
      <c r="J4591" t="s">
        <v>13127</v>
      </c>
    </row>
    <row r="4592" spans="1:10" x14ac:dyDescent="0.25">
      <c r="A4592" t="s">
        <v>8</v>
      </c>
      <c r="B4592" t="s">
        <v>13128</v>
      </c>
      <c r="C4592" t="s">
        <v>13129</v>
      </c>
      <c r="D4592">
        <v>1</v>
      </c>
      <c r="E4592" t="s">
        <v>13090</v>
      </c>
      <c r="F4592" t="s">
        <v>13091</v>
      </c>
      <c r="G4592" s="1"/>
      <c r="H4592" t="str">
        <f>"4012740209854"</f>
        <v>4012740209854</v>
      </c>
      <c r="J4592" t="s">
        <v>6946</v>
      </c>
    </row>
    <row r="4593" spans="1:10" x14ac:dyDescent="0.25">
      <c r="A4593" t="s">
        <v>8</v>
      </c>
      <c r="B4593" t="s">
        <v>13130</v>
      </c>
      <c r="C4593" t="s">
        <v>13131</v>
      </c>
      <c r="D4593">
        <v>1</v>
      </c>
      <c r="E4593" t="s">
        <v>13090</v>
      </c>
      <c r="F4593" t="s">
        <v>13091</v>
      </c>
      <c r="G4593" s="1"/>
      <c r="H4593" t="str">
        <f>"4012740210157"</f>
        <v>4012740210157</v>
      </c>
      <c r="J4593" t="s">
        <v>13132</v>
      </c>
    </row>
    <row r="4594" spans="1:10" x14ac:dyDescent="0.25">
      <c r="A4594" t="s">
        <v>8</v>
      </c>
      <c r="B4594" t="s">
        <v>13133</v>
      </c>
      <c r="C4594" t="s">
        <v>13134</v>
      </c>
      <c r="D4594">
        <v>1</v>
      </c>
      <c r="E4594" t="s">
        <v>13090</v>
      </c>
      <c r="F4594" t="s">
        <v>13091</v>
      </c>
      <c r="G4594" s="1"/>
      <c r="H4594" t="str">
        <f>"4012740210164"</f>
        <v>4012740210164</v>
      </c>
      <c r="J4594" t="s">
        <v>13135</v>
      </c>
    </row>
    <row r="4595" spans="1:10" x14ac:dyDescent="0.25">
      <c r="A4595" t="s">
        <v>8</v>
      </c>
      <c r="B4595" t="s">
        <v>13136</v>
      </c>
      <c r="C4595" t="s">
        <v>13137</v>
      </c>
      <c r="D4595">
        <v>1</v>
      </c>
      <c r="E4595" t="s">
        <v>13090</v>
      </c>
      <c r="F4595" t="s">
        <v>13091</v>
      </c>
      <c r="G4595" s="1"/>
      <c r="H4595" t="str">
        <f>"4012740210171"</f>
        <v>4012740210171</v>
      </c>
      <c r="J4595" t="s">
        <v>13138</v>
      </c>
    </row>
    <row r="4596" spans="1:10" x14ac:dyDescent="0.25">
      <c r="A4596" t="s">
        <v>8</v>
      </c>
      <c r="B4596" t="s">
        <v>13139</v>
      </c>
      <c r="C4596" t="s">
        <v>13140</v>
      </c>
      <c r="D4596">
        <v>1</v>
      </c>
      <c r="E4596" t="s">
        <v>13090</v>
      </c>
      <c r="F4596" t="s">
        <v>13091</v>
      </c>
      <c r="G4596" s="1"/>
      <c r="H4596" t="str">
        <f>"4012740210188"</f>
        <v>4012740210188</v>
      </c>
      <c r="J4596" t="s">
        <v>13141</v>
      </c>
    </row>
    <row r="4597" spans="1:10" x14ac:dyDescent="0.25">
      <c r="A4597" t="s">
        <v>8</v>
      </c>
      <c r="B4597" t="s">
        <v>13142</v>
      </c>
      <c r="C4597" t="s">
        <v>13143</v>
      </c>
      <c r="D4597">
        <v>1</v>
      </c>
      <c r="E4597" t="s">
        <v>13090</v>
      </c>
      <c r="F4597" t="s">
        <v>13091</v>
      </c>
      <c r="G4597" s="1"/>
      <c r="H4597" t="str">
        <f>"4012740210195"</f>
        <v>4012740210195</v>
      </c>
      <c r="J4597" t="s">
        <v>13144</v>
      </c>
    </row>
    <row r="4598" spans="1:10" x14ac:dyDescent="0.25">
      <c r="A4598" t="s">
        <v>8</v>
      </c>
      <c r="B4598" t="s">
        <v>13145</v>
      </c>
      <c r="C4598" t="s">
        <v>13146</v>
      </c>
      <c r="D4598">
        <v>1</v>
      </c>
      <c r="E4598" t="s">
        <v>13090</v>
      </c>
      <c r="F4598" t="s">
        <v>13091</v>
      </c>
      <c r="G4598" s="1"/>
      <c r="H4598" t="str">
        <f>"4012740210218"</f>
        <v>4012740210218</v>
      </c>
      <c r="J4598" t="s">
        <v>13147</v>
      </c>
    </row>
    <row r="4599" spans="1:10" x14ac:dyDescent="0.25">
      <c r="A4599" t="s">
        <v>8</v>
      </c>
      <c r="B4599" t="s">
        <v>13148</v>
      </c>
      <c r="C4599" t="s">
        <v>13149</v>
      </c>
      <c r="D4599">
        <v>1</v>
      </c>
      <c r="E4599" t="s">
        <v>13090</v>
      </c>
      <c r="F4599" t="s">
        <v>13091</v>
      </c>
      <c r="G4599" s="1"/>
      <c r="H4599" t="str">
        <f>"4012740210225"</f>
        <v>4012740210225</v>
      </c>
      <c r="J4599" t="s">
        <v>13150</v>
      </c>
    </row>
    <row r="4600" spans="1:10" x14ac:dyDescent="0.25">
      <c r="A4600" t="s">
        <v>8</v>
      </c>
      <c r="B4600" t="s">
        <v>13151</v>
      </c>
      <c r="C4600" t="s">
        <v>13152</v>
      </c>
      <c r="D4600">
        <v>1</v>
      </c>
      <c r="E4600" t="s">
        <v>13090</v>
      </c>
      <c r="F4600" t="s">
        <v>13091</v>
      </c>
      <c r="G4600" s="1"/>
      <c r="H4600" t="str">
        <f>"4012740210232"</f>
        <v>4012740210232</v>
      </c>
      <c r="J4600" t="s">
        <v>13153</v>
      </c>
    </row>
    <row r="4601" spans="1:10" x14ac:dyDescent="0.25">
      <c r="A4601" t="s">
        <v>8</v>
      </c>
      <c r="B4601" t="s">
        <v>13154</v>
      </c>
      <c r="C4601" t="s">
        <v>13155</v>
      </c>
      <c r="D4601">
        <v>1</v>
      </c>
      <c r="E4601" t="s">
        <v>13090</v>
      </c>
      <c r="F4601" t="s">
        <v>13091</v>
      </c>
      <c r="G4601" s="1"/>
      <c r="H4601" t="str">
        <f>"4012740211277"</f>
        <v>4012740211277</v>
      </c>
      <c r="J4601" t="s">
        <v>13156</v>
      </c>
    </row>
    <row r="4602" spans="1:10" x14ac:dyDescent="0.25">
      <c r="A4602" t="s">
        <v>8</v>
      </c>
      <c r="B4602" t="s">
        <v>13157</v>
      </c>
      <c r="C4602" t="s">
        <v>13158</v>
      </c>
      <c r="D4602">
        <v>1</v>
      </c>
      <c r="E4602" t="s">
        <v>13090</v>
      </c>
      <c r="F4602" t="s">
        <v>13091</v>
      </c>
      <c r="G4602" s="1"/>
      <c r="H4602" t="str">
        <f>"4012740211284"</f>
        <v>4012740211284</v>
      </c>
      <c r="J4602" t="s">
        <v>13159</v>
      </c>
    </row>
    <row r="4603" spans="1:10" x14ac:dyDescent="0.25">
      <c r="A4603" t="s">
        <v>8</v>
      </c>
      <c r="B4603" t="s">
        <v>13160</v>
      </c>
      <c r="C4603" t="s">
        <v>13161</v>
      </c>
      <c r="D4603">
        <v>1</v>
      </c>
      <c r="E4603" t="s">
        <v>13090</v>
      </c>
      <c r="F4603" t="s">
        <v>13091</v>
      </c>
      <c r="G4603" s="1"/>
      <c r="H4603" t="str">
        <f>"4012740211291"</f>
        <v>4012740211291</v>
      </c>
      <c r="J4603" t="s">
        <v>13162</v>
      </c>
    </row>
    <row r="4604" spans="1:10" x14ac:dyDescent="0.25">
      <c r="A4604" t="s">
        <v>8</v>
      </c>
      <c r="B4604" t="s">
        <v>13163</v>
      </c>
      <c r="C4604" t="s">
        <v>13164</v>
      </c>
      <c r="D4604">
        <v>1</v>
      </c>
      <c r="E4604" t="s">
        <v>13090</v>
      </c>
      <c r="F4604" t="s">
        <v>13091</v>
      </c>
      <c r="G4604" s="1"/>
      <c r="H4604" t="str">
        <f>"4012740211482"</f>
        <v>4012740211482</v>
      </c>
      <c r="J4604" t="s">
        <v>13165</v>
      </c>
    </row>
    <row r="4605" spans="1:10" x14ac:dyDescent="0.25">
      <c r="A4605" t="s">
        <v>8</v>
      </c>
      <c r="B4605" t="s">
        <v>13166</v>
      </c>
      <c r="C4605" t="s">
        <v>13167</v>
      </c>
      <c r="D4605">
        <v>1</v>
      </c>
      <c r="E4605" t="s">
        <v>13090</v>
      </c>
      <c r="F4605" t="s">
        <v>13091</v>
      </c>
      <c r="G4605" s="1"/>
      <c r="H4605" t="str">
        <f>"4012740211499"</f>
        <v>4012740211499</v>
      </c>
      <c r="J4605" t="s">
        <v>13168</v>
      </c>
    </row>
    <row r="4606" spans="1:10" x14ac:dyDescent="0.25">
      <c r="A4606" t="s">
        <v>8</v>
      </c>
      <c r="B4606" t="s">
        <v>13169</v>
      </c>
      <c r="C4606" t="s">
        <v>13170</v>
      </c>
      <c r="D4606">
        <v>1</v>
      </c>
      <c r="E4606" t="s">
        <v>13090</v>
      </c>
      <c r="F4606" t="s">
        <v>13091</v>
      </c>
      <c r="G4606" s="1"/>
      <c r="H4606" t="str">
        <f>"4012740211505"</f>
        <v>4012740211505</v>
      </c>
      <c r="J4606" t="s">
        <v>13171</v>
      </c>
    </row>
    <row r="4607" spans="1:10" x14ac:dyDescent="0.25">
      <c r="A4607" t="s">
        <v>8</v>
      </c>
      <c r="B4607" t="s">
        <v>13172</v>
      </c>
      <c r="C4607" t="s">
        <v>13173</v>
      </c>
      <c r="D4607">
        <v>1</v>
      </c>
      <c r="E4607" t="s">
        <v>13090</v>
      </c>
      <c r="F4607" t="s">
        <v>13091</v>
      </c>
      <c r="G4607" s="1"/>
      <c r="H4607" t="str">
        <f>"4012740211512"</f>
        <v>4012740211512</v>
      </c>
      <c r="J4607" t="s">
        <v>13174</v>
      </c>
    </row>
    <row r="4608" spans="1:10" x14ac:dyDescent="0.25">
      <c r="A4608" t="s">
        <v>8</v>
      </c>
      <c r="B4608" t="s">
        <v>13175</v>
      </c>
      <c r="C4608" t="s">
        <v>13176</v>
      </c>
      <c r="D4608">
        <v>1</v>
      </c>
      <c r="E4608" t="s">
        <v>13090</v>
      </c>
      <c r="F4608" t="s">
        <v>13091</v>
      </c>
      <c r="G4608" s="1"/>
      <c r="H4608" t="str">
        <f>"4012740211529"</f>
        <v>4012740211529</v>
      </c>
      <c r="J4608" t="s">
        <v>13177</v>
      </c>
    </row>
    <row r="4609" spans="1:10" x14ac:dyDescent="0.25">
      <c r="A4609" t="s">
        <v>8</v>
      </c>
      <c r="B4609" t="s">
        <v>13178</v>
      </c>
      <c r="C4609" t="s">
        <v>13179</v>
      </c>
      <c r="D4609">
        <v>1</v>
      </c>
      <c r="E4609" t="s">
        <v>13090</v>
      </c>
      <c r="F4609" t="s">
        <v>13091</v>
      </c>
      <c r="G4609" s="1"/>
      <c r="H4609" t="str">
        <f>"4012740211550"</f>
        <v>4012740211550</v>
      </c>
      <c r="J4609" t="s">
        <v>13180</v>
      </c>
    </row>
    <row r="4610" spans="1:10" x14ac:dyDescent="0.25">
      <c r="A4610" t="s">
        <v>8</v>
      </c>
      <c r="B4610" t="s">
        <v>13181</v>
      </c>
      <c r="C4610" t="s">
        <v>13182</v>
      </c>
      <c r="D4610">
        <v>1</v>
      </c>
      <c r="E4610" t="s">
        <v>13183</v>
      </c>
      <c r="F4610" t="s">
        <v>13184</v>
      </c>
      <c r="G4610" s="1"/>
      <c r="H4610" t="str">
        <f>"4012740206440"</f>
        <v>4012740206440</v>
      </c>
      <c r="J4610" t="s">
        <v>13185</v>
      </c>
    </row>
    <row r="4611" spans="1:10" x14ac:dyDescent="0.25">
      <c r="A4611" t="s">
        <v>8</v>
      </c>
      <c r="B4611" t="s">
        <v>13186</v>
      </c>
      <c r="C4611" t="s">
        <v>13187</v>
      </c>
      <c r="D4611">
        <v>1</v>
      </c>
      <c r="E4611" t="s">
        <v>13183</v>
      </c>
      <c r="F4611" t="s">
        <v>13184</v>
      </c>
      <c r="G4611" s="1"/>
      <c r="H4611" t="str">
        <f>"4012740206419"</f>
        <v>4012740206419</v>
      </c>
      <c r="J4611" t="s">
        <v>13188</v>
      </c>
    </row>
    <row r="4612" spans="1:10" x14ac:dyDescent="0.25">
      <c r="A4612" t="s">
        <v>8</v>
      </c>
      <c r="B4612" t="s">
        <v>13189</v>
      </c>
      <c r="C4612" t="s">
        <v>13187</v>
      </c>
      <c r="D4612">
        <v>1</v>
      </c>
      <c r="E4612" t="s">
        <v>13183</v>
      </c>
      <c r="F4612" t="s">
        <v>13184</v>
      </c>
      <c r="G4612" s="1"/>
      <c r="H4612" t="str">
        <f>"4012740208444"</f>
        <v>4012740208444</v>
      </c>
      <c r="J4612" t="s">
        <v>13190</v>
      </c>
    </row>
    <row r="4613" spans="1:10" x14ac:dyDescent="0.25">
      <c r="A4613" t="s">
        <v>8</v>
      </c>
      <c r="B4613" t="s">
        <v>13191</v>
      </c>
      <c r="C4613" t="s">
        <v>13192</v>
      </c>
      <c r="D4613">
        <v>1</v>
      </c>
      <c r="E4613" t="s">
        <v>13183</v>
      </c>
      <c r="F4613" t="s">
        <v>13184</v>
      </c>
      <c r="G4613" s="1"/>
      <c r="H4613" t="str">
        <f>"4012740206471"</f>
        <v>4012740206471</v>
      </c>
      <c r="J4613" t="s">
        <v>11212</v>
      </c>
    </row>
    <row r="4614" spans="1:10" x14ac:dyDescent="0.25">
      <c r="A4614" t="s">
        <v>8</v>
      </c>
      <c r="B4614" t="s">
        <v>13193</v>
      </c>
      <c r="C4614" t="s">
        <v>13194</v>
      </c>
      <c r="D4614">
        <v>1</v>
      </c>
      <c r="E4614" t="s">
        <v>13183</v>
      </c>
      <c r="F4614" t="s">
        <v>13184</v>
      </c>
      <c r="G4614" s="1"/>
      <c r="H4614" t="str">
        <f>"4012740208154"</f>
        <v>4012740208154</v>
      </c>
      <c r="J4614" t="s">
        <v>13195</v>
      </c>
    </row>
    <row r="4615" spans="1:10" x14ac:dyDescent="0.25">
      <c r="A4615" t="s">
        <v>8</v>
      </c>
      <c r="B4615" t="s">
        <v>13196</v>
      </c>
      <c r="C4615" t="s">
        <v>13197</v>
      </c>
      <c r="D4615">
        <v>1</v>
      </c>
      <c r="E4615" t="s">
        <v>13183</v>
      </c>
      <c r="F4615" t="s">
        <v>13184</v>
      </c>
      <c r="G4615" s="1"/>
      <c r="H4615" t="str">
        <f>"4012740206518"</f>
        <v>4012740206518</v>
      </c>
      <c r="J4615" t="s">
        <v>13198</v>
      </c>
    </row>
    <row r="4616" spans="1:10" x14ac:dyDescent="0.25">
      <c r="A4616" t="s">
        <v>8</v>
      </c>
      <c r="B4616" t="s">
        <v>13199</v>
      </c>
      <c r="C4616" t="s">
        <v>13200</v>
      </c>
      <c r="D4616">
        <v>1</v>
      </c>
      <c r="E4616" t="s">
        <v>13183</v>
      </c>
      <c r="F4616" t="s">
        <v>13184</v>
      </c>
      <c r="G4616" s="1"/>
      <c r="H4616" t="str">
        <f>"4012740206679"</f>
        <v>4012740206679</v>
      </c>
      <c r="J4616" t="s">
        <v>13201</v>
      </c>
    </row>
    <row r="4617" spans="1:10" x14ac:dyDescent="0.25">
      <c r="A4617" t="s">
        <v>8</v>
      </c>
      <c r="B4617" t="s">
        <v>13202</v>
      </c>
      <c r="C4617" t="s">
        <v>13203</v>
      </c>
      <c r="D4617">
        <v>1</v>
      </c>
      <c r="E4617" t="s">
        <v>13183</v>
      </c>
      <c r="F4617" t="s">
        <v>13184</v>
      </c>
      <c r="G4617" s="1"/>
      <c r="H4617" t="str">
        <f>"4012740206587"</f>
        <v>4012740206587</v>
      </c>
      <c r="J4617" t="s">
        <v>13204</v>
      </c>
    </row>
    <row r="4618" spans="1:10" x14ac:dyDescent="0.25">
      <c r="A4618" t="s">
        <v>8</v>
      </c>
      <c r="B4618" t="s">
        <v>13205</v>
      </c>
      <c r="C4618" t="s">
        <v>13182</v>
      </c>
      <c r="D4618">
        <v>1</v>
      </c>
      <c r="E4618" t="s">
        <v>13183</v>
      </c>
      <c r="F4618" t="s">
        <v>13184</v>
      </c>
      <c r="G4618" s="1"/>
      <c r="H4618" t="str">
        <f>"4012740825320"</f>
        <v>4012740825320</v>
      </c>
      <c r="J4618" t="s">
        <v>13206</v>
      </c>
    </row>
    <row r="4619" spans="1:10" x14ac:dyDescent="0.25">
      <c r="A4619" t="s">
        <v>8</v>
      </c>
      <c r="B4619" t="s">
        <v>13207</v>
      </c>
      <c r="C4619" t="s">
        <v>13187</v>
      </c>
      <c r="D4619">
        <v>1</v>
      </c>
      <c r="E4619" t="s">
        <v>13183</v>
      </c>
      <c r="F4619" t="s">
        <v>13184</v>
      </c>
      <c r="G4619" s="1"/>
      <c r="H4619" t="str">
        <f>"4012740825269"</f>
        <v>4012740825269</v>
      </c>
      <c r="J4619" t="s">
        <v>13208</v>
      </c>
    </row>
    <row r="4620" spans="1:10" x14ac:dyDescent="0.25">
      <c r="A4620" t="s">
        <v>8</v>
      </c>
      <c r="B4620" t="s">
        <v>13209</v>
      </c>
      <c r="C4620" t="s">
        <v>13210</v>
      </c>
      <c r="D4620">
        <v>1</v>
      </c>
      <c r="E4620" t="s">
        <v>13183</v>
      </c>
      <c r="F4620" t="s">
        <v>13184</v>
      </c>
      <c r="G4620" s="1"/>
      <c r="H4620" t="str">
        <f>"4012740829243"</f>
        <v>4012740829243</v>
      </c>
      <c r="J4620" t="s">
        <v>13211</v>
      </c>
    </row>
    <row r="4621" spans="1:10" x14ac:dyDescent="0.25">
      <c r="A4621" t="s">
        <v>8</v>
      </c>
      <c r="B4621" t="s">
        <v>13212</v>
      </c>
      <c r="C4621" t="s">
        <v>13213</v>
      </c>
      <c r="D4621">
        <v>1</v>
      </c>
      <c r="E4621" t="s">
        <v>13183</v>
      </c>
      <c r="F4621" t="s">
        <v>13184</v>
      </c>
      <c r="G4621" s="1"/>
      <c r="H4621" t="str">
        <f>"4012740825351"</f>
        <v>4012740825351</v>
      </c>
      <c r="J4621" t="s">
        <v>13214</v>
      </c>
    </row>
    <row r="4622" spans="1:10" x14ac:dyDescent="0.25">
      <c r="A4622" t="s">
        <v>8</v>
      </c>
      <c r="B4622" t="s">
        <v>13215</v>
      </c>
      <c r="C4622" t="s">
        <v>13216</v>
      </c>
      <c r="D4622">
        <v>1</v>
      </c>
      <c r="E4622" t="s">
        <v>13183</v>
      </c>
      <c r="F4622" t="s">
        <v>13184</v>
      </c>
      <c r="G4622" s="1"/>
      <c r="H4622" t="str">
        <f>"4012740829274"</f>
        <v>4012740829274</v>
      </c>
      <c r="J4622" t="s">
        <v>13217</v>
      </c>
    </row>
    <row r="4623" spans="1:10" x14ac:dyDescent="0.25">
      <c r="A4623" t="s">
        <v>8</v>
      </c>
      <c r="B4623" t="s">
        <v>13218</v>
      </c>
      <c r="C4623" t="s">
        <v>13200</v>
      </c>
      <c r="D4623">
        <v>1</v>
      </c>
      <c r="E4623" t="s">
        <v>13183</v>
      </c>
      <c r="F4623" t="s">
        <v>13184</v>
      </c>
      <c r="G4623" s="1"/>
      <c r="H4623" t="str">
        <f>"4012740829304"</f>
        <v>4012740829304</v>
      </c>
      <c r="J4623" t="s">
        <v>13219</v>
      </c>
    </row>
    <row r="4624" spans="1:10" x14ac:dyDescent="0.25">
      <c r="A4624" t="s">
        <v>8</v>
      </c>
      <c r="B4624" t="s">
        <v>13220</v>
      </c>
      <c r="C4624" t="s">
        <v>13221</v>
      </c>
      <c r="D4624">
        <v>1</v>
      </c>
      <c r="E4624" t="s">
        <v>13183</v>
      </c>
      <c r="F4624" t="s">
        <v>13184</v>
      </c>
      <c r="G4624" s="1"/>
      <c r="H4624" t="str">
        <f>"4012740825344"</f>
        <v>4012740825344</v>
      </c>
      <c r="J4624" t="s">
        <v>13222</v>
      </c>
    </row>
    <row r="4625" spans="1:10" x14ac:dyDescent="0.25">
      <c r="A4625" t="s">
        <v>8</v>
      </c>
      <c r="B4625" t="s">
        <v>13223</v>
      </c>
      <c r="C4625" t="s">
        <v>13224</v>
      </c>
      <c r="D4625">
        <v>1</v>
      </c>
      <c r="E4625" t="s">
        <v>13183</v>
      </c>
      <c r="F4625" t="s">
        <v>13184</v>
      </c>
      <c r="G4625" s="1"/>
      <c r="H4625" t="str">
        <f>"4012740206990"</f>
        <v>4012740206990</v>
      </c>
      <c r="J4625" t="s">
        <v>13225</v>
      </c>
    </row>
    <row r="4626" spans="1:10" x14ac:dyDescent="0.25">
      <c r="A4626" t="s">
        <v>8</v>
      </c>
      <c r="B4626" t="s">
        <v>13226</v>
      </c>
      <c r="C4626" t="s">
        <v>13227</v>
      </c>
      <c r="D4626">
        <v>1</v>
      </c>
      <c r="E4626" t="s">
        <v>13183</v>
      </c>
      <c r="F4626" t="s">
        <v>13184</v>
      </c>
      <c r="G4626" s="1"/>
      <c r="H4626" t="str">
        <f>"4012740207010"</f>
        <v>4012740207010</v>
      </c>
      <c r="J4626" t="s">
        <v>13228</v>
      </c>
    </row>
    <row r="4627" spans="1:10" x14ac:dyDescent="0.25">
      <c r="A4627" t="s">
        <v>8</v>
      </c>
      <c r="B4627" t="s">
        <v>13229</v>
      </c>
      <c r="C4627" t="s">
        <v>13230</v>
      </c>
      <c r="D4627">
        <v>1</v>
      </c>
      <c r="E4627" t="s">
        <v>13183</v>
      </c>
      <c r="F4627" t="s">
        <v>13184</v>
      </c>
      <c r="G4627" s="1"/>
      <c r="H4627" t="str">
        <f>"4012740207041"</f>
        <v>4012740207041</v>
      </c>
      <c r="J4627" t="s">
        <v>13231</v>
      </c>
    </row>
    <row r="4628" spans="1:10" x14ac:dyDescent="0.25">
      <c r="A4628" t="s">
        <v>8</v>
      </c>
      <c r="B4628" t="s">
        <v>13232</v>
      </c>
      <c r="C4628" t="s">
        <v>13233</v>
      </c>
      <c r="D4628">
        <v>1</v>
      </c>
      <c r="E4628" t="s">
        <v>13183</v>
      </c>
      <c r="F4628" t="s">
        <v>13184</v>
      </c>
      <c r="G4628" s="1"/>
      <c r="H4628" t="str">
        <f>"4012740210256"</f>
        <v>4012740210256</v>
      </c>
      <c r="J4628" t="s">
        <v>13234</v>
      </c>
    </row>
    <row r="4629" spans="1:10" x14ac:dyDescent="0.25">
      <c r="A4629" t="s">
        <v>8</v>
      </c>
      <c r="B4629" t="s">
        <v>13235</v>
      </c>
      <c r="C4629" t="s">
        <v>13236</v>
      </c>
      <c r="D4629">
        <v>1</v>
      </c>
      <c r="E4629" t="s">
        <v>13183</v>
      </c>
      <c r="F4629" t="s">
        <v>13184</v>
      </c>
      <c r="G4629" s="1"/>
      <c r="H4629" t="str">
        <f>"4012740206891"</f>
        <v>4012740206891</v>
      </c>
      <c r="J4629" t="s">
        <v>13237</v>
      </c>
    </row>
    <row r="4630" spans="1:10" x14ac:dyDescent="0.25">
      <c r="A4630" t="s">
        <v>8</v>
      </c>
      <c r="B4630" t="s">
        <v>13238</v>
      </c>
      <c r="C4630" t="s">
        <v>13239</v>
      </c>
      <c r="D4630">
        <v>1</v>
      </c>
      <c r="E4630" t="s">
        <v>13183</v>
      </c>
      <c r="F4630" t="s">
        <v>13184</v>
      </c>
      <c r="G4630" s="1"/>
      <c r="H4630" t="str">
        <f>"4012740902076"</f>
        <v>4012740902076</v>
      </c>
      <c r="J4630" t="s">
        <v>13240</v>
      </c>
    </row>
    <row r="4631" spans="1:10" x14ac:dyDescent="0.25">
      <c r="A4631" t="s">
        <v>8</v>
      </c>
      <c r="B4631" t="s">
        <v>13241</v>
      </c>
      <c r="C4631" t="s">
        <v>13242</v>
      </c>
      <c r="D4631">
        <v>1</v>
      </c>
      <c r="E4631" t="s">
        <v>13183</v>
      </c>
      <c r="F4631" t="s">
        <v>13184</v>
      </c>
      <c r="G4631" s="1"/>
      <c r="H4631" t="str">
        <f>"4012740902052"</f>
        <v>4012740902052</v>
      </c>
      <c r="J4631" t="s">
        <v>13243</v>
      </c>
    </row>
    <row r="4632" spans="1:10" x14ac:dyDescent="0.25">
      <c r="A4632" t="s">
        <v>8</v>
      </c>
      <c r="B4632" t="s">
        <v>13244</v>
      </c>
      <c r="C4632" t="s">
        <v>13245</v>
      </c>
      <c r="D4632">
        <v>1</v>
      </c>
      <c r="E4632" t="s">
        <v>13183</v>
      </c>
      <c r="F4632" t="s">
        <v>13184</v>
      </c>
      <c r="G4632" s="1"/>
      <c r="H4632" t="str">
        <f>"4012740901963"</f>
        <v>4012740901963</v>
      </c>
      <c r="J4632" t="s">
        <v>13246</v>
      </c>
    </row>
    <row r="4633" spans="1:10" x14ac:dyDescent="0.25">
      <c r="A4633" t="s">
        <v>8</v>
      </c>
      <c r="B4633" t="s">
        <v>13247</v>
      </c>
      <c r="C4633" t="s">
        <v>13248</v>
      </c>
      <c r="D4633">
        <v>1</v>
      </c>
      <c r="E4633" t="s">
        <v>13183</v>
      </c>
      <c r="F4633" t="s">
        <v>13184</v>
      </c>
      <c r="G4633" s="1"/>
      <c r="H4633" t="str">
        <f>"4012740901970"</f>
        <v>4012740901970</v>
      </c>
      <c r="J4633" t="s">
        <v>13249</v>
      </c>
    </row>
    <row r="4634" spans="1:10" x14ac:dyDescent="0.25">
      <c r="A4634" t="s">
        <v>8</v>
      </c>
      <c r="B4634" t="s">
        <v>13250</v>
      </c>
      <c r="C4634" t="s">
        <v>13251</v>
      </c>
      <c r="D4634">
        <v>1</v>
      </c>
      <c r="E4634" t="s">
        <v>13183</v>
      </c>
      <c r="F4634" t="s">
        <v>13184</v>
      </c>
      <c r="G4634" s="1"/>
      <c r="H4634" t="str">
        <f>"4012740901987"</f>
        <v>4012740901987</v>
      </c>
      <c r="J4634" t="s">
        <v>13252</v>
      </c>
    </row>
    <row r="4635" spans="1:10" x14ac:dyDescent="0.25">
      <c r="A4635" t="s">
        <v>8</v>
      </c>
      <c r="B4635" t="s">
        <v>13253</v>
      </c>
      <c r="C4635" t="s">
        <v>13254</v>
      </c>
      <c r="D4635">
        <v>1</v>
      </c>
      <c r="E4635" t="s">
        <v>13183</v>
      </c>
      <c r="F4635" t="s">
        <v>13184</v>
      </c>
      <c r="G4635" s="1"/>
      <c r="H4635" t="str">
        <f>"4012740901932"</f>
        <v>4012740901932</v>
      </c>
      <c r="J4635" t="s">
        <v>13255</v>
      </c>
    </row>
    <row r="4636" spans="1:10" x14ac:dyDescent="0.25">
      <c r="A4636" t="s">
        <v>8</v>
      </c>
      <c r="B4636" t="s">
        <v>13256</v>
      </c>
      <c r="C4636" t="s">
        <v>13257</v>
      </c>
      <c r="D4636">
        <v>1</v>
      </c>
      <c r="E4636" t="s">
        <v>13183</v>
      </c>
      <c r="F4636" t="s">
        <v>13184</v>
      </c>
      <c r="G4636" s="1"/>
      <c r="H4636" t="str">
        <f>"4012740901949"</f>
        <v>4012740901949</v>
      </c>
      <c r="J4636" t="s">
        <v>13258</v>
      </c>
    </row>
    <row r="4637" spans="1:10" x14ac:dyDescent="0.25">
      <c r="A4637" t="s">
        <v>8</v>
      </c>
      <c r="B4637" t="s">
        <v>13259</v>
      </c>
      <c r="C4637" t="s">
        <v>13257</v>
      </c>
      <c r="D4637">
        <v>1</v>
      </c>
      <c r="E4637" t="s">
        <v>13183</v>
      </c>
      <c r="F4637" t="s">
        <v>13184</v>
      </c>
      <c r="G4637" s="1"/>
      <c r="H4637" t="str">
        <f>"4012740901956"</f>
        <v>4012740901956</v>
      </c>
      <c r="J4637" t="s">
        <v>13260</v>
      </c>
    </row>
    <row r="4638" spans="1:10" x14ac:dyDescent="0.25">
      <c r="A4638" t="s">
        <v>8</v>
      </c>
      <c r="B4638" t="s">
        <v>13261</v>
      </c>
      <c r="C4638" t="s">
        <v>13262</v>
      </c>
      <c r="D4638">
        <v>1</v>
      </c>
      <c r="E4638" t="s">
        <v>13183</v>
      </c>
      <c r="F4638" t="s">
        <v>13184</v>
      </c>
      <c r="G4638" s="1"/>
      <c r="H4638" t="str">
        <f>"4012740857062"</f>
        <v>4012740857062</v>
      </c>
      <c r="J4638" t="s">
        <v>13263</v>
      </c>
    </row>
    <row r="4639" spans="1:10" x14ac:dyDescent="0.25">
      <c r="A4639" t="s">
        <v>8</v>
      </c>
      <c r="B4639" t="s">
        <v>13264</v>
      </c>
      <c r="C4639" t="s">
        <v>13265</v>
      </c>
      <c r="D4639">
        <v>1</v>
      </c>
      <c r="E4639" t="s">
        <v>13183</v>
      </c>
      <c r="F4639" t="s">
        <v>13184</v>
      </c>
      <c r="G4639" s="1"/>
      <c r="H4639" t="str">
        <f>"4012740857079"</f>
        <v>4012740857079</v>
      </c>
      <c r="J4639" t="s">
        <v>13266</v>
      </c>
    </row>
    <row r="4640" spans="1:10" x14ac:dyDescent="0.25">
      <c r="A4640" t="s">
        <v>8</v>
      </c>
      <c r="B4640" t="s">
        <v>13267</v>
      </c>
      <c r="C4640" t="s">
        <v>13268</v>
      </c>
      <c r="D4640">
        <v>1</v>
      </c>
      <c r="E4640" t="s">
        <v>13183</v>
      </c>
      <c r="F4640" t="s">
        <v>13184</v>
      </c>
      <c r="G4640" s="1"/>
      <c r="H4640" t="str">
        <f>"4012740857086"</f>
        <v>4012740857086</v>
      </c>
      <c r="J4640" t="s">
        <v>13269</v>
      </c>
    </row>
    <row r="4641" spans="1:10" x14ac:dyDescent="0.25">
      <c r="A4641" t="s">
        <v>8</v>
      </c>
      <c r="B4641" t="s">
        <v>13270</v>
      </c>
      <c r="C4641" t="s">
        <v>13271</v>
      </c>
      <c r="D4641">
        <v>1</v>
      </c>
      <c r="E4641" t="s">
        <v>13183</v>
      </c>
      <c r="F4641" t="s">
        <v>13184</v>
      </c>
      <c r="G4641" s="1"/>
      <c r="H4641" t="str">
        <f>"4012740857093"</f>
        <v>4012740857093</v>
      </c>
      <c r="J4641" t="s">
        <v>13272</v>
      </c>
    </row>
    <row r="4642" spans="1:10" x14ac:dyDescent="0.25">
      <c r="A4642" t="s">
        <v>8</v>
      </c>
      <c r="B4642" t="s">
        <v>13273</v>
      </c>
      <c r="C4642" t="s">
        <v>13274</v>
      </c>
      <c r="D4642">
        <v>1</v>
      </c>
      <c r="E4642" t="s">
        <v>13183</v>
      </c>
      <c r="F4642" t="s">
        <v>13184</v>
      </c>
      <c r="G4642" s="1"/>
      <c r="H4642" t="str">
        <f>"4012740857277"</f>
        <v>4012740857277</v>
      </c>
      <c r="J4642" t="s">
        <v>13275</v>
      </c>
    </row>
    <row r="4643" spans="1:10" x14ac:dyDescent="0.25">
      <c r="A4643" t="s">
        <v>8</v>
      </c>
      <c r="B4643" t="s">
        <v>13276</v>
      </c>
      <c r="C4643" t="s">
        <v>13277</v>
      </c>
      <c r="D4643">
        <v>1</v>
      </c>
      <c r="E4643" t="s">
        <v>13183</v>
      </c>
      <c r="F4643" t="s">
        <v>13184</v>
      </c>
      <c r="G4643" s="1"/>
      <c r="H4643" t="str">
        <f>"4012740857284"</f>
        <v>4012740857284</v>
      </c>
      <c r="J4643" t="s">
        <v>13278</v>
      </c>
    </row>
    <row r="4644" spans="1:10" x14ac:dyDescent="0.25">
      <c r="A4644" t="s">
        <v>8</v>
      </c>
      <c r="B4644" t="s">
        <v>13279</v>
      </c>
      <c r="C4644" t="s">
        <v>13280</v>
      </c>
      <c r="D4644">
        <v>1</v>
      </c>
      <c r="E4644" t="s">
        <v>13183</v>
      </c>
      <c r="F4644" t="s">
        <v>13184</v>
      </c>
      <c r="G4644" s="1"/>
      <c r="H4644" t="str">
        <f>"4012740015530"</f>
        <v>4012740015530</v>
      </c>
      <c r="J4644" t="s">
        <v>13185</v>
      </c>
    </row>
    <row r="4645" spans="1:10" x14ac:dyDescent="0.25">
      <c r="A4645" t="s">
        <v>8</v>
      </c>
      <c r="B4645" t="s">
        <v>13281</v>
      </c>
      <c r="C4645" t="s">
        <v>13282</v>
      </c>
      <c r="D4645">
        <v>1</v>
      </c>
      <c r="E4645" t="s">
        <v>13183</v>
      </c>
      <c r="F4645" t="s">
        <v>13184</v>
      </c>
      <c r="G4645" s="1"/>
      <c r="H4645" t="str">
        <f>"4012740015547"</f>
        <v>4012740015547</v>
      </c>
      <c r="J4645" t="s">
        <v>13188</v>
      </c>
    </row>
    <row r="4646" spans="1:10" x14ac:dyDescent="0.25">
      <c r="A4646" t="s">
        <v>8</v>
      </c>
      <c r="B4646" t="s">
        <v>13283</v>
      </c>
      <c r="C4646" t="s">
        <v>13284</v>
      </c>
      <c r="D4646">
        <v>1</v>
      </c>
      <c r="E4646" t="s">
        <v>13183</v>
      </c>
      <c r="F4646" t="s">
        <v>13184</v>
      </c>
      <c r="G4646" s="1"/>
      <c r="H4646" t="str">
        <f>"4012740015554"</f>
        <v>4012740015554</v>
      </c>
      <c r="J4646" t="s">
        <v>11212</v>
      </c>
    </row>
    <row r="4647" spans="1:10" x14ac:dyDescent="0.25">
      <c r="A4647" t="s">
        <v>8</v>
      </c>
      <c r="B4647" t="s">
        <v>13285</v>
      </c>
      <c r="C4647" t="s">
        <v>13286</v>
      </c>
      <c r="D4647">
        <v>1</v>
      </c>
      <c r="E4647" t="s">
        <v>13183</v>
      </c>
      <c r="F4647" t="s">
        <v>13184</v>
      </c>
      <c r="G4647" s="1"/>
      <c r="H4647" t="str">
        <f>"4012740015561"</f>
        <v>4012740015561</v>
      </c>
      <c r="J4647" t="s">
        <v>13287</v>
      </c>
    </row>
    <row r="4648" spans="1:10" x14ac:dyDescent="0.25">
      <c r="A4648" t="s">
        <v>8</v>
      </c>
      <c r="B4648" t="s">
        <v>13288</v>
      </c>
      <c r="C4648" t="s">
        <v>13289</v>
      </c>
      <c r="D4648">
        <v>1</v>
      </c>
      <c r="E4648" t="s">
        <v>13183</v>
      </c>
      <c r="F4648" t="s">
        <v>13184</v>
      </c>
      <c r="G4648" s="1"/>
      <c r="H4648" t="str">
        <f>"4012740015578"</f>
        <v>4012740015578</v>
      </c>
      <c r="J4648" t="s">
        <v>13198</v>
      </c>
    </row>
    <row r="4649" spans="1:10" x14ac:dyDescent="0.25">
      <c r="A4649" t="s">
        <v>8</v>
      </c>
      <c r="B4649" t="s">
        <v>13290</v>
      </c>
      <c r="C4649" t="s">
        <v>13291</v>
      </c>
      <c r="D4649">
        <v>1</v>
      </c>
      <c r="E4649" t="s">
        <v>13183</v>
      </c>
      <c r="F4649" t="s">
        <v>13184</v>
      </c>
      <c r="G4649" s="1"/>
      <c r="H4649" t="str">
        <f>"4012740015585"</f>
        <v>4012740015585</v>
      </c>
      <c r="J4649" t="s">
        <v>13201</v>
      </c>
    </row>
    <row r="4650" spans="1:10" x14ac:dyDescent="0.25">
      <c r="A4650" t="s">
        <v>8</v>
      </c>
      <c r="B4650" t="s">
        <v>13292</v>
      </c>
      <c r="C4650" t="s">
        <v>13182</v>
      </c>
      <c r="D4650">
        <v>1</v>
      </c>
      <c r="E4650" t="s">
        <v>13183</v>
      </c>
      <c r="F4650" t="s">
        <v>13184</v>
      </c>
      <c r="G4650" s="1"/>
      <c r="H4650" t="str">
        <f>"4012740015592"</f>
        <v>4012740015592</v>
      </c>
      <c r="J4650" t="s">
        <v>13206</v>
      </c>
    </row>
    <row r="4651" spans="1:10" x14ac:dyDescent="0.25">
      <c r="A4651" t="s">
        <v>8</v>
      </c>
      <c r="B4651" t="s">
        <v>13293</v>
      </c>
      <c r="C4651" t="s">
        <v>13294</v>
      </c>
      <c r="D4651">
        <v>1</v>
      </c>
      <c r="E4651" t="s">
        <v>13183</v>
      </c>
      <c r="F4651" t="s">
        <v>13184</v>
      </c>
      <c r="G4651" s="1"/>
      <c r="H4651" t="str">
        <f>"4012740015608"</f>
        <v>4012740015608</v>
      </c>
      <c r="J4651" t="s">
        <v>13295</v>
      </c>
    </row>
    <row r="4652" spans="1:10" x14ac:dyDescent="0.25">
      <c r="A4652" t="s">
        <v>8</v>
      </c>
      <c r="B4652" t="s">
        <v>13296</v>
      </c>
      <c r="C4652" t="s">
        <v>13297</v>
      </c>
      <c r="D4652">
        <v>1</v>
      </c>
      <c r="E4652" t="s">
        <v>13183</v>
      </c>
      <c r="F4652" t="s">
        <v>13184</v>
      </c>
      <c r="G4652" s="1"/>
      <c r="H4652" t="str">
        <f>"4012740015615"</f>
        <v>4012740015615</v>
      </c>
      <c r="J4652" t="s">
        <v>13211</v>
      </c>
    </row>
    <row r="4653" spans="1:10" x14ac:dyDescent="0.25">
      <c r="A4653" t="s">
        <v>8</v>
      </c>
      <c r="B4653" t="s">
        <v>13298</v>
      </c>
      <c r="C4653" t="s">
        <v>13299</v>
      </c>
      <c r="D4653">
        <v>1</v>
      </c>
      <c r="E4653" t="s">
        <v>13183</v>
      </c>
      <c r="F4653" t="s">
        <v>13184</v>
      </c>
      <c r="G4653" s="1"/>
      <c r="H4653" t="str">
        <f>"4012740015622"</f>
        <v>4012740015622</v>
      </c>
      <c r="J4653" t="s">
        <v>13300</v>
      </c>
    </row>
    <row r="4654" spans="1:10" x14ac:dyDescent="0.25">
      <c r="A4654" t="s">
        <v>8</v>
      </c>
      <c r="B4654" t="s">
        <v>13301</v>
      </c>
      <c r="C4654" t="s">
        <v>13289</v>
      </c>
      <c r="D4654">
        <v>1</v>
      </c>
      <c r="E4654" t="s">
        <v>13183</v>
      </c>
      <c r="F4654" t="s">
        <v>13184</v>
      </c>
      <c r="G4654" s="1"/>
      <c r="H4654" t="str">
        <f>"4012740015639"</f>
        <v>4012740015639</v>
      </c>
      <c r="J4654" t="s">
        <v>13217</v>
      </c>
    </row>
    <row r="4655" spans="1:10" x14ac:dyDescent="0.25">
      <c r="A4655" t="s">
        <v>8</v>
      </c>
      <c r="B4655" t="s">
        <v>13302</v>
      </c>
      <c r="C4655" t="s">
        <v>13291</v>
      </c>
      <c r="D4655">
        <v>1</v>
      </c>
      <c r="E4655" t="s">
        <v>13183</v>
      </c>
      <c r="F4655" t="s">
        <v>13184</v>
      </c>
      <c r="G4655" s="1"/>
      <c r="H4655" t="str">
        <f>"4012740015646"</f>
        <v>4012740015646</v>
      </c>
      <c r="J4655" t="s">
        <v>13219</v>
      </c>
    </row>
    <row r="4656" spans="1:10" x14ac:dyDescent="0.25">
      <c r="A4656" t="s">
        <v>8</v>
      </c>
      <c r="B4656" t="s">
        <v>13303</v>
      </c>
      <c r="C4656" t="s">
        <v>13304</v>
      </c>
      <c r="D4656">
        <v>1</v>
      </c>
      <c r="E4656" t="s">
        <v>13183</v>
      </c>
      <c r="F4656" t="s">
        <v>13184</v>
      </c>
      <c r="G4656" s="1"/>
      <c r="H4656" t="str">
        <f>"4012740015653"</f>
        <v>4012740015653</v>
      </c>
      <c r="J4656" t="s">
        <v>13225</v>
      </c>
    </row>
    <row r="4657" spans="1:10" x14ac:dyDescent="0.25">
      <c r="A4657" t="s">
        <v>8</v>
      </c>
      <c r="B4657" t="s">
        <v>13305</v>
      </c>
      <c r="C4657" t="s">
        <v>13306</v>
      </c>
      <c r="D4657">
        <v>1</v>
      </c>
      <c r="E4657" t="s">
        <v>13183</v>
      </c>
      <c r="F4657" t="s">
        <v>13184</v>
      </c>
      <c r="G4657" s="1"/>
      <c r="H4657" t="str">
        <f>"4012740015660"</f>
        <v>4012740015660</v>
      </c>
      <c r="J4657" t="s">
        <v>13228</v>
      </c>
    </row>
    <row r="4658" spans="1:10" x14ac:dyDescent="0.25">
      <c r="A4658" t="s">
        <v>8</v>
      </c>
      <c r="B4658" t="s">
        <v>13307</v>
      </c>
      <c r="C4658" t="s">
        <v>13308</v>
      </c>
      <c r="D4658">
        <v>1</v>
      </c>
      <c r="E4658" t="s">
        <v>13183</v>
      </c>
      <c r="F4658" t="s">
        <v>13184</v>
      </c>
      <c r="G4658" s="1"/>
      <c r="H4658" t="str">
        <f>"4012740015677"</f>
        <v>4012740015677</v>
      </c>
      <c r="J4658" t="s">
        <v>13231</v>
      </c>
    </row>
    <row r="4659" spans="1:10" x14ac:dyDescent="0.25">
      <c r="A4659" t="s">
        <v>8</v>
      </c>
      <c r="B4659" t="s">
        <v>13309</v>
      </c>
      <c r="C4659" t="s">
        <v>13310</v>
      </c>
      <c r="D4659">
        <v>1</v>
      </c>
      <c r="E4659" t="s">
        <v>13183</v>
      </c>
      <c r="F4659" t="s">
        <v>13184</v>
      </c>
      <c r="G4659" s="1"/>
      <c r="H4659" t="str">
        <f>"4012740015684"</f>
        <v>4012740015684</v>
      </c>
      <c r="J4659" t="s">
        <v>13234</v>
      </c>
    </row>
    <row r="4660" spans="1:10" x14ac:dyDescent="0.25">
      <c r="A4660" t="s">
        <v>8</v>
      </c>
      <c r="B4660" t="s">
        <v>13311</v>
      </c>
      <c r="C4660" t="s">
        <v>13312</v>
      </c>
      <c r="D4660">
        <v>1</v>
      </c>
      <c r="E4660" t="s">
        <v>13183</v>
      </c>
      <c r="F4660" t="s">
        <v>13184</v>
      </c>
      <c r="G4660" s="1"/>
      <c r="H4660" t="str">
        <f>"4012740015691"</f>
        <v>4012740015691</v>
      </c>
      <c r="J4660" t="s">
        <v>13237</v>
      </c>
    </row>
    <row r="4661" spans="1:10" x14ac:dyDescent="0.25">
      <c r="A4661" t="s">
        <v>8</v>
      </c>
      <c r="B4661" t="s">
        <v>13313</v>
      </c>
      <c r="C4661" t="s">
        <v>13314</v>
      </c>
      <c r="D4661">
        <v>1</v>
      </c>
      <c r="E4661" t="s">
        <v>13183</v>
      </c>
      <c r="F4661" t="s">
        <v>13184</v>
      </c>
      <c r="G4661" s="1"/>
      <c r="H4661" t="str">
        <f>"4012740015820"</f>
        <v>4012740015820</v>
      </c>
      <c r="J4661" t="s">
        <v>13315</v>
      </c>
    </row>
    <row r="4662" spans="1:10" x14ac:dyDescent="0.25">
      <c r="A4662" t="s">
        <v>8</v>
      </c>
      <c r="B4662" t="s">
        <v>13316</v>
      </c>
      <c r="C4662" t="s">
        <v>13317</v>
      </c>
      <c r="D4662">
        <v>1</v>
      </c>
      <c r="E4662" t="s">
        <v>13183</v>
      </c>
      <c r="F4662" t="s">
        <v>13184</v>
      </c>
      <c r="G4662" s="1"/>
      <c r="H4662" t="str">
        <f>"4012740015844"</f>
        <v>4012740015844</v>
      </c>
      <c r="J4662" t="s">
        <v>13318</v>
      </c>
    </row>
    <row r="4663" spans="1:10" x14ac:dyDescent="0.25">
      <c r="A4663" t="s">
        <v>8</v>
      </c>
      <c r="B4663" t="s">
        <v>13319</v>
      </c>
      <c r="C4663" t="s">
        <v>13320</v>
      </c>
      <c r="D4663">
        <v>1</v>
      </c>
      <c r="E4663" t="s">
        <v>13183</v>
      </c>
      <c r="F4663" t="s">
        <v>13184</v>
      </c>
      <c r="G4663" s="1"/>
      <c r="H4663" t="str">
        <f>"4012740015868"</f>
        <v>4012740015868</v>
      </c>
      <c r="J4663" t="s">
        <v>13321</v>
      </c>
    </row>
    <row r="4664" spans="1:10" x14ac:dyDescent="0.25">
      <c r="A4664" t="s">
        <v>8</v>
      </c>
      <c r="B4664" t="s">
        <v>13322</v>
      </c>
      <c r="C4664" t="s">
        <v>13323</v>
      </c>
      <c r="D4664">
        <v>1</v>
      </c>
      <c r="E4664" t="s">
        <v>13183</v>
      </c>
      <c r="F4664" t="s">
        <v>13184</v>
      </c>
      <c r="G4664" s="1"/>
      <c r="H4664" t="str">
        <f>"4012740015875"</f>
        <v>4012740015875</v>
      </c>
      <c r="J4664" t="s">
        <v>13324</v>
      </c>
    </row>
    <row r="4665" spans="1:10" x14ac:dyDescent="0.25">
      <c r="A4665" t="s">
        <v>8</v>
      </c>
      <c r="B4665" t="s">
        <v>13325</v>
      </c>
      <c r="C4665" t="s">
        <v>13326</v>
      </c>
      <c r="D4665">
        <v>1</v>
      </c>
      <c r="E4665" t="s">
        <v>13183</v>
      </c>
      <c r="F4665" t="s">
        <v>13184</v>
      </c>
      <c r="G4665" s="1"/>
      <c r="H4665" t="str">
        <f>"4012740015882"</f>
        <v>4012740015882</v>
      </c>
      <c r="J4665" t="s">
        <v>13327</v>
      </c>
    </row>
    <row r="4666" spans="1:10" x14ac:dyDescent="0.25">
      <c r="A4666" t="s">
        <v>8</v>
      </c>
      <c r="B4666" t="s">
        <v>13328</v>
      </c>
      <c r="C4666" t="s">
        <v>13329</v>
      </c>
      <c r="D4666">
        <v>1</v>
      </c>
      <c r="E4666" t="s">
        <v>13183</v>
      </c>
      <c r="F4666" t="s">
        <v>13184</v>
      </c>
      <c r="G4666" s="1"/>
      <c r="H4666" t="str">
        <f>"4012740015936"</f>
        <v>4012740015936</v>
      </c>
      <c r="J4666" t="s">
        <v>13330</v>
      </c>
    </row>
    <row r="4667" spans="1:10" x14ac:dyDescent="0.25">
      <c r="A4667" t="s">
        <v>8</v>
      </c>
      <c r="B4667" t="s">
        <v>13331</v>
      </c>
      <c r="C4667" t="s">
        <v>13332</v>
      </c>
      <c r="D4667">
        <v>1</v>
      </c>
      <c r="E4667" t="s">
        <v>13183</v>
      </c>
      <c r="F4667" t="s">
        <v>13184</v>
      </c>
      <c r="G4667" s="1"/>
      <c r="H4667" t="str">
        <f>"4012740015943"</f>
        <v>4012740015943</v>
      </c>
      <c r="J4667" t="s">
        <v>13333</v>
      </c>
    </row>
    <row r="4668" spans="1:10" x14ac:dyDescent="0.25">
      <c r="A4668" t="s">
        <v>8</v>
      </c>
      <c r="B4668" t="s">
        <v>13334</v>
      </c>
      <c r="C4668" t="s">
        <v>13335</v>
      </c>
      <c r="D4668">
        <v>1</v>
      </c>
      <c r="E4668" t="s">
        <v>13183</v>
      </c>
      <c r="F4668" t="s">
        <v>13184</v>
      </c>
      <c r="G4668" s="1"/>
      <c r="H4668" t="str">
        <f>"4012740015950"</f>
        <v>4012740015950</v>
      </c>
      <c r="J4668" t="s">
        <v>13336</v>
      </c>
    </row>
    <row r="4669" spans="1:10" x14ac:dyDescent="0.25">
      <c r="A4669" t="s">
        <v>8</v>
      </c>
      <c r="B4669" t="s">
        <v>13337</v>
      </c>
      <c r="C4669" t="s">
        <v>13239</v>
      </c>
      <c r="D4669">
        <v>1</v>
      </c>
      <c r="E4669" t="s">
        <v>13183</v>
      </c>
      <c r="F4669" t="s">
        <v>13184</v>
      </c>
      <c r="G4669" s="1"/>
      <c r="H4669" t="str">
        <f>"4012740029728"</f>
        <v>4012740029728</v>
      </c>
      <c r="J4669" t="s">
        <v>13240</v>
      </c>
    </row>
    <row r="4670" spans="1:10" x14ac:dyDescent="0.25">
      <c r="A4670" t="s">
        <v>8</v>
      </c>
      <c r="B4670" t="s">
        <v>13338</v>
      </c>
      <c r="C4670" t="s">
        <v>13339</v>
      </c>
      <c r="D4670">
        <v>1</v>
      </c>
      <c r="E4670" t="s">
        <v>13183</v>
      </c>
      <c r="F4670" t="s">
        <v>13184</v>
      </c>
      <c r="G4670" s="1"/>
      <c r="H4670" t="str">
        <f>"4012740029735"</f>
        <v>4012740029735</v>
      </c>
      <c r="J4670" t="s">
        <v>13243</v>
      </c>
    </row>
    <row r="4671" spans="1:10" x14ac:dyDescent="0.25">
      <c r="A4671" t="s">
        <v>8</v>
      </c>
      <c r="B4671" t="s">
        <v>13340</v>
      </c>
      <c r="C4671" t="s">
        <v>13341</v>
      </c>
      <c r="D4671">
        <v>1</v>
      </c>
      <c r="E4671" t="s">
        <v>13342</v>
      </c>
      <c r="F4671" t="s">
        <v>13343</v>
      </c>
      <c r="G4671" s="1"/>
      <c r="H4671" t="str">
        <f>"4012740100311"</f>
        <v>4012740100311</v>
      </c>
      <c r="J4671" t="s">
        <v>6116</v>
      </c>
    </row>
    <row r="4672" spans="1:10" x14ac:dyDescent="0.25">
      <c r="A4672" t="s">
        <v>8</v>
      </c>
      <c r="B4672" t="s">
        <v>13344</v>
      </c>
      <c r="C4672" t="s">
        <v>13345</v>
      </c>
      <c r="D4672">
        <v>1</v>
      </c>
      <c r="E4672" t="s">
        <v>13342</v>
      </c>
      <c r="F4672" t="s">
        <v>13343</v>
      </c>
      <c r="G4672" s="1"/>
      <c r="H4672" t="str">
        <f>"4012740100328"</f>
        <v>4012740100328</v>
      </c>
      <c r="J4672" t="s">
        <v>13346</v>
      </c>
    </row>
    <row r="4673" spans="1:10" x14ac:dyDescent="0.25">
      <c r="A4673" t="s">
        <v>8</v>
      </c>
      <c r="B4673" t="s">
        <v>13347</v>
      </c>
      <c r="C4673" t="s">
        <v>13348</v>
      </c>
      <c r="D4673">
        <v>1</v>
      </c>
      <c r="E4673" t="s">
        <v>13342</v>
      </c>
      <c r="F4673" t="s">
        <v>13343</v>
      </c>
      <c r="G4673" s="1"/>
      <c r="H4673" t="str">
        <f>"4012740100342"</f>
        <v>4012740100342</v>
      </c>
      <c r="J4673" t="s">
        <v>13349</v>
      </c>
    </row>
    <row r="4674" spans="1:10" x14ac:dyDescent="0.25">
      <c r="A4674" t="s">
        <v>8</v>
      </c>
      <c r="B4674" t="s">
        <v>13350</v>
      </c>
      <c r="C4674" t="s">
        <v>13351</v>
      </c>
      <c r="D4674">
        <v>1</v>
      </c>
      <c r="E4674" t="s">
        <v>13342</v>
      </c>
      <c r="F4674" t="s">
        <v>13343</v>
      </c>
      <c r="G4674" s="1"/>
      <c r="H4674" t="str">
        <f>"4012740100359"</f>
        <v>4012740100359</v>
      </c>
      <c r="J4674" t="s">
        <v>13352</v>
      </c>
    </row>
    <row r="4675" spans="1:10" x14ac:dyDescent="0.25">
      <c r="A4675" t="s">
        <v>8</v>
      </c>
      <c r="B4675" t="s">
        <v>13353</v>
      </c>
      <c r="C4675" t="s">
        <v>13354</v>
      </c>
      <c r="D4675">
        <v>1</v>
      </c>
      <c r="E4675" t="s">
        <v>13342</v>
      </c>
      <c r="F4675" t="s">
        <v>13343</v>
      </c>
      <c r="G4675" s="1"/>
      <c r="H4675" t="str">
        <f>"4012740100366"</f>
        <v>4012740100366</v>
      </c>
      <c r="J4675" t="s">
        <v>13355</v>
      </c>
    </row>
    <row r="4676" spans="1:10" x14ac:dyDescent="0.25">
      <c r="A4676" t="s">
        <v>8</v>
      </c>
      <c r="B4676" t="s">
        <v>13356</v>
      </c>
      <c r="C4676" t="s">
        <v>13357</v>
      </c>
      <c r="D4676">
        <v>1</v>
      </c>
      <c r="E4676" t="s">
        <v>13342</v>
      </c>
      <c r="F4676" t="s">
        <v>13343</v>
      </c>
      <c r="G4676" s="1"/>
      <c r="H4676" t="str">
        <f>"4012740341110"</f>
        <v>4012740341110</v>
      </c>
      <c r="J4676" t="s">
        <v>13358</v>
      </c>
    </row>
    <row r="4677" spans="1:10" x14ac:dyDescent="0.25">
      <c r="A4677" t="s">
        <v>8</v>
      </c>
      <c r="B4677" t="s">
        <v>13359</v>
      </c>
      <c r="C4677" t="s">
        <v>13360</v>
      </c>
      <c r="D4677">
        <v>1</v>
      </c>
      <c r="E4677" t="s">
        <v>13342</v>
      </c>
      <c r="F4677" t="s">
        <v>13343</v>
      </c>
      <c r="G4677" s="1"/>
      <c r="H4677" t="str">
        <f>"4012740107808"</f>
        <v>4012740107808</v>
      </c>
      <c r="J4677" t="s">
        <v>13361</v>
      </c>
    </row>
    <row r="4678" spans="1:10" x14ac:dyDescent="0.25">
      <c r="A4678" t="s">
        <v>8</v>
      </c>
      <c r="B4678" t="s">
        <v>13362</v>
      </c>
      <c r="C4678" t="s">
        <v>13363</v>
      </c>
      <c r="D4678">
        <v>1</v>
      </c>
      <c r="E4678" t="s">
        <v>13342</v>
      </c>
      <c r="F4678" t="s">
        <v>13343</v>
      </c>
      <c r="G4678" s="1"/>
      <c r="H4678" t="str">
        <f>"4012740334723"</f>
        <v>4012740334723</v>
      </c>
      <c r="J4678" t="s">
        <v>13364</v>
      </c>
    </row>
    <row r="4679" spans="1:10" x14ac:dyDescent="0.25">
      <c r="A4679" t="s">
        <v>8</v>
      </c>
      <c r="B4679" t="s">
        <v>13365</v>
      </c>
      <c r="C4679" t="s">
        <v>13366</v>
      </c>
      <c r="D4679">
        <v>1</v>
      </c>
      <c r="E4679" t="s">
        <v>13342</v>
      </c>
      <c r="F4679" t="s">
        <v>13343</v>
      </c>
      <c r="G4679" s="1"/>
      <c r="H4679" t="str">
        <f>"4012740140058"</f>
        <v>4012740140058</v>
      </c>
      <c r="J4679" t="s">
        <v>13367</v>
      </c>
    </row>
    <row r="4680" spans="1:10" x14ac:dyDescent="0.25">
      <c r="A4680" t="s">
        <v>8</v>
      </c>
      <c r="B4680" t="s">
        <v>13368</v>
      </c>
      <c r="C4680" t="s">
        <v>13369</v>
      </c>
      <c r="D4680">
        <v>1</v>
      </c>
      <c r="E4680" t="s">
        <v>13342</v>
      </c>
      <c r="F4680" t="s">
        <v>13343</v>
      </c>
      <c r="G4680" s="1"/>
      <c r="H4680" t="str">
        <f>"4012740114462"</f>
        <v>4012740114462</v>
      </c>
      <c r="J4680" t="s">
        <v>13370</v>
      </c>
    </row>
    <row r="4681" spans="1:10" x14ac:dyDescent="0.25">
      <c r="A4681" t="s">
        <v>8</v>
      </c>
      <c r="B4681" t="s">
        <v>13371</v>
      </c>
      <c r="C4681" t="s">
        <v>13372</v>
      </c>
      <c r="D4681">
        <v>1</v>
      </c>
      <c r="E4681" t="s">
        <v>13342</v>
      </c>
      <c r="F4681" t="s">
        <v>13343</v>
      </c>
      <c r="G4681" s="1"/>
      <c r="H4681" t="str">
        <f>"4012740852401"</f>
        <v>4012740852401</v>
      </c>
      <c r="J4681" t="s">
        <v>13373</v>
      </c>
    </row>
    <row r="4682" spans="1:10" x14ac:dyDescent="0.25">
      <c r="A4682" t="s">
        <v>8</v>
      </c>
      <c r="B4682" t="s">
        <v>13374</v>
      </c>
      <c r="C4682" t="s">
        <v>13375</v>
      </c>
      <c r="D4682">
        <v>1</v>
      </c>
      <c r="E4682" t="s">
        <v>13342</v>
      </c>
      <c r="F4682" t="s">
        <v>13343</v>
      </c>
      <c r="G4682" s="1"/>
      <c r="H4682" t="str">
        <f>"4012740852425"</f>
        <v>4012740852425</v>
      </c>
      <c r="J4682" t="s">
        <v>13376</v>
      </c>
    </row>
    <row r="4683" spans="1:10" x14ac:dyDescent="0.25">
      <c r="A4683" t="s">
        <v>8</v>
      </c>
      <c r="B4683" t="s">
        <v>13377</v>
      </c>
      <c r="C4683" t="s">
        <v>13378</v>
      </c>
      <c r="D4683">
        <v>1</v>
      </c>
      <c r="E4683" t="s">
        <v>13342</v>
      </c>
      <c r="F4683" t="s">
        <v>13343</v>
      </c>
      <c r="G4683" s="1"/>
      <c r="H4683" t="str">
        <f>"4012740852449"</f>
        <v>4012740852449</v>
      </c>
      <c r="J4683" t="s">
        <v>13379</v>
      </c>
    </row>
    <row r="4684" spans="1:10" x14ac:dyDescent="0.25">
      <c r="A4684" t="s">
        <v>8</v>
      </c>
      <c r="B4684" t="s">
        <v>13380</v>
      </c>
      <c r="C4684" t="s">
        <v>13381</v>
      </c>
      <c r="D4684">
        <v>1</v>
      </c>
      <c r="E4684" t="s">
        <v>13342</v>
      </c>
      <c r="F4684" t="s">
        <v>13343</v>
      </c>
      <c r="G4684" s="1"/>
      <c r="H4684" t="str">
        <f>"4012740852463"</f>
        <v>4012740852463</v>
      </c>
      <c r="J4684" t="s">
        <v>13382</v>
      </c>
    </row>
    <row r="4685" spans="1:10" x14ac:dyDescent="0.25">
      <c r="A4685" t="s">
        <v>8</v>
      </c>
      <c r="B4685" t="s">
        <v>13383</v>
      </c>
      <c r="C4685" t="s">
        <v>13384</v>
      </c>
      <c r="D4685">
        <v>1</v>
      </c>
      <c r="E4685" t="s">
        <v>13342</v>
      </c>
      <c r="F4685" t="s">
        <v>13343</v>
      </c>
      <c r="G4685" s="1"/>
      <c r="H4685" t="str">
        <f>"4012740852487"</f>
        <v>4012740852487</v>
      </c>
      <c r="J4685" t="s">
        <v>13385</v>
      </c>
    </row>
    <row r="4686" spans="1:10" x14ac:dyDescent="0.25">
      <c r="A4686" t="s">
        <v>8</v>
      </c>
      <c r="B4686" t="s">
        <v>13386</v>
      </c>
      <c r="C4686" t="s">
        <v>13387</v>
      </c>
      <c r="D4686">
        <v>1</v>
      </c>
      <c r="E4686" t="s">
        <v>13342</v>
      </c>
      <c r="F4686" t="s">
        <v>13343</v>
      </c>
      <c r="G4686" s="1"/>
      <c r="H4686" t="str">
        <f>"4012740852500"</f>
        <v>4012740852500</v>
      </c>
      <c r="J4686" t="s">
        <v>13388</v>
      </c>
    </row>
    <row r="4687" spans="1:10" x14ac:dyDescent="0.25">
      <c r="A4687" t="s">
        <v>8</v>
      </c>
      <c r="B4687" t="s">
        <v>13389</v>
      </c>
      <c r="C4687" t="s">
        <v>13390</v>
      </c>
      <c r="D4687">
        <v>1</v>
      </c>
      <c r="E4687" t="s">
        <v>13342</v>
      </c>
      <c r="F4687" t="s">
        <v>13343</v>
      </c>
      <c r="G4687" s="1"/>
      <c r="H4687" t="str">
        <f>"4012740852524"</f>
        <v>4012740852524</v>
      </c>
      <c r="J4687" t="s">
        <v>13391</v>
      </c>
    </row>
    <row r="4688" spans="1:10" x14ac:dyDescent="0.25">
      <c r="A4688" t="s">
        <v>8</v>
      </c>
      <c r="B4688" t="s">
        <v>13392</v>
      </c>
      <c r="C4688" t="s">
        <v>13393</v>
      </c>
      <c r="D4688">
        <v>1</v>
      </c>
      <c r="E4688" t="s">
        <v>13342</v>
      </c>
      <c r="F4688" t="s">
        <v>13343</v>
      </c>
      <c r="G4688" s="1"/>
      <c r="H4688" t="str">
        <f>"4012740852562"</f>
        <v>4012740852562</v>
      </c>
      <c r="J4688" t="s">
        <v>13394</v>
      </c>
    </row>
    <row r="4689" spans="1:10" x14ac:dyDescent="0.25">
      <c r="A4689" t="s">
        <v>8</v>
      </c>
      <c r="B4689" t="s">
        <v>13395</v>
      </c>
      <c r="C4689" t="s">
        <v>13396</v>
      </c>
      <c r="D4689">
        <v>1</v>
      </c>
      <c r="E4689" t="s">
        <v>13342</v>
      </c>
      <c r="F4689" t="s">
        <v>13343</v>
      </c>
      <c r="G4689" s="1"/>
      <c r="H4689" t="str">
        <f>"4012740852609"</f>
        <v>4012740852609</v>
      </c>
      <c r="J4689" t="s">
        <v>12325</v>
      </c>
    </row>
    <row r="4690" spans="1:10" x14ac:dyDescent="0.25">
      <c r="A4690" t="s">
        <v>8</v>
      </c>
      <c r="B4690" t="s">
        <v>13397</v>
      </c>
      <c r="C4690" t="s">
        <v>13398</v>
      </c>
      <c r="D4690">
        <v>1</v>
      </c>
      <c r="E4690" t="s">
        <v>13342</v>
      </c>
      <c r="F4690" t="s">
        <v>13343</v>
      </c>
      <c r="G4690" s="1"/>
      <c r="H4690" t="str">
        <f>"4012740852623"</f>
        <v>4012740852623</v>
      </c>
      <c r="J4690" t="s">
        <v>13399</v>
      </c>
    </row>
    <row r="4691" spans="1:10" x14ac:dyDescent="0.25">
      <c r="A4691" t="s">
        <v>8</v>
      </c>
      <c r="B4691" t="s">
        <v>13400</v>
      </c>
      <c r="C4691" t="s">
        <v>13401</v>
      </c>
      <c r="D4691">
        <v>1</v>
      </c>
      <c r="E4691" t="s">
        <v>13342</v>
      </c>
      <c r="F4691" t="s">
        <v>13343</v>
      </c>
      <c r="G4691" s="1"/>
      <c r="H4691" t="str">
        <f>"4012740852647"</f>
        <v>4012740852647</v>
      </c>
      <c r="J4691" t="s">
        <v>13402</v>
      </c>
    </row>
    <row r="4692" spans="1:10" x14ac:dyDescent="0.25">
      <c r="A4692" t="s">
        <v>8</v>
      </c>
      <c r="B4692" t="s">
        <v>13403</v>
      </c>
      <c r="C4692" t="s">
        <v>13404</v>
      </c>
      <c r="D4692">
        <v>1</v>
      </c>
      <c r="E4692" t="s">
        <v>13342</v>
      </c>
      <c r="F4692" t="s">
        <v>13343</v>
      </c>
      <c r="G4692" s="1"/>
      <c r="H4692" t="str">
        <f>"4012740852661"</f>
        <v>4012740852661</v>
      </c>
      <c r="J4692" t="s">
        <v>13405</v>
      </c>
    </row>
    <row r="4693" spans="1:10" x14ac:dyDescent="0.25">
      <c r="A4693" t="s">
        <v>8</v>
      </c>
      <c r="B4693" t="s">
        <v>13406</v>
      </c>
      <c r="C4693" t="s">
        <v>13407</v>
      </c>
      <c r="D4693">
        <v>1</v>
      </c>
      <c r="E4693" t="s">
        <v>13342</v>
      </c>
      <c r="F4693" t="s">
        <v>13343</v>
      </c>
      <c r="G4693" s="1"/>
      <c r="H4693" t="str">
        <f>"4012740878289"</f>
        <v>4012740878289</v>
      </c>
      <c r="J4693" t="s">
        <v>13408</v>
      </c>
    </row>
    <row r="4694" spans="1:10" x14ac:dyDescent="0.25">
      <c r="A4694" t="s">
        <v>8</v>
      </c>
      <c r="B4694" t="s">
        <v>13409</v>
      </c>
      <c r="C4694" t="s">
        <v>13410</v>
      </c>
      <c r="D4694">
        <v>1</v>
      </c>
      <c r="E4694" t="s">
        <v>13342</v>
      </c>
      <c r="F4694" t="s">
        <v>13343</v>
      </c>
      <c r="G4694" s="1"/>
      <c r="H4694" t="str">
        <f>"4012740878296"</f>
        <v>4012740878296</v>
      </c>
      <c r="J4694" t="s">
        <v>13411</v>
      </c>
    </row>
    <row r="4695" spans="1:10" x14ac:dyDescent="0.25">
      <c r="A4695" t="s">
        <v>8</v>
      </c>
      <c r="B4695" t="s">
        <v>13412</v>
      </c>
      <c r="C4695" t="s">
        <v>13413</v>
      </c>
      <c r="D4695">
        <v>1</v>
      </c>
      <c r="E4695" t="s">
        <v>13342</v>
      </c>
      <c r="F4695" t="s">
        <v>13343</v>
      </c>
      <c r="G4695" s="1"/>
      <c r="H4695" t="str">
        <f>"4012740878302"</f>
        <v>4012740878302</v>
      </c>
      <c r="J4695" t="s">
        <v>13414</v>
      </c>
    </row>
    <row r="4696" spans="1:10" x14ac:dyDescent="0.25">
      <c r="A4696" t="s">
        <v>8</v>
      </c>
      <c r="B4696" t="s">
        <v>13415</v>
      </c>
      <c r="C4696" t="s">
        <v>13416</v>
      </c>
      <c r="D4696">
        <v>1</v>
      </c>
      <c r="E4696" t="s">
        <v>13342</v>
      </c>
      <c r="F4696" t="s">
        <v>13343</v>
      </c>
      <c r="G4696" s="1"/>
      <c r="H4696" t="str">
        <f>"4012740011211"</f>
        <v>4012740011211</v>
      </c>
      <c r="J4696" t="s">
        <v>6116</v>
      </c>
    </row>
    <row r="4697" spans="1:10" x14ac:dyDescent="0.25">
      <c r="A4697" t="s">
        <v>8</v>
      </c>
      <c r="B4697" t="s">
        <v>13417</v>
      </c>
      <c r="C4697" t="s">
        <v>13418</v>
      </c>
      <c r="D4697">
        <v>1</v>
      </c>
      <c r="E4697" t="s">
        <v>13342</v>
      </c>
      <c r="F4697" t="s">
        <v>13343</v>
      </c>
      <c r="G4697" s="1"/>
      <c r="H4697" t="str">
        <f>"4012740011228"</f>
        <v>4012740011228</v>
      </c>
      <c r="J4697" t="s">
        <v>13346</v>
      </c>
    </row>
    <row r="4698" spans="1:10" x14ac:dyDescent="0.25">
      <c r="A4698" t="s">
        <v>8</v>
      </c>
      <c r="B4698" t="s">
        <v>13419</v>
      </c>
      <c r="C4698" t="s">
        <v>13420</v>
      </c>
      <c r="D4698">
        <v>1</v>
      </c>
      <c r="E4698" t="s">
        <v>13342</v>
      </c>
      <c r="F4698" t="s">
        <v>13343</v>
      </c>
      <c r="G4698" s="1"/>
      <c r="H4698" t="str">
        <f>"4012740011280"</f>
        <v>4012740011280</v>
      </c>
      <c r="J4698" t="s">
        <v>13349</v>
      </c>
    </row>
    <row r="4699" spans="1:10" x14ac:dyDescent="0.25">
      <c r="A4699" t="s">
        <v>8</v>
      </c>
      <c r="B4699" t="s">
        <v>13421</v>
      </c>
      <c r="C4699" t="s">
        <v>13422</v>
      </c>
      <c r="D4699">
        <v>1</v>
      </c>
      <c r="E4699" t="s">
        <v>13342</v>
      </c>
      <c r="F4699" t="s">
        <v>13343</v>
      </c>
      <c r="G4699" s="1"/>
      <c r="H4699" t="str">
        <f>"4012740011297"</f>
        <v>4012740011297</v>
      </c>
      <c r="J4699" t="s">
        <v>13352</v>
      </c>
    </row>
    <row r="4700" spans="1:10" x14ac:dyDescent="0.25">
      <c r="A4700" t="s">
        <v>8</v>
      </c>
      <c r="B4700" t="s">
        <v>13423</v>
      </c>
      <c r="C4700" t="s">
        <v>13424</v>
      </c>
      <c r="D4700">
        <v>1</v>
      </c>
      <c r="E4700" t="s">
        <v>13342</v>
      </c>
      <c r="F4700" t="s">
        <v>13343</v>
      </c>
      <c r="G4700" s="1"/>
      <c r="H4700" t="str">
        <f>"4012740011303"</f>
        <v>4012740011303</v>
      </c>
      <c r="J4700" t="s">
        <v>13355</v>
      </c>
    </row>
    <row r="4701" spans="1:10" x14ac:dyDescent="0.25">
      <c r="A4701" t="s">
        <v>8</v>
      </c>
      <c r="B4701" t="s">
        <v>13425</v>
      </c>
      <c r="C4701" t="s">
        <v>13426</v>
      </c>
      <c r="D4701">
        <v>1</v>
      </c>
      <c r="E4701" t="s">
        <v>13342</v>
      </c>
      <c r="F4701" t="s">
        <v>13343</v>
      </c>
      <c r="G4701" s="1"/>
      <c r="H4701" t="str">
        <f>"4012740011310"</f>
        <v>4012740011310</v>
      </c>
      <c r="J4701" t="s">
        <v>13358</v>
      </c>
    </row>
    <row r="4702" spans="1:10" x14ac:dyDescent="0.25">
      <c r="A4702" t="s">
        <v>8</v>
      </c>
      <c r="B4702" t="s">
        <v>13427</v>
      </c>
      <c r="C4702" t="s">
        <v>13428</v>
      </c>
      <c r="D4702">
        <v>1</v>
      </c>
      <c r="E4702" t="s">
        <v>13342</v>
      </c>
      <c r="F4702" t="s">
        <v>13343</v>
      </c>
      <c r="G4702" s="1"/>
      <c r="H4702" t="str">
        <f>"4012740011365"</f>
        <v>4012740011365</v>
      </c>
      <c r="J4702" t="s">
        <v>13361</v>
      </c>
    </row>
    <row r="4703" spans="1:10" x14ac:dyDescent="0.25">
      <c r="A4703" t="s">
        <v>8</v>
      </c>
      <c r="B4703" t="s">
        <v>13429</v>
      </c>
      <c r="C4703" t="s">
        <v>13430</v>
      </c>
      <c r="D4703">
        <v>1</v>
      </c>
      <c r="E4703" t="s">
        <v>13342</v>
      </c>
      <c r="F4703" t="s">
        <v>13343</v>
      </c>
      <c r="G4703" s="1"/>
      <c r="H4703" t="str">
        <f>"4012740011419"</f>
        <v>4012740011419</v>
      </c>
      <c r="J4703" t="s">
        <v>13432</v>
      </c>
    </row>
    <row r="4704" spans="1:10" x14ac:dyDescent="0.25">
      <c r="A4704" t="s">
        <v>8</v>
      </c>
      <c r="B4704" t="s">
        <v>13433</v>
      </c>
      <c r="C4704" t="s">
        <v>13434</v>
      </c>
      <c r="D4704">
        <v>1</v>
      </c>
      <c r="E4704" t="s">
        <v>13342</v>
      </c>
      <c r="F4704" t="s">
        <v>13343</v>
      </c>
      <c r="G4704" s="1"/>
      <c r="H4704" t="str">
        <f>"4012740011426"</f>
        <v>4012740011426</v>
      </c>
      <c r="J4704" t="s">
        <v>13435</v>
      </c>
    </row>
    <row r="4705" spans="1:10" x14ac:dyDescent="0.25">
      <c r="A4705" t="s">
        <v>8</v>
      </c>
      <c r="B4705" t="s">
        <v>13436</v>
      </c>
      <c r="C4705" t="s">
        <v>13437</v>
      </c>
      <c r="D4705">
        <v>1</v>
      </c>
      <c r="E4705" t="s">
        <v>13342</v>
      </c>
      <c r="F4705" t="s">
        <v>13343</v>
      </c>
      <c r="G4705" s="1"/>
      <c r="H4705" t="str">
        <f>"4012740011501"</f>
        <v>4012740011501</v>
      </c>
      <c r="J4705" t="s">
        <v>13438</v>
      </c>
    </row>
    <row r="4706" spans="1:10" x14ac:dyDescent="0.25">
      <c r="A4706" t="s">
        <v>8</v>
      </c>
      <c r="B4706" t="s">
        <v>13439</v>
      </c>
      <c r="C4706" t="s">
        <v>13440</v>
      </c>
      <c r="D4706">
        <v>1</v>
      </c>
      <c r="E4706" t="s">
        <v>13342</v>
      </c>
      <c r="F4706" t="s">
        <v>13343</v>
      </c>
      <c r="G4706" s="1"/>
      <c r="H4706" t="str">
        <f>"4012740011518"</f>
        <v>4012740011518</v>
      </c>
      <c r="J4706" t="s">
        <v>13441</v>
      </c>
    </row>
    <row r="4707" spans="1:10" x14ac:dyDescent="0.25">
      <c r="A4707" t="s">
        <v>8</v>
      </c>
      <c r="B4707" t="s">
        <v>13442</v>
      </c>
      <c r="C4707" t="s">
        <v>13443</v>
      </c>
      <c r="D4707">
        <v>1</v>
      </c>
      <c r="E4707" t="s">
        <v>13342</v>
      </c>
      <c r="F4707" t="s">
        <v>13343</v>
      </c>
      <c r="G4707" s="1"/>
      <c r="H4707" t="str">
        <f>"4012740011686"</f>
        <v>4012740011686</v>
      </c>
      <c r="J4707" t="s">
        <v>13444</v>
      </c>
    </row>
    <row r="4708" spans="1:10" x14ac:dyDescent="0.25">
      <c r="A4708" t="s">
        <v>8</v>
      </c>
      <c r="B4708" t="s">
        <v>13445</v>
      </c>
      <c r="C4708" t="s">
        <v>13446</v>
      </c>
      <c r="D4708">
        <v>1</v>
      </c>
      <c r="E4708" t="s">
        <v>13342</v>
      </c>
      <c r="F4708" t="s">
        <v>13343</v>
      </c>
      <c r="G4708" s="1"/>
      <c r="H4708" t="str">
        <f>"4012740011693"</f>
        <v>4012740011693</v>
      </c>
      <c r="J4708" t="s">
        <v>13447</v>
      </c>
    </row>
    <row r="4709" spans="1:10" x14ac:dyDescent="0.25">
      <c r="A4709" t="s">
        <v>8</v>
      </c>
      <c r="B4709" t="s">
        <v>13448</v>
      </c>
      <c r="C4709" t="s">
        <v>13449</v>
      </c>
      <c r="D4709">
        <v>1</v>
      </c>
      <c r="E4709" t="s">
        <v>13342</v>
      </c>
      <c r="F4709" t="s">
        <v>13343</v>
      </c>
      <c r="G4709" s="1"/>
      <c r="H4709" t="str">
        <f>"4012740012782"</f>
        <v>4012740012782</v>
      </c>
      <c r="J4709" t="s">
        <v>13451</v>
      </c>
    </row>
    <row r="4710" spans="1:10" x14ac:dyDescent="0.25">
      <c r="A4710" t="s">
        <v>8</v>
      </c>
      <c r="B4710" t="s">
        <v>13452</v>
      </c>
      <c r="C4710" t="s">
        <v>13453</v>
      </c>
      <c r="D4710">
        <v>1</v>
      </c>
      <c r="E4710" t="s">
        <v>13342</v>
      </c>
      <c r="F4710" t="s">
        <v>13343</v>
      </c>
      <c r="G4710" s="1"/>
      <c r="H4710" t="str">
        <f>"4012740012966"</f>
        <v>4012740012966</v>
      </c>
      <c r="J4710" t="s">
        <v>6746</v>
      </c>
    </row>
    <row r="4711" spans="1:10" x14ac:dyDescent="0.25">
      <c r="A4711" t="s">
        <v>8</v>
      </c>
      <c r="B4711" t="s">
        <v>13454</v>
      </c>
      <c r="C4711" t="s">
        <v>13455</v>
      </c>
      <c r="D4711">
        <v>1</v>
      </c>
      <c r="E4711" t="s">
        <v>13342</v>
      </c>
      <c r="F4711" t="s">
        <v>13343</v>
      </c>
      <c r="G4711" s="1"/>
      <c r="H4711" t="str">
        <f>"4012740013031"</f>
        <v>4012740013031</v>
      </c>
      <c r="J4711" t="s">
        <v>11499</v>
      </c>
    </row>
    <row r="4712" spans="1:10" x14ac:dyDescent="0.25">
      <c r="A4712" t="s">
        <v>8</v>
      </c>
      <c r="B4712" t="s">
        <v>13456</v>
      </c>
      <c r="C4712" t="s">
        <v>13457</v>
      </c>
      <c r="D4712">
        <v>1</v>
      </c>
      <c r="E4712" t="s">
        <v>13342</v>
      </c>
      <c r="F4712" t="s">
        <v>13343</v>
      </c>
      <c r="G4712" s="1"/>
      <c r="H4712" t="str">
        <f>"4012740013048"</f>
        <v>4012740013048</v>
      </c>
      <c r="J4712" t="s">
        <v>13379</v>
      </c>
    </row>
    <row r="4713" spans="1:10" x14ac:dyDescent="0.25">
      <c r="A4713" t="s">
        <v>8</v>
      </c>
      <c r="B4713" t="s">
        <v>13458</v>
      </c>
      <c r="C4713" t="s">
        <v>13459</v>
      </c>
      <c r="D4713">
        <v>1</v>
      </c>
      <c r="E4713" t="s">
        <v>13342</v>
      </c>
      <c r="F4713" t="s">
        <v>13343</v>
      </c>
      <c r="G4713" s="1"/>
      <c r="H4713" t="str">
        <f>"4012740013055"</f>
        <v>4012740013055</v>
      </c>
      <c r="J4713" t="s">
        <v>13382</v>
      </c>
    </row>
    <row r="4714" spans="1:10" x14ac:dyDescent="0.25">
      <c r="A4714" t="s">
        <v>8</v>
      </c>
      <c r="B4714" t="s">
        <v>13460</v>
      </c>
      <c r="C4714" t="s">
        <v>13461</v>
      </c>
      <c r="D4714">
        <v>1</v>
      </c>
      <c r="E4714" t="s">
        <v>13342</v>
      </c>
      <c r="F4714" t="s">
        <v>13343</v>
      </c>
      <c r="G4714" s="1"/>
      <c r="H4714" t="str">
        <f>"4012740013062"</f>
        <v>4012740013062</v>
      </c>
      <c r="J4714" t="s">
        <v>13385</v>
      </c>
    </row>
    <row r="4715" spans="1:10" x14ac:dyDescent="0.25">
      <c r="A4715" t="s">
        <v>8</v>
      </c>
      <c r="B4715" t="s">
        <v>13462</v>
      </c>
      <c r="C4715" t="s">
        <v>13463</v>
      </c>
      <c r="D4715">
        <v>1</v>
      </c>
      <c r="E4715" t="s">
        <v>13342</v>
      </c>
      <c r="F4715" t="s">
        <v>13343</v>
      </c>
      <c r="G4715" s="1"/>
      <c r="H4715" t="str">
        <f>"4012740013109"</f>
        <v>4012740013109</v>
      </c>
      <c r="J4715" t="s">
        <v>13388</v>
      </c>
    </row>
    <row r="4716" spans="1:10" x14ac:dyDescent="0.25">
      <c r="A4716" t="s">
        <v>8</v>
      </c>
      <c r="B4716" t="s">
        <v>13464</v>
      </c>
      <c r="C4716" t="s">
        <v>13465</v>
      </c>
      <c r="D4716">
        <v>1</v>
      </c>
      <c r="E4716" t="s">
        <v>13342</v>
      </c>
      <c r="F4716" t="s">
        <v>13343</v>
      </c>
      <c r="G4716" s="1"/>
      <c r="H4716" t="str">
        <f>"4012740013116"</f>
        <v>4012740013116</v>
      </c>
      <c r="J4716" t="s">
        <v>13466</v>
      </c>
    </row>
    <row r="4717" spans="1:10" x14ac:dyDescent="0.25">
      <c r="A4717" t="s">
        <v>8</v>
      </c>
      <c r="B4717" t="s">
        <v>13467</v>
      </c>
      <c r="C4717" t="s">
        <v>13468</v>
      </c>
      <c r="D4717">
        <v>1</v>
      </c>
      <c r="E4717" t="s">
        <v>13342</v>
      </c>
      <c r="F4717" t="s">
        <v>13343</v>
      </c>
      <c r="G4717" s="1"/>
      <c r="H4717" t="str">
        <f>"4012740013154"</f>
        <v>4012740013154</v>
      </c>
      <c r="J4717" t="s">
        <v>13394</v>
      </c>
    </row>
    <row r="4718" spans="1:10" x14ac:dyDescent="0.25">
      <c r="A4718" t="s">
        <v>8</v>
      </c>
      <c r="B4718" t="s">
        <v>13469</v>
      </c>
      <c r="C4718" t="s">
        <v>13470</v>
      </c>
      <c r="D4718">
        <v>1</v>
      </c>
      <c r="E4718" t="s">
        <v>13342</v>
      </c>
      <c r="F4718" t="s">
        <v>13343</v>
      </c>
      <c r="G4718" s="1"/>
      <c r="H4718" t="str">
        <f>"4012740013208"</f>
        <v>4012740013208</v>
      </c>
      <c r="J4718" t="s">
        <v>12325</v>
      </c>
    </row>
    <row r="4719" spans="1:10" x14ac:dyDescent="0.25">
      <c r="A4719" t="s">
        <v>8</v>
      </c>
      <c r="B4719" t="s">
        <v>13471</v>
      </c>
      <c r="C4719" t="s">
        <v>13472</v>
      </c>
      <c r="D4719">
        <v>1</v>
      </c>
      <c r="E4719" t="s">
        <v>13342</v>
      </c>
      <c r="F4719" t="s">
        <v>13343</v>
      </c>
      <c r="G4719" s="1"/>
      <c r="H4719" t="str">
        <f>"4012740013253"</f>
        <v>4012740013253</v>
      </c>
      <c r="J4719" t="s">
        <v>13399</v>
      </c>
    </row>
    <row r="4720" spans="1:10" x14ac:dyDescent="0.25">
      <c r="A4720" t="s">
        <v>8</v>
      </c>
      <c r="B4720" t="s">
        <v>13473</v>
      </c>
      <c r="C4720" t="s">
        <v>13474</v>
      </c>
      <c r="D4720">
        <v>1</v>
      </c>
      <c r="E4720" t="s">
        <v>13342</v>
      </c>
      <c r="F4720" t="s">
        <v>13343</v>
      </c>
      <c r="G4720" s="1"/>
      <c r="H4720" t="str">
        <f>"4012740013307"</f>
        <v>4012740013307</v>
      </c>
      <c r="J4720" t="s">
        <v>13402</v>
      </c>
    </row>
    <row r="4721" spans="1:10" x14ac:dyDescent="0.25">
      <c r="A4721" t="s">
        <v>8</v>
      </c>
      <c r="B4721" t="s">
        <v>13475</v>
      </c>
      <c r="C4721" t="s">
        <v>13476</v>
      </c>
      <c r="D4721">
        <v>1</v>
      </c>
      <c r="E4721" t="s">
        <v>13342</v>
      </c>
      <c r="F4721" t="s">
        <v>13343</v>
      </c>
      <c r="G4721" s="1"/>
      <c r="H4721" t="str">
        <f>"4012740013369"</f>
        <v>4012740013369</v>
      </c>
      <c r="J4721" t="s">
        <v>13405</v>
      </c>
    </row>
    <row r="4722" spans="1:10" x14ac:dyDescent="0.25">
      <c r="A4722" t="s">
        <v>8</v>
      </c>
      <c r="B4722" t="s">
        <v>13477</v>
      </c>
      <c r="C4722" t="s">
        <v>13478</v>
      </c>
      <c r="D4722">
        <v>1</v>
      </c>
      <c r="E4722" t="s">
        <v>13342</v>
      </c>
      <c r="F4722" t="s">
        <v>13343</v>
      </c>
      <c r="G4722" s="1"/>
      <c r="H4722" t="str">
        <f>"4012740013420"</f>
        <v>4012740013420</v>
      </c>
      <c r="J4722" t="s">
        <v>13408</v>
      </c>
    </row>
    <row r="4723" spans="1:10" x14ac:dyDescent="0.25">
      <c r="A4723" t="s">
        <v>8</v>
      </c>
      <c r="B4723" t="s">
        <v>13479</v>
      </c>
      <c r="C4723" t="s">
        <v>13480</v>
      </c>
      <c r="D4723">
        <v>1</v>
      </c>
      <c r="E4723" t="s">
        <v>13342</v>
      </c>
      <c r="F4723" t="s">
        <v>13343</v>
      </c>
      <c r="G4723" s="1"/>
      <c r="H4723" t="str">
        <f>"4012740013444"</f>
        <v>4012740013444</v>
      </c>
      <c r="J4723" t="s">
        <v>13411</v>
      </c>
    </row>
    <row r="4724" spans="1:10" x14ac:dyDescent="0.25">
      <c r="A4724" t="s">
        <v>8</v>
      </c>
      <c r="B4724" t="s">
        <v>13481</v>
      </c>
      <c r="C4724" t="s">
        <v>13482</v>
      </c>
      <c r="D4724">
        <v>1</v>
      </c>
      <c r="E4724" t="s">
        <v>13342</v>
      </c>
      <c r="F4724" t="s">
        <v>13343</v>
      </c>
      <c r="G4724" s="1"/>
      <c r="H4724" t="str">
        <f>"4012740013468"</f>
        <v>4012740013468</v>
      </c>
      <c r="J4724" t="s">
        <v>13414</v>
      </c>
    </row>
    <row r="4725" spans="1:10" x14ac:dyDescent="0.25">
      <c r="A4725" t="s">
        <v>8</v>
      </c>
      <c r="B4725" t="s">
        <v>13483</v>
      </c>
      <c r="C4725" t="s">
        <v>13484</v>
      </c>
      <c r="D4725">
        <v>1</v>
      </c>
      <c r="E4725" t="s">
        <v>13485</v>
      </c>
      <c r="F4725" t="s">
        <v>13486</v>
      </c>
      <c r="G4725" s="1"/>
      <c r="H4725" t="str">
        <f>"4012740141659"</f>
        <v>4012740141659</v>
      </c>
      <c r="J4725" t="s">
        <v>13487</v>
      </c>
    </row>
    <row r="4726" spans="1:10" x14ac:dyDescent="0.25">
      <c r="A4726" t="s">
        <v>8</v>
      </c>
      <c r="B4726" t="s">
        <v>13488</v>
      </c>
      <c r="C4726" t="s">
        <v>13489</v>
      </c>
      <c r="D4726">
        <v>1</v>
      </c>
      <c r="E4726" t="s">
        <v>13485</v>
      </c>
      <c r="F4726" t="s">
        <v>13486</v>
      </c>
      <c r="G4726" s="1"/>
      <c r="H4726" t="str">
        <f>"4012740149952"</f>
        <v>4012740149952</v>
      </c>
      <c r="J4726" t="s">
        <v>13487</v>
      </c>
    </row>
    <row r="4727" spans="1:10" x14ac:dyDescent="0.25">
      <c r="A4727" t="s">
        <v>8</v>
      </c>
      <c r="B4727" t="s">
        <v>13490</v>
      </c>
      <c r="C4727" t="s">
        <v>13491</v>
      </c>
      <c r="D4727">
        <v>1</v>
      </c>
      <c r="E4727" t="s">
        <v>13485</v>
      </c>
      <c r="F4727" t="s">
        <v>13486</v>
      </c>
      <c r="G4727" s="1"/>
      <c r="H4727" t="str">
        <f>"4012740115872"</f>
        <v>4012740115872</v>
      </c>
      <c r="J4727" t="s">
        <v>11350</v>
      </c>
    </row>
    <row r="4728" spans="1:10" x14ac:dyDescent="0.25">
      <c r="A4728" t="s">
        <v>8</v>
      </c>
      <c r="B4728" t="s">
        <v>13492</v>
      </c>
      <c r="C4728" t="s">
        <v>13493</v>
      </c>
      <c r="D4728">
        <v>1</v>
      </c>
      <c r="E4728" t="s">
        <v>13485</v>
      </c>
      <c r="F4728" t="s">
        <v>13486</v>
      </c>
      <c r="G4728" s="1"/>
      <c r="H4728" t="str">
        <f>"4012740137638"</f>
        <v>4012740137638</v>
      </c>
      <c r="J4728" t="s">
        <v>11350</v>
      </c>
    </row>
    <row r="4729" spans="1:10" x14ac:dyDescent="0.25">
      <c r="A4729" t="s">
        <v>8</v>
      </c>
      <c r="B4729" t="s">
        <v>13494</v>
      </c>
      <c r="C4729" t="s">
        <v>13495</v>
      </c>
      <c r="D4729">
        <v>1</v>
      </c>
      <c r="E4729" t="s">
        <v>13485</v>
      </c>
      <c r="F4729" t="s">
        <v>13486</v>
      </c>
      <c r="G4729" s="1"/>
      <c r="H4729" t="str">
        <f>"4012740115889"</f>
        <v>4012740115889</v>
      </c>
      <c r="J4729" t="s">
        <v>13496</v>
      </c>
    </row>
    <row r="4730" spans="1:10" x14ac:dyDescent="0.25">
      <c r="A4730" t="s">
        <v>8</v>
      </c>
      <c r="B4730" t="s">
        <v>13497</v>
      </c>
      <c r="C4730" t="s">
        <v>13498</v>
      </c>
      <c r="D4730">
        <v>1</v>
      </c>
      <c r="E4730" t="s">
        <v>13485</v>
      </c>
      <c r="F4730" t="s">
        <v>13486</v>
      </c>
      <c r="G4730" s="1"/>
      <c r="H4730" t="str">
        <f>"4012740137652"</f>
        <v>4012740137652</v>
      </c>
      <c r="J4730" t="s">
        <v>13499</v>
      </c>
    </row>
    <row r="4731" spans="1:10" x14ac:dyDescent="0.25">
      <c r="A4731" t="s">
        <v>8</v>
      </c>
      <c r="B4731" t="s">
        <v>13500</v>
      </c>
      <c r="C4731" t="s">
        <v>13501</v>
      </c>
      <c r="D4731">
        <v>1</v>
      </c>
      <c r="E4731" t="s">
        <v>13485</v>
      </c>
      <c r="F4731" t="s">
        <v>13486</v>
      </c>
      <c r="G4731" s="1"/>
      <c r="H4731" t="str">
        <f>"4012740116039"</f>
        <v>4012740116039</v>
      </c>
      <c r="J4731" t="s">
        <v>13502</v>
      </c>
    </row>
    <row r="4732" spans="1:10" x14ac:dyDescent="0.25">
      <c r="A4732" t="s">
        <v>8</v>
      </c>
      <c r="B4732" t="s">
        <v>13503</v>
      </c>
      <c r="C4732" t="s">
        <v>13504</v>
      </c>
      <c r="D4732">
        <v>1</v>
      </c>
      <c r="E4732" t="s">
        <v>13485</v>
      </c>
      <c r="F4732" t="s">
        <v>13486</v>
      </c>
      <c r="G4732" s="1"/>
      <c r="H4732" t="str">
        <f>"4012740137676"</f>
        <v>4012740137676</v>
      </c>
      <c r="J4732" t="s">
        <v>13502</v>
      </c>
    </row>
    <row r="4733" spans="1:10" x14ac:dyDescent="0.25">
      <c r="A4733" t="s">
        <v>8</v>
      </c>
      <c r="B4733" t="s">
        <v>13505</v>
      </c>
      <c r="C4733" t="s">
        <v>13506</v>
      </c>
      <c r="D4733">
        <v>1</v>
      </c>
      <c r="E4733" t="s">
        <v>13485</v>
      </c>
      <c r="F4733" t="s">
        <v>13486</v>
      </c>
      <c r="G4733" s="1"/>
      <c r="H4733" t="str">
        <f>"4012740121088"</f>
        <v>4012740121088</v>
      </c>
      <c r="J4733" t="s">
        <v>13507</v>
      </c>
    </row>
    <row r="4734" spans="1:10" x14ac:dyDescent="0.25">
      <c r="A4734" t="s">
        <v>8</v>
      </c>
      <c r="B4734" t="s">
        <v>13508</v>
      </c>
      <c r="C4734" t="s">
        <v>13509</v>
      </c>
      <c r="D4734">
        <v>1</v>
      </c>
      <c r="E4734" t="s">
        <v>13485</v>
      </c>
      <c r="F4734" t="s">
        <v>13486</v>
      </c>
      <c r="G4734" s="1"/>
      <c r="H4734" t="str">
        <f>"4012740121323"</f>
        <v>4012740121323</v>
      </c>
      <c r="J4734" t="s">
        <v>13510</v>
      </c>
    </row>
    <row r="4735" spans="1:10" x14ac:dyDescent="0.25">
      <c r="A4735" t="s">
        <v>8</v>
      </c>
      <c r="B4735" t="s">
        <v>13511</v>
      </c>
      <c r="C4735" t="s">
        <v>13512</v>
      </c>
      <c r="D4735">
        <v>1</v>
      </c>
      <c r="E4735" t="s">
        <v>13485</v>
      </c>
      <c r="F4735" t="s">
        <v>13486</v>
      </c>
      <c r="G4735" s="1"/>
      <c r="H4735" t="str">
        <f>"4012740863971"</f>
        <v>4012740863971</v>
      </c>
      <c r="J4735" t="s">
        <v>13513</v>
      </c>
    </row>
    <row r="4736" spans="1:10" x14ac:dyDescent="0.25">
      <c r="A4736" t="s">
        <v>8</v>
      </c>
      <c r="B4736" t="s">
        <v>13514</v>
      </c>
      <c r="C4736" t="s">
        <v>13515</v>
      </c>
      <c r="D4736">
        <v>1</v>
      </c>
      <c r="E4736" t="s">
        <v>13485</v>
      </c>
      <c r="F4736" t="s">
        <v>13486</v>
      </c>
      <c r="G4736" s="1"/>
      <c r="H4736" t="str">
        <f>"4012740111904"</f>
        <v>4012740111904</v>
      </c>
      <c r="J4736" t="s">
        <v>13516</v>
      </c>
    </row>
    <row r="4737" spans="1:10" x14ac:dyDescent="0.25">
      <c r="A4737" t="s">
        <v>8</v>
      </c>
      <c r="B4737" t="s">
        <v>13517</v>
      </c>
      <c r="C4737" t="s">
        <v>13518</v>
      </c>
      <c r="D4737">
        <v>1</v>
      </c>
      <c r="E4737" t="s">
        <v>13485</v>
      </c>
      <c r="F4737" t="s">
        <v>13486</v>
      </c>
      <c r="G4737" s="1"/>
      <c r="H4737" t="str">
        <f>"4012740114370"</f>
        <v>4012740114370</v>
      </c>
      <c r="J4737" t="s">
        <v>13519</v>
      </c>
    </row>
    <row r="4738" spans="1:10" x14ac:dyDescent="0.25">
      <c r="A4738" t="s">
        <v>8</v>
      </c>
      <c r="B4738" t="s">
        <v>13520</v>
      </c>
      <c r="C4738" t="s">
        <v>13521</v>
      </c>
      <c r="D4738">
        <v>1</v>
      </c>
      <c r="E4738" t="s">
        <v>13485</v>
      </c>
      <c r="F4738" t="s">
        <v>13486</v>
      </c>
      <c r="G4738" s="1"/>
      <c r="H4738" t="str">
        <f>"4012740863988"</f>
        <v>4012740863988</v>
      </c>
      <c r="J4738" t="s">
        <v>7135</v>
      </c>
    </row>
    <row r="4739" spans="1:10" x14ac:dyDescent="0.25">
      <c r="A4739" t="s">
        <v>8</v>
      </c>
      <c r="B4739" t="s">
        <v>13522</v>
      </c>
      <c r="C4739" t="s">
        <v>13523</v>
      </c>
      <c r="D4739">
        <v>1</v>
      </c>
      <c r="E4739" t="s">
        <v>13485</v>
      </c>
      <c r="F4739" t="s">
        <v>13486</v>
      </c>
      <c r="G4739" s="1"/>
      <c r="H4739" t="str">
        <f>"4012740112345"</f>
        <v>4012740112345</v>
      </c>
      <c r="J4739" t="s">
        <v>13524</v>
      </c>
    </row>
    <row r="4740" spans="1:10" x14ac:dyDescent="0.25">
      <c r="A4740" t="s">
        <v>8</v>
      </c>
      <c r="B4740" t="s">
        <v>13525</v>
      </c>
      <c r="C4740" t="s">
        <v>13526</v>
      </c>
      <c r="D4740">
        <v>1</v>
      </c>
      <c r="E4740" t="s">
        <v>13485</v>
      </c>
      <c r="F4740" t="s">
        <v>13486</v>
      </c>
      <c r="G4740" s="1"/>
      <c r="H4740" t="str">
        <f>"4012740114615"</f>
        <v>4012740114615</v>
      </c>
      <c r="J4740" t="s">
        <v>13527</v>
      </c>
    </row>
    <row r="4741" spans="1:10" x14ac:dyDescent="0.25">
      <c r="A4741" t="s">
        <v>8</v>
      </c>
      <c r="B4741" t="s">
        <v>13528</v>
      </c>
      <c r="C4741" t="s">
        <v>13529</v>
      </c>
      <c r="D4741">
        <v>1</v>
      </c>
      <c r="E4741" t="s">
        <v>13485</v>
      </c>
      <c r="F4741" t="s">
        <v>13486</v>
      </c>
      <c r="G4741" s="1"/>
      <c r="H4741" t="str">
        <f>"4012740863995"</f>
        <v>4012740863995</v>
      </c>
      <c r="J4741" t="s">
        <v>13530</v>
      </c>
    </row>
    <row r="4742" spans="1:10" x14ac:dyDescent="0.25">
      <c r="A4742" t="s">
        <v>8</v>
      </c>
      <c r="B4742" t="s">
        <v>13531</v>
      </c>
      <c r="C4742" t="s">
        <v>13532</v>
      </c>
      <c r="D4742">
        <v>1</v>
      </c>
      <c r="E4742" t="s">
        <v>13485</v>
      </c>
      <c r="F4742" t="s">
        <v>13486</v>
      </c>
      <c r="G4742" s="1"/>
      <c r="H4742" t="str">
        <f>"4012740283762"</f>
        <v>4012740283762</v>
      </c>
      <c r="J4742" t="s">
        <v>13533</v>
      </c>
    </row>
    <row r="4743" spans="1:10" x14ac:dyDescent="0.25">
      <c r="A4743" t="s">
        <v>8</v>
      </c>
      <c r="B4743" t="s">
        <v>13534</v>
      </c>
      <c r="C4743" t="s">
        <v>13535</v>
      </c>
      <c r="D4743">
        <v>1</v>
      </c>
      <c r="E4743" t="s">
        <v>13485</v>
      </c>
      <c r="F4743" t="s">
        <v>13486</v>
      </c>
      <c r="G4743" s="1"/>
      <c r="H4743" t="str">
        <f>"4012740283779"</f>
        <v>4012740283779</v>
      </c>
      <c r="J4743" t="s">
        <v>13536</v>
      </c>
    </row>
    <row r="4744" spans="1:10" x14ac:dyDescent="0.25">
      <c r="A4744" t="s">
        <v>8</v>
      </c>
      <c r="B4744" t="s">
        <v>13537</v>
      </c>
      <c r="C4744" t="s">
        <v>13538</v>
      </c>
      <c r="D4744">
        <v>1</v>
      </c>
      <c r="E4744" t="s">
        <v>13485</v>
      </c>
      <c r="F4744" t="s">
        <v>13486</v>
      </c>
      <c r="G4744" s="1"/>
      <c r="H4744" t="str">
        <f>"4012740874670"</f>
        <v>4012740874670</v>
      </c>
      <c r="J4744" t="s">
        <v>13539</v>
      </c>
    </row>
    <row r="4745" spans="1:10" x14ac:dyDescent="0.25">
      <c r="A4745" t="s">
        <v>8</v>
      </c>
      <c r="B4745" t="s">
        <v>13540</v>
      </c>
      <c r="C4745" t="s">
        <v>13541</v>
      </c>
      <c r="D4745">
        <v>1</v>
      </c>
      <c r="E4745" t="s">
        <v>13485</v>
      </c>
      <c r="F4745" t="s">
        <v>13486</v>
      </c>
      <c r="G4745" s="1"/>
      <c r="H4745" t="str">
        <f>"4012740011198"</f>
        <v>4012740011198</v>
      </c>
      <c r="J4745" t="s">
        <v>13542</v>
      </c>
    </row>
    <row r="4746" spans="1:10" x14ac:dyDescent="0.25">
      <c r="A4746" t="s">
        <v>8</v>
      </c>
      <c r="B4746" t="s">
        <v>13543</v>
      </c>
      <c r="C4746" t="s">
        <v>13544</v>
      </c>
      <c r="D4746">
        <v>1</v>
      </c>
      <c r="E4746" t="s">
        <v>13485</v>
      </c>
      <c r="F4746" t="s">
        <v>13486</v>
      </c>
      <c r="G4746" s="1"/>
      <c r="H4746" t="str">
        <f>"4012740011587"</f>
        <v>4012740011587</v>
      </c>
      <c r="J4746" t="s">
        <v>13545</v>
      </c>
    </row>
    <row r="4747" spans="1:10" x14ac:dyDescent="0.25">
      <c r="A4747" t="s">
        <v>8</v>
      </c>
      <c r="B4747" t="s">
        <v>13546</v>
      </c>
      <c r="C4747" t="s">
        <v>13547</v>
      </c>
      <c r="D4747">
        <v>1</v>
      </c>
      <c r="E4747" t="s">
        <v>13485</v>
      </c>
      <c r="F4747" t="s">
        <v>13486</v>
      </c>
      <c r="G4747" s="1"/>
      <c r="H4747" t="str">
        <f>"4012740011679"</f>
        <v>4012740011679</v>
      </c>
      <c r="J4747" t="s">
        <v>13548</v>
      </c>
    </row>
    <row r="4748" spans="1:10" x14ac:dyDescent="0.25">
      <c r="A4748" t="s">
        <v>8</v>
      </c>
      <c r="B4748" t="s">
        <v>13549</v>
      </c>
      <c r="C4748" t="s">
        <v>13550</v>
      </c>
      <c r="D4748">
        <v>1</v>
      </c>
      <c r="E4748" t="s">
        <v>13485</v>
      </c>
      <c r="F4748" t="s">
        <v>13486</v>
      </c>
      <c r="G4748" s="1"/>
      <c r="H4748" t="str">
        <f>"4012740011747"</f>
        <v>4012740011747</v>
      </c>
      <c r="J4748" t="s">
        <v>13551</v>
      </c>
    </row>
    <row r="4749" spans="1:10" x14ac:dyDescent="0.25">
      <c r="A4749" t="s">
        <v>8</v>
      </c>
      <c r="B4749" t="s">
        <v>13552</v>
      </c>
      <c r="C4749" t="s">
        <v>13553</v>
      </c>
      <c r="D4749">
        <v>1</v>
      </c>
      <c r="E4749" t="s">
        <v>13554</v>
      </c>
      <c r="F4749" t="s">
        <v>13555</v>
      </c>
      <c r="G4749" s="1"/>
      <c r="H4749" t="str">
        <f>"4012740204804"</f>
        <v>4012740204804</v>
      </c>
      <c r="J4749" t="s">
        <v>13556</v>
      </c>
    </row>
    <row r="4750" spans="1:10" x14ac:dyDescent="0.25">
      <c r="A4750" t="s">
        <v>8</v>
      </c>
      <c r="B4750" t="s">
        <v>13557</v>
      </c>
      <c r="C4750" t="s">
        <v>13558</v>
      </c>
      <c r="D4750">
        <v>1</v>
      </c>
      <c r="E4750" t="s">
        <v>13554</v>
      </c>
      <c r="F4750" t="s">
        <v>13555</v>
      </c>
      <c r="G4750" s="1"/>
      <c r="H4750" t="str">
        <f>"4012740204705"</f>
        <v>4012740204705</v>
      </c>
      <c r="J4750" t="s">
        <v>13559</v>
      </c>
    </row>
    <row r="4751" spans="1:10" x14ac:dyDescent="0.25">
      <c r="A4751" t="s">
        <v>8</v>
      </c>
      <c r="B4751" t="s">
        <v>13560</v>
      </c>
      <c r="C4751" t="s">
        <v>13561</v>
      </c>
      <c r="D4751">
        <v>1</v>
      </c>
      <c r="E4751" t="s">
        <v>13554</v>
      </c>
      <c r="F4751" t="s">
        <v>13555</v>
      </c>
      <c r="G4751" s="1"/>
      <c r="H4751" t="str">
        <f>"4012740204743"</f>
        <v>4012740204743</v>
      </c>
      <c r="J4751" t="s">
        <v>13562</v>
      </c>
    </row>
    <row r="4752" spans="1:10" x14ac:dyDescent="0.25">
      <c r="A4752" t="s">
        <v>8</v>
      </c>
      <c r="B4752" t="s">
        <v>13563</v>
      </c>
      <c r="C4752" t="s">
        <v>13564</v>
      </c>
      <c r="D4752">
        <v>1</v>
      </c>
      <c r="E4752" t="s">
        <v>13554</v>
      </c>
      <c r="F4752" t="s">
        <v>13555</v>
      </c>
      <c r="G4752" s="1"/>
      <c r="H4752" t="str">
        <f>"4012740204767"</f>
        <v>4012740204767</v>
      </c>
      <c r="J4752" t="s">
        <v>13565</v>
      </c>
    </row>
    <row r="4753" spans="1:10" x14ac:dyDescent="0.25">
      <c r="A4753" t="s">
        <v>8</v>
      </c>
      <c r="B4753" t="s">
        <v>13566</v>
      </c>
      <c r="C4753" t="s">
        <v>13567</v>
      </c>
      <c r="D4753">
        <v>1</v>
      </c>
      <c r="E4753" t="s">
        <v>13554</v>
      </c>
      <c r="F4753" t="s">
        <v>13555</v>
      </c>
      <c r="G4753" s="1"/>
      <c r="H4753" t="str">
        <f>"4012740204781"</f>
        <v>4012740204781</v>
      </c>
      <c r="J4753" t="s">
        <v>13568</v>
      </c>
    </row>
    <row r="4754" spans="1:10" x14ac:dyDescent="0.25">
      <c r="A4754" t="s">
        <v>8</v>
      </c>
      <c r="B4754" t="s">
        <v>13569</v>
      </c>
      <c r="C4754" t="s">
        <v>13570</v>
      </c>
      <c r="D4754">
        <v>1</v>
      </c>
      <c r="E4754" t="s">
        <v>13554</v>
      </c>
      <c r="F4754" t="s">
        <v>13555</v>
      </c>
      <c r="G4754" s="1"/>
      <c r="H4754" t="str">
        <f>"4012740014915"</f>
        <v>4012740014915</v>
      </c>
      <c r="J4754" t="s">
        <v>13571</v>
      </c>
    </row>
    <row r="4755" spans="1:10" x14ac:dyDescent="0.25">
      <c r="A4755" t="s">
        <v>8</v>
      </c>
      <c r="B4755" t="s">
        <v>13572</v>
      </c>
      <c r="C4755" t="s">
        <v>13573</v>
      </c>
      <c r="D4755">
        <v>1</v>
      </c>
      <c r="E4755" t="s">
        <v>13554</v>
      </c>
      <c r="F4755" t="s">
        <v>13555</v>
      </c>
      <c r="G4755" s="1"/>
      <c r="H4755" t="str">
        <f>"4012740014922"</f>
        <v>4012740014922</v>
      </c>
      <c r="J4755" t="s">
        <v>13574</v>
      </c>
    </row>
    <row r="4756" spans="1:10" x14ac:dyDescent="0.25">
      <c r="A4756" t="s">
        <v>8</v>
      </c>
      <c r="B4756" t="s">
        <v>13575</v>
      </c>
      <c r="C4756" t="s">
        <v>13576</v>
      </c>
      <c r="D4756">
        <v>1</v>
      </c>
      <c r="E4756" t="s">
        <v>13554</v>
      </c>
      <c r="F4756" t="s">
        <v>13555</v>
      </c>
      <c r="G4756" s="1"/>
      <c r="H4756" t="str">
        <f>"4012740014939"</f>
        <v>4012740014939</v>
      </c>
      <c r="J4756" t="s">
        <v>13577</v>
      </c>
    </row>
    <row r="4757" spans="1:10" x14ac:dyDescent="0.25">
      <c r="A4757" t="s">
        <v>8</v>
      </c>
      <c r="B4757" t="s">
        <v>13578</v>
      </c>
      <c r="C4757" t="s">
        <v>13579</v>
      </c>
      <c r="D4757">
        <v>1</v>
      </c>
      <c r="E4757" t="s">
        <v>13554</v>
      </c>
      <c r="F4757" t="s">
        <v>13555</v>
      </c>
      <c r="G4757" s="1"/>
      <c r="H4757" t="str">
        <f>"4012740014946"</f>
        <v>4012740014946</v>
      </c>
      <c r="J4757" t="s">
        <v>13580</v>
      </c>
    </row>
    <row r="4758" spans="1:10" x14ac:dyDescent="0.25">
      <c r="A4758" t="s">
        <v>8</v>
      </c>
      <c r="B4758" t="s">
        <v>13581</v>
      </c>
      <c r="C4758" t="s">
        <v>13582</v>
      </c>
      <c r="D4758">
        <v>1</v>
      </c>
      <c r="E4758" t="s">
        <v>13554</v>
      </c>
      <c r="F4758" t="s">
        <v>13555</v>
      </c>
      <c r="G4758" s="1"/>
      <c r="H4758" t="str">
        <f>"4012740014953"</f>
        <v>4012740014953</v>
      </c>
      <c r="J4758" t="s">
        <v>13583</v>
      </c>
    </row>
    <row r="4759" spans="1:10" x14ac:dyDescent="0.25">
      <c r="A4759" t="s">
        <v>8</v>
      </c>
      <c r="B4759" t="s">
        <v>13584</v>
      </c>
      <c r="C4759" t="s">
        <v>13585</v>
      </c>
      <c r="D4759">
        <v>1</v>
      </c>
      <c r="E4759" t="s">
        <v>13586</v>
      </c>
      <c r="F4759" t="s">
        <v>13587</v>
      </c>
      <c r="G4759" s="1"/>
      <c r="H4759" t="str">
        <f>"4012740856270"</f>
        <v>4012740856270</v>
      </c>
      <c r="J4759" t="s">
        <v>13588</v>
      </c>
    </row>
    <row r="4760" spans="1:10" x14ac:dyDescent="0.25">
      <c r="A4760" t="s">
        <v>8</v>
      </c>
      <c r="B4760" t="s">
        <v>13589</v>
      </c>
      <c r="C4760" t="s">
        <v>13590</v>
      </c>
      <c r="D4760">
        <v>1</v>
      </c>
      <c r="E4760" t="s">
        <v>13586</v>
      </c>
      <c r="F4760" t="s">
        <v>13587</v>
      </c>
      <c r="G4760" s="1"/>
      <c r="H4760" t="str">
        <f>"4012740856287"</f>
        <v>4012740856287</v>
      </c>
      <c r="J4760" t="s">
        <v>13591</v>
      </c>
    </row>
    <row r="4761" spans="1:10" x14ac:dyDescent="0.25">
      <c r="A4761" t="s">
        <v>8</v>
      </c>
      <c r="B4761" t="s">
        <v>13592</v>
      </c>
      <c r="C4761" t="s">
        <v>13593</v>
      </c>
      <c r="D4761">
        <v>1</v>
      </c>
      <c r="E4761" t="s">
        <v>13586</v>
      </c>
      <c r="F4761" t="s">
        <v>13587</v>
      </c>
      <c r="G4761" s="1"/>
      <c r="H4761" t="str">
        <f>"4012740856294"</f>
        <v>4012740856294</v>
      </c>
      <c r="J4761" t="s">
        <v>13594</v>
      </c>
    </row>
    <row r="4762" spans="1:10" x14ac:dyDescent="0.25">
      <c r="A4762" t="s">
        <v>8</v>
      </c>
      <c r="B4762" t="s">
        <v>13595</v>
      </c>
      <c r="C4762" t="s">
        <v>13596</v>
      </c>
      <c r="D4762">
        <v>1</v>
      </c>
      <c r="E4762" t="s">
        <v>13586</v>
      </c>
      <c r="F4762" t="s">
        <v>13587</v>
      </c>
      <c r="G4762" s="1"/>
      <c r="H4762" t="str">
        <f>"4012740856317"</f>
        <v>4012740856317</v>
      </c>
      <c r="J4762" t="s">
        <v>13597</v>
      </c>
    </row>
    <row r="4763" spans="1:10" x14ac:dyDescent="0.25">
      <c r="A4763" t="s">
        <v>8</v>
      </c>
      <c r="B4763" t="s">
        <v>13598</v>
      </c>
      <c r="C4763" t="s">
        <v>13599</v>
      </c>
      <c r="D4763">
        <v>1</v>
      </c>
      <c r="E4763" t="s">
        <v>13586</v>
      </c>
      <c r="F4763" t="s">
        <v>13587</v>
      </c>
      <c r="G4763" s="1"/>
      <c r="H4763" t="str">
        <f>"4012740023351"</f>
        <v>4012740023351</v>
      </c>
      <c r="J4763" t="s">
        <v>13600</v>
      </c>
    </row>
    <row r="4764" spans="1:10" x14ac:dyDescent="0.25">
      <c r="A4764" t="s">
        <v>8</v>
      </c>
      <c r="B4764" t="s">
        <v>13601</v>
      </c>
      <c r="C4764" t="s">
        <v>13602</v>
      </c>
      <c r="D4764">
        <v>1</v>
      </c>
      <c r="E4764" t="s">
        <v>13586</v>
      </c>
      <c r="F4764" t="s">
        <v>13587</v>
      </c>
      <c r="G4764" s="1"/>
      <c r="H4764" t="str">
        <f>"4012740014960"</f>
        <v>4012740014960</v>
      </c>
      <c r="J4764" t="s">
        <v>13603</v>
      </c>
    </row>
    <row r="4765" spans="1:10" x14ac:dyDescent="0.25">
      <c r="A4765" t="s">
        <v>8</v>
      </c>
      <c r="B4765" t="s">
        <v>13604</v>
      </c>
      <c r="C4765" t="s">
        <v>13605</v>
      </c>
      <c r="D4765">
        <v>1</v>
      </c>
      <c r="E4765" t="s">
        <v>13586</v>
      </c>
      <c r="F4765" t="s">
        <v>13587</v>
      </c>
      <c r="G4765" s="1"/>
      <c r="H4765" t="str">
        <f>"4012740014984"</f>
        <v>4012740014984</v>
      </c>
      <c r="J4765" t="s">
        <v>13606</v>
      </c>
    </row>
    <row r="4766" spans="1:10" x14ac:dyDescent="0.25">
      <c r="A4766" t="s">
        <v>8</v>
      </c>
      <c r="B4766" t="s">
        <v>13607</v>
      </c>
      <c r="C4766" t="s">
        <v>13608</v>
      </c>
      <c r="D4766">
        <v>1</v>
      </c>
      <c r="E4766" t="s">
        <v>13586</v>
      </c>
      <c r="F4766" t="s">
        <v>13587</v>
      </c>
      <c r="G4766" s="1"/>
      <c r="H4766" t="str">
        <f>"4012740015059"</f>
        <v>4012740015059</v>
      </c>
      <c r="J4766" t="s">
        <v>13609</v>
      </c>
    </row>
    <row r="4767" spans="1:10" x14ac:dyDescent="0.25">
      <c r="A4767" t="s">
        <v>8</v>
      </c>
      <c r="B4767" t="s">
        <v>13610</v>
      </c>
      <c r="C4767" t="s">
        <v>13611</v>
      </c>
      <c r="D4767">
        <v>1</v>
      </c>
      <c r="E4767" t="s">
        <v>13586</v>
      </c>
      <c r="F4767" t="s">
        <v>13587</v>
      </c>
      <c r="G4767" s="1"/>
      <c r="H4767" t="str">
        <f>"4012740015141"</f>
        <v>4012740015141</v>
      </c>
      <c r="J4767" t="s">
        <v>13612</v>
      </c>
    </row>
    <row r="4768" spans="1:10" x14ac:dyDescent="0.25">
      <c r="A4768" t="s">
        <v>8</v>
      </c>
      <c r="B4768" t="s">
        <v>13613</v>
      </c>
      <c r="C4768" t="s">
        <v>13614</v>
      </c>
      <c r="D4768">
        <v>1</v>
      </c>
      <c r="E4768" t="s">
        <v>13586</v>
      </c>
      <c r="F4768" t="s">
        <v>13587</v>
      </c>
      <c r="G4768" s="1"/>
      <c r="H4768" t="str">
        <f>"4012740015233"</f>
        <v>4012740015233</v>
      </c>
      <c r="J4768" t="s">
        <v>13615</v>
      </c>
    </row>
    <row r="4769" spans="1:10" x14ac:dyDescent="0.25">
      <c r="A4769" t="s">
        <v>8</v>
      </c>
      <c r="B4769" t="s">
        <v>13616</v>
      </c>
      <c r="C4769" t="s">
        <v>13617</v>
      </c>
      <c r="D4769">
        <v>1</v>
      </c>
      <c r="E4769" t="s">
        <v>13586</v>
      </c>
      <c r="F4769" t="s">
        <v>13587</v>
      </c>
      <c r="G4769" s="1"/>
      <c r="H4769" t="str">
        <f>"4012740015325"</f>
        <v>4012740015325</v>
      </c>
      <c r="J4769" t="s">
        <v>13618</v>
      </c>
    </row>
    <row r="4770" spans="1:10" x14ac:dyDescent="0.25">
      <c r="A4770" t="s">
        <v>8</v>
      </c>
      <c r="B4770" t="s">
        <v>13619</v>
      </c>
      <c r="C4770" t="s">
        <v>13620</v>
      </c>
      <c r="D4770">
        <v>1</v>
      </c>
      <c r="E4770" t="s">
        <v>13621</v>
      </c>
      <c r="F4770" t="s">
        <v>13622</v>
      </c>
      <c r="G4770" s="1"/>
      <c r="H4770" t="str">
        <f>"4012740199421"</f>
        <v>4012740199421</v>
      </c>
      <c r="J4770" t="s">
        <v>13623</v>
      </c>
    </row>
    <row r="4771" spans="1:10" x14ac:dyDescent="0.25">
      <c r="A4771" t="s">
        <v>8</v>
      </c>
      <c r="B4771" t="s">
        <v>13624</v>
      </c>
      <c r="C4771" t="s">
        <v>13625</v>
      </c>
      <c r="D4771">
        <v>1</v>
      </c>
      <c r="E4771" t="s">
        <v>13621</v>
      </c>
      <c r="F4771" t="s">
        <v>13622</v>
      </c>
      <c r="G4771" s="1"/>
      <c r="H4771" t="str">
        <f>"4012740199445"</f>
        <v>4012740199445</v>
      </c>
      <c r="J4771" t="s">
        <v>13627</v>
      </c>
    </row>
    <row r="4772" spans="1:10" x14ac:dyDescent="0.25">
      <c r="A4772" t="s">
        <v>8</v>
      </c>
      <c r="B4772" t="s">
        <v>13628</v>
      </c>
      <c r="C4772" t="s">
        <v>13629</v>
      </c>
      <c r="D4772">
        <v>1</v>
      </c>
      <c r="E4772" t="s">
        <v>13621</v>
      </c>
      <c r="F4772" t="s">
        <v>13622</v>
      </c>
      <c r="G4772" s="1"/>
      <c r="H4772" t="str">
        <f>"4012740199452"</f>
        <v>4012740199452</v>
      </c>
      <c r="J4772" t="s">
        <v>13630</v>
      </c>
    </row>
    <row r="4773" spans="1:10" x14ac:dyDescent="0.25">
      <c r="A4773" t="s">
        <v>8</v>
      </c>
      <c r="B4773" t="s">
        <v>13631</v>
      </c>
      <c r="C4773" t="s">
        <v>13632</v>
      </c>
      <c r="D4773">
        <v>1</v>
      </c>
      <c r="E4773" t="s">
        <v>13621</v>
      </c>
      <c r="F4773" t="s">
        <v>13622</v>
      </c>
      <c r="G4773" s="1"/>
      <c r="H4773" t="str">
        <f>"4012740199506"</f>
        <v>4012740199506</v>
      </c>
      <c r="J4773" t="s">
        <v>13633</v>
      </c>
    </row>
    <row r="4774" spans="1:10" x14ac:dyDescent="0.25">
      <c r="A4774" t="s">
        <v>8</v>
      </c>
      <c r="B4774" t="s">
        <v>13634</v>
      </c>
      <c r="C4774" t="s">
        <v>13635</v>
      </c>
      <c r="D4774">
        <v>1</v>
      </c>
      <c r="E4774" t="s">
        <v>13621</v>
      </c>
      <c r="F4774" t="s">
        <v>13622</v>
      </c>
      <c r="G4774" s="1"/>
      <c r="H4774" t="str">
        <f>"4012740199513"</f>
        <v>4012740199513</v>
      </c>
      <c r="J4774" t="s">
        <v>13636</v>
      </c>
    </row>
    <row r="4775" spans="1:10" x14ac:dyDescent="0.25">
      <c r="A4775" t="s">
        <v>8</v>
      </c>
      <c r="B4775" t="s">
        <v>13637</v>
      </c>
      <c r="C4775" t="s">
        <v>13638</v>
      </c>
      <c r="D4775">
        <v>1</v>
      </c>
      <c r="E4775" t="s">
        <v>13621</v>
      </c>
      <c r="F4775" t="s">
        <v>13622</v>
      </c>
      <c r="G4775" s="1"/>
      <c r="H4775" t="str">
        <f>"4012740199544"</f>
        <v>4012740199544</v>
      </c>
      <c r="J4775" t="s">
        <v>13639</v>
      </c>
    </row>
    <row r="4776" spans="1:10" x14ac:dyDescent="0.25">
      <c r="A4776" t="s">
        <v>8</v>
      </c>
      <c r="B4776" t="s">
        <v>13640</v>
      </c>
      <c r="C4776" t="s">
        <v>13641</v>
      </c>
      <c r="D4776">
        <v>1</v>
      </c>
      <c r="E4776" t="s">
        <v>13621</v>
      </c>
      <c r="F4776" t="s">
        <v>13622</v>
      </c>
      <c r="G4776" s="1"/>
      <c r="H4776" t="str">
        <f>"4012740199568"</f>
        <v>4012740199568</v>
      </c>
      <c r="J4776" t="s">
        <v>13642</v>
      </c>
    </row>
    <row r="4777" spans="1:10" x14ac:dyDescent="0.25">
      <c r="A4777" t="s">
        <v>8</v>
      </c>
      <c r="B4777" t="s">
        <v>13643</v>
      </c>
      <c r="C4777" t="s">
        <v>13644</v>
      </c>
      <c r="D4777">
        <v>1</v>
      </c>
      <c r="E4777" t="s">
        <v>13621</v>
      </c>
      <c r="F4777" t="s">
        <v>13622</v>
      </c>
      <c r="G4777" s="1"/>
      <c r="H4777" t="str">
        <f>"4012740112055"</f>
        <v>4012740112055</v>
      </c>
      <c r="J4777" t="s">
        <v>13645</v>
      </c>
    </row>
    <row r="4778" spans="1:10" x14ac:dyDescent="0.25">
      <c r="A4778" t="s">
        <v>8</v>
      </c>
      <c r="B4778" t="s">
        <v>13646</v>
      </c>
      <c r="C4778" t="s">
        <v>13647</v>
      </c>
      <c r="D4778">
        <v>1</v>
      </c>
      <c r="E4778" t="s">
        <v>13621</v>
      </c>
      <c r="F4778" t="s">
        <v>13622</v>
      </c>
      <c r="G4778" s="1"/>
      <c r="H4778" t="str">
        <f>"4012740114417"</f>
        <v>4012740114417</v>
      </c>
      <c r="J4778" t="s">
        <v>13648</v>
      </c>
    </row>
    <row r="4779" spans="1:10" x14ac:dyDescent="0.25">
      <c r="A4779" t="s">
        <v>8</v>
      </c>
      <c r="B4779" t="s">
        <v>13649</v>
      </c>
      <c r="C4779" t="s">
        <v>13650</v>
      </c>
      <c r="D4779">
        <v>1</v>
      </c>
      <c r="E4779" t="s">
        <v>13621</v>
      </c>
      <c r="F4779" t="s">
        <v>13622</v>
      </c>
      <c r="G4779" s="1"/>
      <c r="H4779" t="str">
        <f>"4012740864060"</f>
        <v>4012740864060</v>
      </c>
      <c r="J4779" t="s">
        <v>13651</v>
      </c>
    </row>
    <row r="4780" spans="1:10" x14ac:dyDescent="0.25">
      <c r="A4780" t="s">
        <v>8</v>
      </c>
      <c r="B4780" t="s">
        <v>13652</v>
      </c>
      <c r="C4780" t="s">
        <v>13653</v>
      </c>
      <c r="D4780">
        <v>1</v>
      </c>
      <c r="E4780" t="s">
        <v>13621</v>
      </c>
      <c r="F4780" t="s">
        <v>13622</v>
      </c>
      <c r="G4780" s="1"/>
      <c r="H4780" t="str">
        <f>"4012740121279"</f>
        <v>4012740121279</v>
      </c>
      <c r="J4780" t="s">
        <v>13654</v>
      </c>
    </row>
    <row r="4781" spans="1:10" x14ac:dyDescent="0.25">
      <c r="A4781" t="s">
        <v>8</v>
      </c>
      <c r="B4781" t="s">
        <v>13655</v>
      </c>
      <c r="C4781" t="s">
        <v>13656</v>
      </c>
      <c r="D4781">
        <v>1</v>
      </c>
      <c r="E4781" t="s">
        <v>13621</v>
      </c>
      <c r="F4781" t="s">
        <v>13622</v>
      </c>
      <c r="G4781" s="1"/>
      <c r="H4781" t="str">
        <f>"4012740121330"</f>
        <v>4012740121330</v>
      </c>
      <c r="J4781" t="s">
        <v>12703</v>
      </c>
    </row>
    <row r="4782" spans="1:10" x14ac:dyDescent="0.25">
      <c r="A4782" t="s">
        <v>8</v>
      </c>
      <c r="B4782" t="s">
        <v>13657</v>
      </c>
      <c r="C4782" t="s">
        <v>13658</v>
      </c>
      <c r="D4782">
        <v>1</v>
      </c>
      <c r="E4782" t="s">
        <v>13621</v>
      </c>
      <c r="F4782" t="s">
        <v>13622</v>
      </c>
      <c r="G4782" s="1"/>
      <c r="H4782" t="str">
        <f>"4012740864053"</f>
        <v>4012740864053</v>
      </c>
      <c r="J4782" t="s">
        <v>13659</v>
      </c>
    </row>
    <row r="4783" spans="1:10" x14ac:dyDescent="0.25">
      <c r="A4783" t="s">
        <v>8</v>
      </c>
      <c r="B4783" t="s">
        <v>13660</v>
      </c>
      <c r="C4783" t="s">
        <v>13661</v>
      </c>
      <c r="D4783">
        <v>1</v>
      </c>
      <c r="E4783" t="s">
        <v>13621</v>
      </c>
      <c r="F4783" t="s">
        <v>13622</v>
      </c>
      <c r="G4783" s="1"/>
      <c r="H4783" t="str">
        <f>"4012740112536"</f>
        <v>4012740112536</v>
      </c>
      <c r="J4783" t="s">
        <v>13662</v>
      </c>
    </row>
    <row r="4784" spans="1:10" x14ac:dyDescent="0.25">
      <c r="A4784" t="s">
        <v>8</v>
      </c>
      <c r="B4784" t="s">
        <v>13663</v>
      </c>
      <c r="C4784" t="s">
        <v>13664</v>
      </c>
      <c r="D4784">
        <v>1</v>
      </c>
      <c r="E4784" t="s">
        <v>13621</v>
      </c>
      <c r="F4784" t="s">
        <v>13622</v>
      </c>
      <c r="G4784" s="1"/>
      <c r="H4784" t="str">
        <f>"4012740114424"</f>
        <v>4012740114424</v>
      </c>
      <c r="J4784" t="s">
        <v>13665</v>
      </c>
    </row>
    <row r="4785" spans="1:10" x14ac:dyDescent="0.25">
      <c r="A4785" t="s">
        <v>8</v>
      </c>
      <c r="B4785" t="s">
        <v>13666</v>
      </c>
      <c r="C4785" t="s">
        <v>13667</v>
      </c>
      <c r="D4785">
        <v>1</v>
      </c>
      <c r="E4785" t="s">
        <v>13621</v>
      </c>
      <c r="F4785" t="s">
        <v>13622</v>
      </c>
      <c r="G4785" s="1"/>
      <c r="H4785" t="str">
        <f>"4012740864077"</f>
        <v>4012740864077</v>
      </c>
      <c r="J4785" t="s">
        <v>13668</v>
      </c>
    </row>
    <row r="4786" spans="1:10" x14ac:dyDescent="0.25">
      <c r="A4786" t="s">
        <v>8</v>
      </c>
      <c r="B4786" t="s">
        <v>13669</v>
      </c>
      <c r="C4786" t="s">
        <v>13670</v>
      </c>
      <c r="D4786">
        <v>1</v>
      </c>
      <c r="E4786" t="s">
        <v>13621</v>
      </c>
      <c r="F4786" t="s">
        <v>13622</v>
      </c>
      <c r="G4786" s="1"/>
      <c r="H4786" t="str">
        <f>"4012740283830"</f>
        <v>4012740283830</v>
      </c>
      <c r="J4786" t="s">
        <v>13671</v>
      </c>
    </row>
    <row r="4787" spans="1:10" x14ac:dyDescent="0.25">
      <c r="A4787" t="s">
        <v>8</v>
      </c>
      <c r="B4787" t="s">
        <v>13672</v>
      </c>
      <c r="C4787" t="s">
        <v>13673</v>
      </c>
      <c r="D4787">
        <v>1</v>
      </c>
      <c r="E4787" t="s">
        <v>13621</v>
      </c>
      <c r="F4787" t="s">
        <v>13622</v>
      </c>
      <c r="G4787" s="1"/>
      <c r="H4787" t="str">
        <f>"4012740283847"</f>
        <v>4012740283847</v>
      </c>
      <c r="J4787" t="s">
        <v>13674</v>
      </c>
    </row>
    <row r="4788" spans="1:10" x14ac:dyDescent="0.25">
      <c r="A4788" t="s">
        <v>8</v>
      </c>
      <c r="B4788" t="s">
        <v>13675</v>
      </c>
      <c r="C4788" t="s">
        <v>13676</v>
      </c>
      <c r="D4788">
        <v>1</v>
      </c>
      <c r="E4788" t="s">
        <v>13621</v>
      </c>
      <c r="F4788" t="s">
        <v>13622</v>
      </c>
      <c r="G4788" s="1"/>
      <c r="H4788" t="str">
        <f>"4012740138666"</f>
        <v>4012740138666</v>
      </c>
      <c r="J4788" t="s">
        <v>13677</v>
      </c>
    </row>
    <row r="4789" spans="1:10" x14ac:dyDescent="0.25">
      <c r="A4789" t="s">
        <v>8</v>
      </c>
      <c r="B4789" t="s">
        <v>13678</v>
      </c>
      <c r="C4789" t="s">
        <v>13679</v>
      </c>
      <c r="D4789">
        <v>1</v>
      </c>
      <c r="E4789" t="s">
        <v>13621</v>
      </c>
      <c r="F4789" t="s">
        <v>13622</v>
      </c>
      <c r="G4789" s="1"/>
      <c r="H4789" t="str">
        <f>"4012740138697"</f>
        <v>4012740138697</v>
      </c>
      <c r="J4789" t="s">
        <v>13680</v>
      </c>
    </row>
    <row r="4790" spans="1:10" x14ac:dyDescent="0.25">
      <c r="A4790" t="s">
        <v>8</v>
      </c>
      <c r="B4790" t="s">
        <v>13681</v>
      </c>
      <c r="C4790" t="s">
        <v>13682</v>
      </c>
      <c r="D4790">
        <v>1</v>
      </c>
      <c r="E4790" t="s">
        <v>13621</v>
      </c>
      <c r="F4790" t="s">
        <v>13622</v>
      </c>
      <c r="G4790" s="1"/>
      <c r="H4790" t="str">
        <f>"4012740229234"</f>
        <v>4012740229234</v>
      </c>
      <c r="J4790" t="s">
        <v>13683</v>
      </c>
    </row>
    <row r="4791" spans="1:10" x14ac:dyDescent="0.25">
      <c r="A4791" t="s">
        <v>8</v>
      </c>
      <c r="B4791" t="s">
        <v>13684</v>
      </c>
      <c r="C4791" t="s">
        <v>13685</v>
      </c>
      <c r="D4791">
        <v>1</v>
      </c>
      <c r="E4791" t="s">
        <v>13621</v>
      </c>
      <c r="F4791" t="s">
        <v>13622</v>
      </c>
      <c r="G4791" s="1"/>
      <c r="H4791" t="str">
        <f>"4012740229241"</f>
        <v>4012740229241</v>
      </c>
      <c r="J4791" t="s">
        <v>13683</v>
      </c>
    </row>
    <row r="4792" spans="1:10" x14ac:dyDescent="0.25">
      <c r="A4792" t="s">
        <v>8</v>
      </c>
      <c r="B4792" t="s">
        <v>13686</v>
      </c>
      <c r="C4792" t="s">
        <v>13687</v>
      </c>
      <c r="D4792">
        <v>1</v>
      </c>
      <c r="E4792" t="s">
        <v>13621</v>
      </c>
      <c r="F4792" t="s">
        <v>13622</v>
      </c>
      <c r="G4792" s="1"/>
      <c r="H4792" t="str">
        <f>"4012740229258"</f>
        <v>4012740229258</v>
      </c>
      <c r="J4792" t="s">
        <v>13683</v>
      </c>
    </row>
    <row r="4793" spans="1:10" x14ac:dyDescent="0.25">
      <c r="A4793" t="s">
        <v>8</v>
      </c>
      <c r="B4793" t="s">
        <v>13688</v>
      </c>
      <c r="C4793" t="s">
        <v>13689</v>
      </c>
      <c r="D4793">
        <v>1</v>
      </c>
      <c r="E4793" t="s">
        <v>13621</v>
      </c>
      <c r="F4793" t="s">
        <v>13622</v>
      </c>
      <c r="G4793" s="1"/>
      <c r="H4793" t="str">
        <f>"4012740283786"</f>
        <v>4012740283786</v>
      </c>
      <c r="J4793" t="s">
        <v>7105</v>
      </c>
    </row>
    <row r="4794" spans="1:10" x14ac:dyDescent="0.25">
      <c r="A4794" t="s">
        <v>8</v>
      </c>
      <c r="B4794" t="s">
        <v>13691</v>
      </c>
      <c r="C4794" t="s">
        <v>13692</v>
      </c>
      <c r="D4794">
        <v>1</v>
      </c>
      <c r="E4794" t="s">
        <v>13621</v>
      </c>
      <c r="F4794" t="s">
        <v>13622</v>
      </c>
      <c r="G4794" s="1"/>
      <c r="H4794" t="str">
        <f>"4012740121071"</f>
        <v>4012740121071</v>
      </c>
      <c r="J4794" t="s">
        <v>13693</v>
      </c>
    </row>
    <row r="4795" spans="1:10" x14ac:dyDescent="0.25">
      <c r="A4795" t="s">
        <v>8</v>
      </c>
      <c r="B4795" t="s">
        <v>13694</v>
      </c>
      <c r="C4795" t="s">
        <v>13695</v>
      </c>
      <c r="D4795">
        <v>1</v>
      </c>
      <c r="E4795" t="s">
        <v>13621</v>
      </c>
      <c r="F4795" t="s">
        <v>13622</v>
      </c>
      <c r="G4795" s="1"/>
      <c r="H4795" t="str">
        <f>"4012740121163"</f>
        <v>4012740121163</v>
      </c>
      <c r="J4795" t="s">
        <v>13696</v>
      </c>
    </row>
    <row r="4796" spans="1:10" x14ac:dyDescent="0.25">
      <c r="A4796" t="s">
        <v>8</v>
      </c>
      <c r="B4796" t="s">
        <v>13697</v>
      </c>
      <c r="C4796" t="s">
        <v>13698</v>
      </c>
      <c r="D4796">
        <v>1</v>
      </c>
      <c r="E4796" t="s">
        <v>13621</v>
      </c>
      <c r="F4796" t="s">
        <v>13622</v>
      </c>
      <c r="G4796" s="1"/>
      <c r="H4796" t="str">
        <f>"4012740121286"</f>
        <v>4012740121286</v>
      </c>
      <c r="J4796" t="s">
        <v>13699</v>
      </c>
    </row>
    <row r="4797" spans="1:10" x14ac:dyDescent="0.25">
      <c r="A4797" t="s">
        <v>8</v>
      </c>
      <c r="B4797" t="s">
        <v>13700</v>
      </c>
      <c r="C4797" t="s">
        <v>13701</v>
      </c>
      <c r="D4797">
        <v>1</v>
      </c>
      <c r="E4797" t="s">
        <v>13702</v>
      </c>
      <c r="F4797" t="s">
        <v>13703</v>
      </c>
      <c r="G4797" s="1"/>
      <c r="H4797" t="str">
        <f>"4012740199117"</f>
        <v>4012740199117</v>
      </c>
      <c r="J4797" t="s">
        <v>7849</v>
      </c>
    </row>
    <row r="4798" spans="1:10" x14ac:dyDescent="0.25">
      <c r="A4798" t="s">
        <v>8</v>
      </c>
      <c r="B4798" t="s">
        <v>13704</v>
      </c>
      <c r="C4798" t="s">
        <v>13705</v>
      </c>
      <c r="D4798">
        <v>1</v>
      </c>
      <c r="E4798" t="s">
        <v>13702</v>
      </c>
      <c r="F4798" t="s">
        <v>13703</v>
      </c>
      <c r="G4798" s="1"/>
      <c r="H4798" t="str">
        <f>"4012740199131"</f>
        <v>4012740199131</v>
      </c>
      <c r="J4798" t="s">
        <v>13706</v>
      </c>
    </row>
    <row r="4799" spans="1:10" x14ac:dyDescent="0.25">
      <c r="A4799" t="s">
        <v>8</v>
      </c>
      <c r="B4799" t="s">
        <v>13707</v>
      </c>
      <c r="C4799" t="s">
        <v>13708</v>
      </c>
      <c r="D4799">
        <v>1</v>
      </c>
      <c r="E4799" t="s">
        <v>13702</v>
      </c>
      <c r="F4799" t="s">
        <v>13703</v>
      </c>
      <c r="G4799" s="1"/>
      <c r="H4799" t="str">
        <f>"4012740199148"</f>
        <v>4012740199148</v>
      </c>
      <c r="J4799" t="s">
        <v>13709</v>
      </c>
    </row>
    <row r="4800" spans="1:10" x14ac:dyDescent="0.25">
      <c r="A4800" t="s">
        <v>8</v>
      </c>
      <c r="B4800" t="s">
        <v>13710</v>
      </c>
      <c r="C4800" t="s">
        <v>13711</v>
      </c>
      <c r="D4800">
        <v>1</v>
      </c>
      <c r="E4800" t="s">
        <v>13702</v>
      </c>
      <c r="F4800" t="s">
        <v>13703</v>
      </c>
      <c r="G4800" s="1"/>
      <c r="H4800" t="str">
        <f>"4012740199155"</f>
        <v>4012740199155</v>
      </c>
      <c r="J4800" t="s">
        <v>13712</v>
      </c>
    </row>
    <row r="4801" spans="1:10" x14ac:dyDescent="0.25">
      <c r="A4801" t="s">
        <v>8</v>
      </c>
      <c r="B4801" t="s">
        <v>13713</v>
      </c>
      <c r="C4801" t="s">
        <v>13714</v>
      </c>
      <c r="D4801">
        <v>1</v>
      </c>
      <c r="E4801" t="s">
        <v>13702</v>
      </c>
      <c r="F4801" t="s">
        <v>13703</v>
      </c>
      <c r="G4801" s="1"/>
      <c r="H4801" t="str">
        <f>"4012740199186"</f>
        <v>4012740199186</v>
      </c>
      <c r="J4801" t="s">
        <v>13709</v>
      </c>
    </row>
    <row r="4802" spans="1:10" x14ac:dyDescent="0.25">
      <c r="A4802" t="s">
        <v>8</v>
      </c>
      <c r="B4802" t="s">
        <v>13715</v>
      </c>
      <c r="C4802" t="s">
        <v>13716</v>
      </c>
      <c r="D4802">
        <v>1</v>
      </c>
      <c r="E4802" t="s">
        <v>13702</v>
      </c>
      <c r="F4802" t="s">
        <v>13703</v>
      </c>
      <c r="G4802" s="1"/>
      <c r="H4802" t="str">
        <f>"4012740199193"</f>
        <v>4012740199193</v>
      </c>
      <c r="J4802" t="s">
        <v>13717</v>
      </c>
    </row>
    <row r="4803" spans="1:10" x14ac:dyDescent="0.25">
      <c r="A4803" t="s">
        <v>8</v>
      </c>
      <c r="B4803" t="s">
        <v>13718</v>
      </c>
      <c r="C4803" t="s">
        <v>13719</v>
      </c>
      <c r="D4803">
        <v>1</v>
      </c>
      <c r="E4803" t="s">
        <v>13702</v>
      </c>
      <c r="F4803" t="s">
        <v>13703</v>
      </c>
      <c r="G4803" s="1"/>
      <c r="H4803" t="str">
        <f>"4012740199209"</f>
        <v>4012740199209</v>
      </c>
      <c r="J4803" t="s">
        <v>13720</v>
      </c>
    </row>
    <row r="4804" spans="1:10" x14ac:dyDescent="0.25">
      <c r="A4804" t="s">
        <v>8</v>
      </c>
      <c r="B4804" t="s">
        <v>13721</v>
      </c>
      <c r="C4804" t="s">
        <v>13722</v>
      </c>
      <c r="D4804">
        <v>1</v>
      </c>
      <c r="E4804" t="s">
        <v>13702</v>
      </c>
      <c r="F4804" t="s">
        <v>13703</v>
      </c>
      <c r="G4804" s="1"/>
      <c r="H4804" t="str">
        <f>"4012740199216"</f>
        <v>4012740199216</v>
      </c>
      <c r="J4804" t="s">
        <v>13723</v>
      </c>
    </row>
    <row r="4805" spans="1:10" x14ac:dyDescent="0.25">
      <c r="A4805" t="s">
        <v>8</v>
      </c>
      <c r="B4805" t="s">
        <v>13724</v>
      </c>
      <c r="C4805" t="s">
        <v>13725</v>
      </c>
      <c r="D4805">
        <v>1</v>
      </c>
      <c r="E4805" t="s">
        <v>13702</v>
      </c>
      <c r="F4805" t="s">
        <v>13703</v>
      </c>
      <c r="G4805" s="1"/>
      <c r="H4805" t="str">
        <f>"4012740199223"</f>
        <v>4012740199223</v>
      </c>
      <c r="J4805" t="s">
        <v>13726</v>
      </c>
    </row>
    <row r="4806" spans="1:10" x14ac:dyDescent="0.25">
      <c r="A4806" t="s">
        <v>8</v>
      </c>
      <c r="B4806" t="s">
        <v>13727</v>
      </c>
      <c r="C4806" t="s">
        <v>13728</v>
      </c>
      <c r="D4806">
        <v>1</v>
      </c>
      <c r="E4806" t="s">
        <v>13702</v>
      </c>
      <c r="F4806" t="s">
        <v>13703</v>
      </c>
      <c r="G4806" s="1"/>
      <c r="H4806" t="str">
        <f>"4012740199230"</f>
        <v>4012740199230</v>
      </c>
      <c r="J4806" t="s">
        <v>13729</v>
      </c>
    </row>
    <row r="4807" spans="1:10" x14ac:dyDescent="0.25">
      <c r="A4807" t="s">
        <v>8</v>
      </c>
      <c r="B4807" t="s">
        <v>13730</v>
      </c>
      <c r="C4807" t="s">
        <v>13731</v>
      </c>
      <c r="D4807">
        <v>1</v>
      </c>
      <c r="E4807" t="s">
        <v>13702</v>
      </c>
      <c r="F4807" t="s">
        <v>13703</v>
      </c>
      <c r="G4807" s="1"/>
      <c r="H4807" t="str">
        <f>"4012740199261"</f>
        <v>4012740199261</v>
      </c>
      <c r="J4807" t="s">
        <v>13732</v>
      </c>
    </row>
    <row r="4808" spans="1:10" x14ac:dyDescent="0.25">
      <c r="A4808" t="s">
        <v>8</v>
      </c>
      <c r="B4808" t="s">
        <v>13733</v>
      </c>
      <c r="C4808" t="s">
        <v>13734</v>
      </c>
      <c r="D4808">
        <v>1</v>
      </c>
      <c r="E4808" t="s">
        <v>13702</v>
      </c>
      <c r="F4808" t="s">
        <v>13703</v>
      </c>
      <c r="G4808" s="1"/>
      <c r="H4808" t="str">
        <f>"4012740199278"</f>
        <v>4012740199278</v>
      </c>
      <c r="J4808" t="s">
        <v>13735</v>
      </c>
    </row>
    <row r="4809" spans="1:10" x14ac:dyDescent="0.25">
      <c r="A4809" t="s">
        <v>8</v>
      </c>
      <c r="B4809" t="s">
        <v>13736</v>
      </c>
      <c r="C4809" t="s">
        <v>13737</v>
      </c>
      <c r="D4809">
        <v>1</v>
      </c>
      <c r="E4809" t="s">
        <v>13702</v>
      </c>
      <c r="F4809" t="s">
        <v>13703</v>
      </c>
      <c r="G4809" s="1"/>
      <c r="H4809" t="str">
        <f>"4012740199308"</f>
        <v>4012740199308</v>
      </c>
      <c r="J4809" t="s">
        <v>13738</v>
      </c>
    </row>
    <row r="4810" spans="1:10" x14ac:dyDescent="0.25">
      <c r="A4810" t="s">
        <v>8</v>
      </c>
      <c r="B4810" t="s">
        <v>13739</v>
      </c>
      <c r="C4810" t="s">
        <v>13740</v>
      </c>
      <c r="D4810">
        <v>1</v>
      </c>
      <c r="E4810" t="s">
        <v>13702</v>
      </c>
      <c r="F4810" t="s">
        <v>13703</v>
      </c>
      <c r="G4810" s="1"/>
      <c r="H4810" t="str">
        <f>"4012740199322"</f>
        <v>4012740199322</v>
      </c>
      <c r="J4810" t="s">
        <v>12715</v>
      </c>
    </row>
    <row r="4811" spans="1:10" x14ac:dyDescent="0.25">
      <c r="A4811" t="s">
        <v>8</v>
      </c>
      <c r="B4811" t="s">
        <v>13741</v>
      </c>
      <c r="C4811" t="s">
        <v>13742</v>
      </c>
      <c r="D4811">
        <v>1</v>
      </c>
      <c r="E4811" t="s">
        <v>13702</v>
      </c>
      <c r="F4811" t="s">
        <v>13703</v>
      </c>
      <c r="G4811" s="1"/>
      <c r="H4811" t="str">
        <f>"4012740199339"</f>
        <v>4012740199339</v>
      </c>
      <c r="J4811" t="s">
        <v>13743</v>
      </c>
    </row>
    <row r="4812" spans="1:10" x14ac:dyDescent="0.25">
      <c r="A4812" t="s">
        <v>8</v>
      </c>
      <c r="B4812" t="s">
        <v>13744</v>
      </c>
      <c r="C4812" t="s">
        <v>13745</v>
      </c>
      <c r="D4812">
        <v>1</v>
      </c>
      <c r="E4812" t="s">
        <v>13702</v>
      </c>
      <c r="F4812" t="s">
        <v>13703</v>
      </c>
      <c r="G4812" s="1"/>
      <c r="H4812" t="str">
        <f>"4012740219358"</f>
        <v>4012740219358</v>
      </c>
      <c r="J4812" t="s">
        <v>13746</v>
      </c>
    </row>
    <row r="4813" spans="1:10" x14ac:dyDescent="0.25">
      <c r="A4813" t="s">
        <v>8</v>
      </c>
      <c r="B4813" t="s">
        <v>13747</v>
      </c>
      <c r="C4813" t="s">
        <v>13748</v>
      </c>
      <c r="D4813">
        <v>1</v>
      </c>
      <c r="E4813" t="s">
        <v>13702</v>
      </c>
      <c r="F4813" t="s">
        <v>13703</v>
      </c>
      <c r="G4813" s="1"/>
      <c r="H4813" t="str">
        <f>"4012740219396"</f>
        <v>4012740219396</v>
      </c>
      <c r="J4813" t="s">
        <v>13749</v>
      </c>
    </row>
    <row r="4814" spans="1:10" x14ac:dyDescent="0.25">
      <c r="A4814" t="s">
        <v>8</v>
      </c>
      <c r="B4814" t="s">
        <v>13750</v>
      </c>
      <c r="C4814" t="s">
        <v>13751</v>
      </c>
      <c r="D4814">
        <v>1</v>
      </c>
      <c r="E4814" t="s">
        <v>13702</v>
      </c>
      <c r="F4814" t="s">
        <v>13703</v>
      </c>
      <c r="G4814" s="1"/>
      <c r="H4814" t="str">
        <f>"4012740180634"</f>
        <v>4012740180634</v>
      </c>
      <c r="J4814" t="s">
        <v>13752</v>
      </c>
    </row>
    <row r="4815" spans="1:10" x14ac:dyDescent="0.25">
      <c r="A4815" t="s">
        <v>8</v>
      </c>
      <c r="B4815" t="s">
        <v>13753</v>
      </c>
      <c r="C4815" t="s">
        <v>13754</v>
      </c>
      <c r="D4815">
        <v>1</v>
      </c>
      <c r="E4815" t="s">
        <v>13702</v>
      </c>
      <c r="F4815" t="s">
        <v>13703</v>
      </c>
      <c r="G4815" s="1"/>
      <c r="H4815" t="str">
        <f>"4012740219518"</f>
        <v>4012740219518</v>
      </c>
      <c r="J4815" t="s">
        <v>13755</v>
      </c>
    </row>
    <row r="4816" spans="1:10" x14ac:dyDescent="0.25">
      <c r="A4816" t="s">
        <v>8</v>
      </c>
      <c r="B4816" t="s">
        <v>13756</v>
      </c>
      <c r="C4816" t="s">
        <v>13757</v>
      </c>
      <c r="D4816">
        <v>1</v>
      </c>
      <c r="E4816" t="s">
        <v>13702</v>
      </c>
      <c r="F4816" t="s">
        <v>13703</v>
      </c>
      <c r="G4816" s="1"/>
      <c r="H4816" t="str">
        <f>"4012740219433"</f>
        <v>4012740219433</v>
      </c>
      <c r="J4816" t="s">
        <v>13752</v>
      </c>
    </row>
    <row r="4817" spans="1:10" x14ac:dyDescent="0.25">
      <c r="A4817" t="s">
        <v>8</v>
      </c>
      <c r="B4817" t="s">
        <v>13758</v>
      </c>
      <c r="C4817" t="s">
        <v>13759</v>
      </c>
      <c r="D4817">
        <v>1</v>
      </c>
      <c r="E4817" t="s">
        <v>13702</v>
      </c>
      <c r="F4817" t="s">
        <v>13703</v>
      </c>
      <c r="G4817" s="1"/>
      <c r="H4817" t="str">
        <f>"4012740180610"</f>
        <v>4012740180610</v>
      </c>
      <c r="J4817" t="s">
        <v>13760</v>
      </c>
    </row>
    <row r="4818" spans="1:10" x14ac:dyDescent="0.25">
      <c r="A4818" t="s">
        <v>8</v>
      </c>
      <c r="B4818" t="s">
        <v>13761</v>
      </c>
      <c r="C4818" t="s">
        <v>13762</v>
      </c>
      <c r="D4818">
        <v>1</v>
      </c>
      <c r="E4818" t="s">
        <v>13702</v>
      </c>
      <c r="F4818" t="s">
        <v>13703</v>
      </c>
      <c r="G4818" s="1"/>
      <c r="H4818" t="str">
        <f>"4012740180597"</f>
        <v>4012740180597</v>
      </c>
      <c r="J4818" t="s">
        <v>13763</v>
      </c>
    </row>
    <row r="4819" spans="1:10" x14ac:dyDescent="0.25">
      <c r="A4819" t="s">
        <v>8</v>
      </c>
      <c r="B4819" t="s">
        <v>13764</v>
      </c>
      <c r="C4819" t="s">
        <v>13765</v>
      </c>
      <c r="D4819">
        <v>1</v>
      </c>
      <c r="E4819" t="s">
        <v>13702</v>
      </c>
      <c r="F4819" t="s">
        <v>13703</v>
      </c>
      <c r="G4819" s="1"/>
      <c r="H4819" t="str">
        <f>"4012740180573"</f>
        <v>4012740180573</v>
      </c>
      <c r="J4819" t="s">
        <v>13766</v>
      </c>
    </row>
    <row r="4820" spans="1:10" x14ac:dyDescent="0.25">
      <c r="A4820" t="s">
        <v>8</v>
      </c>
      <c r="B4820" t="s">
        <v>13767</v>
      </c>
      <c r="C4820" t="s">
        <v>13768</v>
      </c>
      <c r="D4820">
        <v>1</v>
      </c>
      <c r="E4820" t="s">
        <v>13702</v>
      </c>
      <c r="F4820" t="s">
        <v>13703</v>
      </c>
      <c r="G4820" s="1"/>
      <c r="H4820" t="str">
        <f>"4012740180467"</f>
        <v>4012740180467</v>
      </c>
      <c r="J4820" t="s">
        <v>13769</v>
      </c>
    </row>
    <row r="4821" spans="1:10" x14ac:dyDescent="0.25">
      <c r="A4821" t="s">
        <v>8</v>
      </c>
      <c r="B4821" t="s">
        <v>13770</v>
      </c>
      <c r="C4821" t="s">
        <v>13771</v>
      </c>
      <c r="D4821">
        <v>1</v>
      </c>
      <c r="E4821" t="s">
        <v>13702</v>
      </c>
      <c r="F4821" t="s">
        <v>13703</v>
      </c>
      <c r="G4821" s="1"/>
      <c r="H4821" t="str">
        <f>"4012740219556"</f>
        <v>4012740219556</v>
      </c>
      <c r="J4821" t="s">
        <v>13772</v>
      </c>
    </row>
    <row r="4822" spans="1:10" x14ac:dyDescent="0.25">
      <c r="A4822" t="s">
        <v>8</v>
      </c>
      <c r="B4822" t="s">
        <v>13773</v>
      </c>
      <c r="C4822" t="s">
        <v>13774</v>
      </c>
      <c r="D4822">
        <v>1</v>
      </c>
      <c r="E4822" t="s">
        <v>13702</v>
      </c>
      <c r="F4822" t="s">
        <v>13703</v>
      </c>
      <c r="G4822" s="1"/>
      <c r="H4822" t="str">
        <f>"4012740219471"</f>
        <v>4012740219471</v>
      </c>
      <c r="J4822" t="s">
        <v>13775</v>
      </c>
    </row>
    <row r="4823" spans="1:10" x14ac:dyDescent="0.25">
      <c r="A4823" t="s">
        <v>8</v>
      </c>
      <c r="B4823" t="s">
        <v>13776</v>
      </c>
      <c r="C4823" t="s">
        <v>13777</v>
      </c>
      <c r="D4823">
        <v>1</v>
      </c>
      <c r="E4823" t="s">
        <v>13702</v>
      </c>
      <c r="F4823" t="s">
        <v>13703</v>
      </c>
      <c r="G4823" s="1"/>
      <c r="H4823" t="str">
        <f>"4012740180412"</f>
        <v>4012740180412</v>
      </c>
      <c r="J4823" t="s">
        <v>13778</v>
      </c>
    </row>
    <row r="4824" spans="1:10" x14ac:dyDescent="0.25">
      <c r="A4824" t="s">
        <v>8</v>
      </c>
      <c r="B4824" t="s">
        <v>13779</v>
      </c>
      <c r="C4824" t="s">
        <v>13780</v>
      </c>
      <c r="D4824">
        <v>1</v>
      </c>
      <c r="E4824" t="s">
        <v>13702</v>
      </c>
      <c r="F4824" t="s">
        <v>13703</v>
      </c>
      <c r="G4824" s="1"/>
      <c r="H4824" t="str">
        <f>"4012740180375"</f>
        <v>4012740180375</v>
      </c>
      <c r="J4824" t="s">
        <v>13781</v>
      </c>
    </row>
    <row r="4825" spans="1:10" x14ac:dyDescent="0.25">
      <c r="A4825" t="s">
        <v>8</v>
      </c>
      <c r="B4825" t="s">
        <v>13782</v>
      </c>
      <c r="C4825" t="s">
        <v>13783</v>
      </c>
      <c r="D4825">
        <v>1</v>
      </c>
      <c r="E4825" t="s">
        <v>13702</v>
      </c>
      <c r="F4825" t="s">
        <v>13703</v>
      </c>
      <c r="G4825" s="1"/>
      <c r="H4825" t="str">
        <f>"4012740180351"</f>
        <v>4012740180351</v>
      </c>
      <c r="J4825" t="s">
        <v>13784</v>
      </c>
    </row>
    <row r="4826" spans="1:10" x14ac:dyDescent="0.25">
      <c r="A4826" t="s">
        <v>8</v>
      </c>
      <c r="B4826" t="s">
        <v>13785</v>
      </c>
      <c r="C4826" t="s">
        <v>13786</v>
      </c>
      <c r="D4826">
        <v>1</v>
      </c>
      <c r="E4826" t="s">
        <v>13702</v>
      </c>
      <c r="F4826" t="s">
        <v>13703</v>
      </c>
      <c r="G4826" s="1"/>
      <c r="H4826" t="str">
        <f>"4012740180337"</f>
        <v>4012740180337</v>
      </c>
      <c r="J4826" t="s">
        <v>13787</v>
      </c>
    </row>
    <row r="4827" spans="1:10" x14ac:dyDescent="0.25">
      <c r="A4827" t="s">
        <v>8</v>
      </c>
      <c r="B4827" t="s">
        <v>13788</v>
      </c>
      <c r="C4827" t="s">
        <v>13789</v>
      </c>
      <c r="D4827">
        <v>1</v>
      </c>
      <c r="E4827" t="s">
        <v>13790</v>
      </c>
      <c r="F4827" t="s">
        <v>13791</v>
      </c>
      <c r="G4827" s="1"/>
      <c r="H4827" t="str">
        <f>"4012740111713"</f>
        <v>4012740111713</v>
      </c>
      <c r="J4827" t="s">
        <v>8999</v>
      </c>
    </row>
    <row r="4828" spans="1:10" x14ac:dyDescent="0.25">
      <c r="A4828" t="s">
        <v>8</v>
      </c>
      <c r="B4828" t="s">
        <v>13792</v>
      </c>
      <c r="C4828" t="s">
        <v>13793</v>
      </c>
      <c r="D4828">
        <v>1</v>
      </c>
      <c r="E4828" t="s">
        <v>13790</v>
      </c>
      <c r="F4828" t="s">
        <v>13791</v>
      </c>
      <c r="G4828" s="1"/>
      <c r="H4828" t="str">
        <f>"4012740104401"</f>
        <v>4012740104401</v>
      </c>
      <c r="J4828" t="s">
        <v>12745</v>
      </c>
    </row>
    <row r="4829" spans="1:10" x14ac:dyDescent="0.25">
      <c r="A4829" t="s">
        <v>8</v>
      </c>
      <c r="B4829" t="s">
        <v>13794</v>
      </c>
      <c r="C4829" t="s">
        <v>13795</v>
      </c>
      <c r="D4829">
        <v>1</v>
      </c>
      <c r="E4829" t="s">
        <v>13790</v>
      </c>
      <c r="F4829" t="s">
        <v>13791</v>
      </c>
      <c r="G4829" s="1"/>
      <c r="H4829" t="str">
        <f>"4012740104418"</f>
        <v>4012740104418</v>
      </c>
      <c r="J4829" t="s">
        <v>13796</v>
      </c>
    </row>
    <row r="4830" spans="1:10" x14ac:dyDescent="0.25">
      <c r="A4830" t="s">
        <v>8</v>
      </c>
      <c r="B4830" t="s">
        <v>13797</v>
      </c>
      <c r="C4830" t="s">
        <v>13798</v>
      </c>
      <c r="D4830">
        <v>1</v>
      </c>
      <c r="E4830" t="s">
        <v>13790</v>
      </c>
      <c r="F4830" t="s">
        <v>13791</v>
      </c>
      <c r="G4830" s="1"/>
      <c r="H4830" t="str">
        <f>"4012740190527"</f>
        <v>4012740190527</v>
      </c>
      <c r="J4830" t="s">
        <v>13799</v>
      </c>
    </row>
    <row r="4831" spans="1:10" x14ac:dyDescent="0.25">
      <c r="A4831" t="s">
        <v>8</v>
      </c>
      <c r="B4831" t="s">
        <v>13800</v>
      </c>
      <c r="C4831" t="s">
        <v>13801</v>
      </c>
      <c r="D4831">
        <v>1</v>
      </c>
      <c r="E4831" t="s">
        <v>13790</v>
      </c>
      <c r="F4831" t="s">
        <v>13791</v>
      </c>
      <c r="G4831" s="1"/>
      <c r="H4831" t="str">
        <f>"4012740111195"</f>
        <v>4012740111195</v>
      </c>
      <c r="J4831" t="s">
        <v>13802</v>
      </c>
    </row>
    <row r="4832" spans="1:10" x14ac:dyDescent="0.25">
      <c r="A4832" t="s">
        <v>8</v>
      </c>
      <c r="B4832" t="s">
        <v>13803</v>
      </c>
      <c r="C4832" t="s">
        <v>13804</v>
      </c>
      <c r="D4832">
        <v>1</v>
      </c>
      <c r="E4832" t="s">
        <v>13790</v>
      </c>
      <c r="F4832" t="s">
        <v>13791</v>
      </c>
      <c r="G4832" s="1"/>
      <c r="H4832" t="str">
        <f>"4012740104388"</f>
        <v>4012740104388</v>
      </c>
      <c r="J4832" t="s">
        <v>13805</v>
      </c>
    </row>
    <row r="4833" spans="1:10" x14ac:dyDescent="0.25">
      <c r="A4833" t="s">
        <v>8</v>
      </c>
      <c r="B4833" t="s">
        <v>13806</v>
      </c>
      <c r="C4833" t="s">
        <v>13807</v>
      </c>
      <c r="D4833">
        <v>1</v>
      </c>
      <c r="E4833" t="s">
        <v>13790</v>
      </c>
      <c r="F4833" t="s">
        <v>13791</v>
      </c>
      <c r="G4833" s="1"/>
      <c r="H4833" t="str">
        <f>"4012740104395"</f>
        <v>4012740104395</v>
      </c>
      <c r="J4833" t="s">
        <v>13808</v>
      </c>
    </row>
    <row r="4834" spans="1:10" x14ac:dyDescent="0.25">
      <c r="A4834" t="s">
        <v>8</v>
      </c>
      <c r="B4834" t="s">
        <v>13809</v>
      </c>
      <c r="C4834" t="s">
        <v>13810</v>
      </c>
      <c r="D4834">
        <v>1</v>
      </c>
      <c r="E4834" t="s">
        <v>13790</v>
      </c>
      <c r="F4834" t="s">
        <v>13791</v>
      </c>
      <c r="G4834" s="1"/>
      <c r="H4834" t="str">
        <f>"4012740190510"</f>
        <v>4012740190510</v>
      </c>
      <c r="J4834" t="s">
        <v>13811</v>
      </c>
    </row>
    <row r="4835" spans="1:10" x14ac:dyDescent="0.25">
      <c r="A4835" t="s">
        <v>8</v>
      </c>
      <c r="B4835" t="s">
        <v>13812</v>
      </c>
      <c r="C4835" t="s">
        <v>13813</v>
      </c>
      <c r="D4835">
        <v>1</v>
      </c>
      <c r="E4835" t="s">
        <v>13814</v>
      </c>
      <c r="F4835" t="s">
        <v>13815</v>
      </c>
      <c r="G4835" s="1"/>
      <c r="H4835" t="str">
        <f>"4012740255998"</f>
        <v>4012740255998</v>
      </c>
      <c r="J4835" t="s">
        <v>13816</v>
      </c>
    </row>
    <row r="4836" spans="1:10" x14ac:dyDescent="0.25">
      <c r="A4836" t="s">
        <v>8</v>
      </c>
      <c r="B4836" t="s">
        <v>13817</v>
      </c>
      <c r="C4836" t="s">
        <v>13818</v>
      </c>
      <c r="D4836">
        <v>1</v>
      </c>
      <c r="E4836" t="s">
        <v>13814</v>
      </c>
      <c r="F4836" t="s">
        <v>13815</v>
      </c>
      <c r="G4836" s="1"/>
      <c r="H4836" t="str">
        <f>"4012740250870"</f>
        <v>4012740250870</v>
      </c>
      <c r="J4836" t="s">
        <v>13819</v>
      </c>
    </row>
    <row r="4837" spans="1:10" x14ac:dyDescent="0.25">
      <c r="A4837" t="s">
        <v>8</v>
      </c>
      <c r="B4837" t="s">
        <v>13820</v>
      </c>
      <c r="C4837" t="s">
        <v>13821</v>
      </c>
      <c r="D4837">
        <v>1</v>
      </c>
      <c r="E4837" t="s">
        <v>13814</v>
      </c>
      <c r="F4837" t="s">
        <v>13815</v>
      </c>
      <c r="G4837" s="1"/>
      <c r="H4837" t="str">
        <f>"4012740250887"</f>
        <v>4012740250887</v>
      </c>
      <c r="J4837" t="s">
        <v>13822</v>
      </c>
    </row>
    <row r="4838" spans="1:10" x14ac:dyDescent="0.25">
      <c r="A4838" t="s">
        <v>8</v>
      </c>
      <c r="B4838" t="s">
        <v>13823</v>
      </c>
      <c r="C4838" t="s">
        <v>13824</v>
      </c>
      <c r="D4838">
        <v>1</v>
      </c>
      <c r="E4838" t="s">
        <v>13814</v>
      </c>
      <c r="F4838" t="s">
        <v>13815</v>
      </c>
      <c r="G4838" s="1"/>
      <c r="H4838" t="str">
        <f>"4012740250894"</f>
        <v>4012740250894</v>
      </c>
      <c r="J4838" t="s">
        <v>13825</v>
      </c>
    </row>
    <row r="4839" spans="1:10" x14ac:dyDescent="0.25">
      <c r="A4839" t="s">
        <v>8</v>
      </c>
      <c r="B4839" t="s">
        <v>13826</v>
      </c>
      <c r="C4839" t="s">
        <v>13827</v>
      </c>
      <c r="D4839">
        <v>1</v>
      </c>
      <c r="E4839" t="s">
        <v>13814</v>
      </c>
      <c r="F4839" t="s">
        <v>13815</v>
      </c>
      <c r="G4839" s="1"/>
      <c r="H4839" t="str">
        <f>"4012740254786"</f>
        <v>4012740254786</v>
      </c>
      <c r="J4839" t="s">
        <v>13828</v>
      </c>
    </row>
    <row r="4840" spans="1:10" x14ac:dyDescent="0.25">
      <c r="A4840" t="s">
        <v>8</v>
      </c>
      <c r="B4840" t="s">
        <v>13829</v>
      </c>
      <c r="C4840" t="s">
        <v>13830</v>
      </c>
      <c r="D4840">
        <v>1</v>
      </c>
      <c r="E4840" t="s">
        <v>13814</v>
      </c>
      <c r="F4840" t="s">
        <v>13815</v>
      </c>
      <c r="G4840" s="1"/>
      <c r="H4840" t="str">
        <f>"4012740898546"</f>
        <v>4012740898546</v>
      </c>
      <c r="J4840" t="s">
        <v>13831</v>
      </c>
    </row>
    <row r="4841" spans="1:10" x14ac:dyDescent="0.25">
      <c r="A4841" t="s">
        <v>8</v>
      </c>
      <c r="B4841" t="s">
        <v>13832</v>
      </c>
      <c r="C4841" t="s">
        <v>13833</v>
      </c>
      <c r="D4841">
        <v>1</v>
      </c>
      <c r="E4841" t="s">
        <v>13834</v>
      </c>
      <c r="F4841" t="s">
        <v>13835</v>
      </c>
      <c r="G4841" s="1"/>
      <c r="H4841" t="str">
        <f>"4012740300094"</f>
        <v>4012740300094</v>
      </c>
      <c r="J4841" t="s">
        <v>13836</v>
      </c>
    </row>
    <row r="4842" spans="1:10" x14ac:dyDescent="0.25">
      <c r="A4842" t="s">
        <v>8</v>
      </c>
      <c r="B4842" t="s">
        <v>13837</v>
      </c>
      <c r="C4842" t="s">
        <v>13838</v>
      </c>
      <c r="D4842">
        <v>1</v>
      </c>
      <c r="E4842" t="s">
        <v>13839</v>
      </c>
      <c r="F4842" t="s">
        <v>13840</v>
      </c>
      <c r="G4842" s="1"/>
      <c r="H4842" t="str">
        <f>"4012740902250"</f>
        <v>4012740902250</v>
      </c>
      <c r="J4842" t="s">
        <v>13841</v>
      </c>
    </row>
    <row r="4843" spans="1:10" x14ac:dyDescent="0.25">
      <c r="A4843" t="s">
        <v>8</v>
      </c>
      <c r="B4843" t="s">
        <v>13842</v>
      </c>
      <c r="C4843" t="s">
        <v>13843</v>
      </c>
      <c r="D4843">
        <v>1</v>
      </c>
      <c r="E4843" t="s">
        <v>13839</v>
      </c>
      <c r="F4843" t="s">
        <v>13840</v>
      </c>
      <c r="G4843" s="1"/>
      <c r="H4843" t="str">
        <f>"4012740868433"</f>
        <v>4012740868433</v>
      </c>
      <c r="J4843" t="s">
        <v>13844</v>
      </c>
    </row>
    <row r="4844" spans="1:10" x14ac:dyDescent="0.25">
      <c r="A4844" t="s">
        <v>8</v>
      </c>
      <c r="B4844" t="s">
        <v>13845</v>
      </c>
      <c r="C4844" t="s">
        <v>13846</v>
      </c>
      <c r="D4844">
        <v>1</v>
      </c>
      <c r="E4844" t="s">
        <v>13839</v>
      </c>
      <c r="F4844" t="s">
        <v>13840</v>
      </c>
      <c r="G4844" s="1"/>
      <c r="H4844" t="str">
        <f>"4012740107792"</f>
        <v>4012740107792</v>
      </c>
      <c r="J4844" t="s">
        <v>13847</v>
      </c>
    </row>
    <row r="4845" spans="1:10" x14ac:dyDescent="0.25">
      <c r="A4845" t="s">
        <v>8</v>
      </c>
      <c r="B4845" t="s">
        <v>13848</v>
      </c>
      <c r="C4845" t="s">
        <v>13849</v>
      </c>
      <c r="D4845">
        <v>1</v>
      </c>
      <c r="E4845" t="s">
        <v>13839</v>
      </c>
      <c r="F4845" t="s">
        <v>13840</v>
      </c>
      <c r="G4845" s="1"/>
      <c r="H4845" t="str">
        <f>"4012740011235"</f>
        <v>4012740011235</v>
      </c>
      <c r="J4845" t="s">
        <v>13850</v>
      </c>
    </row>
    <row r="4846" spans="1:10" x14ac:dyDescent="0.25">
      <c r="A4846" t="s">
        <v>8</v>
      </c>
      <c r="B4846" t="s">
        <v>13851</v>
      </c>
      <c r="C4846" t="s">
        <v>13852</v>
      </c>
      <c r="D4846">
        <v>1</v>
      </c>
      <c r="E4846" t="s">
        <v>13839</v>
      </c>
      <c r="F4846" t="s">
        <v>13840</v>
      </c>
      <c r="G4846" s="1"/>
      <c r="H4846" t="str">
        <f>"4012740011242"</f>
        <v>4012740011242</v>
      </c>
      <c r="J4846" t="s">
        <v>13853</v>
      </c>
    </row>
    <row r="4847" spans="1:10" x14ac:dyDescent="0.25">
      <c r="A4847" t="s">
        <v>8</v>
      </c>
      <c r="B4847" t="s">
        <v>13854</v>
      </c>
      <c r="C4847" t="s">
        <v>13855</v>
      </c>
      <c r="D4847">
        <v>1</v>
      </c>
      <c r="E4847" t="s">
        <v>13839</v>
      </c>
      <c r="F4847" t="s">
        <v>13840</v>
      </c>
      <c r="G4847" s="1"/>
      <c r="H4847" t="str">
        <f>"4012740011259"</f>
        <v>4012740011259</v>
      </c>
      <c r="J4847" t="s">
        <v>13856</v>
      </c>
    </row>
    <row r="4848" spans="1:10" x14ac:dyDescent="0.25">
      <c r="A4848" t="s">
        <v>8</v>
      </c>
      <c r="B4848" t="s">
        <v>13857</v>
      </c>
      <c r="C4848" t="s">
        <v>13858</v>
      </c>
      <c r="D4848">
        <v>1</v>
      </c>
      <c r="E4848" t="s">
        <v>13839</v>
      </c>
      <c r="F4848" t="s">
        <v>13840</v>
      </c>
      <c r="G4848" s="1"/>
      <c r="H4848" t="str">
        <f>"4012740011266"</f>
        <v>4012740011266</v>
      </c>
      <c r="J4848" t="s">
        <v>13859</v>
      </c>
    </row>
    <row r="4849" spans="1:10" x14ac:dyDescent="0.25">
      <c r="A4849" t="s">
        <v>8</v>
      </c>
      <c r="B4849" t="s">
        <v>13860</v>
      </c>
      <c r="C4849" t="s">
        <v>13861</v>
      </c>
      <c r="D4849">
        <v>1</v>
      </c>
      <c r="E4849" t="s">
        <v>13839</v>
      </c>
      <c r="F4849" t="s">
        <v>13840</v>
      </c>
      <c r="G4849" s="1"/>
      <c r="H4849" t="str">
        <f>"4012740011273"</f>
        <v>4012740011273</v>
      </c>
      <c r="J4849" t="s">
        <v>13862</v>
      </c>
    </row>
    <row r="4850" spans="1:10" x14ac:dyDescent="0.25">
      <c r="A4850" t="s">
        <v>8</v>
      </c>
      <c r="B4850" t="s">
        <v>13863</v>
      </c>
      <c r="C4850" t="s">
        <v>13864</v>
      </c>
      <c r="D4850">
        <v>1</v>
      </c>
      <c r="E4850" t="s">
        <v>13839</v>
      </c>
      <c r="F4850" t="s">
        <v>13840</v>
      </c>
      <c r="G4850" s="1"/>
      <c r="H4850" t="str">
        <f>"4012740011327"</f>
        <v>4012740011327</v>
      </c>
      <c r="J4850" t="s">
        <v>13865</v>
      </c>
    </row>
    <row r="4851" spans="1:10" x14ac:dyDescent="0.25">
      <c r="A4851" t="s">
        <v>8</v>
      </c>
      <c r="B4851" t="s">
        <v>13866</v>
      </c>
      <c r="C4851" t="s">
        <v>13867</v>
      </c>
      <c r="D4851">
        <v>1</v>
      </c>
      <c r="E4851" t="s">
        <v>13839</v>
      </c>
      <c r="F4851" t="s">
        <v>13840</v>
      </c>
      <c r="G4851" s="1"/>
      <c r="H4851" t="str">
        <f>"4012740011334"</f>
        <v>4012740011334</v>
      </c>
      <c r="J4851" t="s">
        <v>13868</v>
      </c>
    </row>
    <row r="4852" spans="1:10" x14ac:dyDescent="0.25">
      <c r="A4852" t="s">
        <v>8</v>
      </c>
      <c r="B4852" t="s">
        <v>13869</v>
      </c>
      <c r="C4852" t="s">
        <v>13870</v>
      </c>
      <c r="D4852">
        <v>1</v>
      </c>
      <c r="E4852" t="s">
        <v>13839</v>
      </c>
      <c r="F4852" t="s">
        <v>13840</v>
      </c>
      <c r="G4852" s="1"/>
      <c r="H4852" t="str">
        <f>"4012740011341"</f>
        <v>4012740011341</v>
      </c>
      <c r="J4852" t="s">
        <v>13871</v>
      </c>
    </row>
    <row r="4853" spans="1:10" x14ac:dyDescent="0.25">
      <c r="A4853" t="s">
        <v>8</v>
      </c>
      <c r="B4853" t="s">
        <v>13872</v>
      </c>
      <c r="C4853" t="s">
        <v>13873</v>
      </c>
      <c r="D4853">
        <v>1</v>
      </c>
      <c r="E4853" t="s">
        <v>13839</v>
      </c>
      <c r="F4853" t="s">
        <v>13840</v>
      </c>
      <c r="G4853" s="1"/>
      <c r="H4853" t="str">
        <f>"4012740011358"</f>
        <v>4012740011358</v>
      </c>
      <c r="J4853" t="s">
        <v>13874</v>
      </c>
    </row>
    <row r="4854" spans="1:10" x14ac:dyDescent="0.25">
      <c r="A4854" t="s">
        <v>8</v>
      </c>
      <c r="B4854" t="s">
        <v>13875</v>
      </c>
      <c r="C4854" t="s">
        <v>13876</v>
      </c>
      <c r="D4854">
        <v>1</v>
      </c>
      <c r="E4854" t="s">
        <v>13839</v>
      </c>
      <c r="F4854" t="s">
        <v>13840</v>
      </c>
      <c r="G4854" s="1"/>
      <c r="H4854" t="str">
        <f>"4012740011372"</f>
        <v>4012740011372</v>
      </c>
      <c r="J4854" t="s">
        <v>13877</v>
      </c>
    </row>
    <row r="4855" spans="1:10" x14ac:dyDescent="0.25">
      <c r="A4855" t="s">
        <v>8</v>
      </c>
      <c r="B4855" t="s">
        <v>13878</v>
      </c>
      <c r="C4855" t="s">
        <v>13879</v>
      </c>
      <c r="D4855">
        <v>1</v>
      </c>
      <c r="E4855" t="s">
        <v>13839</v>
      </c>
      <c r="F4855" t="s">
        <v>13840</v>
      </c>
      <c r="G4855" s="1"/>
      <c r="H4855" t="str">
        <f>"4012740011389"</f>
        <v>4012740011389</v>
      </c>
      <c r="J4855" t="s">
        <v>13880</v>
      </c>
    </row>
    <row r="4856" spans="1:10" x14ac:dyDescent="0.25">
      <c r="A4856" t="s">
        <v>8</v>
      </c>
      <c r="B4856" t="s">
        <v>13881</v>
      </c>
      <c r="C4856" t="s">
        <v>13882</v>
      </c>
      <c r="D4856">
        <v>1</v>
      </c>
      <c r="E4856" t="s">
        <v>13839</v>
      </c>
      <c r="F4856" t="s">
        <v>13840</v>
      </c>
      <c r="G4856" s="1"/>
      <c r="H4856" t="str">
        <f>"4012740011396"</f>
        <v>4012740011396</v>
      </c>
      <c r="J4856" t="s">
        <v>13883</v>
      </c>
    </row>
    <row r="4857" spans="1:10" x14ac:dyDescent="0.25">
      <c r="A4857" t="s">
        <v>8</v>
      </c>
      <c r="B4857" t="s">
        <v>13884</v>
      </c>
      <c r="C4857" t="s">
        <v>13885</v>
      </c>
      <c r="D4857">
        <v>1</v>
      </c>
      <c r="E4857" t="s">
        <v>13839</v>
      </c>
      <c r="F4857" t="s">
        <v>13840</v>
      </c>
      <c r="G4857" s="1"/>
      <c r="H4857" t="str">
        <f>"4012740011402"</f>
        <v>4012740011402</v>
      </c>
      <c r="J4857" t="s">
        <v>13886</v>
      </c>
    </row>
    <row r="4858" spans="1:10" x14ac:dyDescent="0.25">
      <c r="A4858" t="s">
        <v>8</v>
      </c>
      <c r="B4858" t="s">
        <v>13887</v>
      </c>
      <c r="C4858" t="s">
        <v>13888</v>
      </c>
      <c r="D4858">
        <v>1</v>
      </c>
      <c r="E4858" t="s">
        <v>13839</v>
      </c>
      <c r="F4858" t="s">
        <v>13840</v>
      </c>
      <c r="G4858" s="1"/>
      <c r="H4858" t="str">
        <f>"4012740011556"</f>
        <v>4012740011556</v>
      </c>
      <c r="J4858" t="s">
        <v>13889</v>
      </c>
    </row>
    <row r="4859" spans="1:10" x14ac:dyDescent="0.25">
      <c r="A4859" t="s">
        <v>8</v>
      </c>
      <c r="B4859" t="s">
        <v>13890</v>
      </c>
      <c r="C4859" t="s">
        <v>13891</v>
      </c>
      <c r="D4859">
        <v>1</v>
      </c>
      <c r="E4859" t="s">
        <v>13839</v>
      </c>
      <c r="F4859" t="s">
        <v>13840</v>
      </c>
      <c r="G4859" s="1"/>
      <c r="H4859" t="str">
        <f>"4012740011709"</f>
        <v>4012740011709</v>
      </c>
      <c r="J4859" t="s">
        <v>13892</v>
      </c>
    </row>
    <row r="4860" spans="1:10" x14ac:dyDescent="0.25">
      <c r="A4860" t="s">
        <v>8</v>
      </c>
      <c r="B4860" t="s">
        <v>13893</v>
      </c>
      <c r="C4860" t="s">
        <v>13894</v>
      </c>
      <c r="D4860">
        <v>1</v>
      </c>
      <c r="E4860" t="s">
        <v>13839</v>
      </c>
      <c r="F4860" t="s">
        <v>13840</v>
      </c>
      <c r="G4860" s="1"/>
      <c r="H4860" t="str">
        <f>"4012740011839"</f>
        <v>4012740011839</v>
      </c>
      <c r="J4860" t="s">
        <v>9871</v>
      </c>
    </row>
    <row r="4861" spans="1:10" x14ac:dyDescent="0.25">
      <c r="A4861" t="s">
        <v>8</v>
      </c>
      <c r="B4861" t="s">
        <v>13895</v>
      </c>
      <c r="C4861" t="s">
        <v>13896</v>
      </c>
      <c r="D4861">
        <v>1</v>
      </c>
      <c r="E4861" t="s">
        <v>13839</v>
      </c>
      <c r="F4861" t="s">
        <v>13840</v>
      </c>
      <c r="G4861" s="1"/>
      <c r="H4861" t="str">
        <f>"4012740011846"</f>
        <v>4012740011846</v>
      </c>
      <c r="J4861" t="s">
        <v>13897</v>
      </c>
    </row>
    <row r="4862" spans="1:10" x14ac:dyDescent="0.25">
      <c r="A4862" t="s">
        <v>8</v>
      </c>
      <c r="B4862" t="s">
        <v>13898</v>
      </c>
      <c r="C4862" t="s">
        <v>13899</v>
      </c>
      <c r="D4862">
        <v>1</v>
      </c>
      <c r="E4862" t="s">
        <v>13839</v>
      </c>
      <c r="F4862" t="s">
        <v>13840</v>
      </c>
      <c r="G4862" s="1"/>
      <c r="H4862" t="str">
        <f>"4012740011853"</f>
        <v>4012740011853</v>
      </c>
      <c r="J4862" t="s">
        <v>13900</v>
      </c>
    </row>
    <row r="4863" spans="1:10" x14ac:dyDescent="0.25">
      <c r="A4863" t="s">
        <v>8</v>
      </c>
      <c r="B4863" t="s">
        <v>13901</v>
      </c>
      <c r="C4863" t="s">
        <v>13902</v>
      </c>
      <c r="D4863">
        <v>1</v>
      </c>
      <c r="E4863" t="s">
        <v>13839</v>
      </c>
      <c r="F4863" t="s">
        <v>13840</v>
      </c>
      <c r="G4863" s="1"/>
      <c r="H4863" t="str">
        <f>"4012740011860"</f>
        <v>4012740011860</v>
      </c>
      <c r="J4863" t="s">
        <v>13903</v>
      </c>
    </row>
    <row r="4864" spans="1:10" x14ac:dyDescent="0.25">
      <c r="A4864" t="s">
        <v>8</v>
      </c>
      <c r="B4864" t="s">
        <v>13904</v>
      </c>
      <c r="C4864" t="s">
        <v>13905</v>
      </c>
      <c r="D4864">
        <v>1</v>
      </c>
      <c r="E4864" t="s">
        <v>13839</v>
      </c>
      <c r="F4864" t="s">
        <v>13840</v>
      </c>
      <c r="G4864" s="1"/>
      <c r="H4864" t="str">
        <f>"4012740011877"</f>
        <v>4012740011877</v>
      </c>
      <c r="J4864" t="s">
        <v>13900</v>
      </c>
    </row>
    <row r="4865" spans="1:10" x14ac:dyDescent="0.25">
      <c r="A4865" t="s">
        <v>8</v>
      </c>
      <c r="B4865" t="s">
        <v>13906</v>
      </c>
      <c r="C4865" t="s">
        <v>13907</v>
      </c>
      <c r="D4865">
        <v>1</v>
      </c>
      <c r="E4865" t="s">
        <v>13839</v>
      </c>
      <c r="F4865" t="s">
        <v>13840</v>
      </c>
      <c r="G4865" s="1"/>
      <c r="H4865" t="str">
        <f>"4012740011891"</f>
        <v>4012740011891</v>
      </c>
      <c r="J4865" t="s">
        <v>13908</v>
      </c>
    </row>
    <row r="4866" spans="1:10" x14ac:dyDescent="0.25">
      <c r="A4866" t="s">
        <v>8</v>
      </c>
      <c r="B4866" t="s">
        <v>13909</v>
      </c>
      <c r="C4866" t="s">
        <v>13910</v>
      </c>
      <c r="D4866">
        <v>1</v>
      </c>
      <c r="E4866" t="s">
        <v>13839</v>
      </c>
      <c r="F4866" t="s">
        <v>13840</v>
      </c>
      <c r="G4866" s="1"/>
      <c r="H4866" t="str">
        <f>"4012740011907"</f>
        <v>4012740011907</v>
      </c>
      <c r="J4866" t="s">
        <v>8970</v>
      </c>
    </row>
    <row r="4867" spans="1:10" x14ac:dyDescent="0.25">
      <c r="A4867" t="s">
        <v>8</v>
      </c>
      <c r="B4867" t="s">
        <v>13911</v>
      </c>
      <c r="C4867" t="s">
        <v>13912</v>
      </c>
      <c r="D4867">
        <v>1</v>
      </c>
      <c r="E4867" t="s">
        <v>13839</v>
      </c>
      <c r="F4867" t="s">
        <v>13840</v>
      </c>
      <c r="G4867" s="1"/>
      <c r="H4867" t="str">
        <f>"4012740011914"</f>
        <v>4012740011914</v>
      </c>
      <c r="J4867" t="s">
        <v>13913</v>
      </c>
    </row>
    <row r="4868" spans="1:10" x14ac:dyDescent="0.25">
      <c r="A4868" t="s">
        <v>8</v>
      </c>
      <c r="B4868" t="s">
        <v>13914</v>
      </c>
      <c r="C4868" t="s">
        <v>13915</v>
      </c>
      <c r="D4868">
        <v>1</v>
      </c>
      <c r="E4868" t="s">
        <v>13839</v>
      </c>
      <c r="F4868" t="s">
        <v>13840</v>
      </c>
      <c r="G4868" s="1"/>
      <c r="H4868" t="str">
        <f>"4012740011921"</f>
        <v>4012740011921</v>
      </c>
      <c r="J4868" t="s">
        <v>10786</v>
      </c>
    </row>
    <row r="4869" spans="1:10" x14ac:dyDescent="0.25">
      <c r="A4869" t="s">
        <v>8</v>
      </c>
      <c r="B4869" t="s">
        <v>13916</v>
      </c>
      <c r="C4869" t="s">
        <v>13917</v>
      </c>
      <c r="D4869">
        <v>1</v>
      </c>
      <c r="E4869" t="s">
        <v>13839</v>
      </c>
      <c r="F4869" t="s">
        <v>13840</v>
      </c>
      <c r="G4869" s="1"/>
      <c r="H4869" t="str">
        <f>"4012740011938"</f>
        <v>4012740011938</v>
      </c>
      <c r="J4869" t="s">
        <v>13918</v>
      </c>
    </row>
    <row r="4870" spans="1:10" x14ac:dyDescent="0.25">
      <c r="A4870" t="s">
        <v>8</v>
      </c>
      <c r="B4870" t="s">
        <v>13919</v>
      </c>
      <c r="C4870" t="s">
        <v>13920</v>
      </c>
      <c r="D4870">
        <v>1</v>
      </c>
      <c r="E4870" t="s">
        <v>13839</v>
      </c>
      <c r="F4870" t="s">
        <v>13840</v>
      </c>
      <c r="G4870" s="1"/>
      <c r="H4870" t="str">
        <f>"4012740011990"</f>
        <v>4012740011990</v>
      </c>
      <c r="J4870" t="s">
        <v>13921</v>
      </c>
    </row>
    <row r="4871" spans="1:10" x14ac:dyDescent="0.25">
      <c r="A4871" t="s">
        <v>8</v>
      </c>
      <c r="B4871" t="s">
        <v>13922</v>
      </c>
      <c r="C4871" t="s">
        <v>13923</v>
      </c>
      <c r="D4871">
        <v>1</v>
      </c>
      <c r="E4871" t="s">
        <v>13839</v>
      </c>
      <c r="F4871" t="s">
        <v>13840</v>
      </c>
      <c r="G4871" s="1"/>
      <c r="H4871" t="str">
        <f>"4012740021371"</f>
        <v>4012740021371</v>
      </c>
      <c r="J4871" t="s">
        <v>13924</v>
      </c>
    </row>
    <row r="4872" spans="1:10" x14ac:dyDescent="0.25">
      <c r="A4872" t="s">
        <v>8</v>
      </c>
      <c r="B4872" t="s">
        <v>13925</v>
      </c>
      <c r="C4872" t="s">
        <v>13926</v>
      </c>
      <c r="D4872">
        <v>1</v>
      </c>
      <c r="E4872" t="s">
        <v>13839</v>
      </c>
      <c r="F4872" t="s">
        <v>13840</v>
      </c>
      <c r="G4872" s="1"/>
      <c r="H4872" t="str">
        <f>"4012740012010"</f>
        <v>4012740012010</v>
      </c>
      <c r="J4872" t="s">
        <v>13924</v>
      </c>
    </row>
    <row r="4873" spans="1:10" x14ac:dyDescent="0.25">
      <c r="A4873" t="s">
        <v>8</v>
      </c>
      <c r="B4873" t="s">
        <v>13927</v>
      </c>
      <c r="C4873" t="s">
        <v>13928</v>
      </c>
      <c r="D4873">
        <v>1</v>
      </c>
      <c r="E4873" t="s">
        <v>13839</v>
      </c>
      <c r="F4873" t="s">
        <v>13840</v>
      </c>
      <c r="G4873" s="1"/>
      <c r="H4873" t="str">
        <f>"4012740021401"</f>
        <v>4012740021401</v>
      </c>
      <c r="J4873" t="s">
        <v>13929</v>
      </c>
    </row>
    <row r="4874" spans="1:10" x14ac:dyDescent="0.25">
      <c r="A4874" t="s">
        <v>8</v>
      </c>
      <c r="B4874" t="s">
        <v>13930</v>
      </c>
      <c r="C4874" t="s">
        <v>13931</v>
      </c>
      <c r="D4874">
        <v>1</v>
      </c>
      <c r="E4874" t="s">
        <v>13839</v>
      </c>
      <c r="F4874" t="s">
        <v>13840</v>
      </c>
      <c r="G4874" s="1"/>
      <c r="H4874" t="str">
        <f>"4012740012027"</f>
        <v>4012740012027</v>
      </c>
      <c r="J4874" t="s">
        <v>13929</v>
      </c>
    </row>
    <row r="4875" spans="1:10" x14ac:dyDescent="0.25">
      <c r="A4875" t="s">
        <v>8</v>
      </c>
      <c r="B4875" t="s">
        <v>13932</v>
      </c>
      <c r="C4875" t="s">
        <v>13933</v>
      </c>
      <c r="D4875">
        <v>1</v>
      </c>
      <c r="E4875" t="s">
        <v>13839</v>
      </c>
      <c r="F4875" t="s">
        <v>13840</v>
      </c>
      <c r="G4875" s="1"/>
      <c r="H4875" t="str">
        <f>"4012740021432"</f>
        <v>4012740021432</v>
      </c>
      <c r="J4875" t="s">
        <v>13934</v>
      </c>
    </row>
    <row r="4876" spans="1:10" x14ac:dyDescent="0.25">
      <c r="A4876" t="s">
        <v>8</v>
      </c>
      <c r="B4876" t="s">
        <v>13935</v>
      </c>
      <c r="C4876" t="s">
        <v>13936</v>
      </c>
      <c r="D4876">
        <v>1</v>
      </c>
      <c r="E4876" t="s">
        <v>13839</v>
      </c>
      <c r="F4876" t="s">
        <v>13840</v>
      </c>
      <c r="G4876" s="1"/>
      <c r="H4876" t="str">
        <f>"4012740012034"</f>
        <v>4012740012034</v>
      </c>
      <c r="J4876" t="s">
        <v>13937</v>
      </c>
    </row>
    <row r="4877" spans="1:10" x14ac:dyDescent="0.25">
      <c r="A4877" t="s">
        <v>8</v>
      </c>
      <c r="B4877" t="s">
        <v>13938</v>
      </c>
      <c r="C4877" t="s">
        <v>13939</v>
      </c>
      <c r="D4877">
        <v>1</v>
      </c>
      <c r="E4877" t="s">
        <v>13839</v>
      </c>
      <c r="F4877" t="s">
        <v>13840</v>
      </c>
      <c r="G4877" s="1"/>
      <c r="H4877" t="str">
        <f>"4012740021463"</f>
        <v>4012740021463</v>
      </c>
      <c r="J4877" t="s">
        <v>13940</v>
      </c>
    </row>
    <row r="4878" spans="1:10" x14ac:dyDescent="0.25">
      <c r="A4878" t="s">
        <v>8</v>
      </c>
      <c r="B4878" t="s">
        <v>13941</v>
      </c>
      <c r="C4878" t="s">
        <v>13942</v>
      </c>
      <c r="D4878">
        <v>1</v>
      </c>
      <c r="E4878" t="s">
        <v>13839</v>
      </c>
      <c r="F4878" t="s">
        <v>13840</v>
      </c>
      <c r="G4878" s="1"/>
      <c r="H4878" t="str">
        <f>"4012740012041"</f>
        <v>4012740012041</v>
      </c>
      <c r="J4878" t="s">
        <v>13940</v>
      </c>
    </row>
    <row r="4879" spans="1:10" x14ac:dyDescent="0.25">
      <c r="A4879" t="s">
        <v>8</v>
      </c>
      <c r="B4879" t="s">
        <v>13943</v>
      </c>
      <c r="C4879" t="s">
        <v>13944</v>
      </c>
      <c r="D4879">
        <v>1</v>
      </c>
      <c r="E4879" t="s">
        <v>13839</v>
      </c>
      <c r="F4879" t="s">
        <v>13840</v>
      </c>
      <c r="G4879" s="1"/>
      <c r="H4879" t="str">
        <f>"4012740021494"</f>
        <v>4012740021494</v>
      </c>
      <c r="J4879" t="s">
        <v>13945</v>
      </c>
    </row>
    <row r="4880" spans="1:10" x14ac:dyDescent="0.25">
      <c r="A4880" t="s">
        <v>8</v>
      </c>
      <c r="B4880" t="s">
        <v>13946</v>
      </c>
      <c r="C4880" t="s">
        <v>13947</v>
      </c>
      <c r="D4880">
        <v>1</v>
      </c>
      <c r="E4880" t="s">
        <v>13839</v>
      </c>
      <c r="F4880" t="s">
        <v>13840</v>
      </c>
      <c r="G4880" s="1"/>
      <c r="H4880" t="str">
        <f>"4012740012058"</f>
        <v>4012740012058</v>
      </c>
      <c r="J4880" t="s">
        <v>13945</v>
      </c>
    </row>
    <row r="4881" spans="1:10" x14ac:dyDescent="0.25">
      <c r="A4881" t="s">
        <v>8</v>
      </c>
      <c r="B4881" t="s">
        <v>13948</v>
      </c>
      <c r="C4881" t="s">
        <v>13949</v>
      </c>
      <c r="D4881">
        <v>1</v>
      </c>
      <c r="E4881" t="s">
        <v>13839</v>
      </c>
      <c r="F4881" t="s">
        <v>13840</v>
      </c>
      <c r="G4881" s="1"/>
      <c r="H4881" t="str">
        <f>"4012740021555"</f>
        <v>4012740021555</v>
      </c>
      <c r="J4881" t="s">
        <v>13950</v>
      </c>
    </row>
    <row r="4882" spans="1:10" x14ac:dyDescent="0.25">
      <c r="A4882" t="s">
        <v>8</v>
      </c>
      <c r="B4882" t="s">
        <v>13951</v>
      </c>
      <c r="C4882" t="s">
        <v>13952</v>
      </c>
      <c r="D4882">
        <v>1</v>
      </c>
      <c r="E4882" t="s">
        <v>13839</v>
      </c>
      <c r="F4882" t="s">
        <v>13840</v>
      </c>
      <c r="G4882" s="1"/>
      <c r="H4882" t="str">
        <f>"4012740012119"</f>
        <v>4012740012119</v>
      </c>
      <c r="J4882" t="s">
        <v>13950</v>
      </c>
    </row>
    <row r="4883" spans="1:10" x14ac:dyDescent="0.25">
      <c r="A4883" t="s">
        <v>8</v>
      </c>
      <c r="B4883" t="s">
        <v>13953</v>
      </c>
      <c r="C4883" t="s">
        <v>13954</v>
      </c>
      <c r="D4883">
        <v>1</v>
      </c>
      <c r="E4883" t="s">
        <v>13839</v>
      </c>
      <c r="F4883" t="s">
        <v>13840</v>
      </c>
      <c r="G4883" s="1"/>
      <c r="H4883" t="str">
        <f>"4012740021609"</f>
        <v>4012740021609</v>
      </c>
      <c r="J4883" t="s">
        <v>13955</v>
      </c>
    </row>
    <row r="4884" spans="1:10" x14ac:dyDescent="0.25">
      <c r="A4884" t="s">
        <v>8</v>
      </c>
      <c r="B4884" t="s">
        <v>13956</v>
      </c>
      <c r="C4884" t="s">
        <v>13957</v>
      </c>
      <c r="D4884">
        <v>1</v>
      </c>
      <c r="E4884" t="s">
        <v>13839</v>
      </c>
      <c r="F4884" t="s">
        <v>13840</v>
      </c>
      <c r="G4884" s="1"/>
      <c r="H4884" t="str">
        <f>"4012740012188"</f>
        <v>4012740012188</v>
      </c>
      <c r="J4884" t="s">
        <v>13958</v>
      </c>
    </row>
    <row r="4885" spans="1:10" x14ac:dyDescent="0.25">
      <c r="A4885" t="s">
        <v>8</v>
      </c>
      <c r="B4885" t="s">
        <v>13959</v>
      </c>
      <c r="C4885" t="s">
        <v>13960</v>
      </c>
      <c r="D4885">
        <v>1</v>
      </c>
      <c r="E4885" t="s">
        <v>13839</v>
      </c>
      <c r="F4885" t="s">
        <v>13840</v>
      </c>
      <c r="G4885" s="1"/>
      <c r="H4885" t="str">
        <f>"4012740012256"</f>
        <v>4012740012256</v>
      </c>
      <c r="J4885" t="s">
        <v>13961</v>
      </c>
    </row>
    <row r="4886" spans="1:10" x14ac:dyDescent="0.25">
      <c r="A4886" t="s">
        <v>8</v>
      </c>
      <c r="B4886" t="s">
        <v>13962</v>
      </c>
      <c r="C4886" t="s">
        <v>13963</v>
      </c>
      <c r="D4886">
        <v>1</v>
      </c>
      <c r="E4886" t="s">
        <v>13839</v>
      </c>
      <c r="F4886" t="s">
        <v>13840</v>
      </c>
      <c r="G4886" s="1"/>
      <c r="H4886" t="str">
        <f>"4012740021685"</f>
        <v>4012740021685</v>
      </c>
      <c r="J4886" t="s">
        <v>13964</v>
      </c>
    </row>
    <row r="4887" spans="1:10" x14ac:dyDescent="0.25">
      <c r="A4887" t="s">
        <v>8</v>
      </c>
      <c r="B4887" t="s">
        <v>13965</v>
      </c>
      <c r="C4887" t="s">
        <v>13966</v>
      </c>
      <c r="D4887">
        <v>1</v>
      </c>
      <c r="E4887" t="s">
        <v>13839</v>
      </c>
      <c r="F4887" t="s">
        <v>13840</v>
      </c>
      <c r="G4887" s="1"/>
      <c r="H4887" t="str">
        <f>"4012740012324"</f>
        <v>4012740012324</v>
      </c>
      <c r="J4887" t="s">
        <v>13964</v>
      </c>
    </row>
    <row r="4888" spans="1:10" x14ac:dyDescent="0.25">
      <c r="A4888" t="s">
        <v>8</v>
      </c>
      <c r="B4888" t="s">
        <v>13967</v>
      </c>
      <c r="C4888" t="s">
        <v>13968</v>
      </c>
      <c r="D4888">
        <v>1</v>
      </c>
      <c r="E4888" t="s">
        <v>13839</v>
      </c>
      <c r="F4888" t="s">
        <v>13840</v>
      </c>
      <c r="G4888" s="1"/>
      <c r="H4888" t="str">
        <f>"4012740021722"</f>
        <v>4012740021722</v>
      </c>
      <c r="J4888" t="s">
        <v>13969</v>
      </c>
    </row>
    <row r="4889" spans="1:10" x14ac:dyDescent="0.25">
      <c r="A4889" t="s">
        <v>8</v>
      </c>
      <c r="B4889" t="s">
        <v>13970</v>
      </c>
      <c r="C4889" t="s">
        <v>13971</v>
      </c>
      <c r="D4889">
        <v>1</v>
      </c>
      <c r="E4889" t="s">
        <v>13839</v>
      </c>
      <c r="F4889" t="s">
        <v>13840</v>
      </c>
      <c r="G4889" s="1"/>
      <c r="H4889" t="str">
        <f>"4012740012393"</f>
        <v>4012740012393</v>
      </c>
      <c r="J4889" t="s">
        <v>13969</v>
      </c>
    </row>
    <row r="4890" spans="1:10" x14ac:dyDescent="0.25">
      <c r="A4890" t="s">
        <v>8</v>
      </c>
      <c r="B4890" t="s">
        <v>13972</v>
      </c>
      <c r="C4890" t="s">
        <v>13973</v>
      </c>
      <c r="D4890">
        <v>1</v>
      </c>
      <c r="E4890" t="s">
        <v>13839</v>
      </c>
      <c r="F4890" t="s">
        <v>13840</v>
      </c>
      <c r="G4890" s="1"/>
      <c r="H4890" t="str">
        <f>"4012740012423"</f>
        <v>4012740012423</v>
      </c>
      <c r="J4890" t="s">
        <v>13974</v>
      </c>
    </row>
    <row r="4891" spans="1:10" x14ac:dyDescent="0.25">
      <c r="A4891" t="s">
        <v>8</v>
      </c>
      <c r="B4891" t="s">
        <v>13975</v>
      </c>
      <c r="C4891" t="s">
        <v>13976</v>
      </c>
      <c r="D4891">
        <v>1</v>
      </c>
      <c r="E4891" t="s">
        <v>13839</v>
      </c>
      <c r="F4891" t="s">
        <v>13840</v>
      </c>
      <c r="G4891" s="1"/>
      <c r="H4891" t="str">
        <f>"4012740012430"</f>
        <v>4012740012430</v>
      </c>
      <c r="J4891" t="s">
        <v>13977</v>
      </c>
    </row>
    <row r="4892" spans="1:10" x14ac:dyDescent="0.25">
      <c r="A4892" t="s">
        <v>8</v>
      </c>
      <c r="B4892" t="s">
        <v>13978</v>
      </c>
      <c r="C4892" t="s">
        <v>13979</v>
      </c>
      <c r="D4892">
        <v>1</v>
      </c>
      <c r="E4892" t="s">
        <v>13839</v>
      </c>
      <c r="F4892" t="s">
        <v>13840</v>
      </c>
      <c r="G4892" s="1"/>
      <c r="H4892" t="str">
        <f>"4012740012447"</f>
        <v>4012740012447</v>
      </c>
      <c r="J4892" t="s">
        <v>13980</v>
      </c>
    </row>
    <row r="4893" spans="1:10" x14ac:dyDescent="0.25">
      <c r="A4893" t="s">
        <v>8</v>
      </c>
      <c r="B4893" t="s">
        <v>13981</v>
      </c>
      <c r="C4893" t="s">
        <v>13982</v>
      </c>
      <c r="D4893">
        <v>1</v>
      </c>
      <c r="E4893" t="s">
        <v>13839</v>
      </c>
      <c r="F4893" t="s">
        <v>13840</v>
      </c>
      <c r="G4893" s="1"/>
      <c r="H4893" t="str">
        <f>"4012740012454"</f>
        <v>4012740012454</v>
      </c>
      <c r="J4893" t="s">
        <v>13983</v>
      </c>
    </row>
    <row r="4894" spans="1:10" x14ac:dyDescent="0.25">
      <c r="A4894" t="s">
        <v>8</v>
      </c>
      <c r="B4894" t="s">
        <v>13984</v>
      </c>
      <c r="C4894" t="s">
        <v>13985</v>
      </c>
      <c r="D4894">
        <v>1</v>
      </c>
      <c r="E4894" t="s">
        <v>13839</v>
      </c>
      <c r="F4894" t="s">
        <v>13840</v>
      </c>
      <c r="G4894" s="1"/>
      <c r="H4894" t="str">
        <f>"4012740021821"</f>
        <v>4012740021821</v>
      </c>
      <c r="J4894" t="s">
        <v>13986</v>
      </c>
    </row>
    <row r="4895" spans="1:10" x14ac:dyDescent="0.25">
      <c r="A4895" t="s">
        <v>8</v>
      </c>
      <c r="B4895" t="s">
        <v>13987</v>
      </c>
      <c r="C4895" t="s">
        <v>13988</v>
      </c>
      <c r="D4895">
        <v>1</v>
      </c>
      <c r="E4895" t="s">
        <v>13839</v>
      </c>
      <c r="F4895" t="s">
        <v>13840</v>
      </c>
      <c r="G4895" s="1"/>
      <c r="H4895" t="str">
        <f>"4012740012461"</f>
        <v>4012740012461</v>
      </c>
      <c r="J4895" t="s">
        <v>13986</v>
      </c>
    </row>
    <row r="4896" spans="1:10" x14ac:dyDescent="0.25">
      <c r="A4896" t="s">
        <v>8</v>
      </c>
      <c r="B4896" t="s">
        <v>13989</v>
      </c>
      <c r="C4896" t="s">
        <v>13990</v>
      </c>
      <c r="D4896">
        <v>1</v>
      </c>
      <c r="E4896" t="s">
        <v>13839</v>
      </c>
      <c r="F4896" t="s">
        <v>13840</v>
      </c>
      <c r="G4896" s="1"/>
      <c r="H4896" t="str">
        <f>"4012740021845"</f>
        <v>4012740021845</v>
      </c>
      <c r="J4896" t="s">
        <v>13991</v>
      </c>
    </row>
    <row r="4897" spans="1:10" x14ac:dyDescent="0.25">
      <c r="A4897" t="s">
        <v>8</v>
      </c>
      <c r="B4897" t="s">
        <v>13992</v>
      </c>
      <c r="C4897" t="s">
        <v>13993</v>
      </c>
      <c r="D4897">
        <v>1</v>
      </c>
      <c r="E4897" t="s">
        <v>13839</v>
      </c>
      <c r="F4897" t="s">
        <v>13840</v>
      </c>
      <c r="G4897" s="1"/>
      <c r="H4897" t="str">
        <f>"4012740012492"</f>
        <v>4012740012492</v>
      </c>
      <c r="J4897" t="s">
        <v>13991</v>
      </c>
    </row>
    <row r="4898" spans="1:10" x14ac:dyDescent="0.25">
      <c r="A4898" t="s">
        <v>8</v>
      </c>
      <c r="B4898" t="s">
        <v>13994</v>
      </c>
      <c r="C4898" t="s">
        <v>13995</v>
      </c>
      <c r="D4898">
        <v>1</v>
      </c>
      <c r="E4898" t="s">
        <v>13839</v>
      </c>
      <c r="F4898" t="s">
        <v>13840</v>
      </c>
      <c r="G4898" s="1"/>
      <c r="H4898" t="str">
        <f>"4012740021869"</f>
        <v>4012740021869</v>
      </c>
      <c r="J4898" t="s">
        <v>13996</v>
      </c>
    </row>
    <row r="4899" spans="1:10" x14ac:dyDescent="0.25">
      <c r="A4899" t="s">
        <v>8</v>
      </c>
      <c r="B4899" t="s">
        <v>13997</v>
      </c>
      <c r="C4899" t="s">
        <v>13998</v>
      </c>
      <c r="D4899">
        <v>1</v>
      </c>
      <c r="E4899" t="s">
        <v>13839</v>
      </c>
      <c r="F4899" t="s">
        <v>13840</v>
      </c>
      <c r="G4899" s="1"/>
      <c r="H4899" t="str">
        <f>"4012740012508"</f>
        <v>4012740012508</v>
      </c>
      <c r="J4899" t="s">
        <v>13996</v>
      </c>
    </row>
    <row r="4900" spans="1:10" x14ac:dyDescent="0.25">
      <c r="A4900" t="s">
        <v>8</v>
      </c>
      <c r="B4900" t="s">
        <v>13999</v>
      </c>
      <c r="C4900" t="s">
        <v>14000</v>
      </c>
      <c r="D4900">
        <v>1</v>
      </c>
      <c r="E4900" t="s">
        <v>13839</v>
      </c>
      <c r="F4900" t="s">
        <v>13840</v>
      </c>
      <c r="G4900" s="1"/>
      <c r="H4900" t="str">
        <f>"4012740021883"</f>
        <v>4012740021883</v>
      </c>
      <c r="J4900" t="s">
        <v>14001</v>
      </c>
    </row>
    <row r="4901" spans="1:10" x14ac:dyDescent="0.25">
      <c r="A4901" t="s">
        <v>8</v>
      </c>
      <c r="B4901" t="s">
        <v>14002</v>
      </c>
      <c r="C4901" t="s">
        <v>14003</v>
      </c>
      <c r="D4901">
        <v>1</v>
      </c>
      <c r="E4901" t="s">
        <v>13839</v>
      </c>
      <c r="F4901" t="s">
        <v>13840</v>
      </c>
      <c r="G4901" s="1"/>
      <c r="H4901" t="str">
        <f>"4012740012515"</f>
        <v>4012740012515</v>
      </c>
      <c r="J4901" t="s">
        <v>14001</v>
      </c>
    </row>
    <row r="4902" spans="1:10" x14ac:dyDescent="0.25">
      <c r="A4902" t="s">
        <v>8</v>
      </c>
      <c r="B4902" t="s">
        <v>14004</v>
      </c>
      <c r="C4902" t="s">
        <v>14005</v>
      </c>
      <c r="D4902">
        <v>1</v>
      </c>
      <c r="E4902" t="s">
        <v>13839</v>
      </c>
      <c r="F4902" t="s">
        <v>13840</v>
      </c>
      <c r="G4902" s="1"/>
      <c r="H4902" t="str">
        <f>"4012740021906"</f>
        <v>4012740021906</v>
      </c>
      <c r="J4902" t="s">
        <v>14006</v>
      </c>
    </row>
    <row r="4903" spans="1:10" x14ac:dyDescent="0.25">
      <c r="A4903" t="s">
        <v>8</v>
      </c>
      <c r="B4903" t="s">
        <v>14007</v>
      </c>
      <c r="C4903" t="s">
        <v>14008</v>
      </c>
      <c r="D4903">
        <v>1</v>
      </c>
      <c r="E4903" t="s">
        <v>13839</v>
      </c>
      <c r="F4903" t="s">
        <v>13840</v>
      </c>
      <c r="G4903" s="1"/>
      <c r="H4903" t="str">
        <f>"4012740012522"</f>
        <v>4012740012522</v>
      </c>
      <c r="J4903" t="s">
        <v>14006</v>
      </c>
    </row>
    <row r="4904" spans="1:10" x14ac:dyDescent="0.25">
      <c r="A4904" t="s">
        <v>8</v>
      </c>
      <c r="B4904" t="s">
        <v>14009</v>
      </c>
      <c r="C4904" t="s">
        <v>14010</v>
      </c>
      <c r="D4904">
        <v>1</v>
      </c>
      <c r="E4904" t="s">
        <v>13839</v>
      </c>
      <c r="F4904" t="s">
        <v>13840</v>
      </c>
      <c r="G4904" s="1"/>
      <c r="H4904" t="str">
        <f>"4012740021920"</f>
        <v>4012740021920</v>
      </c>
      <c r="J4904" t="s">
        <v>14011</v>
      </c>
    </row>
    <row r="4905" spans="1:10" x14ac:dyDescent="0.25">
      <c r="A4905" t="s">
        <v>8</v>
      </c>
      <c r="B4905" t="s">
        <v>14012</v>
      </c>
      <c r="C4905" t="s">
        <v>14013</v>
      </c>
      <c r="D4905">
        <v>1</v>
      </c>
      <c r="E4905" t="s">
        <v>13839</v>
      </c>
      <c r="F4905" t="s">
        <v>13840</v>
      </c>
      <c r="G4905" s="1"/>
      <c r="H4905" t="str">
        <f>"4012740012539"</f>
        <v>4012740012539</v>
      </c>
      <c r="J4905" t="s">
        <v>14011</v>
      </c>
    </row>
    <row r="4906" spans="1:10" x14ac:dyDescent="0.25">
      <c r="A4906" t="s">
        <v>8</v>
      </c>
      <c r="B4906" t="s">
        <v>14014</v>
      </c>
      <c r="C4906" t="s">
        <v>14015</v>
      </c>
      <c r="D4906">
        <v>1</v>
      </c>
      <c r="E4906" t="s">
        <v>13839</v>
      </c>
      <c r="F4906" t="s">
        <v>13840</v>
      </c>
      <c r="G4906" s="1"/>
      <c r="H4906" t="str">
        <f>"4012740012560"</f>
        <v>4012740012560</v>
      </c>
      <c r="J4906" t="s">
        <v>14016</v>
      </c>
    </row>
    <row r="4907" spans="1:10" x14ac:dyDescent="0.25">
      <c r="A4907" t="s">
        <v>8</v>
      </c>
      <c r="B4907" t="s">
        <v>14017</v>
      </c>
      <c r="C4907" t="s">
        <v>14018</v>
      </c>
      <c r="D4907">
        <v>1</v>
      </c>
      <c r="E4907" t="s">
        <v>13839</v>
      </c>
      <c r="F4907" t="s">
        <v>13840</v>
      </c>
      <c r="G4907" s="1"/>
      <c r="H4907" t="str">
        <f>"4012740012577"</f>
        <v>4012740012577</v>
      </c>
      <c r="J4907" t="s">
        <v>14019</v>
      </c>
    </row>
    <row r="4908" spans="1:10" x14ac:dyDescent="0.25">
      <c r="A4908" t="s">
        <v>8</v>
      </c>
      <c r="B4908" t="s">
        <v>14020</v>
      </c>
      <c r="C4908" t="s">
        <v>14021</v>
      </c>
      <c r="D4908">
        <v>1</v>
      </c>
      <c r="E4908" t="s">
        <v>13839</v>
      </c>
      <c r="F4908" t="s">
        <v>13840</v>
      </c>
      <c r="G4908" s="1"/>
      <c r="H4908" t="str">
        <f>"4012740012584"</f>
        <v>4012740012584</v>
      </c>
      <c r="J4908" t="s">
        <v>14022</v>
      </c>
    </row>
    <row r="4909" spans="1:10" x14ac:dyDescent="0.25">
      <c r="A4909" t="s">
        <v>8</v>
      </c>
      <c r="B4909" t="s">
        <v>14023</v>
      </c>
      <c r="C4909" t="s">
        <v>14024</v>
      </c>
      <c r="D4909">
        <v>1</v>
      </c>
      <c r="E4909" t="s">
        <v>13839</v>
      </c>
      <c r="F4909" t="s">
        <v>13840</v>
      </c>
      <c r="G4909" s="1"/>
      <c r="H4909" t="str">
        <f>"4012740012591"</f>
        <v>4012740012591</v>
      </c>
      <c r="J4909" t="s">
        <v>14025</v>
      </c>
    </row>
    <row r="4910" spans="1:10" x14ac:dyDescent="0.25">
      <c r="A4910" t="s">
        <v>8</v>
      </c>
      <c r="B4910" t="s">
        <v>14026</v>
      </c>
      <c r="C4910" t="s">
        <v>14027</v>
      </c>
      <c r="D4910">
        <v>1</v>
      </c>
      <c r="E4910" t="s">
        <v>13839</v>
      </c>
      <c r="F4910" t="s">
        <v>13840</v>
      </c>
      <c r="G4910" s="1"/>
      <c r="H4910" t="str">
        <f>"4012740012607"</f>
        <v>4012740012607</v>
      </c>
      <c r="J4910" t="s">
        <v>14028</v>
      </c>
    </row>
    <row r="4911" spans="1:10" x14ac:dyDescent="0.25">
      <c r="A4911" t="s">
        <v>8</v>
      </c>
      <c r="B4911" t="s">
        <v>14029</v>
      </c>
      <c r="C4911" t="s">
        <v>14030</v>
      </c>
      <c r="D4911">
        <v>1</v>
      </c>
      <c r="E4911" t="s">
        <v>13839</v>
      </c>
      <c r="F4911" t="s">
        <v>13840</v>
      </c>
      <c r="G4911" s="1"/>
      <c r="H4911" t="str">
        <f>"4012740012638"</f>
        <v>4012740012638</v>
      </c>
      <c r="J4911" t="s">
        <v>14031</v>
      </c>
    </row>
    <row r="4912" spans="1:10" x14ac:dyDescent="0.25">
      <c r="A4912" t="s">
        <v>8</v>
      </c>
      <c r="B4912" t="s">
        <v>14032</v>
      </c>
      <c r="C4912" t="s">
        <v>14033</v>
      </c>
      <c r="D4912">
        <v>1</v>
      </c>
      <c r="E4912" t="s">
        <v>13839</v>
      </c>
      <c r="F4912" t="s">
        <v>13840</v>
      </c>
      <c r="G4912" s="1"/>
      <c r="H4912" t="str">
        <f>"4012740012645"</f>
        <v>4012740012645</v>
      </c>
      <c r="J4912" t="s">
        <v>14034</v>
      </c>
    </row>
    <row r="4913" spans="1:10" x14ac:dyDescent="0.25">
      <c r="A4913" t="s">
        <v>8</v>
      </c>
      <c r="B4913" t="s">
        <v>14035</v>
      </c>
      <c r="C4913" t="s">
        <v>14036</v>
      </c>
      <c r="D4913">
        <v>1</v>
      </c>
      <c r="E4913" t="s">
        <v>13839</v>
      </c>
      <c r="F4913" t="s">
        <v>13840</v>
      </c>
      <c r="G4913" s="1"/>
      <c r="H4913" t="str">
        <f>"4012740012652"</f>
        <v>4012740012652</v>
      </c>
      <c r="J4913" t="s">
        <v>14037</v>
      </c>
    </row>
    <row r="4914" spans="1:10" x14ac:dyDescent="0.25">
      <c r="A4914" t="s">
        <v>8</v>
      </c>
      <c r="B4914" t="s">
        <v>14038</v>
      </c>
      <c r="C4914" t="s">
        <v>14039</v>
      </c>
      <c r="D4914">
        <v>1</v>
      </c>
      <c r="E4914" t="s">
        <v>13839</v>
      </c>
      <c r="F4914" t="s">
        <v>13840</v>
      </c>
      <c r="G4914" s="1"/>
      <c r="H4914" t="str">
        <f>"4012740012669"</f>
        <v>4012740012669</v>
      </c>
      <c r="J4914" t="s">
        <v>14040</v>
      </c>
    </row>
    <row r="4915" spans="1:10" x14ac:dyDescent="0.25">
      <c r="A4915" t="s">
        <v>8</v>
      </c>
      <c r="B4915" t="s">
        <v>14041</v>
      </c>
      <c r="C4915" t="s">
        <v>14042</v>
      </c>
      <c r="D4915">
        <v>1</v>
      </c>
      <c r="E4915" t="s">
        <v>13839</v>
      </c>
      <c r="F4915" t="s">
        <v>13840</v>
      </c>
      <c r="G4915" s="1"/>
      <c r="H4915" t="str">
        <f>"4012740012676"</f>
        <v>4012740012676</v>
      </c>
      <c r="J4915" t="s">
        <v>14043</v>
      </c>
    </row>
    <row r="4916" spans="1:10" x14ac:dyDescent="0.25">
      <c r="A4916" t="s">
        <v>8</v>
      </c>
      <c r="B4916" t="s">
        <v>14044</v>
      </c>
      <c r="C4916" t="s">
        <v>14045</v>
      </c>
      <c r="D4916">
        <v>1</v>
      </c>
      <c r="E4916" t="s">
        <v>13839</v>
      </c>
      <c r="F4916" t="s">
        <v>13840</v>
      </c>
      <c r="G4916" s="1"/>
      <c r="H4916" t="str">
        <f>"4012740012935"</f>
        <v>4012740012935</v>
      </c>
      <c r="J4916" t="s">
        <v>14046</v>
      </c>
    </row>
    <row r="4917" spans="1:10" x14ac:dyDescent="0.25">
      <c r="A4917" t="s">
        <v>8</v>
      </c>
      <c r="B4917" t="s">
        <v>14047</v>
      </c>
      <c r="C4917" t="s">
        <v>14048</v>
      </c>
      <c r="D4917">
        <v>1</v>
      </c>
      <c r="E4917" t="s">
        <v>13839</v>
      </c>
      <c r="F4917" t="s">
        <v>13840</v>
      </c>
      <c r="G4917" s="1"/>
      <c r="H4917" t="str">
        <f>"4012740012942"</f>
        <v>4012740012942</v>
      </c>
      <c r="J4917" t="s">
        <v>14049</v>
      </c>
    </row>
    <row r="4918" spans="1:10" x14ac:dyDescent="0.25">
      <c r="A4918" t="s">
        <v>8</v>
      </c>
      <c r="B4918" t="s">
        <v>14050</v>
      </c>
      <c r="C4918" t="s">
        <v>14051</v>
      </c>
      <c r="D4918">
        <v>1</v>
      </c>
      <c r="E4918" t="s">
        <v>13839</v>
      </c>
      <c r="F4918" t="s">
        <v>13840</v>
      </c>
      <c r="G4918" s="1"/>
      <c r="H4918" t="str">
        <f>"4012740012959"</f>
        <v>4012740012959</v>
      </c>
      <c r="J4918" t="s">
        <v>14052</v>
      </c>
    </row>
    <row r="4919" spans="1:10" x14ac:dyDescent="0.25">
      <c r="A4919" t="s">
        <v>8</v>
      </c>
      <c r="B4919" t="s">
        <v>14053</v>
      </c>
      <c r="C4919" t="s">
        <v>14054</v>
      </c>
      <c r="D4919">
        <v>1</v>
      </c>
      <c r="E4919" t="s">
        <v>13839</v>
      </c>
      <c r="F4919" t="s">
        <v>13840</v>
      </c>
      <c r="G4919" s="1"/>
      <c r="H4919" t="str">
        <f>"4012740012973"</f>
        <v>4012740012973</v>
      </c>
      <c r="I4919" s="1"/>
      <c r="J4919" t="s">
        <v>13431</v>
      </c>
    </row>
    <row r="4920" spans="1:10" x14ac:dyDescent="0.25">
      <c r="A4920" t="s">
        <v>8</v>
      </c>
      <c r="B4920" t="s">
        <v>14055</v>
      </c>
      <c r="C4920" t="s">
        <v>14056</v>
      </c>
      <c r="D4920">
        <v>1</v>
      </c>
      <c r="E4920" t="s">
        <v>13839</v>
      </c>
      <c r="F4920" t="s">
        <v>13840</v>
      </c>
      <c r="G4920" s="1"/>
      <c r="H4920" t="str">
        <f>"4012740012980"</f>
        <v>4012740012980</v>
      </c>
      <c r="J4920" t="s">
        <v>14057</v>
      </c>
    </row>
    <row r="4921" spans="1:10" x14ac:dyDescent="0.25">
      <c r="A4921" t="s">
        <v>8</v>
      </c>
      <c r="B4921" t="s">
        <v>14058</v>
      </c>
      <c r="C4921" t="s">
        <v>14059</v>
      </c>
      <c r="D4921">
        <v>1</v>
      </c>
      <c r="E4921" t="s">
        <v>13839</v>
      </c>
      <c r="F4921" t="s">
        <v>13840</v>
      </c>
      <c r="G4921" s="1"/>
      <c r="H4921" t="str">
        <f>"4012740012997"</f>
        <v>4012740012997</v>
      </c>
      <c r="J4921" t="s">
        <v>14060</v>
      </c>
    </row>
    <row r="4922" spans="1:10" x14ac:dyDescent="0.25">
      <c r="A4922" t="s">
        <v>8</v>
      </c>
      <c r="B4922" t="s">
        <v>14061</v>
      </c>
      <c r="C4922" t="s">
        <v>14062</v>
      </c>
      <c r="D4922">
        <v>1</v>
      </c>
      <c r="E4922" t="s">
        <v>13839</v>
      </c>
      <c r="F4922" t="s">
        <v>13840</v>
      </c>
      <c r="G4922" s="1"/>
      <c r="H4922" t="str">
        <f>"4012740013000"</f>
        <v>4012740013000</v>
      </c>
      <c r="J4922" t="s">
        <v>14063</v>
      </c>
    </row>
    <row r="4923" spans="1:10" x14ac:dyDescent="0.25">
      <c r="A4923" t="s">
        <v>8</v>
      </c>
      <c r="B4923" t="s">
        <v>14064</v>
      </c>
      <c r="C4923" t="s">
        <v>14065</v>
      </c>
      <c r="D4923">
        <v>1</v>
      </c>
      <c r="E4923" t="s">
        <v>13839</v>
      </c>
      <c r="F4923" t="s">
        <v>13840</v>
      </c>
      <c r="G4923" s="1"/>
      <c r="H4923" t="str">
        <f>"4012740013017"</f>
        <v>4012740013017</v>
      </c>
      <c r="J4923" t="s">
        <v>14066</v>
      </c>
    </row>
    <row r="4924" spans="1:10" x14ac:dyDescent="0.25">
      <c r="A4924" t="s">
        <v>8</v>
      </c>
      <c r="B4924" t="s">
        <v>14067</v>
      </c>
      <c r="C4924" t="s">
        <v>14068</v>
      </c>
      <c r="D4924">
        <v>1</v>
      </c>
      <c r="E4924" t="s">
        <v>13839</v>
      </c>
      <c r="F4924" t="s">
        <v>13840</v>
      </c>
      <c r="G4924" s="1"/>
      <c r="H4924" t="str">
        <f>"4012740013024"</f>
        <v>4012740013024</v>
      </c>
      <c r="J4924" t="s">
        <v>14069</v>
      </c>
    </row>
    <row r="4925" spans="1:10" x14ac:dyDescent="0.25">
      <c r="A4925" t="s">
        <v>8</v>
      </c>
      <c r="B4925" t="s">
        <v>14070</v>
      </c>
      <c r="C4925" t="s">
        <v>14071</v>
      </c>
      <c r="D4925">
        <v>1</v>
      </c>
      <c r="E4925" t="s">
        <v>13839</v>
      </c>
      <c r="F4925" t="s">
        <v>13840</v>
      </c>
      <c r="G4925" s="1"/>
      <c r="H4925" t="str">
        <f>"4012740013079"</f>
        <v>4012740013079</v>
      </c>
      <c r="J4925" t="s">
        <v>14072</v>
      </c>
    </row>
    <row r="4926" spans="1:10" x14ac:dyDescent="0.25">
      <c r="A4926" t="s">
        <v>8</v>
      </c>
      <c r="B4926" t="s">
        <v>14073</v>
      </c>
      <c r="C4926" t="s">
        <v>14074</v>
      </c>
      <c r="D4926">
        <v>1</v>
      </c>
      <c r="E4926" t="s">
        <v>13839</v>
      </c>
      <c r="F4926" t="s">
        <v>13840</v>
      </c>
      <c r="G4926" s="1"/>
      <c r="H4926" t="str">
        <f>"4012740013086"</f>
        <v>4012740013086</v>
      </c>
      <c r="J4926" t="s">
        <v>14075</v>
      </c>
    </row>
    <row r="4927" spans="1:10" x14ac:dyDescent="0.25">
      <c r="A4927" t="s">
        <v>8</v>
      </c>
      <c r="B4927" t="s">
        <v>14076</v>
      </c>
      <c r="C4927" t="s">
        <v>14077</v>
      </c>
      <c r="D4927">
        <v>1</v>
      </c>
      <c r="E4927" t="s">
        <v>13839</v>
      </c>
      <c r="F4927" t="s">
        <v>13840</v>
      </c>
      <c r="G4927" s="1"/>
      <c r="H4927" t="str">
        <f>"4012740013093"</f>
        <v>4012740013093</v>
      </c>
      <c r="J4927" t="s">
        <v>12775</v>
      </c>
    </row>
    <row r="4928" spans="1:10" x14ac:dyDescent="0.25">
      <c r="A4928" t="s">
        <v>8</v>
      </c>
      <c r="B4928" t="s">
        <v>14078</v>
      </c>
      <c r="C4928" t="s">
        <v>14079</v>
      </c>
      <c r="D4928">
        <v>1</v>
      </c>
      <c r="E4928" t="s">
        <v>13839</v>
      </c>
      <c r="F4928" t="s">
        <v>13840</v>
      </c>
      <c r="G4928" s="1"/>
      <c r="H4928" t="str">
        <f>"4012740013123"</f>
        <v>4012740013123</v>
      </c>
      <c r="J4928" t="s">
        <v>14080</v>
      </c>
    </row>
    <row r="4929" spans="1:10" x14ac:dyDescent="0.25">
      <c r="A4929" t="s">
        <v>8</v>
      </c>
      <c r="B4929" t="s">
        <v>14081</v>
      </c>
      <c r="C4929" t="s">
        <v>14082</v>
      </c>
      <c r="D4929">
        <v>1</v>
      </c>
      <c r="E4929" t="s">
        <v>13839</v>
      </c>
      <c r="F4929" t="s">
        <v>13840</v>
      </c>
      <c r="G4929" s="1"/>
      <c r="H4929" t="str">
        <f>"4012740013130"</f>
        <v>4012740013130</v>
      </c>
      <c r="J4929" t="s">
        <v>14083</v>
      </c>
    </row>
    <row r="4930" spans="1:10" x14ac:dyDescent="0.25">
      <c r="A4930" t="s">
        <v>8</v>
      </c>
      <c r="B4930" t="s">
        <v>14084</v>
      </c>
      <c r="C4930" t="s">
        <v>14085</v>
      </c>
      <c r="D4930">
        <v>1</v>
      </c>
      <c r="E4930" t="s">
        <v>13839</v>
      </c>
      <c r="F4930" t="s">
        <v>13840</v>
      </c>
      <c r="G4930" s="1"/>
      <c r="H4930" t="str">
        <f>"4012740013147"</f>
        <v>4012740013147</v>
      </c>
      <c r="J4930" t="s">
        <v>14086</v>
      </c>
    </row>
    <row r="4931" spans="1:10" x14ac:dyDescent="0.25">
      <c r="A4931" t="s">
        <v>8</v>
      </c>
      <c r="B4931" t="s">
        <v>14087</v>
      </c>
      <c r="C4931" t="s">
        <v>14088</v>
      </c>
      <c r="D4931">
        <v>1</v>
      </c>
      <c r="E4931" t="s">
        <v>13839</v>
      </c>
      <c r="F4931" t="s">
        <v>13840</v>
      </c>
      <c r="G4931" s="1"/>
      <c r="H4931" t="str">
        <f>"4012740013178"</f>
        <v>4012740013178</v>
      </c>
      <c r="J4931" t="s">
        <v>14089</v>
      </c>
    </row>
    <row r="4932" spans="1:10" x14ac:dyDescent="0.25">
      <c r="A4932" t="s">
        <v>8</v>
      </c>
      <c r="B4932" t="s">
        <v>14090</v>
      </c>
      <c r="C4932" t="s">
        <v>14091</v>
      </c>
      <c r="D4932">
        <v>1</v>
      </c>
      <c r="E4932" t="s">
        <v>13839</v>
      </c>
      <c r="F4932" t="s">
        <v>13840</v>
      </c>
      <c r="G4932" s="1"/>
      <c r="H4932" t="str">
        <f>"4012740013185"</f>
        <v>4012740013185</v>
      </c>
      <c r="J4932" t="s">
        <v>13752</v>
      </c>
    </row>
    <row r="4933" spans="1:10" x14ac:dyDescent="0.25">
      <c r="A4933" t="s">
        <v>8</v>
      </c>
      <c r="B4933" t="s">
        <v>14092</v>
      </c>
      <c r="C4933" t="s">
        <v>14093</v>
      </c>
      <c r="D4933">
        <v>1</v>
      </c>
      <c r="E4933" t="s">
        <v>13839</v>
      </c>
      <c r="F4933" t="s">
        <v>13840</v>
      </c>
      <c r="G4933" s="1"/>
      <c r="H4933" t="str">
        <f>"4012740013192"</f>
        <v>4012740013192</v>
      </c>
      <c r="J4933" t="s">
        <v>14094</v>
      </c>
    </row>
    <row r="4934" spans="1:10" x14ac:dyDescent="0.25">
      <c r="A4934" t="s">
        <v>8</v>
      </c>
      <c r="B4934" t="s">
        <v>14095</v>
      </c>
      <c r="C4934" t="s">
        <v>14096</v>
      </c>
      <c r="D4934">
        <v>1</v>
      </c>
      <c r="E4934" t="s">
        <v>13839</v>
      </c>
      <c r="F4934" t="s">
        <v>13840</v>
      </c>
      <c r="G4934" s="1"/>
      <c r="H4934" t="str">
        <f>"4012740013222"</f>
        <v>4012740013222</v>
      </c>
      <c r="J4934" t="s">
        <v>14097</v>
      </c>
    </row>
    <row r="4935" spans="1:10" x14ac:dyDescent="0.25">
      <c r="A4935" t="s">
        <v>8</v>
      </c>
      <c r="B4935" t="s">
        <v>14098</v>
      </c>
      <c r="C4935" t="s">
        <v>14099</v>
      </c>
      <c r="D4935">
        <v>1</v>
      </c>
      <c r="E4935" t="s">
        <v>13839</v>
      </c>
      <c r="F4935" t="s">
        <v>13840</v>
      </c>
      <c r="G4935" s="1"/>
      <c r="H4935" t="str">
        <f>"4012740013239"</f>
        <v>4012740013239</v>
      </c>
      <c r="J4935" t="s">
        <v>14100</v>
      </c>
    </row>
    <row r="4936" spans="1:10" x14ac:dyDescent="0.25">
      <c r="A4936" t="s">
        <v>8</v>
      </c>
      <c r="B4936" t="s">
        <v>14101</v>
      </c>
      <c r="C4936" t="s">
        <v>14102</v>
      </c>
      <c r="D4936">
        <v>1</v>
      </c>
      <c r="E4936" t="s">
        <v>13839</v>
      </c>
      <c r="F4936" t="s">
        <v>13840</v>
      </c>
      <c r="G4936" s="1"/>
      <c r="H4936" t="str">
        <f>"4012740013246"</f>
        <v>4012740013246</v>
      </c>
      <c r="J4936" t="s">
        <v>14103</v>
      </c>
    </row>
    <row r="4937" spans="1:10" x14ac:dyDescent="0.25">
      <c r="A4937" t="s">
        <v>8</v>
      </c>
      <c r="B4937" t="s">
        <v>14104</v>
      </c>
      <c r="C4937" t="s">
        <v>14105</v>
      </c>
      <c r="D4937">
        <v>1</v>
      </c>
      <c r="E4937" t="s">
        <v>13839</v>
      </c>
      <c r="F4937" t="s">
        <v>13840</v>
      </c>
      <c r="G4937" s="1"/>
      <c r="H4937" t="str">
        <f>"4012740013260"</f>
        <v>4012740013260</v>
      </c>
      <c r="J4937" t="s">
        <v>14106</v>
      </c>
    </row>
    <row r="4938" spans="1:10" x14ac:dyDescent="0.25">
      <c r="A4938" t="s">
        <v>8</v>
      </c>
      <c r="B4938" t="s">
        <v>14107</v>
      </c>
      <c r="C4938" t="s">
        <v>14108</v>
      </c>
      <c r="D4938">
        <v>1</v>
      </c>
      <c r="E4938" t="s">
        <v>13839</v>
      </c>
      <c r="F4938" t="s">
        <v>13840</v>
      </c>
      <c r="G4938" s="1"/>
      <c r="H4938" t="str">
        <f>"4012740013277"</f>
        <v>4012740013277</v>
      </c>
      <c r="J4938" t="s">
        <v>13950</v>
      </c>
    </row>
    <row r="4939" spans="1:10" x14ac:dyDescent="0.25">
      <c r="A4939" t="s">
        <v>8</v>
      </c>
      <c r="B4939" t="s">
        <v>14109</v>
      </c>
      <c r="C4939" t="s">
        <v>14110</v>
      </c>
      <c r="D4939">
        <v>1</v>
      </c>
      <c r="E4939" t="s">
        <v>13839</v>
      </c>
      <c r="F4939" t="s">
        <v>13840</v>
      </c>
      <c r="G4939" s="1"/>
      <c r="H4939" t="str">
        <f>"4012740013284"</f>
        <v>4012740013284</v>
      </c>
      <c r="J4939" t="s">
        <v>14111</v>
      </c>
    </row>
    <row r="4940" spans="1:10" x14ac:dyDescent="0.25">
      <c r="A4940" t="s">
        <v>8</v>
      </c>
      <c r="B4940" t="s">
        <v>14112</v>
      </c>
      <c r="C4940" t="s">
        <v>14113</v>
      </c>
      <c r="D4940">
        <v>1</v>
      </c>
      <c r="E4940" t="s">
        <v>13839</v>
      </c>
      <c r="F4940" t="s">
        <v>13840</v>
      </c>
      <c r="G4940" s="1"/>
      <c r="H4940" t="str">
        <f>"4012740013291"</f>
        <v>4012740013291</v>
      </c>
      <c r="J4940" t="s">
        <v>14114</v>
      </c>
    </row>
    <row r="4941" spans="1:10" x14ac:dyDescent="0.25">
      <c r="A4941" t="s">
        <v>8</v>
      </c>
      <c r="B4941" t="s">
        <v>14115</v>
      </c>
      <c r="C4941" t="s">
        <v>14116</v>
      </c>
      <c r="D4941">
        <v>1</v>
      </c>
      <c r="E4941" t="s">
        <v>13839</v>
      </c>
      <c r="F4941" t="s">
        <v>13840</v>
      </c>
      <c r="G4941" s="1"/>
      <c r="H4941" t="str">
        <f>"4012740013321"</f>
        <v>4012740013321</v>
      </c>
      <c r="J4941" t="s">
        <v>14117</v>
      </c>
    </row>
    <row r="4942" spans="1:10" x14ac:dyDescent="0.25">
      <c r="A4942" t="s">
        <v>8</v>
      </c>
      <c r="B4942" t="s">
        <v>14118</v>
      </c>
      <c r="C4942" t="s">
        <v>14119</v>
      </c>
      <c r="D4942">
        <v>1</v>
      </c>
      <c r="E4942" t="s">
        <v>13839</v>
      </c>
      <c r="F4942" t="s">
        <v>13840</v>
      </c>
      <c r="G4942" s="1"/>
      <c r="H4942" t="str">
        <f>"4012740013338"</f>
        <v>4012740013338</v>
      </c>
      <c r="J4942" t="s">
        <v>14120</v>
      </c>
    </row>
    <row r="4943" spans="1:10" x14ac:dyDescent="0.25">
      <c r="A4943" t="s">
        <v>8</v>
      </c>
      <c r="B4943" t="s">
        <v>14121</v>
      </c>
      <c r="C4943" t="s">
        <v>14122</v>
      </c>
      <c r="D4943">
        <v>1</v>
      </c>
      <c r="E4943" t="s">
        <v>13839</v>
      </c>
      <c r="F4943" t="s">
        <v>13840</v>
      </c>
      <c r="G4943" s="1"/>
      <c r="H4943" t="str">
        <f>"4012740013345"</f>
        <v>4012740013345</v>
      </c>
      <c r="J4943" t="s">
        <v>14123</v>
      </c>
    </row>
    <row r="4944" spans="1:10" x14ac:dyDescent="0.25">
      <c r="A4944" t="s">
        <v>8</v>
      </c>
      <c r="B4944" t="s">
        <v>14124</v>
      </c>
      <c r="C4944" t="s">
        <v>14125</v>
      </c>
      <c r="D4944">
        <v>1</v>
      </c>
      <c r="E4944" t="s">
        <v>13839</v>
      </c>
      <c r="F4944" t="s">
        <v>13840</v>
      </c>
      <c r="G4944" s="1"/>
      <c r="H4944" t="str">
        <f>"4012740013352"</f>
        <v>4012740013352</v>
      </c>
      <c r="J4944" t="s">
        <v>14126</v>
      </c>
    </row>
    <row r="4945" spans="1:10" x14ac:dyDescent="0.25">
      <c r="A4945" t="s">
        <v>8</v>
      </c>
      <c r="B4945" t="s">
        <v>14127</v>
      </c>
      <c r="C4945" t="s">
        <v>14128</v>
      </c>
      <c r="D4945">
        <v>1</v>
      </c>
      <c r="E4945" t="s">
        <v>13839</v>
      </c>
      <c r="F4945" t="s">
        <v>13840</v>
      </c>
      <c r="G4945" s="1"/>
      <c r="H4945" t="str">
        <f>"4012740013383"</f>
        <v>4012740013383</v>
      </c>
      <c r="J4945" t="s">
        <v>14129</v>
      </c>
    </row>
    <row r="4946" spans="1:10" x14ac:dyDescent="0.25">
      <c r="A4946" t="s">
        <v>8</v>
      </c>
      <c r="B4946" t="s">
        <v>14130</v>
      </c>
      <c r="C4946" t="s">
        <v>14131</v>
      </c>
      <c r="D4946">
        <v>1</v>
      </c>
      <c r="E4946" t="s">
        <v>13839</v>
      </c>
      <c r="F4946" t="s">
        <v>13840</v>
      </c>
      <c r="G4946" s="1"/>
      <c r="H4946" t="str">
        <f>"4012740013390"</f>
        <v>4012740013390</v>
      </c>
      <c r="J4946" t="s">
        <v>14132</v>
      </c>
    </row>
    <row r="4947" spans="1:10" x14ac:dyDescent="0.25">
      <c r="A4947" t="s">
        <v>8</v>
      </c>
      <c r="B4947" t="s">
        <v>14133</v>
      </c>
      <c r="C4947" t="s">
        <v>14134</v>
      </c>
      <c r="D4947">
        <v>1</v>
      </c>
      <c r="E4947" t="s">
        <v>13839</v>
      </c>
      <c r="F4947" t="s">
        <v>13840</v>
      </c>
      <c r="G4947" s="1"/>
      <c r="H4947" t="str">
        <f>"4012740013406"</f>
        <v>4012740013406</v>
      </c>
      <c r="J4947" t="s">
        <v>14135</v>
      </c>
    </row>
    <row r="4948" spans="1:10" x14ac:dyDescent="0.25">
      <c r="A4948" t="s">
        <v>8</v>
      </c>
      <c r="B4948" t="s">
        <v>14136</v>
      </c>
      <c r="C4948" t="s">
        <v>14137</v>
      </c>
      <c r="D4948">
        <v>1</v>
      </c>
      <c r="E4948" t="s">
        <v>13839</v>
      </c>
      <c r="F4948" t="s">
        <v>13840</v>
      </c>
      <c r="G4948" s="1"/>
      <c r="H4948" t="str">
        <f>"4012740013413"</f>
        <v>4012740013413</v>
      </c>
      <c r="J4948" t="s">
        <v>3585</v>
      </c>
    </row>
    <row r="4949" spans="1:10" x14ac:dyDescent="0.25">
      <c r="A4949" t="s">
        <v>8</v>
      </c>
      <c r="B4949" t="s">
        <v>14138</v>
      </c>
      <c r="C4949" t="s">
        <v>14139</v>
      </c>
      <c r="D4949">
        <v>1</v>
      </c>
      <c r="E4949" t="s">
        <v>13839</v>
      </c>
      <c r="F4949" t="s">
        <v>13840</v>
      </c>
      <c r="G4949" s="1"/>
      <c r="H4949" t="str">
        <f>"4012740013482"</f>
        <v>4012740013482</v>
      </c>
      <c r="J4949" t="s">
        <v>14140</v>
      </c>
    </row>
    <row r="4950" spans="1:10" x14ac:dyDescent="0.25">
      <c r="A4950" t="s">
        <v>8</v>
      </c>
      <c r="B4950" t="s">
        <v>14141</v>
      </c>
      <c r="C4950" t="s">
        <v>14142</v>
      </c>
      <c r="D4950">
        <v>1</v>
      </c>
      <c r="E4950" t="s">
        <v>13839</v>
      </c>
      <c r="F4950" t="s">
        <v>13840</v>
      </c>
      <c r="G4950" s="1"/>
      <c r="H4950" t="str">
        <f>"4012740020695"</f>
        <v>4012740020695</v>
      </c>
      <c r="J4950" t="s">
        <v>14143</v>
      </c>
    </row>
    <row r="4951" spans="1:10" x14ac:dyDescent="0.25">
      <c r="A4951" t="s">
        <v>8</v>
      </c>
      <c r="B4951" t="s">
        <v>14144</v>
      </c>
      <c r="C4951" t="s">
        <v>14145</v>
      </c>
      <c r="D4951">
        <v>1</v>
      </c>
      <c r="E4951" t="s">
        <v>13839</v>
      </c>
      <c r="F4951" t="s">
        <v>13840</v>
      </c>
      <c r="G4951" s="1"/>
      <c r="H4951" t="str">
        <f>"4012740022446"</f>
        <v>4012740022446</v>
      </c>
      <c r="J4951" t="s">
        <v>14080</v>
      </c>
    </row>
    <row r="4952" spans="1:10" x14ac:dyDescent="0.25">
      <c r="A4952" t="s">
        <v>8</v>
      </c>
      <c r="B4952" t="s">
        <v>14146</v>
      </c>
      <c r="C4952" t="s">
        <v>14147</v>
      </c>
      <c r="D4952">
        <v>1</v>
      </c>
      <c r="E4952" t="s">
        <v>13839</v>
      </c>
      <c r="F4952" t="s">
        <v>13840</v>
      </c>
      <c r="G4952" s="1"/>
      <c r="H4952" t="str">
        <f>"4012740022484"</f>
        <v>4012740022484</v>
      </c>
      <c r="J4952" t="s">
        <v>14083</v>
      </c>
    </row>
    <row r="4953" spans="1:10" x14ac:dyDescent="0.25">
      <c r="A4953" t="s">
        <v>8</v>
      </c>
      <c r="B4953" t="s">
        <v>14148</v>
      </c>
      <c r="C4953" t="s">
        <v>14149</v>
      </c>
      <c r="D4953">
        <v>1</v>
      </c>
      <c r="E4953" t="s">
        <v>13839</v>
      </c>
      <c r="F4953" t="s">
        <v>13840</v>
      </c>
      <c r="G4953" s="1"/>
      <c r="H4953" t="str">
        <f>"4012740022521"</f>
        <v>4012740022521</v>
      </c>
      <c r="J4953" t="s">
        <v>14086</v>
      </c>
    </row>
    <row r="4954" spans="1:10" x14ac:dyDescent="0.25">
      <c r="A4954" t="s">
        <v>8</v>
      </c>
      <c r="B4954" t="s">
        <v>14150</v>
      </c>
      <c r="C4954" t="s">
        <v>14151</v>
      </c>
      <c r="D4954">
        <v>1</v>
      </c>
      <c r="E4954" t="s">
        <v>13839</v>
      </c>
      <c r="F4954" t="s">
        <v>13840</v>
      </c>
      <c r="G4954" s="1"/>
      <c r="H4954" t="str">
        <f>"4012740022569"</f>
        <v>4012740022569</v>
      </c>
      <c r="J4954" t="s">
        <v>14089</v>
      </c>
    </row>
    <row r="4955" spans="1:10" x14ac:dyDescent="0.25">
      <c r="A4955" t="s">
        <v>8</v>
      </c>
      <c r="B4955" t="s">
        <v>14152</v>
      </c>
      <c r="C4955" t="s">
        <v>14153</v>
      </c>
      <c r="D4955">
        <v>1</v>
      </c>
      <c r="E4955" t="s">
        <v>13839</v>
      </c>
      <c r="F4955" t="s">
        <v>13840</v>
      </c>
      <c r="G4955" s="1"/>
      <c r="H4955" t="str">
        <f>"4012740022583"</f>
        <v>4012740022583</v>
      </c>
      <c r="J4955" t="s">
        <v>13752</v>
      </c>
    </row>
    <row r="4956" spans="1:10" x14ac:dyDescent="0.25">
      <c r="A4956" t="s">
        <v>8</v>
      </c>
      <c r="B4956" t="s">
        <v>14154</v>
      </c>
      <c r="C4956" t="s">
        <v>14155</v>
      </c>
      <c r="D4956">
        <v>1</v>
      </c>
      <c r="E4956" t="s">
        <v>13839</v>
      </c>
      <c r="F4956" t="s">
        <v>13840</v>
      </c>
      <c r="G4956" s="1"/>
      <c r="H4956" t="str">
        <f>"4012740022606"</f>
        <v>4012740022606</v>
      </c>
      <c r="J4956" t="s">
        <v>14094</v>
      </c>
    </row>
    <row r="4957" spans="1:10" x14ac:dyDescent="0.25">
      <c r="A4957" t="s">
        <v>8</v>
      </c>
      <c r="B4957" t="s">
        <v>14156</v>
      </c>
      <c r="C4957" t="s">
        <v>14157</v>
      </c>
      <c r="D4957">
        <v>1</v>
      </c>
      <c r="E4957" t="s">
        <v>13839</v>
      </c>
      <c r="F4957" t="s">
        <v>13840</v>
      </c>
      <c r="G4957" s="1"/>
      <c r="H4957" t="str">
        <f>"4012740022682"</f>
        <v>4012740022682</v>
      </c>
      <c r="J4957" t="s">
        <v>14106</v>
      </c>
    </row>
    <row r="4958" spans="1:10" x14ac:dyDescent="0.25">
      <c r="A4958" t="s">
        <v>8</v>
      </c>
      <c r="B4958" t="s">
        <v>14158</v>
      </c>
      <c r="C4958" t="s">
        <v>14159</v>
      </c>
      <c r="D4958">
        <v>1</v>
      </c>
      <c r="E4958" t="s">
        <v>13839</v>
      </c>
      <c r="F4958" t="s">
        <v>13840</v>
      </c>
      <c r="G4958" s="1"/>
      <c r="H4958" t="str">
        <f>"4012740022705"</f>
        <v>4012740022705</v>
      </c>
      <c r="J4958" t="s">
        <v>13950</v>
      </c>
    </row>
    <row r="4959" spans="1:10" x14ac:dyDescent="0.25">
      <c r="A4959" t="s">
        <v>8</v>
      </c>
      <c r="B4959" t="s">
        <v>14160</v>
      </c>
      <c r="C4959" t="s">
        <v>14161</v>
      </c>
      <c r="D4959">
        <v>1</v>
      </c>
      <c r="E4959" t="s">
        <v>13839</v>
      </c>
      <c r="F4959" t="s">
        <v>13840</v>
      </c>
      <c r="G4959" s="1"/>
      <c r="H4959" t="str">
        <f>"4012740022729"</f>
        <v>4012740022729</v>
      </c>
      <c r="J4959" t="s">
        <v>14111</v>
      </c>
    </row>
    <row r="4960" spans="1:10" x14ac:dyDescent="0.25">
      <c r="A4960" t="s">
        <v>8</v>
      </c>
      <c r="B4960" t="s">
        <v>14162</v>
      </c>
      <c r="C4960" t="s">
        <v>14163</v>
      </c>
      <c r="D4960">
        <v>1</v>
      </c>
      <c r="E4960" t="s">
        <v>13839</v>
      </c>
      <c r="F4960" t="s">
        <v>13840</v>
      </c>
      <c r="G4960" s="1"/>
      <c r="H4960" t="str">
        <f>"4012740022743"</f>
        <v>4012740022743</v>
      </c>
      <c r="J4960" t="s">
        <v>14114</v>
      </c>
    </row>
    <row r="4961" spans="1:10" x14ac:dyDescent="0.25">
      <c r="A4961" t="s">
        <v>8</v>
      </c>
      <c r="B4961" t="s">
        <v>14164</v>
      </c>
      <c r="C4961" t="s">
        <v>14165</v>
      </c>
      <c r="D4961">
        <v>1</v>
      </c>
      <c r="E4961" t="s">
        <v>13839</v>
      </c>
      <c r="F4961" t="s">
        <v>13840</v>
      </c>
      <c r="G4961" s="1"/>
      <c r="H4961" t="str">
        <f>"4012740022781"</f>
        <v>4012740022781</v>
      </c>
      <c r="J4961" t="s">
        <v>14117</v>
      </c>
    </row>
    <row r="4962" spans="1:10" x14ac:dyDescent="0.25">
      <c r="A4962" t="s">
        <v>8</v>
      </c>
      <c r="B4962" t="s">
        <v>14166</v>
      </c>
      <c r="C4962" t="s">
        <v>14167</v>
      </c>
      <c r="D4962">
        <v>1</v>
      </c>
      <c r="E4962" t="s">
        <v>13839</v>
      </c>
      <c r="F4962" t="s">
        <v>13840</v>
      </c>
      <c r="G4962" s="1"/>
      <c r="H4962" t="str">
        <f>"4012740022804"</f>
        <v>4012740022804</v>
      </c>
      <c r="J4962" t="s">
        <v>14120</v>
      </c>
    </row>
    <row r="4963" spans="1:10" x14ac:dyDescent="0.25">
      <c r="A4963" t="s">
        <v>8</v>
      </c>
      <c r="B4963" t="s">
        <v>14168</v>
      </c>
      <c r="C4963" t="s">
        <v>14169</v>
      </c>
      <c r="D4963">
        <v>1</v>
      </c>
      <c r="E4963" t="s">
        <v>13839</v>
      </c>
      <c r="F4963" t="s">
        <v>13840</v>
      </c>
      <c r="G4963" s="1"/>
      <c r="H4963" t="str">
        <f>"4012740022828"</f>
        <v>4012740022828</v>
      </c>
      <c r="J4963" t="s">
        <v>14123</v>
      </c>
    </row>
    <row r="4964" spans="1:10" x14ac:dyDescent="0.25">
      <c r="A4964" t="s">
        <v>8</v>
      </c>
      <c r="B4964" t="s">
        <v>14170</v>
      </c>
      <c r="C4964" t="s">
        <v>14171</v>
      </c>
      <c r="D4964">
        <v>1</v>
      </c>
      <c r="E4964" t="s">
        <v>13839</v>
      </c>
      <c r="F4964" t="s">
        <v>13840</v>
      </c>
      <c r="G4964" s="1"/>
      <c r="H4964" t="str">
        <f>"4012740022842"</f>
        <v>4012740022842</v>
      </c>
      <c r="J4964" t="s">
        <v>14126</v>
      </c>
    </row>
    <row r="4965" spans="1:10" x14ac:dyDescent="0.25">
      <c r="A4965" t="s">
        <v>8</v>
      </c>
      <c r="B4965" t="s">
        <v>14172</v>
      </c>
      <c r="C4965" t="s">
        <v>14173</v>
      </c>
      <c r="D4965">
        <v>1</v>
      </c>
      <c r="E4965" t="s">
        <v>13839</v>
      </c>
      <c r="F4965" t="s">
        <v>13840</v>
      </c>
      <c r="G4965" s="1"/>
      <c r="H4965" t="str">
        <f>"4012740022866"</f>
        <v>4012740022866</v>
      </c>
      <c r="J4965" t="s">
        <v>14129</v>
      </c>
    </row>
    <row r="4966" spans="1:10" x14ac:dyDescent="0.25">
      <c r="A4966" t="s">
        <v>8</v>
      </c>
      <c r="B4966" t="s">
        <v>14174</v>
      </c>
      <c r="C4966" t="s">
        <v>14175</v>
      </c>
      <c r="D4966">
        <v>1</v>
      </c>
      <c r="E4966" t="s">
        <v>13839</v>
      </c>
      <c r="F4966" t="s">
        <v>13840</v>
      </c>
      <c r="G4966" s="1"/>
      <c r="H4966" t="str">
        <f>"4012740022897"</f>
        <v>4012740022897</v>
      </c>
      <c r="J4966" t="s">
        <v>14132</v>
      </c>
    </row>
    <row r="4967" spans="1:10" x14ac:dyDescent="0.25">
      <c r="A4967" t="s">
        <v>8</v>
      </c>
      <c r="B4967" t="s">
        <v>14176</v>
      </c>
      <c r="C4967" t="s">
        <v>14177</v>
      </c>
      <c r="D4967">
        <v>1</v>
      </c>
      <c r="E4967" t="s">
        <v>13839</v>
      </c>
      <c r="F4967" t="s">
        <v>13840</v>
      </c>
      <c r="G4967" s="1"/>
      <c r="H4967" t="str">
        <f>"4012740022927"</f>
        <v>4012740022927</v>
      </c>
      <c r="J4967" t="s">
        <v>14135</v>
      </c>
    </row>
    <row r="4968" spans="1:10" x14ac:dyDescent="0.25">
      <c r="A4968" t="s">
        <v>8</v>
      </c>
      <c r="B4968" t="s">
        <v>14178</v>
      </c>
      <c r="C4968" t="s">
        <v>13843</v>
      </c>
      <c r="D4968">
        <v>1</v>
      </c>
      <c r="E4968" t="s">
        <v>13839</v>
      </c>
      <c r="F4968" t="s">
        <v>13840</v>
      </c>
      <c r="G4968" s="1"/>
      <c r="H4968" t="str">
        <f>"4012740022958"</f>
        <v>4012740022958</v>
      </c>
      <c r="J4968" t="s">
        <v>3585</v>
      </c>
    </row>
    <row r="4969" spans="1:10" x14ac:dyDescent="0.25">
      <c r="A4969" t="s">
        <v>8</v>
      </c>
      <c r="B4969" t="s">
        <v>14179</v>
      </c>
      <c r="C4969" t="s">
        <v>14180</v>
      </c>
      <c r="D4969">
        <v>1</v>
      </c>
      <c r="E4969" t="s">
        <v>13839</v>
      </c>
      <c r="F4969" t="s">
        <v>13840</v>
      </c>
      <c r="G4969" s="1"/>
      <c r="H4969" t="str">
        <f>"4012740020824"</f>
        <v>4012740020824</v>
      </c>
      <c r="J4969" t="s">
        <v>14181</v>
      </c>
    </row>
    <row r="4970" spans="1:10" x14ac:dyDescent="0.25">
      <c r="A4970" t="s">
        <v>8</v>
      </c>
      <c r="B4970" t="s">
        <v>14182</v>
      </c>
      <c r="C4970" t="s">
        <v>14183</v>
      </c>
      <c r="D4970">
        <v>1</v>
      </c>
      <c r="E4970" t="s">
        <v>13839</v>
      </c>
      <c r="F4970" t="s">
        <v>13840</v>
      </c>
      <c r="G4970" s="1"/>
      <c r="H4970" t="str">
        <f>"4012740022187"</f>
        <v>4012740022187</v>
      </c>
      <c r="J4970" t="s">
        <v>14184</v>
      </c>
    </row>
    <row r="4971" spans="1:10" x14ac:dyDescent="0.25">
      <c r="A4971" t="s">
        <v>8</v>
      </c>
      <c r="B4971" t="s">
        <v>14185</v>
      </c>
      <c r="C4971" t="s">
        <v>14186</v>
      </c>
      <c r="D4971">
        <v>1</v>
      </c>
      <c r="E4971" t="s">
        <v>13839</v>
      </c>
      <c r="F4971" t="s">
        <v>13840</v>
      </c>
      <c r="G4971" s="1"/>
      <c r="H4971" t="str">
        <f>"4012740022224"</f>
        <v>4012740022224</v>
      </c>
      <c r="J4971" t="s">
        <v>14187</v>
      </c>
    </row>
    <row r="4972" spans="1:10" x14ac:dyDescent="0.25">
      <c r="A4972" t="s">
        <v>8</v>
      </c>
      <c r="B4972" t="s">
        <v>14188</v>
      </c>
      <c r="C4972" t="s">
        <v>14189</v>
      </c>
      <c r="D4972">
        <v>1</v>
      </c>
      <c r="E4972" t="s">
        <v>13839</v>
      </c>
      <c r="F4972" t="s">
        <v>13840</v>
      </c>
      <c r="G4972" s="1"/>
      <c r="H4972" t="str">
        <f>"4012740022262"</f>
        <v>4012740022262</v>
      </c>
      <c r="J4972" t="s">
        <v>13822</v>
      </c>
    </row>
    <row r="4973" spans="1:10" x14ac:dyDescent="0.25">
      <c r="A4973" t="s">
        <v>8</v>
      </c>
      <c r="B4973" t="s">
        <v>14190</v>
      </c>
      <c r="C4973" t="s">
        <v>14191</v>
      </c>
      <c r="D4973">
        <v>1</v>
      </c>
      <c r="E4973" t="s">
        <v>13839</v>
      </c>
      <c r="F4973" t="s">
        <v>13840</v>
      </c>
      <c r="G4973" s="1"/>
      <c r="H4973" t="str">
        <f>"4012740022309"</f>
        <v>4012740022309</v>
      </c>
      <c r="J4973" t="s">
        <v>14192</v>
      </c>
    </row>
    <row r="4974" spans="1:10" x14ac:dyDescent="0.25">
      <c r="A4974" t="s">
        <v>8</v>
      </c>
      <c r="B4974" t="s">
        <v>14193</v>
      </c>
      <c r="C4974" t="s">
        <v>14194</v>
      </c>
      <c r="D4974">
        <v>1</v>
      </c>
      <c r="E4974" t="s">
        <v>13839</v>
      </c>
      <c r="F4974" t="s">
        <v>13840</v>
      </c>
      <c r="G4974" s="1"/>
      <c r="H4974" t="str">
        <f>"4012740028417"</f>
        <v>4012740028417</v>
      </c>
      <c r="J4974" t="s">
        <v>14195</v>
      </c>
    </row>
    <row r="4975" spans="1:10" x14ac:dyDescent="0.25">
      <c r="A4975" t="s">
        <v>8</v>
      </c>
      <c r="B4975" t="s">
        <v>14196</v>
      </c>
      <c r="C4975" t="s">
        <v>14197</v>
      </c>
      <c r="D4975">
        <v>1</v>
      </c>
      <c r="E4975" t="s">
        <v>13839</v>
      </c>
      <c r="F4975" t="s">
        <v>13840</v>
      </c>
      <c r="G4975" s="1"/>
      <c r="H4975" t="str">
        <f>"4012740022347"</f>
        <v>4012740022347</v>
      </c>
      <c r="J4975" t="s">
        <v>14198</v>
      </c>
    </row>
    <row r="4976" spans="1:10" x14ac:dyDescent="0.25">
      <c r="A4976" t="s">
        <v>8</v>
      </c>
      <c r="B4976" t="s">
        <v>14199</v>
      </c>
      <c r="C4976" t="s">
        <v>14200</v>
      </c>
      <c r="D4976">
        <v>1</v>
      </c>
      <c r="E4976" t="s">
        <v>14201</v>
      </c>
      <c r="F4976" t="s">
        <v>14202</v>
      </c>
      <c r="G4976" s="1"/>
      <c r="H4976" t="str">
        <f>"4012740138840"</f>
        <v>4012740138840</v>
      </c>
      <c r="J4976" t="s">
        <v>14203</v>
      </c>
    </row>
    <row r="4977" spans="1:10" x14ac:dyDescent="0.25">
      <c r="A4977" t="s">
        <v>8</v>
      </c>
      <c r="B4977" t="s">
        <v>14204</v>
      </c>
      <c r="C4977" t="s">
        <v>14205</v>
      </c>
      <c r="D4977">
        <v>1</v>
      </c>
      <c r="E4977" t="s">
        <v>14206</v>
      </c>
      <c r="F4977" t="s">
        <v>14207</v>
      </c>
      <c r="G4977" s="1"/>
      <c r="H4977" t="str">
        <f>"4012740297431"</f>
        <v>4012740297431</v>
      </c>
      <c r="J4977" t="s">
        <v>14208</v>
      </c>
    </row>
    <row r="4978" spans="1:10" x14ac:dyDescent="0.25">
      <c r="A4978" t="s">
        <v>8</v>
      </c>
      <c r="B4978" t="s">
        <v>14209</v>
      </c>
      <c r="C4978" t="s">
        <v>14210</v>
      </c>
      <c r="D4978">
        <v>1</v>
      </c>
      <c r="E4978" t="s">
        <v>14211</v>
      </c>
      <c r="F4978" t="s">
        <v>14212</v>
      </c>
      <c r="G4978" s="1"/>
      <c r="H4978" t="str">
        <f>"4012740868839"</f>
        <v>4012740868839</v>
      </c>
      <c r="J4978" t="s">
        <v>14213</v>
      </c>
    </row>
    <row r="4979" spans="1:10" x14ac:dyDescent="0.25">
      <c r="A4979" t="s">
        <v>8</v>
      </c>
      <c r="B4979" t="s">
        <v>14214</v>
      </c>
      <c r="C4979" t="s">
        <v>14215</v>
      </c>
      <c r="D4979">
        <v>1</v>
      </c>
      <c r="E4979" t="s">
        <v>14211</v>
      </c>
      <c r="F4979" t="s">
        <v>14212</v>
      </c>
      <c r="G4979" s="1"/>
      <c r="H4979" t="str">
        <f>"4012740868846"</f>
        <v>4012740868846</v>
      </c>
      <c r="J4979" t="s">
        <v>14213</v>
      </c>
    </row>
    <row r="4980" spans="1:10" x14ac:dyDescent="0.25">
      <c r="A4980" t="s">
        <v>8</v>
      </c>
      <c r="B4980" t="s">
        <v>14216</v>
      </c>
      <c r="C4980" t="s">
        <v>14217</v>
      </c>
      <c r="D4980">
        <v>1</v>
      </c>
      <c r="E4980" t="s">
        <v>14211</v>
      </c>
      <c r="F4980" t="s">
        <v>14212</v>
      </c>
      <c r="G4980" s="1"/>
      <c r="H4980" t="str">
        <f>"4012740013499"</f>
        <v>4012740013499</v>
      </c>
      <c r="J4980" t="s">
        <v>14218</v>
      </c>
    </row>
    <row r="4981" spans="1:10" x14ac:dyDescent="0.25">
      <c r="A4981" t="s">
        <v>8</v>
      </c>
      <c r="B4981" t="s">
        <v>14219</v>
      </c>
      <c r="C4981" t="s">
        <v>14220</v>
      </c>
      <c r="D4981">
        <v>1</v>
      </c>
      <c r="E4981" t="s">
        <v>14211</v>
      </c>
      <c r="F4981" t="s">
        <v>14212</v>
      </c>
      <c r="G4981" s="1"/>
      <c r="H4981" t="str">
        <f>"4012740013505"</f>
        <v>4012740013505</v>
      </c>
      <c r="J4981" t="s">
        <v>14221</v>
      </c>
    </row>
    <row r="4982" spans="1:10" x14ac:dyDescent="0.25">
      <c r="A4982" t="s">
        <v>8</v>
      </c>
      <c r="B4982" t="s">
        <v>14222</v>
      </c>
      <c r="C4982" t="s">
        <v>14223</v>
      </c>
      <c r="D4982">
        <v>1</v>
      </c>
      <c r="E4982" t="s">
        <v>14211</v>
      </c>
      <c r="F4982" t="s">
        <v>14212</v>
      </c>
      <c r="G4982" s="1"/>
      <c r="H4982" t="str">
        <f>"4012740013512"</f>
        <v>4012740013512</v>
      </c>
      <c r="J4982" t="s">
        <v>14224</v>
      </c>
    </row>
    <row r="4983" spans="1:10" x14ac:dyDescent="0.25">
      <c r="A4983" t="s">
        <v>8</v>
      </c>
      <c r="B4983" t="s">
        <v>14225</v>
      </c>
      <c r="C4983" t="s">
        <v>14226</v>
      </c>
      <c r="D4983">
        <v>1</v>
      </c>
      <c r="E4983" t="s">
        <v>14211</v>
      </c>
      <c r="F4983" t="s">
        <v>14212</v>
      </c>
      <c r="G4983" s="1"/>
      <c r="H4983" t="str">
        <f>"4012740013529"</f>
        <v>4012740013529</v>
      </c>
      <c r="J4983" t="s">
        <v>14228</v>
      </c>
    </row>
    <row r="4984" spans="1:10" x14ac:dyDescent="0.25">
      <c r="A4984" t="s">
        <v>8</v>
      </c>
      <c r="B4984" t="s">
        <v>14229</v>
      </c>
      <c r="C4984" t="s">
        <v>14230</v>
      </c>
      <c r="D4984">
        <v>1</v>
      </c>
      <c r="E4984" t="s">
        <v>14211</v>
      </c>
      <c r="F4984" t="s">
        <v>14212</v>
      </c>
      <c r="G4984" s="1"/>
      <c r="H4984" t="str">
        <f>"4012740013574"</f>
        <v>4012740013574</v>
      </c>
      <c r="J4984" t="s">
        <v>14231</v>
      </c>
    </row>
    <row r="4985" spans="1:10" x14ac:dyDescent="0.25">
      <c r="A4985" t="s">
        <v>8</v>
      </c>
      <c r="B4985" t="s">
        <v>14232</v>
      </c>
      <c r="C4985" t="s">
        <v>14233</v>
      </c>
      <c r="D4985">
        <v>1</v>
      </c>
      <c r="E4985" t="s">
        <v>14211</v>
      </c>
      <c r="F4985" t="s">
        <v>14212</v>
      </c>
      <c r="G4985" s="1"/>
      <c r="H4985" t="str">
        <f>"4012740013581"</f>
        <v>4012740013581</v>
      </c>
      <c r="J4985" t="s">
        <v>14234</v>
      </c>
    </row>
    <row r="4986" spans="1:10" x14ac:dyDescent="0.25">
      <c r="A4986" t="s">
        <v>8</v>
      </c>
      <c r="B4986" t="s">
        <v>14235</v>
      </c>
      <c r="C4986" t="s">
        <v>14236</v>
      </c>
      <c r="D4986">
        <v>1</v>
      </c>
      <c r="E4986" t="s">
        <v>14211</v>
      </c>
      <c r="F4986" t="s">
        <v>14212</v>
      </c>
      <c r="G4986" s="1"/>
      <c r="H4986" t="str">
        <f>"4012740013598"</f>
        <v>4012740013598</v>
      </c>
      <c r="J4986" t="s">
        <v>14237</v>
      </c>
    </row>
    <row r="4987" spans="1:10" x14ac:dyDescent="0.25">
      <c r="A4987" t="s">
        <v>8</v>
      </c>
      <c r="B4987" t="s">
        <v>14238</v>
      </c>
      <c r="C4987" t="s">
        <v>14239</v>
      </c>
      <c r="D4987">
        <v>1</v>
      </c>
      <c r="E4987" t="s">
        <v>14240</v>
      </c>
      <c r="F4987" t="s">
        <v>14241</v>
      </c>
      <c r="G4987" s="1"/>
      <c r="H4987" t="str">
        <f>"4012740290852"</f>
        <v>4012740290852</v>
      </c>
      <c r="J4987" t="s">
        <v>14242</v>
      </c>
    </row>
    <row r="4988" spans="1:10" x14ac:dyDescent="0.25">
      <c r="A4988" t="s">
        <v>8</v>
      </c>
      <c r="B4988" t="s">
        <v>14243</v>
      </c>
      <c r="C4988" t="s">
        <v>14244</v>
      </c>
      <c r="D4988">
        <v>1</v>
      </c>
      <c r="E4988" t="s">
        <v>14240</v>
      </c>
      <c r="F4988" t="s">
        <v>14241</v>
      </c>
      <c r="G4988" s="1"/>
      <c r="H4988" t="str">
        <f>"4012740290937"</f>
        <v>4012740290937</v>
      </c>
      <c r="J4988" t="s">
        <v>14245</v>
      </c>
    </row>
    <row r="4989" spans="1:10" x14ac:dyDescent="0.25">
      <c r="A4989" t="s">
        <v>8</v>
      </c>
      <c r="B4989" t="s">
        <v>14246</v>
      </c>
      <c r="C4989" t="s">
        <v>14247</v>
      </c>
      <c r="D4989">
        <v>1</v>
      </c>
      <c r="E4989" t="s">
        <v>14240</v>
      </c>
      <c r="F4989" t="s">
        <v>14241</v>
      </c>
      <c r="G4989" s="1"/>
      <c r="H4989" t="str">
        <f>"4012740202992"</f>
        <v>4012740202992</v>
      </c>
      <c r="J4989" t="s">
        <v>14248</v>
      </c>
    </row>
    <row r="4990" spans="1:10" x14ac:dyDescent="0.25">
      <c r="A4990" t="s">
        <v>8</v>
      </c>
      <c r="B4990" t="s">
        <v>14249</v>
      </c>
      <c r="C4990" t="s">
        <v>14250</v>
      </c>
      <c r="D4990">
        <v>1</v>
      </c>
      <c r="E4990" t="s">
        <v>14240</v>
      </c>
      <c r="F4990" t="s">
        <v>14241</v>
      </c>
      <c r="G4990" s="1"/>
      <c r="H4990" t="str">
        <f>"4012740206488"</f>
        <v>4012740206488</v>
      </c>
      <c r="J4990" t="s">
        <v>14251</v>
      </c>
    </row>
    <row r="4991" spans="1:10" x14ac:dyDescent="0.25">
      <c r="A4991" t="s">
        <v>8</v>
      </c>
      <c r="B4991" t="s">
        <v>14252</v>
      </c>
      <c r="C4991" t="s">
        <v>14253</v>
      </c>
      <c r="D4991">
        <v>1</v>
      </c>
      <c r="E4991" t="s">
        <v>14240</v>
      </c>
      <c r="F4991" t="s">
        <v>14241</v>
      </c>
      <c r="G4991" s="1"/>
      <c r="H4991" t="str">
        <f>"4012740230476"</f>
        <v>4012740230476</v>
      </c>
      <c r="J4991" t="s">
        <v>14254</v>
      </c>
    </row>
    <row r="4992" spans="1:10" x14ac:dyDescent="0.25">
      <c r="A4992" t="s">
        <v>8</v>
      </c>
      <c r="B4992" t="s">
        <v>14255</v>
      </c>
      <c r="C4992" t="s">
        <v>14256</v>
      </c>
      <c r="D4992">
        <v>1</v>
      </c>
      <c r="E4992" t="s">
        <v>14240</v>
      </c>
      <c r="F4992" t="s">
        <v>14241</v>
      </c>
      <c r="G4992" s="1"/>
      <c r="H4992" t="str">
        <f>"4012740206532"</f>
        <v>4012740206532</v>
      </c>
      <c r="J4992" t="s">
        <v>14257</v>
      </c>
    </row>
    <row r="4993" spans="1:10" x14ac:dyDescent="0.25">
      <c r="A4993" t="s">
        <v>8</v>
      </c>
      <c r="B4993" t="s">
        <v>14258</v>
      </c>
      <c r="C4993" t="s">
        <v>14259</v>
      </c>
      <c r="D4993">
        <v>1</v>
      </c>
      <c r="E4993" t="s">
        <v>14240</v>
      </c>
      <c r="F4993" t="s">
        <v>14241</v>
      </c>
      <c r="G4993" s="1"/>
      <c r="H4993" t="str">
        <f>"4012740230551"</f>
        <v>4012740230551</v>
      </c>
      <c r="J4993" t="s">
        <v>14260</v>
      </c>
    </row>
    <row r="4994" spans="1:10" x14ac:dyDescent="0.25">
      <c r="A4994" t="s">
        <v>8</v>
      </c>
      <c r="B4994" t="s">
        <v>14261</v>
      </c>
      <c r="C4994" t="s">
        <v>14262</v>
      </c>
      <c r="D4994">
        <v>1</v>
      </c>
      <c r="E4994" t="s">
        <v>14263</v>
      </c>
      <c r="F4994" t="s">
        <v>14264</v>
      </c>
      <c r="G4994" s="1"/>
      <c r="H4994" t="str">
        <f>"4012740204903"</f>
        <v>4012740204903</v>
      </c>
      <c r="J4994" t="s">
        <v>14265</v>
      </c>
    </row>
    <row r="4995" spans="1:10" x14ac:dyDescent="0.25">
      <c r="A4995" t="s">
        <v>8</v>
      </c>
      <c r="B4995" t="s">
        <v>14266</v>
      </c>
      <c r="C4995" t="s">
        <v>14267</v>
      </c>
      <c r="D4995">
        <v>1</v>
      </c>
      <c r="E4995" t="s">
        <v>14263</v>
      </c>
      <c r="F4995" t="s">
        <v>14264</v>
      </c>
      <c r="G4995" s="1"/>
      <c r="H4995" t="str">
        <f>"4012740204910"</f>
        <v>4012740204910</v>
      </c>
      <c r="J4995" t="s">
        <v>14268</v>
      </c>
    </row>
    <row r="4996" spans="1:10" x14ac:dyDescent="0.25">
      <c r="A4996" t="s">
        <v>8</v>
      </c>
      <c r="B4996" t="s">
        <v>14269</v>
      </c>
      <c r="C4996" t="s">
        <v>14270</v>
      </c>
      <c r="D4996">
        <v>1</v>
      </c>
      <c r="E4996" t="s">
        <v>14263</v>
      </c>
      <c r="F4996" t="s">
        <v>14264</v>
      </c>
      <c r="G4996" s="1"/>
      <c r="H4996" t="str">
        <f>"4012740204927"</f>
        <v>4012740204927</v>
      </c>
      <c r="J4996" t="s">
        <v>14271</v>
      </c>
    </row>
    <row r="4997" spans="1:10" x14ac:dyDescent="0.25">
      <c r="A4997" t="s">
        <v>8</v>
      </c>
      <c r="B4997" t="s">
        <v>14272</v>
      </c>
      <c r="C4997" t="s">
        <v>14273</v>
      </c>
      <c r="D4997">
        <v>1</v>
      </c>
      <c r="E4997" t="s">
        <v>14263</v>
      </c>
      <c r="F4997" t="s">
        <v>14264</v>
      </c>
      <c r="G4997" s="1"/>
      <c r="H4997" t="str">
        <f>"4012740204958"</f>
        <v>4012740204958</v>
      </c>
      <c r="J4997" t="s">
        <v>14274</v>
      </c>
    </row>
    <row r="4998" spans="1:10" x14ac:dyDescent="0.25">
      <c r="A4998" t="s">
        <v>8</v>
      </c>
      <c r="B4998" t="s">
        <v>14275</v>
      </c>
      <c r="C4998" t="s">
        <v>14276</v>
      </c>
      <c r="D4998">
        <v>1</v>
      </c>
      <c r="E4998" t="s">
        <v>14263</v>
      </c>
      <c r="F4998" t="s">
        <v>14264</v>
      </c>
      <c r="G4998" s="1"/>
      <c r="H4998" t="str">
        <f>"4012740204965"</f>
        <v>4012740204965</v>
      </c>
      <c r="J4998" t="s">
        <v>14277</v>
      </c>
    </row>
    <row r="4999" spans="1:10" x14ac:dyDescent="0.25">
      <c r="A4999" t="s">
        <v>8</v>
      </c>
      <c r="B4999" t="s">
        <v>14278</v>
      </c>
      <c r="C4999" t="s">
        <v>14279</v>
      </c>
      <c r="D4999">
        <v>1</v>
      </c>
      <c r="E4999" t="s">
        <v>14280</v>
      </c>
      <c r="F4999" t="s">
        <v>14281</v>
      </c>
      <c r="G4999" s="1"/>
      <c r="H4999" t="str">
        <f>"4012740147491"</f>
        <v>4012740147491</v>
      </c>
      <c r="J4999" t="s">
        <v>7220</v>
      </c>
    </row>
    <row r="5000" spans="1:10" x14ac:dyDescent="0.25">
      <c r="A5000" t="s">
        <v>8</v>
      </c>
      <c r="B5000" t="s">
        <v>14282</v>
      </c>
      <c r="C5000" t="s">
        <v>14283</v>
      </c>
      <c r="D5000">
        <v>1</v>
      </c>
      <c r="E5000" t="s">
        <v>14280</v>
      </c>
      <c r="F5000" t="s">
        <v>14281</v>
      </c>
      <c r="G5000" s="1"/>
      <c r="H5000" t="str">
        <f>"4012740873888"</f>
        <v>4012740873888</v>
      </c>
      <c r="J5000" t="s">
        <v>14284</v>
      </c>
    </row>
    <row r="5001" spans="1:10" x14ac:dyDescent="0.25">
      <c r="A5001" t="s">
        <v>8</v>
      </c>
      <c r="B5001" t="s">
        <v>14285</v>
      </c>
      <c r="C5001" t="s">
        <v>14286</v>
      </c>
      <c r="D5001">
        <v>1</v>
      </c>
      <c r="E5001" t="s">
        <v>14280</v>
      </c>
      <c r="F5001" t="s">
        <v>14281</v>
      </c>
      <c r="G5001" s="1"/>
      <c r="H5001" t="str">
        <f>"4012740873895"</f>
        <v>4012740873895</v>
      </c>
      <c r="J5001" t="s">
        <v>12215</v>
      </c>
    </row>
    <row r="5002" spans="1:10" x14ac:dyDescent="0.25">
      <c r="A5002" t="s">
        <v>8</v>
      </c>
      <c r="B5002" t="s">
        <v>14287</v>
      </c>
      <c r="C5002" t="s">
        <v>14288</v>
      </c>
      <c r="D5002">
        <v>1</v>
      </c>
      <c r="E5002" t="s">
        <v>14280</v>
      </c>
      <c r="F5002" t="s">
        <v>14281</v>
      </c>
      <c r="G5002" s="1"/>
      <c r="H5002" t="str">
        <f>"4012740873901"</f>
        <v>4012740873901</v>
      </c>
      <c r="J5002" t="s">
        <v>14289</v>
      </c>
    </row>
    <row r="5003" spans="1:10" x14ac:dyDescent="0.25">
      <c r="A5003" t="s">
        <v>8</v>
      </c>
      <c r="B5003" t="s">
        <v>14290</v>
      </c>
      <c r="C5003" t="s">
        <v>14291</v>
      </c>
      <c r="D5003">
        <v>1</v>
      </c>
      <c r="E5003" t="s">
        <v>14280</v>
      </c>
      <c r="F5003" t="s">
        <v>14281</v>
      </c>
      <c r="G5003" s="1"/>
      <c r="H5003" t="str">
        <f>"4012740893893"</f>
        <v>4012740893893</v>
      </c>
      <c r="J5003" t="s">
        <v>14292</v>
      </c>
    </row>
    <row r="5004" spans="1:10" x14ac:dyDescent="0.25">
      <c r="A5004" t="s">
        <v>8</v>
      </c>
      <c r="B5004" t="s">
        <v>14293</v>
      </c>
      <c r="C5004" t="s">
        <v>14294</v>
      </c>
      <c r="D5004">
        <v>1</v>
      </c>
      <c r="E5004" t="s">
        <v>14280</v>
      </c>
      <c r="F5004" t="s">
        <v>14281</v>
      </c>
      <c r="G5004" s="1"/>
      <c r="H5004" t="str">
        <f>"4012740893992"</f>
        <v>4012740893992</v>
      </c>
      <c r="J5004" t="s">
        <v>14295</v>
      </c>
    </row>
    <row r="5005" spans="1:10" x14ac:dyDescent="0.25">
      <c r="A5005" t="s">
        <v>8</v>
      </c>
      <c r="B5005" t="s">
        <v>14296</v>
      </c>
      <c r="C5005" t="s">
        <v>14297</v>
      </c>
      <c r="D5005">
        <v>1</v>
      </c>
      <c r="E5005" t="s">
        <v>14280</v>
      </c>
      <c r="F5005" t="s">
        <v>14281</v>
      </c>
      <c r="G5005" s="1"/>
      <c r="H5005" t="str">
        <f>"4012740893916"</f>
        <v>4012740893916</v>
      </c>
      <c r="J5005" t="s">
        <v>14298</v>
      </c>
    </row>
    <row r="5006" spans="1:10" x14ac:dyDescent="0.25">
      <c r="A5006" t="s">
        <v>8</v>
      </c>
      <c r="B5006" t="s">
        <v>14299</v>
      </c>
      <c r="C5006" t="s">
        <v>14300</v>
      </c>
      <c r="D5006">
        <v>1</v>
      </c>
      <c r="E5006" t="s">
        <v>14280</v>
      </c>
      <c r="F5006" t="s">
        <v>14281</v>
      </c>
      <c r="G5006" s="1"/>
      <c r="H5006" t="str">
        <f>"4012740893923"</f>
        <v>4012740893923</v>
      </c>
      <c r="J5006" t="s">
        <v>14301</v>
      </c>
    </row>
    <row r="5007" spans="1:10" x14ac:dyDescent="0.25">
      <c r="A5007" t="s">
        <v>8</v>
      </c>
      <c r="B5007" t="s">
        <v>14302</v>
      </c>
      <c r="C5007" t="s">
        <v>14303</v>
      </c>
      <c r="D5007">
        <v>1</v>
      </c>
      <c r="E5007" t="s">
        <v>14280</v>
      </c>
      <c r="F5007" t="s">
        <v>14281</v>
      </c>
      <c r="G5007" s="1"/>
      <c r="H5007" t="str">
        <f>"4012740893930"</f>
        <v>4012740893930</v>
      </c>
      <c r="J5007" t="s">
        <v>14304</v>
      </c>
    </row>
    <row r="5008" spans="1:10" x14ac:dyDescent="0.25">
      <c r="A5008" t="s">
        <v>8</v>
      </c>
      <c r="B5008" t="s">
        <v>14305</v>
      </c>
      <c r="C5008" t="s">
        <v>14306</v>
      </c>
      <c r="D5008">
        <v>1</v>
      </c>
      <c r="E5008" t="s">
        <v>14280</v>
      </c>
      <c r="F5008" t="s">
        <v>14281</v>
      </c>
      <c r="G5008" s="1"/>
      <c r="H5008" t="str">
        <f>"4012740893947"</f>
        <v>4012740893947</v>
      </c>
      <c r="J5008" t="s">
        <v>14304</v>
      </c>
    </row>
    <row r="5009" spans="1:10" x14ac:dyDescent="0.25">
      <c r="A5009" t="s">
        <v>8</v>
      </c>
      <c r="B5009" t="s">
        <v>14307</v>
      </c>
      <c r="C5009" t="s">
        <v>14308</v>
      </c>
      <c r="D5009">
        <v>1</v>
      </c>
      <c r="E5009" t="s">
        <v>14280</v>
      </c>
      <c r="F5009" t="s">
        <v>14281</v>
      </c>
      <c r="G5009" s="1"/>
      <c r="H5009" t="str">
        <f>"4012740893961"</f>
        <v>4012740893961</v>
      </c>
      <c r="J5009" t="s">
        <v>14304</v>
      </c>
    </row>
    <row r="5010" spans="1:10" x14ac:dyDescent="0.25">
      <c r="A5010" t="s">
        <v>8</v>
      </c>
      <c r="B5010" t="s">
        <v>14309</v>
      </c>
      <c r="C5010" t="s">
        <v>14310</v>
      </c>
      <c r="D5010">
        <v>1</v>
      </c>
      <c r="E5010" t="s">
        <v>14280</v>
      </c>
      <c r="F5010" t="s">
        <v>14281</v>
      </c>
      <c r="G5010" s="1"/>
      <c r="H5010" t="str">
        <f>"4012740894951"</f>
        <v>4012740894951</v>
      </c>
      <c r="J5010" t="s">
        <v>14311</v>
      </c>
    </row>
    <row r="5011" spans="1:10" x14ac:dyDescent="0.25">
      <c r="A5011" t="s">
        <v>8</v>
      </c>
      <c r="B5011" t="s">
        <v>14312</v>
      </c>
      <c r="C5011" t="s">
        <v>14313</v>
      </c>
      <c r="D5011">
        <v>1</v>
      </c>
      <c r="E5011" t="s">
        <v>14280</v>
      </c>
      <c r="F5011" t="s">
        <v>14281</v>
      </c>
      <c r="G5011" s="1"/>
      <c r="H5011" t="str">
        <f>"4012740895057"</f>
        <v>4012740895057</v>
      </c>
      <c r="J5011" t="s">
        <v>14314</v>
      </c>
    </row>
    <row r="5012" spans="1:10" x14ac:dyDescent="0.25">
      <c r="A5012" t="s">
        <v>8</v>
      </c>
      <c r="B5012" t="s">
        <v>14315</v>
      </c>
      <c r="C5012" t="s">
        <v>14316</v>
      </c>
      <c r="D5012">
        <v>1</v>
      </c>
      <c r="E5012" t="s">
        <v>14280</v>
      </c>
      <c r="F5012" t="s">
        <v>14281</v>
      </c>
      <c r="G5012" s="1"/>
      <c r="H5012" t="str">
        <f>"4012740894975"</f>
        <v>4012740894975</v>
      </c>
      <c r="J5012" t="s">
        <v>14317</v>
      </c>
    </row>
    <row r="5013" spans="1:10" x14ac:dyDescent="0.25">
      <c r="A5013" t="s">
        <v>8</v>
      </c>
      <c r="B5013" t="s">
        <v>14318</v>
      </c>
      <c r="C5013" t="s">
        <v>14319</v>
      </c>
      <c r="D5013">
        <v>1</v>
      </c>
      <c r="E5013" t="s">
        <v>14280</v>
      </c>
      <c r="F5013" t="s">
        <v>14281</v>
      </c>
      <c r="G5013" s="1"/>
      <c r="H5013" t="str">
        <f>"4012740894982"</f>
        <v>4012740894982</v>
      </c>
      <c r="J5013" t="s">
        <v>14320</v>
      </c>
    </row>
    <row r="5014" spans="1:10" x14ac:dyDescent="0.25">
      <c r="A5014" t="s">
        <v>8</v>
      </c>
      <c r="B5014" t="s">
        <v>14321</v>
      </c>
      <c r="C5014" t="s">
        <v>14322</v>
      </c>
      <c r="D5014">
        <v>1</v>
      </c>
      <c r="E5014" t="s">
        <v>14280</v>
      </c>
      <c r="F5014" t="s">
        <v>14281</v>
      </c>
      <c r="G5014" s="1"/>
      <c r="H5014" t="str">
        <f>"4012740894999"</f>
        <v>4012740894999</v>
      </c>
      <c r="J5014" t="s">
        <v>14320</v>
      </c>
    </row>
    <row r="5015" spans="1:10" x14ac:dyDescent="0.25">
      <c r="A5015" t="s">
        <v>8</v>
      </c>
      <c r="B5015" t="s">
        <v>14323</v>
      </c>
      <c r="C5015" t="s">
        <v>14324</v>
      </c>
      <c r="D5015">
        <v>1</v>
      </c>
      <c r="E5015" t="s">
        <v>14280</v>
      </c>
      <c r="F5015" t="s">
        <v>14281</v>
      </c>
      <c r="G5015" s="1"/>
      <c r="H5015" t="str">
        <f>"4012740895002"</f>
        <v>4012740895002</v>
      </c>
      <c r="J5015" t="s">
        <v>14320</v>
      </c>
    </row>
    <row r="5016" spans="1:10" x14ac:dyDescent="0.25">
      <c r="A5016" t="s">
        <v>8</v>
      </c>
      <c r="B5016" t="s">
        <v>14325</v>
      </c>
      <c r="C5016" t="s">
        <v>14326</v>
      </c>
      <c r="D5016">
        <v>1</v>
      </c>
      <c r="E5016" t="s">
        <v>14280</v>
      </c>
      <c r="F5016" t="s">
        <v>14281</v>
      </c>
      <c r="G5016" s="1"/>
      <c r="H5016" t="str">
        <f>"4012740895026"</f>
        <v>4012740895026</v>
      </c>
      <c r="J5016" t="s">
        <v>14320</v>
      </c>
    </row>
    <row r="5017" spans="1:10" x14ac:dyDescent="0.25">
      <c r="A5017" t="s">
        <v>8</v>
      </c>
      <c r="B5017" t="s">
        <v>14327</v>
      </c>
      <c r="C5017" t="s">
        <v>14328</v>
      </c>
      <c r="D5017">
        <v>1</v>
      </c>
      <c r="E5017" t="s">
        <v>14280</v>
      </c>
      <c r="F5017" t="s">
        <v>14281</v>
      </c>
      <c r="G5017" s="1"/>
      <c r="H5017" t="str">
        <f>"4012740896023"</f>
        <v>4012740896023</v>
      </c>
      <c r="J5017" t="s">
        <v>11895</v>
      </c>
    </row>
    <row r="5018" spans="1:10" x14ac:dyDescent="0.25">
      <c r="A5018" t="s">
        <v>8</v>
      </c>
      <c r="B5018" t="s">
        <v>14329</v>
      </c>
      <c r="C5018" t="s">
        <v>14330</v>
      </c>
      <c r="D5018">
        <v>1</v>
      </c>
      <c r="E5018" t="s">
        <v>14280</v>
      </c>
      <c r="F5018" t="s">
        <v>14281</v>
      </c>
      <c r="G5018" s="1"/>
      <c r="H5018" t="str">
        <f>"4012740221931"</f>
        <v>4012740221931</v>
      </c>
      <c r="J5018" t="s">
        <v>11268</v>
      </c>
    </row>
    <row r="5019" spans="1:10" x14ac:dyDescent="0.25">
      <c r="A5019" t="s">
        <v>8</v>
      </c>
      <c r="B5019" t="s">
        <v>14331</v>
      </c>
      <c r="C5019" t="s">
        <v>14332</v>
      </c>
      <c r="D5019">
        <v>1</v>
      </c>
      <c r="E5019" t="s">
        <v>14280</v>
      </c>
      <c r="F5019" t="s">
        <v>14281</v>
      </c>
      <c r="G5019" s="1"/>
      <c r="H5019" t="str">
        <f>"4012740980258"</f>
        <v>4012740980258</v>
      </c>
      <c r="J5019" t="s">
        <v>14311</v>
      </c>
    </row>
    <row r="5020" spans="1:10" x14ac:dyDescent="0.25">
      <c r="A5020" t="s">
        <v>8</v>
      </c>
      <c r="B5020" t="s">
        <v>14333</v>
      </c>
      <c r="C5020" t="s">
        <v>14334</v>
      </c>
      <c r="D5020">
        <v>1</v>
      </c>
      <c r="E5020" t="s">
        <v>14280</v>
      </c>
      <c r="F5020" t="s">
        <v>14281</v>
      </c>
      <c r="G5020" s="1"/>
      <c r="H5020" t="str">
        <f>"4012740980265"</f>
        <v>4012740980265</v>
      </c>
      <c r="J5020" t="s">
        <v>3295</v>
      </c>
    </row>
    <row r="5021" spans="1:10" x14ac:dyDescent="0.25">
      <c r="A5021" t="s">
        <v>8</v>
      </c>
      <c r="B5021" t="s">
        <v>14335</v>
      </c>
      <c r="C5021" t="s">
        <v>14336</v>
      </c>
      <c r="D5021">
        <v>1</v>
      </c>
      <c r="E5021" t="s">
        <v>14280</v>
      </c>
      <c r="F5021" t="s">
        <v>14281</v>
      </c>
      <c r="G5021" s="1"/>
      <c r="H5021" t="str">
        <f>"4012740980272"</f>
        <v>4012740980272</v>
      </c>
      <c r="J5021" t="s">
        <v>12751</v>
      </c>
    </row>
    <row r="5022" spans="1:10" x14ac:dyDescent="0.25">
      <c r="A5022" t="s">
        <v>8</v>
      </c>
      <c r="B5022" t="s">
        <v>14337</v>
      </c>
      <c r="C5022" t="s">
        <v>14338</v>
      </c>
      <c r="D5022">
        <v>1</v>
      </c>
      <c r="E5022" t="s">
        <v>14280</v>
      </c>
      <c r="F5022" t="s">
        <v>14281</v>
      </c>
      <c r="G5022" s="1"/>
      <c r="H5022" t="str">
        <f>"4012740017480"</f>
        <v>4012740017480</v>
      </c>
      <c r="J5022" t="s">
        <v>3335</v>
      </c>
    </row>
    <row r="5023" spans="1:10" x14ac:dyDescent="0.25">
      <c r="A5023" t="s">
        <v>8</v>
      </c>
      <c r="B5023" t="s">
        <v>14339</v>
      </c>
      <c r="C5023" t="s">
        <v>14340</v>
      </c>
      <c r="D5023">
        <v>1</v>
      </c>
      <c r="E5023" t="s">
        <v>14280</v>
      </c>
      <c r="F5023" t="s">
        <v>14281</v>
      </c>
      <c r="G5023" s="1"/>
      <c r="H5023" t="str">
        <f>"4012740017510"</f>
        <v>4012740017510</v>
      </c>
      <c r="J5023" t="s">
        <v>14295</v>
      </c>
    </row>
    <row r="5024" spans="1:10" x14ac:dyDescent="0.25">
      <c r="A5024" t="s">
        <v>8</v>
      </c>
      <c r="B5024" t="s">
        <v>14341</v>
      </c>
      <c r="C5024" t="s">
        <v>14342</v>
      </c>
      <c r="D5024">
        <v>1</v>
      </c>
      <c r="E5024" t="s">
        <v>14280</v>
      </c>
      <c r="F5024" t="s">
        <v>14281</v>
      </c>
      <c r="G5024" s="1"/>
      <c r="H5024" t="str">
        <f>"4012740017527"</f>
        <v>4012740017527</v>
      </c>
      <c r="J5024" t="s">
        <v>14295</v>
      </c>
    </row>
    <row r="5025" spans="1:10" x14ac:dyDescent="0.25">
      <c r="A5025" t="s">
        <v>8</v>
      </c>
      <c r="B5025" t="s">
        <v>14343</v>
      </c>
      <c r="C5025" t="s">
        <v>14344</v>
      </c>
      <c r="D5025">
        <v>1</v>
      </c>
      <c r="E5025" t="s">
        <v>14280</v>
      </c>
      <c r="F5025" t="s">
        <v>14281</v>
      </c>
      <c r="G5025" s="1"/>
      <c r="H5025" t="str">
        <f>"4012740017541"</f>
        <v>4012740017541</v>
      </c>
      <c r="I5025" s="1"/>
      <c r="J5025" t="s">
        <v>14345</v>
      </c>
    </row>
    <row r="5026" spans="1:10" x14ac:dyDescent="0.25">
      <c r="A5026" t="s">
        <v>8</v>
      </c>
      <c r="B5026" t="s">
        <v>14346</v>
      </c>
      <c r="C5026" t="s">
        <v>14347</v>
      </c>
      <c r="D5026">
        <v>1</v>
      </c>
      <c r="E5026" t="s">
        <v>14280</v>
      </c>
      <c r="F5026" t="s">
        <v>14281</v>
      </c>
      <c r="G5026" s="1"/>
      <c r="H5026" t="str">
        <f>"4012740017961"</f>
        <v>4012740017961</v>
      </c>
      <c r="J5026" t="s">
        <v>14348</v>
      </c>
    </row>
    <row r="5027" spans="1:10" x14ac:dyDescent="0.25">
      <c r="A5027" t="s">
        <v>8</v>
      </c>
      <c r="B5027" t="s">
        <v>14349</v>
      </c>
      <c r="C5027" t="s">
        <v>14350</v>
      </c>
      <c r="D5027">
        <v>1</v>
      </c>
      <c r="E5027" t="s">
        <v>14280</v>
      </c>
      <c r="F5027" t="s">
        <v>14281</v>
      </c>
      <c r="G5027" s="1"/>
      <c r="H5027" t="str">
        <f>"4012740017978"</f>
        <v>4012740017978</v>
      </c>
      <c r="J5027" t="s">
        <v>14314</v>
      </c>
    </row>
    <row r="5028" spans="1:10" x14ac:dyDescent="0.25">
      <c r="A5028" t="s">
        <v>8</v>
      </c>
      <c r="B5028" t="s">
        <v>14351</v>
      </c>
      <c r="C5028" t="s">
        <v>14352</v>
      </c>
      <c r="D5028">
        <v>1</v>
      </c>
      <c r="E5028" t="s">
        <v>14280</v>
      </c>
      <c r="F5028" t="s">
        <v>14281</v>
      </c>
      <c r="G5028" s="1"/>
      <c r="H5028" t="str">
        <f>"4012740017992"</f>
        <v>4012740017992</v>
      </c>
      <c r="J5028" t="s">
        <v>14353</v>
      </c>
    </row>
    <row r="5029" spans="1:10" x14ac:dyDescent="0.25">
      <c r="A5029" t="s">
        <v>8</v>
      </c>
      <c r="B5029" t="s">
        <v>14354</v>
      </c>
      <c r="C5029" t="s">
        <v>14355</v>
      </c>
      <c r="D5029">
        <v>1</v>
      </c>
      <c r="E5029" t="s">
        <v>14280</v>
      </c>
      <c r="F5029" t="s">
        <v>14281</v>
      </c>
      <c r="G5029" s="1"/>
      <c r="H5029" t="str">
        <f>"4012740018432"</f>
        <v>4012740018432</v>
      </c>
      <c r="J5029" t="s">
        <v>14357</v>
      </c>
    </row>
    <row r="5030" spans="1:10" x14ac:dyDescent="0.25">
      <c r="A5030" t="s">
        <v>8</v>
      </c>
      <c r="B5030" t="s">
        <v>14358</v>
      </c>
      <c r="C5030" t="s">
        <v>14359</v>
      </c>
      <c r="D5030">
        <v>1</v>
      </c>
      <c r="E5030" t="s">
        <v>14360</v>
      </c>
      <c r="F5030" t="s">
        <v>14361</v>
      </c>
      <c r="G5030" s="1"/>
      <c r="H5030" t="str">
        <f>"4012740873499"</f>
        <v>4012740873499</v>
      </c>
      <c r="J5030" t="s">
        <v>14362</v>
      </c>
    </row>
    <row r="5031" spans="1:10" x14ac:dyDescent="0.25">
      <c r="A5031" t="s">
        <v>8</v>
      </c>
      <c r="B5031" t="s">
        <v>14363</v>
      </c>
      <c r="C5031" t="s">
        <v>14364</v>
      </c>
      <c r="D5031">
        <v>1</v>
      </c>
      <c r="E5031" t="s">
        <v>14360</v>
      </c>
      <c r="F5031" t="s">
        <v>14361</v>
      </c>
      <c r="G5031" s="1"/>
      <c r="H5031" t="str">
        <f>"4012740873505"</f>
        <v>4012740873505</v>
      </c>
      <c r="J5031" t="s">
        <v>14362</v>
      </c>
    </row>
    <row r="5032" spans="1:10" x14ac:dyDescent="0.25">
      <c r="A5032" t="s">
        <v>8</v>
      </c>
      <c r="B5032" t="s">
        <v>14365</v>
      </c>
      <c r="C5032" t="s">
        <v>14366</v>
      </c>
      <c r="D5032">
        <v>1</v>
      </c>
      <c r="E5032" t="s">
        <v>14360</v>
      </c>
      <c r="F5032" t="s">
        <v>14361</v>
      </c>
      <c r="G5032" s="1"/>
      <c r="H5032" t="str">
        <f>"4012740873512"</f>
        <v>4012740873512</v>
      </c>
      <c r="J5032" t="s">
        <v>14362</v>
      </c>
    </row>
    <row r="5033" spans="1:10" x14ac:dyDescent="0.25">
      <c r="A5033" t="s">
        <v>8</v>
      </c>
      <c r="B5033" t="s">
        <v>14367</v>
      </c>
      <c r="C5033" t="s">
        <v>14368</v>
      </c>
      <c r="D5033">
        <v>1</v>
      </c>
      <c r="E5033" t="s">
        <v>14360</v>
      </c>
      <c r="F5033" t="s">
        <v>14361</v>
      </c>
      <c r="G5033" s="1"/>
      <c r="H5033" t="str">
        <f>"4012740873536"</f>
        <v>4012740873536</v>
      </c>
      <c r="J5033" t="s">
        <v>14362</v>
      </c>
    </row>
    <row r="5034" spans="1:10" x14ac:dyDescent="0.25">
      <c r="A5034" t="s">
        <v>8</v>
      </c>
      <c r="B5034" t="s">
        <v>14369</v>
      </c>
      <c r="C5034" t="s">
        <v>14370</v>
      </c>
      <c r="D5034">
        <v>1</v>
      </c>
      <c r="E5034" t="s">
        <v>14360</v>
      </c>
      <c r="F5034" t="s">
        <v>14361</v>
      </c>
      <c r="G5034" s="1"/>
      <c r="H5034" t="str">
        <f>"4012740873543"</f>
        <v>4012740873543</v>
      </c>
      <c r="J5034" t="s">
        <v>14362</v>
      </c>
    </row>
    <row r="5035" spans="1:10" x14ac:dyDescent="0.25">
      <c r="A5035" t="s">
        <v>8</v>
      </c>
      <c r="B5035" t="s">
        <v>14371</v>
      </c>
      <c r="C5035" t="s">
        <v>14372</v>
      </c>
      <c r="D5035">
        <v>1</v>
      </c>
      <c r="E5035" t="s">
        <v>14360</v>
      </c>
      <c r="F5035" t="s">
        <v>14361</v>
      </c>
      <c r="G5035" s="1"/>
      <c r="H5035" t="str">
        <f>"4012740873550"</f>
        <v>4012740873550</v>
      </c>
      <c r="J5035" t="s">
        <v>14362</v>
      </c>
    </row>
    <row r="5036" spans="1:10" x14ac:dyDescent="0.25">
      <c r="A5036" t="s">
        <v>8</v>
      </c>
      <c r="B5036" t="s">
        <v>14373</v>
      </c>
      <c r="C5036" t="s">
        <v>14374</v>
      </c>
      <c r="D5036">
        <v>1</v>
      </c>
      <c r="E5036" t="s">
        <v>14360</v>
      </c>
      <c r="F5036" t="s">
        <v>14361</v>
      </c>
      <c r="G5036" s="1"/>
      <c r="H5036" t="str">
        <f>"4012740873574"</f>
        <v>4012740873574</v>
      </c>
      <c r="J5036" t="s">
        <v>7220</v>
      </c>
    </row>
    <row r="5037" spans="1:10" x14ac:dyDescent="0.25">
      <c r="A5037" t="s">
        <v>8</v>
      </c>
      <c r="B5037" t="s">
        <v>14375</v>
      </c>
      <c r="C5037" t="s">
        <v>14376</v>
      </c>
      <c r="D5037">
        <v>1</v>
      </c>
      <c r="E5037" t="s">
        <v>14360</v>
      </c>
      <c r="F5037" t="s">
        <v>14361</v>
      </c>
      <c r="G5037" s="1"/>
      <c r="H5037" t="str">
        <f>"4012740873581"</f>
        <v>4012740873581</v>
      </c>
      <c r="J5037" t="s">
        <v>7220</v>
      </c>
    </row>
    <row r="5038" spans="1:10" x14ac:dyDescent="0.25">
      <c r="A5038" t="s">
        <v>8</v>
      </c>
      <c r="B5038" t="s">
        <v>14377</v>
      </c>
      <c r="C5038" t="s">
        <v>14378</v>
      </c>
      <c r="D5038">
        <v>1</v>
      </c>
      <c r="E5038" t="s">
        <v>14360</v>
      </c>
      <c r="F5038" t="s">
        <v>14361</v>
      </c>
      <c r="G5038" s="1"/>
      <c r="H5038" t="str">
        <f>"4012740873598"</f>
        <v>4012740873598</v>
      </c>
      <c r="J5038" t="s">
        <v>7220</v>
      </c>
    </row>
    <row r="5039" spans="1:10" x14ac:dyDescent="0.25">
      <c r="A5039" t="s">
        <v>8</v>
      </c>
      <c r="B5039" t="s">
        <v>14379</v>
      </c>
      <c r="C5039" t="s">
        <v>14380</v>
      </c>
      <c r="D5039">
        <v>1</v>
      </c>
      <c r="E5039" t="s">
        <v>14360</v>
      </c>
      <c r="F5039" t="s">
        <v>14361</v>
      </c>
      <c r="G5039" s="1"/>
      <c r="H5039" t="str">
        <f>"4012740873611"</f>
        <v>4012740873611</v>
      </c>
      <c r="J5039" t="s">
        <v>12378</v>
      </c>
    </row>
    <row r="5040" spans="1:10" x14ac:dyDescent="0.25">
      <c r="A5040" t="s">
        <v>8</v>
      </c>
      <c r="B5040" t="s">
        <v>14381</v>
      </c>
      <c r="C5040" t="s">
        <v>14382</v>
      </c>
      <c r="D5040">
        <v>1</v>
      </c>
      <c r="E5040" t="s">
        <v>14360</v>
      </c>
      <c r="F5040" t="s">
        <v>14361</v>
      </c>
      <c r="G5040" s="1"/>
      <c r="H5040" t="str">
        <f>"4012740873628"</f>
        <v>4012740873628</v>
      </c>
      <c r="J5040" t="s">
        <v>12378</v>
      </c>
    </row>
    <row r="5041" spans="1:10" x14ac:dyDescent="0.25">
      <c r="A5041" t="s">
        <v>8</v>
      </c>
      <c r="B5041" t="s">
        <v>14383</v>
      </c>
      <c r="C5041" t="s">
        <v>14384</v>
      </c>
      <c r="D5041">
        <v>1</v>
      </c>
      <c r="E5041" t="s">
        <v>14360</v>
      </c>
      <c r="F5041" t="s">
        <v>14361</v>
      </c>
      <c r="G5041" s="1"/>
      <c r="H5041" t="str">
        <f>"4012740873635"</f>
        <v>4012740873635</v>
      </c>
      <c r="J5041" t="s">
        <v>12378</v>
      </c>
    </row>
    <row r="5042" spans="1:10" x14ac:dyDescent="0.25">
      <c r="A5042" t="s">
        <v>8</v>
      </c>
      <c r="B5042" t="s">
        <v>14385</v>
      </c>
      <c r="C5042" t="s">
        <v>14386</v>
      </c>
      <c r="D5042">
        <v>1</v>
      </c>
      <c r="E5042" t="s">
        <v>14360</v>
      </c>
      <c r="F5042" t="s">
        <v>14361</v>
      </c>
      <c r="G5042" s="1"/>
      <c r="H5042" t="str">
        <f>"4012740873697"</f>
        <v>4012740873697</v>
      </c>
      <c r="J5042" t="s">
        <v>14387</v>
      </c>
    </row>
    <row r="5043" spans="1:10" x14ac:dyDescent="0.25">
      <c r="A5043" t="s">
        <v>8</v>
      </c>
      <c r="B5043" t="s">
        <v>14388</v>
      </c>
      <c r="C5043" t="s">
        <v>14389</v>
      </c>
      <c r="D5043">
        <v>1</v>
      </c>
      <c r="E5043" t="s">
        <v>14360</v>
      </c>
      <c r="F5043" t="s">
        <v>14361</v>
      </c>
      <c r="G5043" s="1"/>
      <c r="H5043" t="str">
        <f>"4012740873703"</f>
        <v>4012740873703</v>
      </c>
      <c r="J5043" t="s">
        <v>14387</v>
      </c>
    </row>
    <row r="5044" spans="1:10" x14ac:dyDescent="0.25">
      <c r="A5044" t="s">
        <v>8</v>
      </c>
      <c r="B5044" t="s">
        <v>14390</v>
      </c>
      <c r="C5044" t="s">
        <v>14391</v>
      </c>
      <c r="D5044">
        <v>1</v>
      </c>
      <c r="E5044" t="s">
        <v>14360</v>
      </c>
      <c r="F5044" t="s">
        <v>14361</v>
      </c>
      <c r="G5044" s="1"/>
      <c r="H5044" t="str">
        <f>"4012740873710"</f>
        <v>4012740873710</v>
      </c>
      <c r="J5044" t="s">
        <v>14387</v>
      </c>
    </row>
    <row r="5045" spans="1:10" x14ac:dyDescent="0.25">
      <c r="A5045" t="s">
        <v>8</v>
      </c>
      <c r="B5045" t="s">
        <v>14392</v>
      </c>
      <c r="C5045" t="s">
        <v>14393</v>
      </c>
      <c r="D5045">
        <v>1</v>
      </c>
      <c r="E5045" t="s">
        <v>14360</v>
      </c>
      <c r="F5045" t="s">
        <v>14361</v>
      </c>
      <c r="G5045" s="1"/>
      <c r="H5045" t="str">
        <f>"4012740894029"</f>
        <v>4012740894029</v>
      </c>
      <c r="J5045" t="s">
        <v>14394</v>
      </c>
    </row>
    <row r="5046" spans="1:10" x14ac:dyDescent="0.25">
      <c r="A5046" t="s">
        <v>8</v>
      </c>
      <c r="B5046" t="s">
        <v>14395</v>
      </c>
      <c r="C5046" t="s">
        <v>14396</v>
      </c>
      <c r="D5046">
        <v>1</v>
      </c>
      <c r="E5046" t="s">
        <v>14360</v>
      </c>
      <c r="F5046" t="s">
        <v>14361</v>
      </c>
      <c r="G5046" s="1"/>
      <c r="H5046" t="str">
        <f>"4012740894036"</f>
        <v>4012740894036</v>
      </c>
      <c r="J5046" t="s">
        <v>14397</v>
      </c>
    </row>
    <row r="5047" spans="1:10" x14ac:dyDescent="0.25">
      <c r="A5047" t="s">
        <v>8</v>
      </c>
      <c r="B5047" t="s">
        <v>14398</v>
      </c>
      <c r="C5047" t="s">
        <v>14399</v>
      </c>
      <c r="D5047">
        <v>1</v>
      </c>
      <c r="E5047" t="s">
        <v>14360</v>
      </c>
      <c r="F5047" t="s">
        <v>14361</v>
      </c>
      <c r="G5047" s="1"/>
      <c r="H5047" t="str">
        <f>"4012740894043"</f>
        <v>4012740894043</v>
      </c>
      <c r="J5047" t="s">
        <v>14400</v>
      </c>
    </row>
    <row r="5048" spans="1:10" x14ac:dyDescent="0.25">
      <c r="A5048" t="s">
        <v>8</v>
      </c>
      <c r="B5048" t="s">
        <v>14401</v>
      </c>
      <c r="C5048" t="s">
        <v>14402</v>
      </c>
      <c r="D5048">
        <v>1</v>
      </c>
      <c r="E5048" t="s">
        <v>14360</v>
      </c>
      <c r="F5048" t="s">
        <v>14361</v>
      </c>
      <c r="G5048" s="1"/>
      <c r="H5048" t="str">
        <f>"4012740894050"</f>
        <v>4012740894050</v>
      </c>
      <c r="J5048" t="s">
        <v>14400</v>
      </c>
    </row>
    <row r="5049" spans="1:10" x14ac:dyDescent="0.25">
      <c r="A5049" t="s">
        <v>8</v>
      </c>
      <c r="B5049" t="s">
        <v>14403</v>
      </c>
      <c r="C5049" t="s">
        <v>14404</v>
      </c>
      <c r="D5049">
        <v>1</v>
      </c>
      <c r="E5049" t="s">
        <v>14360</v>
      </c>
      <c r="F5049" t="s">
        <v>14361</v>
      </c>
      <c r="G5049" s="1"/>
      <c r="H5049" t="str">
        <f>"4012740894074"</f>
        <v>4012740894074</v>
      </c>
      <c r="J5049" t="s">
        <v>14400</v>
      </c>
    </row>
    <row r="5050" spans="1:10" x14ac:dyDescent="0.25">
      <c r="A5050" t="s">
        <v>8</v>
      </c>
      <c r="B5050" t="s">
        <v>14405</v>
      </c>
      <c r="C5050" t="s">
        <v>14406</v>
      </c>
      <c r="D5050">
        <v>1</v>
      </c>
      <c r="E5050" t="s">
        <v>14360</v>
      </c>
      <c r="F5050" t="s">
        <v>14361</v>
      </c>
      <c r="G5050" s="1"/>
      <c r="H5050" t="str">
        <f>"4012740894104"</f>
        <v>4012740894104</v>
      </c>
      <c r="J5050" t="s">
        <v>14394</v>
      </c>
    </row>
    <row r="5051" spans="1:10" x14ac:dyDescent="0.25">
      <c r="A5051" t="s">
        <v>8</v>
      </c>
      <c r="B5051" t="s">
        <v>14407</v>
      </c>
      <c r="C5051" t="s">
        <v>14408</v>
      </c>
      <c r="D5051">
        <v>1</v>
      </c>
      <c r="E5051" t="s">
        <v>14360</v>
      </c>
      <c r="F5051" t="s">
        <v>14361</v>
      </c>
      <c r="G5051" s="1"/>
      <c r="H5051" t="str">
        <f>"4012740894111"</f>
        <v>4012740894111</v>
      </c>
      <c r="J5051" t="s">
        <v>14397</v>
      </c>
    </row>
    <row r="5052" spans="1:10" x14ac:dyDescent="0.25">
      <c r="A5052" t="s">
        <v>8</v>
      </c>
      <c r="B5052" t="s">
        <v>14409</v>
      </c>
      <c r="C5052" t="s">
        <v>14410</v>
      </c>
      <c r="D5052">
        <v>1</v>
      </c>
      <c r="E5052" t="s">
        <v>14360</v>
      </c>
      <c r="F5052" t="s">
        <v>14361</v>
      </c>
      <c r="G5052" s="1"/>
      <c r="H5052" t="str">
        <f>"4012740894128"</f>
        <v>4012740894128</v>
      </c>
      <c r="J5052" t="s">
        <v>14400</v>
      </c>
    </row>
    <row r="5053" spans="1:10" x14ac:dyDescent="0.25">
      <c r="A5053" t="s">
        <v>8</v>
      </c>
      <c r="B5053" t="s">
        <v>14411</v>
      </c>
      <c r="C5053" t="s">
        <v>14412</v>
      </c>
      <c r="D5053">
        <v>1</v>
      </c>
      <c r="E5053" t="s">
        <v>14360</v>
      </c>
      <c r="F5053" t="s">
        <v>14361</v>
      </c>
      <c r="G5053" s="1"/>
      <c r="H5053" t="str">
        <f>"4012740894135"</f>
        <v>4012740894135</v>
      </c>
      <c r="J5053" t="s">
        <v>14400</v>
      </c>
    </row>
    <row r="5054" spans="1:10" x14ac:dyDescent="0.25">
      <c r="A5054" t="s">
        <v>8</v>
      </c>
      <c r="B5054" t="s">
        <v>14413</v>
      </c>
      <c r="C5054" t="s">
        <v>14414</v>
      </c>
      <c r="D5054">
        <v>1</v>
      </c>
      <c r="E5054" t="s">
        <v>14360</v>
      </c>
      <c r="F5054" t="s">
        <v>14361</v>
      </c>
      <c r="G5054" s="1"/>
      <c r="H5054" t="str">
        <f>"4012740894159"</f>
        <v>4012740894159</v>
      </c>
      <c r="J5054" t="s">
        <v>14400</v>
      </c>
    </row>
    <row r="5055" spans="1:10" x14ac:dyDescent="0.25">
      <c r="A5055" t="s">
        <v>8</v>
      </c>
      <c r="B5055" t="s">
        <v>14415</v>
      </c>
      <c r="C5055" t="s">
        <v>14416</v>
      </c>
      <c r="D5055">
        <v>1</v>
      </c>
      <c r="E5055" t="s">
        <v>14360</v>
      </c>
      <c r="F5055" t="s">
        <v>14361</v>
      </c>
      <c r="G5055" s="1"/>
      <c r="H5055" t="str">
        <f>"4012740894180"</f>
        <v>4012740894180</v>
      </c>
      <c r="J5055" t="s">
        <v>2210</v>
      </c>
    </row>
    <row r="5056" spans="1:10" x14ac:dyDescent="0.25">
      <c r="A5056" t="s">
        <v>8</v>
      </c>
      <c r="B5056" t="s">
        <v>14417</v>
      </c>
      <c r="C5056" t="s">
        <v>14418</v>
      </c>
      <c r="D5056">
        <v>1</v>
      </c>
      <c r="E5056" t="s">
        <v>14360</v>
      </c>
      <c r="F5056" t="s">
        <v>14361</v>
      </c>
      <c r="G5056" s="1"/>
      <c r="H5056" t="str">
        <f>"4012740894197"</f>
        <v>4012740894197</v>
      </c>
      <c r="J5056" t="s">
        <v>14419</v>
      </c>
    </row>
    <row r="5057" spans="1:10" x14ac:dyDescent="0.25">
      <c r="A5057" t="s">
        <v>8</v>
      </c>
      <c r="B5057" t="s">
        <v>14420</v>
      </c>
      <c r="C5057" t="s">
        <v>14421</v>
      </c>
      <c r="D5057">
        <v>1</v>
      </c>
      <c r="E5057" t="s">
        <v>14360</v>
      </c>
      <c r="F5057" t="s">
        <v>14361</v>
      </c>
      <c r="G5057" s="1"/>
      <c r="H5057" t="str">
        <f>"4012740894203"</f>
        <v>4012740894203</v>
      </c>
      <c r="J5057" t="s">
        <v>14422</v>
      </c>
    </row>
    <row r="5058" spans="1:10" x14ac:dyDescent="0.25">
      <c r="A5058" t="s">
        <v>8</v>
      </c>
      <c r="B5058" t="s">
        <v>14423</v>
      </c>
      <c r="C5058" t="s">
        <v>14424</v>
      </c>
      <c r="D5058">
        <v>1</v>
      </c>
      <c r="E5058" t="s">
        <v>14360</v>
      </c>
      <c r="F5058" t="s">
        <v>14361</v>
      </c>
      <c r="G5058" s="1"/>
      <c r="H5058" t="str">
        <f>"4012740894210"</f>
        <v>4012740894210</v>
      </c>
      <c r="J5058" t="s">
        <v>14422</v>
      </c>
    </row>
    <row r="5059" spans="1:10" x14ac:dyDescent="0.25">
      <c r="A5059" t="s">
        <v>8</v>
      </c>
      <c r="B5059" t="s">
        <v>14425</v>
      </c>
      <c r="C5059" t="s">
        <v>14426</v>
      </c>
      <c r="D5059">
        <v>1</v>
      </c>
      <c r="E5059" t="s">
        <v>14360</v>
      </c>
      <c r="F5059" t="s">
        <v>14361</v>
      </c>
      <c r="G5059" s="1"/>
      <c r="H5059" t="str">
        <f>"4012740894234"</f>
        <v>4012740894234</v>
      </c>
      <c r="J5059" t="s">
        <v>14422</v>
      </c>
    </row>
    <row r="5060" spans="1:10" x14ac:dyDescent="0.25">
      <c r="A5060" t="s">
        <v>8</v>
      </c>
      <c r="B5060" t="s">
        <v>14427</v>
      </c>
      <c r="C5060" t="s">
        <v>14428</v>
      </c>
      <c r="D5060">
        <v>1</v>
      </c>
      <c r="E5060" t="s">
        <v>14360</v>
      </c>
      <c r="F5060" t="s">
        <v>14361</v>
      </c>
      <c r="G5060" s="1"/>
      <c r="H5060" t="str">
        <f>"4012740894265"</f>
        <v>4012740894265</v>
      </c>
      <c r="J5060" t="s">
        <v>14429</v>
      </c>
    </row>
    <row r="5061" spans="1:10" x14ac:dyDescent="0.25">
      <c r="A5061" t="s">
        <v>8</v>
      </c>
      <c r="B5061" t="s">
        <v>14430</v>
      </c>
      <c r="C5061" t="s">
        <v>14431</v>
      </c>
      <c r="D5061">
        <v>1</v>
      </c>
      <c r="E5061" t="s">
        <v>14360</v>
      </c>
      <c r="F5061" t="s">
        <v>14361</v>
      </c>
      <c r="G5061" s="1"/>
      <c r="H5061" t="str">
        <f>"4012740894272"</f>
        <v>4012740894272</v>
      </c>
      <c r="J5061" t="s">
        <v>14432</v>
      </c>
    </row>
    <row r="5062" spans="1:10" x14ac:dyDescent="0.25">
      <c r="A5062" t="s">
        <v>8</v>
      </c>
      <c r="B5062" t="s">
        <v>14433</v>
      </c>
      <c r="C5062" t="s">
        <v>14434</v>
      </c>
      <c r="D5062">
        <v>1</v>
      </c>
      <c r="E5062" t="s">
        <v>14360</v>
      </c>
      <c r="F5062" t="s">
        <v>14361</v>
      </c>
      <c r="G5062" s="1"/>
      <c r="H5062" t="str">
        <f>"4012740894289"</f>
        <v>4012740894289</v>
      </c>
      <c r="J5062" t="s">
        <v>14435</v>
      </c>
    </row>
    <row r="5063" spans="1:10" x14ac:dyDescent="0.25">
      <c r="A5063" t="s">
        <v>8</v>
      </c>
      <c r="B5063" t="s">
        <v>14436</v>
      </c>
      <c r="C5063" t="s">
        <v>14437</v>
      </c>
      <c r="D5063">
        <v>1</v>
      </c>
      <c r="E5063" t="s">
        <v>14360</v>
      </c>
      <c r="F5063" t="s">
        <v>14361</v>
      </c>
      <c r="G5063" s="1"/>
      <c r="H5063" t="str">
        <f>"4012740894296"</f>
        <v>4012740894296</v>
      </c>
      <c r="J5063" t="s">
        <v>14435</v>
      </c>
    </row>
    <row r="5064" spans="1:10" x14ac:dyDescent="0.25">
      <c r="A5064" t="s">
        <v>8</v>
      </c>
      <c r="B5064" t="s">
        <v>14438</v>
      </c>
      <c r="C5064" t="s">
        <v>14439</v>
      </c>
      <c r="D5064">
        <v>1</v>
      </c>
      <c r="E5064" t="s">
        <v>14360</v>
      </c>
      <c r="F5064" t="s">
        <v>14361</v>
      </c>
      <c r="G5064" s="1"/>
      <c r="H5064" t="str">
        <f>"4012740894319"</f>
        <v>4012740894319</v>
      </c>
      <c r="J5064" t="s">
        <v>14435</v>
      </c>
    </row>
    <row r="5065" spans="1:10" x14ac:dyDescent="0.25">
      <c r="A5065" t="s">
        <v>8</v>
      </c>
      <c r="B5065" t="s">
        <v>14440</v>
      </c>
      <c r="C5065" t="s">
        <v>14441</v>
      </c>
      <c r="D5065">
        <v>1</v>
      </c>
      <c r="E5065" t="s">
        <v>14360</v>
      </c>
      <c r="F5065" t="s">
        <v>14361</v>
      </c>
      <c r="G5065" s="1"/>
      <c r="H5065" t="str">
        <f>"4012740222174"</f>
        <v>4012740222174</v>
      </c>
      <c r="J5065" t="s">
        <v>14442</v>
      </c>
    </row>
    <row r="5066" spans="1:10" x14ac:dyDescent="0.25">
      <c r="A5066" t="s">
        <v>8</v>
      </c>
      <c r="B5066" t="s">
        <v>14443</v>
      </c>
      <c r="C5066" t="s">
        <v>14444</v>
      </c>
      <c r="D5066">
        <v>1</v>
      </c>
      <c r="E5066" t="s">
        <v>14360</v>
      </c>
      <c r="F5066" t="s">
        <v>14361</v>
      </c>
      <c r="G5066" s="1"/>
      <c r="H5066" t="str">
        <f>"4012740222211"</f>
        <v>4012740222211</v>
      </c>
      <c r="J5066" t="s">
        <v>14445</v>
      </c>
    </row>
    <row r="5067" spans="1:10" x14ac:dyDescent="0.25">
      <c r="A5067" t="s">
        <v>8</v>
      </c>
      <c r="B5067" t="s">
        <v>14446</v>
      </c>
      <c r="C5067" t="s">
        <v>14447</v>
      </c>
      <c r="D5067">
        <v>1</v>
      </c>
      <c r="E5067" t="s">
        <v>14360</v>
      </c>
      <c r="F5067" t="s">
        <v>14361</v>
      </c>
      <c r="G5067" s="1"/>
      <c r="H5067" t="str">
        <f>"4012740894340"</f>
        <v>4012740894340</v>
      </c>
      <c r="J5067" t="s">
        <v>14448</v>
      </c>
    </row>
    <row r="5068" spans="1:10" x14ac:dyDescent="0.25">
      <c r="A5068" t="s">
        <v>8</v>
      </c>
      <c r="B5068" t="s">
        <v>14449</v>
      </c>
      <c r="C5068" t="s">
        <v>14450</v>
      </c>
      <c r="D5068">
        <v>1</v>
      </c>
      <c r="E5068" t="s">
        <v>14360</v>
      </c>
      <c r="F5068" t="s">
        <v>14361</v>
      </c>
      <c r="G5068" s="1"/>
      <c r="H5068" t="str">
        <f>"4012740894357"</f>
        <v>4012740894357</v>
      </c>
      <c r="J5068" t="s">
        <v>14451</v>
      </c>
    </row>
    <row r="5069" spans="1:10" x14ac:dyDescent="0.25">
      <c r="A5069" t="s">
        <v>8</v>
      </c>
      <c r="B5069" t="s">
        <v>14452</v>
      </c>
      <c r="C5069" t="s">
        <v>14453</v>
      </c>
      <c r="D5069">
        <v>1</v>
      </c>
      <c r="E5069" t="s">
        <v>14360</v>
      </c>
      <c r="F5069" t="s">
        <v>14361</v>
      </c>
      <c r="G5069" s="1"/>
      <c r="H5069" t="str">
        <f>"4012740894883"</f>
        <v>4012740894883</v>
      </c>
      <c r="J5069" t="s">
        <v>14454</v>
      </c>
    </row>
    <row r="5070" spans="1:10" x14ac:dyDescent="0.25">
      <c r="A5070" t="s">
        <v>8</v>
      </c>
      <c r="B5070" t="s">
        <v>14455</v>
      </c>
      <c r="C5070" t="s">
        <v>14456</v>
      </c>
      <c r="D5070">
        <v>1</v>
      </c>
      <c r="E5070" t="s">
        <v>14360</v>
      </c>
      <c r="F5070" t="s">
        <v>14361</v>
      </c>
      <c r="G5070" s="1"/>
      <c r="H5070" t="str">
        <f>"4012740894890"</f>
        <v>4012740894890</v>
      </c>
      <c r="J5070" t="s">
        <v>14457</v>
      </c>
    </row>
    <row r="5071" spans="1:10" x14ac:dyDescent="0.25">
      <c r="A5071" t="s">
        <v>8</v>
      </c>
      <c r="B5071" t="s">
        <v>14458</v>
      </c>
      <c r="C5071" t="s">
        <v>14459</v>
      </c>
      <c r="D5071">
        <v>1</v>
      </c>
      <c r="E5071" t="s">
        <v>14360</v>
      </c>
      <c r="F5071" t="s">
        <v>14361</v>
      </c>
      <c r="G5071" s="1"/>
      <c r="H5071" t="str">
        <f>"4012740894906"</f>
        <v>4012740894906</v>
      </c>
      <c r="J5071" t="s">
        <v>14460</v>
      </c>
    </row>
    <row r="5072" spans="1:10" x14ac:dyDescent="0.25">
      <c r="A5072" t="s">
        <v>8</v>
      </c>
      <c r="B5072" t="s">
        <v>14461</v>
      </c>
      <c r="C5072" t="s">
        <v>14462</v>
      </c>
      <c r="D5072">
        <v>1</v>
      </c>
      <c r="E5072" t="s">
        <v>14360</v>
      </c>
      <c r="F5072" t="s">
        <v>14361</v>
      </c>
      <c r="G5072" s="1"/>
      <c r="H5072" t="str">
        <f>"4012740894913"</f>
        <v>4012740894913</v>
      </c>
      <c r="J5072" t="s">
        <v>14460</v>
      </c>
    </row>
    <row r="5073" spans="1:10" x14ac:dyDescent="0.25">
      <c r="A5073" t="s">
        <v>8</v>
      </c>
      <c r="B5073" t="s">
        <v>14463</v>
      </c>
      <c r="C5073" t="s">
        <v>14464</v>
      </c>
      <c r="D5073">
        <v>1</v>
      </c>
      <c r="E5073" t="s">
        <v>14360</v>
      </c>
      <c r="F5073" t="s">
        <v>14361</v>
      </c>
      <c r="G5073" s="1"/>
      <c r="H5073" t="str">
        <f>"4012740894937"</f>
        <v>4012740894937</v>
      </c>
      <c r="J5073" t="s">
        <v>14460</v>
      </c>
    </row>
    <row r="5074" spans="1:10" x14ac:dyDescent="0.25">
      <c r="A5074" t="s">
        <v>8</v>
      </c>
      <c r="B5074" t="s">
        <v>14465</v>
      </c>
      <c r="C5074" t="s">
        <v>14466</v>
      </c>
      <c r="D5074">
        <v>1</v>
      </c>
      <c r="E5074" t="s">
        <v>14360</v>
      </c>
      <c r="F5074" t="s">
        <v>14361</v>
      </c>
      <c r="G5074" s="1"/>
      <c r="H5074" t="str">
        <f>"4012740873765"</f>
        <v>4012740873765</v>
      </c>
      <c r="J5074" t="s">
        <v>14467</v>
      </c>
    </row>
    <row r="5075" spans="1:10" x14ac:dyDescent="0.25">
      <c r="A5075" t="s">
        <v>8</v>
      </c>
      <c r="B5075" t="s">
        <v>14468</v>
      </c>
      <c r="C5075" t="s">
        <v>14469</v>
      </c>
      <c r="D5075">
        <v>1</v>
      </c>
      <c r="E5075" t="s">
        <v>14360</v>
      </c>
      <c r="F5075" t="s">
        <v>14361</v>
      </c>
      <c r="G5075" s="1"/>
      <c r="H5075" t="str">
        <f>"4012740873772"</f>
        <v>4012740873772</v>
      </c>
      <c r="J5075" t="s">
        <v>14467</v>
      </c>
    </row>
    <row r="5076" spans="1:10" x14ac:dyDescent="0.25">
      <c r="A5076" t="s">
        <v>8</v>
      </c>
      <c r="B5076" t="s">
        <v>14470</v>
      </c>
      <c r="C5076" t="s">
        <v>14471</v>
      </c>
      <c r="D5076">
        <v>1</v>
      </c>
      <c r="E5076" t="s">
        <v>14360</v>
      </c>
      <c r="F5076" t="s">
        <v>14361</v>
      </c>
      <c r="G5076" s="1"/>
      <c r="H5076" t="str">
        <f>"4012740895095"</f>
        <v>4012740895095</v>
      </c>
      <c r="J5076" t="s">
        <v>14472</v>
      </c>
    </row>
    <row r="5077" spans="1:10" x14ac:dyDescent="0.25">
      <c r="A5077" t="s">
        <v>8</v>
      </c>
      <c r="B5077" t="s">
        <v>14473</v>
      </c>
      <c r="C5077" t="s">
        <v>14474</v>
      </c>
      <c r="D5077">
        <v>1</v>
      </c>
      <c r="E5077" t="s">
        <v>14360</v>
      </c>
      <c r="F5077" t="s">
        <v>14361</v>
      </c>
      <c r="G5077" s="1"/>
      <c r="H5077" t="str">
        <f>"4012740895101"</f>
        <v>4012740895101</v>
      </c>
      <c r="J5077" t="s">
        <v>11614</v>
      </c>
    </row>
    <row r="5078" spans="1:10" x14ac:dyDescent="0.25">
      <c r="A5078" t="s">
        <v>8</v>
      </c>
      <c r="B5078" t="s">
        <v>14475</v>
      </c>
      <c r="C5078" t="s">
        <v>14476</v>
      </c>
      <c r="D5078">
        <v>1</v>
      </c>
      <c r="E5078" t="s">
        <v>14360</v>
      </c>
      <c r="F5078" t="s">
        <v>14361</v>
      </c>
      <c r="G5078" s="1"/>
      <c r="H5078" t="str">
        <f>"4012740895118"</f>
        <v>4012740895118</v>
      </c>
      <c r="J5078" t="s">
        <v>13450</v>
      </c>
    </row>
    <row r="5079" spans="1:10" x14ac:dyDescent="0.25">
      <c r="A5079" t="s">
        <v>8</v>
      </c>
      <c r="B5079" t="s">
        <v>14477</v>
      </c>
      <c r="C5079" t="s">
        <v>14478</v>
      </c>
      <c r="D5079">
        <v>1</v>
      </c>
      <c r="E5079" t="s">
        <v>14360</v>
      </c>
      <c r="F5079" t="s">
        <v>14361</v>
      </c>
      <c r="G5079" s="1"/>
      <c r="H5079" t="str">
        <f>"4012740895125"</f>
        <v>4012740895125</v>
      </c>
      <c r="J5079" t="s">
        <v>13450</v>
      </c>
    </row>
    <row r="5080" spans="1:10" x14ac:dyDescent="0.25">
      <c r="A5080" t="s">
        <v>8</v>
      </c>
      <c r="B5080" t="s">
        <v>14479</v>
      </c>
      <c r="C5080" t="s">
        <v>14480</v>
      </c>
      <c r="D5080">
        <v>1</v>
      </c>
      <c r="E5080" t="s">
        <v>14360</v>
      </c>
      <c r="F5080" t="s">
        <v>14361</v>
      </c>
      <c r="G5080" s="1"/>
      <c r="H5080" t="str">
        <f>"4012740895149"</f>
        <v>4012740895149</v>
      </c>
      <c r="J5080" t="s">
        <v>13450</v>
      </c>
    </row>
    <row r="5081" spans="1:10" x14ac:dyDescent="0.25">
      <c r="A5081" t="s">
        <v>8</v>
      </c>
      <c r="B5081" t="s">
        <v>14481</v>
      </c>
      <c r="C5081" t="s">
        <v>14482</v>
      </c>
      <c r="D5081">
        <v>1</v>
      </c>
      <c r="E5081" t="s">
        <v>14360</v>
      </c>
      <c r="F5081" t="s">
        <v>14361</v>
      </c>
      <c r="G5081" s="1"/>
      <c r="H5081" t="str">
        <f>"4012740895170"</f>
        <v>4012740895170</v>
      </c>
      <c r="J5081" t="s">
        <v>14472</v>
      </c>
    </row>
    <row r="5082" spans="1:10" x14ac:dyDescent="0.25">
      <c r="A5082" t="s">
        <v>8</v>
      </c>
      <c r="B5082" t="s">
        <v>14483</v>
      </c>
      <c r="C5082" t="s">
        <v>14484</v>
      </c>
      <c r="D5082">
        <v>1</v>
      </c>
      <c r="E5082" t="s">
        <v>14360</v>
      </c>
      <c r="F5082" t="s">
        <v>14361</v>
      </c>
      <c r="G5082" s="1"/>
      <c r="H5082" t="str">
        <f>"4012740895187"</f>
        <v>4012740895187</v>
      </c>
      <c r="J5082" t="s">
        <v>11614</v>
      </c>
    </row>
    <row r="5083" spans="1:10" x14ac:dyDescent="0.25">
      <c r="A5083" t="s">
        <v>8</v>
      </c>
      <c r="B5083" t="s">
        <v>14485</v>
      </c>
      <c r="C5083" t="s">
        <v>14486</v>
      </c>
      <c r="D5083">
        <v>1</v>
      </c>
      <c r="E5083" t="s">
        <v>14360</v>
      </c>
      <c r="F5083" t="s">
        <v>14361</v>
      </c>
      <c r="G5083" s="1"/>
      <c r="H5083" t="str">
        <f>"4012740895194"</f>
        <v>4012740895194</v>
      </c>
      <c r="J5083" t="s">
        <v>13450</v>
      </c>
    </row>
    <row r="5084" spans="1:10" x14ac:dyDescent="0.25">
      <c r="A5084" t="s">
        <v>8</v>
      </c>
      <c r="B5084" t="s">
        <v>14487</v>
      </c>
      <c r="C5084" t="s">
        <v>14488</v>
      </c>
      <c r="D5084">
        <v>1</v>
      </c>
      <c r="E5084" t="s">
        <v>14360</v>
      </c>
      <c r="F5084" t="s">
        <v>14361</v>
      </c>
      <c r="G5084" s="1"/>
      <c r="H5084" t="str">
        <f>"4012740895200"</f>
        <v>4012740895200</v>
      </c>
      <c r="J5084" t="s">
        <v>13450</v>
      </c>
    </row>
    <row r="5085" spans="1:10" x14ac:dyDescent="0.25">
      <c r="A5085" t="s">
        <v>8</v>
      </c>
      <c r="B5085" t="s">
        <v>14489</v>
      </c>
      <c r="C5085" t="s">
        <v>14490</v>
      </c>
      <c r="D5085">
        <v>1</v>
      </c>
      <c r="E5085" t="s">
        <v>14360</v>
      </c>
      <c r="F5085" t="s">
        <v>14361</v>
      </c>
      <c r="G5085" s="1"/>
      <c r="H5085" t="str">
        <f>"4012740895224"</f>
        <v>4012740895224</v>
      </c>
      <c r="J5085" t="s">
        <v>13450</v>
      </c>
    </row>
    <row r="5086" spans="1:10" x14ac:dyDescent="0.25">
      <c r="A5086" t="s">
        <v>8</v>
      </c>
      <c r="B5086" t="s">
        <v>14491</v>
      </c>
      <c r="C5086" t="s">
        <v>14492</v>
      </c>
      <c r="D5086">
        <v>1</v>
      </c>
      <c r="E5086" t="s">
        <v>14360</v>
      </c>
      <c r="F5086" t="s">
        <v>14361</v>
      </c>
      <c r="G5086" s="1"/>
      <c r="H5086" t="str">
        <f>"4012740895255"</f>
        <v>4012740895255</v>
      </c>
      <c r="J5086" t="s">
        <v>14493</v>
      </c>
    </row>
    <row r="5087" spans="1:10" x14ac:dyDescent="0.25">
      <c r="A5087" t="s">
        <v>8</v>
      </c>
      <c r="B5087" t="s">
        <v>14494</v>
      </c>
      <c r="C5087" t="s">
        <v>14495</v>
      </c>
      <c r="D5087">
        <v>1</v>
      </c>
      <c r="E5087" t="s">
        <v>14360</v>
      </c>
      <c r="F5087" t="s">
        <v>14361</v>
      </c>
      <c r="G5087" s="1"/>
      <c r="H5087" t="str">
        <f>"4012740895262"</f>
        <v>4012740895262</v>
      </c>
      <c r="J5087" t="s">
        <v>14496</v>
      </c>
    </row>
    <row r="5088" spans="1:10" x14ac:dyDescent="0.25">
      <c r="A5088" t="s">
        <v>8</v>
      </c>
      <c r="B5088" t="s">
        <v>14497</v>
      </c>
      <c r="C5088" t="s">
        <v>14498</v>
      </c>
      <c r="D5088">
        <v>1</v>
      </c>
      <c r="E5088" t="s">
        <v>14360</v>
      </c>
      <c r="F5088" t="s">
        <v>14361</v>
      </c>
      <c r="G5088" s="1"/>
      <c r="H5088" t="str">
        <f>"4012740895279"</f>
        <v>4012740895279</v>
      </c>
      <c r="J5088" t="s">
        <v>14499</v>
      </c>
    </row>
    <row r="5089" spans="1:10" x14ac:dyDescent="0.25">
      <c r="A5089" t="s">
        <v>8</v>
      </c>
      <c r="B5089" t="s">
        <v>14500</v>
      </c>
      <c r="C5089" t="s">
        <v>14501</v>
      </c>
      <c r="D5089">
        <v>1</v>
      </c>
      <c r="E5089" t="s">
        <v>14360</v>
      </c>
      <c r="F5089" t="s">
        <v>14361</v>
      </c>
      <c r="G5089" s="1"/>
      <c r="H5089" t="str">
        <f>"4012740895286"</f>
        <v>4012740895286</v>
      </c>
      <c r="J5089" t="s">
        <v>14499</v>
      </c>
    </row>
    <row r="5090" spans="1:10" x14ac:dyDescent="0.25">
      <c r="A5090" t="s">
        <v>8</v>
      </c>
      <c r="B5090" t="s">
        <v>14502</v>
      </c>
      <c r="C5090" t="s">
        <v>14503</v>
      </c>
      <c r="D5090">
        <v>1</v>
      </c>
      <c r="E5090" t="s">
        <v>14360</v>
      </c>
      <c r="F5090" t="s">
        <v>14361</v>
      </c>
      <c r="G5090" s="1"/>
      <c r="H5090" t="str">
        <f>"4012740895309"</f>
        <v>4012740895309</v>
      </c>
      <c r="J5090" t="s">
        <v>14499</v>
      </c>
    </row>
    <row r="5091" spans="1:10" x14ac:dyDescent="0.25">
      <c r="A5091" t="s">
        <v>8</v>
      </c>
      <c r="B5091" t="s">
        <v>14504</v>
      </c>
      <c r="C5091" t="s">
        <v>14505</v>
      </c>
      <c r="D5091">
        <v>1</v>
      </c>
      <c r="E5091" t="s">
        <v>14360</v>
      </c>
      <c r="F5091" t="s">
        <v>14361</v>
      </c>
      <c r="G5091" s="1"/>
      <c r="H5091" t="str">
        <f>"4012740895330"</f>
        <v>4012740895330</v>
      </c>
      <c r="J5091" t="s">
        <v>14506</v>
      </c>
    </row>
    <row r="5092" spans="1:10" x14ac:dyDescent="0.25">
      <c r="A5092" t="s">
        <v>8</v>
      </c>
      <c r="B5092" t="s">
        <v>14507</v>
      </c>
      <c r="C5092" t="s">
        <v>14508</v>
      </c>
      <c r="D5092">
        <v>1</v>
      </c>
      <c r="E5092" t="s">
        <v>14360</v>
      </c>
      <c r="F5092" t="s">
        <v>14361</v>
      </c>
      <c r="G5092" s="1"/>
      <c r="H5092" t="str">
        <f>"4012740895347"</f>
        <v>4012740895347</v>
      </c>
      <c r="J5092" t="s">
        <v>14509</v>
      </c>
    </row>
    <row r="5093" spans="1:10" x14ac:dyDescent="0.25">
      <c r="A5093" t="s">
        <v>8</v>
      </c>
      <c r="B5093" t="s">
        <v>14510</v>
      </c>
      <c r="C5093" t="s">
        <v>14511</v>
      </c>
      <c r="D5093">
        <v>1</v>
      </c>
      <c r="E5093" t="s">
        <v>14360</v>
      </c>
      <c r="F5093" t="s">
        <v>14361</v>
      </c>
      <c r="G5093" s="1"/>
      <c r="H5093" t="str">
        <f>"4012740895354"</f>
        <v>4012740895354</v>
      </c>
      <c r="J5093" t="s">
        <v>14512</v>
      </c>
    </row>
    <row r="5094" spans="1:10" x14ac:dyDescent="0.25">
      <c r="A5094" t="s">
        <v>8</v>
      </c>
      <c r="B5094" t="s">
        <v>14513</v>
      </c>
      <c r="C5094" t="s">
        <v>14514</v>
      </c>
      <c r="D5094">
        <v>1</v>
      </c>
      <c r="E5094" t="s">
        <v>14360</v>
      </c>
      <c r="F5094" t="s">
        <v>14361</v>
      </c>
      <c r="G5094" s="1"/>
      <c r="H5094" t="str">
        <f>"4012740895361"</f>
        <v>4012740895361</v>
      </c>
      <c r="J5094" t="s">
        <v>14512</v>
      </c>
    </row>
    <row r="5095" spans="1:10" x14ac:dyDescent="0.25">
      <c r="A5095" t="s">
        <v>8</v>
      </c>
      <c r="B5095" t="s">
        <v>14515</v>
      </c>
      <c r="C5095" t="s">
        <v>14516</v>
      </c>
      <c r="D5095">
        <v>1</v>
      </c>
      <c r="E5095" t="s">
        <v>14360</v>
      </c>
      <c r="F5095" t="s">
        <v>14361</v>
      </c>
      <c r="G5095" s="1"/>
      <c r="H5095" t="str">
        <f>"4012740895385"</f>
        <v>4012740895385</v>
      </c>
      <c r="J5095" t="s">
        <v>14512</v>
      </c>
    </row>
    <row r="5096" spans="1:10" x14ac:dyDescent="0.25">
      <c r="A5096" t="s">
        <v>8</v>
      </c>
      <c r="B5096" t="s">
        <v>14517</v>
      </c>
      <c r="C5096" t="s">
        <v>14518</v>
      </c>
      <c r="D5096">
        <v>1</v>
      </c>
      <c r="E5096" t="s">
        <v>14360</v>
      </c>
      <c r="F5096" t="s">
        <v>14361</v>
      </c>
      <c r="G5096" s="1"/>
      <c r="H5096" t="str">
        <f>"4012740222297"</f>
        <v>4012740222297</v>
      </c>
      <c r="J5096" t="s">
        <v>14519</v>
      </c>
    </row>
    <row r="5097" spans="1:10" x14ac:dyDescent="0.25">
      <c r="A5097" t="s">
        <v>8</v>
      </c>
      <c r="B5097" t="s">
        <v>14520</v>
      </c>
      <c r="C5097" t="s">
        <v>14521</v>
      </c>
      <c r="D5097">
        <v>1</v>
      </c>
      <c r="E5097" t="s">
        <v>14360</v>
      </c>
      <c r="F5097" t="s">
        <v>14361</v>
      </c>
      <c r="G5097" s="1"/>
      <c r="H5097" t="str">
        <f>"4012740222303"</f>
        <v>4012740222303</v>
      </c>
      <c r="J5097" t="s">
        <v>14522</v>
      </c>
    </row>
    <row r="5098" spans="1:10" x14ac:dyDescent="0.25">
      <c r="A5098" t="s">
        <v>8</v>
      </c>
      <c r="B5098" t="s">
        <v>14523</v>
      </c>
      <c r="C5098" t="s">
        <v>14524</v>
      </c>
      <c r="D5098">
        <v>1</v>
      </c>
      <c r="E5098" t="s">
        <v>14360</v>
      </c>
      <c r="F5098" t="s">
        <v>14361</v>
      </c>
      <c r="G5098" s="1"/>
      <c r="H5098" t="str">
        <f>"4012740895415"</f>
        <v>4012740895415</v>
      </c>
      <c r="J5098" t="s">
        <v>14525</v>
      </c>
    </row>
    <row r="5099" spans="1:10" x14ac:dyDescent="0.25">
      <c r="A5099" t="s">
        <v>8</v>
      </c>
      <c r="B5099" t="s">
        <v>14526</v>
      </c>
      <c r="C5099" t="s">
        <v>14527</v>
      </c>
      <c r="D5099">
        <v>1</v>
      </c>
      <c r="E5099" t="s">
        <v>14360</v>
      </c>
      <c r="F5099" t="s">
        <v>14361</v>
      </c>
      <c r="G5099" s="1"/>
      <c r="H5099" t="str">
        <f>"4012740895422"</f>
        <v>4012740895422</v>
      </c>
      <c r="J5099" t="s">
        <v>1867</v>
      </c>
    </row>
    <row r="5100" spans="1:10" x14ac:dyDescent="0.25">
      <c r="A5100" t="s">
        <v>8</v>
      </c>
      <c r="B5100" t="s">
        <v>14528</v>
      </c>
      <c r="C5100" t="s">
        <v>14529</v>
      </c>
      <c r="D5100">
        <v>1</v>
      </c>
      <c r="E5100" t="s">
        <v>14360</v>
      </c>
      <c r="F5100" t="s">
        <v>14361</v>
      </c>
      <c r="G5100" s="1"/>
      <c r="H5100" t="str">
        <f>"4012740873826"</f>
        <v>4012740873826</v>
      </c>
      <c r="J5100" t="s">
        <v>14530</v>
      </c>
    </row>
    <row r="5101" spans="1:10" x14ac:dyDescent="0.25">
      <c r="A5101" t="s">
        <v>8</v>
      </c>
      <c r="B5101" t="s">
        <v>14531</v>
      </c>
      <c r="C5101" t="s">
        <v>14532</v>
      </c>
      <c r="D5101">
        <v>1</v>
      </c>
      <c r="E5101" t="s">
        <v>14360</v>
      </c>
      <c r="F5101" t="s">
        <v>14361</v>
      </c>
      <c r="G5101" s="1"/>
      <c r="H5101" t="str">
        <f>"4012740873833"</f>
        <v>4012740873833</v>
      </c>
      <c r="J5101" t="s">
        <v>14530</v>
      </c>
    </row>
    <row r="5102" spans="1:10" x14ac:dyDescent="0.25">
      <c r="A5102" t="s">
        <v>8</v>
      </c>
      <c r="B5102" t="s">
        <v>14533</v>
      </c>
      <c r="C5102" t="s">
        <v>14534</v>
      </c>
      <c r="D5102">
        <v>1</v>
      </c>
      <c r="E5102" t="s">
        <v>14360</v>
      </c>
      <c r="F5102" t="s">
        <v>14361</v>
      </c>
      <c r="G5102" s="1"/>
      <c r="H5102" t="str">
        <f>"4012740896061"</f>
        <v>4012740896061</v>
      </c>
      <c r="J5102" t="s">
        <v>2399</v>
      </c>
    </row>
    <row r="5103" spans="1:10" x14ac:dyDescent="0.25">
      <c r="A5103" t="s">
        <v>8</v>
      </c>
      <c r="B5103" t="s">
        <v>14535</v>
      </c>
      <c r="C5103" t="s">
        <v>14536</v>
      </c>
      <c r="D5103">
        <v>1</v>
      </c>
      <c r="E5103" t="s">
        <v>14360</v>
      </c>
      <c r="F5103" t="s">
        <v>14361</v>
      </c>
      <c r="G5103" s="1"/>
      <c r="H5103" t="str">
        <f>"4012740896085"</f>
        <v>4012740896085</v>
      </c>
      <c r="J5103" t="s">
        <v>2399</v>
      </c>
    </row>
    <row r="5104" spans="1:10" x14ac:dyDescent="0.25">
      <c r="A5104" t="s">
        <v>8</v>
      </c>
      <c r="B5104" t="s">
        <v>14537</v>
      </c>
      <c r="C5104" t="s">
        <v>14538</v>
      </c>
      <c r="D5104">
        <v>1</v>
      </c>
      <c r="E5104" t="s">
        <v>14360</v>
      </c>
      <c r="F5104" t="s">
        <v>14361</v>
      </c>
      <c r="G5104" s="1"/>
      <c r="H5104" t="str">
        <f>"4012740221788"</f>
        <v>4012740221788</v>
      </c>
      <c r="J5104" t="s">
        <v>11895</v>
      </c>
    </row>
    <row r="5105" spans="1:10" x14ac:dyDescent="0.25">
      <c r="A5105" t="s">
        <v>8</v>
      </c>
      <c r="B5105" t="s">
        <v>14539</v>
      </c>
      <c r="C5105" t="s">
        <v>14540</v>
      </c>
      <c r="D5105">
        <v>1</v>
      </c>
      <c r="E5105" t="s">
        <v>14360</v>
      </c>
      <c r="F5105" t="s">
        <v>14361</v>
      </c>
      <c r="G5105" s="1"/>
      <c r="H5105" t="str">
        <f>"4012740221801"</f>
        <v>4012740221801</v>
      </c>
      <c r="J5105" t="s">
        <v>14541</v>
      </c>
    </row>
    <row r="5106" spans="1:10" x14ac:dyDescent="0.25">
      <c r="A5106" t="s">
        <v>8</v>
      </c>
      <c r="B5106" t="s">
        <v>14542</v>
      </c>
      <c r="C5106" t="s">
        <v>14543</v>
      </c>
      <c r="D5106">
        <v>1</v>
      </c>
      <c r="E5106" t="s">
        <v>14360</v>
      </c>
      <c r="F5106" t="s">
        <v>14361</v>
      </c>
      <c r="G5106" s="1"/>
      <c r="H5106" t="str">
        <f>"4012740222372"</f>
        <v>4012740222372</v>
      </c>
      <c r="J5106" t="s">
        <v>14544</v>
      </c>
    </row>
    <row r="5107" spans="1:10" x14ac:dyDescent="0.25">
      <c r="A5107" t="s">
        <v>8</v>
      </c>
      <c r="B5107" t="s">
        <v>14545</v>
      </c>
      <c r="C5107" t="s">
        <v>14546</v>
      </c>
      <c r="D5107">
        <v>1</v>
      </c>
      <c r="E5107" t="s">
        <v>14360</v>
      </c>
      <c r="F5107" t="s">
        <v>14361</v>
      </c>
      <c r="G5107" s="1"/>
      <c r="H5107" t="str">
        <f>"4012740896146"</f>
        <v>4012740896146</v>
      </c>
      <c r="J5107" t="s">
        <v>14547</v>
      </c>
    </row>
    <row r="5108" spans="1:10" x14ac:dyDescent="0.25">
      <c r="A5108" t="s">
        <v>8</v>
      </c>
      <c r="B5108" t="s">
        <v>14548</v>
      </c>
      <c r="C5108" t="s">
        <v>14549</v>
      </c>
      <c r="D5108">
        <v>1</v>
      </c>
      <c r="E5108" t="s">
        <v>14360</v>
      </c>
      <c r="F5108" t="s">
        <v>14361</v>
      </c>
      <c r="G5108" s="1"/>
      <c r="H5108" t="str">
        <f>"4012740873871"</f>
        <v>4012740873871</v>
      </c>
      <c r="J5108" t="s">
        <v>14550</v>
      </c>
    </row>
    <row r="5109" spans="1:10" x14ac:dyDescent="0.25">
      <c r="A5109" t="s">
        <v>8</v>
      </c>
      <c r="B5109" t="s">
        <v>14551</v>
      </c>
      <c r="C5109" t="s">
        <v>14552</v>
      </c>
      <c r="D5109">
        <v>1</v>
      </c>
      <c r="E5109" t="s">
        <v>14360</v>
      </c>
      <c r="F5109" t="s">
        <v>14361</v>
      </c>
      <c r="G5109" s="1"/>
      <c r="H5109" t="str">
        <f>"4012740980227"</f>
        <v>4012740980227</v>
      </c>
      <c r="J5109" t="s">
        <v>14553</v>
      </c>
    </row>
    <row r="5110" spans="1:10" x14ac:dyDescent="0.25">
      <c r="A5110" t="s">
        <v>8</v>
      </c>
      <c r="B5110" t="s">
        <v>14554</v>
      </c>
      <c r="C5110" t="s">
        <v>14555</v>
      </c>
      <c r="D5110">
        <v>1</v>
      </c>
      <c r="E5110" t="s">
        <v>14360</v>
      </c>
      <c r="F5110" t="s">
        <v>14361</v>
      </c>
      <c r="G5110" s="1"/>
      <c r="H5110" t="str">
        <f>"4012740980234"</f>
        <v>4012740980234</v>
      </c>
      <c r="J5110" t="s">
        <v>14556</v>
      </c>
    </row>
    <row r="5111" spans="1:10" x14ac:dyDescent="0.25">
      <c r="A5111" t="s">
        <v>8</v>
      </c>
      <c r="B5111" t="s">
        <v>14557</v>
      </c>
      <c r="C5111" t="s">
        <v>14558</v>
      </c>
      <c r="D5111">
        <v>1</v>
      </c>
      <c r="E5111" t="s">
        <v>14360</v>
      </c>
      <c r="F5111" t="s">
        <v>14361</v>
      </c>
      <c r="G5111" s="1"/>
      <c r="H5111" t="str">
        <f>"4012740980241"</f>
        <v>4012740980241</v>
      </c>
      <c r="J5111" t="s">
        <v>14559</v>
      </c>
    </row>
    <row r="5112" spans="1:10" x14ac:dyDescent="0.25">
      <c r="A5112" t="s">
        <v>8</v>
      </c>
      <c r="B5112" t="s">
        <v>14560</v>
      </c>
      <c r="C5112" t="s">
        <v>14561</v>
      </c>
      <c r="D5112">
        <v>1</v>
      </c>
      <c r="E5112" t="s">
        <v>14360</v>
      </c>
      <c r="F5112" t="s">
        <v>14361</v>
      </c>
      <c r="G5112" s="1"/>
      <c r="H5112" t="str">
        <f>"4012740016490"</f>
        <v>4012740016490</v>
      </c>
      <c r="J5112" t="s">
        <v>14362</v>
      </c>
    </row>
    <row r="5113" spans="1:10" x14ac:dyDescent="0.25">
      <c r="A5113" t="s">
        <v>8</v>
      </c>
      <c r="B5113" t="s">
        <v>14562</v>
      </c>
      <c r="C5113" t="s">
        <v>14563</v>
      </c>
      <c r="D5113">
        <v>1</v>
      </c>
      <c r="E5113" t="s">
        <v>14360</v>
      </c>
      <c r="F5113" t="s">
        <v>14361</v>
      </c>
      <c r="G5113" s="1"/>
      <c r="H5113" t="str">
        <f>"4012740016506"</f>
        <v>4012740016506</v>
      </c>
      <c r="J5113" t="s">
        <v>14362</v>
      </c>
    </row>
    <row r="5114" spans="1:10" x14ac:dyDescent="0.25">
      <c r="A5114" t="s">
        <v>8</v>
      </c>
      <c r="B5114" t="s">
        <v>14564</v>
      </c>
      <c r="C5114" t="s">
        <v>14565</v>
      </c>
      <c r="D5114">
        <v>1</v>
      </c>
      <c r="E5114" t="s">
        <v>14360</v>
      </c>
      <c r="F5114" t="s">
        <v>14361</v>
      </c>
      <c r="G5114" s="1"/>
      <c r="H5114" t="str">
        <f>"4012740016513"</f>
        <v>4012740016513</v>
      </c>
      <c r="J5114" t="s">
        <v>7220</v>
      </c>
    </row>
    <row r="5115" spans="1:10" x14ac:dyDescent="0.25">
      <c r="A5115" t="s">
        <v>8</v>
      </c>
      <c r="B5115" t="s">
        <v>14566</v>
      </c>
      <c r="C5115" t="s">
        <v>14567</v>
      </c>
      <c r="D5115">
        <v>1</v>
      </c>
      <c r="E5115" t="s">
        <v>14360</v>
      </c>
      <c r="F5115" t="s">
        <v>14361</v>
      </c>
      <c r="G5115" s="1"/>
      <c r="H5115" t="str">
        <f>"4012740016520"</f>
        <v>4012740016520</v>
      </c>
      <c r="J5115" t="s">
        <v>12378</v>
      </c>
    </row>
    <row r="5116" spans="1:10" x14ac:dyDescent="0.25">
      <c r="A5116" t="s">
        <v>8</v>
      </c>
      <c r="B5116" t="s">
        <v>14568</v>
      </c>
      <c r="C5116" t="s">
        <v>14569</v>
      </c>
      <c r="D5116">
        <v>1</v>
      </c>
      <c r="E5116" t="s">
        <v>14360</v>
      </c>
      <c r="F5116" t="s">
        <v>14361</v>
      </c>
      <c r="G5116" s="1"/>
      <c r="H5116" t="str">
        <f>"4012740016544"</f>
        <v>4012740016544</v>
      </c>
      <c r="J5116" t="s">
        <v>14387</v>
      </c>
    </row>
    <row r="5117" spans="1:10" x14ac:dyDescent="0.25">
      <c r="A5117" t="s">
        <v>8</v>
      </c>
      <c r="B5117" t="s">
        <v>14570</v>
      </c>
      <c r="C5117" t="s">
        <v>14571</v>
      </c>
      <c r="D5117">
        <v>1</v>
      </c>
      <c r="E5117" t="s">
        <v>14360</v>
      </c>
      <c r="F5117" t="s">
        <v>14361</v>
      </c>
      <c r="G5117" s="1"/>
      <c r="H5117" t="str">
        <f>"4012740017558"</f>
        <v>4012740017558</v>
      </c>
      <c r="J5117" t="s">
        <v>14394</v>
      </c>
    </row>
    <row r="5118" spans="1:10" x14ac:dyDescent="0.25">
      <c r="A5118" t="s">
        <v>8</v>
      </c>
      <c r="B5118" t="s">
        <v>14572</v>
      </c>
      <c r="C5118" t="s">
        <v>14573</v>
      </c>
      <c r="D5118">
        <v>1</v>
      </c>
      <c r="E5118" t="s">
        <v>14360</v>
      </c>
      <c r="F5118" t="s">
        <v>14361</v>
      </c>
      <c r="G5118" s="1"/>
      <c r="H5118" t="str">
        <f>"4012740017565"</f>
        <v>4012740017565</v>
      </c>
      <c r="J5118" t="s">
        <v>14394</v>
      </c>
    </row>
    <row r="5119" spans="1:10" x14ac:dyDescent="0.25">
      <c r="A5119" t="s">
        <v>8</v>
      </c>
      <c r="B5119" t="s">
        <v>14574</v>
      </c>
      <c r="C5119" t="s">
        <v>14575</v>
      </c>
      <c r="D5119">
        <v>1</v>
      </c>
      <c r="E5119" t="s">
        <v>14360</v>
      </c>
      <c r="F5119" t="s">
        <v>14361</v>
      </c>
      <c r="G5119" s="1"/>
      <c r="H5119" t="str">
        <f>"4012740017589"</f>
        <v>4012740017589</v>
      </c>
      <c r="J5119" t="s">
        <v>2210</v>
      </c>
    </row>
    <row r="5120" spans="1:10" x14ac:dyDescent="0.25">
      <c r="A5120" t="s">
        <v>8</v>
      </c>
      <c r="B5120" t="s">
        <v>14576</v>
      </c>
      <c r="C5120" t="s">
        <v>14577</v>
      </c>
      <c r="D5120">
        <v>1</v>
      </c>
      <c r="E5120" t="s">
        <v>14360</v>
      </c>
      <c r="F5120" t="s">
        <v>14361</v>
      </c>
      <c r="G5120" s="1"/>
      <c r="H5120" t="str">
        <f>"4012740017596"</f>
        <v>4012740017596</v>
      </c>
      <c r="J5120" t="s">
        <v>14429</v>
      </c>
    </row>
    <row r="5121" spans="1:10" x14ac:dyDescent="0.25">
      <c r="A5121" t="s">
        <v>8</v>
      </c>
      <c r="B5121" t="s">
        <v>14578</v>
      </c>
      <c r="C5121" t="s">
        <v>14579</v>
      </c>
      <c r="D5121">
        <v>1</v>
      </c>
      <c r="E5121" t="s">
        <v>14360</v>
      </c>
      <c r="F5121" t="s">
        <v>14361</v>
      </c>
      <c r="G5121" s="1"/>
      <c r="H5121" t="str">
        <f>"4012740017602"</f>
        <v>4012740017602</v>
      </c>
      <c r="J5121" t="s">
        <v>14442</v>
      </c>
    </row>
    <row r="5122" spans="1:10" x14ac:dyDescent="0.25">
      <c r="A5122" t="s">
        <v>8</v>
      </c>
      <c r="B5122" t="s">
        <v>14580</v>
      </c>
      <c r="C5122" t="s">
        <v>14581</v>
      </c>
      <c r="D5122">
        <v>1</v>
      </c>
      <c r="E5122" t="s">
        <v>14360</v>
      </c>
      <c r="F5122" t="s">
        <v>14361</v>
      </c>
      <c r="G5122" s="1"/>
      <c r="H5122" t="str">
        <f>"4012740017619"</f>
        <v>4012740017619</v>
      </c>
      <c r="J5122" t="s">
        <v>14448</v>
      </c>
    </row>
    <row r="5123" spans="1:10" x14ac:dyDescent="0.25">
      <c r="A5123" t="s">
        <v>8</v>
      </c>
      <c r="B5123" t="s">
        <v>14582</v>
      </c>
      <c r="C5123" t="s">
        <v>14583</v>
      </c>
      <c r="D5123">
        <v>1</v>
      </c>
      <c r="E5123" t="s">
        <v>14360</v>
      </c>
      <c r="F5123" t="s">
        <v>14361</v>
      </c>
      <c r="G5123" s="1"/>
      <c r="H5123" t="str">
        <f>"4012740017947"</f>
        <v>4012740017947</v>
      </c>
      <c r="J5123" t="s">
        <v>14454</v>
      </c>
    </row>
    <row r="5124" spans="1:10" x14ac:dyDescent="0.25">
      <c r="A5124" t="s">
        <v>8</v>
      </c>
      <c r="B5124" t="s">
        <v>14584</v>
      </c>
      <c r="C5124" t="s">
        <v>14585</v>
      </c>
      <c r="D5124">
        <v>1</v>
      </c>
      <c r="E5124" t="s">
        <v>14360</v>
      </c>
      <c r="F5124" t="s">
        <v>14361</v>
      </c>
      <c r="G5124" s="1"/>
      <c r="H5124" t="str">
        <f>"4012740016568"</f>
        <v>4012740016568</v>
      </c>
      <c r="J5124" t="s">
        <v>14467</v>
      </c>
    </row>
    <row r="5125" spans="1:10" x14ac:dyDescent="0.25">
      <c r="A5125" t="s">
        <v>8</v>
      </c>
      <c r="B5125" t="s">
        <v>14586</v>
      </c>
      <c r="C5125" t="s">
        <v>14587</v>
      </c>
      <c r="D5125">
        <v>1</v>
      </c>
      <c r="E5125" t="s">
        <v>14360</v>
      </c>
      <c r="F5125" t="s">
        <v>14361</v>
      </c>
      <c r="G5125" s="1"/>
      <c r="H5125" t="str">
        <f>"4012740018005"</f>
        <v>4012740018005</v>
      </c>
      <c r="J5125" t="s">
        <v>14472</v>
      </c>
    </row>
    <row r="5126" spans="1:10" x14ac:dyDescent="0.25">
      <c r="A5126" t="s">
        <v>8</v>
      </c>
      <c r="B5126" t="s">
        <v>14588</v>
      </c>
      <c r="C5126" t="s">
        <v>14589</v>
      </c>
      <c r="D5126">
        <v>1</v>
      </c>
      <c r="E5126" t="s">
        <v>14360</v>
      </c>
      <c r="F5126" t="s">
        <v>14361</v>
      </c>
      <c r="G5126" s="1"/>
      <c r="H5126" t="str">
        <f>"4012740018012"</f>
        <v>4012740018012</v>
      </c>
      <c r="J5126" t="s">
        <v>14472</v>
      </c>
    </row>
    <row r="5127" spans="1:10" x14ac:dyDescent="0.25">
      <c r="A5127" t="s">
        <v>8</v>
      </c>
      <c r="B5127" t="s">
        <v>14590</v>
      </c>
      <c r="C5127" t="s">
        <v>14591</v>
      </c>
      <c r="D5127">
        <v>1</v>
      </c>
      <c r="E5127" t="s">
        <v>14360</v>
      </c>
      <c r="F5127" t="s">
        <v>14361</v>
      </c>
      <c r="G5127" s="1"/>
      <c r="H5127" t="str">
        <f>"4012740018036"</f>
        <v>4012740018036</v>
      </c>
      <c r="J5127" t="s">
        <v>14493</v>
      </c>
    </row>
    <row r="5128" spans="1:10" x14ac:dyDescent="0.25">
      <c r="A5128" t="s">
        <v>8</v>
      </c>
      <c r="B5128" t="s">
        <v>14592</v>
      </c>
      <c r="C5128" t="s">
        <v>14593</v>
      </c>
      <c r="D5128">
        <v>1</v>
      </c>
      <c r="E5128" t="s">
        <v>14360</v>
      </c>
      <c r="F5128" t="s">
        <v>14361</v>
      </c>
      <c r="G5128" s="1"/>
      <c r="H5128" t="str">
        <f>"4012740018043"</f>
        <v>4012740018043</v>
      </c>
      <c r="J5128" t="s">
        <v>14506</v>
      </c>
    </row>
    <row r="5129" spans="1:10" x14ac:dyDescent="0.25">
      <c r="A5129" t="s">
        <v>8</v>
      </c>
      <c r="B5129" t="s">
        <v>14594</v>
      </c>
      <c r="C5129" t="s">
        <v>14595</v>
      </c>
      <c r="D5129">
        <v>1</v>
      </c>
      <c r="E5129" t="s">
        <v>14360</v>
      </c>
      <c r="F5129" t="s">
        <v>14361</v>
      </c>
      <c r="G5129" s="1"/>
      <c r="H5129" t="str">
        <f>"4012740018050"</f>
        <v>4012740018050</v>
      </c>
      <c r="J5129" t="s">
        <v>14519</v>
      </c>
    </row>
    <row r="5130" spans="1:10" x14ac:dyDescent="0.25">
      <c r="A5130" t="s">
        <v>8</v>
      </c>
      <c r="B5130" t="s">
        <v>14596</v>
      </c>
      <c r="C5130" t="s">
        <v>14597</v>
      </c>
      <c r="D5130">
        <v>1</v>
      </c>
      <c r="E5130" t="s">
        <v>14360</v>
      </c>
      <c r="F5130" t="s">
        <v>14361</v>
      </c>
      <c r="G5130" s="1"/>
      <c r="H5130" t="str">
        <f>"4012740018067"</f>
        <v>4012740018067</v>
      </c>
      <c r="J5130" t="s">
        <v>14525</v>
      </c>
    </row>
    <row r="5131" spans="1:10" x14ac:dyDescent="0.25">
      <c r="A5131" t="s">
        <v>8</v>
      </c>
      <c r="B5131" t="s">
        <v>14598</v>
      </c>
      <c r="C5131" t="s">
        <v>14599</v>
      </c>
      <c r="D5131">
        <v>1</v>
      </c>
      <c r="E5131" t="s">
        <v>14360</v>
      </c>
      <c r="F5131" t="s">
        <v>14361</v>
      </c>
      <c r="G5131" s="1"/>
      <c r="H5131" t="str">
        <f>"4012740016582"</f>
        <v>4012740016582</v>
      </c>
      <c r="J5131" t="s">
        <v>14530</v>
      </c>
    </row>
    <row r="5132" spans="1:10" x14ac:dyDescent="0.25">
      <c r="A5132" t="s">
        <v>8</v>
      </c>
      <c r="B5132" t="s">
        <v>14600</v>
      </c>
      <c r="C5132" t="s">
        <v>14601</v>
      </c>
      <c r="D5132">
        <v>1</v>
      </c>
      <c r="E5132" t="s">
        <v>14360</v>
      </c>
      <c r="F5132" t="s">
        <v>14361</v>
      </c>
      <c r="G5132" s="1"/>
      <c r="H5132" t="str">
        <f>"4012740018449"</f>
        <v>4012740018449</v>
      </c>
      <c r="J5132" t="s">
        <v>2399</v>
      </c>
    </row>
    <row r="5133" spans="1:10" x14ac:dyDescent="0.25">
      <c r="A5133" t="s">
        <v>8</v>
      </c>
      <c r="B5133" t="s">
        <v>14602</v>
      </c>
      <c r="C5133" t="s">
        <v>14603</v>
      </c>
      <c r="D5133">
        <v>1</v>
      </c>
      <c r="E5133" t="s">
        <v>14360</v>
      </c>
      <c r="F5133" t="s">
        <v>14361</v>
      </c>
      <c r="G5133" s="1"/>
      <c r="H5133" t="str">
        <f>"4012740018456"</f>
        <v>4012740018456</v>
      </c>
      <c r="J5133" t="s">
        <v>2399</v>
      </c>
    </row>
    <row r="5134" spans="1:10" x14ac:dyDescent="0.25">
      <c r="A5134" t="s">
        <v>8</v>
      </c>
      <c r="B5134" t="s">
        <v>14604</v>
      </c>
      <c r="C5134" t="s">
        <v>14605</v>
      </c>
      <c r="D5134">
        <v>1</v>
      </c>
      <c r="E5134" t="s">
        <v>14360</v>
      </c>
      <c r="F5134" t="s">
        <v>14361</v>
      </c>
      <c r="G5134" s="1"/>
      <c r="H5134" t="str">
        <f>"4012740018463"</f>
        <v>4012740018463</v>
      </c>
      <c r="J5134" t="s">
        <v>11895</v>
      </c>
    </row>
    <row r="5135" spans="1:10" x14ac:dyDescent="0.25">
      <c r="A5135" t="s">
        <v>8</v>
      </c>
      <c r="B5135" t="s">
        <v>14606</v>
      </c>
      <c r="C5135" t="s">
        <v>14607</v>
      </c>
      <c r="D5135">
        <v>1</v>
      </c>
      <c r="E5135" t="s">
        <v>14360</v>
      </c>
      <c r="F5135" t="s">
        <v>14361</v>
      </c>
      <c r="G5135" s="1"/>
      <c r="H5135" t="str">
        <f>"4012740018470"</f>
        <v>4012740018470</v>
      </c>
      <c r="J5135" t="s">
        <v>14541</v>
      </c>
    </row>
    <row r="5136" spans="1:10" x14ac:dyDescent="0.25">
      <c r="A5136" t="s">
        <v>8</v>
      </c>
      <c r="B5136" t="s">
        <v>14608</v>
      </c>
      <c r="C5136" t="s">
        <v>14609</v>
      </c>
      <c r="D5136">
        <v>1</v>
      </c>
      <c r="E5136" t="s">
        <v>14360</v>
      </c>
      <c r="F5136" t="s">
        <v>14361</v>
      </c>
      <c r="G5136" s="1"/>
      <c r="H5136" t="str">
        <f>"4012740018487"</f>
        <v>4012740018487</v>
      </c>
      <c r="J5136" t="s">
        <v>14544</v>
      </c>
    </row>
    <row r="5137" spans="1:10" x14ac:dyDescent="0.25">
      <c r="A5137" t="s">
        <v>8</v>
      </c>
      <c r="B5137" t="s">
        <v>14610</v>
      </c>
      <c r="C5137" t="s">
        <v>14611</v>
      </c>
      <c r="D5137">
        <v>1</v>
      </c>
      <c r="E5137" t="s">
        <v>14360</v>
      </c>
      <c r="F5137" t="s">
        <v>14361</v>
      </c>
      <c r="G5137" s="1"/>
      <c r="H5137" t="str">
        <f>"4012740018494"</f>
        <v>4012740018494</v>
      </c>
      <c r="J5137" t="s">
        <v>14547</v>
      </c>
    </row>
    <row r="5138" spans="1:10" x14ac:dyDescent="0.25">
      <c r="A5138" t="s">
        <v>8</v>
      </c>
      <c r="B5138" t="s">
        <v>14612</v>
      </c>
      <c r="C5138" t="s">
        <v>14613</v>
      </c>
      <c r="D5138">
        <v>1</v>
      </c>
      <c r="E5138" t="s">
        <v>14360</v>
      </c>
      <c r="F5138" t="s">
        <v>14361</v>
      </c>
      <c r="G5138" s="1"/>
      <c r="H5138" t="str">
        <f>"4012740016605"</f>
        <v>4012740016605</v>
      </c>
      <c r="J5138" t="s">
        <v>14550</v>
      </c>
    </row>
    <row r="5139" spans="1:10" x14ac:dyDescent="0.25">
      <c r="A5139" t="s">
        <v>8</v>
      </c>
      <c r="B5139" t="s">
        <v>14614</v>
      </c>
      <c r="C5139" t="s">
        <v>14615</v>
      </c>
      <c r="D5139">
        <v>1</v>
      </c>
      <c r="E5139" t="s">
        <v>14616</v>
      </c>
      <c r="F5139" t="s">
        <v>14617</v>
      </c>
      <c r="G5139" s="1"/>
      <c r="H5139" t="str">
        <f>"4012740873659"</f>
        <v>4012740873659</v>
      </c>
      <c r="J5139" t="s">
        <v>14618</v>
      </c>
    </row>
    <row r="5140" spans="1:10" x14ac:dyDescent="0.25">
      <c r="A5140" t="s">
        <v>8</v>
      </c>
      <c r="B5140" t="s">
        <v>14619</v>
      </c>
      <c r="C5140" t="s">
        <v>14620</v>
      </c>
      <c r="D5140">
        <v>1</v>
      </c>
      <c r="E5140" t="s">
        <v>14616</v>
      </c>
      <c r="F5140" t="s">
        <v>14617</v>
      </c>
      <c r="G5140" s="1"/>
      <c r="H5140" t="str">
        <f>"4012740873666"</f>
        <v>4012740873666</v>
      </c>
      <c r="J5140" t="s">
        <v>14618</v>
      </c>
    </row>
    <row r="5141" spans="1:10" x14ac:dyDescent="0.25">
      <c r="A5141" t="s">
        <v>8</v>
      </c>
      <c r="B5141" t="s">
        <v>14621</v>
      </c>
      <c r="C5141" t="s">
        <v>14622</v>
      </c>
      <c r="D5141">
        <v>1</v>
      </c>
      <c r="E5141" t="s">
        <v>14616</v>
      </c>
      <c r="F5141" t="s">
        <v>14617</v>
      </c>
      <c r="G5141" s="1"/>
      <c r="H5141" t="str">
        <f>"4012740873673"</f>
        <v>4012740873673</v>
      </c>
      <c r="J5141" t="s">
        <v>14618</v>
      </c>
    </row>
    <row r="5142" spans="1:10" x14ac:dyDescent="0.25">
      <c r="A5142" t="s">
        <v>8</v>
      </c>
      <c r="B5142" t="s">
        <v>14623</v>
      </c>
      <c r="C5142" t="s">
        <v>14624</v>
      </c>
      <c r="D5142">
        <v>1</v>
      </c>
      <c r="E5142" t="s">
        <v>14616</v>
      </c>
      <c r="F5142" t="s">
        <v>14617</v>
      </c>
      <c r="G5142" s="1"/>
      <c r="H5142" t="str">
        <f>"4012740894586"</f>
        <v>4012740894586</v>
      </c>
      <c r="J5142" t="s">
        <v>14625</v>
      </c>
    </row>
    <row r="5143" spans="1:10" x14ac:dyDescent="0.25">
      <c r="A5143" t="s">
        <v>8</v>
      </c>
      <c r="B5143" t="s">
        <v>14626</v>
      </c>
      <c r="C5143" t="s">
        <v>14627</v>
      </c>
      <c r="D5143">
        <v>1</v>
      </c>
      <c r="E5143" t="s">
        <v>14616</v>
      </c>
      <c r="F5143" t="s">
        <v>14617</v>
      </c>
      <c r="G5143" s="1"/>
      <c r="H5143" t="str">
        <f>"4012740894593"</f>
        <v>4012740894593</v>
      </c>
      <c r="J5143" t="s">
        <v>14628</v>
      </c>
    </row>
    <row r="5144" spans="1:10" x14ac:dyDescent="0.25">
      <c r="A5144" t="s">
        <v>8</v>
      </c>
      <c r="B5144" t="s">
        <v>14629</v>
      </c>
      <c r="C5144" t="s">
        <v>14630</v>
      </c>
      <c r="D5144">
        <v>1</v>
      </c>
      <c r="E5144" t="s">
        <v>14616</v>
      </c>
      <c r="F5144" t="s">
        <v>14617</v>
      </c>
      <c r="G5144" s="1"/>
      <c r="H5144" t="str">
        <f>"4012740894852"</f>
        <v>4012740894852</v>
      </c>
      <c r="J5144" t="s">
        <v>14631</v>
      </c>
    </row>
    <row r="5145" spans="1:10" x14ac:dyDescent="0.25">
      <c r="A5145" t="s">
        <v>8</v>
      </c>
      <c r="B5145" t="s">
        <v>14632</v>
      </c>
      <c r="C5145" t="s">
        <v>14633</v>
      </c>
      <c r="D5145">
        <v>1</v>
      </c>
      <c r="E5145" t="s">
        <v>14616</v>
      </c>
      <c r="F5145" t="s">
        <v>14617</v>
      </c>
      <c r="G5145" s="1"/>
      <c r="H5145" t="str">
        <f>"4012740894869"</f>
        <v>4012740894869</v>
      </c>
      <c r="I5145" s="1"/>
      <c r="J5145" t="s">
        <v>14634</v>
      </c>
    </row>
    <row r="5146" spans="1:10" x14ac:dyDescent="0.25">
      <c r="A5146" t="s">
        <v>8</v>
      </c>
      <c r="B5146" t="s">
        <v>14635</v>
      </c>
      <c r="C5146" t="s">
        <v>14636</v>
      </c>
      <c r="D5146">
        <v>1</v>
      </c>
      <c r="E5146" t="s">
        <v>14616</v>
      </c>
      <c r="F5146" t="s">
        <v>14617</v>
      </c>
      <c r="G5146" s="1"/>
      <c r="H5146" t="str">
        <f>"4012740873734"</f>
        <v>4012740873734</v>
      </c>
      <c r="J5146" t="s">
        <v>14637</v>
      </c>
    </row>
    <row r="5147" spans="1:10" x14ac:dyDescent="0.25">
      <c r="A5147" t="s">
        <v>8</v>
      </c>
      <c r="B5147" t="s">
        <v>14638</v>
      </c>
      <c r="C5147" t="s">
        <v>14639</v>
      </c>
      <c r="D5147">
        <v>1</v>
      </c>
      <c r="E5147" t="s">
        <v>14616</v>
      </c>
      <c r="F5147" t="s">
        <v>14617</v>
      </c>
      <c r="G5147" s="1"/>
      <c r="H5147" t="str">
        <f>"4012740873741"</f>
        <v>4012740873741</v>
      </c>
      <c r="J5147" t="s">
        <v>14637</v>
      </c>
    </row>
    <row r="5148" spans="1:10" x14ac:dyDescent="0.25">
      <c r="A5148" t="s">
        <v>8</v>
      </c>
      <c r="B5148" t="s">
        <v>14640</v>
      </c>
      <c r="C5148" t="s">
        <v>14641</v>
      </c>
      <c r="D5148">
        <v>1</v>
      </c>
      <c r="E5148" t="s">
        <v>14616</v>
      </c>
      <c r="F5148" t="s">
        <v>14617</v>
      </c>
      <c r="G5148" s="1"/>
      <c r="H5148" t="str">
        <f>"4012740895651"</f>
        <v>4012740895651</v>
      </c>
      <c r="J5148" t="s">
        <v>14642</v>
      </c>
    </row>
    <row r="5149" spans="1:10" x14ac:dyDescent="0.25">
      <c r="A5149" t="s">
        <v>8</v>
      </c>
      <c r="B5149" t="s">
        <v>14643</v>
      </c>
      <c r="C5149" t="s">
        <v>14644</v>
      </c>
      <c r="D5149">
        <v>1</v>
      </c>
      <c r="E5149" t="s">
        <v>14616</v>
      </c>
      <c r="F5149" t="s">
        <v>14617</v>
      </c>
      <c r="G5149" s="1"/>
      <c r="H5149" t="str">
        <f>"4012740895668"</f>
        <v>4012740895668</v>
      </c>
      <c r="J5149" t="s">
        <v>14645</v>
      </c>
    </row>
    <row r="5150" spans="1:10" x14ac:dyDescent="0.25">
      <c r="A5150" t="s">
        <v>8</v>
      </c>
      <c r="B5150" t="s">
        <v>14646</v>
      </c>
      <c r="C5150" t="s">
        <v>14647</v>
      </c>
      <c r="D5150">
        <v>1</v>
      </c>
      <c r="E5150" t="s">
        <v>14616</v>
      </c>
      <c r="F5150" t="s">
        <v>14617</v>
      </c>
      <c r="G5150" s="1"/>
      <c r="H5150" t="str">
        <f>"4012740895927"</f>
        <v>4012740895927</v>
      </c>
      <c r="J5150" t="s">
        <v>14648</v>
      </c>
    </row>
    <row r="5151" spans="1:10" x14ac:dyDescent="0.25">
      <c r="A5151" t="s">
        <v>8</v>
      </c>
      <c r="B5151" t="s">
        <v>14649</v>
      </c>
      <c r="C5151" t="s">
        <v>14650</v>
      </c>
      <c r="D5151">
        <v>1</v>
      </c>
      <c r="E5151" t="s">
        <v>14616</v>
      </c>
      <c r="F5151" t="s">
        <v>14617</v>
      </c>
      <c r="G5151" s="1"/>
      <c r="H5151" t="str">
        <f>"4012740895934"</f>
        <v>4012740895934</v>
      </c>
      <c r="J5151" t="s">
        <v>9880</v>
      </c>
    </row>
    <row r="5152" spans="1:10" x14ac:dyDescent="0.25">
      <c r="A5152" t="s">
        <v>8</v>
      </c>
      <c r="B5152" t="s">
        <v>14651</v>
      </c>
      <c r="C5152" t="s">
        <v>14652</v>
      </c>
      <c r="D5152">
        <v>1</v>
      </c>
      <c r="E5152" t="s">
        <v>14616</v>
      </c>
      <c r="F5152" t="s">
        <v>14617</v>
      </c>
      <c r="G5152" s="1"/>
      <c r="H5152" t="str">
        <f>"4012740873796"</f>
        <v>4012740873796</v>
      </c>
      <c r="J5152" t="s">
        <v>14442</v>
      </c>
    </row>
    <row r="5153" spans="1:10" x14ac:dyDescent="0.25">
      <c r="A5153" t="s">
        <v>8</v>
      </c>
      <c r="B5153" t="s">
        <v>14653</v>
      </c>
      <c r="C5153" t="s">
        <v>14654</v>
      </c>
      <c r="D5153">
        <v>1</v>
      </c>
      <c r="E5153" t="s">
        <v>14616</v>
      </c>
      <c r="F5153" t="s">
        <v>14617</v>
      </c>
      <c r="G5153" s="1"/>
      <c r="H5153" t="str">
        <f>"4012740873802"</f>
        <v>4012740873802</v>
      </c>
      <c r="J5153" t="s">
        <v>14442</v>
      </c>
    </row>
    <row r="5154" spans="1:10" x14ac:dyDescent="0.25">
      <c r="A5154" t="s">
        <v>8</v>
      </c>
      <c r="B5154" t="s">
        <v>14655</v>
      </c>
      <c r="C5154" t="s">
        <v>14656</v>
      </c>
      <c r="D5154">
        <v>1</v>
      </c>
      <c r="E5154" t="s">
        <v>14616</v>
      </c>
      <c r="F5154" t="s">
        <v>14617</v>
      </c>
      <c r="G5154" s="1"/>
      <c r="H5154" t="str">
        <f>"4012740895958"</f>
        <v>4012740895958</v>
      </c>
      <c r="J5154" t="s">
        <v>14657</v>
      </c>
    </row>
    <row r="5155" spans="1:10" x14ac:dyDescent="0.25">
      <c r="A5155" t="s">
        <v>8</v>
      </c>
      <c r="B5155" t="s">
        <v>14658</v>
      </c>
      <c r="C5155" t="s">
        <v>14659</v>
      </c>
      <c r="D5155">
        <v>1</v>
      </c>
      <c r="E5155" t="s">
        <v>14616</v>
      </c>
      <c r="F5155" t="s">
        <v>14617</v>
      </c>
      <c r="G5155" s="1"/>
      <c r="H5155" t="str">
        <f>"4012740895965"</f>
        <v>4012740895965</v>
      </c>
      <c r="J5155" t="s">
        <v>14660</v>
      </c>
    </row>
    <row r="5156" spans="1:10" x14ac:dyDescent="0.25">
      <c r="A5156" t="s">
        <v>8</v>
      </c>
      <c r="B5156" t="s">
        <v>14661</v>
      </c>
      <c r="C5156" t="s">
        <v>14662</v>
      </c>
      <c r="D5156">
        <v>1</v>
      </c>
      <c r="E5156" t="s">
        <v>14616</v>
      </c>
      <c r="F5156" t="s">
        <v>14617</v>
      </c>
      <c r="G5156" s="1"/>
      <c r="H5156" t="str">
        <f>"4012740895972"</f>
        <v>4012740895972</v>
      </c>
      <c r="J5156" t="s">
        <v>14660</v>
      </c>
    </row>
    <row r="5157" spans="1:10" x14ac:dyDescent="0.25">
      <c r="A5157" t="s">
        <v>8</v>
      </c>
      <c r="B5157" t="s">
        <v>14663</v>
      </c>
      <c r="C5157" t="s">
        <v>14664</v>
      </c>
      <c r="D5157">
        <v>1</v>
      </c>
      <c r="E5157" t="s">
        <v>14616</v>
      </c>
      <c r="F5157" t="s">
        <v>14617</v>
      </c>
      <c r="G5157" s="1"/>
      <c r="H5157" t="str">
        <f>"4012740895989"</f>
        <v>4012740895989</v>
      </c>
      <c r="J5157" t="s">
        <v>14660</v>
      </c>
    </row>
    <row r="5158" spans="1:10" x14ac:dyDescent="0.25">
      <c r="A5158" t="s">
        <v>8</v>
      </c>
      <c r="B5158" t="s">
        <v>14665</v>
      </c>
      <c r="C5158" t="s">
        <v>14666</v>
      </c>
      <c r="D5158">
        <v>1</v>
      </c>
      <c r="E5158" t="s">
        <v>14616</v>
      </c>
      <c r="F5158" t="s">
        <v>14617</v>
      </c>
      <c r="G5158" s="1"/>
      <c r="H5158" t="str">
        <f>"4012740896009"</f>
        <v>4012740896009</v>
      </c>
      <c r="J5158" t="s">
        <v>14660</v>
      </c>
    </row>
    <row r="5159" spans="1:10" x14ac:dyDescent="0.25">
      <c r="A5159" t="s">
        <v>8</v>
      </c>
      <c r="B5159" t="s">
        <v>14667</v>
      </c>
      <c r="C5159" t="s">
        <v>14668</v>
      </c>
      <c r="D5159">
        <v>1</v>
      </c>
      <c r="E5159" t="s">
        <v>14616</v>
      </c>
      <c r="F5159" t="s">
        <v>14617</v>
      </c>
      <c r="G5159" s="1"/>
      <c r="H5159" t="str">
        <f>"4012740896306"</f>
        <v>4012740896306</v>
      </c>
      <c r="J5159" t="s">
        <v>14669</v>
      </c>
    </row>
    <row r="5160" spans="1:10" x14ac:dyDescent="0.25">
      <c r="A5160" t="s">
        <v>8</v>
      </c>
      <c r="B5160" t="s">
        <v>14670</v>
      </c>
      <c r="C5160" t="s">
        <v>14671</v>
      </c>
      <c r="D5160">
        <v>1</v>
      </c>
      <c r="E5160" t="s">
        <v>14616</v>
      </c>
      <c r="F5160" t="s">
        <v>14617</v>
      </c>
      <c r="G5160" s="1"/>
      <c r="H5160" t="str">
        <f>"4012740896481"</f>
        <v>4012740896481</v>
      </c>
      <c r="J5160" t="s">
        <v>5752</v>
      </c>
    </row>
    <row r="5161" spans="1:10" x14ac:dyDescent="0.25">
      <c r="A5161" t="s">
        <v>8</v>
      </c>
      <c r="B5161" t="s">
        <v>14672</v>
      </c>
      <c r="C5161" t="s">
        <v>14673</v>
      </c>
      <c r="D5161">
        <v>1</v>
      </c>
      <c r="E5161" t="s">
        <v>14616</v>
      </c>
      <c r="F5161" t="s">
        <v>14617</v>
      </c>
      <c r="G5161" s="1"/>
      <c r="H5161" t="str">
        <f>"4012740873857"</f>
        <v>4012740873857</v>
      </c>
      <c r="J5161" t="s">
        <v>9080</v>
      </c>
    </row>
    <row r="5162" spans="1:10" x14ac:dyDescent="0.25">
      <c r="A5162" t="s">
        <v>8</v>
      </c>
      <c r="B5162" t="s">
        <v>14674</v>
      </c>
      <c r="C5162" t="s">
        <v>14675</v>
      </c>
      <c r="D5162">
        <v>1</v>
      </c>
      <c r="E5162" t="s">
        <v>14616</v>
      </c>
      <c r="F5162" t="s">
        <v>14617</v>
      </c>
      <c r="G5162" s="1"/>
      <c r="H5162" t="str">
        <f>"4012740896504"</f>
        <v>4012740896504</v>
      </c>
      <c r="J5162" t="s">
        <v>6949</v>
      </c>
    </row>
    <row r="5163" spans="1:10" x14ac:dyDescent="0.25">
      <c r="A5163" t="s">
        <v>8</v>
      </c>
      <c r="B5163" t="s">
        <v>14676</v>
      </c>
      <c r="C5163" t="s">
        <v>14677</v>
      </c>
      <c r="D5163">
        <v>1</v>
      </c>
      <c r="E5163" t="s">
        <v>14616</v>
      </c>
      <c r="F5163" t="s">
        <v>14617</v>
      </c>
      <c r="G5163" s="1"/>
      <c r="H5163" t="str">
        <f>"4012740980289"</f>
        <v>4012740980289</v>
      </c>
      <c r="J5163" t="s">
        <v>14678</v>
      </c>
    </row>
    <row r="5164" spans="1:10" x14ac:dyDescent="0.25">
      <c r="A5164" t="s">
        <v>8</v>
      </c>
      <c r="B5164" t="s">
        <v>14679</v>
      </c>
      <c r="C5164" t="s">
        <v>14680</v>
      </c>
      <c r="D5164">
        <v>1</v>
      </c>
      <c r="E5164" t="s">
        <v>14616</v>
      </c>
      <c r="F5164" t="s">
        <v>14617</v>
      </c>
      <c r="G5164" s="1"/>
      <c r="H5164" t="str">
        <f>"4012740980296"</f>
        <v>4012740980296</v>
      </c>
      <c r="J5164" t="s">
        <v>14681</v>
      </c>
    </row>
    <row r="5165" spans="1:10" x14ac:dyDescent="0.25">
      <c r="A5165" t="s">
        <v>8</v>
      </c>
      <c r="B5165" t="s">
        <v>14682</v>
      </c>
      <c r="C5165" t="s">
        <v>14683</v>
      </c>
      <c r="D5165">
        <v>1</v>
      </c>
      <c r="E5165" t="s">
        <v>14616</v>
      </c>
      <c r="F5165" t="s">
        <v>14617</v>
      </c>
      <c r="G5165" s="1"/>
      <c r="H5165" t="str">
        <f>"4012740016537"</f>
        <v>4012740016537</v>
      </c>
      <c r="J5165" t="s">
        <v>14618</v>
      </c>
    </row>
    <row r="5166" spans="1:10" x14ac:dyDescent="0.25">
      <c r="A5166" t="s">
        <v>8</v>
      </c>
      <c r="B5166" t="s">
        <v>14684</v>
      </c>
      <c r="C5166" t="s">
        <v>14685</v>
      </c>
      <c r="D5166">
        <v>1</v>
      </c>
      <c r="E5166" t="s">
        <v>14616</v>
      </c>
      <c r="F5166" t="s">
        <v>14617</v>
      </c>
      <c r="G5166" s="1"/>
      <c r="H5166" t="str">
        <f>"4012740017657"</f>
        <v>4012740017657</v>
      </c>
      <c r="J5166" t="s">
        <v>14625</v>
      </c>
    </row>
    <row r="5167" spans="1:10" x14ac:dyDescent="0.25">
      <c r="A5167" t="s">
        <v>8</v>
      </c>
      <c r="B5167" t="s">
        <v>14686</v>
      </c>
      <c r="C5167" t="s">
        <v>14687</v>
      </c>
      <c r="D5167">
        <v>1</v>
      </c>
      <c r="E5167" t="s">
        <v>14616</v>
      </c>
      <c r="F5167" t="s">
        <v>14617</v>
      </c>
      <c r="G5167" s="1"/>
      <c r="H5167" t="str">
        <f>"4012740017718"</f>
        <v>4012740017718</v>
      </c>
      <c r="J5167" t="s">
        <v>14631</v>
      </c>
    </row>
    <row r="5168" spans="1:10" x14ac:dyDescent="0.25">
      <c r="A5168" t="s">
        <v>8</v>
      </c>
      <c r="B5168" t="s">
        <v>14688</v>
      </c>
      <c r="C5168" t="s">
        <v>14689</v>
      </c>
      <c r="D5168">
        <v>1</v>
      </c>
      <c r="E5168" t="s">
        <v>14616</v>
      </c>
      <c r="F5168" t="s">
        <v>14617</v>
      </c>
      <c r="G5168" s="1"/>
      <c r="H5168" t="str">
        <f>"4012740016551"</f>
        <v>4012740016551</v>
      </c>
      <c r="J5168" t="s">
        <v>14637</v>
      </c>
    </row>
    <row r="5169" spans="1:10" x14ac:dyDescent="0.25">
      <c r="A5169" t="s">
        <v>8</v>
      </c>
      <c r="B5169" t="s">
        <v>14690</v>
      </c>
      <c r="C5169" t="s">
        <v>14691</v>
      </c>
      <c r="D5169">
        <v>1</v>
      </c>
      <c r="E5169" t="s">
        <v>14616</v>
      </c>
      <c r="F5169" t="s">
        <v>14617</v>
      </c>
      <c r="G5169" s="1"/>
      <c r="H5169" t="str">
        <f>"4012740018104"</f>
        <v>4012740018104</v>
      </c>
      <c r="J5169" t="s">
        <v>14642</v>
      </c>
    </row>
    <row r="5170" spans="1:10" x14ac:dyDescent="0.25">
      <c r="A5170" t="s">
        <v>8</v>
      </c>
      <c r="B5170" t="s">
        <v>14692</v>
      </c>
      <c r="C5170" t="s">
        <v>14693</v>
      </c>
      <c r="D5170">
        <v>1</v>
      </c>
      <c r="E5170" t="s">
        <v>14616</v>
      </c>
      <c r="F5170" t="s">
        <v>14617</v>
      </c>
      <c r="G5170" s="1"/>
      <c r="H5170" t="str">
        <f>"4012740018166"</f>
        <v>4012740018166</v>
      </c>
      <c r="J5170" t="s">
        <v>14648</v>
      </c>
    </row>
    <row r="5171" spans="1:10" x14ac:dyDescent="0.25">
      <c r="A5171" t="s">
        <v>8</v>
      </c>
      <c r="B5171" t="s">
        <v>14694</v>
      </c>
      <c r="C5171" t="s">
        <v>14695</v>
      </c>
      <c r="D5171">
        <v>1</v>
      </c>
      <c r="E5171" t="s">
        <v>14616</v>
      </c>
      <c r="F5171" t="s">
        <v>14617</v>
      </c>
      <c r="G5171" s="1"/>
      <c r="H5171" t="str">
        <f>"4012740016575"</f>
        <v>4012740016575</v>
      </c>
      <c r="J5171" t="s">
        <v>14442</v>
      </c>
    </row>
    <row r="5172" spans="1:10" x14ac:dyDescent="0.25">
      <c r="A5172" t="s">
        <v>8</v>
      </c>
      <c r="B5172" t="s">
        <v>14696</v>
      </c>
      <c r="C5172" t="s">
        <v>14697</v>
      </c>
      <c r="D5172">
        <v>1</v>
      </c>
      <c r="E5172" t="s">
        <v>14616</v>
      </c>
      <c r="F5172" t="s">
        <v>14617</v>
      </c>
      <c r="G5172" s="1"/>
      <c r="H5172" t="str">
        <f>"4012740018395"</f>
        <v>4012740018395</v>
      </c>
      <c r="J5172" t="s">
        <v>14657</v>
      </c>
    </row>
    <row r="5173" spans="1:10" x14ac:dyDescent="0.25">
      <c r="A5173" t="s">
        <v>8</v>
      </c>
      <c r="B5173" t="s">
        <v>14698</v>
      </c>
      <c r="C5173" t="s">
        <v>14699</v>
      </c>
      <c r="D5173">
        <v>1</v>
      </c>
      <c r="E5173" t="s">
        <v>14616</v>
      </c>
      <c r="F5173" t="s">
        <v>14617</v>
      </c>
      <c r="G5173" s="1"/>
      <c r="H5173" t="str">
        <f>"4012740018531"</f>
        <v>4012740018531</v>
      </c>
      <c r="J5173" t="s">
        <v>14669</v>
      </c>
    </row>
    <row r="5174" spans="1:10" x14ac:dyDescent="0.25">
      <c r="A5174" t="s">
        <v>8</v>
      </c>
      <c r="B5174" t="s">
        <v>14700</v>
      </c>
      <c r="C5174" t="s">
        <v>14701</v>
      </c>
      <c r="D5174">
        <v>1</v>
      </c>
      <c r="E5174" t="s">
        <v>14616</v>
      </c>
      <c r="F5174" t="s">
        <v>14617</v>
      </c>
      <c r="G5174" s="1"/>
      <c r="H5174" t="str">
        <f>"4012740018593"</f>
        <v>4012740018593</v>
      </c>
      <c r="J5174" t="s">
        <v>5752</v>
      </c>
    </row>
    <row r="5175" spans="1:10" x14ac:dyDescent="0.25">
      <c r="A5175" t="s">
        <v>8</v>
      </c>
      <c r="B5175" t="s">
        <v>14702</v>
      </c>
      <c r="C5175" t="s">
        <v>14703</v>
      </c>
      <c r="D5175">
        <v>1</v>
      </c>
      <c r="E5175" t="s">
        <v>14616</v>
      </c>
      <c r="F5175" t="s">
        <v>14617</v>
      </c>
      <c r="G5175" s="1"/>
      <c r="H5175" t="str">
        <f>"4012740016599"</f>
        <v>4012740016599</v>
      </c>
      <c r="J5175" t="s">
        <v>9080</v>
      </c>
    </row>
    <row r="5176" spans="1:10" x14ac:dyDescent="0.25">
      <c r="A5176" t="s">
        <v>8</v>
      </c>
      <c r="B5176" t="s">
        <v>14704</v>
      </c>
      <c r="C5176" t="s">
        <v>14705</v>
      </c>
      <c r="D5176">
        <v>1</v>
      </c>
      <c r="E5176" t="s">
        <v>14616</v>
      </c>
      <c r="F5176" t="s">
        <v>14617</v>
      </c>
      <c r="G5176" s="1"/>
      <c r="H5176" t="str">
        <f>"4012740018821"</f>
        <v>4012740018821</v>
      </c>
      <c r="J5176" t="s">
        <v>6949</v>
      </c>
    </row>
    <row r="5177" spans="1:10" x14ac:dyDescent="0.25">
      <c r="A5177" t="s">
        <v>8</v>
      </c>
      <c r="B5177" t="s">
        <v>14706</v>
      </c>
      <c r="C5177" t="s">
        <v>14707</v>
      </c>
      <c r="D5177">
        <v>1</v>
      </c>
      <c r="E5177" t="s">
        <v>14708</v>
      </c>
      <c r="F5177" t="s">
        <v>14709</v>
      </c>
      <c r="G5177" s="1"/>
      <c r="H5177" t="str">
        <f>"3250615943057"</f>
        <v>3250615943057</v>
      </c>
      <c r="J5177" t="s">
        <v>14710</v>
      </c>
    </row>
    <row r="5178" spans="1:10" x14ac:dyDescent="0.25">
      <c r="A5178" t="s">
        <v>8</v>
      </c>
      <c r="B5178" t="s">
        <v>14711</v>
      </c>
      <c r="C5178" t="s">
        <v>14712</v>
      </c>
      <c r="D5178">
        <v>1</v>
      </c>
      <c r="E5178" t="s">
        <v>14708</v>
      </c>
      <c r="F5178" t="s">
        <v>14709</v>
      </c>
      <c r="G5178" s="1"/>
      <c r="H5178" t="str">
        <f>"3250615943064"</f>
        <v>3250615943064</v>
      </c>
      <c r="J5178" t="s">
        <v>14713</v>
      </c>
    </row>
    <row r="5179" spans="1:10" x14ac:dyDescent="0.25">
      <c r="A5179" t="s">
        <v>8</v>
      </c>
      <c r="B5179" t="s">
        <v>14714</v>
      </c>
      <c r="C5179" t="s">
        <v>14715</v>
      </c>
      <c r="D5179">
        <v>1</v>
      </c>
      <c r="E5179" t="s">
        <v>14708</v>
      </c>
      <c r="F5179" t="s">
        <v>14709</v>
      </c>
      <c r="G5179" s="1"/>
      <c r="H5179" t="str">
        <f>"3250615944054"</f>
        <v>3250615944054</v>
      </c>
      <c r="J5179" t="s">
        <v>14716</v>
      </c>
    </row>
    <row r="5180" spans="1:10" x14ac:dyDescent="0.25">
      <c r="A5180" t="s">
        <v>8</v>
      </c>
      <c r="B5180" t="s">
        <v>14717</v>
      </c>
      <c r="C5180" t="s">
        <v>14718</v>
      </c>
      <c r="D5180">
        <v>1</v>
      </c>
      <c r="E5180" t="s">
        <v>14719</v>
      </c>
      <c r="F5180" t="s">
        <v>14720</v>
      </c>
      <c r="G5180" s="1"/>
      <c r="H5180" t="str">
        <f>"3250615944153"</f>
        <v>3250615944153</v>
      </c>
      <c r="J5180" t="s">
        <v>14721</v>
      </c>
    </row>
    <row r="5181" spans="1:10" x14ac:dyDescent="0.25">
      <c r="A5181" t="s">
        <v>8</v>
      </c>
      <c r="B5181" t="s">
        <v>14722</v>
      </c>
      <c r="C5181" t="s">
        <v>14723</v>
      </c>
      <c r="D5181">
        <v>1</v>
      </c>
      <c r="E5181" t="s">
        <v>14719</v>
      </c>
      <c r="F5181" t="s">
        <v>14720</v>
      </c>
      <c r="G5181" s="1"/>
      <c r="H5181" t="str">
        <f>"3250615944252"</f>
        <v>3250615944252</v>
      </c>
      <c r="J5181" t="s">
        <v>14724</v>
      </c>
    </row>
    <row r="5182" spans="1:10" x14ac:dyDescent="0.25">
      <c r="A5182" t="s">
        <v>8</v>
      </c>
      <c r="B5182" t="s">
        <v>14725</v>
      </c>
      <c r="C5182" t="s">
        <v>14726</v>
      </c>
      <c r="D5182">
        <v>1</v>
      </c>
      <c r="E5182" t="s">
        <v>14719</v>
      </c>
      <c r="F5182" t="s">
        <v>14720</v>
      </c>
      <c r="G5182" s="1"/>
      <c r="H5182" t="str">
        <f>"3250615944351"</f>
        <v>3250615944351</v>
      </c>
      <c r="J5182" t="s">
        <v>14727</v>
      </c>
    </row>
    <row r="5183" spans="1:10" x14ac:dyDescent="0.25">
      <c r="A5183" t="s">
        <v>8</v>
      </c>
      <c r="B5183" t="s">
        <v>14728</v>
      </c>
      <c r="C5183" t="s">
        <v>14729</v>
      </c>
      <c r="D5183">
        <v>1</v>
      </c>
      <c r="E5183" t="s">
        <v>14730</v>
      </c>
      <c r="F5183" t="s">
        <v>14731</v>
      </c>
      <c r="G5183" s="1"/>
      <c r="H5183" t="str">
        <f>"3250615989017"</f>
        <v>3250615989017</v>
      </c>
      <c r="J5183" t="s">
        <v>14732</v>
      </c>
    </row>
    <row r="5184" spans="1:10" x14ac:dyDescent="0.25">
      <c r="A5184" t="s">
        <v>8</v>
      </c>
      <c r="B5184" t="s">
        <v>14733</v>
      </c>
      <c r="C5184" t="s">
        <v>14734</v>
      </c>
      <c r="D5184">
        <v>1</v>
      </c>
      <c r="E5184" t="s">
        <v>14730</v>
      </c>
      <c r="F5184" t="s">
        <v>14731</v>
      </c>
      <c r="G5184" s="1"/>
      <c r="H5184" t="str">
        <f>"3250615989000"</f>
        <v>3250615989000</v>
      </c>
      <c r="J5184" t="s">
        <v>14735</v>
      </c>
    </row>
    <row r="5185" spans="1:10" x14ac:dyDescent="0.25">
      <c r="A5185" t="s">
        <v>8</v>
      </c>
      <c r="B5185" t="s">
        <v>14736</v>
      </c>
      <c r="C5185" t="s">
        <v>14737</v>
      </c>
      <c r="D5185">
        <v>1</v>
      </c>
      <c r="E5185" t="s">
        <v>14730</v>
      </c>
      <c r="F5185" t="s">
        <v>14731</v>
      </c>
      <c r="G5185" s="1"/>
      <c r="H5185" t="str">
        <f>"3250615979995"</f>
        <v>3250615979995</v>
      </c>
      <c r="J5185" t="s">
        <v>14738</v>
      </c>
    </row>
    <row r="5186" spans="1:10" x14ac:dyDescent="0.25">
      <c r="A5186" t="s">
        <v>8</v>
      </c>
      <c r="B5186" t="s">
        <v>14739</v>
      </c>
      <c r="C5186" t="s">
        <v>14740</v>
      </c>
      <c r="D5186">
        <v>1</v>
      </c>
      <c r="E5186" t="s">
        <v>14730</v>
      </c>
      <c r="F5186" t="s">
        <v>14731</v>
      </c>
      <c r="G5186" s="1"/>
      <c r="H5186" t="str">
        <f>"3250615979988"</f>
        <v>3250615979988</v>
      </c>
      <c r="J5186" t="s">
        <v>14741</v>
      </c>
    </row>
    <row r="5187" spans="1:10" x14ac:dyDescent="0.25">
      <c r="A5187" t="s">
        <v>8</v>
      </c>
      <c r="B5187" t="s">
        <v>14742</v>
      </c>
      <c r="C5187" t="s">
        <v>14743</v>
      </c>
      <c r="D5187">
        <v>1</v>
      </c>
      <c r="E5187" t="s">
        <v>14744</v>
      </c>
      <c r="F5187" t="s">
        <v>14745</v>
      </c>
      <c r="G5187" s="1"/>
      <c r="H5187" t="str">
        <f>"3250615989086"</f>
        <v>3250615989086</v>
      </c>
      <c r="J5187" t="s">
        <v>14746</v>
      </c>
    </row>
    <row r="5188" spans="1:10" x14ac:dyDescent="0.25">
      <c r="A5188" t="s">
        <v>8</v>
      </c>
      <c r="B5188" t="s">
        <v>14747</v>
      </c>
      <c r="C5188" t="s">
        <v>14748</v>
      </c>
      <c r="D5188">
        <v>1</v>
      </c>
      <c r="E5188" t="s">
        <v>14744</v>
      </c>
      <c r="F5188" t="s">
        <v>14745</v>
      </c>
      <c r="G5188" s="1"/>
      <c r="H5188" t="str">
        <f>"3250615989055"</f>
        <v>3250615989055</v>
      </c>
      <c r="J5188" t="s">
        <v>14749</v>
      </c>
    </row>
    <row r="5189" spans="1:10" x14ac:dyDescent="0.25">
      <c r="A5189" t="s">
        <v>8</v>
      </c>
      <c r="B5189" t="s">
        <v>14750</v>
      </c>
      <c r="C5189" t="s">
        <v>14751</v>
      </c>
      <c r="D5189">
        <v>1</v>
      </c>
      <c r="E5189" t="s">
        <v>14744</v>
      </c>
      <c r="F5189" t="s">
        <v>14745</v>
      </c>
      <c r="G5189" s="1"/>
      <c r="H5189" t="str">
        <f>"3250615989048"</f>
        <v>3250615989048</v>
      </c>
      <c r="J5189" t="s">
        <v>14752</v>
      </c>
    </row>
    <row r="5190" spans="1:10" x14ac:dyDescent="0.25">
      <c r="A5190" t="s">
        <v>8</v>
      </c>
      <c r="B5190" t="s">
        <v>14753</v>
      </c>
      <c r="C5190" t="s">
        <v>14754</v>
      </c>
      <c r="D5190">
        <v>1</v>
      </c>
      <c r="E5190" t="s">
        <v>14744</v>
      </c>
      <c r="F5190" t="s">
        <v>14745</v>
      </c>
      <c r="G5190" s="1"/>
      <c r="H5190" t="str">
        <f>"3250615989031"</f>
        <v>3250615989031</v>
      </c>
      <c r="J5190" t="s">
        <v>14755</v>
      </c>
    </row>
    <row r="5191" spans="1:10" x14ac:dyDescent="0.25">
      <c r="A5191" t="s">
        <v>8</v>
      </c>
      <c r="B5191" t="s">
        <v>14756</v>
      </c>
      <c r="C5191" t="s">
        <v>14757</v>
      </c>
      <c r="D5191">
        <v>1</v>
      </c>
      <c r="E5191" t="s">
        <v>14744</v>
      </c>
      <c r="F5191" t="s">
        <v>14745</v>
      </c>
      <c r="G5191" s="1"/>
      <c r="H5191" t="str">
        <f>"3250615988805"</f>
        <v>3250615988805</v>
      </c>
      <c r="J5191" t="s">
        <v>14755</v>
      </c>
    </row>
    <row r="5192" spans="1:10" x14ac:dyDescent="0.25">
      <c r="A5192" t="s">
        <v>8</v>
      </c>
      <c r="B5192" t="s">
        <v>14758</v>
      </c>
      <c r="C5192" t="s">
        <v>14759</v>
      </c>
      <c r="D5192">
        <v>1</v>
      </c>
      <c r="E5192" t="s">
        <v>14744</v>
      </c>
      <c r="F5192" t="s">
        <v>14745</v>
      </c>
      <c r="G5192" s="1"/>
      <c r="H5192" t="str">
        <f>"3250615988812"</f>
        <v>3250615988812</v>
      </c>
      <c r="J5192" t="s">
        <v>14760</v>
      </c>
    </row>
    <row r="5193" spans="1:10" x14ac:dyDescent="0.25">
      <c r="A5193" t="s">
        <v>8</v>
      </c>
      <c r="B5193" t="s">
        <v>14761</v>
      </c>
      <c r="C5193" t="s">
        <v>14762</v>
      </c>
      <c r="D5193">
        <v>1</v>
      </c>
      <c r="E5193" t="s">
        <v>14744</v>
      </c>
      <c r="F5193" t="s">
        <v>14745</v>
      </c>
      <c r="G5193" s="1"/>
      <c r="H5193" t="str">
        <f>"3250615989024"</f>
        <v>3250615989024</v>
      </c>
      <c r="J5193" t="s">
        <v>14763</v>
      </c>
    </row>
    <row r="5194" spans="1:10" x14ac:dyDescent="0.25">
      <c r="A5194" t="s">
        <v>8</v>
      </c>
      <c r="B5194" t="s">
        <v>14764</v>
      </c>
      <c r="C5194" t="s">
        <v>14765</v>
      </c>
      <c r="D5194">
        <v>1</v>
      </c>
      <c r="E5194" t="s">
        <v>14766</v>
      </c>
      <c r="F5194" t="s">
        <v>14767</v>
      </c>
      <c r="G5194" s="1"/>
      <c r="H5194" t="str">
        <f>"4012740854146"</f>
        <v>4012740854146</v>
      </c>
      <c r="J5194" t="s">
        <v>14768</v>
      </c>
    </row>
    <row r="5195" spans="1:10" x14ac:dyDescent="0.25">
      <c r="A5195" t="s">
        <v>8</v>
      </c>
      <c r="B5195" t="s">
        <v>14769</v>
      </c>
      <c r="C5195" t="s">
        <v>14770</v>
      </c>
      <c r="D5195">
        <v>1</v>
      </c>
      <c r="E5195" t="s">
        <v>14766</v>
      </c>
      <c r="F5195" t="s">
        <v>14767</v>
      </c>
      <c r="G5195" s="1"/>
      <c r="H5195" t="str">
        <f>"4012740872690"</f>
        <v>4012740872690</v>
      </c>
      <c r="J5195" t="s">
        <v>14771</v>
      </c>
    </row>
    <row r="5196" spans="1:10" x14ac:dyDescent="0.25">
      <c r="A5196" t="s">
        <v>8</v>
      </c>
      <c r="B5196" t="s">
        <v>14772</v>
      </c>
      <c r="C5196" t="s">
        <v>14773</v>
      </c>
      <c r="D5196">
        <v>1</v>
      </c>
      <c r="E5196" t="s">
        <v>14766</v>
      </c>
      <c r="F5196" t="s">
        <v>14767</v>
      </c>
      <c r="G5196" s="1"/>
      <c r="H5196" t="str">
        <f>"4012740857420"</f>
        <v>4012740857420</v>
      </c>
      <c r="J5196" t="s">
        <v>14774</v>
      </c>
    </row>
    <row r="5197" spans="1:10" x14ac:dyDescent="0.25">
      <c r="A5197" t="s">
        <v>8</v>
      </c>
      <c r="B5197" t="s">
        <v>14775</v>
      </c>
      <c r="C5197" t="s">
        <v>14776</v>
      </c>
      <c r="D5197">
        <v>1</v>
      </c>
      <c r="E5197" t="s">
        <v>14766</v>
      </c>
      <c r="F5197" t="s">
        <v>14767</v>
      </c>
      <c r="G5197" s="1"/>
      <c r="H5197" t="str">
        <f>"4012740872706"</f>
        <v>4012740872706</v>
      </c>
      <c r="J5197" t="s">
        <v>14777</v>
      </c>
    </row>
    <row r="5198" spans="1:10" x14ac:dyDescent="0.25">
      <c r="A5198" t="s">
        <v>8</v>
      </c>
      <c r="B5198" t="s">
        <v>14778</v>
      </c>
      <c r="C5198" t="s">
        <v>14779</v>
      </c>
      <c r="D5198">
        <v>1</v>
      </c>
      <c r="E5198" t="s">
        <v>14780</v>
      </c>
      <c r="F5198" t="s">
        <v>14781</v>
      </c>
      <c r="G5198" s="1"/>
      <c r="H5198" t="str">
        <f>"4012740854283"</f>
        <v>4012740854283</v>
      </c>
      <c r="J5198" t="s">
        <v>14782</v>
      </c>
    </row>
    <row r="5199" spans="1:10" x14ac:dyDescent="0.25">
      <c r="A5199" t="s">
        <v>8</v>
      </c>
      <c r="B5199" t="s">
        <v>14783</v>
      </c>
      <c r="C5199" t="s">
        <v>14784</v>
      </c>
      <c r="D5199">
        <v>1</v>
      </c>
      <c r="E5199" t="s">
        <v>14780</v>
      </c>
      <c r="F5199" t="s">
        <v>14781</v>
      </c>
      <c r="G5199" s="1"/>
      <c r="H5199" t="str">
        <f>"4012740854528"</f>
        <v>4012740854528</v>
      </c>
      <c r="J5199" t="s">
        <v>14785</v>
      </c>
    </row>
    <row r="5200" spans="1:10" x14ac:dyDescent="0.25">
      <c r="A5200" t="s">
        <v>8</v>
      </c>
      <c r="B5200" t="s">
        <v>14786</v>
      </c>
      <c r="C5200" t="s">
        <v>14787</v>
      </c>
      <c r="D5200">
        <v>1</v>
      </c>
      <c r="E5200" t="s">
        <v>14780</v>
      </c>
      <c r="F5200" t="s">
        <v>14781</v>
      </c>
      <c r="G5200" s="1"/>
      <c r="H5200" t="str">
        <f>"4012740854535"</f>
        <v>4012740854535</v>
      </c>
      <c r="J5200" t="s">
        <v>14788</v>
      </c>
    </row>
    <row r="5201" spans="1:10" x14ac:dyDescent="0.25">
      <c r="A5201" t="s">
        <v>8</v>
      </c>
      <c r="B5201" t="s">
        <v>14789</v>
      </c>
      <c r="C5201" t="s">
        <v>14790</v>
      </c>
      <c r="D5201">
        <v>1</v>
      </c>
      <c r="E5201" t="s">
        <v>14780</v>
      </c>
      <c r="F5201" t="s">
        <v>14781</v>
      </c>
      <c r="G5201" s="1"/>
      <c r="H5201" t="str">
        <f>"4012740897426"</f>
        <v>4012740897426</v>
      </c>
      <c r="J5201" t="s">
        <v>14791</v>
      </c>
    </row>
    <row r="5202" spans="1:10" x14ac:dyDescent="0.25">
      <c r="A5202" t="s">
        <v>8</v>
      </c>
      <c r="B5202" t="s">
        <v>14792</v>
      </c>
      <c r="C5202" t="s">
        <v>14793</v>
      </c>
      <c r="D5202">
        <v>1</v>
      </c>
      <c r="E5202" t="s">
        <v>14780</v>
      </c>
      <c r="F5202" t="s">
        <v>14781</v>
      </c>
      <c r="G5202" s="1"/>
      <c r="H5202" t="str">
        <f>"4012740854290"</f>
        <v>4012740854290</v>
      </c>
      <c r="J5202" t="s">
        <v>14794</v>
      </c>
    </row>
    <row r="5203" spans="1:10" x14ac:dyDescent="0.25">
      <c r="A5203" t="s">
        <v>8</v>
      </c>
      <c r="B5203" t="s">
        <v>14795</v>
      </c>
      <c r="C5203" t="s">
        <v>14796</v>
      </c>
      <c r="D5203">
        <v>1</v>
      </c>
      <c r="E5203" t="s">
        <v>14780</v>
      </c>
      <c r="F5203" t="s">
        <v>14781</v>
      </c>
      <c r="G5203" s="1"/>
      <c r="H5203" t="str">
        <f>"3250615980090"</f>
        <v>3250615980090</v>
      </c>
      <c r="J5203" t="s">
        <v>14797</v>
      </c>
    </row>
    <row r="5204" spans="1:10" x14ac:dyDescent="0.25">
      <c r="A5204" t="s">
        <v>8</v>
      </c>
      <c r="B5204" t="s">
        <v>14798</v>
      </c>
      <c r="C5204" t="s">
        <v>14799</v>
      </c>
      <c r="D5204">
        <v>1</v>
      </c>
      <c r="E5204" t="s">
        <v>14780</v>
      </c>
      <c r="F5204" t="s">
        <v>14781</v>
      </c>
      <c r="G5204" s="1"/>
      <c r="H5204" t="str">
        <f>"4012740990073"</f>
        <v>4012740990073</v>
      </c>
      <c r="J5204" t="s">
        <v>14800</v>
      </c>
    </row>
    <row r="5205" spans="1:10" x14ac:dyDescent="0.25">
      <c r="A5205" t="s">
        <v>8</v>
      </c>
      <c r="B5205" t="s">
        <v>14801</v>
      </c>
      <c r="C5205" t="s">
        <v>14802</v>
      </c>
      <c r="D5205">
        <v>1</v>
      </c>
      <c r="E5205" t="s">
        <v>14780</v>
      </c>
      <c r="F5205" t="s">
        <v>14781</v>
      </c>
      <c r="G5205" s="1"/>
      <c r="H5205" t="str">
        <f>"4012740990080"</f>
        <v>4012740990080</v>
      </c>
      <c r="J5205" t="s">
        <v>14803</v>
      </c>
    </row>
    <row r="5206" spans="1:10" x14ac:dyDescent="0.25">
      <c r="A5206" t="s">
        <v>8</v>
      </c>
      <c r="B5206" t="s">
        <v>14804</v>
      </c>
      <c r="C5206" t="s">
        <v>14805</v>
      </c>
      <c r="D5206">
        <v>1</v>
      </c>
      <c r="E5206" t="s">
        <v>14780</v>
      </c>
      <c r="F5206" t="s">
        <v>14781</v>
      </c>
      <c r="G5206" s="1"/>
      <c r="H5206" t="str">
        <f>"4012740990257"</f>
        <v>4012740990257</v>
      </c>
      <c r="J5206" t="s">
        <v>14806</v>
      </c>
    </row>
    <row r="5207" spans="1:10" x14ac:dyDescent="0.25">
      <c r="A5207" t="s">
        <v>8</v>
      </c>
      <c r="B5207" t="s">
        <v>14807</v>
      </c>
      <c r="C5207" t="s">
        <v>14808</v>
      </c>
      <c r="D5207">
        <v>1</v>
      </c>
      <c r="E5207" t="s">
        <v>14780</v>
      </c>
      <c r="F5207" t="s">
        <v>14781</v>
      </c>
      <c r="G5207" s="1"/>
      <c r="H5207" t="str">
        <f>"4012740990295"</f>
        <v>4012740990295</v>
      </c>
      <c r="J5207" t="s">
        <v>14809</v>
      </c>
    </row>
    <row r="5208" spans="1:10" x14ac:dyDescent="0.25">
      <c r="A5208" t="s">
        <v>8</v>
      </c>
      <c r="B5208" t="s">
        <v>14810</v>
      </c>
      <c r="C5208" t="s">
        <v>14811</v>
      </c>
      <c r="D5208">
        <v>1</v>
      </c>
      <c r="E5208" t="s">
        <v>14780</v>
      </c>
      <c r="F5208" t="s">
        <v>14781</v>
      </c>
      <c r="G5208" s="1"/>
      <c r="H5208" t="str">
        <f>"4012740990448"</f>
        <v>4012740990448</v>
      </c>
      <c r="J5208" t="s">
        <v>14812</v>
      </c>
    </row>
    <row r="5209" spans="1:10" x14ac:dyDescent="0.25">
      <c r="A5209" t="s">
        <v>8</v>
      </c>
      <c r="B5209" t="s">
        <v>14813</v>
      </c>
      <c r="C5209" t="s">
        <v>14814</v>
      </c>
      <c r="D5209">
        <v>1</v>
      </c>
      <c r="E5209" t="s">
        <v>14780</v>
      </c>
      <c r="F5209" t="s">
        <v>14781</v>
      </c>
      <c r="G5209" s="1"/>
      <c r="H5209" t="str">
        <f>"4012740990127"</f>
        <v>4012740990127</v>
      </c>
      <c r="J5209" t="s">
        <v>14815</v>
      </c>
    </row>
    <row r="5210" spans="1:10" x14ac:dyDescent="0.25">
      <c r="A5210" t="s">
        <v>8</v>
      </c>
      <c r="B5210" t="s">
        <v>14816</v>
      </c>
      <c r="C5210" t="s">
        <v>14817</v>
      </c>
      <c r="D5210">
        <v>1</v>
      </c>
      <c r="E5210" t="s">
        <v>14780</v>
      </c>
      <c r="F5210" t="s">
        <v>14781</v>
      </c>
      <c r="G5210" s="1"/>
      <c r="H5210" t="str">
        <f>"4012740990288"</f>
        <v>4012740990288</v>
      </c>
      <c r="J5210" t="s">
        <v>14818</v>
      </c>
    </row>
    <row r="5211" spans="1:10" x14ac:dyDescent="0.25">
      <c r="A5211" t="s">
        <v>8</v>
      </c>
      <c r="B5211" t="s">
        <v>14819</v>
      </c>
      <c r="C5211" t="s">
        <v>14820</v>
      </c>
      <c r="D5211">
        <v>1</v>
      </c>
      <c r="E5211" t="s">
        <v>14780</v>
      </c>
      <c r="F5211" t="s">
        <v>14781</v>
      </c>
      <c r="G5211" s="1"/>
      <c r="H5211" t="str">
        <f>"4012740990431"</f>
        <v>4012740990431</v>
      </c>
      <c r="J5211" t="s">
        <v>14821</v>
      </c>
    </row>
    <row r="5212" spans="1:10" x14ac:dyDescent="0.25">
      <c r="A5212" t="s">
        <v>8</v>
      </c>
      <c r="B5212" t="s">
        <v>14822</v>
      </c>
      <c r="C5212" t="s">
        <v>14823</v>
      </c>
      <c r="D5212">
        <v>1</v>
      </c>
      <c r="E5212" t="s">
        <v>14780</v>
      </c>
      <c r="F5212" t="s">
        <v>14781</v>
      </c>
      <c r="G5212" s="1"/>
      <c r="H5212" t="str">
        <f>"4012740990462"</f>
        <v>4012740990462</v>
      </c>
      <c r="J5212" t="s">
        <v>14824</v>
      </c>
    </row>
    <row r="5213" spans="1:10" x14ac:dyDescent="0.25">
      <c r="A5213" t="s">
        <v>8</v>
      </c>
      <c r="B5213" t="s">
        <v>14825</v>
      </c>
      <c r="C5213" t="s">
        <v>14826</v>
      </c>
      <c r="D5213">
        <v>1</v>
      </c>
      <c r="E5213" t="s">
        <v>14780</v>
      </c>
      <c r="F5213" t="s">
        <v>14781</v>
      </c>
      <c r="G5213" s="1"/>
      <c r="H5213" t="str">
        <f>"3250610010099"</f>
        <v>3250610010099</v>
      </c>
      <c r="J5213" t="s">
        <v>14827</v>
      </c>
    </row>
    <row r="5214" spans="1:10" x14ac:dyDescent="0.25">
      <c r="A5214" t="s">
        <v>8</v>
      </c>
      <c r="B5214" t="s">
        <v>14828</v>
      </c>
      <c r="C5214" t="s">
        <v>14829</v>
      </c>
      <c r="D5214">
        <v>1</v>
      </c>
      <c r="E5214" t="s">
        <v>14780</v>
      </c>
      <c r="F5214" t="s">
        <v>14781</v>
      </c>
      <c r="G5214" s="1"/>
      <c r="H5214" t="str">
        <f>"3250610010105"</f>
        <v>3250610010105</v>
      </c>
      <c r="J5214" t="s">
        <v>14830</v>
      </c>
    </row>
    <row r="5215" spans="1:10" x14ac:dyDescent="0.25">
      <c r="A5215" t="s">
        <v>8</v>
      </c>
      <c r="B5215" t="s">
        <v>14831</v>
      </c>
      <c r="C5215" t="s">
        <v>14832</v>
      </c>
      <c r="D5215">
        <v>1</v>
      </c>
      <c r="E5215" t="s">
        <v>14780</v>
      </c>
      <c r="F5215" t="s">
        <v>14781</v>
      </c>
      <c r="G5215" s="1"/>
      <c r="H5215" t="str">
        <f>"3250610010112"</f>
        <v>3250610010112</v>
      </c>
      <c r="J5215" t="s">
        <v>14833</v>
      </c>
    </row>
    <row r="5216" spans="1:10" x14ac:dyDescent="0.25">
      <c r="A5216" t="s">
        <v>8</v>
      </c>
      <c r="B5216" t="s">
        <v>14834</v>
      </c>
      <c r="C5216" t="s">
        <v>14835</v>
      </c>
      <c r="D5216">
        <v>1</v>
      </c>
      <c r="E5216" t="s">
        <v>14780</v>
      </c>
      <c r="F5216" t="s">
        <v>14781</v>
      </c>
      <c r="G5216" s="1"/>
      <c r="H5216" t="str">
        <f>"3250610010129"</f>
        <v>3250610010129</v>
      </c>
      <c r="J5216" t="s">
        <v>14836</v>
      </c>
    </row>
    <row r="5217" spans="1:10" x14ac:dyDescent="0.25">
      <c r="A5217" t="s">
        <v>8</v>
      </c>
      <c r="B5217" t="s">
        <v>14837</v>
      </c>
      <c r="C5217" t="s">
        <v>14838</v>
      </c>
      <c r="D5217">
        <v>1</v>
      </c>
      <c r="E5217" t="s">
        <v>14780</v>
      </c>
      <c r="F5217" t="s">
        <v>14781</v>
      </c>
      <c r="G5217" s="1"/>
      <c r="H5217" t="str">
        <f>"3250611047049"</f>
        <v>3250611047049</v>
      </c>
      <c r="J5217" t="s">
        <v>14839</v>
      </c>
    </row>
    <row r="5218" spans="1:10" x14ac:dyDescent="0.25">
      <c r="A5218" t="s">
        <v>8</v>
      </c>
      <c r="B5218" t="s">
        <v>14840</v>
      </c>
      <c r="C5218" t="s">
        <v>14841</v>
      </c>
      <c r="D5218">
        <v>1</v>
      </c>
      <c r="E5218" t="s">
        <v>14780</v>
      </c>
      <c r="F5218" t="s">
        <v>14781</v>
      </c>
      <c r="G5218" s="1"/>
      <c r="H5218" t="str">
        <f>"3250610010181"</f>
        <v>3250610010181</v>
      </c>
      <c r="J5218" t="s">
        <v>14842</v>
      </c>
    </row>
    <row r="5219" spans="1:10" x14ac:dyDescent="0.25">
      <c r="A5219" t="s">
        <v>8</v>
      </c>
      <c r="B5219" t="s">
        <v>14843</v>
      </c>
      <c r="C5219" t="s">
        <v>14844</v>
      </c>
      <c r="D5219">
        <v>1</v>
      </c>
      <c r="E5219" t="s">
        <v>14780</v>
      </c>
      <c r="F5219" t="s">
        <v>14781</v>
      </c>
      <c r="G5219" s="1"/>
      <c r="H5219" t="str">
        <f>"3250611047032"</f>
        <v>3250611047032</v>
      </c>
      <c r="J5219" t="s">
        <v>14845</v>
      </c>
    </row>
    <row r="5220" spans="1:10" x14ac:dyDescent="0.25">
      <c r="A5220" t="s">
        <v>8</v>
      </c>
      <c r="B5220" t="s">
        <v>14846</v>
      </c>
      <c r="C5220" t="s">
        <v>14847</v>
      </c>
      <c r="D5220">
        <v>1</v>
      </c>
      <c r="E5220" t="s">
        <v>14780</v>
      </c>
      <c r="F5220" t="s">
        <v>14781</v>
      </c>
      <c r="G5220" s="1"/>
      <c r="H5220" t="str">
        <f>"3250611046615"</f>
        <v>3250611046615</v>
      </c>
      <c r="J5220" t="s">
        <v>14848</v>
      </c>
    </row>
    <row r="5221" spans="1:10" x14ac:dyDescent="0.25">
      <c r="A5221" t="s">
        <v>8</v>
      </c>
      <c r="B5221" t="s">
        <v>14849</v>
      </c>
      <c r="C5221" t="s">
        <v>14850</v>
      </c>
      <c r="D5221">
        <v>1</v>
      </c>
      <c r="E5221" t="s">
        <v>14780</v>
      </c>
      <c r="F5221" t="s">
        <v>14781</v>
      </c>
      <c r="G5221" s="1"/>
      <c r="H5221" t="str">
        <f>"3250611046622"</f>
        <v>3250611046622</v>
      </c>
      <c r="J5221" t="s">
        <v>14851</v>
      </c>
    </row>
    <row r="5222" spans="1:10" x14ac:dyDescent="0.25">
      <c r="A5222" t="s">
        <v>8</v>
      </c>
      <c r="B5222" t="s">
        <v>14852</v>
      </c>
      <c r="C5222" t="s">
        <v>14853</v>
      </c>
      <c r="D5222">
        <v>1</v>
      </c>
      <c r="E5222" t="s">
        <v>14780</v>
      </c>
      <c r="F5222" t="s">
        <v>14781</v>
      </c>
      <c r="G5222" s="1"/>
      <c r="H5222" t="str">
        <f>"3250611046653"</f>
        <v>3250611046653</v>
      </c>
      <c r="J5222" t="s">
        <v>14854</v>
      </c>
    </row>
    <row r="5223" spans="1:10" x14ac:dyDescent="0.25">
      <c r="A5223" t="s">
        <v>8</v>
      </c>
      <c r="B5223" t="s">
        <v>14855</v>
      </c>
      <c r="C5223" t="s">
        <v>14856</v>
      </c>
      <c r="D5223">
        <v>1</v>
      </c>
      <c r="E5223" t="s">
        <v>14780</v>
      </c>
      <c r="F5223" t="s">
        <v>14781</v>
      </c>
      <c r="G5223" s="1"/>
      <c r="H5223" t="str">
        <f>"3250611046660"</f>
        <v>3250611046660</v>
      </c>
      <c r="J5223" t="s">
        <v>14857</v>
      </c>
    </row>
    <row r="5224" spans="1:10" x14ac:dyDescent="0.25">
      <c r="A5224" t="s">
        <v>8</v>
      </c>
      <c r="B5224" t="s">
        <v>14858</v>
      </c>
      <c r="C5224" t="s">
        <v>14859</v>
      </c>
      <c r="D5224">
        <v>1</v>
      </c>
      <c r="E5224" t="s">
        <v>14780</v>
      </c>
      <c r="F5224" t="s">
        <v>14781</v>
      </c>
      <c r="G5224" s="1"/>
      <c r="H5224" t="str">
        <f>"3250611047025"</f>
        <v>3250611047025</v>
      </c>
      <c r="J5224" t="s">
        <v>14860</v>
      </c>
    </row>
    <row r="5225" spans="1:10" x14ac:dyDescent="0.25">
      <c r="A5225" t="s">
        <v>8</v>
      </c>
      <c r="B5225" t="s">
        <v>14861</v>
      </c>
      <c r="C5225" t="s">
        <v>14862</v>
      </c>
      <c r="D5225">
        <v>1</v>
      </c>
      <c r="E5225" t="s">
        <v>14780</v>
      </c>
      <c r="F5225" t="s">
        <v>14781</v>
      </c>
      <c r="G5225" s="1"/>
      <c r="H5225" t="str">
        <f>"3250611047063"</f>
        <v>3250611047063</v>
      </c>
      <c r="J5225" t="s">
        <v>14863</v>
      </c>
    </row>
    <row r="5226" spans="1:10" x14ac:dyDescent="0.25">
      <c r="A5226" t="s">
        <v>8</v>
      </c>
      <c r="B5226" t="s">
        <v>14864</v>
      </c>
      <c r="C5226" t="s">
        <v>14865</v>
      </c>
      <c r="D5226">
        <v>1</v>
      </c>
      <c r="E5226" t="s">
        <v>14780</v>
      </c>
      <c r="F5226" t="s">
        <v>14781</v>
      </c>
      <c r="G5226" s="1"/>
      <c r="H5226" t="str">
        <f>"3250610103609"</f>
        <v>3250610103609</v>
      </c>
      <c r="J5226" t="s">
        <v>14866</v>
      </c>
    </row>
    <row r="5227" spans="1:10" x14ac:dyDescent="0.25">
      <c r="A5227" t="s">
        <v>8</v>
      </c>
      <c r="B5227" t="s">
        <v>14867</v>
      </c>
      <c r="C5227" t="s">
        <v>14868</v>
      </c>
      <c r="D5227">
        <v>1</v>
      </c>
      <c r="E5227" t="s">
        <v>14780</v>
      </c>
      <c r="F5227" t="s">
        <v>14781</v>
      </c>
      <c r="G5227" s="1"/>
      <c r="H5227" t="str">
        <f>"3250610022795"</f>
        <v>3250610022795</v>
      </c>
      <c r="J5227" t="s">
        <v>14848</v>
      </c>
    </row>
    <row r="5228" spans="1:10" x14ac:dyDescent="0.25">
      <c r="A5228" t="s">
        <v>8</v>
      </c>
      <c r="B5228" t="s">
        <v>14869</v>
      </c>
      <c r="C5228" t="s">
        <v>14870</v>
      </c>
      <c r="D5228">
        <v>1</v>
      </c>
      <c r="E5228" t="s">
        <v>14780</v>
      </c>
      <c r="F5228" t="s">
        <v>14781</v>
      </c>
      <c r="G5228" s="1"/>
      <c r="H5228" t="str">
        <f>"3250610022801"</f>
        <v>3250610022801</v>
      </c>
      <c r="J5228" t="s">
        <v>14871</v>
      </c>
    </row>
    <row r="5229" spans="1:10" x14ac:dyDescent="0.25">
      <c r="A5229" t="s">
        <v>8</v>
      </c>
      <c r="B5229" t="s">
        <v>14872</v>
      </c>
      <c r="C5229" t="s">
        <v>14873</v>
      </c>
      <c r="D5229">
        <v>1</v>
      </c>
      <c r="E5229" t="s">
        <v>14780</v>
      </c>
      <c r="F5229" t="s">
        <v>14781</v>
      </c>
      <c r="G5229" s="1"/>
      <c r="H5229" t="str">
        <f>"3250610022818"</f>
        <v>3250610022818</v>
      </c>
      <c r="J5229" t="s">
        <v>14874</v>
      </c>
    </row>
    <row r="5230" spans="1:10" x14ac:dyDescent="0.25">
      <c r="A5230" t="s">
        <v>8</v>
      </c>
      <c r="B5230" t="s">
        <v>14875</v>
      </c>
      <c r="C5230" t="s">
        <v>14876</v>
      </c>
      <c r="D5230">
        <v>1</v>
      </c>
      <c r="E5230" t="s">
        <v>14780</v>
      </c>
      <c r="F5230" t="s">
        <v>14781</v>
      </c>
      <c r="G5230" s="1"/>
      <c r="H5230" t="str">
        <f>"3250610103630"</f>
        <v>3250610103630</v>
      </c>
      <c r="J5230" t="s">
        <v>14877</v>
      </c>
    </row>
    <row r="5231" spans="1:10" x14ac:dyDescent="0.25">
      <c r="A5231" t="s">
        <v>8</v>
      </c>
      <c r="B5231" t="s">
        <v>14878</v>
      </c>
      <c r="C5231" t="s">
        <v>14879</v>
      </c>
      <c r="D5231">
        <v>1</v>
      </c>
      <c r="E5231" t="s">
        <v>14780</v>
      </c>
      <c r="F5231" t="s">
        <v>14781</v>
      </c>
      <c r="G5231" s="1"/>
      <c r="H5231" t="str">
        <f>"3250610103616"</f>
        <v>3250610103616</v>
      </c>
      <c r="J5231" t="s">
        <v>14866</v>
      </c>
    </row>
    <row r="5232" spans="1:10" x14ac:dyDescent="0.25">
      <c r="A5232" t="s">
        <v>8</v>
      </c>
      <c r="B5232" t="s">
        <v>14880</v>
      </c>
      <c r="C5232" t="s">
        <v>14881</v>
      </c>
      <c r="D5232">
        <v>1</v>
      </c>
      <c r="E5232" t="s">
        <v>14780</v>
      </c>
      <c r="F5232" t="s">
        <v>14781</v>
      </c>
      <c r="G5232" s="1"/>
      <c r="H5232" t="str">
        <f>"3250610087077"</f>
        <v>3250610087077</v>
      </c>
      <c r="J5232" t="s">
        <v>14882</v>
      </c>
    </row>
    <row r="5233" spans="1:10" x14ac:dyDescent="0.25">
      <c r="A5233" t="s">
        <v>8</v>
      </c>
      <c r="B5233" t="s">
        <v>14883</v>
      </c>
      <c r="C5233" t="s">
        <v>14884</v>
      </c>
      <c r="D5233">
        <v>1</v>
      </c>
      <c r="E5233" t="s">
        <v>14780</v>
      </c>
      <c r="F5233" t="s">
        <v>14781</v>
      </c>
      <c r="G5233" s="1"/>
      <c r="H5233" t="str">
        <f>"3250610087084"</f>
        <v>3250610087084</v>
      </c>
      <c r="J5233" t="s">
        <v>14885</v>
      </c>
    </row>
    <row r="5234" spans="1:10" x14ac:dyDescent="0.25">
      <c r="A5234" t="s">
        <v>8</v>
      </c>
      <c r="B5234" t="s">
        <v>14886</v>
      </c>
      <c r="C5234" t="s">
        <v>14887</v>
      </c>
      <c r="D5234">
        <v>1</v>
      </c>
      <c r="E5234" t="s">
        <v>14780</v>
      </c>
      <c r="F5234" t="s">
        <v>14781</v>
      </c>
      <c r="G5234" s="1"/>
      <c r="H5234" t="str">
        <f>"3250610128848"</f>
        <v>3250610128848</v>
      </c>
      <c r="J5234" t="s">
        <v>14888</v>
      </c>
    </row>
    <row r="5235" spans="1:10" x14ac:dyDescent="0.25">
      <c r="A5235" t="s">
        <v>8</v>
      </c>
      <c r="B5235" t="s">
        <v>14889</v>
      </c>
      <c r="C5235" t="s">
        <v>14890</v>
      </c>
      <c r="D5235">
        <v>1</v>
      </c>
      <c r="E5235" t="s">
        <v>14780</v>
      </c>
      <c r="F5235" t="s">
        <v>14781</v>
      </c>
      <c r="G5235" s="1"/>
      <c r="H5235" t="str">
        <f>"3250610128855"</f>
        <v>3250610128855</v>
      </c>
      <c r="J5235" t="s">
        <v>14891</v>
      </c>
    </row>
    <row r="5236" spans="1:10" x14ac:dyDescent="0.25">
      <c r="A5236" t="s">
        <v>8</v>
      </c>
      <c r="B5236" t="s">
        <v>14892</v>
      </c>
      <c r="C5236" t="s">
        <v>14893</v>
      </c>
      <c r="D5236">
        <v>1</v>
      </c>
      <c r="E5236" t="s">
        <v>14780</v>
      </c>
      <c r="F5236" t="s">
        <v>14781</v>
      </c>
      <c r="G5236" s="1"/>
      <c r="H5236" t="str">
        <f>"3250610128862"</f>
        <v>3250610128862</v>
      </c>
      <c r="J5236" t="s">
        <v>10452</v>
      </c>
    </row>
    <row r="5237" spans="1:10" x14ac:dyDescent="0.25">
      <c r="A5237" t="s">
        <v>8</v>
      </c>
      <c r="B5237" t="s">
        <v>14894</v>
      </c>
      <c r="C5237" t="s">
        <v>14895</v>
      </c>
      <c r="D5237">
        <v>1</v>
      </c>
      <c r="E5237" t="s">
        <v>14780</v>
      </c>
      <c r="F5237" t="s">
        <v>14781</v>
      </c>
      <c r="G5237" s="1"/>
      <c r="H5237" t="str">
        <f>"3250610136898"</f>
        <v>3250610136898</v>
      </c>
      <c r="J5237" t="s">
        <v>14896</v>
      </c>
    </row>
    <row r="5238" spans="1:10" x14ac:dyDescent="0.25">
      <c r="A5238" t="s">
        <v>8</v>
      </c>
      <c r="B5238" t="s">
        <v>14897</v>
      </c>
      <c r="C5238" t="s">
        <v>14898</v>
      </c>
      <c r="D5238">
        <v>1</v>
      </c>
      <c r="E5238" t="s">
        <v>14780</v>
      </c>
      <c r="F5238" t="s">
        <v>14781</v>
      </c>
      <c r="G5238" s="1"/>
      <c r="H5238" t="str">
        <f>"3250610138441"</f>
        <v>3250610138441</v>
      </c>
      <c r="J5238" t="s">
        <v>14899</v>
      </c>
    </row>
    <row r="5239" spans="1:10" x14ac:dyDescent="0.25">
      <c r="A5239" t="s">
        <v>8</v>
      </c>
      <c r="B5239" t="s">
        <v>14900</v>
      </c>
      <c r="C5239" t="s">
        <v>14901</v>
      </c>
      <c r="D5239">
        <v>1</v>
      </c>
      <c r="E5239" t="s">
        <v>14780</v>
      </c>
      <c r="F5239" t="s">
        <v>14781</v>
      </c>
      <c r="G5239" s="1"/>
      <c r="H5239" t="str">
        <f>"3250610138458"</f>
        <v>3250610138458</v>
      </c>
      <c r="J5239" t="s">
        <v>14902</v>
      </c>
    </row>
    <row r="5240" spans="1:10" x14ac:dyDescent="0.25">
      <c r="A5240" t="s">
        <v>8</v>
      </c>
      <c r="B5240" t="s">
        <v>14903</v>
      </c>
      <c r="C5240" t="s">
        <v>14904</v>
      </c>
      <c r="D5240">
        <v>1</v>
      </c>
      <c r="E5240" t="s">
        <v>14905</v>
      </c>
      <c r="F5240" t="s">
        <v>14906</v>
      </c>
      <c r="G5240" s="1"/>
      <c r="H5240" t="str">
        <f>"4012740872751"</f>
        <v>4012740872751</v>
      </c>
      <c r="J5240" t="s">
        <v>14907</v>
      </c>
    </row>
    <row r="5241" spans="1:10" x14ac:dyDescent="0.25">
      <c r="A5241" t="s">
        <v>8</v>
      </c>
      <c r="B5241" t="s">
        <v>14908</v>
      </c>
      <c r="C5241" t="s">
        <v>14909</v>
      </c>
      <c r="D5241">
        <v>1</v>
      </c>
      <c r="E5241" t="s">
        <v>14905</v>
      </c>
      <c r="F5241" t="s">
        <v>14906</v>
      </c>
      <c r="G5241" s="1"/>
      <c r="H5241" t="str">
        <f>"4012740897549"</f>
        <v>4012740897549</v>
      </c>
      <c r="J5241" t="s">
        <v>14910</v>
      </c>
    </row>
    <row r="5242" spans="1:10" x14ac:dyDescent="0.25">
      <c r="A5242" t="s">
        <v>8</v>
      </c>
      <c r="B5242" t="s">
        <v>14911</v>
      </c>
      <c r="C5242" t="s">
        <v>14912</v>
      </c>
      <c r="D5242">
        <v>1</v>
      </c>
      <c r="E5242" t="s">
        <v>14905</v>
      </c>
      <c r="F5242" t="s">
        <v>14906</v>
      </c>
      <c r="G5242" s="1"/>
      <c r="H5242" t="str">
        <f>"4012740897556"</f>
        <v>4012740897556</v>
      </c>
      <c r="J5242" t="s">
        <v>1781</v>
      </c>
    </row>
    <row r="5243" spans="1:10" x14ac:dyDescent="0.25">
      <c r="A5243" t="s">
        <v>8</v>
      </c>
      <c r="B5243" t="s">
        <v>14913</v>
      </c>
      <c r="C5243" t="s">
        <v>14914</v>
      </c>
      <c r="D5243">
        <v>1</v>
      </c>
      <c r="E5243" t="s">
        <v>14905</v>
      </c>
      <c r="F5243" t="s">
        <v>14906</v>
      </c>
      <c r="G5243" s="1"/>
      <c r="H5243" t="str">
        <f>"4012740897570"</f>
        <v>4012740897570</v>
      </c>
      <c r="J5243" t="s">
        <v>14915</v>
      </c>
    </row>
    <row r="5244" spans="1:10" x14ac:dyDescent="0.25">
      <c r="A5244" t="s">
        <v>8</v>
      </c>
      <c r="B5244" t="s">
        <v>14916</v>
      </c>
      <c r="C5244" t="s">
        <v>14917</v>
      </c>
      <c r="D5244">
        <v>1</v>
      </c>
      <c r="E5244" t="s">
        <v>14905</v>
      </c>
      <c r="F5244" t="s">
        <v>14906</v>
      </c>
      <c r="G5244" s="1"/>
      <c r="H5244" t="str">
        <f>"4012740876681"</f>
        <v>4012740876681</v>
      </c>
      <c r="J5244" t="s">
        <v>14918</v>
      </c>
    </row>
    <row r="5245" spans="1:10" x14ac:dyDescent="0.25">
      <c r="A5245" t="s">
        <v>8</v>
      </c>
      <c r="B5245" t="s">
        <v>14919</v>
      </c>
      <c r="C5245" t="s">
        <v>14920</v>
      </c>
      <c r="D5245">
        <v>1</v>
      </c>
      <c r="E5245" t="s">
        <v>14905</v>
      </c>
      <c r="F5245" t="s">
        <v>14906</v>
      </c>
      <c r="G5245" s="1"/>
      <c r="H5245" t="str">
        <f>"4012740980524"</f>
        <v>4012740980524</v>
      </c>
      <c r="J5245" t="s">
        <v>14921</v>
      </c>
    </row>
    <row r="5246" spans="1:10" x14ac:dyDescent="0.25">
      <c r="A5246" t="s">
        <v>8</v>
      </c>
      <c r="B5246" t="s">
        <v>14922</v>
      </c>
      <c r="C5246" t="s">
        <v>14923</v>
      </c>
      <c r="D5246">
        <v>1</v>
      </c>
      <c r="E5246" t="s">
        <v>14905</v>
      </c>
      <c r="F5246" t="s">
        <v>14906</v>
      </c>
      <c r="G5246" s="1"/>
      <c r="H5246" t="str">
        <f>"4012740980531"</f>
        <v>4012740980531</v>
      </c>
      <c r="J5246" t="s">
        <v>14924</v>
      </c>
    </row>
    <row r="5247" spans="1:10" x14ac:dyDescent="0.25">
      <c r="A5247" t="s">
        <v>8</v>
      </c>
      <c r="B5247" t="s">
        <v>14925</v>
      </c>
      <c r="C5247" t="s">
        <v>14926</v>
      </c>
      <c r="D5247">
        <v>1</v>
      </c>
      <c r="E5247" t="s">
        <v>14905</v>
      </c>
      <c r="F5247" t="s">
        <v>14906</v>
      </c>
      <c r="G5247" s="1"/>
      <c r="H5247" t="str">
        <f>"4012740990325"</f>
        <v>4012740990325</v>
      </c>
      <c r="J5247" t="s">
        <v>14927</v>
      </c>
    </row>
    <row r="5248" spans="1:10" x14ac:dyDescent="0.25">
      <c r="A5248" t="s">
        <v>8</v>
      </c>
      <c r="B5248" t="s">
        <v>14928</v>
      </c>
      <c r="C5248" t="s">
        <v>14929</v>
      </c>
      <c r="D5248">
        <v>1</v>
      </c>
      <c r="E5248" t="s">
        <v>14905</v>
      </c>
      <c r="F5248" t="s">
        <v>14906</v>
      </c>
      <c r="G5248" s="1"/>
      <c r="H5248" t="str">
        <f>"4012740990332"</f>
        <v>4012740990332</v>
      </c>
      <c r="J5248" t="s">
        <v>14930</v>
      </c>
    </row>
    <row r="5249" spans="1:10" x14ac:dyDescent="0.25">
      <c r="A5249" t="s">
        <v>8</v>
      </c>
      <c r="B5249" t="s">
        <v>14931</v>
      </c>
      <c r="C5249" t="s">
        <v>14932</v>
      </c>
      <c r="D5249">
        <v>1</v>
      </c>
      <c r="E5249" t="s">
        <v>14905</v>
      </c>
      <c r="F5249" t="s">
        <v>14906</v>
      </c>
      <c r="G5249" s="1"/>
      <c r="H5249" t="str">
        <f>"4012740990141"</f>
        <v>4012740990141</v>
      </c>
      <c r="J5249" t="s">
        <v>14933</v>
      </c>
    </row>
    <row r="5250" spans="1:10" x14ac:dyDescent="0.25">
      <c r="A5250" t="s">
        <v>8</v>
      </c>
      <c r="B5250" t="s">
        <v>14934</v>
      </c>
      <c r="C5250" t="s">
        <v>14935</v>
      </c>
      <c r="D5250">
        <v>1</v>
      </c>
      <c r="E5250" t="s">
        <v>14905</v>
      </c>
      <c r="F5250" t="s">
        <v>14906</v>
      </c>
      <c r="G5250" s="1"/>
      <c r="H5250" t="str">
        <f>"4012740990158"</f>
        <v>4012740990158</v>
      </c>
      <c r="J5250" t="s">
        <v>14936</v>
      </c>
    </row>
    <row r="5251" spans="1:10" x14ac:dyDescent="0.25">
      <c r="A5251" t="s">
        <v>8</v>
      </c>
      <c r="B5251" t="s">
        <v>14937</v>
      </c>
      <c r="C5251" t="s">
        <v>14938</v>
      </c>
      <c r="D5251">
        <v>1</v>
      </c>
      <c r="E5251" t="s">
        <v>14905</v>
      </c>
      <c r="F5251" t="s">
        <v>14906</v>
      </c>
      <c r="G5251" s="1"/>
      <c r="H5251" t="str">
        <f>"3250610010020"</f>
        <v>3250610010020</v>
      </c>
      <c r="J5251" t="s">
        <v>14936</v>
      </c>
    </row>
    <row r="5252" spans="1:10" x14ac:dyDescent="0.25">
      <c r="A5252" t="s">
        <v>8</v>
      </c>
      <c r="B5252" t="s">
        <v>14939</v>
      </c>
      <c r="C5252" t="s">
        <v>14940</v>
      </c>
      <c r="D5252">
        <v>1</v>
      </c>
      <c r="E5252" t="s">
        <v>14905</v>
      </c>
      <c r="F5252" t="s">
        <v>14906</v>
      </c>
      <c r="G5252" s="1"/>
      <c r="H5252" t="str">
        <f>"4012740990653"</f>
        <v>4012740990653</v>
      </c>
      <c r="J5252" t="s">
        <v>14941</v>
      </c>
    </row>
    <row r="5253" spans="1:10" x14ac:dyDescent="0.25">
      <c r="A5253" t="s">
        <v>8</v>
      </c>
      <c r="B5253" t="s">
        <v>14942</v>
      </c>
      <c r="C5253" t="s">
        <v>14943</v>
      </c>
      <c r="D5253">
        <v>1</v>
      </c>
      <c r="E5253" t="s">
        <v>14905</v>
      </c>
      <c r="F5253" t="s">
        <v>14906</v>
      </c>
      <c r="G5253" s="1"/>
      <c r="H5253" t="str">
        <f>"4012740990660"</f>
        <v>4012740990660</v>
      </c>
      <c r="J5253" t="s">
        <v>14941</v>
      </c>
    </row>
    <row r="5254" spans="1:10" x14ac:dyDescent="0.25">
      <c r="A5254" t="s">
        <v>8</v>
      </c>
      <c r="B5254" t="s">
        <v>14944</v>
      </c>
      <c r="C5254" t="s">
        <v>14945</v>
      </c>
      <c r="D5254">
        <v>1</v>
      </c>
      <c r="E5254" t="s">
        <v>14905</v>
      </c>
      <c r="F5254" t="s">
        <v>14906</v>
      </c>
      <c r="G5254" s="1"/>
      <c r="H5254" t="str">
        <f>"4012740990165"</f>
        <v>4012740990165</v>
      </c>
      <c r="J5254" t="s">
        <v>14946</v>
      </c>
    </row>
    <row r="5255" spans="1:10" x14ac:dyDescent="0.25">
      <c r="A5255" t="s">
        <v>8</v>
      </c>
      <c r="B5255" t="s">
        <v>14947</v>
      </c>
      <c r="C5255" t="s">
        <v>14948</v>
      </c>
      <c r="D5255">
        <v>1</v>
      </c>
      <c r="E5255" t="s">
        <v>14905</v>
      </c>
      <c r="F5255" t="s">
        <v>14906</v>
      </c>
      <c r="G5255" s="1"/>
      <c r="H5255" t="str">
        <f>"4012740990356"</f>
        <v>4012740990356</v>
      </c>
      <c r="J5255" t="s">
        <v>14949</v>
      </c>
    </row>
    <row r="5256" spans="1:10" x14ac:dyDescent="0.25">
      <c r="A5256" t="s">
        <v>8</v>
      </c>
      <c r="B5256" t="s">
        <v>14950</v>
      </c>
      <c r="C5256" t="s">
        <v>14951</v>
      </c>
      <c r="D5256">
        <v>1</v>
      </c>
      <c r="E5256" t="s">
        <v>14905</v>
      </c>
      <c r="F5256" t="s">
        <v>14906</v>
      </c>
      <c r="G5256" s="1"/>
      <c r="H5256" t="str">
        <f>"4012740990363"</f>
        <v>4012740990363</v>
      </c>
      <c r="J5256" t="s">
        <v>14952</v>
      </c>
    </row>
    <row r="5257" spans="1:10" x14ac:dyDescent="0.25">
      <c r="A5257" t="s">
        <v>8</v>
      </c>
      <c r="B5257" t="s">
        <v>14953</v>
      </c>
      <c r="C5257" t="s">
        <v>14954</v>
      </c>
      <c r="D5257">
        <v>1</v>
      </c>
      <c r="E5257" t="s">
        <v>14905</v>
      </c>
      <c r="F5257" t="s">
        <v>14906</v>
      </c>
      <c r="G5257" s="1"/>
      <c r="H5257" t="str">
        <f>"4012740990370"</f>
        <v>4012740990370</v>
      </c>
      <c r="J5257" t="s">
        <v>14955</v>
      </c>
    </row>
    <row r="5258" spans="1:10" x14ac:dyDescent="0.25">
      <c r="A5258" t="s">
        <v>8</v>
      </c>
      <c r="B5258" t="s">
        <v>14956</v>
      </c>
      <c r="C5258" t="s">
        <v>14957</v>
      </c>
      <c r="D5258">
        <v>1</v>
      </c>
      <c r="E5258" t="s">
        <v>14905</v>
      </c>
      <c r="F5258" t="s">
        <v>14906</v>
      </c>
      <c r="G5258" s="1"/>
      <c r="H5258" t="str">
        <f>"4012740990684"</f>
        <v>4012740990684</v>
      </c>
      <c r="J5258" t="s">
        <v>14958</v>
      </c>
    </row>
    <row r="5259" spans="1:10" x14ac:dyDescent="0.25">
      <c r="A5259" t="s">
        <v>8</v>
      </c>
      <c r="B5259" t="s">
        <v>14959</v>
      </c>
      <c r="C5259" t="s">
        <v>14960</v>
      </c>
      <c r="D5259">
        <v>1</v>
      </c>
      <c r="E5259" t="s">
        <v>14905</v>
      </c>
      <c r="F5259" t="s">
        <v>14906</v>
      </c>
      <c r="G5259" s="1"/>
      <c r="H5259" t="str">
        <f>"4012740990691"</f>
        <v>4012740990691</v>
      </c>
      <c r="J5259" t="s">
        <v>14961</v>
      </c>
    </row>
    <row r="5260" spans="1:10" x14ac:dyDescent="0.25">
      <c r="A5260" t="s">
        <v>8</v>
      </c>
      <c r="B5260" t="s">
        <v>14962</v>
      </c>
      <c r="C5260" t="s">
        <v>14963</v>
      </c>
      <c r="D5260">
        <v>1</v>
      </c>
      <c r="E5260" t="s">
        <v>14905</v>
      </c>
      <c r="F5260" t="s">
        <v>14906</v>
      </c>
      <c r="G5260" s="1"/>
      <c r="H5260" t="str">
        <f>"4012740990707"</f>
        <v>4012740990707</v>
      </c>
      <c r="J5260" t="s">
        <v>14964</v>
      </c>
    </row>
    <row r="5261" spans="1:10" x14ac:dyDescent="0.25">
      <c r="A5261" t="s">
        <v>8</v>
      </c>
      <c r="B5261" t="s">
        <v>14965</v>
      </c>
      <c r="C5261" t="s">
        <v>14966</v>
      </c>
      <c r="D5261">
        <v>1</v>
      </c>
      <c r="E5261" t="s">
        <v>14905</v>
      </c>
      <c r="F5261" t="s">
        <v>14906</v>
      </c>
      <c r="G5261" s="1"/>
      <c r="H5261" t="str">
        <f>"4012740990387"</f>
        <v>4012740990387</v>
      </c>
      <c r="J5261" t="s">
        <v>7416</v>
      </c>
    </row>
    <row r="5262" spans="1:10" x14ac:dyDescent="0.25">
      <c r="A5262" t="s">
        <v>8</v>
      </c>
      <c r="B5262" t="s">
        <v>14967</v>
      </c>
      <c r="C5262" t="s">
        <v>14968</v>
      </c>
      <c r="D5262">
        <v>1</v>
      </c>
      <c r="E5262" t="s">
        <v>14905</v>
      </c>
      <c r="F5262" t="s">
        <v>14906</v>
      </c>
      <c r="G5262" s="1"/>
      <c r="H5262" t="str">
        <f>"4012740990721"</f>
        <v>4012740990721</v>
      </c>
      <c r="J5262" t="s">
        <v>14969</v>
      </c>
    </row>
    <row r="5263" spans="1:10" x14ac:dyDescent="0.25">
      <c r="A5263" t="s">
        <v>8</v>
      </c>
      <c r="B5263" t="s">
        <v>14970</v>
      </c>
      <c r="C5263" t="s">
        <v>14971</v>
      </c>
      <c r="D5263">
        <v>1</v>
      </c>
      <c r="E5263" t="s">
        <v>14905</v>
      </c>
      <c r="F5263" t="s">
        <v>14906</v>
      </c>
      <c r="G5263" s="1"/>
      <c r="H5263" t="str">
        <f>"4012740990394"</f>
        <v>4012740990394</v>
      </c>
      <c r="J5263" t="s">
        <v>13850</v>
      </c>
    </row>
    <row r="5264" spans="1:10" x14ac:dyDescent="0.25">
      <c r="A5264" t="s">
        <v>8</v>
      </c>
      <c r="B5264" t="s">
        <v>14972</v>
      </c>
      <c r="C5264" t="s">
        <v>14973</v>
      </c>
      <c r="D5264">
        <v>1</v>
      </c>
      <c r="E5264" t="s">
        <v>14905</v>
      </c>
      <c r="F5264" t="s">
        <v>14906</v>
      </c>
      <c r="G5264" s="1"/>
      <c r="H5264" t="str">
        <f>"4012740990400"</f>
        <v>4012740990400</v>
      </c>
      <c r="J5264" t="s">
        <v>14974</v>
      </c>
    </row>
    <row r="5265" spans="1:10" x14ac:dyDescent="0.25">
      <c r="A5265" t="s">
        <v>8</v>
      </c>
      <c r="B5265" t="s">
        <v>14975</v>
      </c>
      <c r="C5265" t="s">
        <v>14976</v>
      </c>
      <c r="D5265">
        <v>1</v>
      </c>
      <c r="E5265" t="s">
        <v>14905</v>
      </c>
      <c r="F5265" t="s">
        <v>14906</v>
      </c>
      <c r="G5265" s="1"/>
      <c r="H5265" t="str">
        <f>"4012740990417"</f>
        <v>4012740990417</v>
      </c>
      <c r="J5265" t="s">
        <v>14977</v>
      </c>
    </row>
    <row r="5266" spans="1:10" x14ac:dyDescent="0.25">
      <c r="A5266" t="s">
        <v>8</v>
      </c>
      <c r="B5266" t="s">
        <v>14978</v>
      </c>
      <c r="C5266" t="s">
        <v>14979</v>
      </c>
      <c r="D5266">
        <v>1</v>
      </c>
      <c r="E5266" t="s">
        <v>14905</v>
      </c>
      <c r="F5266" t="s">
        <v>14906</v>
      </c>
      <c r="G5266" s="1"/>
      <c r="H5266" t="str">
        <f>"3250610010204"</f>
        <v>3250610010204</v>
      </c>
      <c r="J5266" t="s">
        <v>14980</v>
      </c>
    </row>
    <row r="5267" spans="1:10" x14ac:dyDescent="0.25">
      <c r="A5267" t="s">
        <v>8</v>
      </c>
      <c r="B5267" t="s">
        <v>14981</v>
      </c>
      <c r="C5267" t="s">
        <v>14982</v>
      </c>
      <c r="D5267">
        <v>1</v>
      </c>
      <c r="E5267" t="s">
        <v>14905</v>
      </c>
      <c r="F5267" t="s">
        <v>14906</v>
      </c>
      <c r="G5267" s="1"/>
      <c r="H5267" t="str">
        <f>"3250610103524"</f>
        <v>3250610103524</v>
      </c>
      <c r="J5267" t="s">
        <v>14983</v>
      </c>
    </row>
    <row r="5268" spans="1:10" x14ac:dyDescent="0.25">
      <c r="A5268" t="s">
        <v>8</v>
      </c>
      <c r="B5268" t="s">
        <v>14984</v>
      </c>
      <c r="C5268" t="s">
        <v>14985</v>
      </c>
      <c r="D5268">
        <v>1</v>
      </c>
      <c r="E5268" t="s">
        <v>14905</v>
      </c>
      <c r="F5268" t="s">
        <v>14906</v>
      </c>
      <c r="G5268" s="1"/>
      <c r="H5268" t="str">
        <f>"3250610103647"</f>
        <v>3250610103647</v>
      </c>
      <c r="J5268" t="s">
        <v>10972</v>
      </c>
    </row>
    <row r="5269" spans="1:10" x14ac:dyDescent="0.25">
      <c r="A5269" t="s">
        <v>8</v>
      </c>
      <c r="B5269" t="s">
        <v>14986</v>
      </c>
      <c r="C5269" t="s">
        <v>14987</v>
      </c>
      <c r="D5269">
        <v>1</v>
      </c>
      <c r="E5269" t="s">
        <v>14905</v>
      </c>
      <c r="F5269" t="s">
        <v>14906</v>
      </c>
      <c r="G5269" s="1"/>
      <c r="H5269" t="str">
        <f>"3250610001455"</f>
        <v>3250610001455</v>
      </c>
      <c r="J5269" t="s">
        <v>14988</v>
      </c>
    </row>
    <row r="5270" spans="1:10" x14ac:dyDescent="0.25">
      <c r="A5270" t="s">
        <v>8</v>
      </c>
      <c r="B5270" t="s">
        <v>14989</v>
      </c>
      <c r="C5270" t="s">
        <v>14990</v>
      </c>
      <c r="D5270">
        <v>1</v>
      </c>
      <c r="E5270" t="s">
        <v>14905</v>
      </c>
      <c r="F5270" t="s">
        <v>14906</v>
      </c>
      <c r="G5270" s="1"/>
      <c r="H5270" t="str">
        <f>"3250610103531"</f>
        <v>3250610103531</v>
      </c>
      <c r="I5270" s="1"/>
      <c r="J5270" t="s">
        <v>14991</v>
      </c>
    </row>
    <row r="5271" spans="1:10" x14ac:dyDescent="0.25">
      <c r="A5271" t="s">
        <v>8</v>
      </c>
      <c r="B5271" t="s">
        <v>14992</v>
      </c>
      <c r="C5271" t="s">
        <v>14993</v>
      </c>
      <c r="D5271">
        <v>1</v>
      </c>
      <c r="E5271" t="s">
        <v>14905</v>
      </c>
      <c r="F5271" t="s">
        <v>14906</v>
      </c>
      <c r="G5271" s="1"/>
      <c r="H5271" t="str">
        <f>"3250610103555"</f>
        <v>3250610103555</v>
      </c>
      <c r="J5271" t="s">
        <v>14994</v>
      </c>
    </row>
    <row r="5272" spans="1:10" x14ac:dyDescent="0.25">
      <c r="A5272" t="s">
        <v>8</v>
      </c>
      <c r="B5272" t="s">
        <v>14995</v>
      </c>
      <c r="C5272" t="s">
        <v>14996</v>
      </c>
      <c r="D5272">
        <v>1</v>
      </c>
      <c r="E5272" t="s">
        <v>14905</v>
      </c>
      <c r="F5272" t="s">
        <v>14906</v>
      </c>
      <c r="G5272" s="1"/>
      <c r="H5272" t="str">
        <f>"3250610103579"</f>
        <v>3250610103579</v>
      </c>
      <c r="J5272" t="s">
        <v>14997</v>
      </c>
    </row>
    <row r="5273" spans="1:10" x14ac:dyDescent="0.25">
      <c r="A5273" t="s">
        <v>8</v>
      </c>
      <c r="B5273" t="s">
        <v>14998</v>
      </c>
      <c r="C5273" t="s">
        <v>14999</v>
      </c>
      <c r="D5273">
        <v>1</v>
      </c>
      <c r="E5273" t="s">
        <v>14905</v>
      </c>
      <c r="F5273" t="s">
        <v>14906</v>
      </c>
      <c r="G5273" s="1"/>
      <c r="H5273" t="str">
        <f>"3250610103586"</f>
        <v>3250610103586</v>
      </c>
      <c r="J5273" t="s">
        <v>15000</v>
      </c>
    </row>
    <row r="5274" spans="1:10" x14ac:dyDescent="0.25">
      <c r="A5274" t="s">
        <v>8</v>
      </c>
      <c r="B5274" t="s">
        <v>15001</v>
      </c>
      <c r="C5274" t="s">
        <v>15002</v>
      </c>
      <c r="D5274">
        <v>1</v>
      </c>
      <c r="E5274" t="s">
        <v>14905</v>
      </c>
      <c r="F5274" t="s">
        <v>14906</v>
      </c>
      <c r="G5274" s="1"/>
      <c r="H5274" t="str">
        <f>"3250610107690"</f>
        <v>3250610107690</v>
      </c>
      <c r="J5274" t="s">
        <v>15003</v>
      </c>
    </row>
    <row r="5275" spans="1:10" x14ac:dyDescent="0.25">
      <c r="A5275" t="s">
        <v>8</v>
      </c>
      <c r="B5275" t="s">
        <v>15004</v>
      </c>
      <c r="C5275" t="s">
        <v>15005</v>
      </c>
      <c r="D5275">
        <v>1</v>
      </c>
      <c r="E5275" t="s">
        <v>14905</v>
      </c>
      <c r="F5275" t="s">
        <v>14906</v>
      </c>
      <c r="G5275" s="1"/>
      <c r="H5275" t="str">
        <f>"3250610107706"</f>
        <v>3250610107706</v>
      </c>
      <c r="J5275" t="s">
        <v>15006</v>
      </c>
    </row>
    <row r="5276" spans="1:10" x14ac:dyDescent="0.25">
      <c r="A5276" t="s">
        <v>8</v>
      </c>
      <c r="B5276" t="s">
        <v>15007</v>
      </c>
      <c r="C5276" t="s">
        <v>15008</v>
      </c>
      <c r="D5276">
        <v>1</v>
      </c>
      <c r="E5276" t="s">
        <v>14905</v>
      </c>
      <c r="F5276" t="s">
        <v>14906</v>
      </c>
      <c r="G5276" s="1"/>
      <c r="H5276" t="str">
        <f>"3250610145166"</f>
        <v>3250610145166</v>
      </c>
      <c r="J5276" s="1">
        <v>75</v>
      </c>
    </row>
    <row r="5277" spans="1:10" x14ac:dyDescent="0.25">
      <c r="A5277" t="s">
        <v>8</v>
      </c>
      <c r="B5277" t="s">
        <v>15009</v>
      </c>
      <c r="C5277" t="s">
        <v>15010</v>
      </c>
      <c r="D5277">
        <v>1</v>
      </c>
      <c r="E5277" t="s">
        <v>14905</v>
      </c>
      <c r="F5277" t="s">
        <v>14906</v>
      </c>
      <c r="G5277" s="1"/>
      <c r="H5277" t="str">
        <f>"3250610145173"</f>
        <v>3250610145173</v>
      </c>
      <c r="J5277" s="1">
        <v>21</v>
      </c>
    </row>
    <row r="5278" spans="1:10" x14ac:dyDescent="0.25">
      <c r="A5278" t="s">
        <v>8</v>
      </c>
      <c r="B5278" t="s">
        <v>15011</v>
      </c>
      <c r="C5278" t="s">
        <v>15012</v>
      </c>
      <c r="D5278">
        <v>1</v>
      </c>
      <c r="E5278" t="s">
        <v>15013</v>
      </c>
      <c r="F5278" t="s">
        <v>15014</v>
      </c>
      <c r="G5278" s="1"/>
      <c r="H5278" t="str">
        <f>"3250617178334"</f>
        <v>3250617178334</v>
      </c>
      <c r="J5278" t="s">
        <v>15015</v>
      </c>
    </row>
    <row r="5279" spans="1:10" x14ac:dyDescent="0.25">
      <c r="A5279" t="s">
        <v>8</v>
      </c>
      <c r="B5279" t="s">
        <v>15016</v>
      </c>
      <c r="C5279" t="s">
        <v>15017</v>
      </c>
      <c r="D5279">
        <v>1</v>
      </c>
      <c r="E5279" t="s">
        <v>15013</v>
      </c>
      <c r="F5279" t="s">
        <v>15014</v>
      </c>
      <c r="G5279" s="1"/>
      <c r="H5279" t="str">
        <f>"3250617178341"</f>
        <v>3250617178341</v>
      </c>
      <c r="J5279" t="s">
        <v>15018</v>
      </c>
    </row>
    <row r="5280" spans="1:10" x14ac:dyDescent="0.25">
      <c r="A5280" t="s">
        <v>8</v>
      </c>
      <c r="B5280" t="s">
        <v>15019</v>
      </c>
      <c r="C5280" t="s">
        <v>15020</v>
      </c>
      <c r="D5280">
        <v>1</v>
      </c>
      <c r="E5280" t="s">
        <v>15013</v>
      </c>
      <c r="F5280" t="s">
        <v>15014</v>
      </c>
      <c r="G5280" s="1"/>
      <c r="H5280" t="str">
        <f>"3250617178310"</f>
        <v>3250617178310</v>
      </c>
      <c r="J5280" t="s">
        <v>15021</v>
      </c>
    </row>
    <row r="5281" spans="1:10" x14ac:dyDescent="0.25">
      <c r="A5281" t="s">
        <v>8</v>
      </c>
      <c r="B5281" t="s">
        <v>15022</v>
      </c>
      <c r="C5281" t="s">
        <v>15023</v>
      </c>
      <c r="D5281">
        <v>1</v>
      </c>
      <c r="E5281" t="s">
        <v>15013</v>
      </c>
      <c r="F5281" t="s">
        <v>15014</v>
      </c>
      <c r="G5281" s="1"/>
      <c r="H5281" t="str">
        <f>"3250617178327"</f>
        <v>3250617178327</v>
      </c>
      <c r="J5281" t="s">
        <v>15024</v>
      </c>
    </row>
    <row r="5282" spans="1:10" x14ac:dyDescent="0.25">
      <c r="A5282" t="s">
        <v>8</v>
      </c>
      <c r="B5282" t="s">
        <v>15025</v>
      </c>
      <c r="C5282" t="s">
        <v>15026</v>
      </c>
      <c r="D5282">
        <v>1</v>
      </c>
      <c r="E5282" t="s">
        <v>15027</v>
      </c>
      <c r="F5282" t="s">
        <v>15028</v>
      </c>
      <c r="G5282" s="1"/>
      <c r="H5282" t="str">
        <f>"3250617178709"</f>
        <v>3250617178709</v>
      </c>
      <c r="J5282" t="s">
        <v>15029</v>
      </c>
    </row>
    <row r="5283" spans="1:10" x14ac:dyDescent="0.25">
      <c r="A5283" t="s">
        <v>8</v>
      </c>
      <c r="B5283" t="s">
        <v>15030</v>
      </c>
      <c r="C5283" t="s">
        <v>15031</v>
      </c>
      <c r="D5283">
        <v>1</v>
      </c>
      <c r="E5283" t="s">
        <v>15027</v>
      </c>
      <c r="F5283" t="s">
        <v>15028</v>
      </c>
      <c r="G5283" s="1"/>
      <c r="H5283" t="str">
        <f>"3250617178716"</f>
        <v>3250617178716</v>
      </c>
      <c r="J5283" t="s">
        <v>15032</v>
      </c>
    </row>
    <row r="5284" spans="1:10" x14ac:dyDescent="0.25">
      <c r="A5284" t="s">
        <v>8</v>
      </c>
      <c r="B5284" t="s">
        <v>15033</v>
      </c>
      <c r="C5284" t="s">
        <v>15034</v>
      </c>
      <c r="D5284">
        <v>1</v>
      </c>
      <c r="E5284" t="s">
        <v>15027</v>
      </c>
      <c r="F5284" t="s">
        <v>15028</v>
      </c>
      <c r="G5284" s="1"/>
      <c r="H5284" t="str">
        <f>"3250617178723"</f>
        <v>3250617178723</v>
      </c>
      <c r="J5284" t="s">
        <v>15035</v>
      </c>
    </row>
    <row r="5285" spans="1:10" x14ac:dyDescent="0.25">
      <c r="A5285" t="s">
        <v>8</v>
      </c>
      <c r="B5285" t="s">
        <v>15036</v>
      </c>
      <c r="C5285" t="s">
        <v>15037</v>
      </c>
      <c r="D5285">
        <v>1</v>
      </c>
      <c r="E5285" t="s">
        <v>15027</v>
      </c>
      <c r="F5285" t="s">
        <v>15028</v>
      </c>
      <c r="G5285" s="1"/>
      <c r="H5285" t="str">
        <f>"3250617178730"</f>
        <v>3250617178730</v>
      </c>
      <c r="J5285" t="s">
        <v>15038</v>
      </c>
    </row>
    <row r="5286" spans="1:10" x14ac:dyDescent="0.25">
      <c r="A5286" t="s">
        <v>8</v>
      </c>
      <c r="B5286" t="s">
        <v>15039</v>
      </c>
      <c r="C5286" t="s">
        <v>15040</v>
      </c>
      <c r="D5286">
        <v>1</v>
      </c>
      <c r="E5286" t="s">
        <v>15027</v>
      </c>
      <c r="F5286" t="s">
        <v>15028</v>
      </c>
      <c r="G5286" s="1"/>
      <c r="H5286" t="str">
        <f>"3250617178747"</f>
        <v>3250617178747</v>
      </c>
      <c r="J5286" t="s">
        <v>15041</v>
      </c>
    </row>
    <row r="5287" spans="1:10" x14ac:dyDescent="0.25">
      <c r="A5287" t="s">
        <v>8</v>
      </c>
      <c r="B5287" t="s">
        <v>15042</v>
      </c>
      <c r="C5287" t="s">
        <v>15043</v>
      </c>
      <c r="D5287">
        <v>1</v>
      </c>
      <c r="E5287" t="s">
        <v>15027</v>
      </c>
      <c r="F5287" t="s">
        <v>15028</v>
      </c>
      <c r="G5287" s="1"/>
      <c r="H5287" t="str">
        <f>"3250617178754"</f>
        <v>3250617178754</v>
      </c>
      <c r="J5287" t="s">
        <v>15044</v>
      </c>
    </row>
    <row r="5288" spans="1:10" x14ac:dyDescent="0.25">
      <c r="A5288" t="s">
        <v>8</v>
      </c>
      <c r="B5288" t="s">
        <v>15045</v>
      </c>
      <c r="C5288" t="s">
        <v>15046</v>
      </c>
      <c r="D5288">
        <v>1</v>
      </c>
      <c r="E5288" t="s">
        <v>15027</v>
      </c>
      <c r="F5288" t="s">
        <v>15028</v>
      </c>
      <c r="G5288" s="1"/>
      <c r="H5288" t="str">
        <f>"3250617178761"</f>
        <v>3250617178761</v>
      </c>
      <c r="J5288" t="s">
        <v>15047</v>
      </c>
    </row>
    <row r="5289" spans="1:10" x14ac:dyDescent="0.25">
      <c r="A5289" t="s">
        <v>8</v>
      </c>
      <c r="B5289" t="s">
        <v>15048</v>
      </c>
      <c r="C5289" t="s">
        <v>15049</v>
      </c>
      <c r="D5289">
        <v>1</v>
      </c>
      <c r="E5289" t="s">
        <v>15027</v>
      </c>
      <c r="F5289" t="s">
        <v>15028</v>
      </c>
      <c r="G5289" s="1"/>
      <c r="H5289" t="str">
        <f>"3250617178778"</f>
        <v>3250617178778</v>
      </c>
      <c r="J5289" t="s">
        <v>15050</v>
      </c>
    </row>
    <row r="5290" spans="1:10" x14ac:dyDescent="0.25">
      <c r="A5290" t="s">
        <v>8</v>
      </c>
      <c r="B5290" t="s">
        <v>15051</v>
      </c>
      <c r="C5290" t="s">
        <v>15052</v>
      </c>
      <c r="D5290">
        <v>1</v>
      </c>
      <c r="E5290" t="s">
        <v>15027</v>
      </c>
      <c r="F5290" t="s">
        <v>15028</v>
      </c>
      <c r="G5290" s="1"/>
      <c r="H5290" t="str">
        <f>"3250617178785"</f>
        <v>3250617178785</v>
      </c>
      <c r="J5290" t="s">
        <v>15047</v>
      </c>
    </row>
    <row r="5291" spans="1:10" x14ac:dyDescent="0.25">
      <c r="A5291" t="s">
        <v>8</v>
      </c>
      <c r="B5291" t="s">
        <v>15053</v>
      </c>
      <c r="C5291" t="s">
        <v>15054</v>
      </c>
      <c r="D5291">
        <v>1</v>
      </c>
      <c r="E5291" t="s">
        <v>15027</v>
      </c>
      <c r="F5291" t="s">
        <v>15028</v>
      </c>
      <c r="G5291" s="1"/>
      <c r="H5291" t="str">
        <f>"3250617178792"</f>
        <v>3250617178792</v>
      </c>
      <c r="J5291" t="s">
        <v>15055</v>
      </c>
    </row>
    <row r="5292" spans="1:10" x14ac:dyDescent="0.25">
      <c r="A5292" t="s">
        <v>8</v>
      </c>
      <c r="B5292" t="s">
        <v>15056</v>
      </c>
      <c r="C5292" t="s">
        <v>15026</v>
      </c>
      <c r="D5292">
        <v>1</v>
      </c>
      <c r="E5292" t="s">
        <v>15027</v>
      </c>
      <c r="F5292" t="s">
        <v>15028</v>
      </c>
      <c r="G5292" s="1"/>
      <c r="H5292" t="str">
        <f>"3250617178808"</f>
        <v>3250617178808</v>
      </c>
      <c r="J5292" t="s">
        <v>15035</v>
      </c>
    </row>
    <row r="5293" spans="1:10" x14ac:dyDescent="0.25">
      <c r="A5293" t="s">
        <v>8</v>
      </c>
      <c r="B5293" t="s">
        <v>15057</v>
      </c>
      <c r="C5293" t="s">
        <v>15058</v>
      </c>
      <c r="D5293">
        <v>1</v>
      </c>
      <c r="E5293" t="s">
        <v>15027</v>
      </c>
      <c r="F5293" t="s">
        <v>15028</v>
      </c>
      <c r="G5293" s="1"/>
      <c r="H5293" t="str">
        <f>"3250617178815"</f>
        <v>3250617178815</v>
      </c>
      <c r="J5293" t="s">
        <v>15038</v>
      </c>
    </row>
    <row r="5294" spans="1:10" x14ac:dyDescent="0.25">
      <c r="A5294" t="s">
        <v>8</v>
      </c>
      <c r="B5294" t="s">
        <v>15059</v>
      </c>
      <c r="C5294" t="s">
        <v>15060</v>
      </c>
      <c r="D5294">
        <v>1</v>
      </c>
      <c r="E5294" t="s">
        <v>15027</v>
      </c>
      <c r="F5294" t="s">
        <v>15028</v>
      </c>
      <c r="G5294" s="1"/>
      <c r="H5294" t="str">
        <f>"3250617178822"</f>
        <v>3250617178822</v>
      </c>
      <c r="J5294" t="s">
        <v>15041</v>
      </c>
    </row>
    <row r="5295" spans="1:10" x14ac:dyDescent="0.25">
      <c r="A5295" t="s">
        <v>8</v>
      </c>
      <c r="B5295" t="s">
        <v>15061</v>
      </c>
      <c r="C5295" t="s">
        <v>15062</v>
      </c>
      <c r="D5295">
        <v>1</v>
      </c>
      <c r="E5295" t="s">
        <v>15027</v>
      </c>
      <c r="F5295" t="s">
        <v>15028</v>
      </c>
      <c r="G5295" s="1"/>
      <c r="H5295" t="str">
        <f>"3250617178839"</f>
        <v>3250617178839</v>
      </c>
      <c r="J5295" t="s">
        <v>15044</v>
      </c>
    </row>
    <row r="5296" spans="1:10" x14ac:dyDescent="0.25">
      <c r="A5296" t="s">
        <v>8</v>
      </c>
      <c r="B5296" t="s">
        <v>15063</v>
      </c>
      <c r="C5296" t="s">
        <v>15064</v>
      </c>
      <c r="D5296">
        <v>1</v>
      </c>
      <c r="E5296" t="s">
        <v>15027</v>
      </c>
      <c r="F5296" t="s">
        <v>15028</v>
      </c>
      <c r="G5296" s="1"/>
      <c r="H5296" t="str">
        <f>"3250617178846"</f>
        <v>3250617178846</v>
      </c>
      <c r="I5296" s="1"/>
      <c r="J5296" t="s">
        <v>15065</v>
      </c>
    </row>
    <row r="5297" spans="1:10" x14ac:dyDescent="0.25">
      <c r="A5297" t="s">
        <v>8</v>
      </c>
      <c r="B5297" t="s">
        <v>15066</v>
      </c>
      <c r="C5297" t="s">
        <v>15067</v>
      </c>
      <c r="D5297">
        <v>1</v>
      </c>
      <c r="E5297" t="s">
        <v>15027</v>
      </c>
      <c r="F5297" t="s">
        <v>15028</v>
      </c>
      <c r="G5297" s="1"/>
      <c r="H5297" t="str">
        <f>"3250617178853"</f>
        <v>3250617178853</v>
      </c>
      <c r="J5297" t="s">
        <v>15068</v>
      </c>
    </row>
    <row r="5298" spans="1:10" x14ac:dyDescent="0.25">
      <c r="A5298" t="s">
        <v>8</v>
      </c>
      <c r="B5298" t="s">
        <v>15069</v>
      </c>
      <c r="C5298" t="s">
        <v>15070</v>
      </c>
      <c r="D5298">
        <v>1</v>
      </c>
      <c r="E5298" t="s">
        <v>15027</v>
      </c>
      <c r="F5298" t="s">
        <v>15028</v>
      </c>
      <c r="G5298" s="1"/>
      <c r="H5298" t="str">
        <f>"3250617178884"</f>
        <v>3250617178884</v>
      </c>
      <c r="J5298" t="s">
        <v>15071</v>
      </c>
    </row>
    <row r="5299" spans="1:10" x14ac:dyDescent="0.25">
      <c r="A5299" t="s">
        <v>8</v>
      </c>
      <c r="B5299" t="s">
        <v>15072</v>
      </c>
      <c r="C5299" t="s">
        <v>15073</v>
      </c>
      <c r="D5299">
        <v>1</v>
      </c>
      <c r="E5299" t="s">
        <v>15027</v>
      </c>
      <c r="F5299" t="s">
        <v>15028</v>
      </c>
      <c r="G5299" s="1"/>
      <c r="H5299" t="str">
        <f>"3250617178891"</f>
        <v>3250617178891</v>
      </c>
      <c r="J5299" t="s">
        <v>15074</v>
      </c>
    </row>
    <row r="5300" spans="1:10" x14ac:dyDescent="0.25">
      <c r="A5300" t="s">
        <v>8</v>
      </c>
      <c r="B5300" t="s">
        <v>15075</v>
      </c>
      <c r="C5300" t="s">
        <v>15076</v>
      </c>
      <c r="D5300">
        <v>1</v>
      </c>
      <c r="E5300" t="s">
        <v>15027</v>
      </c>
      <c r="F5300" t="s">
        <v>15028</v>
      </c>
      <c r="G5300" s="1"/>
      <c r="H5300" t="str">
        <f>"3250617178860"</f>
        <v>3250617178860</v>
      </c>
      <c r="J5300" t="s">
        <v>15077</v>
      </c>
    </row>
    <row r="5301" spans="1:10" x14ac:dyDescent="0.25">
      <c r="A5301" t="s">
        <v>8</v>
      </c>
      <c r="B5301" t="s">
        <v>15078</v>
      </c>
      <c r="C5301" t="s">
        <v>15079</v>
      </c>
      <c r="D5301">
        <v>1</v>
      </c>
      <c r="E5301" t="s">
        <v>15027</v>
      </c>
      <c r="F5301" t="s">
        <v>15028</v>
      </c>
      <c r="G5301" s="1"/>
      <c r="H5301" t="str">
        <f>"3250617178877"</f>
        <v>3250617178877</v>
      </c>
      <c r="J5301" t="s">
        <v>15074</v>
      </c>
    </row>
    <row r="5302" spans="1:10" x14ac:dyDescent="0.25">
      <c r="A5302" t="s">
        <v>8</v>
      </c>
      <c r="B5302" t="s">
        <v>15080</v>
      </c>
      <c r="C5302" t="s">
        <v>15081</v>
      </c>
      <c r="D5302">
        <v>1</v>
      </c>
      <c r="E5302" t="s">
        <v>15082</v>
      </c>
      <c r="F5302" t="s">
        <v>15083</v>
      </c>
      <c r="G5302" s="1"/>
      <c r="H5302" t="str">
        <f>"3250611008538"</f>
        <v>3250611008538</v>
      </c>
      <c r="J5302" t="s">
        <v>15084</v>
      </c>
    </row>
    <row r="5303" spans="1:10" x14ac:dyDescent="0.25">
      <c r="A5303" t="s">
        <v>8</v>
      </c>
      <c r="B5303" t="s">
        <v>15085</v>
      </c>
      <c r="C5303" t="s">
        <v>15086</v>
      </c>
      <c r="D5303">
        <v>1</v>
      </c>
      <c r="E5303" t="s">
        <v>15082</v>
      </c>
      <c r="F5303" t="s">
        <v>15083</v>
      </c>
      <c r="G5303" s="1"/>
      <c r="H5303" t="str">
        <f>"3250611008545"</f>
        <v>3250611008545</v>
      </c>
      <c r="J5303" t="s">
        <v>15087</v>
      </c>
    </row>
    <row r="5304" spans="1:10" x14ac:dyDescent="0.25">
      <c r="A5304" t="s">
        <v>8</v>
      </c>
      <c r="B5304" t="s">
        <v>15088</v>
      </c>
      <c r="C5304" t="s">
        <v>15089</v>
      </c>
      <c r="D5304">
        <v>1</v>
      </c>
      <c r="E5304" t="s">
        <v>15082</v>
      </c>
      <c r="F5304" t="s">
        <v>15083</v>
      </c>
      <c r="G5304" s="1"/>
      <c r="H5304" t="str">
        <f>"3250611008552"</f>
        <v>3250611008552</v>
      </c>
      <c r="J5304" t="s">
        <v>15090</v>
      </c>
    </row>
    <row r="5305" spans="1:10" x14ac:dyDescent="0.25">
      <c r="A5305" t="s">
        <v>8</v>
      </c>
      <c r="B5305" t="s">
        <v>15091</v>
      </c>
      <c r="C5305" t="s">
        <v>15092</v>
      </c>
      <c r="D5305">
        <v>1</v>
      </c>
      <c r="E5305" t="s">
        <v>15082</v>
      </c>
      <c r="F5305" t="s">
        <v>15083</v>
      </c>
      <c r="G5305" s="1"/>
      <c r="H5305" t="str">
        <f>"3250611008569"</f>
        <v>3250611008569</v>
      </c>
      <c r="J5305" t="s">
        <v>15093</v>
      </c>
    </row>
    <row r="5306" spans="1:10" x14ac:dyDescent="0.25">
      <c r="A5306" t="s">
        <v>8</v>
      </c>
      <c r="B5306" t="s">
        <v>15094</v>
      </c>
      <c r="C5306" t="s">
        <v>15095</v>
      </c>
      <c r="D5306">
        <v>1</v>
      </c>
      <c r="E5306" t="s">
        <v>15082</v>
      </c>
      <c r="F5306" t="s">
        <v>15083</v>
      </c>
      <c r="G5306" s="1"/>
      <c r="H5306" t="str">
        <f>"3250610152904"</f>
        <v>3250610152904</v>
      </c>
      <c r="J5306" t="s">
        <v>15096</v>
      </c>
    </row>
    <row r="5307" spans="1:10" x14ac:dyDescent="0.25">
      <c r="A5307" t="s">
        <v>8</v>
      </c>
      <c r="B5307" t="s">
        <v>15097</v>
      </c>
      <c r="C5307" t="s">
        <v>15098</v>
      </c>
      <c r="D5307">
        <v>1</v>
      </c>
      <c r="E5307" t="s">
        <v>15082</v>
      </c>
      <c r="F5307" t="s">
        <v>15083</v>
      </c>
      <c r="G5307" s="1"/>
      <c r="H5307" t="str">
        <f>"3250610152911"</f>
        <v>3250610152911</v>
      </c>
      <c r="J5307" t="s">
        <v>15099</v>
      </c>
    </row>
    <row r="5308" spans="1:10" x14ac:dyDescent="0.25">
      <c r="A5308" t="s">
        <v>8</v>
      </c>
      <c r="B5308" t="s">
        <v>15100</v>
      </c>
      <c r="C5308" t="s">
        <v>15101</v>
      </c>
      <c r="D5308">
        <v>1</v>
      </c>
      <c r="E5308" t="s">
        <v>15082</v>
      </c>
      <c r="F5308" t="s">
        <v>15083</v>
      </c>
      <c r="G5308" s="1"/>
      <c r="H5308" t="str">
        <f>"3250610152928"</f>
        <v>3250610152928</v>
      </c>
      <c r="J5308" t="s">
        <v>15102</v>
      </c>
    </row>
    <row r="5309" spans="1:10" x14ac:dyDescent="0.25">
      <c r="A5309" t="s">
        <v>8</v>
      </c>
      <c r="B5309" t="s">
        <v>15103</v>
      </c>
      <c r="C5309" t="s">
        <v>15104</v>
      </c>
      <c r="D5309">
        <v>1</v>
      </c>
      <c r="E5309" t="s">
        <v>15082</v>
      </c>
      <c r="F5309" t="s">
        <v>15083</v>
      </c>
      <c r="G5309" s="1"/>
      <c r="H5309" t="str">
        <f>"3250610152935"</f>
        <v>3250610152935</v>
      </c>
      <c r="J5309" t="s">
        <v>15105</v>
      </c>
    </row>
    <row r="5310" spans="1:10" x14ac:dyDescent="0.25">
      <c r="A5310" t="s">
        <v>8</v>
      </c>
      <c r="B5310" t="s">
        <v>15106</v>
      </c>
      <c r="C5310" t="s">
        <v>15107</v>
      </c>
      <c r="D5310">
        <v>1</v>
      </c>
      <c r="E5310" t="s">
        <v>15108</v>
      </c>
      <c r="F5310" t="s">
        <v>15109</v>
      </c>
      <c r="G5310" s="1"/>
      <c r="H5310" t="str">
        <f>"3250613113902"</f>
        <v>3250613113902</v>
      </c>
      <c r="J5310" t="s">
        <v>15110</v>
      </c>
    </row>
    <row r="5311" spans="1:10" x14ac:dyDescent="0.25">
      <c r="A5311" t="s">
        <v>8</v>
      </c>
      <c r="B5311" t="s">
        <v>15111</v>
      </c>
      <c r="C5311" t="s">
        <v>15112</v>
      </c>
      <c r="D5311">
        <v>1</v>
      </c>
      <c r="E5311" t="s">
        <v>15108</v>
      </c>
      <c r="F5311" t="s">
        <v>15109</v>
      </c>
      <c r="G5311" s="1"/>
      <c r="H5311" t="str">
        <f>"3250613119652"</f>
        <v>3250613119652</v>
      </c>
      <c r="J5311" t="s">
        <v>15113</v>
      </c>
    </row>
    <row r="5312" spans="1:10" x14ac:dyDescent="0.25">
      <c r="A5312" t="s">
        <v>8</v>
      </c>
      <c r="B5312" t="s">
        <v>15114</v>
      </c>
      <c r="C5312" t="s">
        <v>15115</v>
      </c>
      <c r="D5312">
        <v>1</v>
      </c>
      <c r="E5312" t="s">
        <v>15116</v>
      </c>
      <c r="F5312" t="s">
        <v>15117</v>
      </c>
      <c r="G5312" s="1"/>
      <c r="H5312" t="str">
        <f>"3250612256013"</f>
        <v>3250612256013</v>
      </c>
      <c r="J5312" t="s">
        <v>15118</v>
      </c>
    </row>
    <row r="5313" spans="1:10" x14ac:dyDescent="0.25">
      <c r="A5313" t="s">
        <v>8</v>
      </c>
      <c r="B5313" t="s">
        <v>15119</v>
      </c>
      <c r="C5313" t="s">
        <v>15120</v>
      </c>
      <c r="D5313">
        <v>1</v>
      </c>
      <c r="E5313" t="s">
        <v>15116</v>
      </c>
      <c r="F5313" t="s">
        <v>15117</v>
      </c>
      <c r="G5313" s="1"/>
      <c r="H5313" t="str">
        <f>"3250612256020"</f>
        <v>3250612256020</v>
      </c>
      <c r="J5313" t="s">
        <v>15121</v>
      </c>
    </row>
    <row r="5314" spans="1:10" x14ac:dyDescent="0.25">
      <c r="A5314" t="s">
        <v>8</v>
      </c>
      <c r="B5314" t="s">
        <v>15122</v>
      </c>
      <c r="C5314" t="s">
        <v>15123</v>
      </c>
      <c r="D5314">
        <v>1</v>
      </c>
      <c r="E5314" t="s">
        <v>15116</v>
      </c>
      <c r="F5314" t="s">
        <v>15117</v>
      </c>
      <c r="G5314" s="1"/>
      <c r="H5314" t="str">
        <f>"3250612256037"</f>
        <v>3250612256037</v>
      </c>
      <c r="J5314" t="s">
        <v>15124</v>
      </c>
    </row>
    <row r="5315" spans="1:10" x14ac:dyDescent="0.25">
      <c r="A5315" t="s">
        <v>8</v>
      </c>
      <c r="B5315" t="s">
        <v>15125</v>
      </c>
      <c r="C5315" t="s">
        <v>15126</v>
      </c>
      <c r="D5315">
        <v>1</v>
      </c>
      <c r="E5315" t="s">
        <v>15116</v>
      </c>
      <c r="F5315" t="s">
        <v>15117</v>
      </c>
      <c r="G5315" s="1"/>
      <c r="H5315" t="str">
        <f>"3250612256044"</f>
        <v>3250612256044</v>
      </c>
      <c r="J5315" t="s">
        <v>15127</v>
      </c>
    </row>
    <row r="5316" spans="1:10" x14ac:dyDescent="0.25">
      <c r="A5316" t="s">
        <v>8</v>
      </c>
      <c r="B5316" t="s">
        <v>15128</v>
      </c>
      <c r="C5316" t="s">
        <v>15129</v>
      </c>
      <c r="D5316">
        <v>1</v>
      </c>
      <c r="E5316" t="s">
        <v>15116</v>
      </c>
      <c r="F5316" t="s">
        <v>15117</v>
      </c>
      <c r="G5316" s="1"/>
      <c r="H5316" t="str">
        <f>"3250612256051"</f>
        <v>3250612256051</v>
      </c>
      <c r="J5316" t="s">
        <v>15130</v>
      </c>
    </row>
    <row r="5317" spans="1:10" x14ac:dyDescent="0.25">
      <c r="A5317" t="s">
        <v>8</v>
      </c>
      <c r="B5317" t="s">
        <v>15131</v>
      </c>
      <c r="C5317" t="s">
        <v>15132</v>
      </c>
      <c r="D5317">
        <v>1</v>
      </c>
      <c r="E5317" t="s">
        <v>15116</v>
      </c>
      <c r="F5317" t="s">
        <v>15117</v>
      </c>
      <c r="G5317" s="1"/>
      <c r="H5317" t="str">
        <f>"3250612256068"</f>
        <v>3250612256068</v>
      </c>
      <c r="J5317" t="s">
        <v>15133</v>
      </c>
    </row>
    <row r="5318" spans="1:10" x14ac:dyDescent="0.25">
      <c r="A5318" t="s">
        <v>8</v>
      </c>
      <c r="B5318" t="s">
        <v>15134</v>
      </c>
      <c r="C5318" t="s">
        <v>15135</v>
      </c>
      <c r="D5318">
        <v>1</v>
      </c>
      <c r="E5318" t="s">
        <v>15116</v>
      </c>
      <c r="F5318" t="s">
        <v>15117</v>
      </c>
      <c r="G5318" s="1"/>
      <c r="H5318" t="str">
        <f>"3250612256075"</f>
        <v>3250612256075</v>
      </c>
      <c r="J5318" t="s">
        <v>15136</v>
      </c>
    </row>
    <row r="5319" spans="1:10" x14ac:dyDescent="0.25">
      <c r="A5319" t="s">
        <v>8</v>
      </c>
      <c r="B5319" t="s">
        <v>15137</v>
      </c>
      <c r="C5319" t="s">
        <v>15138</v>
      </c>
      <c r="D5319">
        <v>1</v>
      </c>
      <c r="E5319" t="s">
        <v>15116</v>
      </c>
      <c r="F5319" t="s">
        <v>15117</v>
      </c>
      <c r="G5319" s="1"/>
      <c r="H5319" t="str">
        <f>"3250612256082"</f>
        <v>3250612256082</v>
      </c>
      <c r="J5319" t="s">
        <v>15139</v>
      </c>
    </row>
    <row r="5320" spans="1:10" x14ac:dyDescent="0.25">
      <c r="A5320" t="s">
        <v>8</v>
      </c>
      <c r="B5320" t="s">
        <v>15140</v>
      </c>
      <c r="C5320" t="s">
        <v>15141</v>
      </c>
      <c r="D5320">
        <v>1</v>
      </c>
      <c r="E5320" t="s">
        <v>15142</v>
      </c>
      <c r="F5320" t="s">
        <v>15143</v>
      </c>
      <c r="G5320" s="1"/>
      <c r="H5320" t="str">
        <f>"3250612231256"</f>
        <v>3250612231256</v>
      </c>
      <c r="J5320" t="s">
        <v>15144</v>
      </c>
    </row>
    <row r="5321" spans="1:10" x14ac:dyDescent="0.25">
      <c r="A5321" t="s">
        <v>8</v>
      </c>
      <c r="B5321" t="s">
        <v>15145</v>
      </c>
      <c r="C5321" t="s">
        <v>15146</v>
      </c>
      <c r="D5321">
        <v>1</v>
      </c>
      <c r="E5321" t="s">
        <v>15142</v>
      </c>
      <c r="F5321" t="s">
        <v>15143</v>
      </c>
      <c r="G5321" s="1"/>
      <c r="H5321" t="str">
        <f>"3250612231263"</f>
        <v>3250612231263</v>
      </c>
      <c r="J5321" t="s">
        <v>15147</v>
      </c>
    </row>
    <row r="5322" spans="1:10" x14ac:dyDescent="0.25">
      <c r="A5322" t="s">
        <v>8</v>
      </c>
      <c r="B5322" t="s">
        <v>15148</v>
      </c>
      <c r="C5322" t="s">
        <v>15149</v>
      </c>
      <c r="D5322">
        <v>1</v>
      </c>
      <c r="E5322" t="s">
        <v>15142</v>
      </c>
      <c r="F5322" t="s">
        <v>15143</v>
      </c>
      <c r="G5322" s="1"/>
      <c r="H5322" t="str">
        <f>"3250612231270"</f>
        <v>3250612231270</v>
      </c>
      <c r="J5322" t="s">
        <v>15150</v>
      </c>
    </row>
    <row r="5323" spans="1:10" x14ac:dyDescent="0.25">
      <c r="A5323" t="s">
        <v>8</v>
      </c>
      <c r="B5323" t="s">
        <v>15151</v>
      </c>
      <c r="C5323" t="s">
        <v>15152</v>
      </c>
      <c r="D5323">
        <v>1</v>
      </c>
      <c r="E5323" t="s">
        <v>15142</v>
      </c>
      <c r="F5323" t="s">
        <v>15143</v>
      </c>
      <c r="G5323" s="1"/>
      <c r="H5323" t="str">
        <f>"3250612231287"</f>
        <v>3250612231287</v>
      </c>
      <c r="J5323" t="s">
        <v>15153</v>
      </c>
    </row>
    <row r="5324" spans="1:10" x14ac:dyDescent="0.25">
      <c r="A5324" t="s">
        <v>8</v>
      </c>
      <c r="B5324" t="s">
        <v>15154</v>
      </c>
      <c r="C5324" t="s">
        <v>15155</v>
      </c>
      <c r="D5324">
        <v>1</v>
      </c>
      <c r="E5324" t="s">
        <v>15142</v>
      </c>
      <c r="F5324" t="s">
        <v>15143</v>
      </c>
      <c r="G5324" s="1"/>
      <c r="H5324" t="str">
        <f>"3250612231294"</f>
        <v>3250612231294</v>
      </c>
      <c r="J5324" t="s">
        <v>15156</v>
      </c>
    </row>
    <row r="5325" spans="1:10" x14ac:dyDescent="0.25">
      <c r="A5325" t="s">
        <v>8</v>
      </c>
      <c r="B5325" t="s">
        <v>15157</v>
      </c>
      <c r="C5325" t="s">
        <v>15158</v>
      </c>
      <c r="D5325">
        <v>1</v>
      </c>
      <c r="E5325" t="s">
        <v>15142</v>
      </c>
      <c r="F5325" t="s">
        <v>15143</v>
      </c>
      <c r="G5325" s="1"/>
      <c r="H5325" t="str">
        <f>"3250612231317"</f>
        <v>3250612231317</v>
      </c>
      <c r="J5325" t="s">
        <v>15159</v>
      </c>
    </row>
    <row r="5326" spans="1:10" x14ac:dyDescent="0.25">
      <c r="A5326" t="s">
        <v>8</v>
      </c>
      <c r="B5326" t="s">
        <v>15160</v>
      </c>
      <c r="C5326" t="s">
        <v>15161</v>
      </c>
      <c r="D5326">
        <v>1</v>
      </c>
      <c r="E5326" t="s">
        <v>15142</v>
      </c>
      <c r="F5326" t="s">
        <v>15143</v>
      </c>
      <c r="G5326" s="1"/>
      <c r="H5326" t="str">
        <f>"3250612231324"</f>
        <v>3250612231324</v>
      </c>
      <c r="J5326" t="s">
        <v>15162</v>
      </c>
    </row>
    <row r="5327" spans="1:10" x14ac:dyDescent="0.25">
      <c r="A5327" t="s">
        <v>8</v>
      </c>
      <c r="B5327" t="s">
        <v>15163</v>
      </c>
      <c r="C5327" t="s">
        <v>15164</v>
      </c>
      <c r="D5327">
        <v>1</v>
      </c>
      <c r="E5327" t="s">
        <v>15142</v>
      </c>
      <c r="F5327" t="s">
        <v>15143</v>
      </c>
      <c r="G5327" s="1"/>
      <c r="H5327" t="str">
        <f>"3250612231331"</f>
        <v>3250612231331</v>
      </c>
      <c r="J5327" t="s">
        <v>15165</v>
      </c>
    </row>
    <row r="5328" spans="1:10" x14ac:dyDescent="0.25">
      <c r="A5328" t="s">
        <v>8</v>
      </c>
      <c r="B5328" t="s">
        <v>15166</v>
      </c>
      <c r="C5328" t="s">
        <v>15167</v>
      </c>
      <c r="D5328">
        <v>1</v>
      </c>
      <c r="E5328" t="s">
        <v>15142</v>
      </c>
      <c r="F5328" t="s">
        <v>15143</v>
      </c>
      <c r="G5328" s="1"/>
      <c r="H5328" t="str">
        <f>"3250612231348"</f>
        <v>3250612231348</v>
      </c>
      <c r="J5328" t="s">
        <v>15168</v>
      </c>
    </row>
    <row r="5329" spans="1:10" x14ac:dyDescent="0.25">
      <c r="A5329" t="s">
        <v>8</v>
      </c>
      <c r="B5329" t="s">
        <v>15169</v>
      </c>
      <c r="C5329" t="s">
        <v>15170</v>
      </c>
      <c r="D5329">
        <v>1</v>
      </c>
      <c r="E5329" t="s">
        <v>15142</v>
      </c>
      <c r="F5329" t="s">
        <v>15143</v>
      </c>
      <c r="G5329" s="1"/>
      <c r="H5329" t="str">
        <f>"3250612231355"</f>
        <v>3250612231355</v>
      </c>
      <c r="J5329" t="s">
        <v>15171</v>
      </c>
    </row>
    <row r="5330" spans="1:10" x14ac:dyDescent="0.25">
      <c r="A5330" t="s">
        <v>8</v>
      </c>
      <c r="B5330" t="s">
        <v>15172</v>
      </c>
      <c r="C5330" t="s">
        <v>15173</v>
      </c>
      <c r="D5330">
        <v>1</v>
      </c>
      <c r="E5330" t="s">
        <v>15142</v>
      </c>
      <c r="F5330" t="s">
        <v>15143</v>
      </c>
      <c r="G5330" s="1"/>
      <c r="H5330" t="str">
        <f>"3250612231362"</f>
        <v>3250612231362</v>
      </c>
      <c r="J5330" t="s">
        <v>15174</v>
      </c>
    </row>
    <row r="5331" spans="1:10" x14ac:dyDescent="0.25">
      <c r="A5331" t="s">
        <v>8</v>
      </c>
      <c r="B5331" t="s">
        <v>15175</v>
      </c>
      <c r="C5331" t="s">
        <v>15176</v>
      </c>
      <c r="D5331">
        <v>1</v>
      </c>
      <c r="E5331" t="s">
        <v>15142</v>
      </c>
      <c r="F5331" t="s">
        <v>15143</v>
      </c>
      <c r="G5331" s="1"/>
      <c r="H5331" t="str">
        <f>"3250612231386"</f>
        <v>3250612231386</v>
      </c>
      <c r="J5331" t="s">
        <v>15177</v>
      </c>
    </row>
    <row r="5332" spans="1:10" x14ac:dyDescent="0.25">
      <c r="A5332" t="s">
        <v>8</v>
      </c>
      <c r="B5332" t="s">
        <v>15178</v>
      </c>
      <c r="C5332" t="s">
        <v>15179</v>
      </c>
      <c r="D5332">
        <v>1</v>
      </c>
      <c r="E5332" t="s">
        <v>15142</v>
      </c>
      <c r="F5332" t="s">
        <v>15143</v>
      </c>
      <c r="G5332" s="1"/>
      <c r="H5332" t="str">
        <f>"3250612231393"</f>
        <v>3250612231393</v>
      </c>
      <c r="J5332" t="s">
        <v>15168</v>
      </c>
    </row>
    <row r="5333" spans="1:10" x14ac:dyDescent="0.25">
      <c r="A5333" t="s">
        <v>8</v>
      </c>
      <c r="B5333" t="s">
        <v>15180</v>
      </c>
      <c r="C5333" t="s">
        <v>15181</v>
      </c>
      <c r="D5333">
        <v>1</v>
      </c>
      <c r="E5333" t="s">
        <v>15142</v>
      </c>
      <c r="F5333" t="s">
        <v>15143</v>
      </c>
      <c r="G5333" s="1"/>
      <c r="H5333" t="str">
        <f>"3250612231409"</f>
        <v>3250612231409</v>
      </c>
      <c r="J5333" t="s">
        <v>15182</v>
      </c>
    </row>
    <row r="5334" spans="1:10" x14ac:dyDescent="0.25">
      <c r="A5334" t="s">
        <v>8</v>
      </c>
      <c r="B5334" t="s">
        <v>15183</v>
      </c>
      <c r="C5334" t="s">
        <v>15184</v>
      </c>
      <c r="D5334">
        <v>1</v>
      </c>
      <c r="E5334" t="s">
        <v>15142</v>
      </c>
      <c r="F5334" t="s">
        <v>15143</v>
      </c>
      <c r="G5334" s="1"/>
      <c r="H5334" t="str">
        <f>"3250612231416"</f>
        <v>3250612231416</v>
      </c>
      <c r="J5334" t="s">
        <v>15185</v>
      </c>
    </row>
    <row r="5335" spans="1:10" x14ac:dyDescent="0.25">
      <c r="A5335" t="s">
        <v>8</v>
      </c>
      <c r="B5335" t="s">
        <v>15186</v>
      </c>
      <c r="C5335" t="s">
        <v>15187</v>
      </c>
      <c r="D5335">
        <v>1</v>
      </c>
      <c r="E5335" t="s">
        <v>15142</v>
      </c>
      <c r="F5335" t="s">
        <v>15143</v>
      </c>
      <c r="G5335" s="1"/>
      <c r="H5335" t="str">
        <f>"3250612231423"</f>
        <v>3250612231423</v>
      </c>
      <c r="J5335" t="s">
        <v>15156</v>
      </c>
    </row>
    <row r="5336" spans="1:10" x14ac:dyDescent="0.25">
      <c r="A5336" t="s">
        <v>8</v>
      </c>
      <c r="B5336" t="s">
        <v>15188</v>
      </c>
      <c r="C5336" t="s">
        <v>15189</v>
      </c>
      <c r="D5336">
        <v>1</v>
      </c>
      <c r="E5336" t="s">
        <v>15142</v>
      </c>
      <c r="F5336" t="s">
        <v>15143</v>
      </c>
      <c r="G5336" s="1"/>
      <c r="H5336" t="str">
        <f>"3250612231447"</f>
        <v>3250612231447</v>
      </c>
      <c r="J5336" t="s">
        <v>15159</v>
      </c>
    </row>
    <row r="5337" spans="1:10" x14ac:dyDescent="0.25">
      <c r="A5337" t="s">
        <v>8</v>
      </c>
      <c r="B5337" t="s">
        <v>15190</v>
      </c>
      <c r="C5337" t="s">
        <v>15191</v>
      </c>
      <c r="D5337">
        <v>1</v>
      </c>
      <c r="E5337" t="s">
        <v>15142</v>
      </c>
      <c r="F5337" t="s">
        <v>15143</v>
      </c>
      <c r="G5337" s="1"/>
      <c r="H5337" t="str">
        <f>"3250612231454"</f>
        <v>3250612231454</v>
      </c>
      <c r="J5337" t="s">
        <v>15162</v>
      </c>
    </row>
    <row r="5338" spans="1:10" x14ac:dyDescent="0.25">
      <c r="A5338" t="s">
        <v>8</v>
      </c>
      <c r="B5338" t="s">
        <v>15192</v>
      </c>
      <c r="C5338" t="s">
        <v>15193</v>
      </c>
      <c r="D5338">
        <v>1</v>
      </c>
      <c r="E5338" t="s">
        <v>15142</v>
      </c>
      <c r="F5338" t="s">
        <v>15143</v>
      </c>
      <c r="G5338" s="1"/>
      <c r="H5338" t="str">
        <f>"3250612231461"</f>
        <v>3250612231461</v>
      </c>
      <c r="J5338" t="s">
        <v>15165</v>
      </c>
    </row>
    <row r="5339" spans="1:10" x14ac:dyDescent="0.25">
      <c r="A5339" t="s">
        <v>8</v>
      </c>
      <c r="B5339" t="s">
        <v>15194</v>
      </c>
      <c r="C5339" t="s">
        <v>15195</v>
      </c>
      <c r="D5339">
        <v>1</v>
      </c>
      <c r="E5339" t="s">
        <v>15142</v>
      </c>
      <c r="F5339" t="s">
        <v>15143</v>
      </c>
      <c r="G5339" s="1"/>
      <c r="H5339" t="str">
        <f>"3250612231478"</f>
        <v>3250612231478</v>
      </c>
      <c r="J5339" t="s">
        <v>15168</v>
      </c>
    </row>
    <row r="5340" spans="1:10" x14ac:dyDescent="0.25">
      <c r="A5340" t="s">
        <v>8</v>
      </c>
      <c r="B5340" t="s">
        <v>15196</v>
      </c>
      <c r="C5340" t="s">
        <v>15197</v>
      </c>
      <c r="D5340">
        <v>1</v>
      </c>
      <c r="E5340" t="s">
        <v>15142</v>
      </c>
      <c r="F5340" t="s">
        <v>15143</v>
      </c>
      <c r="G5340" s="1"/>
      <c r="H5340" t="str">
        <f>"3250615881212"</f>
        <v>3250615881212</v>
      </c>
      <c r="J5340" t="s">
        <v>15198</v>
      </c>
    </row>
    <row r="5341" spans="1:10" x14ac:dyDescent="0.25">
      <c r="A5341" t="s">
        <v>8</v>
      </c>
      <c r="B5341" t="s">
        <v>15199</v>
      </c>
      <c r="C5341" t="s">
        <v>15200</v>
      </c>
      <c r="D5341">
        <v>1</v>
      </c>
      <c r="E5341" t="s">
        <v>15142</v>
      </c>
      <c r="F5341" t="s">
        <v>15143</v>
      </c>
      <c r="G5341" s="1"/>
      <c r="H5341" t="str">
        <f>"3250610136881"</f>
        <v>3250610136881</v>
      </c>
      <c r="J5341" s="1">
        <v>280</v>
      </c>
    </row>
    <row r="5342" spans="1:10" x14ac:dyDescent="0.25">
      <c r="A5342" t="s">
        <v>8</v>
      </c>
      <c r="B5342" t="s">
        <v>15201</v>
      </c>
      <c r="C5342" t="s">
        <v>15202</v>
      </c>
      <c r="D5342">
        <v>1</v>
      </c>
      <c r="E5342" t="s">
        <v>15203</v>
      </c>
      <c r="F5342" t="s">
        <v>15204</v>
      </c>
      <c r="G5342" s="1"/>
      <c r="H5342" t="str">
        <f>"3250617190343"</f>
        <v>3250617190343</v>
      </c>
      <c r="J5342" t="s">
        <v>15205</v>
      </c>
    </row>
    <row r="5343" spans="1:10" x14ac:dyDescent="0.25">
      <c r="A5343" t="s">
        <v>8</v>
      </c>
      <c r="B5343" t="s">
        <v>15206</v>
      </c>
      <c r="C5343" t="s">
        <v>15207</v>
      </c>
      <c r="D5343">
        <v>1</v>
      </c>
      <c r="E5343" t="s">
        <v>15203</v>
      </c>
      <c r="F5343" t="s">
        <v>15204</v>
      </c>
      <c r="G5343" s="1"/>
      <c r="H5343" t="str">
        <f>"3250617190374"</f>
        <v>3250617190374</v>
      </c>
      <c r="J5343" t="s">
        <v>15208</v>
      </c>
    </row>
    <row r="5344" spans="1:10" x14ac:dyDescent="0.25">
      <c r="A5344" t="s">
        <v>8</v>
      </c>
      <c r="B5344" t="s">
        <v>15209</v>
      </c>
      <c r="C5344" t="s">
        <v>15210</v>
      </c>
      <c r="D5344">
        <v>1</v>
      </c>
      <c r="E5344" t="s">
        <v>15203</v>
      </c>
      <c r="F5344" t="s">
        <v>15204</v>
      </c>
      <c r="G5344" s="1"/>
      <c r="H5344" t="str">
        <f>"3250617190381"</f>
        <v>3250617190381</v>
      </c>
      <c r="J5344" t="s">
        <v>15208</v>
      </c>
    </row>
    <row r="5345" spans="1:10" x14ac:dyDescent="0.25">
      <c r="A5345" t="s">
        <v>8</v>
      </c>
      <c r="B5345" t="s">
        <v>15211</v>
      </c>
      <c r="C5345" t="s">
        <v>15212</v>
      </c>
      <c r="D5345">
        <v>1</v>
      </c>
      <c r="E5345" t="s">
        <v>15203</v>
      </c>
      <c r="F5345" t="s">
        <v>15204</v>
      </c>
      <c r="G5345" s="1"/>
      <c r="H5345" t="str">
        <f>"3250617190398"</f>
        <v>3250617190398</v>
      </c>
      <c r="J5345" t="s">
        <v>15213</v>
      </c>
    </row>
    <row r="5346" spans="1:10" x14ac:dyDescent="0.25">
      <c r="A5346" t="s">
        <v>8</v>
      </c>
      <c r="B5346" t="s">
        <v>15214</v>
      </c>
      <c r="C5346" t="s">
        <v>15215</v>
      </c>
      <c r="D5346">
        <v>1</v>
      </c>
      <c r="E5346" t="s">
        <v>15203</v>
      </c>
      <c r="F5346" t="s">
        <v>15204</v>
      </c>
      <c r="G5346" s="1"/>
      <c r="H5346" t="str">
        <f>"3250617191135"</f>
        <v>3250617191135</v>
      </c>
      <c r="J5346" t="s">
        <v>15216</v>
      </c>
    </row>
    <row r="5347" spans="1:10" x14ac:dyDescent="0.25">
      <c r="A5347" t="s">
        <v>8</v>
      </c>
      <c r="B5347" t="s">
        <v>15217</v>
      </c>
      <c r="C5347" t="s">
        <v>15218</v>
      </c>
      <c r="D5347">
        <v>1</v>
      </c>
      <c r="E5347" t="s">
        <v>15203</v>
      </c>
      <c r="F5347" t="s">
        <v>15204</v>
      </c>
      <c r="G5347" s="1"/>
      <c r="H5347" t="str">
        <f>"3250617191142"</f>
        <v>3250617191142</v>
      </c>
      <c r="J5347" t="s">
        <v>6877</v>
      </c>
    </row>
    <row r="5348" spans="1:10" x14ac:dyDescent="0.25">
      <c r="A5348" t="s">
        <v>8</v>
      </c>
      <c r="B5348" t="s">
        <v>15219</v>
      </c>
      <c r="C5348" t="s">
        <v>15220</v>
      </c>
      <c r="D5348">
        <v>1</v>
      </c>
      <c r="E5348" t="s">
        <v>15203</v>
      </c>
      <c r="F5348" t="s">
        <v>15204</v>
      </c>
      <c r="G5348" s="1"/>
      <c r="H5348" t="str">
        <f>"3250617191159"</f>
        <v>3250617191159</v>
      </c>
      <c r="J5348" t="s">
        <v>6877</v>
      </c>
    </row>
    <row r="5349" spans="1:10" x14ac:dyDescent="0.25">
      <c r="A5349" t="s">
        <v>8</v>
      </c>
      <c r="B5349" t="s">
        <v>15221</v>
      </c>
      <c r="C5349" t="s">
        <v>15222</v>
      </c>
      <c r="D5349">
        <v>1</v>
      </c>
      <c r="E5349" t="s">
        <v>15203</v>
      </c>
      <c r="F5349" t="s">
        <v>15204</v>
      </c>
      <c r="G5349" s="1"/>
      <c r="H5349" t="str">
        <f>"3250617191166"</f>
        <v>3250617191166</v>
      </c>
      <c r="J5349" t="s">
        <v>15223</v>
      </c>
    </row>
    <row r="5350" spans="1:10" x14ac:dyDescent="0.25">
      <c r="A5350" t="s">
        <v>8</v>
      </c>
      <c r="B5350" t="s">
        <v>15224</v>
      </c>
      <c r="C5350" t="s">
        <v>15225</v>
      </c>
      <c r="D5350">
        <v>1</v>
      </c>
      <c r="E5350" t="s">
        <v>15203</v>
      </c>
      <c r="F5350" t="s">
        <v>15204</v>
      </c>
      <c r="G5350" s="1"/>
      <c r="H5350" t="str">
        <f>"3250617191173"</f>
        <v>3250617191173</v>
      </c>
      <c r="J5350" t="s">
        <v>15226</v>
      </c>
    </row>
    <row r="5351" spans="1:10" x14ac:dyDescent="0.25">
      <c r="A5351" t="s">
        <v>8</v>
      </c>
      <c r="B5351" t="s">
        <v>15227</v>
      </c>
      <c r="C5351" t="s">
        <v>15228</v>
      </c>
      <c r="D5351">
        <v>1</v>
      </c>
      <c r="E5351" t="s">
        <v>15203</v>
      </c>
      <c r="F5351" t="s">
        <v>15204</v>
      </c>
      <c r="G5351" s="1"/>
      <c r="H5351" t="str">
        <f>"3250617191180"</f>
        <v>3250617191180</v>
      </c>
      <c r="J5351" t="s">
        <v>15226</v>
      </c>
    </row>
    <row r="5352" spans="1:10" x14ac:dyDescent="0.25">
      <c r="A5352" t="s">
        <v>8</v>
      </c>
      <c r="B5352" t="s">
        <v>15229</v>
      </c>
      <c r="C5352" t="s">
        <v>15230</v>
      </c>
      <c r="D5352">
        <v>1</v>
      </c>
      <c r="E5352" t="s">
        <v>15203</v>
      </c>
      <c r="F5352" t="s">
        <v>15204</v>
      </c>
      <c r="G5352" s="1"/>
      <c r="H5352" t="str">
        <f>"3250617190534"</f>
        <v>3250617190534</v>
      </c>
      <c r="J5352" t="s">
        <v>15208</v>
      </c>
    </row>
    <row r="5353" spans="1:10" x14ac:dyDescent="0.25">
      <c r="A5353" t="s">
        <v>8</v>
      </c>
      <c r="B5353" t="s">
        <v>15231</v>
      </c>
      <c r="C5353" t="s">
        <v>15232</v>
      </c>
      <c r="D5353">
        <v>1</v>
      </c>
      <c r="E5353" t="s">
        <v>15203</v>
      </c>
      <c r="F5353" t="s">
        <v>15204</v>
      </c>
      <c r="G5353" s="1"/>
      <c r="H5353" t="str">
        <f>"3250617190541"</f>
        <v>3250617190541</v>
      </c>
      <c r="J5353" t="s">
        <v>15208</v>
      </c>
    </row>
    <row r="5354" spans="1:10" x14ac:dyDescent="0.25">
      <c r="A5354" t="s">
        <v>8</v>
      </c>
      <c r="B5354" t="s">
        <v>15233</v>
      </c>
      <c r="C5354" t="s">
        <v>15234</v>
      </c>
      <c r="D5354">
        <v>1</v>
      </c>
      <c r="E5354" t="s">
        <v>15203</v>
      </c>
      <c r="F5354" t="s">
        <v>15204</v>
      </c>
      <c r="G5354" s="1"/>
      <c r="H5354" t="str">
        <f>"3250617190558"</f>
        <v>3250617190558</v>
      </c>
      <c r="J5354" t="s">
        <v>15208</v>
      </c>
    </row>
    <row r="5355" spans="1:10" x14ac:dyDescent="0.25">
      <c r="A5355" t="s">
        <v>8</v>
      </c>
      <c r="B5355" t="s">
        <v>15235</v>
      </c>
      <c r="C5355" t="s">
        <v>15236</v>
      </c>
      <c r="D5355">
        <v>1</v>
      </c>
      <c r="E5355" t="s">
        <v>15203</v>
      </c>
      <c r="F5355" t="s">
        <v>15204</v>
      </c>
      <c r="G5355" s="1"/>
      <c r="H5355" t="str">
        <f>"3250617190565"</f>
        <v>3250617190565</v>
      </c>
      <c r="J5355" t="s">
        <v>15208</v>
      </c>
    </row>
    <row r="5356" spans="1:10" x14ac:dyDescent="0.25">
      <c r="A5356" t="s">
        <v>8</v>
      </c>
      <c r="B5356" t="s">
        <v>15237</v>
      </c>
      <c r="C5356" t="s">
        <v>15238</v>
      </c>
      <c r="D5356">
        <v>1</v>
      </c>
      <c r="E5356" t="s">
        <v>15203</v>
      </c>
      <c r="F5356" t="s">
        <v>15204</v>
      </c>
      <c r="G5356" s="1"/>
      <c r="H5356" t="str">
        <f>"3250617190572"</f>
        <v>3250617190572</v>
      </c>
      <c r="J5356" t="s">
        <v>15208</v>
      </c>
    </row>
    <row r="5357" spans="1:10" x14ac:dyDescent="0.25">
      <c r="A5357" t="s">
        <v>8</v>
      </c>
      <c r="B5357" t="s">
        <v>15239</v>
      </c>
      <c r="C5357" t="s">
        <v>15240</v>
      </c>
      <c r="D5357">
        <v>1</v>
      </c>
      <c r="E5357" t="s">
        <v>15203</v>
      </c>
      <c r="F5357" t="s">
        <v>15204</v>
      </c>
      <c r="G5357" s="1"/>
      <c r="H5357" t="str">
        <f>"3250617190589"</f>
        <v>3250617190589</v>
      </c>
      <c r="J5357" t="s">
        <v>15208</v>
      </c>
    </row>
    <row r="5358" spans="1:10" x14ac:dyDescent="0.25">
      <c r="A5358" t="s">
        <v>8</v>
      </c>
      <c r="B5358" t="s">
        <v>15241</v>
      </c>
      <c r="C5358" t="s">
        <v>15242</v>
      </c>
      <c r="D5358">
        <v>1</v>
      </c>
      <c r="E5358" t="s">
        <v>15203</v>
      </c>
      <c r="F5358" t="s">
        <v>15204</v>
      </c>
      <c r="G5358" s="1"/>
      <c r="H5358" t="str">
        <f>"3250617190596"</f>
        <v>3250617190596</v>
      </c>
      <c r="J5358" t="s">
        <v>15208</v>
      </c>
    </row>
    <row r="5359" spans="1:10" x14ac:dyDescent="0.25">
      <c r="A5359" t="s">
        <v>8</v>
      </c>
      <c r="B5359" t="s">
        <v>15243</v>
      </c>
      <c r="C5359" t="s">
        <v>15244</v>
      </c>
      <c r="D5359">
        <v>1</v>
      </c>
      <c r="E5359" t="s">
        <v>15203</v>
      </c>
      <c r="F5359" t="s">
        <v>15204</v>
      </c>
      <c r="G5359" s="1"/>
      <c r="H5359" t="str">
        <f>"3250617191555"</f>
        <v>3250617191555</v>
      </c>
      <c r="J5359" t="s">
        <v>15245</v>
      </c>
    </row>
    <row r="5360" spans="1:10" x14ac:dyDescent="0.25">
      <c r="A5360" t="s">
        <v>8</v>
      </c>
      <c r="B5360" t="s">
        <v>15246</v>
      </c>
      <c r="C5360" t="s">
        <v>15247</v>
      </c>
      <c r="D5360">
        <v>1</v>
      </c>
      <c r="E5360" t="s">
        <v>15203</v>
      </c>
      <c r="F5360" t="s">
        <v>15204</v>
      </c>
      <c r="G5360" s="1"/>
      <c r="H5360" t="str">
        <f>"3250617192026"</f>
        <v>3250617192026</v>
      </c>
      <c r="J5360" t="s">
        <v>9871</v>
      </c>
    </row>
    <row r="5361" spans="1:10" x14ac:dyDescent="0.25">
      <c r="A5361" t="s">
        <v>8</v>
      </c>
      <c r="B5361" t="s">
        <v>15248</v>
      </c>
      <c r="C5361" t="s">
        <v>15249</v>
      </c>
      <c r="D5361">
        <v>1</v>
      </c>
      <c r="E5361" t="s">
        <v>15203</v>
      </c>
      <c r="F5361" t="s">
        <v>15204</v>
      </c>
      <c r="G5361" s="1"/>
      <c r="H5361" t="str">
        <f>"3250617196017"</f>
        <v>3250617196017</v>
      </c>
      <c r="J5361" t="s">
        <v>15250</v>
      </c>
    </row>
    <row r="5362" spans="1:10" x14ac:dyDescent="0.25">
      <c r="A5362" t="s">
        <v>8</v>
      </c>
      <c r="B5362" t="s">
        <v>15251</v>
      </c>
      <c r="C5362" t="s">
        <v>15252</v>
      </c>
      <c r="D5362">
        <v>1</v>
      </c>
      <c r="E5362" t="s">
        <v>15203</v>
      </c>
      <c r="F5362" t="s">
        <v>15204</v>
      </c>
      <c r="G5362" s="1"/>
      <c r="H5362" t="str">
        <f>"3250617196024"</f>
        <v>3250617196024</v>
      </c>
      <c r="J5362" t="s">
        <v>15253</v>
      </c>
    </row>
    <row r="5363" spans="1:10" x14ac:dyDescent="0.25">
      <c r="A5363" t="s">
        <v>8</v>
      </c>
      <c r="B5363" t="s">
        <v>15254</v>
      </c>
      <c r="C5363" t="s">
        <v>15255</v>
      </c>
      <c r="D5363">
        <v>1</v>
      </c>
      <c r="E5363" t="s">
        <v>15203</v>
      </c>
      <c r="F5363" t="s">
        <v>15204</v>
      </c>
      <c r="G5363" s="1"/>
      <c r="H5363" t="str">
        <f>"3250617196031"</f>
        <v>3250617196031</v>
      </c>
      <c r="J5363" t="s">
        <v>15256</v>
      </c>
    </row>
    <row r="5364" spans="1:10" x14ac:dyDescent="0.25">
      <c r="A5364" t="s">
        <v>8</v>
      </c>
      <c r="B5364" t="s">
        <v>15257</v>
      </c>
      <c r="C5364" t="s">
        <v>15258</v>
      </c>
      <c r="D5364">
        <v>1</v>
      </c>
      <c r="E5364" t="s">
        <v>15203</v>
      </c>
      <c r="F5364" t="s">
        <v>15204</v>
      </c>
      <c r="G5364" s="1"/>
      <c r="H5364" t="str">
        <f>"3250617191289"</f>
        <v>3250617191289</v>
      </c>
      <c r="J5364" t="s">
        <v>13626</v>
      </c>
    </row>
    <row r="5365" spans="1:10" x14ac:dyDescent="0.25">
      <c r="A5365" t="s">
        <v>8</v>
      </c>
      <c r="B5365" t="s">
        <v>15259</v>
      </c>
      <c r="C5365" t="s">
        <v>15260</v>
      </c>
      <c r="D5365">
        <v>1</v>
      </c>
      <c r="E5365" t="s">
        <v>15203</v>
      </c>
      <c r="F5365" t="s">
        <v>15204</v>
      </c>
      <c r="G5365" s="1"/>
      <c r="H5365" t="str">
        <f>"3250617191296"</f>
        <v>3250617191296</v>
      </c>
      <c r="J5365" t="s">
        <v>15261</v>
      </c>
    </row>
    <row r="5366" spans="1:10" x14ac:dyDescent="0.25">
      <c r="A5366" t="s">
        <v>8</v>
      </c>
      <c r="B5366" t="s">
        <v>15262</v>
      </c>
      <c r="C5366" t="s">
        <v>15263</v>
      </c>
      <c r="D5366">
        <v>1</v>
      </c>
      <c r="E5366" t="s">
        <v>15203</v>
      </c>
      <c r="F5366" t="s">
        <v>15204</v>
      </c>
      <c r="G5366" s="1"/>
      <c r="H5366" t="str">
        <f>"3250617191319"</f>
        <v>3250617191319</v>
      </c>
      <c r="J5366" t="s">
        <v>15261</v>
      </c>
    </row>
    <row r="5367" spans="1:10" x14ac:dyDescent="0.25">
      <c r="A5367" t="s">
        <v>8</v>
      </c>
      <c r="B5367" t="s">
        <v>15264</v>
      </c>
      <c r="C5367" t="s">
        <v>15265</v>
      </c>
      <c r="D5367">
        <v>1</v>
      </c>
      <c r="E5367" t="s">
        <v>15203</v>
      </c>
      <c r="F5367" t="s">
        <v>15204</v>
      </c>
      <c r="G5367" s="1"/>
      <c r="H5367" t="str">
        <f>"3250617191302"</f>
        <v>3250617191302</v>
      </c>
      <c r="J5367" t="s">
        <v>15261</v>
      </c>
    </row>
    <row r="5368" spans="1:10" x14ac:dyDescent="0.25">
      <c r="A5368" t="s">
        <v>8</v>
      </c>
      <c r="B5368" t="s">
        <v>15266</v>
      </c>
      <c r="C5368" t="s">
        <v>15267</v>
      </c>
      <c r="D5368">
        <v>1</v>
      </c>
      <c r="E5368" t="s">
        <v>15203</v>
      </c>
      <c r="F5368" t="s">
        <v>15204</v>
      </c>
      <c r="G5368" s="1"/>
      <c r="H5368" t="str">
        <f>"3250617191326"</f>
        <v>3250617191326</v>
      </c>
      <c r="J5368" t="s">
        <v>15268</v>
      </c>
    </row>
    <row r="5369" spans="1:10" x14ac:dyDescent="0.25">
      <c r="A5369" t="s">
        <v>8</v>
      </c>
      <c r="B5369" t="s">
        <v>15269</v>
      </c>
      <c r="C5369" t="s">
        <v>15270</v>
      </c>
      <c r="D5369">
        <v>1</v>
      </c>
      <c r="E5369" t="s">
        <v>15203</v>
      </c>
      <c r="F5369" t="s">
        <v>15204</v>
      </c>
      <c r="G5369" s="1"/>
      <c r="H5369" t="str">
        <f>"3250617191333"</f>
        <v>3250617191333</v>
      </c>
      <c r="J5369" t="s">
        <v>15268</v>
      </c>
    </row>
    <row r="5370" spans="1:10" x14ac:dyDescent="0.25">
      <c r="A5370" t="s">
        <v>8</v>
      </c>
      <c r="B5370" t="s">
        <v>15271</v>
      </c>
      <c r="C5370" t="s">
        <v>15272</v>
      </c>
      <c r="D5370">
        <v>1</v>
      </c>
      <c r="E5370" t="s">
        <v>15203</v>
      </c>
      <c r="F5370" t="s">
        <v>15204</v>
      </c>
      <c r="G5370" s="1"/>
      <c r="H5370" t="str">
        <f>"3250617191357"</f>
        <v>3250617191357</v>
      </c>
      <c r="J5370" t="s">
        <v>15273</v>
      </c>
    </row>
    <row r="5371" spans="1:10" x14ac:dyDescent="0.25">
      <c r="A5371" t="s">
        <v>8</v>
      </c>
      <c r="B5371" t="s">
        <v>15274</v>
      </c>
      <c r="C5371" t="s">
        <v>15275</v>
      </c>
      <c r="D5371">
        <v>1</v>
      </c>
      <c r="E5371" t="s">
        <v>15203</v>
      </c>
      <c r="F5371" t="s">
        <v>15204</v>
      </c>
      <c r="G5371" s="1"/>
      <c r="H5371" t="str">
        <f>"3250617191340"</f>
        <v>3250617191340</v>
      </c>
      <c r="J5371" t="s">
        <v>15273</v>
      </c>
    </row>
    <row r="5372" spans="1:10" x14ac:dyDescent="0.25">
      <c r="A5372" t="s">
        <v>8</v>
      </c>
      <c r="B5372" t="s">
        <v>15276</v>
      </c>
      <c r="C5372" t="s">
        <v>15277</v>
      </c>
      <c r="D5372">
        <v>1</v>
      </c>
      <c r="E5372" t="s">
        <v>15203</v>
      </c>
      <c r="F5372" t="s">
        <v>15204</v>
      </c>
      <c r="G5372" s="1"/>
      <c r="H5372" t="str">
        <f>"3250617191364"</f>
        <v>3250617191364</v>
      </c>
      <c r="J5372" t="s">
        <v>15278</v>
      </c>
    </row>
    <row r="5373" spans="1:10" x14ac:dyDescent="0.25">
      <c r="A5373" t="s">
        <v>8</v>
      </c>
      <c r="B5373" t="s">
        <v>15279</v>
      </c>
      <c r="C5373" t="s">
        <v>15280</v>
      </c>
      <c r="D5373">
        <v>1</v>
      </c>
      <c r="E5373" t="s">
        <v>15203</v>
      </c>
      <c r="F5373" t="s">
        <v>15204</v>
      </c>
      <c r="G5373" s="1"/>
      <c r="H5373" t="str">
        <f>"3250617191371"</f>
        <v>3250617191371</v>
      </c>
      <c r="J5373" t="s">
        <v>15278</v>
      </c>
    </row>
    <row r="5374" spans="1:10" x14ac:dyDescent="0.25">
      <c r="A5374" t="s">
        <v>8</v>
      </c>
      <c r="B5374" t="s">
        <v>15281</v>
      </c>
      <c r="C5374" t="s">
        <v>15282</v>
      </c>
      <c r="D5374">
        <v>1</v>
      </c>
      <c r="E5374" t="s">
        <v>15203</v>
      </c>
      <c r="F5374" t="s">
        <v>15204</v>
      </c>
      <c r="G5374" s="1"/>
      <c r="H5374" t="str">
        <f>"3250617191395"</f>
        <v>3250617191395</v>
      </c>
      <c r="J5374" t="s">
        <v>13094</v>
      </c>
    </row>
    <row r="5375" spans="1:10" x14ac:dyDescent="0.25">
      <c r="A5375" t="s">
        <v>8</v>
      </c>
      <c r="B5375" t="s">
        <v>15283</v>
      </c>
      <c r="C5375" t="s">
        <v>15284</v>
      </c>
      <c r="D5375">
        <v>1</v>
      </c>
      <c r="E5375" t="s">
        <v>15203</v>
      </c>
      <c r="F5375" t="s">
        <v>15204</v>
      </c>
      <c r="G5375" s="1"/>
      <c r="H5375" t="str">
        <f>"3250617191388"</f>
        <v>3250617191388</v>
      </c>
      <c r="J5375" t="s">
        <v>13094</v>
      </c>
    </row>
    <row r="5376" spans="1:10" x14ac:dyDescent="0.25">
      <c r="A5376" t="s">
        <v>8</v>
      </c>
      <c r="B5376" t="s">
        <v>15285</v>
      </c>
      <c r="C5376" t="s">
        <v>15286</v>
      </c>
      <c r="D5376">
        <v>1</v>
      </c>
      <c r="E5376" t="s">
        <v>15203</v>
      </c>
      <c r="F5376" t="s">
        <v>15204</v>
      </c>
      <c r="G5376" s="1"/>
      <c r="H5376" t="str">
        <f>"3250618504071"</f>
        <v>3250618504071</v>
      </c>
      <c r="J5376" t="s">
        <v>15287</v>
      </c>
    </row>
    <row r="5377" spans="1:10" x14ac:dyDescent="0.25">
      <c r="A5377" t="s">
        <v>8</v>
      </c>
      <c r="B5377" t="s">
        <v>15288</v>
      </c>
      <c r="C5377" t="s">
        <v>15289</v>
      </c>
      <c r="D5377">
        <v>1</v>
      </c>
      <c r="E5377" t="s">
        <v>15203</v>
      </c>
      <c r="F5377" t="s">
        <v>15204</v>
      </c>
      <c r="G5377" s="1"/>
      <c r="H5377" t="str">
        <f>"3250617060073"</f>
        <v>3250617060073</v>
      </c>
      <c r="J5377" t="s">
        <v>15290</v>
      </c>
    </row>
    <row r="5378" spans="1:10" x14ac:dyDescent="0.25">
      <c r="A5378" t="s">
        <v>8</v>
      </c>
      <c r="B5378" t="s">
        <v>15291</v>
      </c>
      <c r="C5378" t="s">
        <v>15292</v>
      </c>
      <c r="D5378">
        <v>1</v>
      </c>
      <c r="E5378" t="s">
        <v>15203</v>
      </c>
      <c r="F5378" t="s">
        <v>15204</v>
      </c>
      <c r="G5378" s="1"/>
      <c r="H5378" t="str">
        <f>"3250617060066"</f>
        <v>3250617060066</v>
      </c>
      <c r="J5378" t="s">
        <v>15293</v>
      </c>
    </row>
    <row r="5379" spans="1:10" x14ac:dyDescent="0.25">
      <c r="A5379" t="s">
        <v>8</v>
      </c>
      <c r="B5379" t="s">
        <v>15294</v>
      </c>
      <c r="C5379" t="s">
        <v>15295</v>
      </c>
      <c r="D5379">
        <v>1</v>
      </c>
      <c r="E5379" t="s">
        <v>15203</v>
      </c>
      <c r="F5379" t="s">
        <v>15204</v>
      </c>
      <c r="G5379" s="1"/>
      <c r="H5379" t="str">
        <f>"3250617190107"</f>
        <v>3250617190107</v>
      </c>
      <c r="J5379" t="s">
        <v>15296</v>
      </c>
    </row>
    <row r="5380" spans="1:10" x14ac:dyDescent="0.25">
      <c r="A5380" t="s">
        <v>8</v>
      </c>
      <c r="B5380" t="s">
        <v>15297</v>
      </c>
      <c r="C5380" t="s">
        <v>15298</v>
      </c>
      <c r="D5380">
        <v>1</v>
      </c>
      <c r="E5380" t="s">
        <v>15203</v>
      </c>
      <c r="F5380" t="s">
        <v>15204</v>
      </c>
      <c r="G5380" s="1"/>
      <c r="H5380" t="str">
        <f>"3250610131503"</f>
        <v>3250610131503</v>
      </c>
      <c r="J5380" t="s">
        <v>15261</v>
      </c>
    </row>
    <row r="5381" spans="1:10" x14ac:dyDescent="0.25">
      <c r="A5381" t="s">
        <v>8</v>
      </c>
      <c r="B5381" t="s">
        <v>15299</v>
      </c>
      <c r="C5381" t="s">
        <v>15300</v>
      </c>
      <c r="D5381">
        <v>1</v>
      </c>
      <c r="E5381" t="s">
        <v>15203</v>
      </c>
      <c r="F5381" t="s">
        <v>15204</v>
      </c>
      <c r="G5381" s="1"/>
      <c r="H5381" t="str">
        <f>"3250610131510"</f>
        <v>3250610131510</v>
      </c>
      <c r="J5381" t="s">
        <v>15273</v>
      </c>
    </row>
    <row r="5382" spans="1:10" x14ac:dyDescent="0.25">
      <c r="A5382" t="s">
        <v>8</v>
      </c>
      <c r="B5382" t="s">
        <v>15301</v>
      </c>
      <c r="C5382" t="s">
        <v>15302</v>
      </c>
      <c r="D5382">
        <v>1</v>
      </c>
      <c r="E5382" t="s">
        <v>15203</v>
      </c>
      <c r="F5382" t="s">
        <v>15204</v>
      </c>
      <c r="G5382" s="1"/>
      <c r="H5382" t="str">
        <f>"3250610131527"</f>
        <v>3250610131527</v>
      </c>
      <c r="J5382" t="s">
        <v>13094</v>
      </c>
    </row>
    <row r="5383" spans="1:10" x14ac:dyDescent="0.25">
      <c r="A5383" t="s">
        <v>8</v>
      </c>
      <c r="B5383" t="s">
        <v>15303</v>
      </c>
      <c r="C5383" t="s">
        <v>15304</v>
      </c>
      <c r="D5383">
        <v>1</v>
      </c>
      <c r="E5383" t="s">
        <v>15305</v>
      </c>
      <c r="F5383" t="s">
        <v>15306</v>
      </c>
      <c r="G5383" s="1"/>
      <c r="H5383" t="str">
        <f>"3250617194709"</f>
        <v>3250617194709</v>
      </c>
      <c r="J5383" t="s">
        <v>15307</v>
      </c>
    </row>
    <row r="5384" spans="1:10" x14ac:dyDescent="0.25">
      <c r="A5384" t="s">
        <v>8</v>
      </c>
      <c r="B5384" t="s">
        <v>15308</v>
      </c>
      <c r="C5384" t="s">
        <v>15309</v>
      </c>
      <c r="D5384">
        <v>1</v>
      </c>
      <c r="E5384" t="s">
        <v>15305</v>
      </c>
      <c r="F5384" t="s">
        <v>15306</v>
      </c>
      <c r="G5384" s="1"/>
      <c r="H5384" t="str">
        <f>"3250617194716"</f>
        <v>3250617194716</v>
      </c>
      <c r="J5384" t="s">
        <v>15310</v>
      </c>
    </row>
    <row r="5385" spans="1:10" x14ac:dyDescent="0.25">
      <c r="A5385" t="s">
        <v>8</v>
      </c>
      <c r="B5385" t="s">
        <v>15311</v>
      </c>
      <c r="C5385" t="s">
        <v>15312</v>
      </c>
      <c r="D5385">
        <v>1</v>
      </c>
      <c r="E5385" t="s">
        <v>15305</v>
      </c>
      <c r="F5385" t="s">
        <v>15306</v>
      </c>
      <c r="G5385" s="1"/>
      <c r="H5385" t="str">
        <f>"3250617194723"</f>
        <v>3250617194723</v>
      </c>
      <c r="J5385" t="s">
        <v>15313</v>
      </c>
    </row>
    <row r="5386" spans="1:10" x14ac:dyDescent="0.25">
      <c r="A5386" t="s">
        <v>8</v>
      </c>
      <c r="B5386" t="s">
        <v>15314</v>
      </c>
      <c r="C5386" t="s">
        <v>15315</v>
      </c>
      <c r="D5386">
        <v>1</v>
      </c>
      <c r="E5386" t="s">
        <v>15305</v>
      </c>
      <c r="F5386" t="s">
        <v>15306</v>
      </c>
      <c r="G5386" s="1"/>
      <c r="H5386" t="str">
        <f>"3250617194747"</f>
        <v>3250617194747</v>
      </c>
      <c r="J5386" t="s">
        <v>15316</v>
      </c>
    </row>
    <row r="5387" spans="1:10" x14ac:dyDescent="0.25">
      <c r="A5387" t="s">
        <v>8</v>
      </c>
      <c r="B5387" t="s">
        <v>15317</v>
      </c>
      <c r="C5387" t="s">
        <v>15318</v>
      </c>
      <c r="D5387">
        <v>1</v>
      </c>
      <c r="E5387" t="s">
        <v>15305</v>
      </c>
      <c r="F5387" t="s">
        <v>15306</v>
      </c>
      <c r="G5387" s="1"/>
      <c r="H5387" t="str">
        <f>"3250617194754"</f>
        <v>3250617194754</v>
      </c>
      <c r="J5387" t="s">
        <v>15316</v>
      </c>
    </row>
    <row r="5388" spans="1:10" x14ac:dyDescent="0.25">
      <c r="A5388" t="s">
        <v>8</v>
      </c>
      <c r="B5388" t="s">
        <v>15319</v>
      </c>
      <c r="C5388" t="s">
        <v>15320</v>
      </c>
      <c r="D5388">
        <v>1</v>
      </c>
      <c r="E5388" t="s">
        <v>15305</v>
      </c>
      <c r="F5388" t="s">
        <v>15306</v>
      </c>
      <c r="G5388" s="1"/>
      <c r="H5388" t="str">
        <f>"3250617194761"</f>
        <v>3250617194761</v>
      </c>
      <c r="J5388" t="s">
        <v>15321</v>
      </c>
    </row>
    <row r="5389" spans="1:10" x14ac:dyDescent="0.25">
      <c r="A5389" t="s">
        <v>8</v>
      </c>
      <c r="B5389" t="s">
        <v>15322</v>
      </c>
      <c r="C5389" t="s">
        <v>15323</v>
      </c>
      <c r="D5389">
        <v>1</v>
      </c>
      <c r="E5389" t="s">
        <v>15305</v>
      </c>
      <c r="F5389" t="s">
        <v>15306</v>
      </c>
      <c r="G5389" s="1"/>
      <c r="H5389" t="str">
        <f>"3250617194785"</f>
        <v>3250617194785</v>
      </c>
      <c r="J5389" t="s">
        <v>15321</v>
      </c>
    </row>
    <row r="5390" spans="1:10" x14ac:dyDescent="0.25">
      <c r="A5390" t="s">
        <v>8</v>
      </c>
      <c r="B5390" t="s">
        <v>15324</v>
      </c>
      <c r="C5390" t="s">
        <v>15325</v>
      </c>
      <c r="D5390">
        <v>1</v>
      </c>
      <c r="E5390" t="s">
        <v>15305</v>
      </c>
      <c r="F5390" t="s">
        <v>15306</v>
      </c>
      <c r="G5390" s="1"/>
      <c r="H5390" t="str">
        <f>"3250617199797"</f>
        <v>3250617199797</v>
      </c>
      <c r="J5390" t="s">
        <v>15326</v>
      </c>
    </row>
    <row r="5391" spans="1:10" x14ac:dyDescent="0.25">
      <c r="A5391" t="s">
        <v>8</v>
      </c>
      <c r="B5391" t="s">
        <v>15327</v>
      </c>
      <c r="C5391" t="s">
        <v>15328</v>
      </c>
      <c r="D5391">
        <v>1</v>
      </c>
      <c r="E5391" t="s">
        <v>15305</v>
      </c>
      <c r="F5391" t="s">
        <v>15306</v>
      </c>
      <c r="G5391" s="1"/>
      <c r="H5391" t="str">
        <f>"3250617198677"</f>
        <v>3250617198677</v>
      </c>
      <c r="J5391" t="s">
        <v>15326</v>
      </c>
    </row>
    <row r="5392" spans="1:10" x14ac:dyDescent="0.25">
      <c r="A5392" t="s">
        <v>8</v>
      </c>
      <c r="B5392" t="s">
        <v>15329</v>
      </c>
      <c r="C5392" t="s">
        <v>15330</v>
      </c>
      <c r="D5392">
        <v>1</v>
      </c>
      <c r="E5392" t="s">
        <v>15305</v>
      </c>
      <c r="F5392" t="s">
        <v>15306</v>
      </c>
      <c r="G5392" s="1"/>
      <c r="H5392" t="str">
        <f>"3250617198660"</f>
        <v>3250617198660</v>
      </c>
      <c r="J5392" t="s">
        <v>15331</v>
      </c>
    </row>
    <row r="5393" spans="1:10" x14ac:dyDescent="0.25">
      <c r="A5393" t="s">
        <v>8</v>
      </c>
      <c r="B5393" t="s">
        <v>15332</v>
      </c>
      <c r="C5393" t="s">
        <v>15333</v>
      </c>
      <c r="D5393">
        <v>1</v>
      </c>
      <c r="E5393" t="s">
        <v>15305</v>
      </c>
      <c r="F5393" t="s">
        <v>15306</v>
      </c>
      <c r="G5393" s="1"/>
      <c r="H5393" t="str">
        <f>"3250617198653"</f>
        <v>3250617198653</v>
      </c>
      <c r="J5393" t="s">
        <v>15326</v>
      </c>
    </row>
    <row r="5394" spans="1:10" x14ac:dyDescent="0.25">
      <c r="A5394" t="s">
        <v>8</v>
      </c>
      <c r="B5394" t="s">
        <v>15334</v>
      </c>
      <c r="C5394" t="s">
        <v>15335</v>
      </c>
      <c r="D5394">
        <v>1</v>
      </c>
      <c r="E5394" t="s">
        <v>15305</v>
      </c>
      <c r="F5394" t="s">
        <v>15306</v>
      </c>
      <c r="G5394" s="1"/>
      <c r="H5394" t="str">
        <f>"3250617198646"</f>
        <v>3250617198646</v>
      </c>
      <c r="J5394" t="s">
        <v>15331</v>
      </c>
    </row>
    <row r="5395" spans="1:10" x14ac:dyDescent="0.25">
      <c r="A5395" t="s">
        <v>8</v>
      </c>
      <c r="B5395" t="s">
        <v>15336</v>
      </c>
      <c r="C5395" t="s">
        <v>15337</v>
      </c>
      <c r="D5395">
        <v>1</v>
      </c>
      <c r="E5395" t="s">
        <v>15305</v>
      </c>
      <c r="F5395" t="s">
        <v>15306</v>
      </c>
      <c r="G5395" s="1"/>
      <c r="H5395" t="str">
        <f>"3250617190435"</f>
        <v>3250617190435</v>
      </c>
      <c r="J5395" t="s">
        <v>15338</v>
      </c>
    </row>
    <row r="5396" spans="1:10" x14ac:dyDescent="0.25">
      <c r="A5396" t="s">
        <v>8</v>
      </c>
      <c r="B5396" t="s">
        <v>15339</v>
      </c>
      <c r="C5396" t="s">
        <v>15340</v>
      </c>
      <c r="D5396">
        <v>1</v>
      </c>
      <c r="E5396" t="s">
        <v>15305</v>
      </c>
      <c r="F5396" t="s">
        <v>15306</v>
      </c>
      <c r="G5396" s="1"/>
      <c r="H5396" t="str">
        <f>"3250617192811"</f>
        <v>3250617192811</v>
      </c>
      <c r="J5396" t="s">
        <v>15341</v>
      </c>
    </row>
    <row r="5397" spans="1:10" x14ac:dyDescent="0.25">
      <c r="A5397" t="s">
        <v>8</v>
      </c>
      <c r="B5397" t="s">
        <v>15342</v>
      </c>
      <c r="C5397" t="s">
        <v>15343</v>
      </c>
      <c r="D5397">
        <v>1</v>
      </c>
      <c r="E5397" t="s">
        <v>15305</v>
      </c>
      <c r="F5397" t="s">
        <v>15306</v>
      </c>
      <c r="G5397" s="1"/>
      <c r="H5397" t="str">
        <f>"3250617190442"</f>
        <v>3250617190442</v>
      </c>
      <c r="J5397" t="s">
        <v>15341</v>
      </c>
    </row>
    <row r="5398" spans="1:10" x14ac:dyDescent="0.25">
      <c r="A5398" t="s">
        <v>8</v>
      </c>
      <c r="B5398" t="s">
        <v>15344</v>
      </c>
      <c r="C5398" t="s">
        <v>15345</v>
      </c>
      <c r="D5398">
        <v>1</v>
      </c>
      <c r="E5398" t="s">
        <v>15305</v>
      </c>
      <c r="F5398" t="s">
        <v>15306</v>
      </c>
      <c r="G5398" s="1"/>
      <c r="H5398" t="str">
        <f>"3250617190459"</f>
        <v>3250617190459</v>
      </c>
      <c r="J5398" t="s">
        <v>15346</v>
      </c>
    </row>
    <row r="5399" spans="1:10" x14ac:dyDescent="0.25">
      <c r="A5399" t="s">
        <v>8</v>
      </c>
      <c r="B5399" t="s">
        <v>15347</v>
      </c>
      <c r="C5399" t="s">
        <v>15348</v>
      </c>
      <c r="D5399">
        <v>1</v>
      </c>
      <c r="E5399" t="s">
        <v>15305</v>
      </c>
      <c r="F5399" t="s">
        <v>15306</v>
      </c>
      <c r="G5399" s="1"/>
      <c r="H5399" t="str">
        <f>"3250617192828"</f>
        <v>3250617192828</v>
      </c>
      <c r="J5399" t="s">
        <v>15349</v>
      </c>
    </row>
    <row r="5400" spans="1:10" x14ac:dyDescent="0.25">
      <c r="A5400" t="s">
        <v>8</v>
      </c>
      <c r="B5400" t="s">
        <v>15350</v>
      </c>
      <c r="C5400" t="s">
        <v>15351</v>
      </c>
      <c r="D5400">
        <v>1</v>
      </c>
      <c r="E5400" t="s">
        <v>15305</v>
      </c>
      <c r="F5400" t="s">
        <v>15306</v>
      </c>
      <c r="G5400" s="1"/>
      <c r="H5400" t="str">
        <f>"3250617190466"</f>
        <v>3250617190466</v>
      </c>
      <c r="J5400" t="s">
        <v>15349</v>
      </c>
    </row>
    <row r="5401" spans="1:10" x14ac:dyDescent="0.25">
      <c r="A5401" t="s">
        <v>8</v>
      </c>
      <c r="B5401" t="s">
        <v>15352</v>
      </c>
      <c r="C5401" t="s">
        <v>15353</v>
      </c>
      <c r="D5401">
        <v>1</v>
      </c>
      <c r="E5401" t="s">
        <v>15305</v>
      </c>
      <c r="F5401" t="s">
        <v>15306</v>
      </c>
      <c r="G5401" s="1"/>
      <c r="H5401" t="str">
        <f>"3250617190473"</f>
        <v>3250617190473</v>
      </c>
      <c r="J5401" t="s">
        <v>11508</v>
      </c>
    </row>
    <row r="5402" spans="1:10" x14ac:dyDescent="0.25">
      <c r="A5402" t="s">
        <v>8</v>
      </c>
      <c r="B5402" t="s">
        <v>15354</v>
      </c>
      <c r="C5402" t="s">
        <v>15355</v>
      </c>
      <c r="D5402">
        <v>1</v>
      </c>
      <c r="E5402" t="s">
        <v>15305</v>
      </c>
      <c r="F5402" t="s">
        <v>15306</v>
      </c>
      <c r="G5402" s="1"/>
      <c r="H5402" t="str">
        <f>"3250617192835"</f>
        <v>3250617192835</v>
      </c>
      <c r="J5402" t="s">
        <v>15356</v>
      </c>
    </row>
    <row r="5403" spans="1:10" x14ac:dyDescent="0.25">
      <c r="A5403" t="s">
        <v>8</v>
      </c>
      <c r="B5403" t="s">
        <v>15357</v>
      </c>
      <c r="C5403" t="s">
        <v>15358</v>
      </c>
      <c r="D5403">
        <v>1</v>
      </c>
      <c r="E5403" t="s">
        <v>15305</v>
      </c>
      <c r="F5403" t="s">
        <v>15306</v>
      </c>
      <c r="G5403" s="1"/>
      <c r="H5403" t="str">
        <f>"3250617190480"</f>
        <v>3250617190480</v>
      </c>
      <c r="J5403" t="s">
        <v>15356</v>
      </c>
    </row>
    <row r="5404" spans="1:10" x14ac:dyDescent="0.25">
      <c r="A5404" t="s">
        <v>8</v>
      </c>
      <c r="B5404" t="s">
        <v>15359</v>
      </c>
      <c r="C5404" t="s">
        <v>15360</v>
      </c>
      <c r="D5404">
        <v>1</v>
      </c>
      <c r="E5404" t="s">
        <v>15305</v>
      </c>
      <c r="F5404" t="s">
        <v>15306</v>
      </c>
      <c r="G5404" s="1"/>
      <c r="H5404" t="str">
        <f>"3250617190510"</f>
        <v>3250617190510</v>
      </c>
      <c r="J5404" t="s">
        <v>15361</v>
      </c>
    </row>
    <row r="5405" spans="1:10" x14ac:dyDescent="0.25">
      <c r="A5405" t="s">
        <v>8</v>
      </c>
      <c r="B5405" t="s">
        <v>15362</v>
      </c>
      <c r="C5405" t="s">
        <v>15363</v>
      </c>
      <c r="D5405">
        <v>1</v>
      </c>
      <c r="E5405" t="s">
        <v>15305</v>
      </c>
      <c r="F5405" t="s">
        <v>15306</v>
      </c>
      <c r="G5405" s="1"/>
      <c r="H5405" t="str">
        <f>"3250617190527"</f>
        <v>3250617190527</v>
      </c>
      <c r="J5405" t="s">
        <v>15364</v>
      </c>
    </row>
    <row r="5406" spans="1:10" x14ac:dyDescent="0.25">
      <c r="A5406" t="s">
        <v>8</v>
      </c>
      <c r="B5406" t="s">
        <v>15365</v>
      </c>
      <c r="C5406" t="s">
        <v>15366</v>
      </c>
      <c r="D5406">
        <v>1</v>
      </c>
      <c r="E5406" t="s">
        <v>15305</v>
      </c>
      <c r="F5406" t="s">
        <v>15306</v>
      </c>
      <c r="G5406" s="1"/>
      <c r="H5406" t="str">
        <f>"3250617192859"</f>
        <v>3250617192859</v>
      </c>
      <c r="J5406" t="s">
        <v>15364</v>
      </c>
    </row>
    <row r="5407" spans="1:10" x14ac:dyDescent="0.25">
      <c r="A5407" t="s">
        <v>8</v>
      </c>
      <c r="B5407" t="s">
        <v>15367</v>
      </c>
      <c r="C5407" t="s">
        <v>15368</v>
      </c>
      <c r="D5407">
        <v>1</v>
      </c>
      <c r="E5407" t="s">
        <v>15305</v>
      </c>
      <c r="F5407" t="s">
        <v>15306</v>
      </c>
      <c r="G5407" s="1"/>
      <c r="H5407" t="str">
        <f>"3250617060295"</f>
        <v>3250617060295</v>
      </c>
      <c r="J5407" t="s">
        <v>15369</v>
      </c>
    </row>
    <row r="5408" spans="1:10" x14ac:dyDescent="0.25">
      <c r="A5408" t="s">
        <v>8</v>
      </c>
      <c r="B5408" t="s">
        <v>15370</v>
      </c>
      <c r="C5408" t="s">
        <v>15371</v>
      </c>
      <c r="D5408">
        <v>1</v>
      </c>
      <c r="E5408" t="s">
        <v>15305</v>
      </c>
      <c r="F5408" t="s">
        <v>15306</v>
      </c>
      <c r="G5408" s="1"/>
      <c r="H5408" t="str">
        <f>"3250617060301"</f>
        <v>3250617060301</v>
      </c>
      <c r="J5408" t="s">
        <v>15372</v>
      </c>
    </row>
    <row r="5409" spans="1:10" x14ac:dyDescent="0.25">
      <c r="A5409" t="s">
        <v>8</v>
      </c>
      <c r="B5409" t="s">
        <v>15373</v>
      </c>
      <c r="C5409" t="s">
        <v>15374</v>
      </c>
      <c r="D5409">
        <v>1</v>
      </c>
      <c r="E5409" t="s">
        <v>15305</v>
      </c>
      <c r="F5409" t="s">
        <v>15306</v>
      </c>
      <c r="G5409" s="1"/>
      <c r="H5409" t="str">
        <f>"3250617060318"</f>
        <v>3250617060318</v>
      </c>
      <c r="J5409" t="s">
        <v>15375</v>
      </c>
    </row>
    <row r="5410" spans="1:10" x14ac:dyDescent="0.25">
      <c r="A5410" t="s">
        <v>8</v>
      </c>
      <c r="B5410" t="s">
        <v>15376</v>
      </c>
      <c r="C5410" t="s">
        <v>15377</v>
      </c>
      <c r="D5410">
        <v>1</v>
      </c>
      <c r="E5410" t="s">
        <v>15378</v>
      </c>
      <c r="F5410" t="s">
        <v>15379</v>
      </c>
      <c r="G5410" s="1"/>
      <c r="H5410" t="str">
        <f>"3250617198004"</f>
        <v>3250617198004</v>
      </c>
      <c r="J5410" t="s">
        <v>15380</v>
      </c>
    </row>
    <row r="5411" spans="1:10" x14ac:dyDescent="0.25">
      <c r="A5411" t="s">
        <v>8</v>
      </c>
      <c r="B5411" t="s">
        <v>15381</v>
      </c>
      <c r="C5411" t="s">
        <v>15382</v>
      </c>
      <c r="D5411">
        <v>1</v>
      </c>
      <c r="E5411" t="s">
        <v>15378</v>
      </c>
      <c r="F5411" t="s">
        <v>15379</v>
      </c>
      <c r="G5411" s="1"/>
      <c r="H5411" t="str">
        <f>"3250617195607"</f>
        <v>3250617195607</v>
      </c>
      <c r="J5411" t="s">
        <v>15380</v>
      </c>
    </row>
    <row r="5412" spans="1:10" x14ac:dyDescent="0.25">
      <c r="A5412" t="s">
        <v>8</v>
      </c>
      <c r="B5412" t="s">
        <v>15383</v>
      </c>
      <c r="C5412" t="s">
        <v>15384</v>
      </c>
      <c r="D5412">
        <v>1</v>
      </c>
      <c r="E5412" t="s">
        <v>15378</v>
      </c>
      <c r="F5412" t="s">
        <v>15379</v>
      </c>
      <c r="G5412" s="1"/>
      <c r="H5412" t="str">
        <f>"3250617195614"</f>
        <v>3250617195614</v>
      </c>
      <c r="J5412" t="s">
        <v>15385</v>
      </c>
    </row>
    <row r="5413" spans="1:10" x14ac:dyDescent="0.25">
      <c r="A5413" t="s">
        <v>8</v>
      </c>
      <c r="B5413" t="s">
        <v>15386</v>
      </c>
      <c r="C5413" t="s">
        <v>15387</v>
      </c>
      <c r="D5413">
        <v>1</v>
      </c>
      <c r="E5413" t="s">
        <v>15378</v>
      </c>
      <c r="F5413" t="s">
        <v>15379</v>
      </c>
      <c r="G5413" s="1"/>
      <c r="H5413" t="str">
        <f>"3250617195621"</f>
        <v>3250617195621</v>
      </c>
      <c r="J5413" t="s">
        <v>15385</v>
      </c>
    </row>
    <row r="5414" spans="1:10" x14ac:dyDescent="0.25">
      <c r="A5414" t="s">
        <v>8</v>
      </c>
      <c r="B5414" t="s">
        <v>15388</v>
      </c>
      <c r="C5414" t="s">
        <v>15389</v>
      </c>
      <c r="D5414">
        <v>1</v>
      </c>
      <c r="E5414" t="s">
        <v>15378</v>
      </c>
      <c r="F5414" t="s">
        <v>15379</v>
      </c>
      <c r="G5414" s="1"/>
      <c r="H5414" t="str">
        <f>"3250617198011"</f>
        <v>3250617198011</v>
      </c>
      <c r="J5414" t="s">
        <v>15390</v>
      </c>
    </row>
    <row r="5415" spans="1:10" x14ac:dyDescent="0.25">
      <c r="A5415" t="s">
        <v>8</v>
      </c>
      <c r="B5415" t="s">
        <v>15391</v>
      </c>
      <c r="C5415" t="s">
        <v>15392</v>
      </c>
      <c r="D5415">
        <v>1</v>
      </c>
      <c r="E5415" t="s">
        <v>15378</v>
      </c>
      <c r="F5415" t="s">
        <v>15379</v>
      </c>
      <c r="G5415" s="1"/>
      <c r="H5415" t="str">
        <f>"3250617195638"</f>
        <v>3250617195638</v>
      </c>
      <c r="J5415" t="s">
        <v>15390</v>
      </c>
    </row>
    <row r="5416" spans="1:10" x14ac:dyDescent="0.25">
      <c r="A5416" t="s">
        <v>8</v>
      </c>
      <c r="B5416" t="s">
        <v>15393</v>
      </c>
      <c r="C5416" t="s">
        <v>15394</v>
      </c>
      <c r="D5416">
        <v>1</v>
      </c>
      <c r="E5416" t="s">
        <v>15378</v>
      </c>
      <c r="F5416" t="s">
        <v>15379</v>
      </c>
      <c r="G5416" s="1"/>
      <c r="H5416" t="str">
        <f>"3250617195645"</f>
        <v>3250617195645</v>
      </c>
      <c r="J5416" t="s">
        <v>15395</v>
      </c>
    </row>
    <row r="5417" spans="1:10" x14ac:dyDescent="0.25">
      <c r="A5417" t="s">
        <v>8</v>
      </c>
      <c r="B5417" t="s">
        <v>15396</v>
      </c>
      <c r="C5417" t="s">
        <v>15397</v>
      </c>
      <c r="D5417">
        <v>1</v>
      </c>
      <c r="E5417" t="s">
        <v>15378</v>
      </c>
      <c r="F5417" t="s">
        <v>15379</v>
      </c>
      <c r="G5417" s="1"/>
      <c r="H5417" t="str">
        <f>"3250617195652"</f>
        <v>3250617195652</v>
      </c>
      <c r="J5417" t="s">
        <v>15395</v>
      </c>
    </row>
    <row r="5418" spans="1:10" x14ac:dyDescent="0.25">
      <c r="A5418" t="s">
        <v>8</v>
      </c>
      <c r="B5418" t="s">
        <v>15398</v>
      </c>
      <c r="C5418" t="s">
        <v>15399</v>
      </c>
      <c r="D5418">
        <v>1</v>
      </c>
      <c r="E5418" t="s">
        <v>15378</v>
      </c>
      <c r="F5418" t="s">
        <v>15379</v>
      </c>
      <c r="G5418" s="1"/>
      <c r="H5418" t="str">
        <f>"3250617198028"</f>
        <v>3250617198028</v>
      </c>
      <c r="J5418" t="s">
        <v>15400</v>
      </c>
    </row>
    <row r="5419" spans="1:10" x14ac:dyDescent="0.25">
      <c r="A5419" t="s">
        <v>8</v>
      </c>
      <c r="B5419" t="s">
        <v>15401</v>
      </c>
      <c r="C5419" t="s">
        <v>15402</v>
      </c>
      <c r="D5419">
        <v>1</v>
      </c>
      <c r="E5419" t="s">
        <v>15378</v>
      </c>
      <c r="F5419" t="s">
        <v>15379</v>
      </c>
      <c r="G5419" s="1"/>
      <c r="H5419" t="str">
        <f>"3250617195669"</f>
        <v>3250617195669</v>
      </c>
      <c r="J5419" t="s">
        <v>15400</v>
      </c>
    </row>
    <row r="5420" spans="1:10" x14ac:dyDescent="0.25">
      <c r="A5420" t="s">
        <v>8</v>
      </c>
      <c r="B5420" t="s">
        <v>15403</v>
      </c>
      <c r="C5420" t="s">
        <v>15404</v>
      </c>
      <c r="D5420">
        <v>1</v>
      </c>
      <c r="E5420" t="s">
        <v>15378</v>
      </c>
      <c r="F5420" t="s">
        <v>15379</v>
      </c>
      <c r="G5420" s="1"/>
      <c r="H5420" t="str">
        <f>"3250617195676"</f>
        <v>3250617195676</v>
      </c>
      <c r="J5420" t="s">
        <v>15405</v>
      </c>
    </row>
    <row r="5421" spans="1:10" x14ac:dyDescent="0.25">
      <c r="A5421" t="s">
        <v>8</v>
      </c>
      <c r="B5421" t="s">
        <v>15406</v>
      </c>
      <c r="C5421" t="s">
        <v>15407</v>
      </c>
      <c r="D5421">
        <v>1</v>
      </c>
      <c r="E5421" t="s">
        <v>15378</v>
      </c>
      <c r="F5421" t="s">
        <v>15379</v>
      </c>
      <c r="G5421" s="1"/>
      <c r="H5421" t="str">
        <f>"3250617195683"</f>
        <v>3250617195683</v>
      </c>
      <c r="J5421" t="s">
        <v>15405</v>
      </c>
    </row>
    <row r="5422" spans="1:10" x14ac:dyDescent="0.25">
      <c r="A5422" t="s">
        <v>8</v>
      </c>
      <c r="B5422" t="s">
        <v>15408</v>
      </c>
      <c r="C5422" t="s">
        <v>15409</v>
      </c>
      <c r="D5422">
        <v>1</v>
      </c>
      <c r="E5422" t="s">
        <v>15378</v>
      </c>
      <c r="F5422" t="s">
        <v>15379</v>
      </c>
      <c r="G5422" s="1"/>
      <c r="H5422" t="str">
        <f>"3250617198035"</f>
        <v>3250617198035</v>
      </c>
      <c r="J5422" t="s">
        <v>15410</v>
      </c>
    </row>
    <row r="5423" spans="1:10" x14ac:dyDescent="0.25">
      <c r="A5423" t="s">
        <v>8</v>
      </c>
      <c r="B5423" t="s">
        <v>15411</v>
      </c>
      <c r="C5423" t="s">
        <v>15412</v>
      </c>
      <c r="D5423">
        <v>1</v>
      </c>
      <c r="E5423" t="s">
        <v>15378</v>
      </c>
      <c r="F5423" t="s">
        <v>15379</v>
      </c>
      <c r="G5423" s="1"/>
      <c r="H5423" t="str">
        <f>"3250617195690"</f>
        <v>3250617195690</v>
      </c>
      <c r="J5423" t="s">
        <v>15410</v>
      </c>
    </row>
    <row r="5424" spans="1:10" x14ac:dyDescent="0.25">
      <c r="A5424" t="s">
        <v>8</v>
      </c>
      <c r="B5424" t="s">
        <v>15413</v>
      </c>
      <c r="C5424" t="s">
        <v>15414</v>
      </c>
      <c r="D5424">
        <v>1</v>
      </c>
      <c r="E5424" t="s">
        <v>15378</v>
      </c>
      <c r="F5424" t="s">
        <v>15379</v>
      </c>
      <c r="G5424" s="1"/>
      <c r="H5424" t="str">
        <f>"3250617195706"</f>
        <v>3250617195706</v>
      </c>
      <c r="J5424" t="s">
        <v>15415</v>
      </c>
    </row>
    <row r="5425" spans="1:10" x14ac:dyDescent="0.25">
      <c r="A5425" t="s">
        <v>8</v>
      </c>
      <c r="B5425" t="s">
        <v>15416</v>
      </c>
      <c r="C5425" t="s">
        <v>15417</v>
      </c>
      <c r="D5425">
        <v>1</v>
      </c>
      <c r="E5425" t="s">
        <v>15378</v>
      </c>
      <c r="F5425" t="s">
        <v>15379</v>
      </c>
      <c r="G5425" s="1"/>
      <c r="H5425" t="str">
        <f>"3250617195713"</f>
        <v>3250617195713</v>
      </c>
      <c r="J5425" t="s">
        <v>15415</v>
      </c>
    </row>
    <row r="5426" spans="1:10" x14ac:dyDescent="0.25">
      <c r="A5426" t="s">
        <v>8</v>
      </c>
      <c r="B5426" t="s">
        <v>15418</v>
      </c>
      <c r="C5426" t="s">
        <v>15419</v>
      </c>
      <c r="D5426">
        <v>1</v>
      </c>
      <c r="E5426" t="s">
        <v>15378</v>
      </c>
      <c r="F5426" t="s">
        <v>15379</v>
      </c>
      <c r="G5426" s="1"/>
      <c r="H5426" t="str">
        <f>"3250617198042"</f>
        <v>3250617198042</v>
      </c>
      <c r="J5426" t="s">
        <v>15420</v>
      </c>
    </row>
    <row r="5427" spans="1:10" x14ac:dyDescent="0.25">
      <c r="A5427" t="s">
        <v>8</v>
      </c>
      <c r="B5427" t="s">
        <v>15421</v>
      </c>
      <c r="C5427" t="s">
        <v>15422</v>
      </c>
      <c r="D5427">
        <v>1</v>
      </c>
      <c r="E5427" t="s">
        <v>15378</v>
      </c>
      <c r="F5427" t="s">
        <v>15379</v>
      </c>
      <c r="G5427" s="1"/>
      <c r="H5427" t="str">
        <f>"3250617195720"</f>
        <v>3250617195720</v>
      </c>
      <c r="J5427" t="s">
        <v>15420</v>
      </c>
    </row>
    <row r="5428" spans="1:10" x14ac:dyDescent="0.25">
      <c r="A5428" t="s">
        <v>8</v>
      </c>
      <c r="B5428" t="s">
        <v>15423</v>
      </c>
      <c r="C5428" t="s">
        <v>15424</v>
      </c>
      <c r="D5428">
        <v>1</v>
      </c>
      <c r="E5428" t="s">
        <v>15378</v>
      </c>
      <c r="F5428" t="s">
        <v>15379</v>
      </c>
      <c r="G5428" s="1"/>
      <c r="H5428" t="str">
        <f>"3250617195737"</f>
        <v>3250617195737</v>
      </c>
      <c r="J5428" t="s">
        <v>7437</v>
      </c>
    </row>
    <row r="5429" spans="1:10" x14ac:dyDescent="0.25">
      <c r="A5429" t="s">
        <v>8</v>
      </c>
      <c r="B5429" t="s">
        <v>15425</v>
      </c>
      <c r="C5429" t="s">
        <v>15426</v>
      </c>
      <c r="D5429">
        <v>1</v>
      </c>
      <c r="E5429" t="s">
        <v>15378</v>
      </c>
      <c r="F5429" t="s">
        <v>15379</v>
      </c>
      <c r="G5429" s="1"/>
      <c r="H5429" t="str">
        <f>"3250617195744"</f>
        <v>3250617195744</v>
      </c>
      <c r="J5429" t="s">
        <v>7437</v>
      </c>
    </row>
    <row r="5430" spans="1:10" x14ac:dyDescent="0.25">
      <c r="A5430" t="s">
        <v>8</v>
      </c>
      <c r="B5430" t="s">
        <v>15427</v>
      </c>
      <c r="C5430" t="s">
        <v>15428</v>
      </c>
      <c r="D5430">
        <v>1</v>
      </c>
      <c r="E5430" t="s">
        <v>15378</v>
      </c>
      <c r="F5430" t="s">
        <v>15379</v>
      </c>
      <c r="G5430" s="1"/>
      <c r="H5430" t="str">
        <f>"3250617198059"</f>
        <v>3250617198059</v>
      </c>
      <c r="J5430" t="s">
        <v>15410</v>
      </c>
    </row>
    <row r="5431" spans="1:10" x14ac:dyDescent="0.25">
      <c r="A5431" t="s">
        <v>8</v>
      </c>
      <c r="B5431" t="s">
        <v>15429</v>
      </c>
      <c r="C5431" t="s">
        <v>15430</v>
      </c>
      <c r="D5431">
        <v>1</v>
      </c>
      <c r="E5431" t="s">
        <v>15378</v>
      </c>
      <c r="F5431" t="s">
        <v>15379</v>
      </c>
      <c r="G5431" s="1"/>
      <c r="H5431" t="str">
        <f>"3250617195751"</f>
        <v>3250617195751</v>
      </c>
      <c r="J5431" t="s">
        <v>15410</v>
      </c>
    </row>
    <row r="5432" spans="1:10" x14ac:dyDescent="0.25">
      <c r="A5432" t="s">
        <v>8</v>
      </c>
      <c r="B5432" t="s">
        <v>15431</v>
      </c>
      <c r="C5432" t="s">
        <v>15432</v>
      </c>
      <c r="D5432">
        <v>1</v>
      </c>
      <c r="E5432" t="s">
        <v>15378</v>
      </c>
      <c r="F5432" t="s">
        <v>15379</v>
      </c>
      <c r="G5432" s="1"/>
      <c r="H5432" t="str">
        <f>"3250617195768"</f>
        <v>3250617195768</v>
      </c>
      <c r="J5432" t="s">
        <v>15415</v>
      </c>
    </row>
    <row r="5433" spans="1:10" x14ac:dyDescent="0.25">
      <c r="A5433" t="s">
        <v>8</v>
      </c>
      <c r="B5433" t="s">
        <v>15433</v>
      </c>
      <c r="C5433" t="s">
        <v>15434</v>
      </c>
      <c r="D5433">
        <v>1</v>
      </c>
      <c r="E5433" t="s">
        <v>15378</v>
      </c>
      <c r="F5433" t="s">
        <v>15379</v>
      </c>
      <c r="G5433" s="1"/>
      <c r="H5433" t="str">
        <f>"3250617195775"</f>
        <v>3250617195775</v>
      </c>
      <c r="J5433" t="s">
        <v>15415</v>
      </c>
    </row>
    <row r="5434" spans="1:10" x14ac:dyDescent="0.25">
      <c r="A5434" t="s">
        <v>8</v>
      </c>
      <c r="B5434" t="s">
        <v>15435</v>
      </c>
      <c r="C5434" t="s">
        <v>15436</v>
      </c>
      <c r="D5434">
        <v>1</v>
      </c>
      <c r="E5434" t="s">
        <v>15378</v>
      </c>
      <c r="F5434" t="s">
        <v>15379</v>
      </c>
      <c r="G5434" s="1"/>
      <c r="H5434" t="str">
        <f>"3250617198103"</f>
        <v>3250617198103</v>
      </c>
      <c r="J5434" t="s">
        <v>15438</v>
      </c>
    </row>
    <row r="5435" spans="1:10" x14ac:dyDescent="0.25">
      <c r="A5435" t="s">
        <v>8</v>
      </c>
      <c r="B5435" t="s">
        <v>15439</v>
      </c>
      <c r="C5435" t="s">
        <v>15440</v>
      </c>
      <c r="D5435">
        <v>1</v>
      </c>
      <c r="E5435" t="s">
        <v>15378</v>
      </c>
      <c r="F5435" t="s">
        <v>15379</v>
      </c>
      <c r="G5435" s="1"/>
      <c r="H5435" t="str">
        <f>"3250617195782"</f>
        <v>3250617195782</v>
      </c>
      <c r="J5435" t="s">
        <v>15438</v>
      </c>
    </row>
    <row r="5436" spans="1:10" x14ac:dyDescent="0.25">
      <c r="A5436" t="s">
        <v>8</v>
      </c>
      <c r="B5436" t="s">
        <v>15441</v>
      </c>
      <c r="C5436" t="s">
        <v>15442</v>
      </c>
      <c r="D5436">
        <v>1</v>
      </c>
      <c r="E5436" t="s">
        <v>15378</v>
      </c>
      <c r="F5436" t="s">
        <v>15379</v>
      </c>
      <c r="G5436" s="1"/>
      <c r="H5436" t="str">
        <f>"3250617195799"</f>
        <v>3250617195799</v>
      </c>
      <c r="J5436" t="s">
        <v>15443</v>
      </c>
    </row>
    <row r="5437" spans="1:10" x14ac:dyDescent="0.25">
      <c r="A5437" t="s">
        <v>8</v>
      </c>
      <c r="B5437" t="s">
        <v>15444</v>
      </c>
      <c r="C5437" t="s">
        <v>15445</v>
      </c>
      <c r="D5437">
        <v>1</v>
      </c>
      <c r="E5437" t="s">
        <v>15378</v>
      </c>
      <c r="F5437" t="s">
        <v>15379</v>
      </c>
      <c r="G5437" s="1"/>
      <c r="H5437" t="str">
        <f>"3250617195805"</f>
        <v>3250617195805</v>
      </c>
      <c r="J5437" t="s">
        <v>15443</v>
      </c>
    </row>
    <row r="5438" spans="1:10" x14ac:dyDescent="0.25">
      <c r="A5438" t="s">
        <v>8</v>
      </c>
      <c r="B5438" t="s">
        <v>15446</v>
      </c>
      <c r="C5438" t="s">
        <v>15447</v>
      </c>
      <c r="D5438">
        <v>1</v>
      </c>
      <c r="E5438" t="s">
        <v>15378</v>
      </c>
      <c r="F5438" t="s">
        <v>15379</v>
      </c>
      <c r="G5438" s="1"/>
      <c r="H5438" t="str">
        <f>"3250617198110"</f>
        <v>3250617198110</v>
      </c>
      <c r="J5438" t="s">
        <v>15448</v>
      </c>
    </row>
    <row r="5439" spans="1:10" x14ac:dyDescent="0.25">
      <c r="A5439" t="s">
        <v>8</v>
      </c>
      <c r="B5439" t="s">
        <v>15449</v>
      </c>
      <c r="C5439" t="s">
        <v>15450</v>
      </c>
      <c r="D5439">
        <v>1</v>
      </c>
      <c r="E5439" t="s">
        <v>15378</v>
      </c>
      <c r="F5439" t="s">
        <v>15379</v>
      </c>
      <c r="G5439" s="1"/>
      <c r="H5439" t="str">
        <f>"3250617195812"</f>
        <v>3250617195812</v>
      </c>
      <c r="J5439" t="s">
        <v>15448</v>
      </c>
    </row>
    <row r="5440" spans="1:10" x14ac:dyDescent="0.25">
      <c r="A5440" t="s">
        <v>8</v>
      </c>
      <c r="B5440" t="s">
        <v>15451</v>
      </c>
      <c r="C5440" t="s">
        <v>15452</v>
      </c>
      <c r="D5440">
        <v>1</v>
      </c>
      <c r="E5440" t="s">
        <v>15378</v>
      </c>
      <c r="F5440" t="s">
        <v>15379</v>
      </c>
      <c r="G5440" s="1"/>
      <c r="H5440" t="str">
        <f>"3250617195829"</f>
        <v>3250617195829</v>
      </c>
      <c r="J5440" t="s">
        <v>15453</v>
      </c>
    </row>
    <row r="5441" spans="1:10" x14ac:dyDescent="0.25">
      <c r="A5441" t="s">
        <v>8</v>
      </c>
      <c r="B5441" t="s">
        <v>15454</v>
      </c>
      <c r="C5441" t="s">
        <v>15455</v>
      </c>
      <c r="D5441">
        <v>1</v>
      </c>
      <c r="E5441" t="s">
        <v>15378</v>
      </c>
      <c r="F5441" t="s">
        <v>15379</v>
      </c>
      <c r="G5441" s="1"/>
      <c r="H5441" t="str">
        <f>"3250617195836"</f>
        <v>3250617195836</v>
      </c>
      <c r="J5441" t="s">
        <v>15453</v>
      </c>
    </row>
    <row r="5442" spans="1:10" x14ac:dyDescent="0.25">
      <c r="A5442" t="s">
        <v>8</v>
      </c>
      <c r="B5442" t="s">
        <v>15456</v>
      </c>
      <c r="C5442" t="s">
        <v>15457</v>
      </c>
      <c r="D5442">
        <v>1</v>
      </c>
      <c r="E5442" t="s">
        <v>15378</v>
      </c>
      <c r="F5442" t="s">
        <v>15379</v>
      </c>
      <c r="G5442" s="1"/>
      <c r="H5442" t="str">
        <f>"3250617198127"</f>
        <v>3250617198127</v>
      </c>
      <c r="J5442" t="s">
        <v>7437</v>
      </c>
    </row>
    <row r="5443" spans="1:10" x14ac:dyDescent="0.25">
      <c r="A5443" t="s">
        <v>8</v>
      </c>
      <c r="B5443" t="s">
        <v>15458</v>
      </c>
      <c r="C5443" t="s">
        <v>15459</v>
      </c>
      <c r="D5443">
        <v>1</v>
      </c>
      <c r="E5443" t="s">
        <v>15378</v>
      </c>
      <c r="F5443" t="s">
        <v>15379</v>
      </c>
      <c r="G5443" s="1"/>
      <c r="H5443" t="str">
        <f>"3250617195843"</f>
        <v>3250617195843</v>
      </c>
      <c r="J5443" t="s">
        <v>7437</v>
      </c>
    </row>
    <row r="5444" spans="1:10" x14ac:dyDescent="0.25">
      <c r="A5444" t="s">
        <v>8</v>
      </c>
      <c r="B5444" t="s">
        <v>15460</v>
      </c>
      <c r="C5444" t="s">
        <v>15461</v>
      </c>
      <c r="D5444">
        <v>1</v>
      </c>
      <c r="E5444" t="s">
        <v>15378</v>
      </c>
      <c r="F5444" t="s">
        <v>15379</v>
      </c>
      <c r="G5444" s="1"/>
      <c r="H5444" t="str">
        <f>"3250617195850"</f>
        <v>3250617195850</v>
      </c>
      <c r="J5444" t="s">
        <v>15462</v>
      </c>
    </row>
    <row r="5445" spans="1:10" x14ac:dyDescent="0.25">
      <c r="A5445" t="s">
        <v>8</v>
      </c>
      <c r="B5445" t="s">
        <v>15463</v>
      </c>
      <c r="C5445" t="s">
        <v>15464</v>
      </c>
      <c r="D5445">
        <v>1</v>
      </c>
      <c r="E5445" t="s">
        <v>15378</v>
      </c>
      <c r="F5445" t="s">
        <v>15379</v>
      </c>
      <c r="G5445" s="1"/>
      <c r="H5445" t="str">
        <f>"3250617195867"</f>
        <v>3250617195867</v>
      </c>
      <c r="J5445" t="s">
        <v>15462</v>
      </c>
    </row>
    <row r="5446" spans="1:10" x14ac:dyDescent="0.25">
      <c r="A5446" t="s">
        <v>8</v>
      </c>
      <c r="B5446" t="s">
        <v>15465</v>
      </c>
      <c r="C5446" t="s">
        <v>15466</v>
      </c>
      <c r="D5446">
        <v>1</v>
      </c>
      <c r="E5446" t="s">
        <v>15378</v>
      </c>
      <c r="F5446" t="s">
        <v>15379</v>
      </c>
      <c r="G5446" s="1"/>
      <c r="H5446" t="str">
        <f>"3250617198134"</f>
        <v>3250617198134</v>
      </c>
      <c r="J5446" t="s">
        <v>15467</v>
      </c>
    </row>
    <row r="5447" spans="1:10" x14ac:dyDescent="0.25">
      <c r="A5447" t="s">
        <v>8</v>
      </c>
      <c r="B5447" t="s">
        <v>15468</v>
      </c>
      <c r="C5447" t="s">
        <v>15469</v>
      </c>
      <c r="D5447">
        <v>1</v>
      </c>
      <c r="E5447" t="s">
        <v>15378</v>
      </c>
      <c r="F5447" t="s">
        <v>15379</v>
      </c>
      <c r="G5447" s="1"/>
      <c r="H5447" t="str">
        <f>"3250617195874"</f>
        <v>3250617195874</v>
      </c>
      <c r="J5447" t="s">
        <v>15467</v>
      </c>
    </row>
    <row r="5448" spans="1:10" x14ac:dyDescent="0.25">
      <c r="A5448" t="s">
        <v>8</v>
      </c>
      <c r="B5448" t="s">
        <v>15470</v>
      </c>
      <c r="C5448" t="s">
        <v>15471</v>
      </c>
      <c r="D5448">
        <v>1</v>
      </c>
      <c r="E5448" t="s">
        <v>15378</v>
      </c>
      <c r="F5448" t="s">
        <v>15379</v>
      </c>
      <c r="G5448" s="1"/>
      <c r="H5448" t="str">
        <f>"3250617195881"</f>
        <v>3250617195881</v>
      </c>
      <c r="J5448" t="s">
        <v>11505</v>
      </c>
    </row>
    <row r="5449" spans="1:10" x14ac:dyDescent="0.25">
      <c r="A5449" t="s">
        <v>8</v>
      </c>
      <c r="B5449" t="s">
        <v>15472</v>
      </c>
      <c r="C5449" t="s">
        <v>15473</v>
      </c>
      <c r="D5449">
        <v>1</v>
      </c>
      <c r="E5449" t="s">
        <v>15378</v>
      </c>
      <c r="F5449" t="s">
        <v>15379</v>
      </c>
      <c r="G5449" s="1"/>
      <c r="H5449" t="str">
        <f>"3250617195898"</f>
        <v>3250617195898</v>
      </c>
      <c r="J5449" t="s">
        <v>11505</v>
      </c>
    </row>
    <row r="5450" spans="1:10" x14ac:dyDescent="0.25">
      <c r="A5450" t="s">
        <v>8</v>
      </c>
      <c r="B5450" t="s">
        <v>15474</v>
      </c>
      <c r="C5450" t="s">
        <v>15475</v>
      </c>
      <c r="D5450">
        <v>1</v>
      </c>
      <c r="E5450" t="s">
        <v>15378</v>
      </c>
      <c r="F5450" t="s">
        <v>15379</v>
      </c>
      <c r="G5450" s="1"/>
      <c r="H5450" t="str">
        <f>"3250617195126"</f>
        <v>3250617195126</v>
      </c>
      <c r="J5450" t="s">
        <v>15410</v>
      </c>
    </row>
    <row r="5451" spans="1:10" x14ac:dyDescent="0.25">
      <c r="A5451" t="s">
        <v>8</v>
      </c>
      <c r="B5451" t="s">
        <v>15476</v>
      </c>
      <c r="C5451" t="s">
        <v>15477</v>
      </c>
      <c r="D5451">
        <v>1</v>
      </c>
      <c r="E5451" t="s">
        <v>15378</v>
      </c>
      <c r="F5451" t="s">
        <v>15379</v>
      </c>
      <c r="G5451" s="1"/>
      <c r="H5451" t="str">
        <f>"3250617196055"</f>
        <v>3250617196055</v>
      </c>
      <c r="J5451" t="s">
        <v>15410</v>
      </c>
    </row>
    <row r="5452" spans="1:10" x14ac:dyDescent="0.25">
      <c r="A5452" t="s">
        <v>8</v>
      </c>
      <c r="B5452" t="s">
        <v>15478</v>
      </c>
      <c r="C5452" t="s">
        <v>15479</v>
      </c>
      <c r="D5452">
        <v>1</v>
      </c>
      <c r="E5452" t="s">
        <v>15378</v>
      </c>
      <c r="F5452" t="s">
        <v>15379</v>
      </c>
      <c r="G5452" s="1"/>
      <c r="H5452" t="str">
        <f>"3250617196062"</f>
        <v>3250617196062</v>
      </c>
      <c r="J5452" t="s">
        <v>15480</v>
      </c>
    </row>
    <row r="5453" spans="1:10" x14ac:dyDescent="0.25">
      <c r="A5453" t="s">
        <v>8</v>
      </c>
      <c r="B5453" t="s">
        <v>15481</v>
      </c>
      <c r="C5453" t="s">
        <v>15482</v>
      </c>
      <c r="D5453">
        <v>1</v>
      </c>
      <c r="E5453" t="s">
        <v>15378</v>
      </c>
      <c r="F5453" t="s">
        <v>15379</v>
      </c>
      <c r="G5453" s="1"/>
      <c r="H5453" t="str">
        <f>"3250617196086"</f>
        <v>3250617196086</v>
      </c>
      <c r="J5453" t="s">
        <v>15480</v>
      </c>
    </row>
    <row r="5454" spans="1:10" x14ac:dyDescent="0.25">
      <c r="A5454" t="s">
        <v>8</v>
      </c>
      <c r="B5454" t="s">
        <v>15483</v>
      </c>
      <c r="C5454" t="s">
        <v>15484</v>
      </c>
      <c r="D5454">
        <v>1</v>
      </c>
      <c r="E5454" t="s">
        <v>15378</v>
      </c>
      <c r="F5454" t="s">
        <v>15379</v>
      </c>
      <c r="G5454" s="1"/>
      <c r="H5454" t="str">
        <f>"3250617196987"</f>
        <v>3250617196987</v>
      </c>
      <c r="J5454" t="s">
        <v>15400</v>
      </c>
    </row>
    <row r="5455" spans="1:10" x14ac:dyDescent="0.25">
      <c r="A5455" t="s">
        <v>8</v>
      </c>
      <c r="B5455" t="s">
        <v>15485</v>
      </c>
      <c r="C5455" t="s">
        <v>15486</v>
      </c>
      <c r="D5455">
        <v>1</v>
      </c>
      <c r="E5455" t="s">
        <v>15378</v>
      </c>
      <c r="F5455" t="s">
        <v>15379</v>
      </c>
      <c r="G5455" s="1"/>
      <c r="H5455" t="str">
        <f>"3250617198073"</f>
        <v>3250617198073</v>
      </c>
      <c r="J5455" t="s">
        <v>15400</v>
      </c>
    </row>
    <row r="5456" spans="1:10" x14ac:dyDescent="0.25">
      <c r="A5456" t="s">
        <v>8</v>
      </c>
      <c r="B5456" t="s">
        <v>15487</v>
      </c>
      <c r="C5456" t="s">
        <v>15488</v>
      </c>
      <c r="D5456">
        <v>1</v>
      </c>
      <c r="E5456" t="s">
        <v>15378</v>
      </c>
      <c r="F5456" t="s">
        <v>15379</v>
      </c>
      <c r="G5456" s="1"/>
      <c r="H5456" t="str">
        <f>"3250617198066"</f>
        <v>3250617198066</v>
      </c>
      <c r="J5456" t="s">
        <v>15405</v>
      </c>
    </row>
    <row r="5457" spans="1:10" x14ac:dyDescent="0.25">
      <c r="A5457" t="s">
        <v>8</v>
      </c>
      <c r="B5457" t="s">
        <v>15489</v>
      </c>
      <c r="C5457" t="s">
        <v>15490</v>
      </c>
      <c r="D5457">
        <v>1</v>
      </c>
      <c r="E5457" t="s">
        <v>15378</v>
      </c>
      <c r="F5457" t="s">
        <v>15379</v>
      </c>
      <c r="G5457" s="1"/>
      <c r="H5457" t="str">
        <f>"3250617196994"</f>
        <v>3250617196994</v>
      </c>
      <c r="J5457" t="s">
        <v>15405</v>
      </c>
    </row>
    <row r="5458" spans="1:10" x14ac:dyDescent="0.25">
      <c r="A5458" t="s">
        <v>8</v>
      </c>
      <c r="B5458" t="s">
        <v>15491</v>
      </c>
      <c r="C5458" t="s">
        <v>15492</v>
      </c>
      <c r="D5458">
        <v>1</v>
      </c>
      <c r="E5458" t="s">
        <v>15378</v>
      </c>
      <c r="F5458" t="s">
        <v>15379</v>
      </c>
      <c r="G5458" s="1"/>
      <c r="H5458" t="str">
        <f>"3250617196079"</f>
        <v>3250617196079</v>
      </c>
      <c r="J5458" t="s">
        <v>15493</v>
      </c>
    </row>
    <row r="5459" spans="1:10" x14ac:dyDescent="0.25">
      <c r="A5459" t="s">
        <v>8</v>
      </c>
      <c r="B5459" t="s">
        <v>15494</v>
      </c>
      <c r="C5459" t="s">
        <v>15495</v>
      </c>
      <c r="D5459">
        <v>1</v>
      </c>
      <c r="E5459" t="s">
        <v>15378</v>
      </c>
      <c r="F5459" t="s">
        <v>15379</v>
      </c>
      <c r="G5459" s="1"/>
      <c r="H5459" t="str">
        <f>"3250617196758"</f>
        <v>3250617196758</v>
      </c>
      <c r="J5459" t="s">
        <v>11287</v>
      </c>
    </row>
    <row r="5460" spans="1:10" x14ac:dyDescent="0.25">
      <c r="A5460" t="s">
        <v>8</v>
      </c>
      <c r="B5460" t="s">
        <v>15496</v>
      </c>
      <c r="C5460" t="s">
        <v>15497</v>
      </c>
      <c r="D5460">
        <v>1</v>
      </c>
      <c r="E5460" t="s">
        <v>15378</v>
      </c>
      <c r="F5460" t="s">
        <v>15379</v>
      </c>
      <c r="G5460" s="1"/>
      <c r="H5460" t="str">
        <f>"3250617196772"</f>
        <v>3250617196772</v>
      </c>
      <c r="J5460" t="s">
        <v>11287</v>
      </c>
    </row>
    <row r="5461" spans="1:10" x14ac:dyDescent="0.25">
      <c r="A5461" t="s">
        <v>8</v>
      </c>
      <c r="B5461" t="s">
        <v>15498</v>
      </c>
      <c r="C5461" t="s">
        <v>15499</v>
      </c>
      <c r="D5461">
        <v>1</v>
      </c>
      <c r="E5461" t="s">
        <v>15378</v>
      </c>
      <c r="F5461" t="s">
        <v>15379</v>
      </c>
      <c r="G5461" s="1"/>
      <c r="H5461" t="str">
        <f>"3250617196789"</f>
        <v>3250617196789</v>
      </c>
      <c r="J5461" t="s">
        <v>15500</v>
      </c>
    </row>
    <row r="5462" spans="1:10" x14ac:dyDescent="0.25">
      <c r="A5462" t="s">
        <v>8</v>
      </c>
      <c r="B5462" t="s">
        <v>15501</v>
      </c>
      <c r="C5462" t="s">
        <v>15502</v>
      </c>
      <c r="D5462">
        <v>1</v>
      </c>
      <c r="E5462" t="s">
        <v>15378</v>
      </c>
      <c r="F5462" t="s">
        <v>15379</v>
      </c>
      <c r="G5462" s="1"/>
      <c r="H5462" t="str">
        <f>"3250617196802"</f>
        <v>3250617196802</v>
      </c>
      <c r="J5462" t="s">
        <v>15503</v>
      </c>
    </row>
    <row r="5463" spans="1:10" x14ac:dyDescent="0.25">
      <c r="A5463" t="s">
        <v>8</v>
      </c>
      <c r="B5463" t="s">
        <v>15504</v>
      </c>
      <c r="C5463" t="s">
        <v>15505</v>
      </c>
      <c r="D5463">
        <v>1</v>
      </c>
      <c r="E5463" t="s">
        <v>15378</v>
      </c>
      <c r="F5463" t="s">
        <v>15379</v>
      </c>
      <c r="G5463" s="1"/>
      <c r="H5463" t="str">
        <f>"3250617196857"</f>
        <v>3250617196857</v>
      </c>
      <c r="J5463" t="s">
        <v>15503</v>
      </c>
    </row>
    <row r="5464" spans="1:10" x14ac:dyDescent="0.25">
      <c r="A5464" t="s">
        <v>8</v>
      </c>
      <c r="B5464" t="s">
        <v>15506</v>
      </c>
      <c r="C5464" t="s">
        <v>15507</v>
      </c>
      <c r="D5464">
        <v>1</v>
      </c>
      <c r="E5464" t="s">
        <v>15378</v>
      </c>
      <c r="F5464" t="s">
        <v>15379</v>
      </c>
      <c r="G5464" s="1"/>
      <c r="H5464" t="str">
        <f>"3250617197007"</f>
        <v>3250617197007</v>
      </c>
      <c r="J5464" t="s">
        <v>15508</v>
      </c>
    </row>
    <row r="5465" spans="1:10" x14ac:dyDescent="0.25">
      <c r="A5465" t="s">
        <v>8</v>
      </c>
      <c r="B5465" t="s">
        <v>15509</v>
      </c>
      <c r="C5465" t="s">
        <v>15510</v>
      </c>
      <c r="D5465">
        <v>1</v>
      </c>
      <c r="E5465" t="s">
        <v>15378</v>
      </c>
      <c r="F5465" t="s">
        <v>15379</v>
      </c>
      <c r="G5465" s="1"/>
      <c r="H5465" t="str">
        <f>"3250617195409"</f>
        <v>3250617195409</v>
      </c>
      <c r="J5465" t="s">
        <v>15508</v>
      </c>
    </row>
    <row r="5466" spans="1:10" x14ac:dyDescent="0.25">
      <c r="A5466" t="s">
        <v>8</v>
      </c>
      <c r="B5466" t="s">
        <v>15511</v>
      </c>
      <c r="C5466" t="s">
        <v>15512</v>
      </c>
      <c r="D5466">
        <v>1</v>
      </c>
      <c r="E5466" t="s">
        <v>15378</v>
      </c>
      <c r="F5466" t="s">
        <v>15379</v>
      </c>
      <c r="G5466" s="1"/>
      <c r="H5466" t="str">
        <f>"3250617195416"</f>
        <v>3250617195416</v>
      </c>
      <c r="J5466" t="s">
        <v>15513</v>
      </c>
    </row>
    <row r="5467" spans="1:10" x14ac:dyDescent="0.25">
      <c r="A5467" t="s">
        <v>8</v>
      </c>
      <c r="B5467" t="s">
        <v>15514</v>
      </c>
      <c r="C5467" t="s">
        <v>15515</v>
      </c>
      <c r="D5467">
        <v>1</v>
      </c>
      <c r="E5467" t="s">
        <v>15378</v>
      </c>
      <c r="F5467" t="s">
        <v>15379</v>
      </c>
      <c r="G5467" s="1"/>
      <c r="H5467" t="str">
        <f>"3250617195423"</f>
        <v>3250617195423</v>
      </c>
      <c r="J5467" t="s">
        <v>15513</v>
      </c>
    </row>
    <row r="5468" spans="1:10" x14ac:dyDescent="0.25">
      <c r="A5468" t="s">
        <v>8</v>
      </c>
      <c r="B5468" t="s">
        <v>15516</v>
      </c>
      <c r="C5468" t="s">
        <v>15517</v>
      </c>
      <c r="D5468">
        <v>1</v>
      </c>
      <c r="E5468" t="s">
        <v>15378</v>
      </c>
      <c r="F5468" t="s">
        <v>15379</v>
      </c>
      <c r="G5468" s="1"/>
      <c r="H5468" t="str">
        <f>"3250617195430"</f>
        <v>3250617195430</v>
      </c>
      <c r="J5468" t="s">
        <v>15513</v>
      </c>
    </row>
    <row r="5469" spans="1:10" x14ac:dyDescent="0.25">
      <c r="A5469" t="s">
        <v>8</v>
      </c>
      <c r="B5469" t="s">
        <v>15518</v>
      </c>
      <c r="C5469" t="s">
        <v>15519</v>
      </c>
      <c r="D5469">
        <v>1</v>
      </c>
      <c r="E5469" t="s">
        <v>15378</v>
      </c>
      <c r="F5469" t="s">
        <v>15379</v>
      </c>
      <c r="G5469" s="1"/>
      <c r="H5469" t="str">
        <f>"3250617195447"</f>
        <v>3250617195447</v>
      </c>
      <c r="J5469" t="s">
        <v>15513</v>
      </c>
    </row>
    <row r="5470" spans="1:10" x14ac:dyDescent="0.25">
      <c r="A5470" t="s">
        <v>8</v>
      </c>
      <c r="B5470" t="s">
        <v>15520</v>
      </c>
      <c r="C5470" t="s">
        <v>15521</v>
      </c>
      <c r="D5470">
        <v>1</v>
      </c>
      <c r="E5470" t="s">
        <v>15378</v>
      </c>
      <c r="F5470" t="s">
        <v>15379</v>
      </c>
      <c r="G5470" s="1"/>
      <c r="H5470" t="str">
        <f>"3250617195454"</f>
        <v>3250617195454</v>
      </c>
      <c r="J5470" t="s">
        <v>15513</v>
      </c>
    </row>
    <row r="5471" spans="1:10" x14ac:dyDescent="0.25">
      <c r="A5471" t="s">
        <v>8</v>
      </c>
      <c r="B5471" t="s">
        <v>15522</v>
      </c>
      <c r="C5471" t="s">
        <v>15523</v>
      </c>
      <c r="D5471">
        <v>1</v>
      </c>
      <c r="E5471" t="s">
        <v>15378</v>
      </c>
      <c r="F5471" t="s">
        <v>15379</v>
      </c>
      <c r="G5471" s="1"/>
      <c r="H5471" t="str">
        <f>"3250617197014"</f>
        <v>3250617197014</v>
      </c>
      <c r="J5471" t="s">
        <v>15524</v>
      </c>
    </row>
    <row r="5472" spans="1:10" x14ac:dyDescent="0.25">
      <c r="A5472" t="s">
        <v>8</v>
      </c>
      <c r="B5472" t="s">
        <v>15525</v>
      </c>
      <c r="C5472" t="s">
        <v>15526</v>
      </c>
      <c r="D5472">
        <v>1</v>
      </c>
      <c r="E5472" t="s">
        <v>15378</v>
      </c>
      <c r="F5472" t="s">
        <v>15379</v>
      </c>
      <c r="G5472" s="1"/>
      <c r="H5472" t="str">
        <f>"3250617195461"</f>
        <v>3250617195461</v>
      </c>
      <c r="J5472" t="s">
        <v>15524</v>
      </c>
    </row>
    <row r="5473" spans="1:10" x14ac:dyDescent="0.25">
      <c r="A5473" t="s">
        <v>8</v>
      </c>
      <c r="B5473" t="s">
        <v>15527</v>
      </c>
      <c r="C5473" t="s">
        <v>15528</v>
      </c>
      <c r="D5473">
        <v>1</v>
      </c>
      <c r="E5473" t="s">
        <v>15378</v>
      </c>
      <c r="F5473" t="s">
        <v>15379</v>
      </c>
      <c r="G5473" s="1"/>
      <c r="H5473" t="str">
        <f>"3250617195478"</f>
        <v>3250617195478</v>
      </c>
      <c r="J5473" t="s">
        <v>15529</v>
      </c>
    </row>
    <row r="5474" spans="1:10" x14ac:dyDescent="0.25">
      <c r="A5474" t="s">
        <v>8</v>
      </c>
      <c r="B5474" t="s">
        <v>15530</v>
      </c>
      <c r="C5474" t="s">
        <v>15531</v>
      </c>
      <c r="D5474">
        <v>1</v>
      </c>
      <c r="E5474" t="s">
        <v>15378</v>
      </c>
      <c r="F5474" t="s">
        <v>15379</v>
      </c>
      <c r="G5474" s="1"/>
      <c r="H5474" t="str">
        <f>"3250617195485"</f>
        <v>3250617195485</v>
      </c>
      <c r="J5474" t="s">
        <v>15532</v>
      </c>
    </row>
    <row r="5475" spans="1:10" x14ac:dyDescent="0.25">
      <c r="A5475" t="s">
        <v>8</v>
      </c>
      <c r="B5475" t="s">
        <v>15533</v>
      </c>
      <c r="C5475" t="s">
        <v>15534</v>
      </c>
      <c r="D5475">
        <v>1</v>
      </c>
      <c r="E5475" t="s">
        <v>15378</v>
      </c>
      <c r="F5475" t="s">
        <v>15379</v>
      </c>
      <c r="G5475" s="1"/>
      <c r="H5475" t="str">
        <f>"3250617197021"</f>
        <v>3250617197021</v>
      </c>
      <c r="J5475" t="s">
        <v>15535</v>
      </c>
    </row>
    <row r="5476" spans="1:10" x14ac:dyDescent="0.25">
      <c r="A5476" t="s">
        <v>8</v>
      </c>
      <c r="B5476" t="s">
        <v>15536</v>
      </c>
      <c r="C5476" t="s">
        <v>15537</v>
      </c>
      <c r="D5476">
        <v>1</v>
      </c>
      <c r="E5476" t="s">
        <v>15378</v>
      </c>
      <c r="F5476" t="s">
        <v>15379</v>
      </c>
      <c r="G5476" s="1"/>
      <c r="H5476" t="str">
        <f>"3250617195492"</f>
        <v>3250617195492</v>
      </c>
      <c r="J5476" t="s">
        <v>15535</v>
      </c>
    </row>
    <row r="5477" spans="1:10" x14ac:dyDescent="0.25">
      <c r="A5477" t="s">
        <v>8</v>
      </c>
      <c r="B5477" t="s">
        <v>15538</v>
      </c>
      <c r="C5477" t="s">
        <v>15539</v>
      </c>
      <c r="D5477">
        <v>1</v>
      </c>
      <c r="E5477" t="s">
        <v>15378</v>
      </c>
      <c r="F5477" t="s">
        <v>15379</v>
      </c>
      <c r="G5477" s="1"/>
      <c r="H5477" t="str">
        <f>"3250617195508"</f>
        <v>3250617195508</v>
      </c>
      <c r="J5477" t="s">
        <v>15540</v>
      </c>
    </row>
    <row r="5478" spans="1:10" x14ac:dyDescent="0.25">
      <c r="A5478" t="s">
        <v>8</v>
      </c>
      <c r="B5478" t="s">
        <v>15541</v>
      </c>
      <c r="C5478" t="s">
        <v>15542</v>
      </c>
      <c r="D5478">
        <v>1</v>
      </c>
      <c r="E5478" t="s">
        <v>15378</v>
      </c>
      <c r="F5478" t="s">
        <v>15379</v>
      </c>
      <c r="G5478" s="1"/>
      <c r="H5478" t="str">
        <f>"3250617195515"</f>
        <v>3250617195515</v>
      </c>
      <c r="J5478" t="s">
        <v>15540</v>
      </c>
    </row>
    <row r="5479" spans="1:10" x14ac:dyDescent="0.25">
      <c r="A5479" t="s">
        <v>8</v>
      </c>
      <c r="B5479" t="s">
        <v>15543</v>
      </c>
      <c r="C5479" t="s">
        <v>15544</v>
      </c>
      <c r="D5479">
        <v>1</v>
      </c>
      <c r="E5479" t="s">
        <v>15378</v>
      </c>
      <c r="F5479" t="s">
        <v>15379</v>
      </c>
      <c r="G5479" s="1"/>
      <c r="H5479" t="str">
        <f>"3250617197038"</f>
        <v>3250617197038</v>
      </c>
      <c r="J5479" t="s">
        <v>15420</v>
      </c>
    </row>
    <row r="5480" spans="1:10" x14ac:dyDescent="0.25">
      <c r="A5480" t="s">
        <v>8</v>
      </c>
      <c r="B5480" t="s">
        <v>15545</v>
      </c>
      <c r="C5480" t="s">
        <v>15546</v>
      </c>
      <c r="D5480">
        <v>1</v>
      </c>
      <c r="E5480" t="s">
        <v>15378</v>
      </c>
      <c r="F5480" t="s">
        <v>15379</v>
      </c>
      <c r="G5480" s="1"/>
      <c r="H5480" t="str">
        <f>"3250617195522"</f>
        <v>3250617195522</v>
      </c>
      <c r="J5480" t="s">
        <v>15453</v>
      </c>
    </row>
    <row r="5481" spans="1:10" x14ac:dyDescent="0.25">
      <c r="A5481" t="s">
        <v>8</v>
      </c>
      <c r="B5481" t="s">
        <v>15547</v>
      </c>
      <c r="C5481" t="s">
        <v>15548</v>
      </c>
      <c r="D5481">
        <v>1</v>
      </c>
      <c r="E5481" t="s">
        <v>15378</v>
      </c>
      <c r="F5481" t="s">
        <v>15379</v>
      </c>
      <c r="G5481" s="1"/>
      <c r="H5481" t="str">
        <f>"3250617195539"</f>
        <v>3250617195539</v>
      </c>
      <c r="J5481" t="s">
        <v>7437</v>
      </c>
    </row>
    <row r="5482" spans="1:10" x14ac:dyDescent="0.25">
      <c r="A5482" t="s">
        <v>8</v>
      </c>
      <c r="B5482" t="s">
        <v>15549</v>
      </c>
      <c r="C5482" t="s">
        <v>15550</v>
      </c>
      <c r="D5482">
        <v>1</v>
      </c>
      <c r="E5482" t="s">
        <v>15378</v>
      </c>
      <c r="F5482" t="s">
        <v>15379</v>
      </c>
      <c r="G5482" s="1"/>
      <c r="H5482" t="str">
        <f>"3250617195546"</f>
        <v>3250617195546</v>
      </c>
      <c r="J5482" t="s">
        <v>7437</v>
      </c>
    </row>
    <row r="5483" spans="1:10" x14ac:dyDescent="0.25">
      <c r="A5483" t="s">
        <v>8</v>
      </c>
      <c r="B5483" t="s">
        <v>15551</v>
      </c>
      <c r="C5483" t="s">
        <v>15552</v>
      </c>
      <c r="D5483">
        <v>1</v>
      </c>
      <c r="E5483" t="s">
        <v>15378</v>
      </c>
      <c r="F5483" t="s">
        <v>15379</v>
      </c>
      <c r="G5483" s="1"/>
      <c r="H5483" t="str">
        <f>"3250617195560"</f>
        <v>3250617195560</v>
      </c>
      <c r="J5483" t="s">
        <v>15508</v>
      </c>
    </row>
    <row r="5484" spans="1:10" x14ac:dyDescent="0.25">
      <c r="A5484" t="s">
        <v>8</v>
      </c>
      <c r="B5484" t="s">
        <v>15553</v>
      </c>
      <c r="C5484" t="s">
        <v>15554</v>
      </c>
      <c r="D5484">
        <v>1</v>
      </c>
      <c r="E5484" t="s">
        <v>15378</v>
      </c>
      <c r="F5484" t="s">
        <v>15379</v>
      </c>
      <c r="G5484" s="1"/>
      <c r="H5484" t="str">
        <f>"3250617195577"</f>
        <v>3250617195577</v>
      </c>
      <c r="J5484" t="s">
        <v>15508</v>
      </c>
    </row>
    <row r="5485" spans="1:10" x14ac:dyDescent="0.25">
      <c r="A5485" t="s">
        <v>8</v>
      </c>
      <c r="B5485" t="s">
        <v>15555</v>
      </c>
      <c r="C5485" t="s">
        <v>15556</v>
      </c>
      <c r="D5485">
        <v>1</v>
      </c>
      <c r="E5485" t="s">
        <v>15378</v>
      </c>
      <c r="F5485" t="s">
        <v>15379</v>
      </c>
      <c r="G5485" s="1"/>
      <c r="H5485" t="str">
        <f>"3250617195584"</f>
        <v>3250617195584</v>
      </c>
      <c r="J5485" t="s">
        <v>15513</v>
      </c>
    </row>
    <row r="5486" spans="1:10" x14ac:dyDescent="0.25">
      <c r="A5486" t="s">
        <v>8</v>
      </c>
      <c r="B5486" t="s">
        <v>15557</v>
      </c>
      <c r="C5486" t="s">
        <v>15558</v>
      </c>
      <c r="D5486">
        <v>1</v>
      </c>
      <c r="E5486" t="s">
        <v>15378</v>
      </c>
      <c r="F5486" t="s">
        <v>15379</v>
      </c>
      <c r="G5486" s="1"/>
      <c r="H5486" t="str">
        <f>"3250617195591"</f>
        <v>3250617195591</v>
      </c>
      <c r="J5486" t="s">
        <v>15513</v>
      </c>
    </row>
    <row r="5487" spans="1:10" x14ac:dyDescent="0.25">
      <c r="A5487" t="s">
        <v>8</v>
      </c>
      <c r="B5487" t="s">
        <v>15559</v>
      </c>
      <c r="C5487" t="s">
        <v>15560</v>
      </c>
      <c r="D5487">
        <v>1</v>
      </c>
      <c r="E5487" t="s">
        <v>15378</v>
      </c>
      <c r="F5487" t="s">
        <v>15379</v>
      </c>
      <c r="G5487" s="1"/>
      <c r="H5487" t="str">
        <f>"3250617190060"</f>
        <v>3250617190060</v>
      </c>
      <c r="J5487" t="s">
        <v>15410</v>
      </c>
    </row>
    <row r="5488" spans="1:10" x14ac:dyDescent="0.25">
      <c r="A5488" t="s">
        <v>8</v>
      </c>
      <c r="B5488" t="s">
        <v>15561</v>
      </c>
      <c r="C5488" t="s">
        <v>15562</v>
      </c>
      <c r="D5488">
        <v>1</v>
      </c>
      <c r="E5488" t="s">
        <v>15378</v>
      </c>
      <c r="F5488" t="s">
        <v>15379</v>
      </c>
      <c r="G5488" s="1"/>
      <c r="H5488" t="str">
        <f>"3250617190077"</f>
        <v>3250617190077</v>
      </c>
      <c r="J5488" t="s">
        <v>15410</v>
      </c>
    </row>
    <row r="5489" spans="1:10" x14ac:dyDescent="0.25">
      <c r="A5489" t="s">
        <v>8</v>
      </c>
      <c r="B5489" t="s">
        <v>15563</v>
      </c>
      <c r="C5489" t="s">
        <v>15564</v>
      </c>
      <c r="D5489">
        <v>1</v>
      </c>
      <c r="E5489" t="s">
        <v>15378</v>
      </c>
      <c r="F5489" t="s">
        <v>15379</v>
      </c>
      <c r="G5489" s="1"/>
      <c r="H5489" t="str">
        <f>"3250617190091"</f>
        <v>3250617190091</v>
      </c>
      <c r="J5489" t="s">
        <v>15415</v>
      </c>
    </row>
    <row r="5490" spans="1:10" x14ac:dyDescent="0.25">
      <c r="A5490" t="s">
        <v>8</v>
      </c>
      <c r="B5490" t="s">
        <v>15565</v>
      </c>
      <c r="C5490" t="s">
        <v>15566</v>
      </c>
      <c r="D5490">
        <v>1</v>
      </c>
      <c r="E5490" t="s">
        <v>15378</v>
      </c>
      <c r="F5490" t="s">
        <v>15379</v>
      </c>
      <c r="G5490" s="1"/>
      <c r="H5490" t="str">
        <f>"3250617190251"</f>
        <v>3250617190251</v>
      </c>
      <c r="J5490" t="s">
        <v>15415</v>
      </c>
    </row>
    <row r="5491" spans="1:10" x14ac:dyDescent="0.25">
      <c r="A5491" t="s">
        <v>8</v>
      </c>
      <c r="B5491" t="s">
        <v>15567</v>
      </c>
      <c r="C5491" t="s">
        <v>15568</v>
      </c>
      <c r="D5491">
        <v>1</v>
      </c>
      <c r="E5491" t="s">
        <v>15378</v>
      </c>
      <c r="F5491" t="s">
        <v>15379</v>
      </c>
      <c r="G5491" s="1"/>
      <c r="H5491" t="str">
        <f>"3250617197557"</f>
        <v>3250617197557</v>
      </c>
      <c r="J5491" t="s">
        <v>15410</v>
      </c>
    </row>
    <row r="5492" spans="1:10" x14ac:dyDescent="0.25">
      <c r="A5492" t="s">
        <v>8</v>
      </c>
      <c r="B5492" t="s">
        <v>15569</v>
      </c>
      <c r="C5492" t="s">
        <v>15570</v>
      </c>
      <c r="D5492">
        <v>1</v>
      </c>
      <c r="E5492" t="s">
        <v>15378</v>
      </c>
      <c r="F5492" t="s">
        <v>15379</v>
      </c>
      <c r="G5492" s="1"/>
      <c r="H5492" t="str">
        <f>"3250617190602"</f>
        <v>3250617190602</v>
      </c>
      <c r="J5492" t="s">
        <v>15410</v>
      </c>
    </row>
    <row r="5493" spans="1:10" x14ac:dyDescent="0.25">
      <c r="A5493" t="s">
        <v>8</v>
      </c>
      <c r="B5493" t="s">
        <v>15571</v>
      </c>
      <c r="C5493" t="s">
        <v>15572</v>
      </c>
      <c r="D5493">
        <v>1</v>
      </c>
      <c r="E5493" t="s">
        <v>15378</v>
      </c>
      <c r="F5493" t="s">
        <v>15379</v>
      </c>
      <c r="G5493" s="1"/>
      <c r="H5493" t="str">
        <f>"3250617190619"</f>
        <v>3250617190619</v>
      </c>
      <c r="J5493" t="s">
        <v>15415</v>
      </c>
    </row>
    <row r="5494" spans="1:10" x14ac:dyDescent="0.25">
      <c r="A5494" t="s">
        <v>8</v>
      </c>
      <c r="B5494" t="s">
        <v>15573</v>
      </c>
      <c r="C5494" t="s">
        <v>15574</v>
      </c>
      <c r="D5494">
        <v>1</v>
      </c>
      <c r="E5494" t="s">
        <v>15378</v>
      </c>
      <c r="F5494" t="s">
        <v>15379</v>
      </c>
      <c r="G5494" s="1"/>
      <c r="H5494" t="str">
        <f>"3250617190626"</f>
        <v>3250617190626</v>
      </c>
      <c r="J5494" t="s">
        <v>15415</v>
      </c>
    </row>
    <row r="5495" spans="1:10" x14ac:dyDescent="0.25">
      <c r="A5495" t="s">
        <v>8</v>
      </c>
      <c r="B5495" t="s">
        <v>15575</v>
      </c>
      <c r="C5495" t="s">
        <v>15576</v>
      </c>
      <c r="D5495">
        <v>1</v>
      </c>
      <c r="E5495" t="s">
        <v>15378</v>
      </c>
      <c r="F5495" t="s">
        <v>15379</v>
      </c>
      <c r="G5495" s="1"/>
      <c r="H5495" t="str">
        <f>"3250617199001"</f>
        <v>3250617199001</v>
      </c>
      <c r="J5495" t="s">
        <v>15577</v>
      </c>
    </row>
    <row r="5496" spans="1:10" x14ac:dyDescent="0.25">
      <c r="A5496" t="s">
        <v>8</v>
      </c>
      <c r="B5496" t="s">
        <v>15578</v>
      </c>
      <c r="C5496" t="s">
        <v>15579</v>
      </c>
      <c r="D5496">
        <v>1</v>
      </c>
      <c r="E5496" t="s">
        <v>15378</v>
      </c>
      <c r="F5496" t="s">
        <v>15379</v>
      </c>
      <c r="G5496" s="1"/>
      <c r="H5496" t="str">
        <f>"3250617190633"</f>
        <v>3250617190633</v>
      </c>
      <c r="J5496" t="s">
        <v>15580</v>
      </c>
    </row>
    <row r="5497" spans="1:10" x14ac:dyDescent="0.25">
      <c r="A5497" t="s">
        <v>8</v>
      </c>
      <c r="B5497" t="s">
        <v>15581</v>
      </c>
      <c r="C5497" t="s">
        <v>15582</v>
      </c>
      <c r="D5497">
        <v>1</v>
      </c>
      <c r="E5497" t="s">
        <v>15378</v>
      </c>
      <c r="F5497" t="s">
        <v>15379</v>
      </c>
      <c r="G5497" s="1"/>
      <c r="H5497" t="str">
        <f>"3250617190640"</f>
        <v>3250617190640</v>
      </c>
      <c r="J5497" t="s">
        <v>15583</v>
      </c>
    </row>
    <row r="5498" spans="1:10" x14ac:dyDescent="0.25">
      <c r="A5498" t="s">
        <v>8</v>
      </c>
      <c r="B5498" t="s">
        <v>15584</v>
      </c>
      <c r="C5498" t="s">
        <v>15585</v>
      </c>
      <c r="D5498">
        <v>1</v>
      </c>
      <c r="E5498" t="s">
        <v>15378</v>
      </c>
      <c r="F5498" t="s">
        <v>15379</v>
      </c>
      <c r="G5498" s="1"/>
      <c r="H5498" t="str">
        <f>"3250617190657"</f>
        <v>3250617190657</v>
      </c>
      <c r="J5498" t="s">
        <v>15583</v>
      </c>
    </row>
    <row r="5499" spans="1:10" x14ac:dyDescent="0.25">
      <c r="A5499" t="s">
        <v>8</v>
      </c>
      <c r="B5499" t="s">
        <v>15586</v>
      </c>
      <c r="C5499" t="s">
        <v>15587</v>
      </c>
      <c r="D5499">
        <v>1</v>
      </c>
      <c r="E5499" t="s">
        <v>15378</v>
      </c>
      <c r="F5499" t="s">
        <v>15379</v>
      </c>
      <c r="G5499" s="1"/>
      <c r="H5499" t="str">
        <f>"3250617199018"</f>
        <v>3250617199018</v>
      </c>
      <c r="J5499" t="s">
        <v>15588</v>
      </c>
    </row>
    <row r="5500" spans="1:10" x14ac:dyDescent="0.25">
      <c r="A5500" t="s">
        <v>8</v>
      </c>
      <c r="B5500" t="s">
        <v>15589</v>
      </c>
      <c r="C5500" t="s">
        <v>15590</v>
      </c>
      <c r="D5500">
        <v>1</v>
      </c>
      <c r="E5500" t="s">
        <v>15378</v>
      </c>
      <c r="F5500" t="s">
        <v>15379</v>
      </c>
      <c r="G5500" s="1"/>
      <c r="H5500" t="str">
        <f>"3250617190664"</f>
        <v>3250617190664</v>
      </c>
      <c r="J5500" t="s">
        <v>15535</v>
      </c>
    </row>
    <row r="5501" spans="1:10" x14ac:dyDescent="0.25">
      <c r="A5501" t="s">
        <v>8</v>
      </c>
      <c r="B5501" t="s">
        <v>15591</v>
      </c>
      <c r="C5501" t="s">
        <v>15592</v>
      </c>
      <c r="D5501">
        <v>1</v>
      </c>
      <c r="E5501" t="s">
        <v>15378</v>
      </c>
      <c r="F5501" t="s">
        <v>15379</v>
      </c>
      <c r="G5501" s="1"/>
      <c r="H5501" t="str">
        <f>"3250617190671"</f>
        <v>3250617190671</v>
      </c>
      <c r="J5501" t="s">
        <v>15593</v>
      </c>
    </row>
    <row r="5502" spans="1:10" x14ac:dyDescent="0.25">
      <c r="A5502" t="s">
        <v>8</v>
      </c>
      <c r="B5502" t="s">
        <v>15594</v>
      </c>
      <c r="C5502" t="s">
        <v>15595</v>
      </c>
      <c r="D5502">
        <v>1</v>
      </c>
      <c r="E5502" t="s">
        <v>15378</v>
      </c>
      <c r="F5502" t="s">
        <v>15379</v>
      </c>
      <c r="G5502" s="1"/>
      <c r="H5502" t="str">
        <f>"3250617190688"</f>
        <v>3250617190688</v>
      </c>
      <c r="J5502" t="s">
        <v>15593</v>
      </c>
    </row>
    <row r="5503" spans="1:10" x14ac:dyDescent="0.25">
      <c r="A5503" t="s">
        <v>8</v>
      </c>
      <c r="B5503" t="s">
        <v>15596</v>
      </c>
      <c r="C5503" t="s">
        <v>15597</v>
      </c>
      <c r="D5503">
        <v>1</v>
      </c>
      <c r="E5503" t="s">
        <v>15378</v>
      </c>
      <c r="F5503" t="s">
        <v>15379</v>
      </c>
      <c r="G5503" s="1"/>
      <c r="H5503" t="str">
        <f>"3250617199025"</f>
        <v>3250617199025</v>
      </c>
      <c r="J5503" t="s">
        <v>15410</v>
      </c>
    </row>
    <row r="5504" spans="1:10" x14ac:dyDescent="0.25">
      <c r="A5504" t="s">
        <v>8</v>
      </c>
      <c r="B5504" t="s">
        <v>15598</v>
      </c>
      <c r="C5504" t="s">
        <v>15599</v>
      </c>
      <c r="D5504">
        <v>1</v>
      </c>
      <c r="E5504" t="s">
        <v>15378</v>
      </c>
      <c r="F5504" t="s">
        <v>15379</v>
      </c>
      <c r="G5504" s="1"/>
      <c r="H5504" t="str">
        <f>"3250617190695"</f>
        <v>3250617190695</v>
      </c>
      <c r="J5504" t="s">
        <v>15410</v>
      </c>
    </row>
    <row r="5505" spans="1:10" x14ac:dyDescent="0.25">
      <c r="A5505" t="s">
        <v>8</v>
      </c>
      <c r="B5505" t="s">
        <v>15600</v>
      </c>
      <c r="C5505" t="s">
        <v>15601</v>
      </c>
      <c r="D5505">
        <v>1</v>
      </c>
      <c r="E5505" t="s">
        <v>15378</v>
      </c>
      <c r="F5505" t="s">
        <v>15379</v>
      </c>
      <c r="G5505" s="1"/>
      <c r="H5505" t="str">
        <f>"3250617190701"</f>
        <v>3250617190701</v>
      </c>
      <c r="J5505" t="s">
        <v>15415</v>
      </c>
    </row>
    <row r="5506" spans="1:10" x14ac:dyDescent="0.25">
      <c r="A5506" t="s">
        <v>8</v>
      </c>
      <c r="B5506" t="s">
        <v>15602</v>
      </c>
      <c r="C5506" t="s">
        <v>15603</v>
      </c>
      <c r="D5506">
        <v>1</v>
      </c>
      <c r="E5506" t="s">
        <v>15378</v>
      </c>
      <c r="F5506" t="s">
        <v>15379</v>
      </c>
      <c r="G5506" s="1"/>
      <c r="H5506" t="str">
        <f>"3250617190718"</f>
        <v>3250617190718</v>
      </c>
      <c r="J5506" t="s">
        <v>15415</v>
      </c>
    </row>
    <row r="5507" spans="1:10" x14ac:dyDescent="0.25">
      <c r="A5507" t="s">
        <v>8</v>
      </c>
      <c r="B5507" t="s">
        <v>15604</v>
      </c>
      <c r="C5507" t="s">
        <v>15605</v>
      </c>
      <c r="D5507">
        <v>1</v>
      </c>
      <c r="E5507" t="s">
        <v>15378</v>
      </c>
      <c r="F5507" t="s">
        <v>15379</v>
      </c>
      <c r="G5507" s="1"/>
      <c r="H5507" t="str">
        <f>"3250617190732"</f>
        <v>3250617190732</v>
      </c>
      <c r="J5507" t="s">
        <v>12398</v>
      </c>
    </row>
    <row r="5508" spans="1:10" x14ac:dyDescent="0.25">
      <c r="A5508" t="s">
        <v>8</v>
      </c>
      <c r="B5508" t="s">
        <v>15606</v>
      </c>
      <c r="C5508" t="s">
        <v>15607</v>
      </c>
      <c r="D5508">
        <v>1</v>
      </c>
      <c r="E5508" t="s">
        <v>15378</v>
      </c>
      <c r="F5508" t="s">
        <v>15379</v>
      </c>
      <c r="G5508" s="1"/>
      <c r="H5508" t="str">
        <f>"3250617190749"</f>
        <v>3250617190749</v>
      </c>
      <c r="J5508" t="s">
        <v>15608</v>
      </c>
    </row>
    <row r="5509" spans="1:10" x14ac:dyDescent="0.25">
      <c r="A5509" t="s">
        <v>8</v>
      </c>
      <c r="B5509" t="s">
        <v>15609</v>
      </c>
      <c r="C5509" t="s">
        <v>15610</v>
      </c>
      <c r="D5509">
        <v>1</v>
      </c>
      <c r="E5509" t="s">
        <v>15378</v>
      </c>
      <c r="F5509" t="s">
        <v>15379</v>
      </c>
      <c r="G5509" s="1"/>
      <c r="H5509" t="str">
        <f>"3250617190756"</f>
        <v>3250617190756</v>
      </c>
      <c r="J5509" t="s">
        <v>15611</v>
      </c>
    </row>
    <row r="5510" spans="1:10" x14ac:dyDescent="0.25">
      <c r="A5510" t="s">
        <v>8</v>
      </c>
      <c r="B5510" t="s">
        <v>15612</v>
      </c>
      <c r="C5510" t="s">
        <v>15613</v>
      </c>
      <c r="D5510">
        <v>1</v>
      </c>
      <c r="E5510" t="s">
        <v>15378</v>
      </c>
      <c r="F5510" t="s">
        <v>15379</v>
      </c>
      <c r="G5510" s="1"/>
      <c r="H5510" t="str">
        <f>"3250617190763"</f>
        <v>3250617190763</v>
      </c>
      <c r="J5510" t="s">
        <v>15611</v>
      </c>
    </row>
    <row r="5511" spans="1:10" x14ac:dyDescent="0.25">
      <c r="A5511" t="s">
        <v>8</v>
      </c>
      <c r="B5511" t="s">
        <v>15614</v>
      </c>
      <c r="C5511" t="s">
        <v>15615</v>
      </c>
      <c r="D5511">
        <v>1</v>
      </c>
      <c r="E5511" t="s">
        <v>15378</v>
      </c>
      <c r="F5511" t="s">
        <v>15379</v>
      </c>
      <c r="G5511" s="1"/>
      <c r="H5511" t="str">
        <f>"3250617190770"</f>
        <v>3250617190770</v>
      </c>
      <c r="J5511" t="s">
        <v>15616</v>
      </c>
    </row>
    <row r="5512" spans="1:10" x14ac:dyDescent="0.25">
      <c r="A5512" t="s">
        <v>8</v>
      </c>
      <c r="B5512" t="s">
        <v>15617</v>
      </c>
      <c r="C5512" t="s">
        <v>15618</v>
      </c>
      <c r="D5512">
        <v>1</v>
      </c>
      <c r="E5512" t="s">
        <v>15378</v>
      </c>
      <c r="F5512" t="s">
        <v>15379</v>
      </c>
      <c r="G5512" s="1"/>
      <c r="H5512" t="str">
        <f>"3250617190787"</f>
        <v>3250617190787</v>
      </c>
      <c r="J5512" t="s">
        <v>15616</v>
      </c>
    </row>
    <row r="5513" spans="1:10" x14ac:dyDescent="0.25">
      <c r="A5513" t="s">
        <v>8</v>
      </c>
      <c r="B5513" t="s">
        <v>15619</v>
      </c>
      <c r="C5513" t="s">
        <v>15620</v>
      </c>
      <c r="D5513">
        <v>1</v>
      </c>
      <c r="E5513" t="s">
        <v>15378</v>
      </c>
      <c r="F5513" t="s">
        <v>15379</v>
      </c>
      <c r="G5513" s="1"/>
      <c r="H5513" t="str">
        <f>"3250617190794"</f>
        <v>3250617190794</v>
      </c>
      <c r="J5513" t="s">
        <v>15621</v>
      </c>
    </row>
    <row r="5514" spans="1:10" x14ac:dyDescent="0.25">
      <c r="A5514" t="s">
        <v>8</v>
      </c>
      <c r="B5514" t="s">
        <v>15622</v>
      </c>
      <c r="C5514" t="s">
        <v>15623</v>
      </c>
      <c r="D5514">
        <v>1</v>
      </c>
      <c r="E5514" t="s">
        <v>15378</v>
      </c>
      <c r="F5514" t="s">
        <v>15379</v>
      </c>
      <c r="G5514" s="1"/>
      <c r="H5514" t="str">
        <f>"3250617190800"</f>
        <v>3250617190800</v>
      </c>
      <c r="J5514" t="s">
        <v>15621</v>
      </c>
    </row>
    <row r="5515" spans="1:10" x14ac:dyDescent="0.25">
      <c r="A5515" t="s">
        <v>8</v>
      </c>
      <c r="B5515" t="s">
        <v>15624</v>
      </c>
      <c r="C5515" t="s">
        <v>15625</v>
      </c>
      <c r="D5515">
        <v>1</v>
      </c>
      <c r="E5515" t="s">
        <v>15378</v>
      </c>
      <c r="F5515" t="s">
        <v>15379</v>
      </c>
      <c r="G5515" s="1"/>
      <c r="H5515" t="str">
        <f>"3250617190114"</f>
        <v>3250617190114</v>
      </c>
      <c r="J5515" t="s">
        <v>15410</v>
      </c>
    </row>
    <row r="5516" spans="1:10" x14ac:dyDescent="0.25">
      <c r="A5516" t="s">
        <v>8</v>
      </c>
      <c r="B5516" t="s">
        <v>15626</v>
      </c>
      <c r="C5516" t="s">
        <v>15627</v>
      </c>
      <c r="D5516">
        <v>1</v>
      </c>
      <c r="E5516" t="s">
        <v>15378</v>
      </c>
      <c r="F5516" t="s">
        <v>15379</v>
      </c>
      <c r="G5516" s="1"/>
      <c r="H5516" t="str">
        <f>"3250617190121"</f>
        <v>3250617190121</v>
      </c>
      <c r="J5516" t="s">
        <v>15410</v>
      </c>
    </row>
    <row r="5517" spans="1:10" x14ac:dyDescent="0.25">
      <c r="A5517" t="s">
        <v>8</v>
      </c>
      <c r="B5517" t="s">
        <v>15628</v>
      </c>
      <c r="C5517" t="s">
        <v>15629</v>
      </c>
      <c r="D5517">
        <v>1</v>
      </c>
      <c r="E5517" t="s">
        <v>15378</v>
      </c>
      <c r="F5517" t="s">
        <v>15379</v>
      </c>
      <c r="G5517" s="1"/>
      <c r="H5517" t="str">
        <f>"3250617190138"</f>
        <v>3250617190138</v>
      </c>
      <c r="J5517" t="s">
        <v>15415</v>
      </c>
    </row>
    <row r="5518" spans="1:10" x14ac:dyDescent="0.25">
      <c r="A5518" t="s">
        <v>8</v>
      </c>
      <c r="B5518" t="s">
        <v>15630</v>
      </c>
      <c r="C5518" t="s">
        <v>15631</v>
      </c>
      <c r="D5518">
        <v>1</v>
      </c>
      <c r="E5518" t="s">
        <v>15378</v>
      </c>
      <c r="F5518" t="s">
        <v>15379</v>
      </c>
      <c r="G5518" s="1"/>
      <c r="H5518" t="str">
        <f>"3250617190145"</f>
        <v>3250617190145</v>
      </c>
      <c r="J5518" t="s">
        <v>15415</v>
      </c>
    </row>
    <row r="5519" spans="1:10" x14ac:dyDescent="0.25">
      <c r="A5519" t="s">
        <v>8</v>
      </c>
      <c r="B5519" t="s">
        <v>15632</v>
      </c>
      <c r="C5519" t="s">
        <v>15633</v>
      </c>
      <c r="D5519">
        <v>1</v>
      </c>
      <c r="E5519" t="s">
        <v>15378</v>
      </c>
      <c r="F5519" t="s">
        <v>15379</v>
      </c>
      <c r="G5519" s="1"/>
      <c r="H5519" t="str">
        <f>"3250617199513"</f>
        <v>3250617199513</v>
      </c>
      <c r="J5519" t="s">
        <v>15634</v>
      </c>
    </row>
    <row r="5520" spans="1:10" x14ac:dyDescent="0.25">
      <c r="A5520" t="s">
        <v>8</v>
      </c>
      <c r="B5520" t="s">
        <v>15635</v>
      </c>
      <c r="C5520" t="s">
        <v>15636</v>
      </c>
      <c r="D5520">
        <v>1</v>
      </c>
      <c r="E5520" t="s">
        <v>15378</v>
      </c>
      <c r="F5520" t="s">
        <v>15379</v>
      </c>
      <c r="G5520" s="1"/>
      <c r="H5520" t="str">
        <f>"3250617190817"</f>
        <v>3250617190817</v>
      </c>
      <c r="J5520" t="s">
        <v>15634</v>
      </c>
    </row>
    <row r="5521" spans="1:10" x14ac:dyDescent="0.25">
      <c r="A5521" t="s">
        <v>8</v>
      </c>
      <c r="B5521" t="s">
        <v>15637</v>
      </c>
      <c r="C5521" t="s">
        <v>15638</v>
      </c>
      <c r="D5521">
        <v>1</v>
      </c>
      <c r="E5521" t="s">
        <v>15378</v>
      </c>
      <c r="F5521" t="s">
        <v>15379</v>
      </c>
      <c r="G5521" s="1"/>
      <c r="H5521" t="str">
        <f>"3250617190824"</f>
        <v>3250617190824</v>
      </c>
      <c r="J5521" t="s">
        <v>15639</v>
      </c>
    </row>
    <row r="5522" spans="1:10" x14ac:dyDescent="0.25">
      <c r="A5522" t="s">
        <v>8</v>
      </c>
      <c r="B5522" t="s">
        <v>15640</v>
      </c>
      <c r="C5522" t="s">
        <v>15641</v>
      </c>
      <c r="D5522">
        <v>1</v>
      </c>
      <c r="E5522" t="s">
        <v>15378</v>
      </c>
      <c r="F5522" t="s">
        <v>15379</v>
      </c>
      <c r="G5522" s="1"/>
      <c r="H5522" t="str">
        <f>"3250617190831"</f>
        <v>3250617190831</v>
      </c>
      <c r="J5522" t="s">
        <v>15639</v>
      </c>
    </row>
    <row r="5523" spans="1:10" x14ac:dyDescent="0.25">
      <c r="A5523" t="s">
        <v>8</v>
      </c>
      <c r="B5523" t="s">
        <v>15642</v>
      </c>
      <c r="C5523" t="s">
        <v>15643</v>
      </c>
      <c r="D5523">
        <v>1</v>
      </c>
      <c r="E5523" t="s">
        <v>15378</v>
      </c>
      <c r="F5523" t="s">
        <v>15379</v>
      </c>
      <c r="G5523" s="1"/>
      <c r="H5523" t="str">
        <f>"3250617199537"</f>
        <v>3250617199537</v>
      </c>
      <c r="J5523" t="s">
        <v>15410</v>
      </c>
    </row>
    <row r="5524" spans="1:10" x14ac:dyDescent="0.25">
      <c r="A5524" t="s">
        <v>8</v>
      </c>
      <c r="B5524" t="s">
        <v>15644</v>
      </c>
      <c r="C5524" t="s">
        <v>15645</v>
      </c>
      <c r="D5524">
        <v>1</v>
      </c>
      <c r="E5524" t="s">
        <v>15378</v>
      </c>
      <c r="F5524" t="s">
        <v>15379</v>
      </c>
      <c r="G5524" s="1"/>
      <c r="H5524" t="str">
        <f>"3250617190848"</f>
        <v>3250617190848</v>
      </c>
      <c r="J5524" t="s">
        <v>15410</v>
      </c>
    </row>
    <row r="5525" spans="1:10" x14ac:dyDescent="0.25">
      <c r="A5525" t="s">
        <v>8</v>
      </c>
      <c r="B5525" t="s">
        <v>15646</v>
      </c>
      <c r="C5525" t="s">
        <v>15647</v>
      </c>
      <c r="D5525">
        <v>1</v>
      </c>
      <c r="E5525" t="s">
        <v>15378</v>
      </c>
      <c r="F5525" t="s">
        <v>15379</v>
      </c>
      <c r="G5525" s="1"/>
      <c r="H5525" t="str">
        <f>"3250617190855"</f>
        <v>3250617190855</v>
      </c>
      <c r="J5525" t="s">
        <v>15415</v>
      </c>
    </row>
    <row r="5526" spans="1:10" x14ac:dyDescent="0.25">
      <c r="A5526" t="s">
        <v>8</v>
      </c>
      <c r="B5526" t="s">
        <v>15648</v>
      </c>
      <c r="C5526" t="s">
        <v>15649</v>
      </c>
      <c r="D5526">
        <v>1</v>
      </c>
      <c r="E5526" t="s">
        <v>15378</v>
      </c>
      <c r="F5526" t="s">
        <v>15379</v>
      </c>
      <c r="G5526" s="1"/>
      <c r="H5526" t="str">
        <f>"3250617190862"</f>
        <v>3250617190862</v>
      </c>
      <c r="J5526" t="s">
        <v>15415</v>
      </c>
    </row>
    <row r="5527" spans="1:10" x14ac:dyDescent="0.25">
      <c r="A5527" t="s">
        <v>8</v>
      </c>
      <c r="B5527" t="s">
        <v>15650</v>
      </c>
      <c r="C5527" t="s">
        <v>15651</v>
      </c>
      <c r="D5527">
        <v>1</v>
      </c>
      <c r="E5527" t="s">
        <v>15378</v>
      </c>
      <c r="F5527" t="s">
        <v>15379</v>
      </c>
      <c r="G5527" s="1"/>
      <c r="H5527" t="str">
        <f>"3250617190879"</f>
        <v>3250617190879</v>
      </c>
      <c r="J5527" t="s">
        <v>15410</v>
      </c>
    </row>
    <row r="5528" spans="1:10" x14ac:dyDescent="0.25">
      <c r="A5528" t="s">
        <v>8</v>
      </c>
      <c r="B5528" t="s">
        <v>15652</v>
      </c>
      <c r="C5528" t="s">
        <v>15653</v>
      </c>
      <c r="D5528">
        <v>1</v>
      </c>
      <c r="E5528" t="s">
        <v>15378</v>
      </c>
      <c r="F5528" t="s">
        <v>15379</v>
      </c>
      <c r="G5528" s="1"/>
      <c r="H5528" t="str">
        <f>"3250617190886"</f>
        <v>3250617190886</v>
      </c>
      <c r="J5528" t="s">
        <v>15410</v>
      </c>
    </row>
    <row r="5529" spans="1:10" x14ac:dyDescent="0.25">
      <c r="A5529" t="s">
        <v>8</v>
      </c>
      <c r="B5529" t="s">
        <v>15654</v>
      </c>
      <c r="C5529" t="s">
        <v>15655</v>
      </c>
      <c r="D5529">
        <v>1</v>
      </c>
      <c r="E5529" t="s">
        <v>15378</v>
      </c>
      <c r="F5529" t="s">
        <v>15379</v>
      </c>
      <c r="G5529" s="1"/>
      <c r="H5529" t="str">
        <f>"3250617190893"</f>
        <v>3250617190893</v>
      </c>
      <c r="J5529" t="s">
        <v>15415</v>
      </c>
    </row>
    <row r="5530" spans="1:10" x14ac:dyDescent="0.25">
      <c r="A5530" t="s">
        <v>8</v>
      </c>
      <c r="B5530" t="s">
        <v>15656</v>
      </c>
      <c r="C5530" t="s">
        <v>15657</v>
      </c>
      <c r="D5530">
        <v>1</v>
      </c>
      <c r="E5530" t="s">
        <v>15378</v>
      </c>
      <c r="F5530" t="s">
        <v>15379</v>
      </c>
      <c r="G5530" s="1"/>
      <c r="H5530" t="str">
        <f>"3250617190909"</f>
        <v>3250617190909</v>
      </c>
      <c r="J5530" t="s">
        <v>15415</v>
      </c>
    </row>
    <row r="5531" spans="1:10" x14ac:dyDescent="0.25">
      <c r="A5531" t="s">
        <v>8</v>
      </c>
      <c r="B5531" t="s">
        <v>15658</v>
      </c>
      <c r="C5531" t="s">
        <v>15659</v>
      </c>
      <c r="D5531">
        <v>1</v>
      </c>
      <c r="E5531" t="s">
        <v>15378</v>
      </c>
      <c r="F5531" t="s">
        <v>15379</v>
      </c>
      <c r="G5531" s="1"/>
      <c r="H5531" t="str">
        <f>"3250617190916"</f>
        <v>3250617190916</v>
      </c>
      <c r="J5531" t="s">
        <v>15410</v>
      </c>
    </row>
    <row r="5532" spans="1:10" x14ac:dyDescent="0.25">
      <c r="A5532" t="s">
        <v>8</v>
      </c>
      <c r="B5532" t="s">
        <v>15660</v>
      </c>
      <c r="C5532" t="s">
        <v>15661</v>
      </c>
      <c r="D5532">
        <v>1</v>
      </c>
      <c r="E5532" t="s">
        <v>15378</v>
      </c>
      <c r="F5532" t="s">
        <v>15379</v>
      </c>
      <c r="G5532" s="1"/>
      <c r="H5532" t="str">
        <f>"3250617190923"</f>
        <v>3250617190923</v>
      </c>
      <c r="J5532" t="s">
        <v>15410</v>
      </c>
    </row>
    <row r="5533" spans="1:10" x14ac:dyDescent="0.25">
      <c r="A5533" t="s">
        <v>8</v>
      </c>
      <c r="B5533" t="s">
        <v>15662</v>
      </c>
      <c r="C5533" t="s">
        <v>15663</v>
      </c>
      <c r="D5533">
        <v>1</v>
      </c>
      <c r="E5533" t="s">
        <v>15378</v>
      </c>
      <c r="F5533" t="s">
        <v>15379</v>
      </c>
      <c r="G5533" s="1"/>
      <c r="H5533" t="str">
        <f>"3250617190930"</f>
        <v>3250617190930</v>
      </c>
      <c r="J5533" t="s">
        <v>15415</v>
      </c>
    </row>
    <row r="5534" spans="1:10" x14ac:dyDescent="0.25">
      <c r="A5534" t="s">
        <v>8</v>
      </c>
      <c r="B5534" t="s">
        <v>15664</v>
      </c>
      <c r="C5534" t="s">
        <v>15665</v>
      </c>
      <c r="D5534">
        <v>1</v>
      </c>
      <c r="E5534" t="s">
        <v>15378</v>
      </c>
      <c r="F5534" t="s">
        <v>15379</v>
      </c>
      <c r="G5534" s="1"/>
      <c r="H5534" t="str">
        <f>"3250617190947"</f>
        <v>3250617190947</v>
      </c>
      <c r="J5534" t="s">
        <v>15415</v>
      </c>
    </row>
    <row r="5535" spans="1:10" x14ac:dyDescent="0.25">
      <c r="A5535" t="s">
        <v>8</v>
      </c>
      <c r="B5535" t="s">
        <v>15666</v>
      </c>
      <c r="C5535" t="s">
        <v>15667</v>
      </c>
      <c r="D5535">
        <v>1</v>
      </c>
      <c r="E5535" t="s">
        <v>15378</v>
      </c>
      <c r="F5535" t="s">
        <v>15379</v>
      </c>
      <c r="G5535" s="1"/>
      <c r="H5535" t="str">
        <f>"3250617199803"</f>
        <v>3250617199803</v>
      </c>
      <c r="J5535" t="s">
        <v>15668</v>
      </c>
    </row>
    <row r="5536" spans="1:10" x14ac:dyDescent="0.25">
      <c r="A5536" t="s">
        <v>8</v>
      </c>
      <c r="B5536" t="s">
        <v>15669</v>
      </c>
      <c r="C5536" t="s">
        <v>15670</v>
      </c>
      <c r="D5536">
        <v>1</v>
      </c>
      <c r="E5536" t="s">
        <v>15378</v>
      </c>
      <c r="F5536" t="s">
        <v>15379</v>
      </c>
      <c r="G5536" s="1"/>
      <c r="H5536" t="str">
        <f>"3250617192927"</f>
        <v>3250617192927</v>
      </c>
      <c r="J5536" t="s">
        <v>15668</v>
      </c>
    </row>
    <row r="5537" spans="1:10" x14ac:dyDescent="0.25">
      <c r="A5537" t="s">
        <v>8</v>
      </c>
      <c r="B5537" t="s">
        <v>15671</v>
      </c>
      <c r="C5537" t="s">
        <v>15672</v>
      </c>
      <c r="D5537">
        <v>1</v>
      </c>
      <c r="E5537" t="s">
        <v>15378</v>
      </c>
      <c r="F5537" t="s">
        <v>15379</v>
      </c>
      <c r="G5537" s="1"/>
      <c r="H5537" t="str">
        <f>"3250617192934"</f>
        <v>3250617192934</v>
      </c>
      <c r="J5537" t="s">
        <v>15673</v>
      </c>
    </row>
    <row r="5538" spans="1:10" x14ac:dyDescent="0.25">
      <c r="A5538" t="s">
        <v>8</v>
      </c>
      <c r="B5538" t="s">
        <v>15674</v>
      </c>
      <c r="C5538" t="s">
        <v>15675</v>
      </c>
      <c r="D5538">
        <v>1</v>
      </c>
      <c r="E5538" t="s">
        <v>15378</v>
      </c>
      <c r="F5538" t="s">
        <v>15379</v>
      </c>
      <c r="G5538" s="1"/>
      <c r="H5538" t="str">
        <f>"3250617192941"</f>
        <v>3250617192941</v>
      </c>
      <c r="J5538" t="s">
        <v>15673</v>
      </c>
    </row>
    <row r="5539" spans="1:10" x14ac:dyDescent="0.25">
      <c r="A5539" t="s">
        <v>8</v>
      </c>
      <c r="B5539" t="s">
        <v>15676</v>
      </c>
      <c r="C5539" t="s">
        <v>15677</v>
      </c>
      <c r="D5539">
        <v>1</v>
      </c>
      <c r="E5539" t="s">
        <v>15378</v>
      </c>
      <c r="F5539" t="s">
        <v>15379</v>
      </c>
      <c r="G5539" s="1"/>
      <c r="H5539" t="str">
        <f>"3250617199810"</f>
        <v>3250617199810</v>
      </c>
      <c r="J5539" t="s">
        <v>15668</v>
      </c>
    </row>
    <row r="5540" spans="1:10" x14ac:dyDescent="0.25">
      <c r="A5540" t="s">
        <v>8</v>
      </c>
      <c r="B5540" t="s">
        <v>15678</v>
      </c>
      <c r="C5540" t="s">
        <v>15679</v>
      </c>
      <c r="D5540">
        <v>1</v>
      </c>
      <c r="E5540" t="s">
        <v>15378</v>
      </c>
      <c r="F5540" t="s">
        <v>15379</v>
      </c>
      <c r="G5540" s="1"/>
      <c r="H5540" t="str">
        <f>"3250617192958"</f>
        <v>3250617192958</v>
      </c>
      <c r="J5540" t="s">
        <v>15668</v>
      </c>
    </row>
    <row r="5541" spans="1:10" x14ac:dyDescent="0.25">
      <c r="A5541" t="s">
        <v>8</v>
      </c>
      <c r="B5541" t="s">
        <v>15680</v>
      </c>
      <c r="C5541" t="s">
        <v>15681</v>
      </c>
      <c r="D5541">
        <v>1</v>
      </c>
      <c r="E5541" t="s">
        <v>15378</v>
      </c>
      <c r="F5541" t="s">
        <v>15379</v>
      </c>
      <c r="G5541" s="1"/>
      <c r="H5541" t="str">
        <f>"3250617192965"</f>
        <v>3250617192965</v>
      </c>
      <c r="J5541" t="s">
        <v>15673</v>
      </c>
    </row>
    <row r="5542" spans="1:10" x14ac:dyDescent="0.25">
      <c r="A5542" t="s">
        <v>8</v>
      </c>
      <c r="B5542" t="s">
        <v>15682</v>
      </c>
      <c r="C5542" t="s">
        <v>15683</v>
      </c>
      <c r="D5542">
        <v>1</v>
      </c>
      <c r="E5542" t="s">
        <v>15378</v>
      </c>
      <c r="F5542" t="s">
        <v>15379</v>
      </c>
      <c r="G5542" s="1"/>
      <c r="H5542" t="str">
        <f>"3250617192972"</f>
        <v>3250617192972</v>
      </c>
      <c r="J5542" t="s">
        <v>15673</v>
      </c>
    </row>
    <row r="5543" spans="1:10" x14ac:dyDescent="0.25">
      <c r="A5543" t="s">
        <v>8</v>
      </c>
      <c r="B5543" t="s">
        <v>15684</v>
      </c>
      <c r="C5543" t="s">
        <v>15685</v>
      </c>
      <c r="D5543">
        <v>1</v>
      </c>
      <c r="E5543" t="s">
        <v>15378</v>
      </c>
      <c r="F5543" t="s">
        <v>15379</v>
      </c>
      <c r="G5543" s="1"/>
      <c r="H5543" t="str">
        <f>"3250617196765"</f>
        <v>3250617196765</v>
      </c>
      <c r="J5543" t="s">
        <v>15410</v>
      </c>
    </row>
    <row r="5544" spans="1:10" x14ac:dyDescent="0.25">
      <c r="A5544" t="s">
        <v>8</v>
      </c>
      <c r="B5544" t="s">
        <v>15686</v>
      </c>
      <c r="C5544" t="s">
        <v>15687</v>
      </c>
      <c r="D5544">
        <v>1</v>
      </c>
      <c r="E5544" t="s">
        <v>15378</v>
      </c>
      <c r="F5544" t="s">
        <v>15379</v>
      </c>
      <c r="G5544" s="1"/>
      <c r="H5544" t="str">
        <f>"3250617196864"</f>
        <v>3250617196864</v>
      </c>
      <c r="J5544" t="s">
        <v>15410</v>
      </c>
    </row>
    <row r="5545" spans="1:10" x14ac:dyDescent="0.25">
      <c r="A5545" t="s">
        <v>8</v>
      </c>
      <c r="B5545" t="s">
        <v>15688</v>
      </c>
      <c r="C5545" t="s">
        <v>15689</v>
      </c>
      <c r="D5545">
        <v>1</v>
      </c>
      <c r="E5545" t="s">
        <v>15378</v>
      </c>
      <c r="F5545" t="s">
        <v>15379</v>
      </c>
      <c r="G5545" s="1"/>
      <c r="H5545" t="str">
        <f>"3250617196871"</f>
        <v>3250617196871</v>
      </c>
      <c r="J5545" t="s">
        <v>15415</v>
      </c>
    </row>
    <row r="5546" spans="1:10" x14ac:dyDescent="0.25">
      <c r="A5546" t="s">
        <v>8</v>
      </c>
      <c r="B5546" t="s">
        <v>15690</v>
      </c>
      <c r="C5546" t="s">
        <v>15691</v>
      </c>
      <c r="D5546">
        <v>1</v>
      </c>
      <c r="E5546" t="s">
        <v>15378</v>
      </c>
      <c r="F5546" t="s">
        <v>15379</v>
      </c>
      <c r="G5546" s="1"/>
      <c r="H5546" t="str">
        <f>"3250617196888"</f>
        <v>3250617196888</v>
      </c>
      <c r="J5546" t="s">
        <v>15415</v>
      </c>
    </row>
    <row r="5547" spans="1:10" x14ac:dyDescent="0.25">
      <c r="A5547" t="s">
        <v>8</v>
      </c>
      <c r="B5547" t="s">
        <v>15692</v>
      </c>
      <c r="C5547" t="s">
        <v>15693</v>
      </c>
      <c r="D5547">
        <v>1</v>
      </c>
      <c r="E5547" t="s">
        <v>15378</v>
      </c>
      <c r="F5547" t="s">
        <v>15379</v>
      </c>
      <c r="G5547" s="1"/>
      <c r="H5547" t="str">
        <f>"3250617196895"</f>
        <v>3250617196895</v>
      </c>
      <c r="J5547" t="s">
        <v>15694</v>
      </c>
    </row>
    <row r="5548" spans="1:10" x14ac:dyDescent="0.25">
      <c r="A5548" t="s">
        <v>8</v>
      </c>
      <c r="B5548" t="s">
        <v>15695</v>
      </c>
      <c r="C5548" t="s">
        <v>15696</v>
      </c>
      <c r="D5548">
        <v>1</v>
      </c>
      <c r="E5548" t="s">
        <v>15378</v>
      </c>
      <c r="F5548" t="s">
        <v>15379</v>
      </c>
      <c r="G5548" s="1"/>
      <c r="H5548" t="str">
        <f>"3250617196901"</f>
        <v>3250617196901</v>
      </c>
      <c r="J5548" t="s">
        <v>15694</v>
      </c>
    </row>
    <row r="5549" spans="1:10" x14ac:dyDescent="0.25">
      <c r="A5549" t="s">
        <v>8</v>
      </c>
      <c r="B5549" t="s">
        <v>15697</v>
      </c>
      <c r="C5549" t="s">
        <v>15698</v>
      </c>
      <c r="D5549">
        <v>1</v>
      </c>
      <c r="E5549" t="s">
        <v>15378</v>
      </c>
      <c r="F5549" t="s">
        <v>15379</v>
      </c>
      <c r="G5549" s="1"/>
      <c r="H5549" t="str">
        <f>"3250617196956"</f>
        <v>3250617196956</v>
      </c>
      <c r="J5549" t="s">
        <v>7437</v>
      </c>
    </row>
    <row r="5550" spans="1:10" x14ac:dyDescent="0.25">
      <c r="A5550" t="s">
        <v>8</v>
      </c>
      <c r="B5550" t="s">
        <v>15699</v>
      </c>
      <c r="C5550" t="s">
        <v>15700</v>
      </c>
      <c r="D5550">
        <v>1</v>
      </c>
      <c r="E5550" t="s">
        <v>15378</v>
      </c>
      <c r="F5550" t="s">
        <v>15379</v>
      </c>
      <c r="G5550" s="1"/>
      <c r="H5550" t="str">
        <f>"3250617196963"</f>
        <v>3250617196963</v>
      </c>
      <c r="J5550" t="s">
        <v>7437</v>
      </c>
    </row>
    <row r="5551" spans="1:10" x14ac:dyDescent="0.25">
      <c r="A5551" t="s">
        <v>8</v>
      </c>
      <c r="B5551" t="s">
        <v>15701</v>
      </c>
      <c r="C5551" t="s">
        <v>15702</v>
      </c>
      <c r="D5551">
        <v>1</v>
      </c>
      <c r="E5551" t="s">
        <v>15378</v>
      </c>
      <c r="F5551" t="s">
        <v>15379</v>
      </c>
      <c r="G5551" s="1"/>
      <c r="H5551" t="str">
        <f>"3250617190954"</f>
        <v>3250617190954</v>
      </c>
      <c r="J5551" t="s">
        <v>15703</v>
      </c>
    </row>
    <row r="5552" spans="1:10" x14ac:dyDescent="0.25">
      <c r="A5552" t="s">
        <v>8</v>
      </c>
      <c r="B5552" t="s">
        <v>15704</v>
      </c>
      <c r="C5552" t="s">
        <v>15705</v>
      </c>
      <c r="D5552">
        <v>1</v>
      </c>
      <c r="E5552" t="s">
        <v>15378</v>
      </c>
      <c r="F5552" t="s">
        <v>15379</v>
      </c>
      <c r="G5552" s="1"/>
      <c r="H5552" t="str">
        <f>"3250617190961"</f>
        <v>3250617190961</v>
      </c>
      <c r="J5552" t="s">
        <v>15703</v>
      </c>
    </row>
    <row r="5553" spans="1:10" x14ac:dyDescent="0.25">
      <c r="A5553" t="s">
        <v>8</v>
      </c>
      <c r="B5553" t="s">
        <v>15706</v>
      </c>
      <c r="C5553" t="s">
        <v>15707</v>
      </c>
      <c r="D5553">
        <v>1</v>
      </c>
      <c r="E5553" t="s">
        <v>15378</v>
      </c>
      <c r="F5553" t="s">
        <v>15379</v>
      </c>
      <c r="G5553" s="1"/>
      <c r="H5553" t="str">
        <f>"3250617190985"</f>
        <v>3250617190985</v>
      </c>
      <c r="J5553" t="s">
        <v>15708</v>
      </c>
    </row>
    <row r="5554" spans="1:10" x14ac:dyDescent="0.25">
      <c r="A5554" t="s">
        <v>8</v>
      </c>
      <c r="B5554" t="s">
        <v>15709</v>
      </c>
      <c r="C5554" t="s">
        <v>15710</v>
      </c>
      <c r="D5554">
        <v>1</v>
      </c>
      <c r="E5554" t="s">
        <v>15378</v>
      </c>
      <c r="F5554" t="s">
        <v>15379</v>
      </c>
      <c r="G5554" s="1"/>
      <c r="H5554" t="str">
        <f>"3250617190978"</f>
        <v>3250617190978</v>
      </c>
      <c r="J5554" t="s">
        <v>15708</v>
      </c>
    </row>
    <row r="5555" spans="1:10" x14ac:dyDescent="0.25">
      <c r="A5555" t="s">
        <v>8</v>
      </c>
      <c r="B5555" t="s">
        <v>15711</v>
      </c>
      <c r="C5555" t="s">
        <v>15712</v>
      </c>
      <c r="D5555">
        <v>1</v>
      </c>
      <c r="E5555" t="s">
        <v>15378</v>
      </c>
      <c r="F5555" t="s">
        <v>15379</v>
      </c>
      <c r="G5555" s="1"/>
      <c r="H5555" t="str">
        <f>"3250617060257"</f>
        <v>3250617060257</v>
      </c>
      <c r="J5555" t="s">
        <v>15410</v>
      </c>
    </row>
    <row r="5556" spans="1:10" x14ac:dyDescent="0.25">
      <c r="A5556" t="s">
        <v>8</v>
      </c>
      <c r="B5556" t="s">
        <v>15713</v>
      </c>
      <c r="C5556" t="s">
        <v>15714</v>
      </c>
      <c r="D5556">
        <v>1</v>
      </c>
      <c r="E5556" t="s">
        <v>15378</v>
      </c>
      <c r="F5556" t="s">
        <v>15379</v>
      </c>
      <c r="G5556" s="1"/>
      <c r="H5556" t="str">
        <f>"3250617060264"</f>
        <v>3250617060264</v>
      </c>
      <c r="J5556" t="s">
        <v>15410</v>
      </c>
    </row>
    <row r="5557" spans="1:10" x14ac:dyDescent="0.25">
      <c r="A5557" t="s">
        <v>8</v>
      </c>
      <c r="B5557" t="s">
        <v>15715</v>
      </c>
      <c r="C5557" t="s">
        <v>15716</v>
      </c>
      <c r="D5557">
        <v>1</v>
      </c>
      <c r="E5557" t="s">
        <v>15378</v>
      </c>
      <c r="F5557" t="s">
        <v>15379</v>
      </c>
      <c r="G5557" s="1"/>
      <c r="H5557" t="str">
        <f>"3250617060271"</f>
        <v>3250617060271</v>
      </c>
      <c r="J5557" t="s">
        <v>15415</v>
      </c>
    </row>
    <row r="5558" spans="1:10" x14ac:dyDescent="0.25">
      <c r="A5558" t="s">
        <v>8</v>
      </c>
      <c r="B5558" t="s">
        <v>15717</v>
      </c>
      <c r="C5558" t="s">
        <v>15718</v>
      </c>
      <c r="D5558">
        <v>1</v>
      </c>
      <c r="E5558" t="s">
        <v>15378</v>
      </c>
      <c r="F5558" t="s">
        <v>15379</v>
      </c>
      <c r="G5558" s="1"/>
      <c r="H5558" t="str">
        <f>"3250617060288"</f>
        <v>3250617060288</v>
      </c>
      <c r="J5558" t="s">
        <v>15415</v>
      </c>
    </row>
    <row r="5559" spans="1:10" x14ac:dyDescent="0.25">
      <c r="A5559" t="s">
        <v>8</v>
      </c>
      <c r="B5559" t="s">
        <v>15719</v>
      </c>
      <c r="C5559" t="s">
        <v>15720</v>
      </c>
      <c r="D5559">
        <v>1</v>
      </c>
      <c r="E5559" t="s">
        <v>15378</v>
      </c>
      <c r="F5559" t="s">
        <v>15379</v>
      </c>
      <c r="G5559" s="1"/>
      <c r="H5559" t="str">
        <f>"3250617192453"</f>
        <v>3250617192453</v>
      </c>
      <c r="J5559" t="s">
        <v>15493</v>
      </c>
    </row>
    <row r="5560" spans="1:10" x14ac:dyDescent="0.25">
      <c r="A5560" t="s">
        <v>8</v>
      </c>
      <c r="B5560" t="s">
        <v>15721</v>
      </c>
      <c r="C5560" t="s">
        <v>15722</v>
      </c>
      <c r="D5560">
        <v>1</v>
      </c>
      <c r="E5560" t="s">
        <v>15378</v>
      </c>
      <c r="F5560" t="s">
        <v>15379</v>
      </c>
      <c r="G5560" s="1"/>
      <c r="H5560" t="str">
        <f>"3250617192460"</f>
        <v>3250617192460</v>
      </c>
      <c r="J5560" t="s">
        <v>15493</v>
      </c>
    </row>
    <row r="5561" spans="1:10" x14ac:dyDescent="0.25">
      <c r="A5561" t="s">
        <v>8</v>
      </c>
      <c r="B5561" t="s">
        <v>15723</v>
      </c>
      <c r="C5561" t="s">
        <v>15724</v>
      </c>
      <c r="D5561">
        <v>1</v>
      </c>
      <c r="E5561" t="s">
        <v>15378</v>
      </c>
      <c r="F5561" t="s">
        <v>15379</v>
      </c>
      <c r="G5561" s="1"/>
      <c r="H5561" t="str">
        <f>"3250617192477"</f>
        <v>3250617192477</v>
      </c>
      <c r="J5561" t="s">
        <v>11505</v>
      </c>
    </row>
    <row r="5562" spans="1:10" x14ac:dyDescent="0.25">
      <c r="A5562" t="s">
        <v>8</v>
      </c>
      <c r="B5562" t="s">
        <v>15725</v>
      </c>
      <c r="C5562" t="s">
        <v>15726</v>
      </c>
      <c r="D5562">
        <v>1</v>
      </c>
      <c r="E5562" t="s">
        <v>15378</v>
      </c>
      <c r="F5562" t="s">
        <v>15379</v>
      </c>
      <c r="G5562" s="1"/>
      <c r="H5562" t="str">
        <f>"3250617192484"</f>
        <v>3250617192484</v>
      </c>
      <c r="J5562" t="s">
        <v>11505</v>
      </c>
    </row>
    <row r="5563" spans="1:10" x14ac:dyDescent="0.25">
      <c r="A5563" t="s">
        <v>8</v>
      </c>
      <c r="B5563" t="s">
        <v>15727</v>
      </c>
      <c r="C5563" t="s">
        <v>15728</v>
      </c>
      <c r="D5563">
        <v>1</v>
      </c>
      <c r="E5563" t="s">
        <v>15378</v>
      </c>
      <c r="F5563" t="s">
        <v>15379</v>
      </c>
      <c r="G5563" s="1"/>
      <c r="H5563" t="str">
        <f>"3250617192491"</f>
        <v>3250617192491</v>
      </c>
      <c r="J5563" t="s">
        <v>15467</v>
      </c>
    </row>
    <row r="5564" spans="1:10" x14ac:dyDescent="0.25">
      <c r="A5564" t="s">
        <v>8</v>
      </c>
      <c r="B5564" t="s">
        <v>15729</v>
      </c>
      <c r="C5564" t="s">
        <v>15730</v>
      </c>
      <c r="D5564">
        <v>1</v>
      </c>
      <c r="E5564" t="s">
        <v>15378</v>
      </c>
      <c r="F5564" t="s">
        <v>15379</v>
      </c>
      <c r="G5564" s="1"/>
      <c r="H5564" t="str">
        <f>"3250617192521"</f>
        <v>3250617192521</v>
      </c>
      <c r="J5564" t="s">
        <v>15467</v>
      </c>
    </row>
    <row r="5565" spans="1:10" x14ac:dyDescent="0.25">
      <c r="A5565" t="s">
        <v>8</v>
      </c>
      <c r="B5565" t="s">
        <v>15731</v>
      </c>
      <c r="C5565" t="s">
        <v>15732</v>
      </c>
      <c r="D5565">
        <v>1</v>
      </c>
      <c r="E5565" t="s">
        <v>15378</v>
      </c>
      <c r="F5565" t="s">
        <v>15379</v>
      </c>
      <c r="G5565" s="1"/>
      <c r="H5565" t="str">
        <f>"3250617192552"</f>
        <v>3250617192552</v>
      </c>
      <c r="J5565" t="s">
        <v>11505</v>
      </c>
    </row>
    <row r="5566" spans="1:10" x14ac:dyDescent="0.25">
      <c r="A5566" t="s">
        <v>8</v>
      </c>
      <c r="B5566" t="s">
        <v>15733</v>
      </c>
      <c r="C5566" t="s">
        <v>15734</v>
      </c>
      <c r="D5566">
        <v>1</v>
      </c>
      <c r="E5566" t="s">
        <v>15378</v>
      </c>
      <c r="F5566" t="s">
        <v>15379</v>
      </c>
      <c r="G5566" s="1"/>
      <c r="H5566" t="str">
        <f>"3250617192804"</f>
        <v>3250617192804</v>
      </c>
      <c r="J5566" t="s">
        <v>11505</v>
      </c>
    </row>
    <row r="5567" spans="1:10" x14ac:dyDescent="0.25">
      <c r="A5567" t="s">
        <v>8</v>
      </c>
      <c r="B5567" t="s">
        <v>15735</v>
      </c>
      <c r="C5567" t="s">
        <v>15736</v>
      </c>
      <c r="D5567">
        <v>1</v>
      </c>
      <c r="E5567" t="s">
        <v>15378</v>
      </c>
      <c r="F5567" t="s">
        <v>15379</v>
      </c>
      <c r="G5567" s="1"/>
      <c r="H5567" t="str">
        <f>"3250617120630"</f>
        <v>3250617120630</v>
      </c>
      <c r="J5567" t="s">
        <v>15737</v>
      </c>
    </row>
    <row r="5568" spans="1:10" x14ac:dyDescent="0.25">
      <c r="A5568" t="s">
        <v>8</v>
      </c>
      <c r="B5568" t="s">
        <v>15738</v>
      </c>
      <c r="C5568" t="s">
        <v>15739</v>
      </c>
      <c r="D5568">
        <v>1</v>
      </c>
      <c r="E5568" t="s">
        <v>15378</v>
      </c>
      <c r="F5568" t="s">
        <v>15379</v>
      </c>
      <c r="G5568" s="1"/>
      <c r="H5568" t="str">
        <f>"3250617120647"</f>
        <v>3250617120647</v>
      </c>
      <c r="J5568" t="s">
        <v>15737</v>
      </c>
    </row>
    <row r="5569" spans="1:10" x14ac:dyDescent="0.25">
      <c r="A5569" t="s">
        <v>8</v>
      </c>
      <c r="B5569" t="s">
        <v>15740</v>
      </c>
      <c r="C5569" t="s">
        <v>15741</v>
      </c>
      <c r="D5569">
        <v>1</v>
      </c>
      <c r="E5569" t="s">
        <v>15378</v>
      </c>
      <c r="F5569" t="s">
        <v>15379</v>
      </c>
      <c r="G5569" s="1"/>
      <c r="H5569" t="str">
        <f>"3250617120654"</f>
        <v>3250617120654</v>
      </c>
      <c r="J5569" t="s">
        <v>15737</v>
      </c>
    </row>
    <row r="5570" spans="1:10" x14ac:dyDescent="0.25">
      <c r="A5570" t="s">
        <v>8</v>
      </c>
      <c r="B5570" t="s">
        <v>15742</v>
      </c>
      <c r="C5570" t="s">
        <v>15743</v>
      </c>
      <c r="D5570">
        <v>1</v>
      </c>
      <c r="E5570" t="s">
        <v>15378</v>
      </c>
      <c r="F5570" t="s">
        <v>15379</v>
      </c>
      <c r="G5570" s="1"/>
      <c r="H5570" t="str">
        <f>"3250617200769"</f>
        <v>3250617200769</v>
      </c>
      <c r="J5570" t="s">
        <v>15744</v>
      </c>
    </row>
    <row r="5571" spans="1:10" x14ac:dyDescent="0.25">
      <c r="A5571" t="s">
        <v>8</v>
      </c>
      <c r="B5571" t="s">
        <v>15745</v>
      </c>
      <c r="C5571" t="s">
        <v>15746</v>
      </c>
      <c r="D5571">
        <v>1</v>
      </c>
      <c r="E5571" t="s">
        <v>15378</v>
      </c>
      <c r="F5571" t="s">
        <v>15379</v>
      </c>
      <c r="G5571" s="1"/>
      <c r="H5571" t="str">
        <f>"3250617200783"</f>
        <v>3250617200783</v>
      </c>
      <c r="J5571" t="s">
        <v>15747</v>
      </c>
    </row>
    <row r="5572" spans="1:10" x14ac:dyDescent="0.25">
      <c r="A5572" t="s">
        <v>8</v>
      </c>
      <c r="B5572" t="s">
        <v>15748</v>
      </c>
      <c r="C5572" t="s">
        <v>15749</v>
      </c>
      <c r="D5572">
        <v>1</v>
      </c>
      <c r="E5572" t="s">
        <v>15378</v>
      </c>
      <c r="F5572" t="s">
        <v>15379</v>
      </c>
      <c r="G5572" s="1"/>
      <c r="H5572" t="str">
        <f>"3250617200776"</f>
        <v>3250617200776</v>
      </c>
      <c r="J5572" t="s">
        <v>15747</v>
      </c>
    </row>
    <row r="5573" spans="1:10" x14ac:dyDescent="0.25">
      <c r="A5573" t="s">
        <v>8</v>
      </c>
      <c r="B5573" t="s">
        <v>15750</v>
      </c>
      <c r="C5573" t="s">
        <v>15751</v>
      </c>
      <c r="D5573">
        <v>1</v>
      </c>
      <c r="E5573" t="s">
        <v>15378</v>
      </c>
      <c r="F5573" t="s">
        <v>15379</v>
      </c>
      <c r="G5573" s="1"/>
      <c r="H5573" t="str">
        <f>"3250617080385"</f>
        <v>3250617080385</v>
      </c>
      <c r="J5573" t="s">
        <v>15752</v>
      </c>
    </row>
    <row r="5574" spans="1:10" x14ac:dyDescent="0.25">
      <c r="A5574" t="s">
        <v>8</v>
      </c>
      <c r="B5574" t="s">
        <v>15753</v>
      </c>
      <c r="C5574" t="s">
        <v>15754</v>
      </c>
      <c r="D5574">
        <v>1</v>
      </c>
      <c r="E5574" t="s">
        <v>15378</v>
      </c>
      <c r="F5574" t="s">
        <v>15379</v>
      </c>
      <c r="G5574" s="1"/>
      <c r="H5574" t="str">
        <f>"3250617080392"</f>
        <v>3250617080392</v>
      </c>
      <c r="J5574" t="s">
        <v>15752</v>
      </c>
    </row>
    <row r="5575" spans="1:10" x14ac:dyDescent="0.25">
      <c r="A5575" t="s">
        <v>8</v>
      </c>
      <c r="B5575" t="s">
        <v>15755</v>
      </c>
      <c r="C5575" t="s">
        <v>15756</v>
      </c>
      <c r="D5575">
        <v>1</v>
      </c>
      <c r="E5575" t="s">
        <v>15378</v>
      </c>
      <c r="F5575" t="s">
        <v>15379</v>
      </c>
      <c r="G5575" s="1"/>
      <c r="H5575" t="str">
        <f>"3250617200233"</f>
        <v>3250617200233</v>
      </c>
      <c r="J5575" t="s">
        <v>15757</v>
      </c>
    </row>
    <row r="5576" spans="1:10" x14ac:dyDescent="0.25">
      <c r="A5576" t="s">
        <v>8</v>
      </c>
      <c r="B5576" t="s">
        <v>15758</v>
      </c>
      <c r="C5576" t="s">
        <v>15759</v>
      </c>
      <c r="D5576">
        <v>1</v>
      </c>
      <c r="E5576" t="s">
        <v>15378</v>
      </c>
      <c r="F5576" t="s">
        <v>15379</v>
      </c>
      <c r="G5576" s="1"/>
      <c r="H5576" t="str">
        <f>"3250617080408"</f>
        <v>3250617080408</v>
      </c>
      <c r="J5576" t="s">
        <v>15757</v>
      </c>
    </row>
    <row r="5577" spans="1:10" x14ac:dyDescent="0.25">
      <c r="A5577" t="s">
        <v>8</v>
      </c>
      <c r="B5577" t="s">
        <v>15760</v>
      </c>
      <c r="C5577" t="s">
        <v>15761</v>
      </c>
      <c r="D5577">
        <v>1</v>
      </c>
      <c r="E5577" t="s">
        <v>15378</v>
      </c>
      <c r="F5577" t="s">
        <v>15379</v>
      </c>
      <c r="G5577" s="1"/>
      <c r="H5577" t="str">
        <f>"3250617200240"</f>
        <v>3250617200240</v>
      </c>
      <c r="J5577" t="s">
        <v>15757</v>
      </c>
    </row>
    <row r="5578" spans="1:10" x14ac:dyDescent="0.25">
      <c r="A5578" t="s">
        <v>8</v>
      </c>
      <c r="B5578" t="s">
        <v>15762</v>
      </c>
      <c r="C5578" t="s">
        <v>15763</v>
      </c>
      <c r="D5578">
        <v>1</v>
      </c>
      <c r="E5578" t="s">
        <v>15378</v>
      </c>
      <c r="F5578" t="s">
        <v>15379</v>
      </c>
      <c r="G5578" s="1"/>
      <c r="H5578" t="str">
        <f>"3250617080415"</f>
        <v>3250617080415</v>
      </c>
      <c r="J5578" t="s">
        <v>15757</v>
      </c>
    </row>
    <row r="5579" spans="1:10" x14ac:dyDescent="0.25">
      <c r="A5579" t="s">
        <v>8</v>
      </c>
      <c r="B5579" t="s">
        <v>15764</v>
      </c>
      <c r="C5579" t="s">
        <v>15765</v>
      </c>
      <c r="D5579">
        <v>1</v>
      </c>
      <c r="E5579" t="s">
        <v>15378</v>
      </c>
      <c r="F5579" t="s">
        <v>15379</v>
      </c>
      <c r="G5579" s="1"/>
      <c r="H5579" t="str">
        <f>"3250617200257"</f>
        <v>3250617200257</v>
      </c>
      <c r="J5579" t="s">
        <v>15757</v>
      </c>
    </row>
    <row r="5580" spans="1:10" x14ac:dyDescent="0.25">
      <c r="A5580" t="s">
        <v>8</v>
      </c>
      <c r="B5580" t="s">
        <v>15766</v>
      </c>
      <c r="C5580" t="s">
        <v>15767</v>
      </c>
      <c r="D5580">
        <v>1</v>
      </c>
      <c r="E5580" t="s">
        <v>15378</v>
      </c>
      <c r="F5580" t="s">
        <v>15379</v>
      </c>
      <c r="G5580" s="1"/>
      <c r="H5580" t="str">
        <f>"3250610131084"</f>
        <v>3250610131084</v>
      </c>
      <c r="J5580" t="s">
        <v>15385</v>
      </c>
    </row>
    <row r="5581" spans="1:10" x14ac:dyDescent="0.25">
      <c r="A5581" t="s">
        <v>8</v>
      </c>
      <c r="B5581" t="s">
        <v>15768</v>
      </c>
      <c r="C5581" t="s">
        <v>15769</v>
      </c>
      <c r="D5581">
        <v>1</v>
      </c>
      <c r="E5581" t="s">
        <v>15378</v>
      </c>
      <c r="F5581" t="s">
        <v>15379</v>
      </c>
      <c r="G5581" s="1"/>
      <c r="H5581" t="str">
        <f>"3250610131091"</f>
        <v>3250610131091</v>
      </c>
      <c r="J5581" t="s">
        <v>15395</v>
      </c>
    </row>
    <row r="5582" spans="1:10" x14ac:dyDescent="0.25">
      <c r="A5582" t="s">
        <v>8</v>
      </c>
      <c r="B5582" t="s">
        <v>15770</v>
      </c>
      <c r="C5582" t="s">
        <v>15771</v>
      </c>
      <c r="D5582">
        <v>1</v>
      </c>
      <c r="E5582" t="s">
        <v>15378</v>
      </c>
      <c r="F5582" t="s">
        <v>15379</v>
      </c>
      <c r="G5582" s="1"/>
      <c r="H5582" t="str">
        <f>"3250610131114"</f>
        <v>3250610131114</v>
      </c>
      <c r="J5582" t="s">
        <v>15415</v>
      </c>
    </row>
    <row r="5583" spans="1:10" x14ac:dyDescent="0.25">
      <c r="A5583" t="s">
        <v>8</v>
      </c>
      <c r="B5583" t="s">
        <v>15772</v>
      </c>
      <c r="C5583" t="s">
        <v>15773</v>
      </c>
      <c r="D5583">
        <v>1</v>
      </c>
      <c r="E5583" t="s">
        <v>15378</v>
      </c>
      <c r="F5583" t="s">
        <v>15379</v>
      </c>
      <c r="G5583" s="1"/>
      <c r="H5583" t="str">
        <f>"3250610131138"</f>
        <v>3250610131138</v>
      </c>
      <c r="J5583" t="s">
        <v>15415</v>
      </c>
    </row>
    <row r="5584" spans="1:10" x14ac:dyDescent="0.25">
      <c r="A5584" t="s">
        <v>8</v>
      </c>
      <c r="B5584" t="s">
        <v>15774</v>
      </c>
      <c r="C5584" t="s">
        <v>15775</v>
      </c>
      <c r="D5584">
        <v>1</v>
      </c>
      <c r="E5584" t="s">
        <v>15378</v>
      </c>
      <c r="F5584" t="s">
        <v>15379</v>
      </c>
      <c r="G5584" s="1"/>
      <c r="H5584" t="str">
        <f>"3250610131145"</f>
        <v>3250610131145</v>
      </c>
      <c r="J5584" t="s">
        <v>15443</v>
      </c>
    </row>
    <row r="5585" spans="1:10" x14ac:dyDescent="0.25">
      <c r="A5585" t="s">
        <v>8</v>
      </c>
      <c r="B5585" t="s">
        <v>15776</v>
      </c>
      <c r="C5585" t="s">
        <v>15777</v>
      </c>
      <c r="D5585">
        <v>1</v>
      </c>
      <c r="E5585" t="s">
        <v>15378</v>
      </c>
      <c r="F5585" t="s">
        <v>15379</v>
      </c>
      <c r="G5585" s="1"/>
      <c r="H5585" t="str">
        <f>"3250610131152"</f>
        <v>3250610131152</v>
      </c>
      <c r="J5585" t="s">
        <v>15453</v>
      </c>
    </row>
    <row r="5586" spans="1:10" x14ac:dyDescent="0.25">
      <c r="A5586" t="s">
        <v>8</v>
      </c>
      <c r="B5586" t="s">
        <v>15778</v>
      </c>
      <c r="C5586" t="s">
        <v>15779</v>
      </c>
      <c r="D5586">
        <v>1</v>
      </c>
      <c r="E5586" t="s">
        <v>15378</v>
      </c>
      <c r="F5586" t="s">
        <v>15379</v>
      </c>
      <c r="G5586" s="1"/>
      <c r="H5586" t="str">
        <f>"3250610131183"</f>
        <v>3250610131183</v>
      </c>
      <c r="J5586" t="s">
        <v>15480</v>
      </c>
    </row>
    <row r="5587" spans="1:10" x14ac:dyDescent="0.25">
      <c r="A5587" t="s">
        <v>8</v>
      </c>
      <c r="B5587" t="s">
        <v>15780</v>
      </c>
      <c r="C5587" t="s">
        <v>15781</v>
      </c>
      <c r="D5587">
        <v>1</v>
      </c>
      <c r="E5587" t="s">
        <v>15378</v>
      </c>
      <c r="F5587" t="s">
        <v>15379</v>
      </c>
      <c r="G5587" s="1"/>
      <c r="H5587" t="str">
        <f>"3250610131220"</f>
        <v>3250610131220</v>
      </c>
      <c r="J5587" t="s">
        <v>15513</v>
      </c>
    </row>
    <row r="5588" spans="1:10" x14ac:dyDescent="0.25">
      <c r="A5588" t="s">
        <v>8</v>
      </c>
      <c r="B5588" t="s">
        <v>15782</v>
      </c>
      <c r="C5588" t="s">
        <v>15783</v>
      </c>
      <c r="D5588">
        <v>1</v>
      </c>
      <c r="E5588" t="s">
        <v>15378</v>
      </c>
      <c r="F5588" t="s">
        <v>15379</v>
      </c>
      <c r="G5588" s="1"/>
      <c r="H5588" t="str">
        <f>"3250610131244"</f>
        <v>3250610131244</v>
      </c>
      <c r="J5588" t="s">
        <v>15540</v>
      </c>
    </row>
    <row r="5589" spans="1:10" x14ac:dyDescent="0.25">
      <c r="A5589" t="s">
        <v>8</v>
      </c>
      <c r="B5589" t="s">
        <v>15784</v>
      </c>
      <c r="C5589" t="s">
        <v>15785</v>
      </c>
      <c r="D5589">
        <v>1</v>
      </c>
      <c r="E5589" t="s">
        <v>15378</v>
      </c>
      <c r="F5589" t="s">
        <v>15379</v>
      </c>
      <c r="G5589" s="1"/>
      <c r="H5589" t="str">
        <f>"3250610131251"</f>
        <v>3250610131251</v>
      </c>
      <c r="J5589" t="s">
        <v>7437</v>
      </c>
    </row>
    <row r="5590" spans="1:10" x14ac:dyDescent="0.25">
      <c r="A5590" t="s">
        <v>8</v>
      </c>
      <c r="B5590" t="s">
        <v>15786</v>
      </c>
      <c r="C5590" t="s">
        <v>15787</v>
      </c>
      <c r="D5590">
        <v>1</v>
      </c>
      <c r="E5590" t="s">
        <v>15378</v>
      </c>
      <c r="F5590" t="s">
        <v>15379</v>
      </c>
      <c r="G5590" s="1"/>
      <c r="H5590" t="str">
        <f>"3250610131268"</f>
        <v>3250610131268</v>
      </c>
      <c r="J5590" t="s">
        <v>15513</v>
      </c>
    </row>
    <row r="5591" spans="1:10" x14ac:dyDescent="0.25">
      <c r="A5591" t="s">
        <v>8</v>
      </c>
      <c r="B5591" t="s">
        <v>15788</v>
      </c>
      <c r="C5591" t="s">
        <v>15789</v>
      </c>
      <c r="D5591">
        <v>1</v>
      </c>
      <c r="E5591" t="s">
        <v>15378</v>
      </c>
      <c r="F5591" t="s">
        <v>15379</v>
      </c>
      <c r="G5591" s="1"/>
      <c r="H5591" t="str">
        <f>"3250610131275"</f>
        <v>3250610131275</v>
      </c>
      <c r="J5591" t="s">
        <v>15757</v>
      </c>
    </row>
    <row r="5592" spans="1:10" x14ac:dyDescent="0.25">
      <c r="A5592" t="s">
        <v>8</v>
      </c>
      <c r="B5592" t="s">
        <v>15790</v>
      </c>
      <c r="C5592" t="s">
        <v>15791</v>
      </c>
      <c r="D5592">
        <v>1</v>
      </c>
      <c r="E5592" t="s">
        <v>15378</v>
      </c>
      <c r="F5592" t="s">
        <v>15379</v>
      </c>
      <c r="G5592" s="1"/>
      <c r="H5592" t="str">
        <f>"3250610131282"</f>
        <v>3250610131282</v>
      </c>
      <c r="J5592" t="s">
        <v>15415</v>
      </c>
    </row>
    <row r="5593" spans="1:10" x14ac:dyDescent="0.25">
      <c r="A5593" t="s">
        <v>8</v>
      </c>
      <c r="B5593" t="s">
        <v>15792</v>
      </c>
      <c r="C5593" t="s">
        <v>15793</v>
      </c>
      <c r="D5593">
        <v>1</v>
      </c>
      <c r="E5593" t="s">
        <v>15378</v>
      </c>
      <c r="F5593" t="s">
        <v>15379</v>
      </c>
      <c r="G5593" s="1"/>
      <c r="H5593" t="str">
        <f>"3250610131299"</f>
        <v>3250610131299</v>
      </c>
      <c r="J5593" t="s">
        <v>15415</v>
      </c>
    </row>
    <row r="5594" spans="1:10" x14ac:dyDescent="0.25">
      <c r="A5594" t="s">
        <v>8</v>
      </c>
      <c r="B5594" t="s">
        <v>15794</v>
      </c>
      <c r="C5594" t="s">
        <v>15795</v>
      </c>
      <c r="D5594">
        <v>1</v>
      </c>
      <c r="E5594" t="s">
        <v>15378</v>
      </c>
      <c r="F5594" t="s">
        <v>15379</v>
      </c>
      <c r="G5594" s="1"/>
      <c r="H5594" t="str">
        <f>"3250610131305"</f>
        <v>3250610131305</v>
      </c>
      <c r="J5594" t="s">
        <v>15583</v>
      </c>
    </row>
    <row r="5595" spans="1:10" x14ac:dyDescent="0.25">
      <c r="A5595" t="s">
        <v>8</v>
      </c>
      <c r="B5595" t="s">
        <v>15796</v>
      </c>
      <c r="C5595" t="s">
        <v>15797</v>
      </c>
      <c r="D5595">
        <v>1</v>
      </c>
      <c r="E5595" t="s">
        <v>15378</v>
      </c>
      <c r="F5595" t="s">
        <v>15379</v>
      </c>
      <c r="G5595" s="1"/>
      <c r="H5595" t="str">
        <f>"3250610131312"</f>
        <v>3250610131312</v>
      </c>
      <c r="J5595" t="s">
        <v>15593</v>
      </c>
    </row>
    <row r="5596" spans="1:10" x14ac:dyDescent="0.25">
      <c r="A5596" t="s">
        <v>8</v>
      </c>
      <c r="B5596" t="s">
        <v>15798</v>
      </c>
      <c r="C5596" t="s">
        <v>15799</v>
      </c>
      <c r="D5596">
        <v>1</v>
      </c>
      <c r="E5596" t="s">
        <v>15378</v>
      </c>
      <c r="F5596" t="s">
        <v>15379</v>
      </c>
      <c r="G5596" s="1"/>
      <c r="H5596" t="str">
        <f>"3250610131329"</f>
        <v>3250610131329</v>
      </c>
      <c r="J5596" t="s">
        <v>15415</v>
      </c>
    </row>
    <row r="5597" spans="1:10" x14ac:dyDescent="0.25">
      <c r="A5597" t="s">
        <v>8</v>
      </c>
      <c r="B5597" t="s">
        <v>15800</v>
      </c>
      <c r="C5597" t="s">
        <v>15801</v>
      </c>
      <c r="D5597">
        <v>1</v>
      </c>
      <c r="E5597" t="s">
        <v>15378</v>
      </c>
      <c r="F5597" t="s">
        <v>15379</v>
      </c>
      <c r="G5597" s="1"/>
      <c r="H5597" t="str">
        <f>"3250610131336"</f>
        <v>3250610131336</v>
      </c>
      <c r="J5597" t="s">
        <v>15611</v>
      </c>
    </row>
    <row r="5598" spans="1:10" x14ac:dyDescent="0.25">
      <c r="A5598" t="s">
        <v>8</v>
      </c>
      <c r="B5598" t="s">
        <v>15802</v>
      </c>
      <c r="C5598" t="s">
        <v>15803</v>
      </c>
      <c r="D5598">
        <v>1</v>
      </c>
      <c r="E5598" t="s">
        <v>15378</v>
      </c>
      <c r="F5598" t="s">
        <v>15379</v>
      </c>
      <c r="G5598" s="1"/>
      <c r="H5598" t="str">
        <f>"3250610131343"</f>
        <v>3250610131343</v>
      </c>
      <c r="J5598" t="s">
        <v>15621</v>
      </c>
    </row>
    <row r="5599" spans="1:10" x14ac:dyDescent="0.25">
      <c r="A5599" t="s">
        <v>8</v>
      </c>
      <c r="B5599" t="s">
        <v>15804</v>
      </c>
      <c r="C5599" t="s">
        <v>15805</v>
      </c>
      <c r="D5599">
        <v>1</v>
      </c>
      <c r="E5599" t="s">
        <v>15378</v>
      </c>
      <c r="F5599" t="s">
        <v>15379</v>
      </c>
      <c r="G5599" s="1"/>
      <c r="H5599" t="str">
        <f>"3250610131367"</f>
        <v>3250610131367</v>
      </c>
      <c r="J5599" t="s">
        <v>15415</v>
      </c>
    </row>
    <row r="5600" spans="1:10" x14ac:dyDescent="0.25">
      <c r="A5600" t="s">
        <v>8</v>
      </c>
      <c r="B5600" t="s">
        <v>15806</v>
      </c>
      <c r="C5600" t="s">
        <v>15807</v>
      </c>
      <c r="D5600">
        <v>1</v>
      </c>
      <c r="E5600" t="s">
        <v>15378</v>
      </c>
      <c r="F5600" t="s">
        <v>15379</v>
      </c>
      <c r="G5600" s="1"/>
      <c r="H5600" t="str">
        <f>"3250610131374"</f>
        <v>3250610131374</v>
      </c>
      <c r="J5600" t="s">
        <v>15639</v>
      </c>
    </row>
    <row r="5601" spans="1:10" x14ac:dyDescent="0.25">
      <c r="A5601" t="s">
        <v>8</v>
      </c>
      <c r="B5601" t="s">
        <v>15808</v>
      </c>
      <c r="C5601" t="s">
        <v>15809</v>
      </c>
      <c r="D5601">
        <v>1</v>
      </c>
      <c r="E5601" t="s">
        <v>15378</v>
      </c>
      <c r="F5601" t="s">
        <v>15379</v>
      </c>
      <c r="G5601" s="1"/>
      <c r="H5601" t="str">
        <f>"3250610131398"</f>
        <v>3250610131398</v>
      </c>
      <c r="J5601" t="s">
        <v>15415</v>
      </c>
    </row>
    <row r="5602" spans="1:10" x14ac:dyDescent="0.25">
      <c r="A5602" t="s">
        <v>8</v>
      </c>
      <c r="B5602" t="s">
        <v>15810</v>
      </c>
      <c r="C5602" t="s">
        <v>15811</v>
      </c>
      <c r="D5602">
        <v>1</v>
      </c>
      <c r="E5602" t="s">
        <v>15378</v>
      </c>
      <c r="F5602" t="s">
        <v>15379</v>
      </c>
      <c r="G5602" s="1"/>
      <c r="H5602" t="str">
        <f>"3250610131411"</f>
        <v>3250610131411</v>
      </c>
      <c r="J5602" t="s">
        <v>15673</v>
      </c>
    </row>
    <row r="5603" spans="1:10" x14ac:dyDescent="0.25">
      <c r="A5603" t="s">
        <v>8</v>
      </c>
      <c r="B5603" t="s">
        <v>15812</v>
      </c>
      <c r="C5603" t="s">
        <v>15813</v>
      </c>
      <c r="D5603">
        <v>1</v>
      </c>
      <c r="E5603" t="s">
        <v>15378</v>
      </c>
      <c r="F5603" t="s">
        <v>15379</v>
      </c>
      <c r="G5603" s="1"/>
      <c r="H5603" t="str">
        <f>"3250610131428"</f>
        <v>3250610131428</v>
      </c>
      <c r="J5603" t="s">
        <v>15673</v>
      </c>
    </row>
    <row r="5604" spans="1:10" x14ac:dyDescent="0.25">
      <c r="A5604" t="s">
        <v>8</v>
      </c>
      <c r="B5604" t="s">
        <v>15814</v>
      </c>
      <c r="C5604" t="s">
        <v>15815</v>
      </c>
      <c r="D5604">
        <v>1</v>
      </c>
      <c r="E5604" t="s">
        <v>15816</v>
      </c>
      <c r="F5604" t="s">
        <v>15817</v>
      </c>
      <c r="G5604" s="1"/>
      <c r="H5604" t="str">
        <f>"3250618500042"</f>
        <v>3250618500042</v>
      </c>
      <c r="J5604" t="s">
        <v>15818</v>
      </c>
    </row>
    <row r="5605" spans="1:10" x14ac:dyDescent="0.25">
      <c r="A5605" t="s">
        <v>8</v>
      </c>
      <c r="B5605" t="s">
        <v>15819</v>
      </c>
      <c r="C5605" t="s">
        <v>15820</v>
      </c>
      <c r="D5605">
        <v>1</v>
      </c>
      <c r="E5605" t="s">
        <v>15816</v>
      </c>
      <c r="F5605" t="s">
        <v>15817</v>
      </c>
      <c r="G5605" s="1"/>
      <c r="H5605" t="str">
        <f>"3250618500059"</f>
        <v>3250618500059</v>
      </c>
      <c r="J5605" t="s">
        <v>15818</v>
      </c>
    </row>
    <row r="5606" spans="1:10" x14ac:dyDescent="0.25">
      <c r="A5606" t="s">
        <v>8</v>
      </c>
      <c r="B5606" t="s">
        <v>15821</v>
      </c>
      <c r="C5606" t="s">
        <v>15822</v>
      </c>
      <c r="D5606">
        <v>1</v>
      </c>
      <c r="E5606" t="s">
        <v>15816</v>
      </c>
      <c r="F5606" t="s">
        <v>15817</v>
      </c>
      <c r="G5606" s="1"/>
      <c r="H5606" t="str">
        <f>"3250618500066"</f>
        <v>3250618500066</v>
      </c>
      <c r="J5606" t="s">
        <v>15823</v>
      </c>
    </row>
    <row r="5607" spans="1:10" x14ac:dyDescent="0.25">
      <c r="A5607" t="s">
        <v>8</v>
      </c>
      <c r="B5607" t="s">
        <v>15824</v>
      </c>
      <c r="C5607" t="s">
        <v>15825</v>
      </c>
      <c r="D5607">
        <v>1</v>
      </c>
      <c r="E5607" t="s">
        <v>15816</v>
      </c>
      <c r="F5607" t="s">
        <v>15817</v>
      </c>
      <c r="G5607" s="1"/>
      <c r="H5607" t="str">
        <f>"3250618500073"</f>
        <v>3250618500073</v>
      </c>
      <c r="J5607" t="s">
        <v>15823</v>
      </c>
    </row>
    <row r="5608" spans="1:10" x14ac:dyDescent="0.25">
      <c r="A5608" t="s">
        <v>8</v>
      </c>
      <c r="B5608" t="s">
        <v>15826</v>
      </c>
      <c r="C5608" t="s">
        <v>15827</v>
      </c>
      <c r="D5608">
        <v>1</v>
      </c>
      <c r="E5608" t="s">
        <v>15816</v>
      </c>
      <c r="F5608" t="s">
        <v>15817</v>
      </c>
      <c r="G5608" s="1"/>
      <c r="H5608" t="str">
        <f>"3250618500080"</f>
        <v>3250618500080</v>
      </c>
      <c r="I5608" s="1"/>
      <c r="J5608" t="s">
        <v>15828</v>
      </c>
    </row>
    <row r="5609" spans="1:10" x14ac:dyDescent="0.25">
      <c r="A5609" t="s">
        <v>8</v>
      </c>
      <c r="B5609" t="s">
        <v>15829</v>
      </c>
      <c r="C5609" t="s">
        <v>15830</v>
      </c>
      <c r="D5609">
        <v>1</v>
      </c>
      <c r="E5609" t="s">
        <v>15816</v>
      </c>
      <c r="F5609" t="s">
        <v>15817</v>
      </c>
      <c r="G5609" s="1"/>
      <c r="H5609" t="str">
        <f>"3250618500097"</f>
        <v>3250618500097</v>
      </c>
      <c r="I5609" s="1"/>
      <c r="J5609" t="s">
        <v>15828</v>
      </c>
    </row>
    <row r="5610" spans="1:10" x14ac:dyDescent="0.25">
      <c r="A5610" t="s">
        <v>8</v>
      </c>
      <c r="B5610" t="s">
        <v>15831</v>
      </c>
      <c r="C5610" t="s">
        <v>15832</v>
      </c>
      <c r="D5610">
        <v>1</v>
      </c>
      <c r="E5610" t="s">
        <v>15816</v>
      </c>
      <c r="F5610" t="s">
        <v>15817</v>
      </c>
      <c r="G5610" s="1"/>
      <c r="H5610" t="str">
        <f>"3250618500103"</f>
        <v>3250618500103</v>
      </c>
      <c r="J5610" t="s">
        <v>15833</v>
      </c>
    </row>
    <row r="5611" spans="1:10" x14ac:dyDescent="0.25">
      <c r="A5611" t="s">
        <v>8</v>
      </c>
      <c r="B5611" t="s">
        <v>15834</v>
      </c>
      <c r="C5611" t="s">
        <v>15835</v>
      </c>
      <c r="D5611">
        <v>1</v>
      </c>
      <c r="E5611" t="s">
        <v>15816</v>
      </c>
      <c r="F5611" t="s">
        <v>15817</v>
      </c>
      <c r="G5611" s="1"/>
      <c r="H5611" t="str">
        <f>"3250618500110"</f>
        <v>3250618500110</v>
      </c>
      <c r="J5611" t="s">
        <v>15833</v>
      </c>
    </row>
    <row r="5612" spans="1:10" x14ac:dyDescent="0.25">
      <c r="A5612" t="s">
        <v>8</v>
      </c>
      <c r="B5612" t="s">
        <v>15836</v>
      </c>
      <c r="C5612" t="s">
        <v>15837</v>
      </c>
      <c r="D5612">
        <v>1</v>
      </c>
      <c r="E5612" t="s">
        <v>15816</v>
      </c>
      <c r="F5612" t="s">
        <v>15817</v>
      </c>
      <c r="G5612" s="1"/>
      <c r="H5612" t="str">
        <f>"3250618500127"</f>
        <v>3250618500127</v>
      </c>
      <c r="J5612" t="s">
        <v>15838</v>
      </c>
    </row>
    <row r="5613" spans="1:10" x14ac:dyDescent="0.25">
      <c r="A5613" t="s">
        <v>8</v>
      </c>
      <c r="B5613" t="s">
        <v>15839</v>
      </c>
      <c r="C5613" t="s">
        <v>15840</v>
      </c>
      <c r="D5613">
        <v>1</v>
      </c>
      <c r="E5613" t="s">
        <v>15816</v>
      </c>
      <c r="F5613" t="s">
        <v>15817</v>
      </c>
      <c r="G5613" s="1"/>
      <c r="H5613" t="str">
        <f>"3250618500134"</f>
        <v>3250618500134</v>
      </c>
      <c r="J5613" t="s">
        <v>15838</v>
      </c>
    </row>
    <row r="5614" spans="1:10" x14ac:dyDescent="0.25">
      <c r="A5614" t="s">
        <v>8</v>
      </c>
      <c r="B5614" t="s">
        <v>15841</v>
      </c>
      <c r="C5614" t="s">
        <v>15842</v>
      </c>
      <c r="D5614">
        <v>1</v>
      </c>
      <c r="E5614" t="s">
        <v>15816</v>
      </c>
      <c r="F5614" t="s">
        <v>15817</v>
      </c>
      <c r="G5614" s="1"/>
      <c r="H5614" t="str">
        <f>"3250618500141"</f>
        <v>3250618500141</v>
      </c>
      <c r="J5614" t="s">
        <v>15843</v>
      </c>
    </row>
    <row r="5615" spans="1:10" x14ac:dyDescent="0.25">
      <c r="A5615" t="s">
        <v>8</v>
      </c>
      <c r="B5615" t="s">
        <v>15844</v>
      </c>
      <c r="C5615" t="s">
        <v>15845</v>
      </c>
      <c r="D5615">
        <v>1</v>
      </c>
      <c r="E5615" t="s">
        <v>15816</v>
      </c>
      <c r="F5615" t="s">
        <v>15817</v>
      </c>
      <c r="G5615" s="1"/>
      <c r="H5615" t="str">
        <f>"3250618500158"</f>
        <v>3250618500158</v>
      </c>
      <c r="J5615" t="s">
        <v>15843</v>
      </c>
    </row>
    <row r="5616" spans="1:10" x14ac:dyDescent="0.25">
      <c r="A5616" t="s">
        <v>8</v>
      </c>
      <c r="B5616" t="s">
        <v>15846</v>
      </c>
      <c r="C5616" t="s">
        <v>15847</v>
      </c>
      <c r="D5616">
        <v>1</v>
      </c>
      <c r="E5616" t="s">
        <v>15816</v>
      </c>
      <c r="F5616" t="s">
        <v>15817</v>
      </c>
      <c r="G5616" s="1"/>
      <c r="H5616" t="str">
        <f>"3250618500165"</f>
        <v>3250618500165</v>
      </c>
      <c r="J5616" t="s">
        <v>15848</v>
      </c>
    </row>
    <row r="5617" spans="1:10" x14ac:dyDescent="0.25">
      <c r="A5617" t="s">
        <v>8</v>
      </c>
      <c r="B5617" t="s">
        <v>15849</v>
      </c>
      <c r="C5617" t="s">
        <v>15850</v>
      </c>
      <c r="D5617">
        <v>1</v>
      </c>
      <c r="E5617" t="s">
        <v>15816</v>
      </c>
      <c r="F5617" t="s">
        <v>15817</v>
      </c>
      <c r="G5617" s="1"/>
      <c r="H5617" t="str">
        <f>"3250618500172"</f>
        <v>3250618500172</v>
      </c>
      <c r="J5617" t="s">
        <v>15848</v>
      </c>
    </row>
    <row r="5618" spans="1:10" x14ac:dyDescent="0.25">
      <c r="A5618" t="s">
        <v>8</v>
      </c>
      <c r="B5618" t="s">
        <v>15851</v>
      </c>
      <c r="C5618" t="s">
        <v>15852</v>
      </c>
      <c r="D5618">
        <v>1</v>
      </c>
      <c r="E5618" t="s">
        <v>15816</v>
      </c>
      <c r="F5618" t="s">
        <v>15817</v>
      </c>
      <c r="G5618" s="1"/>
      <c r="H5618" t="str">
        <f>"3250618500189"</f>
        <v>3250618500189</v>
      </c>
      <c r="J5618" t="s">
        <v>15853</v>
      </c>
    </row>
    <row r="5619" spans="1:10" x14ac:dyDescent="0.25">
      <c r="A5619" t="s">
        <v>8</v>
      </c>
      <c r="B5619" t="s">
        <v>15854</v>
      </c>
      <c r="C5619" t="s">
        <v>15855</v>
      </c>
      <c r="D5619">
        <v>1</v>
      </c>
      <c r="E5619" t="s">
        <v>15816</v>
      </c>
      <c r="F5619" t="s">
        <v>15817</v>
      </c>
      <c r="G5619" s="1"/>
      <c r="H5619" t="str">
        <f>"3250618500196"</f>
        <v>3250618500196</v>
      </c>
      <c r="J5619" t="s">
        <v>15853</v>
      </c>
    </row>
    <row r="5620" spans="1:10" x14ac:dyDescent="0.25">
      <c r="A5620" t="s">
        <v>8</v>
      </c>
      <c r="B5620" t="s">
        <v>15856</v>
      </c>
      <c r="C5620" t="s">
        <v>15857</v>
      </c>
      <c r="D5620">
        <v>1</v>
      </c>
      <c r="E5620" t="s">
        <v>15816</v>
      </c>
      <c r="F5620" t="s">
        <v>15817</v>
      </c>
      <c r="G5620" s="1"/>
      <c r="H5620" t="str">
        <f>"3250618500202"</f>
        <v>3250618500202</v>
      </c>
      <c r="J5620" t="s">
        <v>15858</v>
      </c>
    </row>
    <row r="5621" spans="1:10" x14ac:dyDescent="0.25">
      <c r="A5621" t="s">
        <v>8</v>
      </c>
      <c r="B5621" t="s">
        <v>15859</v>
      </c>
      <c r="C5621" t="s">
        <v>15860</v>
      </c>
      <c r="D5621">
        <v>1</v>
      </c>
      <c r="E5621" t="s">
        <v>15816</v>
      </c>
      <c r="F5621" t="s">
        <v>15817</v>
      </c>
      <c r="G5621" s="1"/>
      <c r="H5621" t="str">
        <f>"3250618500219"</f>
        <v>3250618500219</v>
      </c>
      <c r="J5621" t="s">
        <v>15858</v>
      </c>
    </row>
    <row r="5622" spans="1:10" x14ac:dyDescent="0.25">
      <c r="A5622" t="s">
        <v>8</v>
      </c>
      <c r="B5622" t="s">
        <v>15861</v>
      </c>
      <c r="C5622" t="s">
        <v>15862</v>
      </c>
      <c r="D5622">
        <v>1</v>
      </c>
      <c r="E5622" t="s">
        <v>15816</v>
      </c>
      <c r="F5622" t="s">
        <v>15817</v>
      </c>
      <c r="G5622" s="1"/>
      <c r="H5622" t="str">
        <f>"3250618500226"</f>
        <v>3250618500226</v>
      </c>
      <c r="J5622" t="s">
        <v>15863</v>
      </c>
    </row>
    <row r="5623" spans="1:10" x14ac:dyDescent="0.25">
      <c r="A5623" t="s">
        <v>8</v>
      </c>
      <c r="B5623" t="s">
        <v>15864</v>
      </c>
      <c r="C5623" t="s">
        <v>15865</v>
      </c>
      <c r="D5623">
        <v>1</v>
      </c>
      <c r="E5623" t="s">
        <v>15816</v>
      </c>
      <c r="F5623" t="s">
        <v>15817</v>
      </c>
      <c r="G5623" s="1"/>
      <c r="H5623" t="str">
        <f>"3250618500233"</f>
        <v>3250618500233</v>
      </c>
      <c r="J5623" t="s">
        <v>15863</v>
      </c>
    </row>
    <row r="5624" spans="1:10" x14ac:dyDescent="0.25">
      <c r="A5624" t="s">
        <v>8</v>
      </c>
      <c r="B5624" t="s">
        <v>15866</v>
      </c>
      <c r="C5624" t="s">
        <v>15867</v>
      </c>
      <c r="D5624">
        <v>1</v>
      </c>
      <c r="E5624" t="s">
        <v>15816</v>
      </c>
      <c r="F5624" t="s">
        <v>15817</v>
      </c>
      <c r="G5624" s="1"/>
      <c r="H5624" t="str">
        <f>"3250618500240"</f>
        <v>3250618500240</v>
      </c>
      <c r="J5624" t="s">
        <v>15868</v>
      </c>
    </row>
    <row r="5625" spans="1:10" x14ac:dyDescent="0.25">
      <c r="A5625" t="s">
        <v>8</v>
      </c>
      <c r="B5625" t="s">
        <v>15869</v>
      </c>
      <c r="C5625" t="s">
        <v>15870</v>
      </c>
      <c r="D5625">
        <v>1</v>
      </c>
      <c r="E5625" t="s">
        <v>15816</v>
      </c>
      <c r="F5625" t="s">
        <v>15817</v>
      </c>
      <c r="G5625" s="1"/>
      <c r="H5625" t="str">
        <f>"3250618500257"</f>
        <v>3250618500257</v>
      </c>
      <c r="J5625" t="s">
        <v>15868</v>
      </c>
    </row>
    <row r="5626" spans="1:10" x14ac:dyDescent="0.25">
      <c r="A5626" t="s">
        <v>8</v>
      </c>
      <c r="B5626" t="s">
        <v>15871</v>
      </c>
      <c r="C5626" t="s">
        <v>15872</v>
      </c>
      <c r="D5626">
        <v>1</v>
      </c>
      <c r="E5626" t="s">
        <v>15816</v>
      </c>
      <c r="F5626" t="s">
        <v>15817</v>
      </c>
      <c r="G5626" s="1"/>
      <c r="H5626" t="str">
        <f>"3250618500264"</f>
        <v>3250618500264</v>
      </c>
      <c r="J5626" t="s">
        <v>15873</v>
      </c>
    </row>
    <row r="5627" spans="1:10" x14ac:dyDescent="0.25">
      <c r="A5627" t="s">
        <v>8</v>
      </c>
      <c r="B5627" t="s">
        <v>15874</v>
      </c>
      <c r="C5627" t="s">
        <v>15875</v>
      </c>
      <c r="D5627">
        <v>1</v>
      </c>
      <c r="E5627" t="s">
        <v>15816</v>
      </c>
      <c r="F5627" t="s">
        <v>15817</v>
      </c>
      <c r="G5627" s="1"/>
      <c r="H5627" t="str">
        <f>"3250618500271"</f>
        <v>3250618500271</v>
      </c>
      <c r="J5627" t="s">
        <v>15873</v>
      </c>
    </row>
    <row r="5628" spans="1:10" x14ac:dyDescent="0.25">
      <c r="A5628" t="s">
        <v>8</v>
      </c>
      <c r="B5628" t="s">
        <v>15876</v>
      </c>
      <c r="C5628" t="s">
        <v>15877</v>
      </c>
      <c r="D5628">
        <v>1</v>
      </c>
      <c r="E5628" t="s">
        <v>15816</v>
      </c>
      <c r="F5628" t="s">
        <v>15817</v>
      </c>
      <c r="G5628" s="1"/>
      <c r="H5628" t="str">
        <f>"3250610131565"</f>
        <v>3250610131565</v>
      </c>
      <c r="J5628" t="s">
        <v>15823</v>
      </c>
    </row>
    <row r="5629" spans="1:10" x14ac:dyDescent="0.25">
      <c r="A5629" t="s">
        <v>8</v>
      </c>
      <c r="B5629" t="s">
        <v>15878</v>
      </c>
      <c r="C5629" t="s">
        <v>15879</v>
      </c>
      <c r="D5629">
        <v>1</v>
      </c>
      <c r="E5629" t="s">
        <v>15816</v>
      </c>
      <c r="F5629" t="s">
        <v>15817</v>
      </c>
      <c r="G5629" s="1"/>
      <c r="H5629" t="str">
        <f>"3250610131572"</f>
        <v>3250610131572</v>
      </c>
      <c r="J5629" t="s">
        <v>15833</v>
      </c>
    </row>
    <row r="5630" spans="1:10" x14ac:dyDescent="0.25">
      <c r="A5630" t="s">
        <v>8</v>
      </c>
      <c r="B5630" t="s">
        <v>15880</v>
      </c>
      <c r="C5630" t="s">
        <v>15881</v>
      </c>
      <c r="D5630">
        <v>1</v>
      </c>
      <c r="E5630" t="s">
        <v>15816</v>
      </c>
      <c r="F5630" t="s">
        <v>15817</v>
      </c>
      <c r="G5630" s="1"/>
      <c r="H5630" t="str">
        <f>"3250610131589"</f>
        <v>3250610131589</v>
      </c>
      <c r="J5630" t="s">
        <v>15843</v>
      </c>
    </row>
    <row r="5631" spans="1:10" x14ac:dyDescent="0.25">
      <c r="A5631" t="s">
        <v>8</v>
      </c>
      <c r="B5631" t="s">
        <v>15882</v>
      </c>
      <c r="C5631" t="s">
        <v>15883</v>
      </c>
      <c r="D5631">
        <v>1</v>
      </c>
      <c r="E5631" t="s">
        <v>15816</v>
      </c>
      <c r="F5631" t="s">
        <v>15817</v>
      </c>
      <c r="G5631" s="1"/>
      <c r="H5631" t="str">
        <f>"3250610131596"</f>
        <v>3250610131596</v>
      </c>
      <c r="J5631" t="s">
        <v>15853</v>
      </c>
    </row>
    <row r="5632" spans="1:10" x14ac:dyDescent="0.25">
      <c r="A5632" t="s">
        <v>8</v>
      </c>
      <c r="B5632" t="s">
        <v>15884</v>
      </c>
      <c r="C5632" t="s">
        <v>15885</v>
      </c>
      <c r="D5632">
        <v>1</v>
      </c>
      <c r="E5632" t="s">
        <v>15816</v>
      </c>
      <c r="F5632" t="s">
        <v>15817</v>
      </c>
      <c r="G5632" s="1"/>
      <c r="H5632" t="str">
        <f>"3250610131602"</f>
        <v>3250610131602</v>
      </c>
      <c r="J5632" t="s">
        <v>15863</v>
      </c>
    </row>
    <row r="5633" spans="1:10" x14ac:dyDescent="0.25">
      <c r="A5633" t="s">
        <v>8</v>
      </c>
      <c r="B5633" t="s">
        <v>15886</v>
      </c>
      <c r="C5633" t="s">
        <v>15887</v>
      </c>
      <c r="D5633">
        <v>1</v>
      </c>
      <c r="E5633" t="s">
        <v>15816</v>
      </c>
      <c r="F5633" t="s">
        <v>15817</v>
      </c>
      <c r="G5633" s="1"/>
      <c r="H5633" t="str">
        <f>"3250610131619"</f>
        <v>3250610131619</v>
      </c>
      <c r="J5633" t="s">
        <v>15873</v>
      </c>
    </row>
    <row r="5634" spans="1:10" x14ac:dyDescent="0.25">
      <c r="A5634" t="s">
        <v>8</v>
      </c>
      <c r="B5634" t="s">
        <v>15888</v>
      </c>
      <c r="C5634" t="s">
        <v>15889</v>
      </c>
      <c r="D5634">
        <v>1</v>
      </c>
      <c r="E5634" t="s">
        <v>15890</v>
      </c>
      <c r="F5634" t="s">
        <v>15891</v>
      </c>
      <c r="G5634" s="1"/>
      <c r="H5634" t="str">
        <f>"3250617190015"</f>
        <v>3250617190015</v>
      </c>
      <c r="J5634" t="s">
        <v>15892</v>
      </c>
    </row>
    <row r="5635" spans="1:10" x14ac:dyDescent="0.25">
      <c r="A5635" t="s">
        <v>8</v>
      </c>
      <c r="B5635" t="s">
        <v>15893</v>
      </c>
      <c r="C5635" t="s">
        <v>15894</v>
      </c>
      <c r="D5635">
        <v>1</v>
      </c>
      <c r="E5635" t="s">
        <v>15890</v>
      </c>
      <c r="F5635" t="s">
        <v>15891</v>
      </c>
      <c r="G5635" s="1"/>
      <c r="H5635" t="str">
        <f>"3250617190053"</f>
        <v>3250617190053</v>
      </c>
      <c r="J5635" t="s">
        <v>15895</v>
      </c>
    </row>
    <row r="5636" spans="1:10" x14ac:dyDescent="0.25">
      <c r="A5636" t="s">
        <v>8</v>
      </c>
      <c r="B5636" t="s">
        <v>15896</v>
      </c>
      <c r="C5636" t="s">
        <v>15897</v>
      </c>
      <c r="D5636">
        <v>1</v>
      </c>
      <c r="E5636" t="s">
        <v>15890</v>
      </c>
      <c r="F5636" t="s">
        <v>15891</v>
      </c>
      <c r="G5636" s="1"/>
      <c r="H5636" t="str">
        <f>"3250617190084"</f>
        <v>3250617190084</v>
      </c>
      <c r="J5636" t="s">
        <v>15898</v>
      </c>
    </row>
    <row r="5637" spans="1:10" x14ac:dyDescent="0.25">
      <c r="A5637" t="s">
        <v>8</v>
      </c>
      <c r="B5637" t="s">
        <v>15899</v>
      </c>
      <c r="C5637" t="s">
        <v>15900</v>
      </c>
      <c r="D5637">
        <v>1</v>
      </c>
      <c r="E5637" t="s">
        <v>15890</v>
      </c>
      <c r="F5637" t="s">
        <v>15891</v>
      </c>
      <c r="G5637" s="1"/>
      <c r="H5637" t="str">
        <f>"3250617190244"</f>
        <v>3250617190244</v>
      </c>
      <c r="J5637" t="s">
        <v>15901</v>
      </c>
    </row>
    <row r="5638" spans="1:10" x14ac:dyDescent="0.25">
      <c r="A5638" t="s">
        <v>8</v>
      </c>
      <c r="B5638" t="s">
        <v>15902</v>
      </c>
      <c r="C5638" t="s">
        <v>15903</v>
      </c>
      <c r="D5638">
        <v>1</v>
      </c>
      <c r="E5638" t="s">
        <v>15890</v>
      </c>
      <c r="F5638" t="s">
        <v>15891</v>
      </c>
      <c r="G5638" s="1"/>
      <c r="H5638" t="str">
        <f>"3250617191029"</f>
        <v>3250617191029</v>
      </c>
      <c r="J5638" t="s">
        <v>15904</v>
      </c>
    </row>
    <row r="5639" spans="1:10" x14ac:dyDescent="0.25">
      <c r="A5639" t="s">
        <v>8</v>
      </c>
      <c r="B5639" t="s">
        <v>15905</v>
      </c>
      <c r="C5639" t="s">
        <v>15906</v>
      </c>
      <c r="D5639">
        <v>1</v>
      </c>
      <c r="E5639" t="s">
        <v>15890</v>
      </c>
      <c r="F5639" t="s">
        <v>15891</v>
      </c>
      <c r="G5639" s="1"/>
      <c r="H5639" t="str">
        <f>"3250617191050"</f>
        <v>3250617191050</v>
      </c>
      <c r="J5639" t="s">
        <v>15907</v>
      </c>
    </row>
    <row r="5640" spans="1:10" x14ac:dyDescent="0.25">
      <c r="A5640" t="s">
        <v>8</v>
      </c>
      <c r="B5640" t="s">
        <v>15908</v>
      </c>
      <c r="C5640" t="s">
        <v>15909</v>
      </c>
      <c r="D5640">
        <v>1</v>
      </c>
      <c r="E5640" t="s">
        <v>15890</v>
      </c>
      <c r="F5640" t="s">
        <v>15891</v>
      </c>
      <c r="G5640" s="1"/>
      <c r="H5640" t="str">
        <f>"3250617191227"</f>
        <v>3250617191227</v>
      </c>
      <c r="J5640" t="s">
        <v>15910</v>
      </c>
    </row>
    <row r="5641" spans="1:10" x14ac:dyDescent="0.25">
      <c r="A5641" t="s">
        <v>8</v>
      </c>
      <c r="B5641" t="s">
        <v>15911</v>
      </c>
      <c r="C5641" t="s">
        <v>15912</v>
      </c>
      <c r="D5641">
        <v>1</v>
      </c>
      <c r="E5641" t="s">
        <v>15890</v>
      </c>
      <c r="F5641" t="s">
        <v>15891</v>
      </c>
      <c r="G5641" s="1"/>
      <c r="H5641" t="str">
        <f>"3250617191234"</f>
        <v>3250617191234</v>
      </c>
      <c r="J5641" t="s">
        <v>15913</v>
      </c>
    </row>
    <row r="5642" spans="1:10" x14ac:dyDescent="0.25">
      <c r="A5642" t="s">
        <v>8</v>
      </c>
      <c r="B5642" t="s">
        <v>15914</v>
      </c>
      <c r="C5642" t="s">
        <v>15915</v>
      </c>
      <c r="D5642">
        <v>1</v>
      </c>
      <c r="E5642" t="s">
        <v>15890</v>
      </c>
      <c r="F5642" t="s">
        <v>15891</v>
      </c>
      <c r="G5642" s="1"/>
      <c r="H5642" t="str">
        <f>"3250617191609"</f>
        <v>3250617191609</v>
      </c>
      <c r="J5642" t="s">
        <v>15916</v>
      </c>
    </row>
    <row r="5643" spans="1:10" x14ac:dyDescent="0.25">
      <c r="A5643" t="s">
        <v>8</v>
      </c>
      <c r="B5643" t="s">
        <v>15917</v>
      </c>
      <c r="C5643" t="s">
        <v>15918</v>
      </c>
      <c r="D5643">
        <v>1</v>
      </c>
      <c r="E5643" t="s">
        <v>15890</v>
      </c>
      <c r="F5643" t="s">
        <v>15891</v>
      </c>
      <c r="G5643" s="1"/>
      <c r="H5643" t="str">
        <f>"3250617191678"</f>
        <v>3250617191678</v>
      </c>
      <c r="J5643" t="s">
        <v>15916</v>
      </c>
    </row>
    <row r="5644" spans="1:10" x14ac:dyDescent="0.25">
      <c r="A5644" t="s">
        <v>8</v>
      </c>
      <c r="B5644" t="s">
        <v>15919</v>
      </c>
      <c r="C5644" t="s">
        <v>15920</v>
      </c>
      <c r="D5644">
        <v>1</v>
      </c>
      <c r="E5644" t="s">
        <v>15890</v>
      </c>
      <c r="F5644" t="s">
        <v>15891</v>
      </c>
      <c r="G5644" s="1"/>
      <c r="H5644" t="str">
        <f>"3250617191685"</f>
        <v>3250617191685</v>
      </c>
      <c r="J5644" t="s">
        <v>15921</v>
      </c>
    </row>
    <row r="5645" spans="1:10" x14ac:dyDescent="0.25">
      <c r="A5645" t="s">
        <v>8</v>
      </c>
      <c r="B5645" t="s">
        <v>15922</v>
      </c>
      <c r="C5645" t="s">
        <v>15923</v>
      </c>
      <c r="D5645">
        <v>1</v>
      </c>
      <c r="E5645" t="s">
        <v>15890</v>
      </c>
      <c r="F5645" t="s">
        <v>15891</v>
      </c>
      <c r="G5645" s="1"/>
      <c r="H5645" t="str">
        <f>"3250617191661"</f>
        <v>3250617191661</v>
      </c>
      <c r="J5645" t="s">
        <v>11407</v>
      </c>
    </row>
    <row r="5646" spans="1:10" x14ac:dyDescent="0.25">
      <c r="A5646" t="s">
        <v>8</v>
      </c>
      <c r="B5646" t="s">
        <v>15924</v>
      </c>
      <c r="C5646" t="s">
        <v>15925</v>
      </c>
      <c r="D5646">
        <v>1</v>
      </c>
      <c r="E5646" t="s">
        <v>15890</v>
      </c>
      <c r="F5646" t="s">
        <v>15891</v>
      </c>
      <c r="G5646" s="1"/>
      <c r="H5646" t="str">
        <f>"3250617191692"</f>
        <v>3250617191692</v>
      </c>
      <c r="J5646" t="s">
        <v>15921</v>
      </c>
    </row>
    <row r="5647" spans="1:10" x14ac:dyDescent="0.25">
      <c r="A5647" t="s">
        <v>8</v>
      </c>
      <c r="B5647" t="s">
        <v>15926</v>
      </c>
      <c r="C5647" t="s">
        <v>15927</v>
      </c>
      <c r="D5647">
        <v>1</v>
      </c>
      <c r="E5647" t="s">
        <v>15890</v>
      </c>
      <c r="F5647" t="s">
        <v>15891</v>
      </c>
      <c r="G5647" s="1"/>
      <c r="H5647" t="str">
        <f>"3250617191791"</f>
        <v>3250617191791</v>
      </c>
      <c r="J5647" t="s">
        <v>11407</v>
      </c>
    </row>
    <row r="5648" spans="1:10" x14ac:dyDescent="0.25">
      <c r="A5648" t="s">
        <v>8</v>
      </c>
      <c r="B5648" t="s">
        <v>15928</v>
      </c>
      <c r="C5648" t="s">
        <v>15929</v>
      </c>
      <c r="D5648">
        <v>1</v>
      </c>
      <c r="E5648" t="s">
        <v>15890</v>
      </c>
      <c r="F5648" t="s">
        <v>15891</v>
      </c>
      <c r="G5648" s="1"/>
      <c r="H5648" t="str">
        <f>"3250617191807"</f>
        <v>3250617191807</v>
      </c>
      <c r="J5648" t="s">
        <v>15921</v>
      </c>
    </row>
    <row r="5649" spans="1:10" x14ac:dyDescent="0.25">
      <c r="A5649" t="s">
        <v>8</v>
      </c>
      <c r="B5649" t="s">
        <v>15930</v>
      </c>
      <c r="C5649" t="s">
        <v>15931</v>
      </c>
      <c r="D5649">
        <v>1</v>
      </c>
      <c r="E5649" t="s">
        <v>15890</v>
      </c>
      <c r="F5649" t="s">
        <v>15891</v>
      </c>
      <c r="G5649" s="1"/>
      <c r="H5649" t="str">
        <f>"3250617191654"</f>
        <v>3250617191654</v>
      </c>
      <c r="J5649" t="s">
        <v>15932</v>
      </c>
    </row>
    <row r="5650" spans="1:10" x14ac:dyDescent="0.25">
      <c r="A5650" t="s">
        <v>8</v>
      </c>
      <c r="B5650" t="s">
        <v>15933</v>
      </c>
      <c r="C5650" t="s">
        <v>15934</v>
      </c>
      <c r="D5650">
        <v>1</v>
      </c>
      <c r="E5650" t="s">
        <v>15890</v>
      </c>
      <c r="F5650" t="s">
        <v>15891</v>
      </c>
      <c r="G5650" s="1"/>
      <c r="H5650" t="str">
        <f>"3250617191814"</f>
        <v>3250617191814</v>
      </c>
      <c r="J5650" t="s">
        <v>15921</v>
      </c>
    </row>
    <row r="5651" spans="1:10" x14ac:dyDescent="0.25">
      <c r="A5651" t="s">
        <v>8</v>
      </c>
      <c r="B5651" t="s">
        <v>15935</v>
      </c>
      <c r="C5651" t="s">
        <v>15936</v>
      </c>
      <c r="D5651">
        <v>1</v>
      </c>
      <c r="E5651" t="s">
        <v>15890</v>
      </c>
      <c r="F5651" t="s">
        <v>15891</v>
      </c>
      <c r="G5651" s="1"/>
      <c r="H5651" t="str">
        <f>"3250617191821"</f>
        <v>3250617191821</v>
      </c>
      <c r="J5651" t="s">
        <v>15921</v>
      </c>
    </row>
    <row r="5652" spans="1:10" x14ac:dyDescent="0.25">
      <c r="A5652" t="s">
        <v>8</v>
      </c>
      <c r="B5652" t="s">
        <v>15937</v>
      </c>
      <c r="C5652" t="s">
        <v>15938</v>
      </c>
      <c r="D5652">
        <v>1</v>
      </c>
      <c r="E5652" t="s">
        <v>15890</v>
      </c>
      <c r="F5652" t="s">
        <v>15891</v>
      </c>
      <c r="G5652" s="1"/>
      <c r="H5652" t="str">
        <f>"3250617192002"</f>
        <v>3250617192002</v>
      </c>
      <c r="J5652" t="s">
        <v>15939</v>
      </c>
    </row>
    <row r="5653" spans="1:10" x14ac:dyDescent="0.25">
      <c r="A5653" t="s">
        <v>8</v>
      </c>
      <c r="B5653" t="s">
        <v>15940</v>
      </c>
      <c r="C5653" t="s">
        <v>15941</v>
      </c>
      <c r="D5653">
        <v>1</v>
      </c>
      <c r="E5653" t="s">
        <v>15890</v>
      </c>
      <c r="F5653" t="s">
        <v>15891</v>
      </c>
      <c r="G5653" s="1"/>
      <c r="H5653" t="str">
        <f>"3250617192507"</f>
        <v>3250617192507</v>
      </c>
      <c r="J5653" t="s">
        <v>11284</v>
      </c>
    </row>
    <row r="5654" spans="1:10" x14ac:dyDescent="0.25">
      <c r="A5654" t="s">
        <v>8</v>
      </c>
      <c r="B5654" t="s">
        <v>15942</v>
      </c>
      <c r="C5654" t="s">
        <v>15943</v>
      </c>
      <c r="D5654">
        <v>1</v>
      </c>
      <c r="E5654" t="s">
        <v>15890</v>
      </c>
      <c r="F5654" t="s">
        <v>15891</v>
      </c>
      <c r="G5654" s="1"/>
      <c r="H5654" t="str">
        <f>"3250617192514"</f>
        <v>3250617192514</v>
      </c>
      <c r="J5654" t="s">
        <v>15944</v>
      </c>
    </row>
    <row r="5655" spans="1:10" x14ac:dyDescent="0.25">
      <c r="A5655" t="s">
        <v>8</v>
      </c>
      <c r="B5655" t="s">
        <v>15945</v>
      </c>
      <c r="C5655" t="s">
        <v>15946</v>
      </c>
      <c r="D5655">
        <v>1</v>
      </c>
      <c r="E5655" t="s">
        <v>15890</v>
      </c>
      <c r="F5655" t="s">
        <v>15891</v>
      </c>
      <c r="G5655" s="1"/>
      <c r="H5655" t="str">
        <f>"3250617192538"</f>
        <v>3250617192538</v>
      </c>
      <c r="J5655" t="s">
        <v>15947</v>
      </c>
    </row>
    <row r="5656" spans="1:10" x14ac:dyDescent="0.25">
      <c r="A5656" t="s">
        <v>8</v>
      </c>
      <c r="B5656" t="s">
        <v>15948</v>
      </c>
      <c r="C5656" t="s">
        <v>15949</v>
      </c>
      <c r="D5656">
        <v>1</v>
      </c>
      <c r="E5656" t="s">
        <v>15890</v>
      </c>
      <c r="F5656" t="s">
        <v>15891</v>
      </c>
      <c r="G5656" s="1"/>
      <c r="H5656" t="str">
        <f>"3250617192545"</f>
        <v>3250617192545</v>
      </c>
      <c r="J5656" t="s">
        <v>15950</v>
      </c>
    </row>
    <row r="5657" spans="1:10" x14ac:dyDescent="0.25">
      <c r="A5657" t="s">
        <v>8</v>
      </c>
      <c r="B5657" t="s">
        <v>15951</v>
      </c>
      <c r="C5657" t="s">
        <v>15952</v>
      </c>
      <c r="D5657">
        <v>1</v>
      </c>
      <c r="E5657" t="s">
        <v>15890</v>
      </c>
      <c r="F5657" t="s">
        <v>15891</v>
      </c>
      <c r="G5657" s="1"/>
      <c r="H5657" t="str">
        <f>"3250617192569"</f>
        <v>3250617192569</v>
      </c>
      <c r="J5657" t="s">
        <v>15953</v>
      </c>
    </row>
    <row r="5658" spans="1:10" x14ac:dyDescent="0.25">
      <c r="A5658" t="s">
        <v>8</v>
      </c>
      <c r="B5658" t="s">
        <v>15954</v>
      </c>
      <c r="C5658" t="s">
        <v>15955</v>
      </c>
      <c r="D5658">
        <v>1</v>
      </c>
      <c r="E5658" t="s">
        <v>15890</v>
      </c>
      <c r="F5658" t="s">
        <v>15891</v>
      </c>
      <c r="G5658" s="1"/>
      <c r="H5658" t="str">
        <f>"3250617192576"</f>
        <v>3250617192576</v>
      </c>
      <c r="J5658" t="s">
        <v>15901</v>
      </c>
    </row>
    <row r="5659" spans="1:10" x14ac:dyDescent="0.25">
      <c r="A5659" t="s">
        <v>8</v>
      </c>
      <c r="B5659" t="s">
        <v>15956</v>
      </c>
      <c r="C5659" t="s">
        <v>15957</v>
      </c>
      <c r="D5659">
        <v>1</v>
      </c>
      <c r="E5659" t="s">
        <v>15890</v>
      </c>
      <c r="F5659" t="s">
        <v>15891</v>
      </c>
      <c r="G5659" s="1"/>
      <c r="H5659" t="str">
        <f>"3250617192583"</f>
        <v>3250617192583</v>
      </c>
      <c r="J5659" t="s">
        <v>15958</v>
      </c>
    </row>
    <row r="5660" spans="1:10" x14ac:dyDescent="0.25">
      <c r="A5660" t="s">
        <v>8</v>
      </c>
      <c r="B5660" t="s">
        <v>15959</v>
      </c>
      <c r="C5660" t="s">
        <v>15960</v>
      </c>
      <c r="D5660">
        <v>1</v>
      </c>
      <c r="E5660" t="s">
        <v>15890</v>
      </c>
      <c r="F5660" t="s">
        <v>15891</v>
      </c>
      <c r="G5660" s="1"/>
      <c r="H5660" t="str">
        <f>"3250617192590"</f>
        <v>3250617192590</v>
      </c>
      <c r="J5660" t="s">
        <v>15961</v>
      </c>
    </row>
    <row r="5661" spans="1:10" x14ac:dyDescent="0.25">
      <c r="A5661" t="s">
        <v>8</v>
      </c>
      <c r="B5661" t="s">
        <v>15962</v>
      </c>
      <c r="C5661" t="s">
        <v>15963</v>
      </c>
      <c r="D5661">
        <v>1</v>
      </c>
      <c r="E5661" t="s">
        <v>15890</v>
      </c>
      <c r="F5661" t="s">
        <v>15891</v>
      </c>
      <c r="G5661" s="1"/>
      <c r="H5661" t="str">
        <f>"3250617193009"</f>
        <v>3250617193009</v>
      </c>
      <c r="J5661" t="s">
        <v>15964</v>
      </c>
    </row>
    <row r="5662" spans="1:10" x14ac:dyDescent="0.25">
      <c r="A5662" t="s">
        <v>8</v>
      </c>
      <c r="B5662" t="s">
        <v>15965</v>
      </c>
      <c r="C5662" t="s">
        <v>15966</v>
      </c>
      <c r="D5662">
        <v>1</v>
      </c>
      <c r="E5662" t="s">
        <v>15890</v>
      </c>
      <c r="F5662" t="s">
        <v>15891</v>
      </c>
      <c r="G5662" s="1"/>
      <c r="H5662" t="str">
        <f>"3250617193016"</f>
        <v>3250617193016</v>
      </c>
      <c r="J5662" t="s">
        <v>15967</v>
      </c>
    </row>
    <row r="5663" spans="1:10" x14ac:dyDescent="0.25">
      <c r="A5663" t="s">
        <v>8</v>
      </c>
      <c r="B5663" t="s">
        <v>15968</v>
      </c>
      <c r="C5663" t="s">
        <v>15969</v>
      </c>
      <c r="D5663">
        <v>1</v>
      </c>
      <c r="E5663" t="s">
        <v>15890</v>
      </c>
      <c r="F5663" t="s">
        <v>15891</v>
      </c>
      <c r="G5663" s="1"/>
      <c r="H5663" t="str">
        <f>"3250617200400"</f>
        <v>3250617200400</v>
      </c>
      <c r="J5663" t="s">
        <v>15970</v>
      </c>
    </row>
    <row r="5664" spans="1:10" x14ac:dyDescent="0.25">
      <c r="A5664" t="s">
        <v>8</v>
      </c>
      <c r="B5664" t="s">
        <v>15971</v>
      </c>
      <c r="C5664" t="s">
        <v>15972</v>
      </c>
      <c r="D5664">
        <v>1</v>
      </c>
      <c r="E5664" t="s">
        <v>15890</v>
      </c>
      <c r="F5664" t="s">
        <v>15891</v>
      </c>
      <c r="G5664" s="1"/>
      <c r="H5664" t="str">
        <f>"3250617200424"</f>
        <v>3250617200424</v>
      </c>
      <c r="J5664" t="s">
        <v>15973</v>
      </c>
    </row>
    <row r="5665" spans="1:10" x14ac:dyDescent="0.25">
      <c r="A5665" t="s">
        <v>8</v>
      </c>
      <c r="B5665" t="s">
        <v>15974</v>
      </c>
      <c r="C5665" t="s">
        <v>15975</v>
      </c>
      <c r="D5665">
        <v>1</v>
      </c>
      <c r="E5665" t="s">
        <v>15890</v>
      </c>
      <c r="F5665" t="s">
        <v>15891</v>
      </c>
      <c r="G5665" s="1"/>
      <c r="H5665" t="str">
        <f>"3250617200417"</f>
        <v>3250617200417</v>
      </c>
      <c r="J5665" t="s">
        <v>15973</v>
      </c>
    </row>
    <row r="5666" spans="1:10" x14ac:dyDescent="0.25">
      <c r="A5666" t="s">
        <v>8</v>
      </c>
      <c r="B5666" t="s">
        <v>15976</v>
      </c>
      <c r="C5666" t="s">
        <v>15977</v>
      </c>
      <c r="D5666">
        <v>1</v>
      </c>
      <c r="E5666" t="s">
        <v>15890</v>
      </c>
      <c r="F5666" t="s">
        <v>15891</v>
      </c>
      <c r="G5666" s="1"/>
      <c r="H5666" t="str">
        <f>"3250617080422"</f>
        <v>3250617080422</v>
      </c>
      <c r="J5666" t="s">
        <v>15979</v>
      </c>
    </row>
    <row r="5667" spans="1:10" x14ac:dyDescent="0.25">
      <c r="A5667" t="s">
        <v>8</v>
      </c>
      <c r="B5667" t="s">
        <v>15980</v>
      </c>
      <c r="C5667" t="s">
        <v>15981</v>
      </c>
      <c r="D5667">
        <v>1</v>
      </c>
      <c r="E5667" t="s">
        <v>15890</v>
      </c>
      <c r="F5667" t="s">
        <v>15891</v>
      </c>
      <c r="G5667" s="1"/>
      <c r="H5667" t="str">
        <f>"3250617200196"</f>
        <v>3250617200196</v>
      </c>
      <c r="J5667" t="s">
        <v>15982</v>
      </c>
    </row>
    <row r="5668" spans="1:10" x14ac:dyDescent="0.25">
      <c r="A5668" t="s">
        <v>8</v>
      </c>
      <c r="B5668" t="s">
        <v>15983</v>
      </c>
      <c r="C5668" t="s">
        <v>15984</v>
      </c>
      <c r="D5668">
        <v>1</v>
      </c>
      <c r="E5668" t="s">
        <v>15890</v>
      </c>
      <c r="F5668" t="s">
        <v>15891</v>
      </c>
      <c r="G5668" s="1"/>
      <c r="H5668" t="str">
        <f>"3250617190428"</f>
        <v>3250617190428</v>
      </c>
      <c r="J5668" t="s">
        <v>15985</v>
      </c>
    </row>
    <row r="5669" spans="1:10" x14ac:dyDescent="0.25">
      <c r="A5669" t="s">
        <v>8</v>
      </c>
      <c r="B5669" t="s">
        <v>15986</v>
      </c>
      <c r="C5669" t="s">
        <v>15987</v>
      </c>
      <c r="D5669">
        <v>1</v>
      </c>
      <c r="E5669" t="s">
        <v>15890</v>
      </c>
      <c r="F5669" t="s">
        <v>15891</v>
      </c>
      <c r="G5669" s="1"/>
      <c r="H5669" t="str">
        <f>"3250610131626"</f>
        <v>3250610131626</v>
      </c>
      <c r="J5669" t="s">
        <v>15988</v>
      </c>
    </row>
    <row r="5670" spans="1:10" x14ac:dyDescent="0.25">
      <c r="A5670" t="s">
        <v>8</v>
      </c>
      <c r="B5670" t="s">
        <v>15989</v>
      </c>
      <c r="C5670" t="s">
        <v>15990</v>
      </c>
      <c r="D5670">
        <v>1</v>
      </c>
      <c r="E5670" t="s">
        <v>15991</v>
      </c>
      <c r="F5670" t="s">
        <v>15992</v>
      </c>
      <c r="G5670" s="1"/>
      <c r="H5670" t="str">
        <f>"3250617190039"</f>
        <v>3250617190039</v>
      </c>
      <c r="J5670" t="s">
        <v>15892</v>
      </c>
    </row>
    <row r="5671" spans="1:10" x14ac:dyDescent="0.25">
      <c r="A5671" t="s">
        <v>8</v>
      </c>
      <c r="B5671" t="s">
        <v>15993</v>
      </c>
      <c r="C5671" t="s">
        <v>15994</v>
      </c>
      <c r="D5671">
        <v>1</v>
      </c>
      <c r="E5671" t="s">
        <v>15991</v>
      </c>
      <c r="F5671" t="s">
        <v>15992</v>
      </c>
      <c r="G5671" s="1"/>
      <c r="H5671" t="str">
        <f>"3250617190237"</f>
        <v>3250617190237</v>
      </c>
      <c r="J5671" t="s">
        <v>15995</v>
      </c>
    </row>
    <row r="5672" spans="1:10" x14ac:dyDescent="0.25">
      <c r="A5672" t="s">
        <v>8</v>
      </c>
      <c r="B5672" t="s">
        <v>15996</v>
      </c>
      <c r="C5672" t="s">
        <v>15997</v>
      </c>
      <c r="D5672">
        <v>1</v>
      </c>
      <c r="E5672" t="s">
        <v>15991</v>
      </c>
      <c r="F5672" t="s">
        <v>15992</v>
      </c>
      <c r="G5672" s="1"/>
      <c r="H5672" t="str">
        <f>"3250617194983"</f>
        <v>3250617194983</v>
      </c>
      <c r="J5672" t="s">
        <v>15998</v>
      </c>
    </row>
    <row r="5673" spans="1:10" x14ac:dyDescent="0.25">
      <c r="A5673" t="s">
        <v>8</v>
      </c>
      <c r="B5673" t="s">
        <v>15999</v>
      </c>
      <c r="C5673" t="s">
        <v>16000</v>
      </c>
      <c r="D5673">
        <v>1</v>
      </c>
      <c r="E5673" t="s">
        <v>15991</v>
      </c>
      <c r="F5673" t="s">
        <v>15992</v>
      </c>
      <c r="G5673" s="1"/>
      <c r="H5673" t="str">
        <f>"3250617195027"</f>
        <v>3250617195027</v>
      </c>
      <c r="J5673" t="s">
        <v>16001</v>
      </c>
    </row>
    <row r="5674" spans="1:10" x14ac:dyDescent="0.25">
      <c r="A5674" t="s">
        <v>8</v>
      </c>
      <c r="B5674" t="s">
        <v>16002</v>
      </c>
      <c r="C5674" t="s">
        <v>16003</v>
      </c>
      <c r="D5674">
        <v>1</v>
      </c>
      <c r="E5674" t="s">
        <v>15991</v>
      </c>
      <c r="F5674" t="s">
        <v>15992</v>
      </c>
      <c r="G5674" s="1"/>
      <c r="H5674" t="str">
        <f>"3250617195041"</f>
        <v>3250617195041</v>
      </c>
      <c r="J5674" t="s">
        <v>16004</v>
      </c>
    </row>
    <row r="5675" spans="1:10" x14ac:dyDescent="0.25">
      <c r="A5675" t="s">
        <v>8</v>
      </c>
      <c r="B5675" t="s">
        <v>16005</v>
      </c>
      <c r="C5675" t="s">
        <v>16006</v>
      </c>
      <c r="D5675">
        <v>1</v>
      </c>
      <c r="E5675" t="s">
        <v>15991</v>
      </c>
      <c r="F5675" t="s">
        <v>15992</v>
      </c>
      <c r="G5675" s="1"/>
      <c r="H5675" t="str">
        <f>"3250617191128"</f>
        <v>3250617191128</v>
      </c>
      <c r="J5675" t="s">
        <v>16007</v>
      </c>
    </row>
    <row r="5676" spans="1:10" x14ac:dyDescent="0.25">
      <c r="A5676" t="s">
        <v>8</v>
      </c>
      <c r="B5676" t="s">
        <v>16008</v>
      </c>
      <c r="C5676" t="s">
        <v>16009</v>
      </c>
      <c r="D5676">
        <v>1</v>
      </c>
      <c r="E5676" t="s">
        <v>15991</v>
      </c>
      <c r="F5676" t="s">
        <v>15992</v>
      </c>
      <c r="G5676" s="1"/>
      <c r="H5676" t="str">
        <f>"3250617190022"</f>
        <v>3250617190022</v>
      </c>
      <c r="J5676" t="s">
        <v>16010</v>
      </c>
    </row>
    <row r="5677" spans="1:10" x14ac:dyDescent="0.25">
      <c r="A5677" t="s">
        <v>8</v>
      </c>
      <c r="B5677" t="s">
        <v>16011</v>
      </c>
      <c r="C5677" t="s">
        <v>16012</v>
      </c>
      <c r="D5677">
        <v>1</v>
      </c>
      <c r="E5677" t="s">
        <v>15991</v>
      </c>
      <c r="F5677" t="s">
        <v>15992</v>
      </c>
      <c r="G5677" s="1"/>
      <c r="H5677" t="str">
        <f>"3250617190046"</f>
        <v>3250617190046</v>
      </c>
      <c r="J5677" t="s">
        <v>16013</v>
      </c>
    </row>
    <row r="5678" spans="1:10" x14ac:dyDescent="0.25">
      <c r="A5678" t="s">
        <v>8</v>
      </c>
      <c r="B5678" t="s">
        <v>16014</v>
      </c>
      <c r="C5678" t="s">
        <v>16015</v>
      </c>
      <c r="D5678">
        <v>1</v>
      </c>
      <c r="E5678" t="s">
        <v>15991</v>
      </c>
      <c r="F5678" t="s">
        <v>15992</v>
      </c>
      <c r="G5678" s="1"/>
      <c r="H5678" t="str">
        <f>"3250617196109"</f>
        <v>3250617196109</v>
      </c>
      <c r="J5678" t="s">
        <v>16016</v>
      </c>
    </row>
    <row r="5679" spans="1:10" x14ac:dyDescent="0.25">
      <c r="A5679" t="s">
        <v>8</v>
      </c>
      <c r="B5679" t="s">
        <v>16017</v>
      </c>
      <c r="C5679" t="s">
        <v>16018</v>
      </c>
      <c r="D5679">
        <v>1</v>
      </c>
      <c r="E5679" t="s">
        <v>15991</v>
      </c>
      <c r="F5679" t="s">
        <v>15992</v>
      </c>
      <c r="G5679" s="1"/>
      <c r="H5679" t="str">
        <f>"3250617198707"</f>
        <v>3250617198707</v>
      </c>
      <c r="J5679" t="s">
        <v>16019</v>
      </c>
    </row>
    <row r="5680" spans="1:10" x14ac:dyDescent="0.25">
      <c r="A5680" t="s">
        <v>8</v>
      </c>
      <c r="B5680" t="s">
        <v>16020</v>
      </c>
      <c r="C5680" t="s">
        <v>16021</v>
      </c>
      <c r="D5680">
        <v>1</v>
      </c>
      <c r="E5680" t="s">
        <v>15991</v>
      </c>
      <c r="F5680" t="s">
        <v>15992</v>
      </c>
      <c r="G5680" s="1"/>
      <c r="H5680" t="str">
        <f>"3250617198714"</f>
        <v>3250617198714</v>
      </c>
      <c r="J5680" t="s">
        <v>16022</v>
      </c>
    </row>
    <row r="5681" spans="1:10" x14ac:dyDescent="0.25">
      <c r="A5681" t="s">
        <v>8</v>
      </c>
      <c r="B5681" t="s">
        <v>16023</v>
      </c>
      <c r="C5681" t="s">
        <v>16024</v>
      </c>
      <c r="D5681">
        <v>1</v>
      </c>
      <c r="E5681" t="s">
        <v>15991</v>
      </c>
      <c r="F5681" t="s">
        <v>15992</v>
      </c>
      <c r="G5681" s="1"/>
      <c r="H5681" t="str">
        <f>"3250617198721"</f>
        <v>3250617198721</v>
      </c>
      <c r="J5681" t="s">
        <v>16022</v>
      </c>
    </row>
    <row r="5682" spans="1:10" x14ac:dyDescent="0.25">
      <c r="A5682" t="s">
        <v>8</v>
      </c>
      <c r="B5682" t="s">
        <v>16025</v>
      </c>
      <c r="C5682" t="s">
        <v>16026</v>
      </c>
      <c r="D5682">
        <v>1</v>
      </c>
      <c r="E5682" t="s">
        <v>15991</v>
      </c>
      <c r="F5682" t="s">
        <v>15992</v>
      </c>
      <c r="G5682" s="1"/>
      <c r="H5682" t="str">
        <f>"3250617198738"</f>
        <v>3250617198738</v>
      </c>
      <c r="J5682" t="s">
        <v>16027</v>
      </c>
    </row>
    <row r="5683" spans="1:10" x14ac:dyDescent="0.25">
      <c r="A5683" t="s">
        <v>8</v>
      </c>
      <c r="B5683" t="s">
        <v>16028</v>
      </c>
      <c r="C5683" t="s">
        <v>16029</v>
      </c>
      <c r="D5683">
        <v>1</v>
      </c>
      <c r="E5683" t="s">
        <v>15991</v>
      </c>
      <c r="F5683" t="s">
        <v>15992</v>
      </c>
      <c r="G5683" s="1"/>
      <c r="H5683" t="str">
        <f>"3250617198745"</f>
        <v>3250617198745</v>
      </c>
      <c r="J5683" t="s">
        <v>16027</v>
      </c>
    </row>
    <row r="5684" spans="1:10" x14ac:dyDescent="0.25">
      <c r="A5684" t="s">
        <v>8</v>
      </c>
      <c r="B5684" t="s">
        <v>16030</v>
      </c>
      <c r="C5684" t="s">
        <v>16031</v>
      </c>
      <c r="D5684">
        <v>1</v>
      </c>
      <c r="E5684" t="s">
        <v>15991</v>
      </c>
      <c r="F5684" t="s">
        <v>15992</v>
      </c>
      <c r="G5684" s="1"/>
      <c r="H5684" t="str">
        <f>"3250617198752"</f>
        <v>3250617198752</v>
      </c>
      <c r="J5684" t="s">
        <v>16032</v>
      </c>
    </row>
    <row r="5685" spans="1:10" x14ac:dyDescent="0.25">
      <c r="A5685" t="s">
        <v>8</v>
      </c>
      <c r="B5685" t="s">
        <v>16033</v>
      </c>
      <c r="C5685" t="s">
        <v>16034</v>
      </c>
      <c r="D5685">
        <v>1</v>
      </c>
      <c r="E5685" t="s">
        <v>15991</v>
      </c>
      <c r="F5685" t="s">
        <v>15992</v>
      </c>
      <c r="G5685" s="1"/>
      <c r="H5685" t="str">
        <f>"3250617198769"</f>
        <v>3250617198769</v>
      </c>
      <c r="J5685" t="s">
        <v>16032</v>
      </c>
    </row>
    <row r="5686" spans="1:10" x14ac:dyDescent="0.25">
      <c r="A5686" t="s">
        <v>8</v>
      </c>
      <c r="B5686" t="s">
        <v>16035</v>
      </c>
      <c r="C5686" t="s">
        <v>16036</v>
      </c>
      <c r="D5686">
        <v>1</v>
      </c>
      <c r="E5686" t="s">
        <v>15991</v>
      </c>
      <c r="F5686" t="s">
        <v>15992</v>
      </c>
      <c r="G5686" s="1"/>
      <c r="H5686" t="str">
        <f>"3250617198776"</f>
        <v>3250617198776</v>
      </c>
      <c r="J5686" t="s">
        <v>16037</v>
      </c>
    </row>
    <row r="5687" spans="1:10" x14ac:dyDescent="0.25">
      <c r="A5687" t="s">
        <v>8</v>
      </c>
      <c r="B5687" t="s">
        <v>16038</v>
      </c>
      <c r="C5687" t="s">
        <v>16039</v>
      </c>
      <c r="D5687">
        <v>1</v>
      </c>
      <c r="E5687" t="s">
        <v>15991</v>
      </c>
      <c r="F5687" t="s">
        <v>15992</v>
      </c>
      <c r="G5687" s="1"/>
      <c r="H5687" t="str">
        <f>"3250617198783"</f>
        <v>3250617198783</v>
      </c>
      <c r="J5687" t="s">
        <v>16037</v>
      </c>
    </row>
    <row r="5688" spans="1:10" x14ac:dyDescent="0.25">
      <c r="A5688" t="s">
        <v>8</v>
      </c>
      <c r="B5688" t="s">
        <v>16040</v>
      </c>
      <c r="C5688" t="s">
        <v>16041</v>
      </c>
      <c r="D5688">
        <v>1</v>
      </c>
      <c r="E5688" t="s">
        <v>15991</v>
      </c>
      <c r="F5688" t="s">
        <v>15992</v>
      </c>
      <c r="G5688" s="1"/>
      <c r="H5688" t="str">
        <f>"3250617198790"</f>
        <v>3250617198790</v>
      </c>
      <c r="J5688" t="s">
        <v>16032</v>
      </c>
    </row>
    <row r="5689" spans="1:10" x14ac:dyDescent="0.25">
      <c r="A5689" t="s">
        <v>8</v>
      </c>
      <c r="B5689" t="s">
        <v>16042</v>
      </c>
      <c r="C5689" t="s">
        <v>16043</v>
      </c>
      <c r="D5689">
        <v>1</v>
      </c>
      <c r="E5689" t="s">
        <v>15991</v>
      </c>
      <c r="F5689" t="s">
        <v>15992</v>
      </c>
      <c r="G5689" s="1"/>
      <c r="H5689" t="str">
        <f>"3250617198806"</f>
        <v>3250617198806</v>
      </c>
      <c r="J5689" t="s">
        <v>16032</v>
      </c>
    </row>
    <row r="5690" spans="1:10" x14ac:dyDescent="0.25">
      <c r="A5690" t="s">
        <v>8</v>
      </c>
      <c r="B5690" t="s">
        <v>16044</v>
      </c>
      <c r="C5690" t="s">
        <v>16045</v>
      </c>
      <c r="D5690">
        <v>1</v>
      </c>
      <c r="E5690" t="s">
        <v>15991</v>
      </c>
      <c r="F5690" t="s">
        <v>15992</v>
      </c>
      <c r="G5690" s="1"/>
      <c r="H5690" t="str">
        <f>"3250617198813"</f>
        <v>3250617198813</v>
      </c>
      <c r="J5690" t="s">
        <v>16046</v>
      </c>
    </row>
    <row r="5691" spans="1:10" x14ac:dyDescent="0.25">
      <c r="A5691" t="s">
        <v>8</v>
      </c>
      <c r="B5691" t="s">
        <v>16047</v>
      </c>
      <c r="C5691" t="s">
        <v>16048</v>
      </c>
      <c r="D5691">
        <v>1</v>
      </c>
      <c r="E5691" t="s">
        <v>15991</v>
      </c>
      <c r="F5691" t="s">
        <v>15992</v>
      </c>
      <c r="G5691" s="1"/>
      <c r="H5691" t="str">
        <f>"3250617198820"</f>
        <v>3250617198820</v>
      </c>
      <c r="J5691" t="s">
        <v>16046</v>
      </c>
    </row>
    <row r="5692" spans="1:10" x14ac:dyDescent="0.25">
      <c r="A5692" t="s">
        <v>8</v>
      </c>
      <c r="B5692" t="s">
        <v>16049</v>
      </c>
      <c r="C5692" t="s">
        <v>16050</v>
      </c>
      <c r="D5692">
        <v>1</v>
      </c>
      <c r="E5692" t="s">
        <v>15991</v>
      </c>
      <c r="F5692" t="s">
        <v>15992</v>
      </c>
      <c r="G5692" s="1"/>
      <c r="H5692" t="str">
        <f>"3250617198837"</f>
        <v>3250617198837</v>
      </c>
      <c r="J5692" t="s">
        <v>16051</v>
      </c>
    </row>
    <row r="5693" spans="1:10" x14ac:dyDescent="0.25">
      <c r="A5693" t="s">
        <v>8</v>
      </c>
      <c r="B5693" t="s">
        <v>16052</v>
      </c>
      <c r="C5693" t="s">
        <v>16053</v>
      </c>
      <c r="D5693">
        <v>1</v>
      </c>
      <c r="E5693" t="s">
        <v>15991</v>
      </c>
      <c r="F5693" t="s">
        <v>15992</v>
      </c>
      <c r="G5693" s="1"/>
      <c r="H5693" t="str">
        <f>"3250617198844"</f>
        <v>3250617198844</v>
      </c>
      <c r="J5693" t="s">
        <v>16054</v>
      </c>
    </row>
    <row r="5694" spans="1:10" x14ac:dyDescent="0.25">
      <c r="A5694" t="s">
        <v>8</v>
      </c>
      <c r="B5694" t="s">
        <v>16055</v>
      </c>
      <c r="C5694" t="s">
        <v>16056</v>
      </c>
      <c r="D5694">
        <v>1</v>
      </c>
      <c r="E5694" t="s">
        <v>15991</v>
      </c>
      <c r="F5694" t="s">
        <v>15992</v>
      </c>
      <c r="G5694" s="1"/>
      <c r="H5694" t="str">
        <f>"3250617198851"</f>
        <v>3250617198851</v>
      </c>
      <c r="J5694" t="s">
        <v>16057</v>
      </c>
    </row>
    <row r="5695" spans="1:10" x14ac:dyDescent="0.25">
      <c r="A5695" t="s">
        <v>8</v>
      </c>
      <c r="B5695" t="s">
        <v>16058</v>
      </c>
      <c r="C5695" t="s">
        <v>16059</v>
      </c>
      <c r="D5695">
        <v>1</v>
      </c>
      <c r="E5695" t="s">
        <v>15991</v>
      </c>
      <c r="F5695" t="s">
        <v>15992</v>
      </c>
      <c r="G5695" s="1"/>
      <c r="H5695" t="str">
        <f>"3250617198868"</f>
        <v>3250617198868</v>
      </c>
      <c r="J5695" t="s">
        <v>16057</v>
      </c>
    </row>
    <row r="5696" spans="1:10" x14ac:dyDescent="0.25">
      <c r="A5696" t="s">
        <v>8</v>
      </c>
      <c r="B5696" t="s">
        <v>16060</v>
      </c>
      <c r="C5696" t="s">
        <v>16061</v>
      </c>
      <c r="D5696">
        <v>1</v>
      </c>
      <c r="E5696" t="s">
        <v>15991</v>
      </c>
      <c r="F5696" t="s">
        <v>15992</v>
      </c>
      <c r="G5696" s="1"/>
      <c r="H5696" t="str">
        <f>"3250617198875"</f>
        <v>3250617198875</v>
      </c>
      <c r="J5696" t="s">
        <v>16062</v>
      </c>
    </row>
    <row r="5697" spans="1:10" x14ac:dyDescent="0.25">
      <c r="A5697" t="s">
        <v>8</v>
      </c>
      <c r="B5697" t="s">
        <v>16063</v>
      </c>
      <c r="C5697" t="s">
        <v>16064</v>
      </c>
      <c r="D5697">
        <v>1</v>
      </c>
      <c r="E5697" t="s">
        <v>15991</v>
      </c>
      <c r="F5697" t="s">
        <v>15992</v>
      </c>
      <c r="G5697" s="1"/>
      <c r="H5697" t="str">
        <f>"3250617198882"</f>
        <v>3250617198882</v>
      </c>
      <c r="J5697" t="s">
        <v>16054</v>
      </c>
    </row>
    <row r="5698" spans="1:10" x14ac:dyDescent="0.25">
      <c r="A5698" t="s">
        <v>8</v>
      </c>
      <c r="B5698" t="s">
        <v>16065</v>
      </c>
      <c r="C5698" t="s">
        <v>16066</v>
      </c>
      <c r="D5698">
        <v>1</v>
      </c>
      <c r="E5698" t="s">
        <v>15991</v>
      </c>
      <c r="F5698" t="s">
        <v>15992</v>
      </c>
      <c r="G5698" s="1"/>
      <c r="H5698" t="str">
        <f>"3250617198899"</f>
        <v>3250617198899</v>
      </c>
      <c r="J5698" t="s">
        <v>16067</v>
      </c>
    </row>
    <row r="5699" spans="1:10" x14ac:dyDescent="0.25">
      <c r="A5699" t="s">
        <v>8</v>
      </c>
      <c r="B5699" t="s">
        <v>16068</v>
      </c>
      <c r="C5699" t="s">
        <v>16069</v>
      </c>
      <c r="D5699">
        <v>1</v>
      </c>
      <c r="E5699" t="s">
        <v>15991</v>
      </c>
      <c r="F5699" t="s">
        <v>15992</v>
      </c>
      <c r="G5699" s="1"/>
      <c r="H5699" t="str">
        <f>"3250617198905"</f>
        <v>3250617198905</v>
      </c>
      <c r="J5699" t="s">
        <v>16070</v>
      </c>
    </row>
    <row r="5700" spans="1:10" x14ac:dyDescent="0.25">
      <c r="A5700" t="s">
        <v>8</v>
      </c>
      <c r="B5700" t="s">
        <v>16071</v>
      </c>
      <c r="C5700" t="s">
        <v>16072</v>
      </c>
      <c r="D5700">
        <v>1</v>
      </c>
      <c r="E5700" t="s">
        <v>15991</v>
      </c>
      <c r="F5700" t="s">
        <v>15992</v>
      </c>
      <c r="G5700" s="1"/>
      <c r="H5700" t="str">
        <f>"3250617198912"</f>
        <v>3250617198912</v>
      </c>
      <c r="J5700" t="s">
        <v>16073</v>
      </c>
    </row>
    <row r="5701" spans="1:10" x14ac:dyDescent="0.25">
      <c r="A5701" t="s">
        <v>8</v>
      </c>
      <c r="B5701" t="s">
        <v>16074</v>
      </c>
      <c r="C5701" t="s">
        <v>16075</v>
      </c>
      <c r="D5701">
        <v>1</v>
      </c>
      <c r="E5701" t="s">
        <v>15991</v>
      </c>
      <c r="F5701" t="s">
        <v>15992</v>
      </c>
      <c r="G5701" s="1"/>
      <c r="H5701" t="str">
        <f>"3250617198929"</f>
        <v>3250617198929</v>
      </c>
      <c r="J5701" t="s">
        <v>16076</v>
      </c>
    </row>
    <row r="5702" spans="1:10" x14ac:dyDescent="0.25">
      <c r="A5702" t="s">
        <v>8</v>
      </c>
      <c r="B5702" t="s">
        <v>16077</v>
      </c>
      <c r="C5702" t="s">
        <v>16078</v>
      </c>
      <c r="D5702">
        <v>1</v>
      </c>
      <c r="E5702" t="s">
        <v>15991</v>
      </c>
      <c r="F5702" t="s">
        <v>15992</v>
      </c>
      <c r="G5702" s="1"/>
      <c r="H5702" t="str">
        <f>"3250617198943"</f>
        <v>3250617198943</v>
      </c>
      <c r="J5702" t="s">
        <v>16079</v>
      </c>
    </row>
    <row r="5703" spans="1:10" x14ac:dyDescent="0.25">
      <c r="A5703" t="s">
        <v>8</v>
      </c>
      <c r="B5703" t="s">
        <v>16080</v>
      </c>
      <c r="C5703" t="s">
        <v>16081</v>
      </c>
      <c r="D5703">
        <v>1</v>
      </c>
      <c r="E5703" t="s">
        <v>15991</v>
      </c>
      <c r="F5703" t="s">
        <v>15992</v>
      </c>
      <c r="G5703" s="1"/>
      <c r="H5703" t="str">
        <f>"3250617198950"</f>
        <v>3250617198950</v>
      </c>
      <c r="J5703" t="s">
        <v>16082</v>
      </c>
    </row>
    <row r="5704" spans="1:10" x14ac:dyDescent="0.25">
      <c r="A5704" t="s">
        <v>8</v>
      </c>
      <c r="B5704" t="s">
        <v>16083</v>
      </c>
      <c r="C5704" t="s">
        <v>16084</v>
      </c>
      <c r="D5704">
        <v>1</v>
      </c>
      <c r="E5704" t="s">
        <v>15991</v>
      </c>
      <c r="F5704" t="s">
        <v>15992</v>
      </c>
      <c r="G5704" s="1"/>
      <c r="H5704" t="str">
        <f>"3250617198967"</f>
        <v>3250617198967</v>
      </c>
      <c r="J5704" t="s">
        <v>16085</v>
      </c>
    </row>
    <row r="5705" spans="1:10" x14ac:dyDescent="0.25">
      <c r="A5705" t="s">
        <v>8</v>
      </c>
      <c r="B5705" t="s">
        <v>16086</v>
      </c>
      <c r="C5705" t="s">
        <v>16087</v>
      </c>
      <c r="D5705">
        <v>1</v>
      </c>
      <c r="E5705" t="s">
        <v>15991</v>
      </c>
      <c r="F5705" t="s">
        <v>15992</v>
      </c>
      <c r="G5705" s="1"/>
      <c r="H5705" t="str">
        <f>"3250617192866"</f>
        <v>3250617192866</v>
      </c>
      <c r="J5705" t="s">
        <v>16088</v>
      </c>
    </row>
    <row r="5706" spans="1:10" x14ac:dyDescent="0.25">
      <c r="A5706" t="s">
        <v>8</v>
      </c>
      <c r="B5706" t="s">
        <v>16089</v>
      </c>
      <c r="C5706" t="s">
        <v>16090</v>
      </c>
      <c r="D5706">
        <v>1</v>
      </c>
      <c r="E5706" t="s">
        <v>15991</v>
      </c>
      <c r="F5706" t="s">
        <v>15992</v>
      </c>
      <c r="G5706" s="1"/>
      <c r="H5706" t="str">
        <f>"3250617192873"</f>
        <v>3250617192873</v>
      </c>
      <c r="J5706" t="s">
        <v>16091</v>
      </c>
    </row>
    <row r="5707" spans="1:10" x14ac:dyDescent="0.25">
      <c r="A5707" t="s">
        <v>8</v>
      </c>
      <c r="B5707" t="s">
        <v>16092</v>
      </c>
      <c r="C5707" t="s">
        <v>16093</v>
      </c>
      <c r="D5707">
        <v>1</v>
      </c>
      <c r="E5707" t="s">
        <v>15991</v>
      </c>
      <c r="F5707" t="s">
        <v>15992</v>
      </c>
      <c r="G5707" s="1"/>
      <c r="H5707" t="str">
        <f>"3250617192880"</f>
        <v>3250617192880</v>
      </c>
      <c r="J5707" t="s">
        <v>16091</v>
      </c>
    </row>
    <row r="5708" spans="1:10" x14ac:dyDescent="0.25">
      <c r="A5708" t="s">
        <v>8</v>
      </c>
      <c r="B5708" t="s">
        <v>16094</v>
      </c>
      <c r="C5708" t="s">
        <v>16095</v>
      </c>
      <c r="D5708">
        <v>1</v>
      </c>
      <c r="E5708" t="s">
        <v>15991</v>
      </c>
      <c r="F5708" t="s">
        <v>15992</v>
      </c>
      <c r="G5708" s="1"/>
      <c r="H5708" t="str">
        <f>"3250617191111"</f>
        <v>3250617191111</v>
      </c>
      <c r="J5708" t="s">
        <v>16096</v>
      </c>
    </row>
    <row r="5709" spans="1:10" x14ac:dyDescent="0.25">
      <c r="A5709" t="s">
        <v>8</v>
      </c>
      <c r="B5709" t="s">
        <v>16097</v>
      </c>
      <c r="C5709" t="s">
        <v>16098</v>
      </c>
      <c r="D5709">
        <v>1</v>
      </c>
      <c r="E5709" t="s">
        <v>15991</v>
      </c>
      <c r="F5709" t="s">
        <v>15992</v>
      </c>
      <c r="G5709" s="1"/>
      <c r="H5709" t="str">
        <f>"3250617200752"</f>
        <v>3250617200752</v>
      </c>
      <c r="J5709" t="s">
        <v>16099</v>
      </c>
    </row>
    <row r="5710" spans="1:10" x14ac:dyDescent="0.25">
      <c r="A5710" t="s">
        <v>8</v>
      </c>
      <c r="B5710" t="s">
        <v>16100</v>
      </c>
      <c r="C5710" t="s">
        <v>16101</v>
      </c>
      <c r="D5710">
        <v>1</v>
      </c>
      <c r="E5710" t="s">
        <v>15991</v>
      </c>
      <c r="F5710" t="s">
        <v>15992</v>
      </c>
      <c r="G5710" s="1"/>
      <c r="H5710" t="str">
        <f>"3250617120593"</f>
        <v>3250617120593</v>
      </c>
      <c r="J5710" t="s">
        <v>16102</v>
      </c>
    </row>
    <row r="5711" spans="1:10" x14ac:dyDescent="0.25">
      <c r="A5711" t="s">
        <v>8</v>
      </c>
      <c r="B5711" t="s">
        <v>16103</v>
      </c>
      <c r="C5711" t="s">
        <v>16104</v>
      </c>
      <c r="D5711">
        <v>1</v>
      </c>
      <c r="E5711" t="s">
        <v>15991</v>
      </c>
      <c r="F5711" t="s">
        <v>15992</v>
      </c>
      <c r="G5711" s="1"/>
      <c r="H5711" t="str">
        <f>"3250617120609"</f>
        <v>3250617120609</v>
      </c>
      <c r="J5711" t="s">
        <v>16102</v>
      </c>
    </row>
    <row r="5712" spans="1:10" x14ac:dyDescent="0.25">
      <c r="A5712" t="s">
        <v>8</v>
      </c>
      <c r="B5712" t="s">
        <v>16105</v>
      </c>
      <c r="C5712" t="s">
        <v>16106</v>
      </c>
      <c r="D5712">
        <v>1</v>
      </c>
      <c r="E5712" t="s">
        <v>15991</v>
      </c>
      <c r="F5712" t="s">
        <v>15992</v>
      </c>
      <c r="G5712" s="1"/>
      <c r="H5712" t="str">
        <f>"3250617120616"</f>
        <v>3250617120616</v>
      </c>
      <c r="J5712" t="s">
        <v>16107</v>
      </c>
    </row>
    <row r="5713" spans="1:10" x14ac:dyDescent="0.25">
      <c r="A5713" t="s">
        <v>8</v>
      </c>
      <c r="B5713" t="s">
        <v>16108</v>
      </c>
      <c r="C5713" t="s">
        <v>16109</v>
      </c>
      <c r="D5713">
        <v>1</v>
      </c>
      <c r="E5713" t="s">
        <v>15991</v>
      </c>
      <c r="F5713" t="s">
        <v>15992</v>
      </c>
      <c r="G5713" s="1"/>
      <c r="H5713" t="str">
        <f>"3250617120623"</f>
        <v>3250617120623</v>
      </c>
      <c r="J5713" t="s">
        <v>16107</v>
      </c>
    </row>
    <row r="5714" spans="1:10" x14ac:dyDescent="0.25">
      <c r="A5714" t="s">
        <v>8</v>
      </c>
      <c r="B5714" t="s">
        <v>16110</v>
      </c>
      <c r="C5714" t="s">
        <v>16111</v>
      </c>
      <c r="D5714">
        <v>1</v>
      </c>
      <c r="E5714" t="s">
        <v>15991</v>
      </c>
      <c r="F5714" t="s">
        <v>15992</v>
      </c>
      <c r="G5714" s="1"/>
      <c r="H5714" t="str">
        <f>"3250610089989"</f>
        <v>3250610089989</v>
      </c>
      <c r="J5714" t="s">
        <v>16112</v>
      </c>
    </row>
    <row r="5715" spans="1:10" x14ac:dyDescent="0.25">
      <c r="A5715" t="s">
        <v>8</v>
      </c>
      <c r="B5715" t="s">
        <v>16113</v>
      </c>
      <c r="C5715" t="s">
        <v>16114</v>
      </c>
      <c r="D5715">
        <v>1</v>
      </c>
      <c r="E5715" t="s">
        <v>15991</v>
      </c>
      <c r="F5715" t="s">
        <v>15992</v>
      </c>
      <c r="G5715" s="1"/>
      <c r="H5715" t="str">
        <f>"3250610131534"</f>
        <v>3250610131534</v>
      </c>
      <c r="J5715" t="s">
        <v>16107</v>
      </c>
    </row>
    <row r="5716" spans="1:10" x14ac:dyDescent="0.25">
      <c r="A5716" t="s">
        <v>8</v>
      </c>
      <c r="B5716" t="s">
        <v>16115</v>
      </c>
      <c r="C5716" t="s">
        <v>16116</v>
      </c>
      <c r="D5716">
        <v>1</v>
      </c>
      <c r="E5716" t="s">
        <v>16117</v>
      </c>
      <c r="F5716" t="s">
        <v>16118</v>
      </c>
      <c r="G5716" s="1"/>
      <c r="H5716" t="str">
        <f>"3250617192217"</f>
        <v>3250617192217</v>
      </c>
      <c r="J5716" t="s">
        <v>16119</v>
      </c>
    </row>
    <row r="5717" spans="1:10" x14ac:dyDescent="0.25">
      <c r="A5717" t="s">
        <v>8</v>
      </c>
      <c r="B5717" t="s">
        <v>16120</v>
      </c>
      <c r="C5717" t="s">
        <v>16121</v>
      </c>
      <c r="D5717">
        <v>1</v>
      </c>
      <c r="E5717" t="s">
        <v>16117</v>
      </c>
      <c r="F5717" t="s">
        <v>16118</v>
      </c>
      <c r="G5717" s="1"/>
      <c r="H5717" t="str">
        <f>"3250617192224"</f>
        <v>3250617192224</v>
      </c>
      <c r="J5717" t="s">
        <v>16122</v>
      </c>
    </row>
    <row r="5718" spans="1:10" x14ac:dyDescent="0.25">
      <c r="A5718" t="s">
        <v>8</v>
      </c>
      <c r="B5718" t="s">
        <v>16123</v>
      </c>
      <c r="C5718" t="s">
        <v>16124</v>
      </c>
      <c r="D5718">
        <v>1</v>
      </c>
      <c r="E5718" t="s">
        <v>16117</v>
      </c>
      <c r="F5718" t="s">
        <v>16118</v>
      </c>
      <c r="G5718" s="1"/>
      <c r="H5718" t="str">
        <f>"3250617192248"</f>
        <v>3250617192248</v>
      </c>
      <c r="J5718" t="s">
        <v>11712</v>
      </c>
    </row>
    <row r="5719" spans="1:10" x14ac:dyDescent="0.25">
      <c r="A5719" t="s">
        <v>8</v>
      </c>
      <c r="B5719" t="s">
        <v>16125</v>
      </c>
      <c r="C5719" t="s">
        <v>16126</v>
      </c>
      <c r="D5719">
        <v>1</v>
      </c>
      <c r="E5719" t="s">
        <v>16117</v>
      </c>
      <c r="F5719" t="s">
        <v>16118</v>
      </c>
      <c r="G5719" s="1"/>
      <c r="H5719" t="str">
        <f>"3250617192255"</f>
        <v>3250617192255</v>
      </c>
      <c r="J5719" t="s">
        <v>16127</v>
      </c>
    </row>
    <row r="5720" spans="1:10" x14ac:dyDescent="0.25">
      <c r="A5720" t="s">
        <v>8</v>
      </c>
      <c r="B5720" t="s">
        <v>16128</v>
      </c>
      <c r="C5720" t="s">
        <v>16129</v>
      </c>
      <c r="D5720">
        <v>1</v>
      </c>
      <c r="E5720" t="s">
        <v>16117</v>
      </c>
      <c r="F5720" t="s">
        <v>16118</v>
      </c>
      <c r="G5720" s="1"/>
      <c r="H5720" t="str">
        <f>"3250617192262"</f>
        <v>3250617192262</v>
      </c>
      <c r="J5720" t="s">
        <v>16130</v>
      </c>
    </row>
    <row r="5721" spans="1:10" x14ac:dyDescent="0.25">
      <c r="A5721" t="s">
        <v>8</v>
      </c>
      <c r="B5721" t="s">
        <v>16131</v>
      </c>
      <c r="C5721" t="s">
        <v>16132</v>
      </c>
      <c r="D5721">
        <v>1</v>
      </c>
      <c r="E5721" t="s">
        <v>16117</v>
      </c>
      <c r="F5721" t="s">
        <v>16118</v>
      </c>
      <c r="G5721" s="1"/>
      <c r="H5721" t="str">
        <f>"3250617192286"</f>
        <v>3250617192286</v>
      </c>
      <c r="J5721" t="s">
        <v>16133</v>
      </c>
    </row>
    <row r="5722" spans="1:10" x14ac:dyDescent="0.25">
      <c r="A5722" t="s">
        <v>8</v>
      </c>
      <c r="B5722" t="s">
        <v>16134</v>
      </c>
      <c r="C5722" t="s">
        <v>16135</v>
      </c>
      <c r="D5722">
        <v>1</v>
      </c>
      <c r="E5722" t="s">
        <v>16117</v>
      </c>
      <c r="F5722" t="s">
        <v>16118</v>
      </c>
      <c r="G5722" s="1"/>
      <c r="H5722" t="str">
        <f>"3250617192309"</f>
        <v>3250617192309</v>
      </c>
      <c r="J5722" t="s">
        <v>16136</v>
      </c>
    </row>
    <row r="5723" spans="1:10" x14ac:dyDescent="0.25">
      <c r="A5723" t="s">
        <v>8</v>
      </c>
      <c r="B5723" t="s">
        <v>16137</v>
      </c>
      <c r="C5723" t="s">
        <v>16138</v>
      </c>
      <c r="D5723">
        <v>1</v>
      </c>
      <c r="E5723" t="s">
        <v>16117</v>
      </c>
      <c r="F5723" t="s">
        <v>16118</v>
      </c>
      <c r="G5723" s="1"/>
      <c r="H5723" t="str">
        <f>"3250617192316"</f>
        <v>3250617192316</v>
      </c>
      <c r="J5723" t="s">
        <v>16139</v>
      </c>
    </row>
    <row r="5724" spans="1:10" x14ac:dyDescent="0.25">
      <c r="A5724" t="s">
        <v>8</v>
      </c>
      <c r="B5724" t="s">
        <v>16140</v>
      </c>
      <c r="C5724" t="s">
        <v>16141</v>
      </c>
      <c r="D5724">
        <v>1</v>
      </c>
      <c r="E5724" t="s">
        <v>16117</v>
      </c>
      <c r="F5724" t="s">
        <v>16118</v>
      </c>
      <c r="G5724" s="1"/>
      <c r="H5724" t="str">
        <f>"3250617192323"</f>
        <v>3250617192323</v>
      </c>
      <c r="J5724" t="s">
        <v>16142</v>
      </c>
    </row>
    <row r="5725" spans="1:10" x14ac:dyDescent="0.25">
      <c r="A5725" t="s">
        <v>8</v>
      </c>
      <c r="B5725" t="s">
        <v>16143</v>
      </c>
      <c r="C5725" t="s">
        <v>16144</v>
      </c>
      <c r="D5725">
        <v>1</v>
      </c>
      <c r="E5725" t="s">
        <v>16117</v>
      </c>
      <c r="F5725" t="s">
        <v>16118</v>
      </c>
      <c r="G5725" s="1"/>
      <c r="H5725" t="str">
        <f>"3250617192330"</f>
        <v>3250617192330</v>
      </c>
      <c r="J5725" t="s">
        <v>16145</v>
      </c>
    </row>
    <row r="5726" spans="1:10" x14ac:dyDescent="0.25">
      <c r="A5726" t="s">
        <v>8</v>
      </c>
      <c r="B5726" t="s">
        <v>16146</v>
      </c>
      <c r="C5726" t="s">
        <v>16147</v>
      </c>
      <c r="D5726">
        <v>1</v>
      </c>
      <c r="E5726" t="s">
        <v>16117</v>
      </c>
      <c r="F5726" t="s">
        <v>16118</v>
      </c>
      <c r="G5726" s="1"/>
      <c r="H5726" t="str">
        <f>"3250617060028"</f>
        <v>3250617060028</v>
      </c>
      <c r="J5726" t="s">
        <v>15901</v>
      </c>
    </row>
    <row r="5727" spans="1:10" x14ac:dyDescent="0.25">
      <c r="A5727" t="s">
        <v>8</v>
      </c>
      <c r="B5727" t="s">
        <v>16148</v>
      </c>
      <c r="C5727" t="s">
        <v>16149</v>
      </c>
      <c r="D5727">
        <v>1</v>
      </c>
      <c r="E5727" t="s">
        <v>16150</v>
      </c>
      <c r="F5727" t="s">
        <v>16151</v>
      </c>
      <c r="G5727" s="1"/>
      <c r="H5727" t="str">
        <f>"3250617191838"</f>
        <v>3250617191838</v>
      </c>
      <c r="J5727" t="s">
        <v>16152</v>
      </c>
    </row>
    <row r="5728" spans="1:10" x14ac:dyDescent="0.25">
      <c r="A5728" t="s">
        <v>8</v>
      </c>
      <c r="B5728" t="s">
        <v>16153</v>
      </c>
      <c r="C5728" t="s">
        <v>16154</v>
      </c>
      <c r="D5728">
        <v>1</v>
      </c>
      <c r="E5728" t="s">
        <v>16150</v>
      </c>
      <c r="F5728" t="s">
        <v>16151</v>
      </c>
      <c r="G5728" s="1"/>
      <c r="H5728" t="str">
        <f>"3250617198479"</f>
        <v>3250617198479</v>
      </c>
      <c r="J5728" t="s">
        <v>16155</v>
      </c>
    </row>
    <row r="5729" spans="1:10" x14ac:dyDescent="0.25">
      <c r="A5729" t="s">
        <v>8</v>
      </c>
      <c r="B5729" t="s">
        <v>16156</v>
      </c>
      <c r="C5729" t="s">
        <v>16157</v>
      </c>
      <c r="D5729">
        <v>1</v>
      </c>
      <c r="E5729" t="s">
        <v>16150</v>
      </c>
      <c r="F5729" t="s">
        <v>16151</v>
      </c>
      <c r="G5729" s="1"/>
      <c r="H5729" t="str">
        <f>"3250617198486"</f>
        <v>3250617198486</v>
      </c>
      <c r="J5729" t="s">
        <v>16155</v>
      </c>
    </row>
    <row r="5730" spans="1:10" x14ac:dyDescent="0.25">
      <c r="A5730" t="s">
        <v>8</v>
      </c>
      <c r="B5730" t="s">
        <v>16158</v>
      </c>
      <c r="C5730" t="s">
        <v>16159</v>
      </c>
      <c r="D5730">
        <v>1</v>
      </c>
      <c r="E5730" t="s">
        <v>16150</v>
      </c>
      <c r="F5730" t="s">
        <v>16151</v>
      </c>
      <c r="G5730" s="1"/>
      <c r="H5730" t="str">
        <f>"3250617198493"</f>
        <v>3250617198493</v>
      </c>
      <c r="J5730" t="s">
        <v>16155</v>
      </c>
    </row>
    <row r="5731" spans="1:10" x14ac:dyDescent="0.25">
      <c r="A5731" t="s">
        <v>8</v>
      </c>
      <c r="B5731" t="s">
        <v>16160</v>
      </c>
      <c r="C5731" t="s">
        <v>16161</v>
      </c>
      <c r="D5731">
        <v>1</v>
      </c>
      <c r="E5731" t="s">
        <v>16150</v>
      </c>
      <c r="F5731" t="s">
        <v>16151</v>
      </c>
      <c r="G5731" s="1"/>
      <c r="H5731" t="str">
        <f>"3250617198509"</f>
        <v>3250617198509</v>
      </c>
      <c r="J5731" t="s">
        <v>16155</v>
      </c>
    </row>
    <row r="5732" spans="1:10" x14ac:dyDescent="0.25">
      <c r="A5732" t="s">
        <v>8</v>
      </c>
      <c r="B5732" t="s">
        <v>16162</v>
      </c>
      <c r="C5732" t="s">
        <v>16163</v>
      </c>
      <c r="D5732">
        <v>1</v>
      </c>
      <c r="E5732" t="s">
        <v>16150</v>
      </c>
      <c r="F5732" t="s">
        <v>16151</v>
      </c>
      <c r="G5732" s="1"/>
      <c r="H5732" t="str">
        <f>"3250617198516"</f>
        <v>3250617198516</v>
      </c>
      <c r="J5732" t="s">
        <v>16155</v>
      </c>
    </row>
    <row r="5733" spans="1:10" x14ac:dyDescent="0.25">
      <c r="A5733" t="s">
        <v>8</v>
      </c>
      <c r="B5733" t="s">
        <v>16164</v>
      </c>
      <c r="C5733" t="s">
        <v>16165</v>
      </c>
      <c r="D5733">
        <v>1</v>
      </c>
      <c r="E5733" t="s">
        <v>16150</v>
      </c>
      <c r="F5733" t="s">
        <v>16151</v>
      </c>
      <c r="G5733" s="1"/>
      <c r="H5733" t="str">
        <f>"3250617191845"</f>
        <v>3250617191845</v>
      </c>
      <c r="J5733" t="s">
        <v>16166</v>
      </c>
    </row>
    <row r="5734" spans="1:10" x14ac:dyDescent="0.25">
      <c r="A5734" t="s">
        <v>8</v>
      </c>
      <c r="B5734" t="s">
        <v>16167</v>
      </c>
      <c r="C5734" t="s">
        <v>16168</v>
      </c>
      <c r="D5734">
        <v>1</v>
      </c>
      <c r="E5734" t="s">
        <v>16150</v>
      </c>
      <c r="F5734" t="s">
        <v>16151</v>
      </c>
      <c r="G5734" s="1"/>
      <c r="H5734" t="str">
        <f>"3250617198530"</f>
        <v>3250617198530</v>
      </c>
      <c r="J5734" t="s">
        <v>16169</v>
      </c>
    </row>
    <row r="5735" spans="1:10" x14ac:dyDescent="0.25">
      <c r="A5735" t="s">
        <v>8</v>
      </c>
      <c r="B5735" t="s">
        <v>16170</v>
      </c>
      <c r="C5735" t="s">
        <v>16171</v>
      </c>
      <c r="D5735">
        <v>1</v>
      </c>
      <c r="E5735" t="s">
        <v>16150</v>
      </c>
      <c r="F5735" t="s">
        <v>16151</v>
      </c>
      <c r="G5735" s="1"/>
      <c r="H5735" t="str">
        <f>"3250617198547"</f>
        <v>3250617198547</v>
      </c>
      <c r="J5735" t="s">
        <v>16169</v>
      </c>
    </row>
    <row r="5736" spans="1:10" x14ac:dyDescent="0.25">
      <c r="A5736" t="s">
        <v>8</v>
      </c>
      <c r="B5736" t="s">
        <v>16172</v>
      </c>
      <c r="C5736" t="s">
        <v>16173</v>
      </c>
      <c r="D5736">
        <v>1</v>
      </c>
      <c r="E5736" t="s">
        <v>16150</v>
      </c>
      <c r="F5736" t="s">
        <v>16151</v>
      </c>
      <c r="G5736" s="1"/>
      <c r="H5736" t="str">
        <f>"3250617198554"</f>
        <v>3250617198554</v>
      </c>
      <c r="J5736" t="s">
        <v>16169</v>
      </c>
    </row>
    <row r="5737" spans="1:10" x14ac:dyDescent="0.25">
      <c r="A5737" t="s">
        <v>8</v>
      </c>
      <c r="B5737" t="s">
        <v>16174</v>
      </c>
      <c r="C5737" t="s">
        <v>16175</v>
      </c>
      <c r="D5737">
        <v>1</v>
      </c>
      <c r="E5737" t="s">
        <v>16150</v>
      </c>
      <c r="F5737" t="s">
        <v>16151</v>
      </c>
      <c r="G5737" s="1"/>
      <c r="H5737" t="str">
        <f>"3250617198561"</f>
        <v>3250617198561</v>
      </c>
      <c r="J5737" t="s">
        <v>16169</v>
      </c>
    </row>
    <row r="5738" spans="1:10" x14ac:dyDescent="0.25">
      <c r="A5738" t="s">
        <v>8</v>
      </c>
      <c r="B5738" t="s">
        <v>16176</v>
      </c>
      <c r="C5738" t="s">
        <v>16177</v>
      </c>
      <c r="D5738">
        <v>1</v>
      </c>
      <c r="E5738" t="s">
        <v>16150</v>
      </c>
      <c r="F5738" t="s">
        <v>16151</v>
      </c>
      <c r="G5738" s="1"/>
      <c r="H5738" t="str">
        <f>"3250617198578"</f>
        <v>3250617198578</v>
      </c>
      <c r="J5738" t="s">
        <v>16169</v>
      </c>
    </row>
    <row r="5739" spans="1:10" x14ac:dyDescent="0.25">
      <c r="A5739" t="s">
        <v>8</v>
      </c>
      <c r="B5739" t="s">
        <v>16178</v>
      </c>
      <c r="C5739" t="s">
        <v>16179</v>
      </c>
      <c r="D5739">
        <v>1</v>
      </c>
      <c r="E5739" t="s">
        <v>16150</v>
      </c>
      <c r="F5739" t="s">
        <v>16151</v>
      </c>
      <c r="G5739" s="1"/>
      <c r="H5739" t="str">
        <f>"3250617191852"</f>
        <v>3250617191852</v>
      </c>
      <c r="J5739" t="s">
        <v>6089</v>
      </c>
    </row>
    <row r="5740" spans="1:10" x14ac:dyDescent="0.25">
      <c r="A5740" t="s">
        <v>8</v>
      </c>
      <c r="B5740" t="s">
        <v>16180</v>
      </c>
      <c r="C5740" t="s">
        <v>16181</v>
      </c>
      <c r="D5740">
        <v>1</v>
      </c>
      <c r="E5740" t="s">
        <v>16150</v>
      </c>
      <c r="F5740" t="s">
        <v>16151</v>
      </c>
      <c r="G5740" s="1"/>
      <c r="H5740" t="str">
        <f>"3250617198592"</f>
        <v>3250617198592</v>
      </c>
      <c r="J5740" t="s">
        <v>16182</v>
      </c>
    </row>
    <row r="5741" spans="1:10" x14ac:dyDescent="0.25">
      <c r="A5741" t="s">
        <v>8</v>
      </c>
      <c r="B5741" t="s">
        <v>16183</v>
      </c>
      <c r="C5741" t="s">
        <v>16184</v>
      </c>
      <c r="D5741">
        <v>1</v>
      </c>
      <c r="E5741" t="s">
        <v>16150</v>
      </c>
      <c r="F5741" t="s">
        <v>16151</v>
      </c>
      <c r="G5741" s="1"/>
      <c r="H5741" t="str">
        <f>"3250617198608"</f>
        <v>3250617198608</v>
      </c>
      <c r="J5741" t="s">
        <v>16182</v>
      </c>
    </row>
    <row r="5742" spans="1:10" x14ac:dyDescent="0.25">
      <c r="A5742" t="s">
        <v>8</v>
      </c>
      <c r="B5742" t="s">
        <v>16185</v>
      </c>
      <c r="C5742" t="s">
        <v>16186</v>
      </c>
      <c r="D5742">
        <v>1</v>
      </c>
      <c r="E5742" t="s">
        <v>16150</v>
      </c>
      <c r="F5742" t="s">
        <v>16151</v>
      </c>
      <c r="G5742" s="1"/>
      <c r="H5742" t="str">
        <f>"3250617198615"</f>
        <v>3250617198615</v>
      </c>
      <c r="J5742" t="s">
        <v>16182</v>
      </c>
    </row>
    <row r="5743" spans="1:10" x14ac:dyDescent="0.25">
      <c r="A5743" t="s">
        <v>8</v>
      </c>
      <c r="B5743" t="s">
        <v>16187</v>
      </c>
      <c r="C5743" t="s">
        <v>16188</v>
      </c>
      <c r="D5743">
        <v>1</v>
      </c>
      <c r="E5743" t="s">
        <v>16150</v>
      </c>
      <c r="F5743" t="s">
        <v>16151</v>
      </c>
      <c r="G5743" s="1"/>
      <c r="H5743" t="str">
        <f>"3250617198622"</f>
        <v>3250617198622</v>
      </c>
      <c r="J5743" t="s">
        <v>16182</v>
      </c>
    </row>
    <row r="5744" spans="1:10" x14ac:dyDescent="0.25">
      <c r="A5744" t="s">
        <v>8</v>
      </c>
      <c r="B5744" t="s">
        <v>16189</v>
      </c>
      <c r="C5744" t="s">
        <v>16190</v>
      </c>
      <c r="D5744">
        <v>1</v>
      </c>
      <c r="E5744" t="s">
        <v>16150</v>
      </c>
      <c r="F5744" t="s">
        <v>16151</v>
      </c>
      <c r="G5744" s="1"/>
      <c r="H5744" t="str">
        <f>"3250617198639"</f>
        <v>3250617198639</v>
      </c>
      <c r="J5744" t="s">
        <v>16182</v>
      </c>
    </row>
    <row r="5745" spans="1:10" x14ac:dyDescent="0.25">
      <c r="A5745" t="s">
        <v>8</v>
      </c>
      <c r="B5745" t="s">
        <v>16191</v>
      </c>
      <c r="C5745" t="s">
        <v>16192</v>
      </c>
      <c r="D5745">
        <v>1</v>
      </c>
      <c r="E5745" t="s">
        <v>16150</v>
      </c>
      <c r="F5745" t="s">
        <v>16151</v>
      </c>
      <c r="G5745" s="1"/>
      <c r="H5745" t="str">
        <f>"3250617192743"</f>
        <v>3250617192743</v>
      </c>
      <c r="J5745" t="s">
        <v>16193</v>
      </c>
    </row>
    <row r="5746" spans="1:10" x14ac:dyDescent="0.25">
      <c r="A5746" t="s">
        <v>8</v>
      </c>
      <c r="B5746" t="s">
        <v>16194</v>
      </c>
      <c r="C5746" t="s">
        <v>16195</v>
      </c>
      <c r="D5746">
        <v>1</v>
      </c>
      <c r="E5746" t="s">
        <v>16150</v>
      </c>
      <c r="F5746" t="s">
        <v>16151</v>
      </c>
      <c r="G5746" s="1"/>
      <c r="H5746" t="str">
        <f>"3250617192750"</f>
        <v>3250617192750</v>
      </c>
      <c r="J5746" t="s">
        <v>7197</v>
      </c>
    </row>
    <row r="5747" spans="1:10" x14ac:dyDescent="0.25">
      <c r="A5747" t="s">
        <v>8</v>
      </c>
      <c r="B5747" t="s">
        <v>16196</v>
      </c>
      <c r="C5747" t="s">
        <v>16197</v>
      </c>
      <c r="D5747">
        <v>1</v>
      </c>
      <c r="E5747" t="s">
        <v>16150</v>
      </c>
      <c r="F5747" t="s">
        <v>16151</v>
      </c>
      <c r="G5747" s="1"/>
      <c r="H5747" t="str">
        <f>"3250617192767"</f>
        <v>3250617192767</v>
      </c>
      <c r="J5747" t="s">
        <v>7376</v>
      </c>
    </row>
    <row r="5748" spans="1:10" x14ac:dyDescent="0.25">
      <c r="A5748" t="s">
        <v>8</v>
      </c>
      <c r="B5748" t="s">
        <v>16198</v>
      </c>
      <c r="C5748" t="s">
        <v>16199</v>
      </c>
      <c r="D5748">
        <v>1</v>
      </c>
      <c r="E5748" t="s">
        <v>16150</v>
      </c>
      <c r="F5748" t="s">
        <v>16151</v>
      </c>
      <c r="G5748" s="1"/>
      <c r="H5748" t="str">
        <f>"3250617191869"</f>
        <v>3250617191869</v>
      </c>
      <c r="J5748" t="s">
        <v>16200</v>
      </c>
    </row>
    <row r="5749" spans="1:10" x14ac:dyDescent="0.25">
      <c r="A5749" t="s">
        <v>8</v>
      </c>
      <c r="B5749" t="s">
        <v>16201</v>
      </c>
      <c r="C5749" t="s">
        <v>16202</v>
      </c>
      <c r="D5749">
        <v>1</v>
      </c>
      <c r="E5749" t="s">
        <v>16150</v>
      </c>
      <c r="F5749" t="s">
        <v>16151</v>
      </c>
      <c r="G5749" s="1"/>
      <c r="H5749" t="str">
        <f>"3250617192781"</f>
        <v>3250617192781</v>
      </c>
      <c r="J5749" t="s">
        <v>16203</v>
      </c>
    </row>
    <row r="5750" spans="1:10" x14ac:dyDescent="0.25">
      <c r="A5750" t="s">
        <v>8</v>
      </c>
      <c r="B5750" t="s">
        <v>16204</v>
      </c>
      <c r="C5750" t="s">
        <v>16205</v>
      </c>
      <c r="D5750">
        <v>1</v>
      </c>
      <c r="E5750" t="s">
        <v>16150</v>
      </c>
      <c r="F5750" t="s">
        <v>16151</v>
      </c>
      <c r="G5750" s="1"/>
      <c r="H5750" t="str">
        <f>"3250617191876"</f>
        <v>3250617191876</v>
      </c>
      <c r="J5750" t="s">
        <v>16206</v>
      </c>
    </row>
    <row r="5751" spans="1:10" x14ac:dyDescent="0.25">
      <c r="A5751" t="s">
        <v>8</v>
      </c>
      <c r="B5751" t="s">
        <v>16207</v>
      </c>
      <c r="C5751" t="s">
        <v>16208</v>
      </c>
      <c r="D5751">
        <v>1</v>
      </c>
      <c r="E5751" t="s">
        <v>16209</v>
      </c>
      <c r="F5751" t="s">
        <v>16210</v>
      </c>
      <c r="G5751" s="1"/>
      <c r="H5751" t="str">
        <f>"3250617199032"</f>
        <v>3250617199032</v>
      </c>
      <c r="J5751" t="s">
        <v>16211</v>
      </c>
    </row>
    <row r="5752" spans="1:10" x14ac:dyDescent="0.25">
      <c r="A5752" t="s">
        <v>8</v>
      </c>
      <c r="B5752" t="s">
        <v>16212</v>
      </c>
      <c r="C5752" t="s">
        <v>16213</v>
      </c>
      <c r="D5752">
        <v>1</v>
      </c>
      <c r="E5752" t="s">
        <v>16209</v>
      </c>
      <c r="F5752" t="s">
        <v>16210</v>
      </c>
      <c r="G5752" s="1"/>
      <c r="H5752" t="str">
        <f>"3250617199049"</f>
        <v>3250617199049</v>
      </c>
      <c r="J5752" t="s">
        <v>16214</v>
      </c>
    </row>
    <row r="5753" spans="1:10" x14ac:dyDescent="0.25">
      <c r="A5753" t="s">
        <v>8</v>
      </c>
      <c r="B5753" t="s">
        <v>16215</v>
      </c>
      <c r="C5753" t="s">
        <v>16216</v>
      </c>
      <c r="D5753">
        <v>1</v>
      </c>
      <c r="E5753" t="s">
        <v>16209</v>
      </c>
      <c r="F5753" t="s">
        <v>16210</v>
      </c>
      <c r="G5753" s="1"/>
      <c r="H5753" t="str">
        <f>"3250617199056"</f>
        <v>3250617199056</v>
      </c>
      <c r="J5753" t="s">
        <v>16217</v>
      </c>
    </row>
    <row r="5754" spans="1:10" x14ac:dyDescent="0.25">
      <c r="A5754" t="s">
        <v>8</v>
      </c>
      <c r="B5754" t="s">
        <v>16218</v>
      </c>
      <c r="C5754" t="s">
        <v>16219</v>
      </c>
      <c r="D5754">
        <v>1</v>
      </c>
      <c r="E5754" t="s">
        <v>16209</v>
      </c>
      <c r="F5754" t="s">
        <v>16210</v>
      </c>
      <c r="G5754" s="1"/>
      <c r="H5754" t="str">
        <f>"3250617199063"</f>
        <v>3250617199063</v>
      </c>
      <c r="J5754" t="s">
        <v>16217</v>
      </c>
    </row>
    <row r="5755" spans="1:10" x14ac:dyDescent="0.25">
      <c r="A5755" t="s">
        <v>8</v>
      </c>
      <c r="B5755" t="s">
        <v>16220</v>
      </c>
      <c r="C5755" t="s">
        <v>16221</v>
      </c>
      <c r="D5755">
        <v>1</v>
      </c>
      <c r="E5755" t="s">
        <v>16209</v>
      </c>
      <c r="F5755" t="s">
        <v>16210</v>
      </c>
      <c r="G5755" s="1"/>
      <c r="H5755" t="str">
        <f>"3250617199070"</f>
        <v>3250617199070</v>
      </c>
      <c r="J5755" t="s">
        <v>16222</v>
      </c>
    </row>
    <row r="5756" spans="1:10" x14ac:dyDescent="0.25">
      <c r="A5756" t="s">
        <v>8</v>
      </c>
      <c r="B5756" t="s">
        <v>16223</v>
      </c>
      <c r="C5756" t="s">
        <v>16224</v>
      </c>
      <c r="D5756">
        <v>1</v>
      </c>
      <c r="E5756" t="s">
        <v>16209</v>
      </c>
      <c r="F5756" t="s">
        <v>16210</v>
      </c>
      <c r="G5756" s="1"/>
      <c r="H5756" t="str">
        <f>"3250617199087"</f>
        <v>3250617199087</v>
      </c>
      <c r="J5756" t="s">
        <v>16222</v>
      </c>
    </row>
    <row r="5757" spans="1:10" x14ac:dyDescent="0.25">
      <c r="A5757" t="s">
        <v>8</v>
      </c>
      <c r="B5757" t="s">
        <v>16225</v>
      </c>
      <c r="C5757" t="s">
        <v>16226</v>
      </c>
      <c r="D5757">
        <v>1</v>
      </c>
      <c r="E5757" t="s">
        <v>16209</v>
      </c>
      <c r="F5757" t="s">
        <v>16210</v>
      </c>
      <c r="G5757" s="1"/>
      <c r="H5757" t="str">
        <f>"3250617199094"</f>
        <v>3250617199094</v>
      </c>
      <c r="J5757" t="s">
        <v>16227</v>
      </c>
    </row>
    <row r="5758" spans="1:10" x14ac:dyDescent="0.25">
      <c r="A5758" t="s">
        <v>8</v>
      </c>
      <c r="B5758" t="s">
        <v>16228</v>
      </c>
      <c r="C5758" t="s">
        <v>16229</v>
      </c>
      <c r="D5758">
        <v>1</v>
      </c>
      <c r="E5758" t="s">
        <v>16209</v>
      </c>
      <c r="F5758" t="s">
        <v>16210</v>
      </c>
      <c r="G5758" s="1"/>
      <c r="H5758" t="str">
        <f>"3250617199100"</f>
        <v>3250617199100</v>
      </c>
      <c r="J5758" t="s">
        <v>16230</v>
      </c>
    </row>
    <row r="5759" spans="1:10" x14ac:dyDescent="0.25">
      <c r="A5759" t="s">
        <v>8</v>
      </c>
      <c r="B5759" t="s">
        <v>16231</v>
      </c>
      <c r="C5759" t="s">
        <v>16232</v>
      </c>
      <c r="D5759">
        <v>1</v>
      </c>
      <c r="E5759" t="s">
        <v>16209</v>
      </c>
      <c r="F5759" t="s">
        <v>16210</v>
      </c>
      <c r="G5759" s="1"/>
      <c r="H5759" t="str">
        <f>"3250617199117"</f>
        <v>3250617199117</v>
      </c>
      <c r="J5759" t="s">
        <v>16233</v>
      </c>
    </row>
    <row r="5760" spans="1:10" x14ac:dyDescent="0.25">
      <c r="A5760" t="s">
        <v>8</v>
      </c>
      <c r="B5760" t="s">
        <v>16234</v>
      </c>
      <c r="C5760" t="s">
        <v>16235</v>
      </c>
      <c r="D5760">
        <v>1</v>
      </c>
      <c r="E5760" t="s">
        <v>16209</v>
      </c>
      <c r="F5760" t="s">
        <v>16210</v>
      </c>
      <c r="G5760" s="1"/>
      <c r="H5760" t="str">
        <f>"3250617199124"</f>
        <v>3250617199124</v>
      </c>
      <c r="J5760" t="s">
        <v>16227</v>
      </c>
    </row>
    <row r="5761" spans="1:10" x14ac:dyDescent="0.25">
      <c r="A5761" t="s">
        <v>8</v>
      </c>
      <c r="B5761" t="s">
        <v>16236</v>
      </c>
      <c r="C5761" t="s">
        <v>16237</v>
      </c>
      <c r="D5761">
        <v>1</v>
      </c>
      <c r="E5761" t="s">
        <v>16209</v>
      </c>
      <c r="F5761" t="s">
        <v>16210</v>
      </c>
      <c r="G5761" s="1"/>
      <c r="H5761" t="str">
        <f>"3250617199131"</f>
        <v>3250617199131</v>
      </c>
      <c r="J5761" t="s">
        <v>16238</v>
      </c>
    </row>
    <row r="5762" spans="1:10" x14ac:dyDescent="0.25">
      <c r="A5762" t="s">
        <v>8</v>
      </c>
      <c r="B5762" t="s">
        <v>16239</v>
      </c>
      <c r="C5762" t="s">
        <v>16240</v>
      </c>
      <c r="D5762">
        <v>1</v>
      </c>
      <c r="E5762" t="s">
        <v>16209</v>
      </c>
      <c r="F5762" t="s">
        <v>16210</v>
      </c>
      <c r="G5762" s="1"/>
      <c r="H5762" t="str">
        <f>"3250617199148"</f>
        <v>3250617199148</v>
      </c>
      <c r="J5762" t="s">
        <v>16217</v>
      </c>
    </row>
    <row r="5763" spans="1:10" x14ac:dyDescent="0.25">
      <c r="A5763" t="s">
        <v>8</v>
      </c>
      <c r="B5763" t="s">
        <v>16241</v>
      </c>
      <c r="C5763" t="s">
        <v>16242</v>
      </c>
      <c r="D5763">
        <v>1</v>
      </c>
      <c r="E5763" t="s">
        <v>16209</v>
      </c>
      <c r="F5763" t="s">
        <v>16210</v>
      </c>
      <c r="G5763" s="1"/>
      <c r="H5763" t="str">
        <f>"3250617199155"</f>
        <v>3250617199155</v>
      </c>
      <c r="J5763" t="s">
        <v>16227</v>
      </c>
    </row>
    <row r="5764" spans="1:10" x14ac:dyDescent="0.25">
      <c r="A5764" t="s">
        <v>8</v>
      </c>
      <c r="B5764" t="s">
        <v>16243</v>
      </c>
      <c r="C5764" t="s">
        <v>16244</v>
      </c>
      <c r="D5764">
        <v>1</v>
      </c>
      <c r="E5764" t="s">
        <v>16209</v>
      </c>
      <c r="F5764" t="s">
        <v>16210</v>
      </c>
      <c r="G5764" s="1"/>
      <c r="H5764" t="str">
        <f>"3250617199162"</f>
        <v>3250617199162</v>
      </c>
      <c r="J5764" t="s">
        <v>16217</v>
      </c>
    </row>
    <row r="5765" spans="1:10" x14ac:dyDescent="0.25">
      <c r="A5765" t="s">
        <v>8</v>
      </c>
      <c r="B5765" t="s">
        <v>16245</v>
      </c>
      <c r="C5765" t="s">
        <v>16246</v>
      </c>
      <c r="D5765">
        <v>1</v>
      </c>
      <c r="E5765" t="s">
        <v>16209</v>
      </c>
      <c r="F5765" t="s">
        <v>16210</v>
      </c>
      <c r="G5765" s="1"/>
      <c r="H5765" t="str">
        <f>"3250617199179"</f>
        <v>3250617199179</v>
      </c>
      <c r="J5765" t="s">
        <v>16247</v>
      </c>
    </row>
    <row r="5766" spans="1:10" x14ac:dyDescent="0.25">
      <c r="A5766" t="s">
        <v>8</v>
      </c>
      <c r="B5766" t="s">
        <v>16248</v>
      </c>
      <c r="C5766" t="s">
        <v>16249</v>
      </c>
      <c r="D5766">
        <v>1</v>
      </c>
      <c r="E5766" t="s">
        <v>16209</v>
      </c>
      <c r="F5766" t="s">
        <v>16210</v>
      </c>
      <c r="G5766" s="1"/>
      <c r="H5766" t="str">
        <f>"3250617199186"</f>
        <v>3250617199186</v>
      </c>
      <c r="J5766" t="s">
        <v>16247</v>
      </c>
    </row>
    <row r="5767" spans="1:10" x14ac:dyDescent="0.25">
      <c r="A5767" t="s">
        <v>8</v>
      </c>
      <c r="B5767" t="s">
        <v>16250</v>
      </c>
      <c r="C5767" t="s">
        <v>16251</v>
      </c>
      <c r="D5767">
        <v>1</v>
      </c>
      <c r="E5767" t="s">
        <v>16209</v>
      </c>
      <c r="F5767" t="s">
        <v>16210</v>
      </c>
      <c r="G5767" s="1"/>
      <c r="H5767" t="str">
        <f>"3250617199193"</f>
        <v>3250617199193</v>
      </c>
      <c r="J5767" t="s">
        <v>16252</v>
      </c>
    </row>
    <row r="5768" spans="1:10" x14ac:dyDescent="0.25">
      <c r="A5768" t="s">
        <v>8</v>
      </c>
      <c r="B5768" t="s">
        <v>16253</v>
      </c>
      <c r="C5768" t="s">
        <v>16254</v>
      </c>
      <c r="D5768">
        <v>1</v>
      </c>
      <c r="E5768" t="s">
        <v>16209</v>
      </c>
      <c r="F5768" t="s">
        <v>16210</v>
      </c>
      <c r="G5768" s="1"/>
      <c r="H5768" t="str">
        <f>"3250617199209"</f>
        <v>3250617199209</v>
      </c>
      <c r="J5768" t="s">
        <v>16255</v>
      </c>
    </row>
    <row r="5769" spans="1:10" x14ac:dyDescent="0.25">
      <c r="A5769" t="s">
        <v>8</v>
      </c>
      <c r="B5769" t="s">
        <v>16256</v>
      </c>
      <c r="C5769" t="s">
        <v>16257</v>
      </c>
      <c r="D5769">
        <v>1</v>
      </c>
      <c r="E5769" t="s">
        <v>16209</v>
      </c>
      <c r="F5769" t="s">
        <v>16210</v>
      </c>
      <c r="G5769" s="1"/>
      <c r="H5769" t="str">
        <f>"3250617199216"</f>
        <v>3250617199216</v>
      </c>
      <c r="J5769" t="s">
        <v>16258</v>
      </c>
    </row>
    <row r="5770" spans="1:10" x14ac:dyDescent="0.25">
      <c r="A5770" t="s">
        <v>8</v>
      </c>
      <c r="B5770" t="s">
        <v>16259</v>
      </c>
      <c r="C5770" t="s">
        <v>16260</v>
      </c>
      <c r="D5770">
        <v>1</v>
      </c>
      <c r="E5770" t="s">
        <v>16209</v>
      </c>
      <c r="F5770" t="s">
        <v>16210</v>
      </c>
      <c r="G5770" s="1"/>
      <c r="H5770" t="str">
        <f>"3250617199223"</f>
        <v>3250617199223</v>
      </c>
      <c r="J5770" t="s">
        <v>16258</v>
      </c>
    </row>
    <row r="5771" spans="1:10" x14ac:dyDescent="0.25">
      <c r="A5771" t="s">
        <v>8</v>
      </c>
      <c r="B5771" t="s">
        <v>16261</v>
      </c>
      <c r="C5771" t="s">
        <v>16262</v>
      </c>
      <c r="D5771">
        <v>1</v>
      </c>
      <c r="E5771" t="s">
        <v>16209</v>
      </c>
      <c r="F5771" t="s">
        <v>16210</v>
      </c>
      <c r="G5771" s="1"/>
      <c r="H5771" t="str">
        <f>"3250617199230"</f>
        <v>3250617199230</v>
      </c>
      <c r="J5771" t="s">
        <v>16263</v>
      </c>
    </row>
    <row r="5772" spans="1:10" x14ac:dyDescent="0.25">
      <c r="A5772" t="s">
        <v>8</v>
      </c>
      <c r="B5772" t="s">
        <v>16264</v>
      </c>
      <c r="C5772" t="s">
        <v>16265</v>
      </c>
      <c r="D5772">
        <v>1</v>
      </c>
      <c r="E5772" t="s">
        <v>16209</v>
      </c>
      <c r="F5772" t="s">
        <v>16210</v>
      </c>
      <c r="G5772" s="1"/>
      <c r="H5772" t="str">
        <f>"3250617199247"</f>
        <v>3250617199247</v>
      </c>
      <c r="J5772" t="s">
        <v>16266</v>
      </c>
    </row>
    <row r="5773" spans="1:10" x14ac:dyDescent="0.25">
      <c r="A5773" t="s">
        <v>8</v>
      </c>
      <c r="B5773" t="s">
        <v>16267</v>
      </c>
      <c r="C5773" t="s">
        <v>16268</v>
      </c>
      <c r="D5773">
        <v>1</v>
      </c>
      <c r="E5773" t="s">
        <v>16209</v>
      </c>
      <c r="F5773" t="s">
        <v>16210</v>
      </c>
      <c r="G5773" s="1"/>
      <c r="H5773" t="str">
        <f>"3250617199254"</f>
        <v>3250617199254</v>
      </c>
      <c r="J5773" t="s">
        <v>11287</v>
      </c>
    </row>
    <row r="5774" spans="1:10" x14ac:dyDescent="0.25">
      <c r="A5774" t="s">
        <v>8</v>
      </c>
      <c r="B5774" t="s">
        <v>16269</v>
      </c>
      <c r="C5774" t="s">
        <v>16270</v>
      </c>
      <c r="D5774">
        <v>1</v>
      </c>
      <c r="E5774" t="s">
        <v>16209</v>
      </c>
      <c r="F5774" t="s">
        <v>16210</v>
      </c>
      <c r="G5774" s="1"/>
      <c r="H5774" t="str">
        <f>"3250617199261"</f>
        <v>3250617199261</v>
      </c>
      <c r="J5774" t="s">
        <v>16258</v>
      </c>
    </row>
    <row r="5775" spans="1:10" x14ac:dyDescent="0.25">
      <c r="A5775" t="s">
        <v>8</v>
      </c>
      <c r="B5775" t="s">
        <v>16271</v>
      </c>
      <c r="C5775" t="s">
        <v>16272</v>
      </c>
      <c r="D5775">
        <v>1</v>
      </c>
      <c r="E5775" t="s">
        <v>16209</v>
      </c>
      <c r="F5775" t="s">
        <v>16210</v>
      </c>
      <c r="G5775" s="1"/>
      <c r="H5775" t="str">
        <f>"3250617199278"</f>
        <v>3250617199278</v>
      </c>
      <c r="J5775" t="s">
        <v>16266</v>
      </c>
    </row>
    <row r="5776" spans="1:10" x14ac:dyDescent="0.25">
      <c r="A5776" t="s">
        <v>8</v>
      </c>
      <c r="B5776" t="s">
        <v>16273</v>
      </c>
      <c r="C5776" t="s">
        <v>16274</v>
      </c>
      <c r="D5776">
        <v>1</v>
      </c>
      <c r="E5776" t="s">
        <v>16209</v>
      </c>
      <c r="F5776" t="s">
        <v>16210</v>
      </c>
      <c r="G5776" s="1"/>
      <c r="H5776" t="str">
        <f>"3250617199285"</f>
        <v>3250617199285</v>
      </c>
      <c r="J5776" t="s">
        <v>16275</v>
      </c>
    </row>
    <row r="5777" spans="1:10" x14ac:dyDescent="0.25">
      <c r="A5777" t="s">
        <v>8</v>
      </c>
      <c r="B5777" t="s">
        <v>16276</v>
      </c>
      <c r="C5777" t="s">
        <v>16277</v>
      </c>
      <c r="D5777">
        <v>1</v>
      </c>
      <c r="E5777" t="s">
        <v>16209</v>
      </c>
      <c r="F5777" t="s">
        <v>16210</v>
      </c>
      <c r="G5777" s="1"/>
      <c r="H5777" t="str">
        <f>"3250617199292"</f>
        <v>3250617199292</v>
      </c>
      <c r="J5777" t="s">
        <v>11335</v>
      </c>
    </row>
    <row r="5778" spans="1:10" x14ac:dyDescent="0.25">
      <c r="A5778" t="s">
        <v>8</v>
      </c>
      <c r="B5778" t="s">
        <v>16278</v>
      </c>
      <c r="C5778" t="s">
        <v>16279</v>
      </c>
      <c r="D5778">
        <v>1</v>
      </c>
      <c r="E5778" t="s">
        <v>16209</v>
      </c>
      <c r="F5778" t="s">
        <v>16210</v>
      </c>
      <c r="G5778" s="1"/>
      <c r="H5778" t="str">
        <f>"3250617199308"</f>
        <v>3250617199308</v>
      </c>
      <c r="J5778" t="s">
        <v>16280</v>
      </c>
    </row>
    <row r="5779" spans="1:10" x14ac:dyDescent="0.25">
      <c r="A5779" t="s">
        <v>8</v>
      </c>
      <c r="B5779" t="s">
        <v>16281</v>
      </c>
      <c r="C5779" t="s">
        <v>16282</v>
      </c>
      <c r="D5779">
        <v>1</v>
      </c>
      <c r="E5779" t="s">
        <v>16209</v>
      </c>
      <c r="F5779" t="s">
        <v>16210</v>
      </c>
      <c r="G5779" s="1"/>
      <c r="H5779" t="str">
        <f>"3250617199315"</f>
        <v>3250617199315</v>
      </c>
      <c r="J5779" t="s">
        <v>11287</v>
      </c>
    </row>
    <row r="5780" spans="1:10" x14ac:dyDescent="0.25">
      <c r="A5780" t="s">
        <v>8</v>
      </c>
      <c r="B5780" t="s">
        <v>16283</v>
      </c>
      <c r="C5780" t="s">
        <v>16284</v>
      </c>
      <c r="D5780">
        <v>1</v>
      </c>
      <c r="E5780" t="s">
        <v>16209</v>
      </c>
      <c r="F5780" t="s">
        <v>16210</v>
      </c>
      <c r="G5780" s="1"/>
      <c r="H5780" t="str">
        <f>"3250617199322"</f>
        <v>3250617199322</v>
      </c>
      <c r="J5780" t="s">
        <v>16258</v>
      </c>
    </row>
    <row r="5781" spans="1:10" x14ac:dyDescent="0.25">
      <c r="A5781" t="s">
        <v>8</v>
      </c>
      <c r="B5781" t="s">
        <v>16285</v>
      </c>
      <c r="C5781" t="s">
        <v>16286</v>
      </c>
      <c r="D5781">
        <v>1</v>
      </c>
      <c r="E5781" t="s">
        <v>16209</v>
      </c>
      <c r="F5781" t="s">
        <v>16210</v>
      </c>
      <c r="G5781" s="1"/>
      <c r="H5781" t="str">
        <f>"3250617199339"</f>
        <v>3250617199339</v>
      </c>
      <c r="J5781" t="s">
        <v>16287</v>
      </c>
    </row>
    <row r="5782" spans="1:10" x14ac:dyDescent="0.25">
      <c r="A5782" t="s">
        <v>8</v>
      </c>
      <c r="B5782" t="s">
        <v>16288</v>
      </c>
      <c r="C5782" t="s">
        <v>16289</v>
      </c>
      <c r="D5782">
        <v>1</v>
      </c>
      <c r="E5782" t="s">
        <v>16209</v>
      </c>
      <c r="F5782" t="s">
        <v>16210</v>
      </c>
      <c r="G5782" s="1"/>
      <c r="H5782" t="str">
        <f>"3250617199346"</f>
        <v>3250617199346</v>
      </c>
      <c r="J5782" t="s">
        <v>16290</v>
      </c>
    </row>
    <row r="5783" spans="1:10" x14ac:dyDescent="0.25">
      <c r="A5783" t="s">
        <v>8</v>
      </c>
      <c r="B5783" t="s">
        <v>16291</v>
      </c>
      <c r="C5783" t="s">
        <v>16292</v>
      </c>
      <c r="D5783">
        <v>1</v>
      </c>
      <c r="E5783" t="s">
        <v>16209</v>
      </c>
      <c r="F5783" t="s">
        <v>16210</v>
      </c>
      <c r="G5783" s="1"/>
      <c r="H5783" t="str">
        <f>"3250617199353"</f>
        <v>3250617199353</v>
      </c>
      <c r="J5783" t="s">
        <v>16255</v>
      </c>
    </row>
    <row r="5784" spans="1:10" x14ac:dyDescent="0.25">
      <c r="A5784" t="s">
        <v>8</v>
      </c>
      <c r="B5784" t="s">
        <v>16293</v>
      </c>
      <c r="C5784" t="s">
        <v>16294</v>
      </c>
      <c r="D5784">
        <v>1</v>
      </c>
      <c r="E5784" t="s">
        <v>16209</v>
      </c>
      <c r="F5784" t="s">
        <v>16210</v>
      </c>
      <c r="G5784" s="1"/>
      <c r="H5784" t="str">
        <f>"3250617199360"</f>
        <v>3250617199360</v>
      </c>
      <c r="J5784" t="s">
        <v>16258</v>
      </c>
    </row>
    <row r="5785" spans="1:10" x14ac:dyDescent="0.25">
      <c r="A5785" t="s">
        <v>8</v>
      </c>
      <c r="B5785" t="s">
        <v>16295</v>
      </c>
      <c r="C5785" t="s">
        <v>16296</v>
      </c>
      <c r="D5785">
        <v>1</v>
      </c>
      <c r="E5785" t="s">
        <v>16209</v>
      </c>
      <c r="F5785" t="s">
        <v>16210</v>
      </c>
      <c r="G5785" s="1"/>
      <c r="H5785" t="str">
        <f>"3250617199377"</f>
        <v>3250617199377</v>
      </c>
      <c r="J5785" t="s">
        <v>16258</v>
      </c>
    </row>
    <row r="5786" spans="1:10" x14ac:dyDescent="0.25">
      <c r="A5786" t="s">
        <v>8</v>
      </c>
      <c r="B5786" t="s">
        <v>16297</v>
      </c>
      <c r="C5786" t="s">
        <v>16298</v>
      </c>
      <c r="D5786">
        <v>1</v>
      </c>
      <c r="E5786" t="s">
        <v>16209</v>
      </c>
      <c r="F5786" t="s">
        <v>16210</v>
      </c>
      <c r="G5786" s="1"/>
      <c r="H5786" t="str">
        <f>"3250617199384"</f>
        <v>3250617199384</v>
      </c>
      <c r="J5786" t="s">
        <v>16266</v>
      </c>
    </row>
    <row r="5787" spans="1:10" x14ac:dyDescent="0.25">
      <c r="A5787" t="s">
        <v>8</v>
      </c>
      <c r="B5787" t="s">
        <v>16299</v>
      </c>
      <c r="C5787" t="s">
        <v>16300</v>
      </c>
      <c r="D5787">
        <v>1</v>
      </c>
      <c r="E5787" t="s">
        <v>16209</v>
      </c>
      <c r="F5787" t="s">
        <v>16210</v>
      </c>
      <c r="G5787" s="1"/>
      <c r="H5787" t="str">
        <f>"3250617199391"</f>
        <v>3250617199391</v>
      </c>
      <c r="J5787" t="s">
        <v>16266</v>
      </c>
    </row>
    <row r="5788" spans="1:10" x14ac:dyDescent="0.25">
      <c r="A5788" t="s">
        <v>8</v>
      </c>
      <c r="B5788" t="s">
        <v>16301</v>
      </c>
      <c r="C5788" t="s">
        <v>16302</v>
      </c>
      <c r="D5788">
        <v>1</v>
      </c>
      <c r="E5788" t="s">
        <v>16209</v>
      </c>
      <c r="F5788" t="s">
        <v>16210</v>
      </c>
      <c r="G5788" s="1"/>
      <c r="H5788" t="str">
        <f>"3250617199407"</f>
        <v>3250617199407</v>
      </c>
      <c r="J5788" t="s">
        <v>11287</v>
      </c>
    </row>
    <row r="5789" spans="1:10" x14ac:dyDescent="0.25">
      <c r="A5789" t="s">
        <v>8</v>
      </c>
      <c r="B5789" t="s">
        <v>16303</v>
      </c>
      <c r="C5789" t="s">
        <v>16304</v>
      </c>
      <c r="D5789">
        <v>1</v>
      </c>
      <c r="E5789" t="s">
        <v>16209</v>
      </c>
      <c r="F5789" t="s">
        <v>16210</v>
      </c>
      <c r="G5789" s="1"/>
      <c r="H5789" t="str">
        <f>"3250617199414"</f>
        <v>3250617199414</v>
      </c>
      <c r="J5789" t="s">
        <v>16258</v>
      </c>
    </row>
    <row r="5790" spans="1:10" x14ac:dyDescent="0.25">
      <c r="A5790" t="s">
        <v>8</v>
      </c>
      <c r="B5790" t="s">
        <v>16305</v>
      </c>
      <c r="C5790" t="s">
        <v>16306</v>
      </c>
      <c r="D5790">
        <v>1</v>
      </c>
      <c r="E5790" t="s">
        <v>16209</v>
      </c>
      <c r="F5790" t="s">
        <v>16210</v>
      </c>
      <c r="G5790" s="1"/>
      <c r="H5790" t="str">
        <f>"3250617199421"</f>
        <v>3250617199421</v>
      </c>
      <c r="J5790" t="s">
        <v>16266</v>
      </c>
    </row>
    <row r="5791" spans="1:10" x14ac:dyDescent="0.25">
      <c r="A5791" t="s">
        <v>8</v>
      </c>
      <c r="B5791" t="s">
        <v>16307</v>
      </c>
      <c r="C5791" t="s">
        <v>16308</v>
      </c>
      <c r="D5791">
        <v>1</v>
      </c>
      <c r="E5791" t="s">
        <v>16209</v>
      </c>
      <c r="F5791" t="s">
        <v>16210</v>
      </c>
      <c r="G5791" s="1"/>
      <c r="H5791" t="str">
        <f>"3250617199438"</f>
        <v>3250617199438</v>
      </c>
      <c r="J5791" t="s">
        <v>16275</v>
      </c>
    </row>
    <row r="5792" spans="1:10" x14ac:dyDescent="0.25">
      <c r="A5792" t="s">
        <v>8</v>
      </c>
      <c r="B5792" t="s">
        <v>16309</v>
      </c>
      <c r="C5792" t="s">
        <v>16310</v>
      </c>
      <c r="D5792">
        <v>1</v>
      </c>
      <c r="E5792" t="s">
        <v>16209</v>
      </c>
      <c r="F5792" t="s">
        <v>16210</v>
      </c>
      <c r="G5792" s="1"/>
      <c r="H5792" t="str">
        <f>"3250617199445"</f>
        <v>3250617199445</v>
      </c>
      <c r="J5792" t="s">
        <v>11335</v>
      </c>
    </row>
    <row r="5793" spans="1:10" x14ac:dyDescent="0.25">
      <c r="A5793" t="s">
        <v>8</v>
      </c>
      <c r="B5793" t="s">
        <v>16311</v>
      </c>
      <c r="C5793" t="s">
        <v>16312</v>
      </c>
      <c r="D5793">
        <v>1</v>
      </c>
      <c r="E5793" t="s">
        <v>16209</v>
      </c>
      <c r="F5793" t="s">
        <v>16210</v>
      </c>
      <c r="G5793" s="1"/>
      <c r="H5793" t="str">
        <f>"3250617199452"</f>
        <v>3250617199452</v>
      </c>
      <c r="J5793" t="s">
        <v>16258</v>
      </c>
    </row>
    <row r="5794" spans="1:10" x14ac:dyDescent="0.25">
      <c r="A5794" t="s">
        <v>8</v>
      </c>
      <c r="B5794" t="s">
        <v>16313</v>
      </c>
      <c r="C5794" t="s">
        <v>16314</v>
      </c>
      <c r="D5794">
        <v>1</v>
      </c>
      <c r="E5794" t="s">
        <v>16209</v>
      </c>
      <c r="F5794" t="s">
        <v>16210</v>
      </c>
      <c r="G5794" s="1"/>
      <c r="H5794" t="str">
        <f>"3250617199469"</f>
        <v>3250617199469</v>
      </c>
      <c r="J5794" t="s">
        <v>11287</v>
      </c>
    </row>
    <row r="5795" spans="1:10" x14ac:dyDescent="0.25">
      <c r="A5795" t="s">
        <v>8</v>
      </c>
      <c r="B5795" t="s">
        <v>16315</v>
      </c>
      <c r="C5795" t="s">
        <v>16316</v>
      </c>
      <c r="D5795">
        <v>1</v>
      </c>
      <c r="E5795" t="s">
        <v>16209</v>
      </c>
      <c r="F5795" t="s">
        <v>16210</v>
      </c>
      <c r="G5795" s="1"/>
      <c r="H5795" t="str">
        <f>"3250617199476"</f>
        <v>3250617199476</v>
      </c>
      <c r="J5795" t="s">
        <v>16258</v>
      </c>
    </row>
    <row r="5796" spans="1:10" x14ac:dyDescent="0.25">
      <c r="A5796" t="s">
        <v>8</v>
      </c>
      <c r="B5796" t="s">
        <v>16317</v>
      </c>
      <c r="C5796" t="s">
        <v>16318</v>
      </c>
      <c r="D5796">
        <v>1</v>
      </c>
      <c r="E5796" t="s">
        <v>16209</v>
      </c>
      <c r="F5796" t="s">
        <v>16210</v>
      </c>
      <c r="G5796" s="1"/>
      <c r="H5796" t="str">
        <f>"3250617199483"</f>
        <v>3250617199483</v>
      </c>
      <c r="J5796" t="s">
        <v>16319</v>
      </c>
    </row>
    <row r="5797" spans="1:10" x14ac:dyDescent="0.25">
      <c r="A5797" t="s">
        <v>8</v>
      </c>
      <c r="B5797" t="s">
        <v>16320</v>
      </c>
      <c r="C5797" t="s">
        <v>16321</v>
      </c>
      <c r="D5797">
        <v>1</v>
      </c>
      <c r="E5797" t="s">
        <v>16209</v>
      </c>
      <c r="F5797" t="s">
        <v>16210</v>
      </c>
      <c r="G5797" s="1"/>
      <c r="H5797" t="str">
        <f>"3250617199490"</f>
        <v>3250617199490</v>
      </c>
      <c r="J5797" t="s">
        <v>16252</v>
      </c>
    </row>
    <row r="5798" spans="1:10" x14ac:dyDescent="0.25">
      <c r="A5798" t="s">
        <v>8</v>
      </c>
      <c r="B5798" t="s">
        <v>16322</v>
      </c>
      <c r="C5798" t="s">
        <v>16323</v>
      </c>
      <c r="D5798">
        <v>1</v>
      </c>
      <c r="E5798" t="s">
        <v>16209</v>
      </c>
      <c r="F5798" t="s">
        <v>16210</v>
      </c>
      <c r="G5798" s="1"/>
      <c r="H5798" t="str">
        <f>"3250617199506"</f>
        <v>3250617199506</v>
      </c>
      <c r="J5798" t="s">
        <v>16252</v>
      </c>
    </row>
    <row r="5799" spans="1:10" x14ac:dyDescent="0.25">
      <c r="A5799" t="s">
        <v>8</v>
      </c>
      <c r="B5799" t="s">
        <v>16324</v>
      </c>
      <c r="C5799" t="s">
        <v>16325</v>
      </c>
      <c r="D5799">
        <v>1</v>
      </c>
      <c r="E5799" t="s">
        <v>16209</v>
      </c>
      <c r="F5799" t="s">
        <v>16210</v>
      </c>
      <c r="G5799" s="1"/>
      <c r="H5799" t="str">
        <f>"3250617199544"</f>
        <v>3250617199544</v>
      </c>
      <c r="J5799" t="s">
        <v>15346</v>
      </c>
    </row>
    <row r="5800" spans="1:10" x14ac:dyDescent="0.25">
      <c r="A5800" t="s">
        <v>8</v>
      </c>
      <c r="B5800" t="s">
        <v>16326</v>
      </c>
      <c r="C5800" t="s">
        <v>16327</v>
      </c>
      <c r="D5800">
        <v>1</v>
      </c>
      <c r="E5800" t="s">
        <v>16209</v>
      </c>
      <c r="F5800" t="s">
        <v>16210</v>
      </c>
      <c r="G5800" s="1"/>
      <c r="H5800" t="str">
        <f>"3250617199551"</f>
        <v>3250617199551</v>
      </c>
      <c r="J5800" t="s">
        <v>15346</v>
      </c>
    </row>
    <row r="5801" spans="1:10" x14ac:dyDescent="0.25">
      <c r="A5801" t="s">
        <v>8</v>
      </c>
      <c r="B5801" t="s">
        <v>16328</v>
      </c>
      <c r="C5801" t="s">
        <v>16329</v>
      </c>
      <c r="D5801">
        <v>1</v>
      </c>
      <c r="E5801" t="s">
        <v>16209</v>
      </c>
      <c r="F5801" t="s">
        <v>16210</v>
      </c>
      <c r="G5801" s="1"/>
      <c r="H5801" t="str">
        <f>"3250617199568"</f>
        <v>3250617199568</v>
      </c>
      <c r="J5801" t="s">
        <v>16330</v>
      </c>
    </row>
    <row r="5802" spans="1:10" x14ac:dyDescent="0.25">
      <c r="A5802" t="s">
        <v>8</v>
      </c>
      <c r="B5802" t="s">
        <v>16331</v>
      </c>
      <c r="C5802" t="s">
        <v>16332</v>
      </c>
      <c r="D5802">
        <v>1</v>
      </c>
      <c r="E5802" t="s">
        <v>16209</v>
      </c>
      <c r="F5802" t="s">
        <v>16210</v>
      </c>
      <c r="G5802" s="1"/>
      <c r="H5802" t="str">
        <f>"3250617199575"</f>
        <v>3250617199575</v>
      </c>
      <c r="J5802" t="s">
        <v>16333</v>
      </c>
    </row>
    <row r="5803" spans="1:10" x14ac:dyDescent="0.25">
      <c r="A5803" t="s">
        <v>8</v>
      </c>
      <c r="B5803" t="s">
        <v>16334</v>
      </c>
      <c r="C5803" t="s">
        <v>16335</v>
      </c>
      <c r="D5803">
        <v>1</v>
      </c>
      <c r="E5803" t="s">
        <v>16209</v>
      </c>
      <c r="F5803" t="s">
        <v>16210</v>
      </c>
      <c r="G5803" s="1"/>
      <c r="H5803" t="str">
        <f>"3250617199582"</f>
        <v>3250617199582</v>
      </c>
      <c r="J5803" t="s">
        <v>16336</v>
      </c>
    </row>
    <row r="5804" spans="1:10" x14ac:dyDescent="0.25">
      <c r="A5804" t="s">
        <v>8</v>
      </c>
      <c r="B5804" t="s">
        <v>16337</v>
      </c>
      <c r="C5804" t="s">
        <v>16338</v>
      </c>
      <c r="D5804">
        <v>1</v>
      </c>
      <c r="E5804" t="s">
        <v>16209</v>
      </c>
      <c r="F5804" t="s">
        <v>16210</v>
      </c>
      <c r="G5804" s="1"/>
      <c r="H5804" t="str">
        <f>"3250617199599"</f>
        <v>3250617199599</v>
      </c>
      <c r="J5804" t="s">
        <v>16339</v>
      </c>
    </row>
    <row r="5805" spans="1:10" x14ac:dyDescent="0.25">
      <c r="A5805" t="s">
        <v>8</v>
      </c>
      <c r="B5805" t="s">
        <v>16340</v>
      </c>
      <c r="C5805" t="s">
        <v>16341</v>
      </c>
      <c r="D5805">
        <v>1</v>
      </c>
      <c r="E5805" t="s">
        <v>16209</v>
      </c>
      <c r="F5805" t="s">
        <v>16210</v>
      </c>
      <c r="G5805" s="1"/>
      <c r="H5805" t="str">
        <f>"3250617199605"</f>
        <v>3250617199605</v>
      </c>
      <c r="I5805" s="1"/>
      <c r="J5805" t="s">
        <v>16342</v>
      </c>
    </row>
    <row r="5806" spans="1:10" x14ac:dyDescent="0.25">
      <c r="A5806" t="s">
        <v>8</v>
      </c>
      <c r="B5806" t="s">
        <v>16343</v>
      </c>
      <c r="C5806" t="s">
        <v>16344</v>
      </c>
      <c r="D5806">
        <v>1</v>
      </c>
      <c r="E5806" t="s">
        <v>16209</v>
      </c>
      <c r="F5806" t="s">
        <v>16210</v>
      </c>
      <c r="G5806" s="1"/>
      <c r="H5806" t="str">
        <f>"3250617199612"</f>
        <v>3250617199612</v>
      </c>
      <c r="J5806" t="s">
        <v>16252</v>
      </c>
    </row>
    <row r="5807" spans="1:10" x14ac:dyDescent="0.25">
      <c r="A5807" t="s">
        <v>8</v>
      </c>
      <c r="B5807" t="s">
        <v>16345</v>
      </c>
      <c r="C5807" t="s">
        <v>16346</v>
      </c>
      <c r="D5807">
        <v>1</v>
      </c>
      <c r="E5807" t="s">
        <v>16209</v>
      </c>
      <c r="F5807" t="s">
        <v>16210</v>
      </c>
      <c r="G5807" s="1"/>
      <c r="H5807" t="str">
        <f>"3250617199629"</f>
        <v>3250617199629</v>
      </c>
      <c r="J5807" t="s">
        <v>16330</v>
      </c>
    </row>
    <row r="5808" spans="1:10" x14ac:dyDescent="0.25">
      <c r="A5808" t="s">
        <v>8</v>
      </c>
      <c r="B5808" t="s">
        <v>16347</v>
      </c>
      <c r="C5808" t="s">
        <v>16348</v>
      </c>
      <c r="D5808">
        <v>1</v>
      </c>
      <c r="E5808" t="s">
        <v>16209</v>
      </c>
      <c r="F5808" t="s">
        <v>16210</v>
      </c>
      <c r="G5808" s="1"/>
      <c r="H5808" t="str">
        <f>"3250617199636"</f>
        <v>3250617199636</v>
      </c>
      <c r="J5808" t="s">
        <v>16252</v>
      </c>
    </row>
    <row r="5809" spans="1:10" x14ac:dyDescent="0.25">
      <c r="A5809" t="s">
        <v>8</v>
      </c>
      <c r="B5809" t="s">
        <v>16349</v>
      </c>
      <c r="C5809" t="s">
        <v>16350</v>
      </c>
      <c r="D5809">
        <v>1</v>
      </c>
      <c r="E5809" t="s">
        <v>16209</v>
      </c>
      <c r="F5809" t="s">
        <v>16210</v>
      </c>
      <c r="G5809" s="1"/>
      <c r="H5809" t="str">
        <f>"3250617192125"</f>
        <v>3250617192125</v>
      </c>
      <c r="J5809" t="s">
        <v>16290</v>
      </c>
    </row>
    <row r="5810" spans="1:10" x14ac:dyDescent="0.25">
      <c r="A5810" t="s">
        <v>8</v>
      </c>
      <c r="B5810" t="s">
        <v>16351</v>
      </c>
      <c r="C5810" t="s">
        <v>16352</v>
      </c>
      <c r="D5810">
        <v>1</v>
      </c>
      <c r="E5810" t="s">
        <v>16209</v>
      </c>
      <c r="F5810" t="s">
        <v>16210</v>
      </c>
      <c r="G5810" s="1"/>
      <c r="H5810" t="str">
        <f>"3250617060202"</f>
        <v>3250617060202</v>
      </c>
      <c r="J5810" t="s">
        <v>16217</v>
      </c>
    </row>
    <row r="5811" spans="1:10" x14ac:dyDescent="0.25">
      <c r="A5811" t="s">
        <v>8</v>
      </c>
      <c r="B5811" t="s">
        <v>16353</v>
      </c>
      <c r="C5811" t="s">
        <v>16354</v>
      </c>
      <c r="D5811">
        <v>1</v>
      </c>
      <c r="E5811" t="s">
        <v>16209</v>
      </c>
      <c r="F5811" t="s">
        <v>16210</v>
      </c>
      <c r="G5811" s="1"/>
      <c r="H5811" t="str">
        <f>"3250617060219"</f>
        <v>3250617060219</v>
      </c>
      <c r="J5811" t="s">
        <v>16287</v>
      </c>
    </row>
    <row r="5812" spans="1:10" x14ac:dyDescent="0.25">
      <c r="A5812" t="s">
        <v>8</v>
      </c>
      <c r="B5812" t="s">
        <v>16355</v>
      </c>
      <c r="C5812" t="s">
        <v>16356</v>
      </c>
      <c r="D5812">
        <v>1</v>
      </c>
      <c r="E5812" t="s">
        <v>16209</v>
      </c>
      <c r="F5812" t="s">
        <v>16210</v>
      </c>
      <c r="G5812" s="1"/>
      <c r="H5812" t="str">
        <f>"3250617120661"</f>
        <v>3250617120661</v>
      </c>
      <c r="J5812" t="s">
        <v>16357</v>
      </c>
    </row>
    <row r="5813" spans="1:10" x14ac:dyDescent="0.25">
      <c r="A5813" t="s">
        <v>8</v>
      </c>
      <c r="B5813" t="s">
        <v>16358</v>
      </c>
      <c r="C5813" t="s">
        <v>16359</v>
      </c>
      <c r="D5813">
        <v>1</v>
      </c>
      <c r="E5813" t="s">
        <v>16209</v>
      </c>
      <c r="F5813" t="s">
        <v>16210</v>
      </c>
      <c r="G5813" s="1"/>
      <c r="H5813" t="str">
        <f>"3250617120678"</f>
        <v>3250617120678</v>
      </c>
      <c r="J5813" t="s">
        <v>16360</v>
      </c>
    </row>
    <row r="5814" spans="1:10" x14ac:dyDescent="0.25">
      <c r="A5814" t="s">
        <v>8</v>
      </c>
      <c r="B5814" t="s">
        <v>16361</v>
      </c>
      <c r="C5814" t="s">
        <v>16362</v>
      </c>
      <c r="D5814">
        <v>1</v>
      </c>
      <c r="E5814" t="s">
        <v>16209</v>
      </c>
      <c r="F5814" t="s">
        <v>16210</v>
      </c>
      <c r="G5814" s="1"/>
      <c r="H5814" t="str">
        <f>"3250617120685"</f>
        <v>3250617120685</v>
      </c>
      <c r="J5814" t="s">
        <v>16360</v>
      </c>
    </row>
    <row r="5815" spans="1:10" x14ac:dyDescent="0.25">
      <c r="A5815" t="s">
        <v>8</v>
      </c>
      <c r="B5815" t="s">
        <v>16363</v>
      </c>
      <c r="C5815" t="s">
        <v>16364</v>
      </c>
      <c r="D5815">
        <v>1</v>
      </c>
      <c r="E5815" t="s">
        <v>16209</v>
      </c>
      <c r="F5815" t="s">
        <v>16210</v>
      </c>
      <c r="G5815" s="1"/>
      <c r="H5815" t="str">
        <f>"3250610128961"</f>
        <v>3250610128961</v>
      </c>
      <c r="J5815" t="s">
        <v>16217</v>
      </c>
    </row>
    <row r="5816" spans="1:10" x14ac:dyDescent="0.25">
      <c r="A5816" t="s">
        <v>8</v>
      </c>
      <c r="B5816" t="s">
        <v>16365</v>
      </c>
      <c r="C5816" t="s">
        <v>16366</v>
      </c>
      <c r="D5816">
        <v>1</v>
      </c>
      <c r="E5816" t="s">
        <v>16209</v>
      </c>
      <c r="F5816" t="s">
        <v>16210</v>
      </c>
      <c r="G5816" s="1"/>
      <c r="H5816" t="str">
        <f>"3250610128978"</f>
        <v>3250610128978</v>
      </c>
      <c r="J5816" t="s">
        <v>16217</v>
      </c>
    </row>
    <row r="5817" spans="1:10" x14ac:dyDescent="0.25">
      <c r="A5817" t="s">
        <v>8</v>
      </c>
      <c r="B5817" t="s">
        <v>16367</v>
      </c>
      <c r="C5817" t="s">
        <v>16368</v>
      </c>
      <c r="D5817">
        <v>1</v>
      </c>
      <c r="E5817" t="s">
        <v>16209</v>
      </c>
      <c r="F5817" t="s">
        <v>16210</v>
      </c>
      <c r="G5817" s="1"/>
      <c r="H5817" t="str">
        <f>"3250610128985"</f>
        <v>3250610128985</v>
      </c>
      <c r="J5817" t="s">
        <v>16222</v>
      </c>
    </row>
    <row r="5818" spans="1:10" x14ac:dyDescent="0.25">
      <c r="A5818" t="s">
        <v>8</v>
      </c>
      <c r="B5818" t="s">
        <v>16369</v>
      </c>
      <c r="C5818" t="s">
        <v>16370</v>
      </c>
      <c r="D5818">
        <v>1</v>
      </c>
      <c r="E5818" t="s">
        <v>16209</v>
      </c>
      <c r="F5818" t="s">
        <v>16210</v>
      </c>
      <c r="G5818" s="1"/>
      <c r="H5818" t="str">
        <f>"3250610128992"</f>
        <v>3250610128992</v>
      </c>
      <c r="J5818" t="s">
        <v>16222</v>
      </c>
    </row>
    <row r="5819" spans="1:10" x14ac:dyDescent="0.25">
      <c r="A5819" t="s">
        <v>8</v>
      </c>
      <c r="B5819" t="s">
        <v>16371</v>
      </c>
      <c r="C5819" t="s">
        <v>16372</v>
      </c>
      <c r="D5819">
        <v>1</v>
      </c>
      <c r="E5819" t="s">
        <v>16209</v>
      </c>
      <c r="F5819" t="s">
        <v>16210</v>
      </c>
      <c r="G5819" s="1"/>
      <c r="H5819" t="str">
        <f>"3250610129029"</f>
        <v>3250610129029</v>
      </c>
      <c r="J5819" t="s">
        <v>16227</v>
      </c>
    </row>
    <row r="5820" spans="1:10" x14ac:dyDescent="0.25">
      <c r="A5820" t="s">
        <v>8</v>
      </c>
      <c r="B5820" t="s">
        <v>16373</v>
      </c>
      <c r="C5820" t="s">
        <v>16374</v>
      </c>
      <c r="D5820">
        <v>1</v>
      </c>
      <c r="E5820" t="s">
        <v>16209</v>
      </c>
      <c r="F5820" t="s">
        <v>16210</v>
      </c>
      <c r="G5820" s="1"/>
      <c r="H5820" t="str">
        <f>"3250610129036"</f>
        <v>3250610129036</v>
      </c>
      <c r="J5820" t="s">
        <v>16238</v>
      </c>
    </row>
    <row r="5821" spans="1:10" x14ac:dyDescent="0.25">
      <c r="A5821" t="s">
        <v>8</v>
      </c>
      <c r="B5821" t="s">
        <v>16375</v>
      </c>
      <c r="C5821" t="s">
        <v>16376</v>
      </c>
      <c r="D5821">
        <v>1</v>
      </c>
      <c r="E5821" t="s">
        <v>16209</v>
      </c>
      <c r="F5821" t="s">
        <v>16210</v>
      </c>
      <c r="G5821" s="1"/>
      <c r="H5821" t="str">
        <f>"3250610129043"</f>
        <v>3250610129043</v>
      </c>
      <c r="J5821" t="s">
        <v>16233</v>
      </c>
    </row>
    <row r="5822" spans="1:10" x14ac:dyDescent="0.25">
      <c r="A5822" t="s">
        <v>8</v>
      </c>
      <c r="B5822" t="s">
        <v>16377</v>
      </c>
      <c r="C5822" t="s">
        <v>16378</v>
      </c>
      <c r="D5822">
        <v>1</v>
      </c>
      <c r="E5822" t="s">
        <v>16209</v>
      </c>
      <c r="F5822" t="s">
        <v>16210</v>
      </c>
      <c r="G5822" s="1"/>
      <c r="H5822" t="str">
        <f>"3250610129050"</f>
        <v>3250610129050</v>
      </c>
      <c r="J5822" t="s">
        <v>16227</v>
      </c>
    </row>
    <row r="5823" spans="1:10" x14ac:dyDescent="0.25">
      <c r="A5823" t="s">
        <v>8</v>
      </c>
      <c r="B5823" t="s">
        <v>16379</v>
      </c>
      <c r="C5823" t="s">
        <v>16380</v>
      </c>
      <c r="D5823">
        <v>1</v>
      </c>
      <c r="E5823" t="s">
        <v>16209</v>
      </c>
      <c r="F5823" t="s">
        <v>16210</v>
      </c>
      <c r="G5823" s="1"/>
      <c r="H5823" t="str">
        <f>"3250610129067"</f>
        <v>3250610129067</v>
      </c>
      <c r="J5823" t="s">
        <v>16238</v>
      </c>
    </row>
    <row r="5824" spans="1:10" x14ac:dyDescent="0.25">
      <c r="A5824" t="s">
        <v>8</v>
      </c>
      <c r="B5824" t="s">
        <v>16381</v>
      </c>
      <c r="C5824" t="s">
        <v>16382</v>
      </c>
      <c r="D5824">
        <v>1</v>
      </c>
      <c r="E5824" t="s">
        <v>16209</v>
      </c>
      <c r="F5824" t="s">
        <v>16210</v>
      </c>
      <c r="G5824" s="1"/>
      <c r="H5824" t="str">
        <f>"3250610129074"</f>
        <v>3250610129074</v>
      </c>
      <c r="J5824" t="s">
        <v>16217</v>
      </c>
    </row>
    <row r="5825" spans="1:10" x14ac:dyDescent="0.25">
      <c r="A5825" t="s">
        <v>8</v>
      </c>
      <c r="B5825" t="s">
        <v>16383</v>
      </c>
      <c r="C5825" t="s">
        <v>16384</v>
      </c>
      <c r="D5825">
        <v>1</v>
      </c>
      <c r="E5825" t="s">
        <v>16209</v>
      </c>
      <c r="F5825" t="s">
        <v>16210</v>
      </c>
      <c r="G5825" s="1"/>
      <c r="H5825" t="str">
        <f>"3250610129081"</f>
        <v>3250610129081</v>
      </c>
      <c r="J5825" t="s">
        <v>16227</v>
      </c>
    </row>
    <row r="5826" spans="1:10" x14ac:dyDescent="0.25">
      <c r="A5826" t="s">
        <v>8</v>
      </c>
      <c r="B5826" t="s">
        <v>16385</v>
      </c>
      <c r="C5826" t="s">
        <v>16386</v>
      </c>
      <c r="D5826">
        <v>1</v>
      </c>
      <c r="E5826" t="s">
        <v>16209</v>
      </c>
      <c r="F5826" t="s">
        <v>16210</v>
      </c>
      <c r="G5826" s="1"/>
      <c r="H5826" t="str">
        <f>"3250610129098"</f>
        <v>3250610129098</v>
      </c>
      <c r="J5826" t="s">
        <v>16217</v>
      </c>
    </row>
    <row r="5827" spans="1:10" x14ac:dyDescent="0.25">
      <c r="A5827" t="s">
        <v>8</v>
      </c>
      <c r="B5827" t="s">
        <v>16387</v>
      </c>
      <c r="C5827" t="s">
        <v>16388</v>
      </c>
      <c r="D5827">
        <v>1</v>
      </c>
      <c r="E5827" t="s">
        <v>16209</v>
      </c>
      <c r="F5827" t="s">
        <v>16210</v>
      </c>
      <c r="G5827" s="1"/>
      <c r="H5827" t="str">
        <f>"3250610129128"</f>
        <v>3250610129128</v>
      </c>
      <c r="J5827" t="s">
        <v>16258</v>
      </c>
    </row>
    <row r="5828" spans="1:10" x14ac:dyDescent="0.25">
      <c r="A5828" t="s">
        <v>8</v>
      </c>
      <c r="B5828" t="s">
        <v>16389</v>
      </c>
      <c r="C5828" t="s">
        <v>16390</v>
      </c>
      <c r="D5828">
        <v>1</v>
      </c>
      <c r="E5828" t="s">
        <v>16209</v>
      </c>
      <c r="F5828" t="s">
        <v>16210</v>
      </c>
      <c r="G5828" s="1"/>
      <c r="H5828" t="str">
        <f>"3250610129142"</f>
        <v>3250610129142</v>
      </c>
      <c r="J5828" t="s">
        <v>16258</v>
      </c>
    </row>
    <row r="5829" spans="1:10" x14ac:dyDescent="0.25">
      <c r="A5829" t="s">
        <v>8</v>
      </c>
      <c r="B5829" t="s">
        <v>16391</v>
      </c>
      <c r="C5829" t="s">
        <v>16392</v>
      </c>
      <c r="D5829">
        <v>1</v>
      </c>
      <c r="E5829" t="s">
        <v>16209</v>
      </c>
      <c r="F5829" t="s">
        <v>16210</v>
      </c>
      <c r="G5829" s="1"/>
      <c r="H5829" t="str">
        <f>"3250610129173"</f>
        <v>3250610129173</v>
      </c>
      <c r="J5829" t="s">
        <v>16266</v>
      </c>
    </row>
    <row r="5830" spans="1:10" x14ac:dyDescent="0.25">
      <c r="A5830" t="s">
        <v>8</v>
      </c>
      <c r="B5830" t="s">
        <v>16393</v>
      </c>
      <c r="C5830" t="s">
        <v>16394</v>
      </c>
      <c r="D5830">
        <v>1</v>
      </c>
      <c r="E5830" t="s">
        <v>16209</v>
      </c>
      <c r="F5830" t="s">
        <v>16210</v>
      </c>
      <c r="G5830" s="1"/>
      <c r="H5830" t="str">
        <f>"3250610129180"</f>
        <v>3250610129180</v>
      </c>
      <c r="J5830" t="s">
        <v>11287</v>
      </c>
    </row>
    <row r="5831" spans="1:10" x14ac:dyDescent="0.25">
      <c r="A5831" t="s">
        <v>8</v>
      </c>
      <c r="B5831" t="s">
        <v>16395</v>
      </c>
      <c r="C5831" t="s">
        <v>16396</v>
      </c>
      <c r="D5831">
        <v>1</v>
      </c>
      <c r="E5831" t="s">
        <v>16209</v>
      </c>
      <c r="F5831" t="s">
        <v>16210</v>
      </c>
      <c r="G5831" s="1"/>
      <c r="H5831" t="str">
        <f>"3250610129197"</f>
        <v>3250610129197</v>
      </c>
      <c r="J5831" t="s">
        <v>16258</v>
      </c>
    </row>
    <row r="5832" spans="1:10" x14ac:dyDescent="0.25">
      <c r="A5832" t="s">
        <v>8</v>
      </c>
      <c r="B5832" t="s">
        <v>16397</v>
      </c>
      <c r="C5832" t="s">
        <v>16398</v>
      </c>
      <c r="D5832">
        <v>1</v>
      </c>
      <c r="E5832" t="s">
        <v>16209</v>
      </c>
      <c r="F5832" t="s">
        <v>16210</v>
      </c>
      <c r="G5832" s="1"/>
      <c r="H5832" t="str">
        <f>"3250610129203"</f>
        <v>3250610129203</v>
      </c>
      <c r="J5832" t="s">
        <v>16266</v>
      </c>
    </row>
    <row r="5833" spans="1:10" x14ac:dyDescent="0.25">
      <c r="A5833" t="s">
        <v>8</v>
      </c>
      <c r="B5833" t="s">
        <v>16399</v>
      </c>
      <c r="C5833" t="s">
        <v>16400</v>
      </c>
      <c r="D5833">
        <v>1</v>
      </c>
      <c r="E5833" t="s">
        <v>16209</v>
      </c>
      <c r="F5833" t="s">
        <v>16210</v>
      </c>
      <c r="G5833" s="1"/>
      <c r="H5833" t="str">
        <f>"3250610129210"</f>
        <v>3250610129210</v>
      </c>
      <c r="J5833" t="s">
        <v>16275</v>
      </c>
    </row>
    <row r="5834" spans="1:10" x14ac:dyDescent="0.25">
      <c r="A5834" t="s">
        <v>8</v>
      </c>
      <c r="B5834" t="s">
        <v>16401</v>
      </c>
      <c r="C5834" t="s">
        <v>16402</v>
      </c>
      <c r="D5834">
        <v>1</v>
      </c>
      <c r="E5834" t="s">
        <v>16209</v>
      </c>
      <c r="F5834" t="s">
        <v>16210</v>
      </c>
      <c r="G5834" s="1"/>
      <c r="H5834" t="str">
        <f>"3250610129227"</f>
        <v>3250610129227</v>
      </c>
      <c r="J5834" t="s">
        <v>11335</v>
      </c>
    </row>
    <row r="5835" spans="1:10" x14ac:dyDescent="0.25">
      <c r="A5835" t="s">
        <v>8</v>
      </c>
      <c r="B5835" t="s">
        <v>16403</v>
      </c>
      <c r="C5835" t="s">
        <v>16404</v>
      </c>
      <c r="D5835">
        <v>1</v>
      </c>
      <c r="E5835" t="s">
        <v>16209</v>
      </c>
      <c r="F5835" t="s">
        <v>16210</v>
      </c>
      <c r="G5835" s="1"/>
      <c r="H5835" t="str">
        <f>"3250610129241"</f>
        <v>3250610129241</v>
      </c>
      <c r="J5835" t="s">
        <v>11287</v>
      </c>
    </row>
    <row r="5836" spans="1:10" x14ac:dyDescent="0.25">
      <c r="A5836" t="s">
        <v>8</v>
      </c>
      <c r="B5836" t="s">
        <v>16405</v>
      </c>
      <c r="C5836" t="s">
        <v>16406</v>
      </c>
      <c r="D5836">
        <v>1</v>
      </c>
      <c r="E5836" t="s">
        <v>16209</v>
      </c>
      <c r="F5836" t="s">
        <v>16210</v>
      </c>
      <c r="G5836" s="1"/>
      <c r="H5836" t="str">
        <f>"3250610129265"</f>
        <v>3250610129265</v>
      </c>
      <c r="J5836" t="s">
        <v>16258</v>
      </c>
    </row>
    <row r="5837" spans="1:10" x14ac:dyDescent="0.25">
      <c r="A5837" t="s">
        <v>8</v>
      </c>
      <c r="B5837" t="s">
        <v>16407</v>
      </c>
      <c r="C5837" t="s">
        <v>16408</v>
      </c>
      <c r="D5837">
        <v>1</v>
      </c>
      <c r="E5837" t="s">
        <v>16409</v>
      </c>
      <c r="F5837" t="s">
        <v>16410</v>
      </c>
      <c r="G5837" s="1"/>
      <c r="H5837" t="str">
        <f>"3250617199681"</f>
        <v>3250617199681</v>
      </c>
      <c r="J5837" t="s">
        <v>16411</v>
      </c>
    </row>
    <row r="5838" spans="1:10" x14ac:dyDescent="0.25">
      <c r="A5838" t="s">
        <v>8</v>
      </c>
      <c r="B5838" t="s">
        <v>16412</v>
      </c>
      <c r="C5838" t="s">
        <v>16413</v>
      </c>
      <c r="D5838">
        <v>1</v>
      </c>
      <c r="E5838" t="s">
        <v>16409</v>
      </c>
      <c r="F5838" t="s">
        <v>16410</v>
      </c>
      <c r="G5838" s="1"/>
      <c r="H5838" t="str">
        <f>"3250617199643"</f>
        <v>3250617199643</v>
      </c>
      <c r="J5838" t="s">
        <v>16414</v>
      </c>
    </row>
    <row r="5839" spans="1:10" x14ac:dyDescent="0.25">
      <c r="A5839" t="s">
        <v>8</v>
      </c>
      <c r="B5839" t="s">
        <v>16415</v>
      </c>
      <c r="C5839" t="s">
        <v>16416</v>
      </c>
      <c r="D5839">
        <v>1</v>
      </c>
      <c r="E5839" t="s">
        <v>16409</v>
      </c>
      <c r="F5839" t="s">
        <v>16410</v>
      </c>
      <c r="G5839" s="1"/>
      <c r="H5839" t="str">
        <f>"3250617199650"</f>
        <v>3250617199650</v>
      </c>
      <c r="J5839" t="s">
        <v>16414</v>
      </c>
    </row>
    <row r="5840" spans="1:10" x14ac:dyDescent="0.25">
      <c r="A5840" t="s">
        <v>8</v>
      </c>
      <c r="B5840" t="s">
        <v>16417</v>
      </c>
      <c r="C5840" t="s">
        <v>16418</v>
      </c>
      <c r="D5840">
        <v>1</v>
      </c>
      <c r="E5840" t="s">
        <v>16409</v>
      </c>
      <c r="F5840" t="s">
        <v>16410</v>
      </c>
      <c r="G5840" s="1"/>
      <c r="H5840" t="str">
        <f>"3250617199667"</f>
        <v>3250617199667</v>
      </c>
      <c r="J5840" t="s">
        <v>16419</v>
      </c>
    </row>
    <row r="5841" spans="1:10" x14ac:dyDescent="0.25">
      <c r="A5841" t="s">
        <v>8</v>
      </c>
      <c r="B5841" t="s">
        <v>16420</v>
      </c>
      <c r="C5841" t="s">
        <v>16421</v>
      </c>
      <c r="D5841">
        <v>1</v>
      </c>
      <c r="E5841" t="s">
        <v>16409</v>
      </c>
      <c r="F5841" t="s">
        <v>16410</v>
      </c>
      <c r="G5841" s="1"/>
      <c r="H5841" t="str">
        <f>"3250617199674"</f>
        <v>3250617199674</v>
      </c>
      <c r="J5841" t="s">
        <v>16422</v>
      </c>
    </row>
    <row r="5842" spans="1:10" x14ac:dyDescent="0.25">
      <c r="A5842" t="s">
        <v>8</v>
      </c>
      <c r="B5842" t="s">
        <v>16423</v>
      </c>
      <c r="C5842" t="s">
        <v>16424</v>
      </c>
      <c r="D5842">
        <v>1</v>
      </c>
      <c r="E5842" t="s">
        <v>16409</v>
      </c>
      <c r="F5842" t="s">
        <v>16410</v>
      </c>
      <c r="G5842" s="1"/>
      <c r="H5842" t="str">
        <f>"3250617199698"</f>
        <v>3250617199698</v>
      </c>
      <c r="J5842" t="s">
        <v>16425</v>
      </c>
    </row>
    <row r="5843" spans="1:10" x14ac:dyDescent="0.25">
      <c r="A5843" t="s">
        <v>8</v>
      </c>
      <c r="B5843" t="s">
        <v>16426</v>
      </c>
      <c r="C5843" t="s">
        <v>16427</v>
      </c>
      <c r="D5843">
        <v>1</v>
      </c>
      <c r="E5843" t="s">
        <v>16409</v>
      </c>
      <c r="F5843" t="s">
        <v>16410</v>
      </c>
      <c r="G5843" s="1"/>
      <c r="H5843" t="str">
        <f>"3250617199704"</f>
        <v>3250617199704</v>
      </c>
      <c r="J5843" t="s">
        <v>16414</v>
      </c>
    </row>
    <row r="5844" spans="1:10" x14ac:dyDescent="0.25">
      <c r="A5844" t="s">
        <v>8</v>
      </c>
      <c r="B5844" t="s">
        <v>16428</v>
      </c>
      <c r="C5844" t="s">
        <v>16429</v>
      </c>
      <c r="D5844">
        <v>1</v>
      </c>
      <c r="E5844" t="s">
        <v>16409</v>
      </c>
      <c r="F5844" t="s">
        <v>16410</v>
      </c>
      <c r="G5844" s="1"/>
      <c r="H5844" t="str">
        <f>"3250617199711"</f>
        <v>3250617199711</v>
      </c>
      <c r="J5844" t="s">
        <v>16422</v>
      </c>
    </row>
    <row r="5845" spans="1:10" x14ac:dyDescent="0.25">
      <c r="A5845" t="s">
        <v>8</v>
      </c>
      <c r="B5845" t="s">
        <v>16430</v>
      </c>
      <c r="C5845" t="s">
        <v>16431</v>
      </c>
      <c r="D5845">
        <v>1</v>
      </c>
      <c r="E5845" t="s">
        <v>16409</v>
      </c>
      <c r="F5845" t="s">
        <v>16410</v>
      </c>
      <c r="G5845" s="1"/>
      <c r="H5845" t="str">
        <f>"3250617199728"</f>
        <v>3250617199728</v>
      </c>
      <c r="J5845" t="s">
        <v>16432</v>
      </c>
    </row>
    <row r="5846" spans="1:10" x14ac:dyDescent="0.25">
      <c r="A5846" t="s">
        <v>8</v>
      </c>
      <c r="B5846" t="s">
        <v>16433</v>
      </c>
      <c r="C5846" t="s">
        <v>16434</v>
      </c>
      <c r="D5846">
        <v>1</v>
      </c>
      <c r="E5846" t="s">
        <v>16409</v>
      </c>
      <c r="F5846" t="s">
        <v>16410</v>
      </c>
      <c r="G5846" s="1"/>
      <c r="H5846" t="str">
        <f>"3250617199735"</f>
        <v>3250617199735</v>
      </c>
      <c r="J5846" t="s">
        <v>16435</v>
      </c>
    </row>
    <row r="5847" spans="1:10" x14ac:dyDescent="0.25">
      <c r="A5847" t="s">
        <v>8</v>
      </c>
      <c r="B5847" t="s">
        <v>16436</v>
      </c>
      <c r="C5847" t="s">
        <v>16437</v>
      </c>
      <c r="D5847">
        <v>1</v>
      </c>
      <c r="E5847" t="s">
        <v>16409</v>
      </c>
      <c r="F5847" t="s">
        <v>16410</v>
      </c>
      <c r="G5847" s="1"/>
      <c r="H5847" t="str">
        <f>"3250617199766"</f>
        <v>3250617199766</v>
      </c>
      <c r="J5847" t="s">
        <v>16438</v>
      </c>
    </row>
    <row r="5848" spans="1:10" x14ac:dyDescent="0.25">
      <c r="A5848" t="s">
        <v>8</v>
      </c>
      <c r="B5848" t="s">
        <v>16439</v>
      </c>
      <c r="C5848" t="s">
        <v>16440</v>
      </c>
      <c r="D5848">
        <v>1</v>
      </c>
      <c r="E5848" t="s">
        <v>16409</v>
      </c>
      <c r="F5848" t="s">
        <v>16410</v>
      </c>
      <c r="G5848" s="1"/>
      <c r="H5848" t="str">
        <f>"3250617199742"</f>
        <v>3250617199742</v>
      </c>
      <c r="J5848" t="s">
        <v>16425</v>
      </c>
    </row>
    <row r="5849" spans="1:10" x14ac:dyDescent="0.25">
      <c r="A5849" t="s">
        <v>8</v>
      </c>
      <c r="B5849" t="s">
        <v>16441</v>
      </c>
      <c r="C5849" t="s">
        <v>16442</v>
      </c>
      <c r="D5849">
        <v>1</v>
      </c>
      <c r="E5849" t="s">
        <v>16409</v>
      </c>
      <c r="F5849" t="s">
        <v>16410</v>
      </c>
      <c r="G5849" s="1"/>
      <c r="H5849" t="str">
        <f>"3250617199759"</f>
        <v>3250617199759</v>
      </c>
      <c r="J5849" t="s">
        <v>16414</v>
      </c>
    </row>
    <row r="5850" spans="1:10" x14ac:dyDescent="0.25">
      <c r="A5850" t="s">
        <v>8</v>
      </c>
      <c r="B5850" t="s">
        <v>16443</v>
      </c>
      <c r="C5850" t="s">
        <v>16444</v>
      </c>
      <c r="D5850">
        <v>1</v>
      </c>
      <c r="E5850" t="s">
        <v>16409</v>
      </c>
      <c r="F5850" t="s">
        <v>16410</v>
      </c>
      <c r="G5850" s="1"/>
      <c r="H5850" t="str">
        <f>"3250617199834"</f>
        <v>3250617199834</v>
      </c>
      <c r="J5850" t="s">
        <v>13819</v>
      </c>
    </row>
    <row r="5851" spans="1:10" x14ac:dyDescent="0.25">
      <c r="A5851" t="s">
        <v>8</v>
      </c>
      <c r="B5851" t="s">
        <v>16445</v>
      </c>
      <c r="C5851" t="s">
        <v>16446</v>
      </c>
      <c r="D5851">
        <v>1</v>
      </c>
      <c r="E5851" t="s">
        <v>16409</v>
      </c>
      <c r="F5851" t="s">
        <v>16410</v>
      </c>
      <c r="G5851" s="1"/>
      <c r="H5851" t="str">
        <f>"3250617199773"</f>
        <v>3250617199773</v>
      </c>
      <c r="J5851" t="s">
        <v>16438</v>
      </c>
    </row>
    <row r="5852" spans="1:10" x14ac:dyDescent="0.25">
      <c r="A5852" t="s">
        <v>8</v>
      </c>
      <c r="B5852" t="s">
        <v>16447</v>
      </c>
      <c r="C5852" t="s">
        <v>16448</v>
      </c>
      <c r="D5852">
        <v>1</v>
      </c>
      <c r="E5852" t="s">
        <v>16409</v>
      </c>
      <c r="F5852" t="s">
        <v>16410</v>
      </c>
      <c r="G5852" s="1"/>
      <c r="H5852" t="str">
        <f>"3250617199780"</f>
        <v>3250617199780</v>
      </c>
      <c r="J5852" t="s">
        <v>16438</v>
      </c>
    </row>
    <row r="5853" spans="1:10" x14ac:dyDescent="0.25">
      <c r="A5853" t="s">
        <v>8</v>
      </c>
      <c r="B5853" t="s">
        <v>16449</v>
      </c>
      <c r="C5853" t="s">
        <v>16450</v>
      </c>
      <c r="D5853">
        <v>1</v>
      </c>
      <c r="E5853" t="s">
        <v>16409</v>
      </c>
      <c r="F5853" t="s">
        <v>16410</v>
      </c>
      <c r="G5853" s="1"/>
      <c r="H5853" t="str">
        <f>"3250617198981"</f>
        <v>3250617198981</v>
      </c>
      <c r="J5853" t="s">
        <v>16419</v>
      </c>
    </row>
    <row r="5854" spans="1:10" x14ac:dyDescent="0.25">
      <c r="A5854" t="s">
        <v>8</v>
      </c>
      <c r="B5854" t="s">
        <v>16451</v>
      </c>
      <c r="C5854" t="s">
        <v>16452</v>
      </c>
      <c r="D5854">
        <v>1</v>
      </c>
      <c r="E5854" t="s">
        <v>16409</v>
      </c>
      <c r="F5854" t="s">
        <v>16410</v>
      </c>
      <c r="G5854" s="1"/>
      <c r="H5854" t="str">
        <f>"3250617198998"</f>
        <v>3250617198998</v>
      </c>
      <c r="J5854" t="s">
        <v>16419</v>
      </c>
    </row>
    <row r="5855" spans="1:10" x14ac:dyDescent="0.25">
      <c r="A5855" t="s">
        <v>8</v>
      </c>
      <c r="B5855" t="s">
        <v>16453</v>
      </c>
      <c r="C5855" t="s">
        <v>16454</v>
      </c>
      <c r="D5855">
        <v>1</v>
      </c>
      <c r="E5855" t="s">
        <v>16409</v>
      </c>
      <c r="F5855" t="s">
        <v>16410</v>
      </c>
      <c r="G5855" s="1"/>
      <c r="H5855" t="str">
        <f>"3250617199827"</f>
        <v>3250617199827</v>
      </c>
      <c r="J5855" t="s">
        <v>16455</v>
      </c>
    </row>
    <row r="5856" spans="1:10" x14ac:dyDescent="0.25">
      <c r="A5856" t="s">
        <v>8</v>
      </c>
      <c r="B5856" t="s">
        <v>16456</v>
      </c>
      <c r="C5856" t="s">
        <v>16457</v>
      </c>
      <c r="D5856">
        <v>1</v>
      </c>
      <c r="E5856" t="s">
        <v>16409</v>
      </c>
      <c r="F5856" t="s">
        <v>16410</v>
      </c>
      <c r="G5856" s="1"/>
      <c r="H5856" t="str">
        <f>"3250617198974"</f>
        <v>3250617198974</v>
      </c>
      <c r="J5856" t="s">
        <v>16458</v>
      </c>
    </row>
    <row r="5857" spans="1:10" x14ac:dyDescent="0.25">
      <c r="A5857" t="s">
        <v>8</v>
      </c>
      <c r="B5857" t="s">
        <v>16459</v>
      </c>
      <c r="C5857" t="s">
        <v>16460</v>
      </c>
      <c r="D5857">
        <v>1</v>
      </c>
      <c r="E5857" t="s">
        <v>16409</v>
      </c>
      <c r="F5857" t="s">
        <v>16410</v>
      </c>
      <c r="G5857" s="1"/>
      <c r="H5857" t="str">
        <f>"3250617199841"</f>
        <v>3250617199841</v>
      </c>
      <c r="J5857" t="s">
        <v>14356</v>
      </c>
    </row>
    <row r="5858" spans="1:10" x14ac:dyDescent="0.25">
      <c r="A5858" t="s">
        <v>8</v>
      </c>
      <c r="B5858" t="s">
        <v>16461</v>
      </c>
      <c r="C5858" t="s">
        <v>16462</v>
      </c>
      <c r="D5858">
        <v>1</v>
      </c>
      <c r="E5858" t="s">
        <v>16409</v>
      </c>
      <c r="F5858" t="s">
        <v>16410</v>
      </c>
      <c r="G5858" s="1"/>
      <c r="H5858" t="str">
        <f>"3250617199858"</f>
        <v>3250617199858</v>
      </c>
      <c r="J5858" t="s">
        <v>16463</v>
      </c>
    </row>
    <row r="5859" spans="1:10" x14ac:dyDescent="0.25">
      <c r="A5859" t="s">
        <v>8</v>
      </c>
      <c r="B5859" t="s">
        <v>16464</v>
      </c>
      <c r="C5859" t="s">
        <v>16465</v>
      </c>
      <c r="D5859">
        <v>1</v>
      </c>
      <c r="E5859" t="s">
        <v>16409</v>
      </c>
      <c r="F5859" t="s">
        <v>16410</v>
      </c>
      <c r="G5859" s="1"/>
      <c r="H5859" t="str">
        <f>"3250617199865"</f>
        <v>3250617199865</v>
      </c>
      <c r="J5859" t="s">
        <v>16466</v>
      </c>
    </row>
    <row r="5860" spans="1:10" x14ac:dyDescent="0.25">
      <c r="A5860" t="s">
        <v>8</v>
      </c>
      <c r="B5860" t="s">
        <v>16467</v>
      </c>
      <c r="C5860" t="s">
        <v>16468</v>
      </c>
      <c r="D5860">
        <v>1</v>
      </c>
      <c r="E5860" t="s">
        <v>16409</v>
      </c>
      <c r="F5860" t="s">
        <v>16410</v>
      </c>
      <c r="G5860" s="1"/>
      <c r="H5860" t="str">
        <f>"3250617199896"</f>
        <v>3250617199896</v>
      </c>
      <c r="J5860" t="s">
        <v>16438</v>
      </c>
    </row>
    <row r="5861" spans="1:10" x14ac:dyDescent="0.25">
      <c r="A5861" t="s">
        <v>8</v>
      </c>
      <c r="B5861" t="s">
        <v>16469</v>
      </c>
      <c r="C5861" t="s">
        <v>16470</v>
      </c>
      <c r="D5861">
        <v>1</v>
      </c>
      <c r="E5861" t="s">
        <v>16409</v>
      </c>
      <c r="F5861" t="s">
        <v>16410</v>
      </c>
      <c r="G5861" s="1"/>
      <c r="H5861" t="str">
        <f>"3250617199872"</f>
        <v>3250617199872</v>
      </c>
      <c r="J5861" t="s">
        <v>16455</v>
      </c>
    </row>
    <row r="5862" spans="1:10" x14ac:dyDescent="0.25">
      <c r="A5862" t="s">
        <v>8</v>
      </c>
      <c r="B5862" t="s">
        <v>16471</v>
      </c>
      <c r="C5862" t="s">
        <v>16472</v>
      </c>
      <c r="D5862">
        <v>1</v>
      </c>
      <c r="E5862" t="s">
        <v>16409</v>
      </c>
      <c r="F5862" t="s">
        <v>16410</v>
      </c>
      <c r="G5862" s="1"/>
      <c r="H5862" t="str">
        <f>"3250617199889"</f>
        <v>3250617199889</v>
      </c>
      <c r="J5862" t="s">
        <v>16458</v>
      </c>
    </row>
    <row r="5863" spans="1:10" x14ac:dyDescent="0.25">
      <c r="A5863" t="s">
        <v>8</v>
      </c>
      <c r="B5863" t="s">
        <v>16473</v>
      </c>
      <c r="C5863" t="s">
        <v>16474</v>
      </c>
      <c r="D5863">
        <v>1</v>
      </c>
      <c r="E5863" t="s">
        <v>16409</v>
      </c>
      <c r="F5863" t="s">
        <v>16410</v>
      </c>
      <c r="G5863" s="1"/>
      <c r="H5863" t="str">
        <f>"3250617199940"</f>
        <v>3250617199940</v>
      </c>
      <c r="J5863" t="s">
        <v>13819</v>
      </c>
    </row>
    <row r="5864" spans="1:10" x14ac:dyDescent="0.25">
      <c r="A5864" t="s">
        <v>8</v>
      </c>
      <c r="B5864" t="s">
        <v>16475</v>
      </c>
      <c r="C5864" t="s">
        <v>16476</v>
      </c>
      <c r="D5864">
        <v>1</v>
      </c>
      <c r="E5864" t="s">
        <v>16409</v>
      </c>
      <c r="F5864" t="s">
        <v>16410</v>
      </c>
      <c r="G5864" s="1"/>
      <c r="H5864" t="str">
        <f>"3250617199902"</f>
        <v>3250617199902</v>
      </c>
      <c r="J5864" t="s">
        <v>16438</v>
      </c>
    </row>
    <row r="5865" spans="1:10" x14ac:dyDescent="0.25">
      <c r="A5865" t="s">
        <v>8</v>
      </c>
      <c r="B5865" t="s">
        <v>16477</v>
      </c>
      <c r="C5865" t="s">
        <v>16478</v>
      </c>
      <c r="D5865">
        <v>1</v>
      </c>
      <c r="E5865" t="s">
        <v>16409</v>
      </c>
      <c r="F5865" t="s">
        <v>16410</v>
      </c>
      <c r="G5865" s="1"/>
      <c r="H5865" t="str">
        <f>"3250617199919"</f>
        <v>3250617199919</v>
      </c>
      <c r="J5865" t="s">
        <v>16438</v>
      </c>
    </row>
    <row r="5866" spans="1:10" x14ac:dyDescent="0.25">
      <c r="A5866" t="s">
        <v>8</v>
      </c>
      <c r="B5866" t="s">
        <v>16479</v>
      </c>
      <c r="C5866" t="s">
        <v>16480</v>
      </c>
      <c r="D5866">
        <v>1</v>
      </c>
      <c r="E5866" t="s">
        <v>16409</v>
      </c>
      <c r="F5866" t="s">
        <v>16410</v>
      </c>
      <c r="G5866" s="1"/>
      <c r="H5866" t="str">
        <f>"3250617199933"</f>
        <v>3250617199933</v>
      </c>
      <c r="J5866" t="s">
        <v>16419</v>
      </c>
    </row>
    <row r="5867" spans="1:10" x14ac:dyDescent="0.25">
      <c r="A5867" t="s">
        <v>8</v>
      </c>
      <c r="B5867" t="s">
        <v>16481</v>
      </c>
      <c r="C5867" t="s">
        <v>16482</v>
      </c>
      <c r="D5867">
        <v>1</v>
      </c>
      <c r="E5867" t="s">
        <v>16409</v>
      </c>
      <c r="F5867" t="s">
        <v>16410</v>
      </c>
      <c r="G5867" s="1"/>
      <c r="H5867" t="str">
        <f>"3250617199957"</f>
        <v>3250617199957</v>
      </c>
      <c r="J5867" t="s">
        <v>16455</v>
      </c>
    </row>
    <row r="5868" spans="1:10" x14ac:dyDescent="0.25">
      <c r="A5868" t="s">
        <v>8</v>
      </c>
      <c r="B5868" t="s">
        <v>16483</v>
      </c>
      <c r="C5868" t="s">
        <v>16484</v>
      </c>
      <c r="D5868">
        <v>1</v>
      </c>
      <c r="E5868" t="s">
        <v>16409</v>
      </c>
      <c r="F5868" t="s">
        <v>16410</v>
      </c>
      <c r="G5868" s="1"/>
      <c r="H5868" t="str">
        <f>"3250617199964"</f>
        <v>3250617199964</v>
      </c>
      <c r="J5868" t="s">
        <v>16458</v>
      </c>
    </row>
    <row r="5869" spans="1:10" x14ac:dyDescent="0.25">
      <c r="A5869" t="s">
        <v>8</v>
      </c>
      <c r="B5869" t="s">
        <v>16485</v>
      </c>
      <c r="C5869" t="s">
        <v>16486</v>
      </c>
      <c r="D5869">
        <v>1</v>
      </c>
      <c r="E5869" t="s">
        <v>16409</v>
      </c>
      <c r="F5869" t="s">
        <v>16410</v>
      </c>
      <c r="G5869" s="1"/>
      <c r="H5869" t="str">
        <f>"3250617199971"</f>
        <v>3250617199971</v>
      </c>
      <c r="J5869" t="s">
        <v>14356</v>
      </c>
    </row>
    <row r="5870" spans="1:10" x14ac:dyDescent="0.25">
      <c r="A5870" t="s">
        <v>8</v>
      </c>
      <c r="B5870" t="s">
        <v>16487</v>
      </c>
      <c r="C5870" t="s">
        <v>16488</v>
      </c>
      <c r="D5870">
        <v>1</v>
      </c>
      <c r="E5870" t="s">
        <v>16409</v>
      </c>
      <c r="F5870" t="s">
        <v>16410</v>
      </c>
      <c r="G5870" s="1"/>
      <c r="H5870" t="str">
        <f>"3250617199988"</f>
        <v>3250617199988</v>
      </c>
      <c r="J5870" t="s">
        <v>16463</v>
      </c>
    </row>
    <row r="5871" spans="1:10" x14ac:dyDescent="0.25">
      <c r="A5871" t="s">
        <v>8</v>
      </c>
      <c r="B5871" t="s">
        <v>16489</v>
      </c>
      <c r="C5871" t="s">
        <v>16490</v>
      </c>
      <c r="D5871">
        <v>1</v>
      </c>
      <c r="E5871" t="s">
        <v>16409</v>
      </c>
      <c r="F5871" t="s">
        <v>16410</v>
      </c>
      <c r="G5871" s="1"/>
      <c r="H5871" t="str">
        <f>"3250617199995"</f>
        <v>3250617199995</v>
      </c>
      <c r="J5871" t="s">
        <v>16466</v>
      </c>
    </row>
    <row r="5872" spans="1:10" x14ac:dyDescent="0.25">
      <c r="A5872" t="s">
        <v>8</v>
      </c>
      <c r="B5872" t="s">
        <v>16491</v>
      </c>
      <c r="C5872" t="s">
        <v>16492</v>
      </c>
      <c r="D5872">
        <v>1</v>
      </c>
      <c r="E5872" t="s">
        <v>16409</v>
      </c>
      <c r="F5872" t="s">
        <v>16410</v>
      </c>
      <c r="G5872" s="1"/>
      <c r="H5872" t="str">
        <f>"3250617198141"</f>
        <v>3250617198141</v>
      </c>
      <c r="J5872" t="s">
        <v>16455</v>
      </c>
    </row>
    <row r="5873" spans="1:10" x14ac:dyDescent="0.25">
      <c r="A5873" t="s">
        <v>8</v>
      </c>
      <c r="B5873" t="s">
        <v>16493</v>
      </c>
      <c r="C5873" t="s">
        <v>16494</v>
      </c>
      <c r="D5873">
        <v>1</v>
      </c>
      <c r="E5873" t="s">
        <v>16409</v>
      </c>
      <c r="F5873" t="s">
        <v>16410</v>
      </c>
      <c r="G5873" s="1"/>
      <c r="H5873" t="str">
        <f>"3250617198158"</f>
        <v>3250617198158</v>
      </c>
      <c r="J5873" t="s">
        <v>16458</v>
      </c>
    </row>
    <row r="5874" spans="1:10" x14ac:dyDescent="0.25">
      <c r="A5874" t="s">
        <v>8</v>
      </c>
      <c r="B5874" t="s">
        <v>16495</v>
      </c>
      <c r="C5874" t="s">
        <v>16496</v>
      </c>
      <c r="D5874">
        <v>1</v>
      </c>
      <c r="E5874" t="s">
        <v>16409</v>
      </c>
      <c r="F5874" t="s">
        <v>16410</v>
      </c>
      <c r="G5874" s="1"/>
      <c r="H5874" t="str">
        <f>"3250617198219"</f>
        <v>3250617198219</v>
      </c>
      <c r="J5874" t="s">
        <v>13819</v>
      </c>
    </row>
    <row r="5875" spans="1:10" x14ac:dyDescent="0.25">
      <c r="A5875" t="s">
        <v>8</v>
      </c>
      <c r="B5875" t="s">
        <v>16497</v>
      </c>
      <c r="C5875" t="s">
        <v>16498</v>
      </c>
      <c r="D5875">
        <v>1</v>
      </c>
      <c r="E5875" t="s">
        <v>16409</v>
      </c>
      <c r="F5875" t="s">
        <v>16410</v>
      </c>
      <c r="G5875" s="1"/>
      <c r="H5875" t="str">
        <f>"3250617198172"</f>
        <v>3250617198172</v>
      </c>
      <c r="J5875" t="s">
        <v>16438</v>
      </c>
    </row>
    <row r="5876" spans="1:10" x14ac:dyDescent="0.25">
      <c r="A5876" t="s">
        <v>8</v>
      </c>
      <c r="B5876" t="s">
        <v>16499</v>
      </c>
      <c r="C5876" t="s">
        <v>16500</v>
      </c>
      <c r="D5876">
        <v>1</v>
      </c>
      <c r="E5876" t="s">
        <v>16409</v>
      </c>
      <c r="F5876" t="s">
        <v>16410</v>
      </c>
      <c r="G5876" s="1"/>
      <c r="H5876" t="str">
        <f>"3250617198189"</f>
        <v>3250617198189</v>
      </c>
      <c r="J5876" t="s">
        <v>16438</v>
      </c>
    </row>
    <row r="5877" spans="1:10" x14ac:dyDescent="0.25">
      <c r="A5877" t="s">
        <v>8</v>
      </c>
      <c r="B5877" t="s">
        <v>16501</v>
      </c>
      <c r="C5877" t="s">
        <v>16502</v>
      </c>
      <c r="D5877">
        <v>1</v>
      </c>
      <c r="E5877" t="s">
        <v>16409</v>
      </c>
      <c r="F5877" t="s">
        <v>16410</v>
      </c>
      <c r="G5877" s="1"/>
      <c r="H5877" t="str">
        <f>"3250617198202"</f>
        <v>3250617198202</v>
      </c>
      <c r="J5877" t="s">
        <v>16419</v>
      </c>
    </row>
    <row r="5878" spans="1:10" x14ac:dyDescent="0.25">
      <c r="A5878" t="s">
        <v>8</v>
      </c>
      <c r="B5878" t="s">
        <v>16503</v>
      </c>
      <c r="C5878" t="s">
        <v>16504</v>
      </c>
      <c r="D5878">
        <v>1</v>
      </c>
      <c r="E5878" t="s">
        <v>16409</v>
      </c>
      <c r="F5878" t="s">
        <v>16410</v>
      </c>
      <c r="G5878" s="1"/>
      <c r="H5878" t="str">
        <f>"3250617198226"</f>
        <v>3250617198226</v>
      </c>
      <c r="J5878" t="s">
        <v>16455</v>
      </c>
    </row>
    <row r="5879" spans="1:10" x14ac:dyDescent="0.25">
      <c r="A5879" t="s">
        <v>8</v>
      </c>
      <c r="B5879" t="s">
        <v>16505</v>
      </c>
      <c r="C5879" t="s">
        <v>16506</v>
      </c>
      <c r="D5879">
        <v>1</v>
      </c>
      <c r="E5879" t="s">
        <v>16409</v>
      </c>
      <c r="F5879" t="s">
        <v>16410</v>
      </c>
      <c r="G5879" s="1"/>
      <c r="H5879" t="str">
        <f>"3250617198233"</f>
        <v>3250617198233</v>
      </c>
      <c r="J5879" t="s">
        <v>16458</v>
      </c>
    </row>
    <row r="5880" spans="1:10" x14ac:dyDescent="0.25">
      <c r="A5880" t="s">
        <v>8</v>
      </c>
      <c r="B5880" t="s">
        <v>16507</v>
      </c>
      <c r="C5880" t="s">
        <v>16508</v>
      </c>
      <c r="D5880">
        <v>1</v>
      </c>
      <c r="E5880" t="s">
        <v>16409</v>
      </c>
      <c r="F5880" t="s">
        <v>16410</v>
      </c>
      <c r="G5880" s="1"/>
      <c r="H5880" t="str">
        <f>"3250617198240"</f>
        <v>3250617198240</v>
      </c>
      <c r="J5880" t="s">
        <v>14356</v>
      </c>
    </row>
    <row r="5881" spans="1:10" x14ac:dyDescent="0.25">
      <c r="A5881" t="s">
        <v>8</v>
      </c>
      <c r="B5881" t="s">
        <v>16509</v>
      </c>
      <c r="C5881" t="s">
        <v>16510</v>
      </c>
      <c r="D5881">
        <v>1</v>
      </c>
      <c r="E5881" t="s">
        <v>16409</v>
      </c>
      <c r="F5881" t="s">
        <v>16410</v>
      </c>
      <c r="G5881" s="1"/>
      <c r="H5881" t="str">
        <f>"3250617198257"</f>
        <v>3250617198257</v>
      </c>
      <c r="J5881" t="s">
        <v>16463</v>
      </c>
    </row>
    <row r="5882" spans="1:10" x14ac:dyDescent="0.25">
      <c r="A5882" t="s">
        <v>8</v>
      </c>
      <c r="B5882" t="s">
        <v>16511</v>
      </c>
      <c r="C5882" t="s">
        <v>16512</v>
      </c>
      <c r="D5882">
        <v>1</v>
      </c>
      <c r="E5882" t="s">
        <v>16409</v>
      </c>
      <c r="F5882" t="s">
        <v>16410</v>
      </c>
      <c r="G5882" s="1"/>
      <c r="H5882" t="str">
        <f>"3250617198264"</f>
        <v>3250617198264</v>
      </c>
      <c r="J5882" t="s">
        <v>16466</v>
      </c>
    </row>
    <row r="5883" spans="1:10" x14ac:dyDescent="0.25">
      <c r="A5883" t="s">
        <v>8</v>
      </c>
      <c r="B5883" t="s">
        <v>16513</v>
      </c>
      <c r="C5883" t="s">
        <v>16514</v>
      </c>
      <c r="D5883">
        <v>1</v>
      </c>
      <c r="E5883" t="s">
        <v>16409</v>
      </c>
      <c r="F5883" t="s">
        <v>16410</v>
      </c>
      <c r="G5883" s="1"/>
      <c r="H5883" t="str">
        <f>"3250617198295"</f>
        <v>3250617198295</v>
      </c>
      <c r="J5883" t="s">
        <v>16438</v>
      </c>
    </row>
    <row r="5884" spans="1:10" x14ac:dyDescent="0.25">
      <c r="A5884" t="s">
        <v>8</v>
      </c>
      <c r="B5884" t="s">
        <v>16515</v>
      </c>
      <c r="C5884" t="s">
        <v>16516</v>
      </c>
      <c r="D5884">
        <v>1</v>
      </c>
      <c r="E5884" t="s">
        <v>16409</v>
      </c>
      <c r="F5884" t="s">
        <v>16410</v>
      </c>
      <c r="G5884" s="1"/>
      <c r="H5884" t="str">
        <f>"3250617198271"</f>
        <v>3250617198271</v>
      </c>
      <c r="J5884" t="s">
        <v>16455</v>
      </c>
    </row>
    <row r="5885" spans="1:10" x14ac:dyDescent="0.25">
      <c r="A5885" t="s">
        <v>8</v>
      </c>
      <c r="B5885" t="s">
        <v>16517</v>
      </c>
      <c r="C5885" t="s">
        <v>16518</v>
      </c>
      <c r="D5885">
        <v>1</v>
      </c>
      <c r="E5885" t="s">
        <v>16409</v>
      </c>
      <c r="F5885" t="s">
        <v>16410</v>
      </c>
      <c r="G5885" s="1"/>
      <c r="H5885" t="str">
        <f>"3250617198288"</f>
        <v>3250617198288</v>
      </c>
      <c r="J5885" t="s">
        <v>16458</v>
      </c>
    </row>
    <row r="5886" spans="1:10" x14ac:dyDescent="0.25">
      <c r="A5886" t="s">
        <v>8</v>
      </c>
      <c r="B5886" t="s">
        <v>16519</v>
      </c>
      <c r="C5886" t="s">
        <v>16520</v>
      </c>
      <c r="D5886">
        <v>1</v>
      </c>
      <c r="E5886" t="s">
        <v>16409</v>
      </c>
      <c r="F5886" t="s">
        <v>16410</v>
      </c>
      <c r="G5886" s="1"/>
      <c r="H5886" t="str">
        <f>"3250617198349"</f>
        <v>3250617198349</v>
      </c>
      <c r="J5886" t="s">
        <v>13819</v>
      </c>
    </row>
    <row r="5887" spans="1:10" x14ac:dyDescent="0.25">
      <c r="A5887" t="s">
        <v>8</v>
      </c>
      <c r="B5887" t="s">
        <v>16521</v>
      </c>
      <c r="C5887" t="s">
        <v>16522</v>
      </c>
      <c r="D5887">
        <v>1</v>
      </c>
      <c r="E5887" t="s">
        <v>16409</v>
      </c>
      <c r="F5887" t="s">
        <v>16410</v>
      </c>
      <c r="G5887" s="1"/>
      <c r="H5887" t="str">
        <f>"3250617198301"</f>
        <v>3250617198301</v>
      </c>
      <c r="J5887" t="s">
        <v>16438</v>
      </c>
    </row>
    <row r="5888" spans="1:10" x14ac:dyDescent="0.25">
      <c r="A5888" t="s">
        <v>8</v>
      </c>
      <c r="B5888" t="s">
        <v>16523</v>
      </c>
      <c r="C5888" t="s">
        <v>16524</v>
      </c>
      <c r="D5888">
        <v>1</v>
      </c>
      <c r="E5888" t="s">
        <v>16409</v>
      </c>
      <c r="F5888" t="s">
        <v>16410</v>
      </c>
      <c r="G5888" s="1"/>
      <c r="H5888" t="str">
        <f>"3250617198318"</f>
        <v>3250617198318</v>
      </c>
      <c r="J5888" t="s">
        <v>16438</v>
      </c>
    </row>
    <row r="5889" spans="1:10" x14ac:dyDescent="0.25">
      <c r="A5889" t="s">
        <v>8</v>
      </c>
      <c r="B5889" t="s">
        <v>16525</v>
      </c>
      <c r="C5889" t="s">
        <v>16526</v>
      </c>
      <c r="D5889">
        <v>1</v>
      </c>
      <c r="E5889" t="s">
        <v>16409</v>
      </c>
      <c r="F5889" t="s">
        <v>16410</v>
      </c>
      <c r="G5889" s="1"/>
      <c r="H5889" t="str">
        <f>"3250617198325"</f>
        <v>3250617198325</v>
      </c>
      <c r="J5889" t="s">
        <v>16419</v>
      </c>
    </row>
    <row r="5890" spans="1:10" x14ac:dyDescent="0.25">
      <c r="A5890" t="s">
        <v>8</v>
      </c>
      <c r="B5890" t="s">
        <v>16527</v>
      </c>
      <c r="C5890" t="s">
        <v>16528</v>
      </c>
      <c r="D5890">
        <v>1</v>
      </c>
      <c r="E5890" t="s">
        <v>16409</v>
      </c>
      <c r="F5890" t="s">
        <v>16410</v>
      </c>
      <c r="G5890" s="1"/>
      <c r="H5890" t="str">
        <f>"3250617198332"</f>
        <v>3250617198332</v>
      </c>
      <c r="J5890" t="s">
        <v>16419</v>
      </c>
    </row>
    <row r="5891" spans="1:10" x14ac:dyDescent="0.25">
      <c r="A5891" t="s">
        <v>8</v>
      </c>
      <c r="B5891" t="s">
        <v>16529</v>
      </c>
      <c r="C5891" t="s">
        <v>16530</v>
      </c>
      <c r="D5891">
        <v>1</v>
      </c>
      <c r="E5891" t="s">
        <v>16409</v>
      </c>
      <c r="F5891" t="s">
        <v>16410</v>
      </c>
      <c r="G5891" s="1"/>
      <c r="H5891" t="str">
        <f>"3250617198356"</f>
        <v>3250617198356</v>
      </c>
      <c r="J5891" t="s">
        <v>16455</v>
      </c>
    </row>
    <row r="5892" spans="1:10" x14ac:dyDescent="0.25">
      <c r="A5892" t="s">
        <v>8</v>
      </c>
      <c r="B5892" t="s">
        <v>16531</v>
      </c>
      <c r="C5892" t="s">
        <v>16532</v>
      </c>
      <c r="D5892">
        <v>1</v>
      </c>
      <c r="E5892" t="s">
        <v>16409</v>
      </c>
      <c r="F5892" t="s">
        <v>16410</v>
      </c>
      <c r="G5892" s="1"/>
      <c r="H5892" t="str">
        <f>"3250617198363"</f>
        <v>3250617198363</v>
      </c>
      <c r="J5892" t="s">
        <v>16458</v>
      </c>
    </row>
    <row r="5893" spans="1:10" x14ac:dyDescent="0.25">
      <c r="A5893" t="s">
        <v>8</v>
      </c>
      <c r="B5893" t="s">
        <v>16533</v>
      </c>
      <c r="C5893" t="s">
        <v>16534</v>
      </c>
      <c r="D5893">
        <v>1</v>
      </c>
      <c r="E5893" t="s">
        <v>16409</v>
      </c>
      <c r="F5893" t="s">
        <v>16410</v>
      </c>
      <c r="G5893" s="1"/>
      <c r="H5893" t="str">
        <f>"3250617198370"</f>
        <v>3250617198370</v>
      </c>
      <c r="J5893" t="s">
        <v>14356</v>
      </c>
    </row>
    <row r="5894" spans="1:10" x14ac:dyDescent="0.25">
      <c r="A5894" t="s">
        <v>8</v>
      </c>
      <c r="B5894" t="s">
        <v>16535</v>
      </c>
      <c r="C5894" t="s">
        <v>16536</v>
      </c>
      <c r="D5894">
        <v>1</v>
      </c>
      <c r="E5894" t="s">
        <v>16409</v>
      </c>
      <c r="F5894" t="s">
        <v>16410</v>
      </c>
      <c r="G5894" s="1"/>
      <c r="H5894" t="str">
        <f>"3250617198387"</f>
        <v>3250617198387</v>
      </c>
      <c r="J5894" t="s">
        <v>16463</v>
      </c>
    </row>
    <row r="5895" spans="1:10" x14ac:dyDescent="0.25">
      <c r="A5895" t="s">
        <v>8</v>
      </c>
      <c r="B5895" t="s">
        <v>16537</v>
      </c>
      <c r="C5895" t="s">
        <v>16538</v>
      </c>
      <c r="D5895">
        <v>1</v>
      </c>
      <c r="E5895" t="s">
        <v>16409</v>
      </c>
      <c r="F5895" t="s">
        <v>16410</v>
      </c>
      <c r="G5895" s="1"/>
      <c r="H5895" t="str">
        <f>"3250617198394"</f>
        <v>3250617198394</v>
      </c>
      <c r="J5895" t="s">
        <v>16466</v>
      </c>
    </row>
    <row r="5896" spans="1:10" x14ac:dyDescent="0.25">
      <c r="A5896" t="s">
        <v>8</v>
      </c>
      <c r="B5896" t="s">
        <v>16539</v>
      </c>
      <c r="C5896" t="s">
        <v>16540</v>
      </c>
      <c r="D5896">
        <v>1</v>
      </c>
      <c r="E5896" t="s">
        <v>16409</v>
      </c>
      <c r="F5896" t="s">
        <v>16410</v>
      </c>
      <c r="G5896" s="1"/>
      <c r="H5896" t="str">
        <f>"3250617198400"</f>
        <v>3250617198400</v>
      </c>
      <c r="J5896" t="s">
        <v>16455</v>
      </c>
    </row>
    <row r="5897" spans="1:10" x14ac:dyDescent="0.25">
      <c r="A5897" t="s">
        <v>8</v>
      </c>
      <c r="B5897" t="s">
        <v>16541</v>
      </c>
      <c r="C5897" t="s">
        <v>16542</v>
      </c>
      <c r="D5897">
        <v>1</v>
      </c>
      <c r="E5897" t="s">
        <v>16409</v>
      </c>
      <c r="F5897" t="s">
        <v>16410</v>
      </c>
      <c r="G5897" s="1"/>
      <c r="H5897" t="str">
        <f>"3250617198417"</f>
        <v>3250617198417</v>
      </c>
      <c r="J5897" t="s">
        <v>16458</v>
      </c>
    </row>
    <row r="5898" spans="1:10" x14ac:dyDescent="0.25">
      <c r="A5898" t="s">
        <v>8</v>
      </c>
      <c r="B5898" t="s">
        <v>16543</v>
      </c>
      <c r="C5898" t="s">
        <v>16544</v>
      </c>
      <c r="D5898">
        <v>1</v>
      </c>
      <c r="E5898" t="s">
        <v>16409</v>
      </c>
      <c r="F5898" t="s">
        <v>16410</v>
      </c>
      <c r="G5898" s="1"/>
      <c r="H5898" t="str">
        <f>"3250617191487"</f>
        <v>3250617191487</v>
      </c>
      <c r="J5898" t="s">
        <v>16545</v>
      </c>
    </row>
    <row r="5899" spans="1:10" x14ac:dyDescent="0.25">
      <c r="A5899" t="s">
        <v>8</v>
      </c>
      <c r="B5899" t="s">
        <v>16546</v>
      </c>
      <c r="C5899" t="s">
        <v>16547</v>
      </c>
      <c r="D5899">
        <v>1</v>
      </c>
      <c r="E5899" t="s">
        <v>16409</v>
      </c>
      <c r="F5899" t="s">
        <v>16410</v>
      </c>
      <c r="G5899" s="1"/>
      <c r="H5899" t="str">
        <f>"3250617191494"</f>
        <v>3250617191494</v>
      </c>
      <c r="J5899" t="s">
        <v>16548</v>
      </c>
    </row>
    <row r="5900" spans="1:10" x14ac:dyDescent="0.25">
      <c r="A5900" t="s">
        <v>8</v>
      </c>
      <c r="B5900" t="s">
        <v>16549</v>
      </c>
      <c r="C5900" t="s">
        <v>16550</v>
      </c>
      <c r="D5900">
        <v>1</v>
      </c>
      <c r="E5900" t="s">
        <v>16409</v>
      </c>
      <c r="F5900" t="s">
        <v>16410</v>
      </c>
      <c r="G5900" s="1"/>
      <c r="H5900" t="str">
        <f>"3250617191500"</f>
        <v>3250617191500</v>
      </c>
      <c r="J5900" t="s">
        <v>16548</v>
      </c>
    </row>
    <row r="5901" spans="1:10" x14ac:dyDescent="0.25">
      <c r="A5901" t="s">
        <v>8</v>
      </c>
      <c r="B5901" t="s">
        <v>16551</v>
      </c>
      <c r="C5901" t="s">
        <v>16552</v>
      </c>
      <c r="D5901">
        <v>1</v>
      </c>
      <c r="E5901" t="s">
        <v>16409</v>
      </c>
      <c r="F5901" t="s">
        <v>16410</v>
      </c>
      <c r="G5901" s="1"/>
      <c r="H5901" t="str">
        <f>"3250617191524"</f>
        <v>3250617191524</v>
      </c>
      <c r="J5901" t="s">
        <v>16553</v>
      </c>
    </row>
    <row r="5902" spans="1:10" x14ac:dyDescent="0.25">
      <c r="A5902" t="s">
        <v>8</v>
      </c>
      <c r="B5902" t="s">
        <v>16554</v>
      </c>
      <c r="C5902" t="s">
        <v>16555</v>
      </c>
      <c r="D5902">
        <v>1</v>
      </c>
      <c r="E5902" t="s">
        <v>16409</v>
      </c>
      <c r="F5902" t="s">
        <v>16410</v>
      </c>
      <c r="G5902" s="1"/>
      <c r="H5902" t="str">
        <f>"3250617191531"</f>
        <v>3250617191531</v>
      </c>
      <c r="J5902" t="s">
        <v>16556</v>
      </c>
    </row>
    <row r="5903" spans="1:10" x14ac:dyDescent="0.25">
      <c r="A5903" t="s">
        <v>8</v>
      </c>
      <c r="B5903" t="s">
        <v>16557</v>
      </c>
      <c r="C5903" t="s">
        <v>16558</v>
      </c>
      <c r="D5903">
        <v>1</v>
      </c>
      <c r="E5903" t="s">
        <v>16409</v>
      </c>
      <c r="F5903" t="s">
        <v>16410</v>
      </c>
      <c r="G5903" s="1"/>
      <c r="H5903" t="str">
        <f>"3250617191548"</f>
        <v>3250617191548</v>
      </c>
      <c r="J5903" t="s">
        <v>16559</v>
      </c>
    </row>
    <row r="5904" spans="1:10" x14ac:dyDescent="0.25">
      <c r="A5904" t="s">
        <v>8</v>
      </c>
      <c r="B5904" t="s">
        <v>16560</v>
      </c>
      <c r="C5904" t="s">
        <v>16561</v>
      </c>
      <c r="D5904">
        <v>1</v>
      </c>
      <c r="E5904" t="s">
        <v>16409</v>
      </c>
      <c r="F5904" t="s">
        <v>16410</v>
      </c>
      <c r="G5904" s="1"/>
      <c r="H5904" t="str">
        <f>"3250617191562"</f>
        <v>3250617191562</v>
      </c>
      <c r="J5904" t="s">
        <v>3352</v>
      </c>
    </row>
    <row r="5905" spans="1:10" x14ac:dyDescent="0.25">
      <c r="A5905" t="s">
        <v>8</v>
      </c>
      <c r="B5905" t="s">
        <v>16562</v>
      </c>
      <c r="C5905" t="s">
        <v>16563</v>
      </c>
      <c r="D5905">
        <v>1</v>
      </c>
      <c r="E5905" t="s">
        <v>16409</v>
      </c>
      <c r="F5905" t="s">
        <v>16410</v>
      </c>
      <c r="G5905" s="1"/>
      <c r="H5905" t="str">
        <f>"3250617191579"</f>
        <v>3250617191579</v>
      </c>
      <c r="J5905" t="s">
        <v>16564</v>
      </c>
    </row>
    <row r="5906" spans="1:10" x14ac:dyDescent="0.25">
      <c r="A5906" t="s">
        <v>8</v>
      </c>
      <c r="B5906" t="s">
        <v>16565</v>
      </c>
      <c r="C5906" t="s">
        <v>16566</v>
      </c>
      <c r="D5906">
        <v>1</v>
      </c>
      <c r="E5906" t="s">
        <v>16409</v>
      </c>
      <c r="F5906" t="s">
        <v>16410</v>
      </c>
      <c r="G5906" s="1"/>
      <c r="H5906" t="str">
        <f>"3250617191586"</f>
        <v>3250617191586</v>
      </c>
      <c r="J5906" t="s">
        <v>16567</v>
      </c>
    </row>
    <row r="5907" spans="1:10" x14ac:dyDescent="0.25">
      <c r="A5907" t="s">
        <v>8</v>
      </c>
      <c r="B5907" t="s">
        <v>16568</v>
      </c>
      <c r="C5907" t="s">
        <v>16569</v>
      </c>
      <c r="D5907">
        <v>1</v>
      </c>
      <c r="E5907" t="s">
        <v>16409</v>
      </c>
      <c r="F5907" t="s">
        <v>16410</v>
      </c>
      <c r="G5907" s="1"/>
      <c r="H5907" t="str">
        <f>"3250617191593"</f>
        <v>3250617191593</v>
      </c>
      <c r="J5907" t="s">
        <v>16548</v>
      </c>
    </row>
    <row r="5908" spans="1:10" x14ac:dyDescent="0.25">
      <c r="A5908" t="s">
        <v>8</v>
      </c>
      <c r="B5908" t="s">
        <v>16570</v>
      </c>
      <c r="C5908" t="s">
        <v>16571</v>
      </c>
      <c r="D5908">
        <v>1</v>
      </c>
      <c r="E5908" t="s">
        <v>16409</v>
      </c>
      <c r="F5908" t="s">
        <v>16410</v>
      </c>
      <c r="G5908" s="1"/>
      <c r="H5908" t="str">
        <f>"3250617191883"</f>
        <v>3250617191883</v>
      </c>
      <c r="J5908" t="s">
        <v>16556</v>
      </c>
    </row>
    <row r="5909" spans="1:10" x14ac:dyDescent="0.25">
      <c r="A5909" t="s">
        <v>8</v>
      </c>
      <c r="B5909" t="s">
        <v>16572</v>
      </c>
      <c r="C5909" t="s">
        <v>16573</v>
      </c>
      <c r="D5909">
        <v>1</v>
      </c>
      <c r="E5909" t="s">
        <v>16409</v>
      </c>
      <c r="F5909" t="s">
        <v>16410</v>
      </c>
      <c r="G5909" s="1"/>
      <c r="H5909" t="str">
        <f>"3250617191890"</f>
        <v>3250617191890</v>
      </c>
      <c r="J5909" t="s">
        <v>16559</v>
      </c>
    </row>
    <row r="5910" spans="1:10" x14ac:dyDescent="0.25">
      <c r="A5910" t="s">
        <v>8</v>
      </c>
      <c r="B5910" t="s">
        <v>16574</v>
      </c>
      <c r="C5910" t="s">
        <v>16575</v>
      </c>
      <c r="D5910">
        <v>1</v>
      </c>
      <c r="E5910" t="s">
        <v>16409</v>
      </c>
      <c r="F5910" t="s">
        <v>16410</v>
      </c>
      <c r="G5910" s="1"/>
      <c r="H5910" t="str">
        <f>"3250617190282"</f>
        <v>3250617190282</v>
      </c>
      <c r="J5910" t="s">
        <v>16411</v>
      </c>
    </row>
    <row r="5911" spans="1:10" x14ac:dyDescent="0.25">
      <c r="A5911" t="s">
        <v>8</v>
      </c>
      <c r="B5911" t="s">
        <v>16576</v>
      </c>
      <c r="C5911" t="s">
        <v>16577</v>
      </c>
      <c r="D5911">
        <v>1</v>
      </c>
      <c r="E5911" t="s">
        <v>16409</v>
      </c>
      <c r="F5911" t="s">
        <v>16410</v>
      </c>
      <c r="G5911" s="1"/>
      <c r="H5911" t="str">
        <f>"3250617190299"</f>
        <v>3250617190299</v>
      </c>
      <c r="J5911" t="s">
        <v>16414</v>
      </c>
    </row>
    <row r="5912" spans="1:10" x14ac:dyDescent="0.25">
      <c r="A5912" t="s">
        <v>8</v>
      </c>
      <c r="B5912" t="s">
        <v>16578</v>
      </c>
      <c r="C5912" t="s">
        <v>16579</v>
      </c>
      <c r="D5912">
        <v>1</v>
      </c>
      <c r="E5912" t="s">
        <v>16409</v>
      </c>
      <c r="F5912" t="s">
        <v>16410</v>
      </c>
      <c r="G5912" s="1"/>
      <c r="H5912" t="str">
        <f>"3250617190305"</f>
        <v>3250617190305</v>
      </c>
      <c r="J5912" t="s">
        <v>16414</v>
      </c>
    </row>
    <row r="5913" spans="1:10" x14ac:dyDescent="0.25">
      <c r="A5913" t="s">
        <v>8</v>
      </c>
      <c r="B5913" t="s">
        <v>16580</v>
      </c>
      <c r="C5913" t="s">
        <v>16581</v>
      </c>
      <c r="D5913">
        <v>1</v>
      </c>
      <c r="E5913" t="s">
        <v>16409</v>
      </c>
      <c r="F5913" t="s">
        <v>16410</v>
      </c>
      <c r="G5913" s="1"/>
      <c r="H5913" t="str">
        <f>"3250617190312"</f>
        <v>3250617190312</v>
      </c>
      <c r="J5913" t="s">
        <v>16419</v>
      </c>
    </row>
    <row r="5914" spans="1:10" x14ac:dyDescent="0.25">
      <c r="A5914" t="s">
        <v>8</v>
      </c>
      <c r="B5914" t="s">
        <v>16582</v>
      </c>
      <c r="C5914" t="s">
        <v>16583</v>
      </c>
      <c r="D5914">
        <v>1</v>
      </c>
      <c r="E5914" t="s">
        <v>16409</v>
      </c>
      <c r="F5914" t="s">
        <v>16410</v>
      </c>
      <c r="G5914" s="1"/>
      <c r="H5914" t="str">
        <f>"3250617192347"</f>
        <v>3250617192347</v>
      </c>
      <c r="J5914" t="s">
        <v>16422</v>
      </c>
    </row>
    <row r="5915" spans="1:10" x14ac:dyDescent="0.25">
      <c r="A5915" t="s">
        <v>8</v>
      </c>
      <c r="B5915" t="s">
        <v>16584</v>
      </c>
      <c r="C5915" t="s">
        <v>16585</v>
      </c>
      <c r="D5915">
        <v>1</v>
      </c>
      <c r="E5915" t="s">
        <v>16409</v>
      </c>
      <c r="F5915" t="s">
        <v>16410</v>
      </c>
      <c r="G5915" s="1"/>
      <c r="H5915" t="str">
        <f>"3250617192354"</f>
        <v>3250617192354</v>
      </c>
      <c r="J5915" t="s">
        <v>16425</v>
      </c>
    </row>
    <row r="5916" spans="1:10" x14ac:dyDescent="0.25">
      <c r="A5916" t="s">
        <v>8</v>
      </c>
      <c r="B5916" t="s">
        <v>16586</v>
      </c>
      <c r="C5916" t="s">
        <v>16587</v>
      </c>
      <c r="D5916">
        <v>1</v>
      </c>
      <c r="E5916" t="s">
        <v>16409</v>
      </c>
      <c r="F5916" t="s">
        <v>16410</v>
      </c>
      <c r="G5916" s="1"/>
      <c r="H5916" t="str">
        <f>"3250617192361"</f>
        <v>3250617192361</v>
      </c>
      <c r="J5916" t="s">
        <v>16414</v>
      </c>
    </row>
    <row r="5917" spans="1:10" x14ac:dyDescent="0.25">
      <c r="A5917" t="s">
        <v>8</v>
      </c>
      <c r="B5917" t="s">
        <v>16588</v>
      </c>
      <c r="C5917" t="s">
        <v>16589</v>
      </c>
      <c r="D5917">
        <v>1</v>
      </c>
      <c r="E5917" t="s">
        <v>16409</v>
      </c>
      <c r="F5917" t="s">
        <v>16410</v>
      </c>
      <c r="G5917" s="1"/>
      <c r="H5917" t="str">
        <f>"3250617192378"</f>
        <v>3250617192378</v>
      </c>
      <c r="J5917" t="s">
        <v>16422</v>
      </c>
    </row>
    <row r="5918" spans="1:10" x14ac:dyDescent="0.25">
      <c r="A5918" t="s">
        <v>8</v>
      </c>
      <c r="B5918" t="s">
        <v>16590</v>
      </c>
      <c r="C5918" t="s">
        <v>16591</v>
      </c>
      <c r="D5918">
        <v>1</v>
      </c>
      <c r="E5918" t="s">
        <v>16409</v>
      </c>
      <c r="F5918" t="s">
        <v>16410</v>
      </c>
      <c r="G5918" s="1"/>
      <c r="H5918" t="str">
        <f>"3250617192385"</f>
        <v>3250617192385</v>
      </c>
      <c r="J5918" t="s">
        <v>16432</v>
      </c>
    </row>
    <row r="5919" spans="1:10" x14ac:dyDescent="0.25">
      <c r="A5919" t="s">
        <v>8</v>
      </c>
      <c r="B5919" t="s">
        <v>16592</v>
      </c>
      <c r="C5919" t="s">
        <v>16593</v>
      </c>
      <c r="D5919">
        <v>1</v>
      </c>
      <c r="E5919" t="s">
        <v>16409</v>
      </c>
      <c r="F5919" t="s">
        <v>16410</v>
      </c>
      <c r="G5919" s="1"/>
      <c r="H5919" t="str">
        <f>"3250617192392"</f>
        <v>3250617192392</v>
      </c>
      <c r="J5919" t="s">
        <v>16435</v>
      </c>
    </row>
    <row r="5920" spans="1:10" x14ac:dyDescent="0.25">
      <c r="A5920" t="s">
        <v>8</v>
      </c>
      <c r="B5920" t="s">
        <v>16594</v>
      </c>
      <c r="C5920" t="s">
        <v>16595</v>
      </c>
      <c r="D5920">
        <v>1</v>
      </c>
      <c r="E5920" t="s">
        <v>16409</v>
      </c>
      <c r="F5920" t="s">
        <v>16410</v>
      </c>
      <c r="G5920" s="1"/>
      <c r="H5920" t="str">
        <f>"3250617192408"</f>
        <v>3250617192408</v>
      </c>
      <c r="J5920" t="s">
        <v>16438</v>
      </c>
    </row>
    <row r="5921" spans="1:10" x14ac:dyDescent="0.25">
      <c r="A5921" t="s">
        <v>8</v>
      </c>
      <c r="B5921" t="s">
        <v>16596</v>
      </c>
      <c r="C5921" t="s">
        <v>16597</v>
      </c>
      <c r="D5921">
        <v>1</v>
      </c>
      <c r="E5921" t="s">
        <v>16409</v>
      </c>
      <c r="F5921" t="s">
        <v>16410</v>
      </c>
      <c r="G5921" s="1"/>
      <c r="H5921" t="str">
        <f>"3250617192415"</f>
        <v>3250617192415</v>
      </c>
      <c r="J5921" t="s">
        <v>16425</v>
      </c>
    </row>
    <row r="5922" spans="1:10" x14ac:dyDescent="0.25">
      <c r="A5922" t="s">
        <v>8</v>
      </c>
      <c r="B5922" t="s">
        <v>16598</v>
      </c>
      <c r="C5922" t="s">
        <v>16599</v>
      </c>
      <c r="D5922">
        <v>1</v>
      </c>
      <c r="E5922" t="s">
        <v>16409</v>
      </c>
      <c r="F5922" t="s">
        <v>16410</v>
      </c>
      <c r="G5922" s="1"/>
      <c r="H5922" t="str">
        <f>"3250617192422"</f>
        <v>3250617192422</v>
      </c>
      <c r="J5922" t="s">
        <v>16414</v>
      </c>
    </row>
    <row r="5923" spans="1:10" x14ac:dyDescent="0.25">
      <c r="A5923" t="s">
        <v>8</v>
      </c>
      <c r="B5923" t="s">
        <v>16600</v>
      </c>
      <c r="C5923" t="s">
        <v>16601</v>
      </c>
      <c r="D5923">
        <v>1</v>
      </c>
      <c r="E5923" t="s">
        <v>16409</v>
      </c>
      <c r="F5923" t="s">
        <v>16410</v>
      </c>
      <c r="G5923" s="1"/>
      <c r="H5923" t="str">
        <f>"3250617120692"</f>
        <v>3250617120692</v>
      </c>
      <c r="J5923" t="s">
        <v>16602</v>
      </c>
    </row>
    <row r="5924" spans="1:10" x14ac:dyDescent="0.25">
      <c r="A5924" t="s">
        <v>8</v>
      </c>
      <c r="B5924" t="s">
        <v>16603</v>
      </c>
      <c r="C5924" t="s">
        <v>16604</v>
      </c>
      <c r="D5924">
        <v>1</v>
      </c>
      <c r="E5924" t="s">
        <v>16409</v>
      </c>
      <c r="F5924" t="s">
        <v>16410</v>
      </c>
      <c r="G5924" s="1"/>
      <c r="H5924" t="str">
        <f>"3250610128930"</f>
        <v>3250610128930</v>
      </c>
      <c r="J5924" t="s">
        <v>16605</v>
      </c>
    </row>
    <row r="5925" spans="1:10" x14ac:dyDescent="0.25">
      <c r="A5925" t="s">
        <v>8</v>
      </c>
      <c r="B5925" t="s">
        <v>16606</v>
      </c>
      <c r="C5925" t="s">
        <v>16607</v>
      </c>
      <c r="D5925">
        <v>1</v>
      </c>
      <c r="E5925" t="s">
        <v>16409</v>
      </c>
      <c r="F5925" t="s">
        <v>16410</v>
      </c>
      <c r="G5925" s="1"/>
      <c r="H5925" t="str">
        <f>"3250610129258"</f>
        <v>3250610129258</v>
      </c>
      <c r="J5925" t="s">
        <v>16411</v>
      </c>
    </row>
    <row r="5926" spans="1:10" x14ac:dyDescent="0.25">
      <c r="A5926" t="s">
        <v>8</v>
      </c>
      <c r="B5926" t="s">
        <v>16608</v>
      </c>
      <c r="C5926" t="s">
        <v>16609</v>
      </c>
      <c r="D5926">
        <v>1</v>
      </c>
      <c r="E5926" t="s">
        <v>16409</v>
      </c>
      <c r="F5926" t="s">
        <v>16410</v>
      </c>
      <c r="G5926" s="1"/>
      <c r="H5926" t="str">
        <f>"3250610129418"</f>
        <v>3250610129418</v>
      </c>
      <c r="J5926" t="s">
        <v>16411</v>
      </c>
    </row>
    <row r="5927" spans="1:10" x14ac:dyDescent="0.25">
      <c r="A5927" t="s">
        <v>8</v>
      </c>
      <c r="B5927" t="s">
        <v>16610</v>
      </c>
      <c r="C5927" t="s">
        <v>16611</v>
      </c>
      <c r="D5927">
        <v>1</v>
      </c>
      <c r="E5927" t="s">
        <v>16409</v>
      </c>
      <c r="F5927" t="s">
        <v>16410</v>
      </c>
      <c r="G5927" s="1"/>
      <c r="H5927" t="str">
        <f>"3250610129425"</f>
        <v>3250610129425</v>
      </c>
      <c r="J5927" t="s">
        <v>16414</v>
      </c>
    </row>
    <row r="5928" spans="1:10" x14ac:dyDescent="0.25">
      <c r="A5928" t="s">
        <v>8</v>
      </c>
      <c r="B5928" t="s">
        <v>16612</v>
      </c>
      <c r="C5928" t="s">
        <v>16613</v>
      </c>
      <c r="D5928">
        <v>1</v>
      </c>
      <c r="E5928" t="s">
        <v>16409</v>
      </c>
      <c r="F5928" t="s">
        <v>16410</v>
      </c>
      <c r="G5928" s="1"/>
      <c r="H5928" t="str">
        <f>"3250610129432"</f>
        <v>3250610129432</v>
      </c>
      <c r="J5928" t="s">
        <v>16414</v>
      </c>
    </row>
    <row r="5929" spans="1:10" x14ac:dyDescent="0.25">
      <c r="A5929" t="s">
        <v>8</v>
      </c>
      <c r="B5929" t="s">
        <v>16614</v>
      </c>
      <c r="C5929" t="s">
        <v>16615</v>
      </c>
      <c r="D5929">
        <v>1</v>
      </c>
      <c r="E5929" t="s">
        <v>16409</v>
      </c>
      <c r="F5929" t="s">
        <v>16410</v>
      </c>
      <c r="G5929" s="1"/>
      <c r="H5929" t="str">
        <f>"3250610129449"</f>
        <v>3250610129449</v>
      </c>
      <c r="J5929" t="s">
        <v>16422</v>
      </c>
    </row>
    <row r="5930" spans="1:10" x14ac:dyDescent="0.25">
      <c r="A5930" t="s">
        <v>8</v>
      </c>
      <c r="B5930" t="s">
        <v>16616</v>
      </c>
      <c r="C5930" t="s">
        <v>16617</v>
      </c>
      <c r="D5930">
        <v>1</v>
      </c>
      <c r="E5930" t="s">
        <v>16409</v>
      </c>
      <c r="F5930" t="s">
        <v>16410</v>
      </c>
      <c r="G5930" s="1"/>
      <c r="H5930" t="str">
        <f>"3250610129456"</f>
        <v>3250610129456</v>
      </c>
      <c r="J5930" t="s">
        <v>16425</v>
      </c>
    </row>
    <row r="5931" spans="1:10" x14ac:dyDescent="0.25">
      <c r="A5931" t="s">
        <v>8</v>
      </c>
      <c r="B5931" t="s">
        <v>16618</v>
      </c>
      <c r="C5931" t="s">
        <v>16619</v>
      </c>
      <c r="D5931">
        <v>1</v>
      </c>
      <c r="E5931" t="s">
        <v>16409</v>
      </c>
      <c r="F5931" t="s">
        <v>16410</v>
      </c>
      <c r="G5931" s="1"/>
      <c r="H5931" t="str">
        <f>"3250610129463"</f>
        <v>3250610129463</v>
      </c>
      <c r="J5931" t="s">
        <v>16414</v>
      </c>
    </row>
    <row r="5932" spans="1:10" x14ac:dyDescent="0.25">
      <c r="A5932" t="s">
        <v>8</v>
      </c>
      <c r="B5932" t="s">
        <v>16620</v>
      </c>
      <c r="C5932" t="s">
        <v>16621</v>
      </c>
      <c r="D5932">
        <v>1</v>
      </c>
      <c r="E5932" t="s">
        <v>16409</v>
      </c>
      <c r="F5932" t="s">
        <v>16410</v>
      </c>
      <c r="G5932" s="1"/>
      <c r="H5932" t="str">
        <f>"3250610129470"</f>
        <v>3250610129470</v>
      </c>
      <c r="J5932" t="s">
        <v>16422</v>
      </c>
    </row>
    <row r="5933" spans="1:10" x14ac:dyDescent="0.25">
      <c r="A5933" t="s">
        <v>8</v>
      </c>
      <c r="B5933" t="s">
        <v>16622</v>
      </c>
      <c r="C5933" t="s">
        <v>16623</v>
      </c>
      <c r="D5933">
        <v>1</v>
      </c>
      <c r="E5933" t="s">
        <v>16409</v>
      </c>
      <c r="F5933" t="s">
        <v>16410</v>
      </c>
      <c r="G5933" s="1"/>
      <c r="H5933" t="str">
        <f>"3250610129487"</f>
        <v>3250610129487</v>
      </c>
      <c r="J5933" t="s">
        <v>16432</v>
      </c>
    </row>
    <row r="5934" spans="1:10" x14ac:dyDescent="0.25">
      <c r="A5934" t="s">
        <v>8</v>
      </c>
      <c r="B5934" t="s">
        <v>16624</v>
      </c>
      <c r="C5934" t="s">
        <v>16625</v>
      </c>
      <c r="D5934">
        <v>1</v>
      </c>
      <c r="E5934" t="s">
        <v>16409</v>
      </c>
      <c r="F5934" t="s">
        <v>16410</v>
      </c>
      <c r="G5934" s="1"/>
      <c r="H5934" t="str">
        <f>"3250610129494"</f>
        <v>3250610129494</v>
      </c>
      <c r="J5934" t="s">
        <v>16435</v>
      </c>
    </row>
    <row r="5935" spans="1:10" x14ac:dyDescent="0.25">
      <c r="A5935" t="s">
        <v>8</v>
      </c>
      <c r="B5935" t="s">
        <v>16626</v>
      </c>
      <c r="C5935" t="s">
        <v>16627</v>
      </c>
      <c r="D5935">
        <v>1</v>
      </c>
      <c r="E5935" t="s">
        <v>16409</v>
      </c>
      <c r="F5935" t="s">
        <v>16410</v>
      </c>
      <c r="G5935" s="1"/>
      <c r="H5935" t="str">
        <f>"3250610129500"</f>
        <v>3250610129500</v>
      </c>
      <c r="J5935" t="s">
        <v>16425</v>
      </c>
    </row>
    <row r="5936" spans="1:10" x14ac:dyDescent="0.25">
      <c r="A5936" t="s">
        <v>8</v>
      </c>
      <c r="B5936" t="s">
        <v>16628</v>
      </c>
      <c r="C5936" t="s">
        <v>16629</v>
      </c>
      <c r="D5936">
        <v>1</v>
      </c>
      <c r="E5936" t="s">
        <v>16409</v>
      </c>
      <c r="F5936" t="s">
        <v>16410</v>
      </c>
      <c r="G5936" s="1"/>
      <c r="H5936" t="str">
        <f>"3250610129517"</f>
        <v>3250610129517</v>
      </c>
      <c r="J5936" t="s">
        <v>16414</v>
      </c>
    </row>
    <row r="5937" spans="1:10" x14ac:dyDescent="0.25">
      <c r="A5937" t="s">
        <v>8</v>
      </c>
      <c r="B5937" t="s">
        <v>16630</v>
      </c>
      <c r="C5937" t="s">
        <v>16631</v>
      </c>
      <c r="D5937">
        <v>1</v>
      </c>
      <c r="E5937" t="s">
        <v>16632</v>
      </c>
      <c r="F5937" t="s">
        <v>16633</v>
      </c>
      <c r="G5937" s="1"/>
      <c r="H5937" t="str">
        <f>"3250617195171"</f>
        <v>3250617195171</v>
      </c>
      <c r="J5937" t="s">
        <v>16634</v>
      </c>
    </row>
    <row r="5938" spans="1:10" x14ac:dyDescent="0.25">
      <c r="A5938" t="s">
        <v>8</v>
      </c>
      <c r="B5938" t="s">
        <v>16635</v>
      </c>
      <c r="C5938" t="s">
        <v>16636</v>
      </c>
      <c r="D5938">
        <v>1</v>
      </c>
      <c r="E5938" t="s">
        <v>16632</v>
      </c>
      <c r="F5938" t="s">
        <v>16633</v>
      </c>
      <c r="G5938" s="1"/>
      <c r="H5938" t="str">
        <f>"3250617195188"</f>
        <v>3250617195188</v>
      </c>
      <c r="J5938" t="s">
        <v>16637</v>
      </c>
    </row>
    <row r="5939" spans="1:10" x14ac:dyDescent="0.25">
      <c r="A5939" t="s">
        <v>8</v>
      </c>
      <c r="B5939" t="s">
        <v>16638</v>
      </c>
      <c r="C5939" t="s">
        <v>16639</v>
      </c>
      <c r="D5939">
        <v>1</v>
      </c>
      <c r="E5939" t="s">
        <v>16632</v>
      </c>
      <c r="F5939" t="s">
        <v>16633</v>
      </c>
      <c r="G5939" s="1"/>
      <c r="H5939" t="str">
        <f>"3250617195195"</f>
        <v>3250617195195</v>
      </c>
      <c r="J5939" t="s">
        <v>16637</v>
      </c>
    </row>
    <row r="5940" spans="1:10" x14ac:dyDescent="0.25">
      <c r="A5940" t="s">
        <v>8</v>
      </c>
      <c r="B5940" t="s">
        <v>16640</v>
      </c>
      <c r="C5940" t="s">
        <v>16641</v>
      </c>
      <c r="D5940">
        <v>1</v>
      </c>
      <c r="E5940" t="s">
        <v>16632</v>
      </c>
      <c r="F5940" t="s">
        <v>16633</v>
      </c>
      <c r="G5940" s="1"/>
      <c r="H5940" t="str">
        <f>"3250617195218"</f>
        <v>3250617195218</v>
      </c>
      <c r="J5940" t="s">
        <v>16642</v>
      </c>
    </row>
    <row r="5941" spans="1:10" x14ac:dyDescent="0.25">
      <c r="A5941" t="s">
        <v>8</v>
      </c>
      <c r="B5941" t="s">
        <v>16643</v>
      </c>
      <c r="C5941" t="s">
        <v>16644</v>
      </c>
      <c r="D5941">
        <v>1</v>
      </c>
      <c r="E5941" t="s">
        <v>16632</v>
      </c>
      <c r="F5941" t="s">
        <v>16633</v>
      </c>
      <c r="G5941" s="1"/>
      <c r="H5941" t="str">
        <f>"3250617195225"</f>
        <v>3250617195225</v>
      </c>
      <c r="J5941" t="s">
        <v>16645</v>
      </c>
    </row>
    <row r="5942" spans="1:10" x14ac:dyDescent="0.25">
      <c r="A5942" t="s">
        <v>8</v>
      </c>
      <c r="B5942" t="s">
        <v>16646</v>
      </c>
      <c r="C5942" t="s">
        <v>16647</v>
      </c>
      <c r="D5942">
        <v>1</v>
      </c>
      <c r="E5942" t="s">
        <v>16632</v>
      </c>
      <c r="F5942" t="s">
        <v>16633</v>
      </c>
      <c r="G5942" s="1"/>
      <c r="H5942" t="str">
        <f>"3250617195249"</f>
        <v>3250617195249</v>
      </c>
      <c r="J5942" t="s">
        <v>16648</v>
      </c>
    </row>
    <row r="5943" spans="1:10" x14ac:dyDescent="0.25">
      <c r="A5943" t="s">
        <v>8</v>
      </c>
      <c r="B5943" t="s">
        <v>16649</v>
      </c>
      <c r="C5943" t="s">
        <v>16650</v>
      </c>
      <c r="D5943">
        <v>1</v>
      </c>
      <c r="E5943" t="s">
        <v>16632</v>
      </c>
      <c r="F5943" t="s">
        <v>16633</v>
      </c>
      <c r="G5943" s="1"/>
      <c r="H5943" t="str">
        <f>"3250617195256"</f>
        <v>3250617195256</v>
      </c>
      <c r="J5943" t="s">
        <v>16651</v>
      </c>
    </row>
    <row r="5944" spans="1:10" x14ac:dyDescent="0.25">
      <c r="A5944" t="s">
        <v>8</v>
      </c>
      <c r="B5944" t="s">
        <v>16652</v>
      </c>
      <c r="C5944" t="s">
        <v>16653</v>
      </c>
      <c r="D5944">
        <v>1</v>
      </c>
      <c r="E5944" t="s">
        <v>16632</v>
      </c>
      <c r="F5944" t="s">
        <v>16633</v>
      </c>
      <c r="G5944" s="1"/>
      <c r="H5944" t="str">
        <f>"3250617195263"</f>
        <v>3250617195263</v>
      </c>
      <c r="J5944" t="s">
        <v>16654</v>
      </c>
    </row>
    <row r="5945" spans="1:10" x14ac:dyDescent="0.25">
      <c r="A5945" t="s">
        <v>8</v>
      </c>
      <c r="B5945" t="s">
        <v>16655</v>
      </c>
      <c r="C5945" t="s">
        <v>16656</v>
      </c>
      <c r="D5945">
        <v>1</v>
      </c>
      <c r="E5945" t="s">
        <v>16632</v>
      </c>
      <c r="F5945" t="s">
        <v>16633</v>
      </c>
      <c r="G5945" s="1"/>
      <c r="H5945" t="str">
        <f>"3250617195287"</f>
        <v>3250617195287</v>
      </c>
      <c r="J5945" t="s">
        <v>16645</v>
      </c>
    </row>
    <row r="5946" spans="1:10" x14ac:dyDescent="0.25">
      <c r="A5946" t="s">
        <v>8</v>
      </c>
      <c r="B5946" t="s">
        <v>16657</v>
      </c>
      <c r="C5946" t="s">
        <v>16658</v>
      </c>
      <c r="D5946">
        <v>1</v>
      </c>
      <c r="E5946" t="s">
        <v>16632</v>
      </c>
      <c r="F5946" t="s">
        <v>16633</v>
      </c>
      <c r="G5946" s="1"/>
      <c r="H5946" t="str">
        <f>"3250617195294"</f>
        <v>3250617195294</v>
      </c>
      <c r="J5946" t="s">
        <v>16648</v>
      </c>
    </row>
    <row r="5947" spans="1:10" x14ac:dyDescent="0.25">
      <c r="A5947" t="s">
        <v>8</v>
      </c>
      <c r="B5947" t="s">
        <v>16659</v>
      </c>
      <c r="C5947" t="s">
        <v>16660</v>
      </c>
      <c r="D5947">
        <v>1</v>
      </c>
      <c r="E5947" t="s">
        <v>16632</v>
      </c>
      <c r="F5947" t="s">
        <v>16633</v>
      </c>
      <c r="G5947" s="1"/>
      <c r="H5947" t="str">
        <f>"3250617195300"</f>
        <v>3250617195300</v>
      </c>
      <c r="J5947" t="s">
        <v>16661</v>
      </c>
    </row>
    <row r="5948" spans="1:10" x14ac:dyDescent="0.25">
      <c r="A5948" t="s">
        <v>8</v>
      </c>
      <c r="B5948" t="s">
        <v>16662</v>
      </c>
      <c r="C5948" t="s">
        <v>16663</v>
      </c>
      <c r="D5948">
        <v>1</v>
      </c>
      <c r="E5948" t="s">
        <v>16632</v>
      </c>
      <c r="F5948" t="s">
        <v>16633</v>
      </c>
      <c r="G5948" s="1"/>
      <c r="H5948" t="str">
        <f>"3250617195317"</f>
        <v>3250617195317</v>
      </c>
      <c r="J5948" t="s">
        <v>16664</v>
      </c>
    </row>
    <row r="5949" spans="1:10" x14ac:dyDescent="0.25">
      <c r="A5949" t="s">
        <v>8</v>
      </c>
      <c r="B5949" t="s">
        <v>16665</v>
      </c>
      <c r="C5949" t="s">
        <v>16666</v>
      </c>
      <c r="D5949">
        <v>1</v>
      </c>
      <c r="E5949" t="s">
        <v>16632</v>
      </c>
      <c r="F5949" t="s">
        <v>16633</v>
      </c>
      <c r="G5949" s="1"/>
      <c r="H5949" t="str">
        <f>"3250617195324"</f>
        <v>3250617195324</v>
      </c>
      <c r="J5949" t="s">
        <v>16664</v>
      </c>
    </row>
    <row r="5950" spans="1:10" x14ac:dyDescent="0.25">
      <c r="A5950" t="s">
        <v>8</v>
      </c>
      <c r="B5950" t="s">
        <v>16667</v>
      </c>
      <c r="C5950" t="s">
        <v>16668</v>
      </c>
      <c r="D5950">
        <v>1</v>
      </c>
      <c r="E5950" t="s">
        <v>16632</v>
      </c>
      <c r="F5950" t="s">
        <v>16633</v>
      </c>
      <c r="G5950" s="1"/>
      <c r="H5950" t="str">
        <f>"3250617195331"</f>
        <v>3250617195331</v>
      </c>
      <c r="J5950" t="s">
        <v>16669</v>
      </c>
    </row>
    <row r="5951" spans="1:10" x14ac:dyDescent="0.25">
      <c r="A5951" t="s">
        <v>8</v>
      </c>
      <c r="B5951" t="s">
        <v>16670</v>
      </c>
      <c r="C5951" t="s">
        <v>16671</v>
      </c>
      <c r="D5951">
        <v>1</v>
      </c>
      <c r="E5951" t="s">
        <v>16632</v>
      </c>
      <c r="F5951" t="s">
        <v>16633</v>
      </c>
      <c r="G5951" s="1"/>
      <c r="H5951" t="str">
        <f>"3250617195348"</f>
        <v>3250617195348</v>
      </c>
      <c r="J5951" t="s">
        <v>16669</v>
      </c>
    </row>
    <row r="5952" spans="1:10" x14ac:dyDescent="0.25">
      <c r="A5952" t="s">
        <v>8</v>
      </c>
      <c r="B5952" t="s">
        <v>16672</v>
      </c>
      <c r="C5952" t="s">
        <v>16673</v>
      </c>
      <c r="D5952">
        <v>1</v>
      </c>
      <c r="E5952" t="s">
        <v>16632</v>
      </c>
      <c r="F5952" t="s">
        <v>16633</v>
      </c>
      <c r="G5952" s="1"/>
      <c r="H5952" t="str">
        <f>"3250617195355"</f>
        <v>3250617195355</v>
      </c>
      <c r="J5952" t="s">
        <v>16674</v>
      </c>
    </row>
    <row r="5953" spans="1:10" x14ac:dyDescent="0.25">
      <c r="A5953" t="s">
        <v>8</v>
      </c>
      <c r="B5953" t="s">
        <v>16675</v>
      </c>
      <c r="C5953" t="s">
        <v>16676</v>
      </c>
      <c r="D5953">
        <v>1</v>
      </c>
      <c r="E5953" t="s">
        <v>16632</v>
      </c>
      <c r="F5953" t="s">
        <v>16633</v>
      </c>
      <c r="G5953" s="1"/>
      <c r="H5953" t="str">
        <f>"3250617195362"</f>
        <v>3250617195362</v>
      </c>
      <c r="J5953" t="s">
        <v>16677</v>
      </c>
    </row>
    <row r="5954" spans="1:10" x14ac:dyDescent="0.25">
      <c r="A5954" t="s">
        <v>8</v>
      </c>
      <c r="B5954" t="s">
        <v>16678</v>
      </c>
      <c r="C5954" t="s">
        <v>16679</v>
      </c>
      <c r="D5954">
        <v>1</v>
      </c>
      <c r="E5954" t="s">
        <v>16632</v>
      </c>
      <c r="F5954" t="s">
        <v>16633</v>
      </c>
      <c r="G5954" s="1"/>
      <c r="H5954" t="str">
        <f>"3250617195379"</f>
        <v>3250617195379</v>
      </c>
      <c r="J5954" t="s">
        <v>16680</v>
      </c>
    </row>
    <row r="5955" spans="1:10" x14ac:dyDescent="0.25">
      <c r="A5955" t="s">
        <v>8</v>
      </c>
      <c r="B5955" t="s">
        <v>16681</v>
      </c>
      <c r="C5955" t="s">
        <v>16682</v>
      </c>
      <c r="D5955">
        <v>1</v>
      </c>
      <c r="E5955" t="s">
        <v>16632</v>
      </c>
      <c r="F5955" t="s">
        <v>16633</v>
      </c>
      <c r="G5955" s="1"/>
      <c r="H5955" t="str">
        <f>"3250617195386"</f>
        <v>3250617195386</v>
      </c>
      <c r="J5955" t="s">
        <v>16683</v>
      </c>
    </row>
    <row r="5956" spans="1:10" x14ac:dyDescent="0.25">
      <c r="A5956" t="s">
        <v>8</v>
      </c>
      <c r="B5956" t="s">
        <v>16684</v>
      </c>
      <c r="C5956" t="s">
        <v>16685</v>
      </c>
      <c r="D5956">
        <v>1</v>
      </c>
      <c r="E5956" t="s">
        <v>16632</v>
      </c>
      <c r="F5956" t="s">
        <v>16633</v>
      </c>
      <c r="G5956" s="1"/>
      <c r="H5956" t="str">
        <f>"3250617195393"</f>
        <v>3250617195393</v>
      </c>
      <c r="J5956" t="s">
        <v>16664</v>
      </c>
    </row>
    <row r="5957" spans="1:10" x14ac:dyDescent="0.25">
      <c r="A5957" t="s">
        <v>8</v>
      </c>
      <c r="B5957" t="s">
        <v>16686</v>
      </c>
      <c r="C5957" t="s">
        <v>16687</v>
      </c>
      <c r="D5957">
        <v>1</v>
      </c>
      <c r="E5957" t="s">
        <v>16632</v>
      </c>
      <c r="F5957" t="s">
        <v>16633</v>
      </c>
      <c r="G5957" s="1"/>
      <c r="H5957" t="str">
        <f>"3250617195904"</f>
        <v>3250617195904</v>
      </c>
      <c r="J5957" t="s">
        <v>16674</v>
      </c>
    </row>
    <row r="5958" spans="1:10" x14ac:dyDescent="0.25">
      <c r="A5958" t="s">
        <v>8</v>
      </c>
      <c r="B5958" t="s">
        <v>16688</v>
      </c>
      <c r="C5958" t="s">
        <v>16689</v>
      </c>
      <c r="D5958">
        <v>1</v>
      </c>
      <c r="E5958" t="s">
        <v>16632</v>
      </c>
      <c r="F5958" t="s">
        <v>16633</v>
      </c>
      <c r="G5958" s="1"/>
      <c r="H5958" t="str">
        <f>"3250617195911"</f>
        <v>3250617195911</v>
      </c>
      <c r="J5958" t="s">
        <v>16677</v>
      </c>
    </row>
    <row r="5959" spans="1:10" x14ac:dyDescent="0.25">
      <c r="A5959" t="s">
        <v>8</v>
      </c>
      <c r="B5959" t="s">
        <v>16690</v>
      </c>
      <c r="C5959" t="s">
        <v>16691</v>
      </c>
      <c r="D5959">
        <v>1</v>
      </c>
      <c r="E5959" t="s">
        <v>16632</v>
      </c>
      <c r="F5959" t="s">
        <v>16633</v>
      </c>
      <c r="G5959" s="1"/>
      <c r="H5959" t="str">
        <f>"3250617195928"</f>
        <v>3250617195928</v>
      </c>
      <c r="J5959" t="s">
        <v>16661</v>
      </c>
    </row>
    <row r="5960" spans="1:10" x14ac:dyDescent="0.25">
      <c r="A5960" t="s">
        <v>8</v>
      </c>
      <c r="B5960" t="s">
        <v>16692</v>
      </c>
      <c r="C5960" t="s">
        <v>16693</v>
      </c>
      <c r="D5960">
        <v>1</v>
      </c>
      <c r="E5960" t="s">
        <v>16632</v>
      </c>
      <c r="F5960" t="s">
        <v>16633</v>
      </c>
      <c r="G5960" s="1"/>
      <c r="H5960" t="str">
        <f>"3250617195935"</f>
        <v>3250617195935</v>
      </c>
      <c r="J5960" t="s">
        <v>16664</v>
      </c>
    </row>
    <row r="5961" spans="1:10" x14ac:dyDescent="0.25">
      <c r="A5961" t="s">
        <v>8</v>
      </c>
      <c r="B5961" t="s">
        <v>16694</v>
      </c>
      <c r="C5961" t="s">
        <v>16695</v>
      </c>
      <c r="D5961">
        <v>1</v>
      </c>
      <c r="E5961" t="s">
        <v>16632</v>
      </c>
      <c r="F5961" t="s">
        <v>16633</v>
      </c>
      <c r="G5961" s="1"/>
      <c r="H5961" t="str">
        <f>"3250617195942"</f>
        <v>3250617195942</v>
      </c>
      <c r="J5961" t="s">
        <v>16664</v>
      </c>
    </row>
    <row r="5962" spans="1:10" x14ac:dyDescent="0.25">
      <c r="A5962" t="s">
        <v>8</v>
      </c>
      <c r="B5962" t="s">
        <v>16696</v>
      </c>
      <c r="C5962" t="s">
        <v>16697</v>
      </c>
      <c r="D5962">
        <v>1</v>
      </c>
      <c r="E5962" t="s">
        <v>16632</v>
      </c>
      <c r="F5962" t="s">
        <v>16633</v>
      </c>
      <c r="G5962" s="1"/>
      <c r="H5962" t="str">
        <f>"3250617195966"</f>
        <v>3250617195966</v>
      </c>
      <c r="J5962" t="s">
        <v>16669</v>
      </c>
    </row>
    <row r="5963" spans="1:10" x14ac:dyDescent="0.25">
      <c r="A5963" t="s">
        <v>8</v>
      </c>
      <c r="B5963" t="s">
        <v>16698</v>
      </c>
      <c r="C5963" t="s">
        <v>16699</v>
      </c>
      <c r="D5963">
        <v>1</v>
      </c>
      <c r="E5963" t="s">
        <v>16632</v>
      </c>
      <c r="F5963" t="s">
        <v>16633</v>
      </c>
      <c r="G5963" s="1"/>
      <c r="H5963" t="str">
        <f>"3250617195973"</f>
        <v>3250617195973</v>
      </c>
      <c r="J5963" t="s">
        <v>16674</v>
      </c>
    </row>
    <row r="5964" spans="1:10" x14ac:dyDescent="0.25">
      <c r="A5964" t="s">
        <v>8</v>
      </c>
      <c r="B5964" t="s">
        <v>16700</v>
      </c>
      <c r="C5964" t="s">
        <v>16701</v>
      </c>
      <c r="D5964">
        <v>1</v>
      </c>
      <c r="E5964" t="s">
        <v>16632</v>
      </c>
      <c r="F5964" t="s">
        <v>16633</v>
      </c>
      <c r="G5964" s="1"/>
      <c r="H5964" t="str">
        <f>"3250617195980"</f>
        <v>3250617195980</v>
      </c>
      <c r="J5964" t="s">
        <v>16677</v>
      </c>
    </row>
    <row r="5965" spans="1:10" x14ac:dyDescent="0.25">
      <c r="A5965" t="s">
        <v>8</v>
      </c>
      <c r="B5965" t="s">
        <v>16702</v>
      </c>
      <c r="C5965" t="s">
        <v>16703</v>
      </c>
      <c r="D5965">
        <v>1</v>
      </c>
      <c r="E5965" t="s">
        <v>16632</v>
      </c>
      <c r="F5965" t="s">
        <v>16633</v>
      </c>
      <c r="G5965" s="1"/>
      <c r="H5965" t="str">
        <f>"3250617195997"</f>
        <v>3250617195997</v>
      </c>
      <c r="J5965" t="s">
        <v>16680</v>
      </c>
    </row>
    <row r="5966" spans="1:10" x14ac:dyDescent="0.25">
      <c r="A5966" t="s">
        <v>8</v>
      </c>
      <c r="B5966" t="s">
        <v>16704</v>
      </c>
      <c r="C5966" t="s">
        <v>16705</v>
      </c>
      <c r="D5966">
        <v>1</v>
      </c>
      <c r="E5966" t="s">
        <v>16632</v>
      </c>
      <c r="F5966" t="s">
        <v>16633</v>
      </c>
      <c r="G5966" s="1"/>
      <c r="H5966" t="str">
        <f>"3250617196000"</f>
        <v>3250617196000</v>
      </c>
      <c r="J5966" t="s">
        <v>16683</v>
      </c>
    </row>
    <row r="5967" spans="1:10" x14ac:dyDescent="0.25">
      <c r="A5967" t="s">
        <v>8</v>
      </c>
      <c r="B5967" t="s">
        <v>16706</v>
      </c>
      <c r="C5967" t="s">
        <v>16707</v>
      </c>
      <c r="D5967">
        <v>1</v>
      </c>
      <c r="E5967" t="s">
        <v>16632</v>
      </c>
      <c r="F5967" t="s">
        <v>16633</v>
      </c>
      <c r="G5967" s="1"/>
      <c r="H5967" t="str">
        <f>"3250617196123"</f>
        <v>3250617196123</v>
      </c>
      <c r="J5967" t="s">
        <v>16674</v>
      </c>
    </row>
    <row r="5968" spans="1:10" x14ac:dyDescent="0.25">
      <c r="A5968" t="s">
        <v>8</v>
      </c>
      <c r="B5968" t="s">
        <v>16708</v>
      </c>
      <c r="C5968" t="s">
        <v>16709</v>
      </c>
      <c r="D5968">
        <v>1</v>
      </c>
      <c r="E5968" t="s">
        <v>16632</v>
      </c>
      <c r="F5968" t="s">
        <v>16633</v>
      </c>
      <c r="G5968" s="1"/>
      <c r="H5968" t="str">
        <f>"3250617196130"</f>
        <v>3250617196130</v>
      </c>
      <c r="J5968" t="s">
        <v>16677</v>
      </c>
    </row>
    <row r="5969" spans="1:10" x14ac:dyDescent="0.25">
      <c r="A5969" t="s">
        <v>8</v>
      </c>
      <c r="B5969" t="s">
        <v>16710</v>
      </c>
      <c r="C5969" t="s">
        <v>16711</v>
      </c>
      <c r="D5969">
        <v>1</v>
      </c>
      <c r="E5969" t="s">
        <v>16632</v>
      </c>
      <c r="F5969" t="s">
        <v>16633</v>
      </c>
      <c r="G5969" s="1"/>
      <c r="H5969" t="str">
        <f>"3250617196260"</f>
        <v>3250617196260</v>
      </c>
      <c r="J5969" t="s">
        <v>16634</v>
      </c>
    </row>
    <row r="5970" spans="1:10" x14ac:dyDescent="0.25">
      <c r="A5970" t="s">
        <v>8</v>
      </c>
      <c r="B5970" t="s">
        <v>16712</v>
      </c>
      <c r="C5970" t="s">
        <v>16713</v>
      </c>
      <c r="D5970">
        <v>1</v>
      </c>
      <c r="E5970" t="s">
        <v>16632</v>
      </c>
      <c r="F5970" t="s">
        <v>16633</v>
      </c>
      <c r="G5970" s="1"/>
      <c r="H5970" t="str">
        <f>"3250617196277"</f>
        <v>3250617196277</v>
      </c>
      <c r="J5970" t="s">
        <v>16637</v>
      </c>
    </row>
    <row r="5971" spans="1:10" x14ac:dyDescent="0.25">
      <c r="A5971" t="s">
        <v>8</v>
      </c>
      <c r="B5971" t="s">
        <v>16714</v>
      </c>
      <c r="C5971" t="s">
        <v>16715</v>
      </c>
      <c r="D5971">
        <v>1</v>
      </c>
      <c r="E5971" t="s">
        <v>16632</v>
      </c>
      <c r="F5971" t="s">
        <v>16633</v>
      </c>
      <c r="G5971" s="1"/>
      <c r="H5971" t="str">
        <f>"3250617196284"</f>
        <v>3250617196284</v>
      </c>
      <c r="J5971" t="s">
        <v>16637</v>
      </c>
    </row>
    <row r="5972" spans="1:10" x14ac:dyDescent="0.25">
      <c r="A5972" t="s">
        <v>8</v>
      </c>
      <c r="B5972" t="s">
        <v>16716</v>
      </c>
      <c r="C5972" t="s">
        <v>16717</v>
      </c>
      <c r="D5972">
        <v>1</v>
      </c>
      <c r="E5972" t="s">
        <v>16632</v>
      </c>
      <c r="F5972" t="s">
        <v>16633</v>
      </c>
      <c r="G5972" s="1"/>
      <c r="H5972" t="str">
        <f>"3250617196307"</f>
        <v>3250617196307</v>
      </c>
      <c r="J5972" t="s">
        <v>16642</v>
      </c>
    </row>
    <row r="5973" spans="1:10" x14ac:dyDescent="0.25">
      <c r="A5973" t="s">
        <v>8</v>
      </c>
      <c r="B5973" t="s">
        <v>16718</v>
      </c>
      <c r="C5973" t="s">
        <v>16719</v>
      </c>
      <c r="D5973">
        <v>1</v>
      </c>
      <c r="E5973" t="s">
        <v>16632</v>
      </c>
      <c r="F5973" t="s">
        <v>16633</v>
      </c>
      <c r="G5973" s="1"/>
      <c r="H5973" t="str">
        <f>"3250617196314"</f>
        <v>3250617196314</v>
      </c>
      <c r="J5973" t="s">
        <v>16645</v>
      </c>
    </row>
    <row r="5974" spans="1:10" x14ac:dyDescent="0.25">
      <c r="A5974" t="s">
        <v>8</v>
      </c>
      <c r="B5974" t="s">
        <v>16720</v>
      </c>
      <c r="C5974" t="s">
        <v>16721</v>
      </c>
      <c r="D5974">
        <v>1</v>
      </c>
      <c r="E5974" t="s">
        <v>16632</v>
      </c>
      <c r="F5974" t="s">
        <v>16633</v>
      </c>
      <c r="G5974" s="1"/>
      <c r="H5974" t="str">
        <f>"3250617196321"</f>
        <v>3250617196321</v>
      </c>
      <c r="J5974" t="s">
        <v>16648</v>
      </c>
    </row>
    <row r="5975" spans="1:10" x14ac:dyDescent="0.25">
      <c r="A5975" t="s">
        <v>8</v>
      </c>
      <c r="B5975" t="s">
        <v>16722</v>
      </c>
      <c r="C5975" t="s">
        <v>16723</v>
      </c>
      <c r="D5975">
        <v>1</v>
      </c>
      <c r="E5975" t="s">
        <v>16632</v>
      </c>
      <c r="F5975" t="s">
        <v>16633</v>
      </c>
      <c r="G5975" s="1"/>
      <c r="H5975" t="str">
        <f>"3250617196338"</f>
        <v>3250617196338</v>
      </c>
      <c r="J5975" t="s">
        <v>16651</v>
      </c>
    </row>
    <row r="5976" spans="1:10" x14ac:dyDescent="0.25">
      <c r="A5976" t="s">
        <v>8</v>
      </c>
      <c r="B5976" t="s">
        <v>16724</v>
      </c>
      <c r="C5976" t="s">
        <v>16725</v>
      </c>
      <c r="D5976">
        <v>1</v>
      </c>
      <c r="E5976" t="s">
        <v>16632</v>
      </c>
      <c r="F5976" t="s">
        <v>16633</v>
      </c>
      <c r="G5976" s="1"/>
      <c r="H5976" t="str">
        <f>"3250617196345"</f>
        <v>3250617196345</v>
      </c>
      <c r="J5976" t="s">
        <v>16654</v>
      </c>
    </row>
    <row r="5977" spans="1:10" x14ac:dyDescent="0.25">
      <c r="A5977" t="s">
        <v>8</v>
      </c>
      <c r="B5977" t="s">
        <v>16726</v>
      </c>
      <c r="C5977" t="s">
        <v>16727</v>
      </c>
      <c r="D5977">
        <v>1</v>
      </c>
      <c r="E5977" t="s">
        <v>16632</v>
      </c>
      <c r="F5977" t="s">
        <v>16633</v>
      </c>
      <c r="G5977" s="1"/>
      <c r="H5977" t="str">
        <f>"3250617196369"</f>
        <v>3250617196369</v>
      </c>
      <c r="J5977" t="s">
        <v>16645</v>
      </c>
    </row>
    <row r="5978" spans="1:10" x14ac:dyDescent="0.25">
      <c r="A5978" t="s">
        <v>8</v>
      </c>
      <c r="B5978" t="s">
        <v>16728</v>
      </c>
      <c r="C5978" t="s">
        <v>16729</v>
      </c>
      <c r="D5978">
        <v>1</v>
      </c>
      <c r="E5978" t="s">
        <v>16632</v>
      </c>
      <c r="F5978" t="s">
        <v>16633</v>
      </c>
      <c r="G5978" s="1"/>
      <c r="H5978" t="str">
        <f>"3250617196376"</f>
        <v>3250617196376</v>
      </c>
      <c r="J5978" t="s">
        <v>16648</v>
      </c>
    </row>
    <row r="5979" spans="1:10" x14ac:dyDescent="0.25">
      <c r="A5979" t="s">
        <v>8</v>
      </c>
      <c r="B5979" t="s">
        <v>16730</v>
      </c>
      <c r="C5979" t="s">
        <v>16731</v>
      </c>
      <c r="D5979">
        <v>1</v>
      </c>
      <c r="E5979" t="s">
        <v>16632</v>
      </c>
      <c r="F5979" t="s">
        <v>16633</v>
      </c>
      <c r="G5979" s="1"/>
      <c r="H5979" t="str">
        <f>"3250617196383"</f>
        <v>3250617196383</v>
      </c>
      <c r="J5979" t="s">
        <v>16634</v>
      </c>
    </row>
    <row r="5980" spans="1:10" x14ac:dyDescent="0.25">
      <c r="A5980" t="s">
        <v>8</v>
      </c>
      <c r="B5980" t="s">
        <v>16732</v>
      </c>
      <c r="C5980" t="s">
        <v>16733</v>
      </c>
      <c r="D5980">
        <v>1</v>
      </c>
      <c r="E5980" t="s">
        <v>16632</v>
      </c>
      <c r="F5980" t="s">
        <v>16633</v>
      </c>
      <c r="G5980" s="1"/>
      <c r="H5980" t="str">
        <f>"3250617196390"</f>
        <v>3250617196390</v>
      </c>
      <c r="J5980" t="s">
        <v>16637</v>
      </c>
    </row>
    <row r="5981" spans="1:10" x14ac:dyDescent="0.25">
      <c r="A5981" t="s">
        <v>8</v>
      </c>
      <c r="B5981" t="s">
        <v>16734</v>
      </c>
      <c r="C5981" t="s">
        <v>16735</v>
      </c>
      <c r="D5981">
        <v>1</v>
      </c>
      <c r="E5981" t="s">
        <v>16632</v>
      </c>
      <c r="F5981" t="s">
        <v>16633</v>
      </c>
      <c r="G5981" s="1"/>
      <c r="H5981" t="str">
        <f>"3250617196406"</f>
        <v>3250617196406</v>
      </c>
      <c r="J5981" t="s">
        <v>16637</v>
      </c>
    </row>
    <row r="5982" spans="1:10" x14ac:dyDescent="0.25">
      <c r="A5982" t="s">
        <v>8</v>
      </c>
      <c r="B5982" t="s">
        <v>16736</v>
      </c>
      <c r="C5982" t="s">
        <v>16737</v>
      </c>
      <c r="D5982">
        <v>1</v>
      </c>
      <c r="E5982" t="s">
        <v>16632</v>
      </c>
      <c r="F5982" t="s">
        <v>16633</v>
      </c>
      <c r="G5982" s="1"/>
      <c r="H5982" t="str">
        <f>"3250617196413"</f>
        <v>3250617196413</v>
      </c>
      <c r="J5982" t="s">
        <v>16642</v>
      </c>
    </row>
    <row r="5983" spans="1:10" x14ac:dyDescent="0.25">
      <c r="A5983" t="s">
        <v>8</v>
      </c>
      <c r="B5983" t="s">
        <v>16738</v>
      </c>
      <c r="C5983" t="s">
        <v>16739</v>
      </c>
      <c r="D5983">
        <v>1</v>
      </c>
      <c r="E5983" t="s">
        <v>16632</v>
      </c>
      <c r="F5983" t="s">
        <v>16633</v>
      </c>
      <c r="G5983" s="1"/>
      <c r="H5983" t="str">
        <f>"3250617196420"</f>
        <v>3250617196420</v>
      </c>
      <c r="J5983" t="s">
        <v>16642</v>
      </c>
    </row>
    <row r="5984" spans="1:10" x14ac:dyDescent="0.25">
      <c r="A5984" t="s">
        <v>8</v>
      </c>
      <c r="B5984" t="s">
        <v>16740</v>
      </c>
      <c r="C5984" t="s">
        <v>16741</v>
      </c>
      <c r="D5984">
        <v>1</v>
      </c>
      <c r="E5984" t="s">
        <v>16632</v>
      </c>
      <c r="F5984" t="s">
        <v>16633</v>
      </c>
      <c r="G5984" s="1"/>
      <c r="H5984" t="str">
        <f>"3250617196437"</f>
        <v>3250617196437</v>
      </c>
      <c r="J5984" t="s">
        <v>16645</v>
      </c>
    </row>
    <row r="5985" spans="1:10" x14ac:dyDescent="0.25">
      <c r="A5985" t="s">
        <v>8</v>
      </c>
      <c r="B5985" t="s">
        <v>16742</v>
      </c>
      <c r="C5985" t="s">
        <v>16743</v>
      </c>
      <c r="D5985">
        <v>1</v>
      </c>
      <c r="E5985" t="s">
        <v>16632</v>
      </c>
      <c r="F5985" t="s">
        <v>16633</v>
      </c>
      <c r="G5985" s="1"/>
      <c r="H5985" t="str">
        <f>"3250617196444"</f>
        <v>3250617196444</v>
      </c>
      <c r="J5985" t="s">
        <v>16648</v>
      </c>
    </row>
    <row r="5986" spans="1:10" x14ac:dyDescent="0.25">
      <c r="A5986" t="s">
        <v>8</v>
      </c>
      <c r="B5986" t="s">
        <v>16744</v>
      </c>
      <c r="C5986" t="s">
        <v>16745</v>
      </c>
      <c r="D5986">
        <v>1</v>
      </c>
      <c r="E5986" t="s">
        <v>16632</v>
      </c>
      <c r="F5986" t="s">
        <v>16633</v>
      </c>
      <c r="G5986" s="1"/>
      <c r="H5986" t="str">
        <f>"3250617196451"</f>
        <v>3250617196451</v>
      </c>
      <c r="J5986" t="s">
        <v>16651</v>
      </c>
    </row>
    <row r="5987" spans="1:10" x14ac:dyDescent="0.25">
      <c r="A5987" t="s">
        <v>8</v>
      </c>
      <c r="B5987" t="s">
        <v>16746</v>
      </c>
      <c r="C5987" t="s">
        <v>16747</v>
      </c>
      <c r="D5987">
        <v>1</v>
      </c>
      <c r="E5987" t="s">
        <v>16632</v>
      </c>
      <c r="F5987" t="s">
        <v>16633</v>
      </c>
      <c r="G5987" s="1"/>
      <c r="H5987" t="str">
        <f>"3250617196468"</f>
        <v>3250617196468</v>
      </c>
      <c r="J5987" t="s">
        <v>16654</v>
      </c>
    </row>
    <row r="5988" spans="1:10" x14ac:dyDescent="0.25">
      <c r="A5988" t="s">
        <v>8</v>
      </c>
      <c r="B5988" t="s">
        <v>16748</v>
      </c>
      <c r="C5988" t="s">
        <v>16749</v>
      </c>
      <c r="D5988">
        <v>1</v>
      </c>
      <c r="E5988" t="s">
        <v>16632</v>
      </c>
      <c r="F5988" t="s">
        <v>16633</v>
      </c>
      <c r="G5988" s="1"/>
      <c r="H5988" t="str">
        <f>"3250617196482"</f>
        <v>3250617196482</v>
      </c>
      <c r="J5988" t="s">
        <v>16645</v>
      </c>
    </row>
    <row r="5989" spans="1:10" x14ac:dyDescent="0.25">
      <c r="A5989" t="s">
        <v>8</v>
      </c>
      <c r="B5989" t="s">
        <v>16750</v>
      </c>
      <c r="C5989" t="s">
        <v>16751</v>
      </c>
      <c r="D5989">
        <v>1</v>
      </c>
      <c r="E5989" t="s">
        <v>16632</v>
      </c>
      <c r="F5989" t="s">
        <v>16633</v>
      </c>
      <c r="G5989" s="1"/>
      <c r="H5989" t="str">
        <f>"3250617196499"</f>
        <v>3250617196499</v>
      </c>
      <c r="J5989" t="s">
        <v>16648</v>
      </c>
    </row>
    <row r="5990" spans="1:10" x14ac:dyDescent="0.25">
      <c r="A5990" t="s">
        <v>8</v>
      </c>
      <c r="B5990" t="s">
        <v>16752</v>
      </c>
      <c r="C5990" t="s">
        <v>16753</v>
      </c>
      <c r="D5990">
        <v>1</v>
      </c>
      <c r="E5990" t="s">
        <v>16632</v>
      </c>
      <c r="F5990" t="s">
        <v>16633</v>
      </c>
      <c r="G5990" s="1"/>
      <c r="H5990" t="str">
        <f>"3250610129951"</f>
        <v>3250610129951</v>
      </c>
      <c r="J5990" t="s">
        <v>16661</v>
      </c>
    </row>
    <row r="5991" spans="1:10" x14ac:dyDescent="0.25">
      <c r="A5991" t="s">
        <v>8</v>
      </c>
      <c r="B5991" t="s">
        <v>16754</v>
      </c>
      <c r="C5991" t="s">
        <v>16755</v>
      </c>
      <c r="D5991">
        <v>1</v>
      </c>
      <c r="E5991" t="s">
        <v>16632</v>
      </c>
      <c r="F5991" t="s">
        <v>16633</v>
      </c>
      <c r="G5991" s="1"/>
      <c r="H5991" t="str">
        <f>"3250610129968"</f>
        <v>3250610129968</v>
      </c>
      <c r="J5991" t="s">
        <v>16674</v>
      </c>
    </row>
    <row r="5992" spans="1:10" x14ac:dyDescent="0.25">
      <c r="A5992" t="s">
        <v>8</v>
      </c>
      <c r="B5992" t="s">
        <v>16756</v>
      </c>
      <c r="C5992" t="s">
        <v>16757</v>
      </c>
      <c r="D5992">
        <v>1</v>
      </c>
      <c r="E5992" t="s">
        <v>16632</v>
      </c>
      <c r="F5992" t="s">
        <v>16633</v>
      </c>
      <c r="G5992" s="1"/>
      <c r="H5992" t="str">
        <f>"3250610129975"</f>
        <v>3250610129975</v>
      </c>
      <c r="J5992" t="s">
        <v>16677</v>
      </c>
    </row>
    <row r="5993" spans="1:10" x14ac:dyDescent="0.25">
      <c r="A5993" t="s">
        <v>8</v>
      </c>
      <c r="B5993" t="s">
        <v>16758</v>
      </c>
      <c r="C5993" t="s">
        <v>16759</v>
      </c>
      <c r="D5993">
        <v>1</v>
      </c>
      <c r="E5993" t="s">
        <v>16632</v>
      </c>
      <c r="F5993" t="s">
        <v>16633</v>
      </c>
      <c r="G5993" s="1"/>
      <c r="H5993" t="str">
        <f>"3250610129982"</f>
        <v>3250610129982</v>
      </c>
      <c r="J5993" t="s">
        <v>16680</v>
      </c>
    </row>
    <row r="5994" spans="1:10" x14ac:dyDescent="0.25">
      <c r="A5994" t="s">
        <v>8</v>
      </c>
      <c r="B5994" t="s">
        <v>16760</v>
      </c>
      <c r="C5994" t="s">
        <v>16761</v>
      </c>
      <c r="D5994">
        <v>1</v>
      </c>
      <c r="E5994" t="s">
        <v>16632</v>
      </c>
      <c r="F5994" t="s">
        <v>16633</v>
      </c>
      <c r="G5994" s="1"/>
      <c r="H5994" t="str">
        <f>"3250610129999"</f>
        <v>3250610129999</v>
      </c>
      <c r="J5994" t="s">
        <v>16674</v>
      </c>
    </row>
    <row r="5995" spans="1:10" x14ac:dyDescent="0.25">
      <c r="A5995" t="s">
        <v>8</v>
      </c>
      <c r="B5995" t="s">
        <v>16762</v>
      </c>
      <c r="C5995" t="s">
        <v>16763</v>
      </c>
      <c r="D5995">
        <v>1</v>
      </c>
      <c r="E5995" t="s">
        <v>16632</v>
      </c>
      <c r="F5995" t="s">
        <v>16633</v>
      </c>
      <c r="G5995" s="1"/>
      <c r="H5995" t="str">
        <f>"3250610130001"</f>
        <v>3250610130001</v>
      </c>
      <c r="J5995" t="s">
        <v>16677</v>
      </c>
    </row>
    <row r="5996" spans="1:10" x14ac:dyDescent="0.25">
      <c r="A5996" t="s">
        <v>8</v>
      </c>
      <c r="B5996" t="s">
        <v>16764</v>
      </c>
      <c r="C5996" t="s">
        <v>16765</v>
      </c>
      <c r="D5996">
        <v>1</v>
      </c>
      <c r="E5996" t="s">
        <v>16632</v>
      </c>
      <c r="F5996" t="s">
        <v>16633</v>
      </c>
      <c r="G5996" s="1"/>
      <c r="H5996" t="str">
        <f>"3250610129852"</f>
        <v>3250610129852</v>
      </c>
      <c r="J5996" t="s">
        <v>16661</v>
      </c>
    </row>
    <row r="5997" spans="1:10" x14ac:dyDescent="0.25">
      <c r="A5997" t="s">
        <v>8</v>
      </c>
      <c r="B5997" t="s">
        <v>16766</v>
      </c>
      <c r="C5997" t="s">
        <v>16767</v>
      </c>
      <c r="D5997">
        <v>1</v>
      </c>
      <c r="E5997" t="s">
        <v>16632</v>
      </c>
      <c r="F5997" t="s">
        <v>16633</v>
      </c>
      <c r="G5997" s="1"/>
      <c r="H5997" t="str">
        <f>"3250610129869"</f>
        <v>3250610129869</v>
      </c>
      <c r="J5997" t="s">
        <v>16674</v>
      </c>
    </row>
    <row r="5998" spans="1:10" x14ac:dyDescent="0.25">
      <c r="A5998" t="s">
        <v>8</v>
      </c>
      <c r="B5998" t="s">
        <v>16768</v>
      </c>
      <c r="C5998" t="s">
        <v>16769</v>
      </c>
      <c r="D5998">
        <v>1</v>
      </c>
      <c r="E5998" t="s">
        <v>16632</v>
      </c>
      <c r="F5998" t="s">
        <v>16633</v>
      </c>
      <c r="G5998" s="1"/>
      <c r="H5998" t="str">
        <f>"3250610129876"</f>
        <v>3250610129876</v>
      </c>
      <c r="J5998" t="s">
        <v>16677</v>
      </c>
    </row>
    <row r="5999" spans="1:10" x14ac:dyDescent="0.25">
      <c r="A5999" t="s">
        <v>8</v>
      </c>
      <c r="B5999" t="s">
        <v>16770</v>
      </c>
      <c r="C5999" t="s">
        <v>16771</v>
      </c>
      <c r="D5999">
        <v>1</v>
      </c>
      <c r="E5999" t="s">
        <v>16632</v>
      </c>
      <c r="F5999" t="s">
        <v>16633</v>
      </c>
      <c r="G5999" s="1"/>
      <c r="H5999" t="str">
        <f>"3250610129883"</f>
        <v>3250610129883</v>
      </c>
      <c r="J5999" t="s">
        <v>16680</v>
      </c>
    </row>
    <row r="6000" spans="1:10" x14ac:dyDescent="0.25">
      <c r="A6000" t="s">
        <v>8</v>
      </c>
      <c r="B6000" t="s">
        <v>16772</v>
      </c>
      <c r="C6000" t="s">
        <v>16773</v>
      </c>
      <c r="D6000">
        <v>1</v>
      </c>
      <c r="E6000" t="s">
        <v>16632</v>
      </c>
      <c r="F6000" t="s">
        <v>16633</v>
      </c>
      <c r="G6000" s="1"/>
      <c r="H6000" t="str">
        <f>"3250610129890"</f>
        <v>3250610129890</v>
      </c>
      <c r="J6000" t="s">
        <v>16674</v>
      </c>
    </row>
    <row r="6001" spans="1:10" x14ac:dyDescent="0.25">
      <c r="A6001" t="s">
        <v>8</v>
      </c>
      <c r="B6001" t="s">
        <v>16774</v>
      </c>
      <c r="C6001" t="s">
        <v>16775</v>
      </c>
      <c r="D6001">
        <v>1</v>
      </c>
      <c r="E6001" t="s">
        <v>16632</v>
      </c>
      <c r="F6001" t="s">
        <v>16633</v>
      </c>
      <c r="G6001" s="1"/>
      <c r="H6001" t="str">
        <f>"3250610129906"</f>
        <v>3250610129906</v>
      </c>
      <c r="J6001" t="s">
        <v>16677</v>
      </c>
    </row>
    <row r="6002" spans="1:10" x14ac:dyDescent="0.25">
      <c r="A6002" t="s">
        <v>8</v>
      </c>
      <c r="B6002" t="s">
        <v>16776</v>
      </c>
      <c r="C6002" t="s">
        <v>16777</v>
      </c>
      <c r="D6002">
        <v>1</v>
      </c>
      <c r="E6002" t="s">
        <v>16632</v>
      </c>
      <c r="F6002" t="s">
        <v>16633</v>
      </c>
      <c r="G6002" s="1"/>
      <c r="H6002" t="str">
        <f>"3250610130056"</f>
        <v>3250610130056</v>
      </c>
      <c r="J6002" t="s">
        <v>16661</v>
      </c>
    </row>
    <row r="6003" spans="1:10" x14ac:dyDescent="0.25">
      <c r="A6003" t="s">
        <v>8</v>
      </c>
      <c r="B6003" t="s">
        <v>16778</v>
      </c>
      <c r="C6003" t="s">
        <v>16779</v>
      </c>
      <c r="D6003">
        <v>1</v>
      </c>
      <c r="E6003" t="s">
        <v>16632</v>
      </c>
      <c r="F6003" t="s">
        <v>16633</v>
      </c>
      <c r="G6003" s="1"/>
      <c r="H6003" t="str">
        <f>"3250610130124"</f>
        <v>3250610130124</v>
      </c>
      <c r="J6003" t="s">
        <v>16780</v>
      </c>
    </row>
    <row r="6004" spans="1:10" x14ac:dyDescent="0.25">
      <c r="A6004" t="s">
        <v>8</v>
      </c>
      <c r="B6004" t="s">
        <v>16781</v>
      </c>
      <c r="C6004" t="s">
        <v>16782</v>
      </c>
      <c r="D6004">
        <v>1</v>
      </c>
      <c r="E6004" t="s">
        <v>16632</v>
      </c>
      <c r="F6004" t="s">
        <v>16633</v>
      </c>
      <c r="G6004" s="1"/>
      <c r="H6004" t="str">
        <f>"3250610130063"</f>
        <v>3250610130063</v>
      </c>
      <c r="J6004" t="s">
        <v>16674</v>
      </c>
    </row>
    <row r="6005" spans="1:10" x14ac:dyDescent="0.25">
      <c r="A6005" t="s">
        <v>8</v>
      </c>
      <c r="B6005" t="s">
        <v>16783</v>
      </c>
      <c r="C6005" t="s">
        <v>16784</v>
      </c>
      <c r="D6005">
        <v>1</v>
      </c>
      <c r="E6005" t="s">
        <v>16632</v>
      </c>
      <c r="F6005" t="s">
        <v>16633</v>
      </c>
      <c r="G6005" s="1"/>
      <c r="H6005" t="str">
        <f>"3250610130070"</f>
        <v>3250610130070</v>
      </c>
      <c r="J6005" t="s">
        <v>16677</v>
      </c>
    </row>
    <row r="6006" spans="1:10" x14ac:dyDescent="0.25">
      <c r="A6006" t="s">
        <v>8</v>
      </c>
      <c r="B6006" t="s">
        <v>16785</v>
      </c>
      <c r="C6006" t="s">
        <v>16786</v>
      </c>
      <c r="D6006">
        <v>1</v>
      </c>
      <c r="E6006" t="s">
        <v>16632</v>
      </c>
      <c r="F6006" t="s">
        <v>16633</v>
      </c>
      <c r="G6006" s="1"/>
      <c r="H6006" t="str">
        <f>"3250610130087"</f>
        <v>3250610130087</v>
      </c>
      <c r="J6006" t="s">
        <v>16680</v>
      </c>
    </row>
    <row r="6007" spans="1:10" x14ac:dyDescent="0.25">
      <c r="A6007" t="s">
        <v>8</v>
      </c>
      <c r="B6007" t="s">
        <v>16787</v>
      </c>
      <c r="C6007" t="s">
        <v>16788</v>
      </c>
      <c r="D6007">
        <v>1</v>
      </c>
      <c r="E6007" t="s">
        <v>16632</v>
      </c>
      <c r="F6007" t="s">
        <v>16633</v>
      </c>
      <c r="G6007" s="1"/>
      <c r="H6007" t="str">
        <f>"3250610130094"</f>
        <v>3250610130094</v>
      </c>
      <c r="J6007" t="s">
        <v>16674</v>
      </c>
    </row>
    <row r="6008" spans="1:10" x14ac:dyDescent="0.25">
      <c r="A6008" t="s">
        <v>8</v>
      </c>
      <c r="B6008" t="s">
        <v>16789</v>
      </c>
      <c r="C6008" t="s">
        <v>16790</v>
      </c>
      <c r="D6008">
        <v>1</v>
      </c>
      <c r="E6008" t="s">
        <v>16632</v>
      </c>
      <c r="F6008" t="s">
        <v>16633</v>
      </c>
      <c r="G6008" s="1"/>
      <c r="H6008" t="str">
        <f>"3250610130100"</f>
        <v>3250610130100</v>
      </c>
      <c r="J6008" t="s">
        <v>16677</v>
      </c>
    </row>
    <row r="6009" spans="1:10" x14ac:dyDescent="0.25">
      <c r="A6009" t="s">
        <v>8</v>
      </c>
      <c r="B6009" t="s">
        <v>16791</v>
      </c>
      <c r="C6009" t="s">
        <v>16792</v>
      </c>
      <c r="D6009">
        <v>1</v>
      </c>
      <c r="E6009" t="s">
        <v>16632</v>
      </c>
      <c r="F6009" t="s">
        <v>16633</v>
      </c>
      <c r="G6009" s="1"/>
      <c r="H6009" t="str">
        <f>"3250610130155"</f>
        <v>3250610130155</v>
      </c>
      <c r="J6009" t="s">
        <v>16661</v>
      </c>
    </row>
    <row r="6010" spans="1:10" x14ac:dyDescent="0.25">
      <c r="A6010" t="s">
        <v>8</v>
      </c>
      <c r="B6010" t="s">
        <v>16793</v>
      </c>
      <c r="C6010" t="s">
        <v>16794</v>
      </c>
      <c r="D6010">
        <v>1</v>
      </c>
      <c r="E6010" t="s">
        <v>16632</v>
      </c>
      <c r="F6010" t="s">
        <v>16633</v>
      </c>
      <c r="G6010" s="1"/>
      <c r="H6010" t="str">
        <f>"3250610130162"</f>
        <v>3250610130162</v>
      </c>
      <c r="J6010" t="s">
        <v>16674</v>
      </c>
    </row>
    <row r="6011" spans="1:10" x14ac:dyDescent="0.25">
      <c r="A6011" t="s">
        <v>8</v>
      </c>
      <c r="B6011" t="s">
        <v>16795</v>
      </c>
      <c r="C6011" t="s">
        <v>16796</v>
      </c>
      <c r="D6011">
        <v>1</v>
      </c>
      <c r="E6011" t="s">
        <v>16632</v>
      </c>
      <c r="F6011" t="s">
        <v>16633</v>
      </c>
      <c r="G6011" s="1"/>
      <c r="H6011" t="str">
        <f>"3250610130179"</f>
        <v>3250610130179</v>
      </c>
      <c r="J6011" t="s">
        <v>16677</v>
      </c>
    </row>
    <row r="6012" spans="1:10" x14ac:dyDescent="0.25">
      <c r="A6012" t="s">
        <v>8</v>
      </c>
      <c r="B6012" t="s">
        <v>16797</v>
      </c>
      <c r="C6012" t="s">
        <v>16798</v>
      </c>
      <c r="D6012">
        <v>1</v>
      </c>
      <c r="E6012" t="s">
        <v>16632</v>
      </c>
      <c r="F6012" t="s">
        <v>16633</v>
      </c>
      <c r="G6012" s="1"/>
      <c r="H6012" t="str">
        <f>"3250610130186"</f>
        <v>3250610130186</v>
      </c>
      <c r="J6012" t="s">
        <v>16680</v>
      </c>
    </row>
    <row r="6013" spans="1:10" x14ac:dyDescent="0.25">
      <c r="A6013" t="s">
        <v>8</v>
      </c>
      <c r="B6013" t="s">
        <v>16799</v>
      </c>
      <c r="C6013" t="s">
        <v>16800</v>
      </c>
      <c r="D6013">
        <v>1</v>
      </c>
      <c r="E6013" t="s">
        <v>16632</v>
      </c>
      <c r="F6013" t="s">
        <v>16633</v>
      </c>
      <c r="G6013" s="1"/>
      <c r="H6013" t="str">
        <f>"3250610130193"</f>
        <v>3250610130193</v>
      </c>
      <c r="J6013" t="s">
        <v>16674</v>
      </c>
    </row>
    <row r="6014" spans="1:10" x14ac:dyDescent="0.25">
      <c r="A6014" t="s">
        <v>8</v>
      </c>
      <c r="B6014" t="s">
        <v>16801</v>
      </c>
      <c r="C6014" t="s">
        <v>16802</v>
      </c>
      <c r="D6014">
        <v>1</v>
      </c>
      <c r="E6014" t="s">
        <v>16632</v>
      </c>
      <c r="F6014" t="s">
        <v>16633</v>
      </c>
      <c r="G6014" s="1"/>
      <c r="H6014" t="str">
        <f>"3250610130209"</f>
        <v>3250610130209</v>
      </c>
      <c r="J6014" t="s">
        <v>16677</v>
      </c>
    </row>
    <row r="6015" spans="1:10" x14ac:dyDescent="0.25">
      <c r="A6015" t="s">
        <v>8</v>
      </c>
      <c r="B6015" t="s">
        <v>16803</v>
      </c>
      <c r="C6015" t="s">
        <v>16804</v>
      </c>
      <c r="D6015">
        <v>1</v>
      </c>
      <c r="E6015" t="s">
        <v>16632</v>
      </c>
      <c r="F6015" t="s">
        <v>16633</v>
      </c>
      <c r="G6015" s="1"/>
      <c r="H6015" t="str">
        <f>"3250610130254"</f>
        <v>3250610130254</v>
      </c>
      <c r="J6015" t="s">
        <v>16661</v>
      </c>
    </row>
    <row r="6016" spans="1:10" x14ac:dyDescent="0.25">
      <c r="A6016" t="s">
        <v>8</v>
      </c>
      <c r="B6016" t="s">
        <v>16805</v>
      </c>
      <c r="C6016" t="s">
        <v>16806</v>
      </c>
      <c r="D6016">
        <v>1</v>
      </c>
      <c r="E6016" t="s">
        <v>16632</v>
      </c>
      <c r="F6016" t="s">
        <v>16633</v>
      </c>
      <c r="G6016" s="1"/>
      <c r="H6016" t="str">
        <f>"3250610130261"</f>
        <v>3250610130261</v>
      </c>
      <c r="J6016" t="s">
        <v>16674</v>
      </c>
    </row>
    <row r="6017" spans="1:10" x14ac:dyDescent="0.25">
      <c r="A6017" t="s">
        <v>8</v>
      </c>
      <c r="B6017" t="s">
        <v>16807</v>
      </c>
      <c r="C6017" t="s">
        <v>16808</v>
      </c>
      <c r="D6017">
        <v>1</v>
      </c>
      <c r="E6017" t="s">
        <v>16632</v>
      </c>
      <c r="F6017" t="s">
        <v>16633</v>
      </c>
      <c r="G6017" s="1"/>
      <c r="H6017" t="str">
        <f>"3250610130278"</f>
        <v>3250610130278</v>
      </c>
      <c r="J6017" t="s">
        <v>16677</v>
      </c>
    </row>
    <row r="6018" spans="1:10" x14ac:dyDescent="0.25">
      <c r="A6018" t="s">
        <v>8</v>
      </c>
      <c r="B6018" t="s">
        <v>16809</v>
      </c>
      <c r="C6018" t="s">
        <v>16810</v>
      </c>
      <c r="D6018">
        <v>1</v>
      </c>
      <c r="E6018" t="s">
        <v>16632</v>
      </c>
      <c r="F6018" t="s">
        <v>16633</v>
      </c>
      <c r="G6018" s="1"/>
      <c r="H6018" t="str">
        <f>"3250610130285"</f>
        <v>3250610130285</v>
      </c>
      <c r="J6018" t="s">
        <v>16680</v>
      </c>
    </row>
    <row r="6019" spans="1:10" x14ac:dyDescent="0.25">
      <c r="A6019" t="s">
        <v>8</v>
      </c>
      <c r="B6019" t="s">
        <v>16811</v>
      </c>
      <c r="C6019" t="s">
        <v>16812</v>
      </c>
      <c r="D6019">
        <v>1</v>
      </c>
      <c r="E6019" t="s">
        <v>16632</v>
      </c>
      <c r="F6019" t="s">
        <v>16633</v>
      </c>
      <c r="G6019" s="1"/>
      <c r="H6019" t="str">
        <f>"3250610130292"</f>
        <v>3250610130292</v>
      </c>
      <c r="J6019" t="s">
        <v>16674</v>
      </c>
    </row>
    <row r="6020" spans="1:10" x14ac:dyDescent="0.25">
      <c r="A6020" t="s">
        <v>8</v>
      </c>
      <c r="B6020" t="s">
        <v>16813</v>
      </c>
      <c r="C6020" t="s">
        <v>16814</v>
      </c>
      <c r="D6020">
        <v>1</v>
      </c>
      <c r="E6020" t="s">
        <v>16632</v>
      </c>
      <c r="F6020" t="s">
        <v>16633</v>
      </c>
      <c r="G6020" s="1"/>
      <c r="H6020" t="str">
        <f>"3250610130308"</f>
        <v>3250610130308</v>
      </c>
      <c r="J6020" t="s">
        <v>16677</v>
      </c>
    </row>
    <row r="6021" spans="1:10" x14ac:dyDescent="0.25">
      <c r="A6021" t="s">
        <v>8</v>
      </c>
      <c r="B6021" t="s">
        <v>16815</v>
      </c>
      <c r="C6021" t="s">
        <v>16816</v>
      </c>
      <c r="D6021">
        <v>1</v>
      </c>
      <c r="E6021" t="s">
        <v>16632</v>
      </c>
      <c r="F6021" t="s">
        <v>16633</v>
      </c>
      <c r="G6021" s="1"/>
      <c r="H6021" t="str">
        <f>"3250610134351"</f>
        <v>3250610134351</v>
      </c>
      <c r="J6021" t="s">
        <v>16661</v>
      </c>
    </row>
    <row r="6022" spans="1:10" x14ac:dyDescent="0.25">
      <c r="A6022" t="s">
        <v>8</v>
      </c>
      <c r="B6022" t="s">
        <v>16817</v>
      </c>
      <c r="C6022" t="s">
        <v>16818</v>
      </c>
      <c r="D6022">
        <v>1</v>
      </c>
      <c r="E6022" t="s">
        <v>16632</v>
      </c>
      <c r="F6022" t="s">
        <v>16633</v>
      </c>
      <c r="G6022" s="1"/>
      <c r="H6022" t="str">
        <f>"3250610134368"</f>
        <v>3250610134368</v>
      </c>
      <c r="J6022" t="s">
        <v>16674</v>
      </c>
    </row>
    <row r="6023" spans="1:10" x14ac:dyDescent="0.25">
      <c r="A6023" t="s">
        <v>8</v>
      </c>
      <c r="B6023" t="s">
        <v>16819</v>
      </c>
      <c r="C6023" t="s">
        <v>16820</v>
      </c>
      <c r="D6023">
        <v>1</v>
      </c>
      <c r="E6023" t="s">
        <v>16632</v>
      </c>
      <c r="F6023" t="s">
        <v>16633</v>
      </c>
      <c r="G6023" s="1"/>
      <c r="H6023" t="str">
        <f>"3250610134375"</f>
        <v>3250610134375</v>
      </c>
      <c r="J6023" t="s">
        <v>16677</v>
      </c>
    </row>
    <row r="6024" spans="1:10" x14ac:dyDescent="0.25">
      <c r="A6024" t="s">
        <v>8</v>
      </c>
      <c r="B6024" t="s">
        <v>16821</v>
      </c>
      <c r="C6024" t="s">
        <v>16822</v>
      </c>
      <c r="D6024">
        <v>1</v>
      </c>
      <c r="E6024" t="s">
        <v>16632</v>
      </c>
      <c r="F6024" t="s">
        <v>16633</v>
      </c>
      <c r="G6024" s="1"/>
      <c r="H6024" t="str">
        <f>"3250610134382"</f>
        <v>3250610134382</v>
      </c>
      <c r="J6024" t="s">
        <v>16680</v>
      </c>
    </row>
    <row r="6025" spans="1:10" x14ac:dyDescent="0.25">
      <c r="A6025" t="s">
        <v>8</v>
      </c>
      <c r="B6025" t="s">
        <v>16823</v>
      </c>
      <c r="C6025" t="s">
        <v>16824</v>
      </c>
      <c r="D6025">
        <v>1</v>
      </c>
      <c r="E6025" t="s">
        <v>16632</v>
      </c>
      <c r="F6025" t="s">
        <v>16633</v>
      </c>
      <c r="G6025" s="1"/>
      <c r="H6025" t="str">
        <f>"3250610134399"</f>
        <v>3250610134399</v>
      </c>
      <c r="J6025" t="s">
        <v>16674</v>
      </c>
    </row>
    <row r="6026" spans="1:10" x14ac:dyDescent="0.25">
      <c r="A6026" t="s">
        <v>8</v>
      </c>
      <c r="B6026" t="s">
        <v>16825</v>
      </c>
      <c r="C6026" t="s">
        <v>16826</v>
      </c>
      <c r="D6026">
        <v>1</v>
      </c>
      <c r="E6026" t="s">
        <v>16632</v>
      </c>
      <c r="F6026" t="s">
        <v>16633</v>
      </c>
      <c r="G6026" s="1"/>
      <c r="H6026" t="str">
        <f>"3250610134405"</f>
        <v>3250610134405</v>
      </c>
      <c r="J6026" t="s">
        <v>16677</v>
      </c>
    </row>
    <row r="6027" spans="1:10" x14ac:dyDescent="0.25">
      <c r="A6027" t="s">
        <v>8</v>
      </c>
      <c r="B6027" t="s">
        <v>16827</v>
      </c>
      <c r="C6027" t="s">
        <v>16828</v>
      </c>
      <c r="D6027">
        <v>1</v>
      </c>
      <c r="E6027" t="s">
        <v>16829</v>
      </c>
      <c r="F6027" t="s">
        <v>16830</v>
      </c>
      <c r="G6027" s="1"/>
      <c r="H6027" t="str">
        <f>"3250617197045"</f>
        <v>3250617197045</v>
      </c>
      <c r="J6027" t="s">
        <v>16831</v>
      </c>
    </row>
    <row r="6028" spans="1:10" x14ac:dyDescent="0.25">
      <c r="A6028" t="s">
        <v>8</v>
      </c>
      <c r="B6028" t="s">
        <v>16832</v>
      </c>
      <c r="C6028" t="s">
        <v>16833</v>
      </c>
      <c r="D6028">
        <v>1</v>
      </c>
      <c r="E6028" t="s">
        <v>16829</v>
      </c>
      <c r="F6028" t="s">
        <v>16830</v>
      </c>
      <c r="G6028" s="1"/>
      <c r="H6028" t="str">
        <f>"3250617197052"</f>
        <v>3250617197052</v>
      </c>
      <c r="J6028" t="s">
        <v>16834</v>
      </c>
    </row>
    <row r="6029" spans="1:10" x14ac:dyDescent="0.25">
      <c r="A6029" t="s">
        <v>8</v>
      </c>
      <c r="B6029" t="s">
        <v>16835</v>
      </c>
      <c r="C6029" t="s">
        <v>16836</v>
      </c>
      <c r="D6029">
        <v>1</v>
      </c>
      <c r="E6029" t="s">
        <v>16829</v>
      </c>
      <c r="F6029" t="s">
        <v>16830</v>
      </c>
      <c r="G6029" s="1"/>
      <c r="H6029" t="str">
        <f>"3250617197069"</f>
        <v>3250617197069</v>
      </c>
      <c r="J6029" t="s">
        <v>16837</v>
      </c>
    </row>
    <row r="6030" spans="1:10" x14ac:dyDescent="0.25">
      <c r="A6030" t="s">
        <v>8</v>
      </c>
      <c r="B6030" t="s">
        <v>16838</v>
      </c>
      <c r="C6030" t="s">
        <v>16839</v>
      </c>
      <c r="D6030">
        <v>1</v>
      </c>
      <c r="E6030" t="s">
        <v>16829</v>
      </c>
      <c r="F6030" t="s">
        <v>16830</v>
      </c>
      <c r="G6030" s="1"/>
      <c r="H6030" t="str">
        <f>"3250617197083"</f>
        <v>3250617197083</v>
      </c>
      <c r="J6030" t="s">
        <v>16840</v>
      </c>
    </row>
    <row r="6031" spans="1:10" x14ac:dyDescent="0.25">
      <c r="A6031" t="s">
        <v>8</v>
      </c>
      <c r="B6031" t="s">
        <v>16841</v>
      </c>
      <c r="C6031" t="s">
        <v>16842</v>
      </c>
      <c r="D6031">
        <v>1</v>
      </c>
      <c r="E6031" t="s">
        <v>16829</v>
      </c>
      <c r="F6031" t="s">
        <v>16830</v>
      </c>
      <c r="G6031" s="1"/>
      <c r="H6031" t="str">
        <f>"3250617197090"</f>
        <v>3250617197090</v>
      </c>
      <c r="J6031" t="s">
        <v>16843</v>
      </c>
    </row>
    <row r="6032" spans="1:10" x14ac:dyDescent="0.25">
      <c r="A6032" t="s">
        <v>8</v>
      </c>
      <c r="B6032" t="s">
        <v>16844</v>
      </c>
      <c r="C6032" t="s">
        <v>16845</v>
      </c>
      <c r="D6032">
        <v>1</v>
      </c>
      <c r="E6032" t="s">
        <v>16829</v>
      </c>
      <c r="F6032" t="s">
        <v>16830</v>
      </c>
      <c r="G6032" s="1"/>
      <c r="H6032" t="str">
        <f>"3250617197106"</f>
        <v>3250617197106</v>
      </c>
      <c r="J6032" t="s">
        <v>16846</v>
      </c>
    </row>
    <row r="6033" spans="1:10" x14ac:dyDescent="0.25">
      <c r="A6033" t="s">
        <v>8</v>
      </c>
      <c r="B6033" t="s">
        <v>16847</v>
      </c>
      <c r="C6033" t="s">
        <v>16848</v>
      </c>
      <c r="D6033">
        <v>1</v>
      </c>
      <c r="E6033" t="s">
        <v>16829</v>
      </c>
      <c r="F6033" t="s">
        <v>16830</v>
      </c>
      <c r="G6033" s="1"/>
      <c r="H6033" t="str">
        <f>"3250617197113"</f>
        <v>3250617197113</v>
      </c>
      <c r="J6033" t="s">
        <v>16849</v>
      </c>
    </row>
    <row r="6034" spans="1:10" x14ac:dyDescent="0.25">
      <c r="A6034" t="s">
        <v>8</v>
      </c>
      <c r="B6034" t="s">
        <v>16850</v>
      </c>
      <c r="C6034" t="s">
        <v>16851</v>
      </c>
      <c r="D6034">
        <v>1</v>
      </c>
      <c r="E6034" t="s">
        <v>16829</v>
      </c>
      <c r="F6034" t="s">
        <v>16830</v>
      </c>
      <c r="G6034" s="1"/>
      <c r="H6034" t="str">
        <f>"3250617197120"</f>
        <v>3250617197120</v>
      </c>
      <c r="J6034" t="s">
        <v>16852</v>
      </c>
    </row>
    <row r="6035" spans="1:10" x14ac:dyDescent="0.25">
      <c r="A6035" t="s">
        <v>8</v>
      </c>
      <c r="B6035" t="s">
        <v>16853</v>
      </c>
      <c r="C6035" t="s">
        <v>16854</v>
      </c>
      <c r="D6035">
        <v>1</v>
      </c>
      <c r="E6035" t="s">
        <v>16829</v>
      </c>
      <c r="F6035" t="s">
        <v>16830</v>
      </c>
      <c r="G6035" s="1"/>
      <c r="H6035" t="str">
        <f>"3250617197144"</f>
        <v>3250617197144</v>
      </c>
      <c r="J6035" t="s">
        <v>16843</v>
      </c>
    </row>
    <row r="6036" spans="1:10" x14ac:dyDescent="0.25">
      <c r="A6036" t="s">
        <v>8</v>
      </c>
      <c r="B6036" t="s">
        <v>16855</v>
      </c>
      <c r="C6036" t="s">
        <v>16856</v>
      </c>
      <c r="D6036">
        <v>1</v>
      </c>
      <c r="E6036" t="s">
        <v>16829</v>
      </c>
      <c r="F6036" t="s">
        <v>16830</v>
      </c>
      <c r="G6036" s="1"/>
      <c r="H6036" t="str">
        <f>"3250617197151"</f>
        <v>3250617197151</v>
      </c>
      <c r="J6036" t="s">
        <v>16846</v>
      </c>
    </row>
    <row r="6037" spans="1:10" x14ac:dyDescent="0.25">
      <c r="A6037" t="s">
        <v>8</v>
      </c>
      <c r="B6037" t="s">
        <v>16857</v>
      </c>
      <c r="C6037" t="s">
        <v>16858</v>
      </c>
      <c r="D6037">
        <v>1</v>
      </c>
      <c r="E6037" t="s">
        <v>16829</v>
      </c>
      <c r="F6037" t="s">
        <v>16830</v>
      </c>
      <c r="G6037" s="1"/>
      <c r="H6037" t="str">
        <f>"3250617197168"</f>
        <v>3250617197168</v>
      </c>
      <c r="J6037" t="s">
        <v>16859</v>
      </c>
    </row>
    <row r="6038" spans="1:10" x14ac:dyDescent="0.25">
      <c r="A6038" t="s">
        <v>8</v>
      </c>
      <c r="B6038" t="s">
        <v>16860</v>
      </c>
      <c r="C6038" t="s">
        <v>16861</v>
      </c>
      <c r="D6038">
        <v>1</v>
      </c>
      <c r="E6038" t="s">
        <v>16829</v>
      </c>
      <c r="F6038" t="s">
        <v>16830</v>
      </c>
      <c r="G6038" s="1"/>
      <c r="H6038" t="str">
        <f>"3250617197175"</f>
        <v>3250617197175</v>
      </c>
      <c r="J6038" t="s">
        <v>16862</v>
      </c>
    </row>
    <row r="6039" spans="1:10" x14ac:dyDescent="0.25">
      <c r="A6039" t="s">
        <v>8</v>
      </c>
      <c r="B6039" t="s">
        <v>16863</v>
      </c>
      <c r="C6039" t="s">
        <v>16864</v>
      </c>
      <c r="D6039">
        <v>1</v>
      </c>
      <c r="E6039" t="s">
        <v>16829</v>
      </c>
      <c r="F6039" t="s">
        <v>16830</v>
      </c>
      <c r="G6039" s="1"/>
      <c r="H6039" t="str">
        <f>"3250617197182"</f>
        <v>3250617197182</v>
      </c>
      <c r="J6039" t="s">
        <v>16865</v>
      </c>
    </row>
    <row r="6040" spans="1:10" x14ac:dyDescent="0.25">
      <c r="A6040" t="s">
        <v>8</v>
      </c>
      <c r="B6040" t="s">
        <v>16866</v>
      </c>
      <c r="C6040" t="s">
        <v>16867</v>
      </c>
      <c r="D6040">
        <v>1</v>
      </c>
      <c r="E6040" t="s">
        <v>16829</v>
      </c>
      <c r="F6040" t="s">
        <v>16830</v>
      </c>
      <c r="G6040" s="1"/>
      <c r="H6040" t="str">
        <f>"3250617197205"</f>
        <v>3250617197205</v>
      </c>
      <c r="J6040" t="s">
        <v>16868</v>
      </c>
    </row>
    <row r="6041" spans="1:10" x14ac:dyDescent="0.25">
      <c r="A6041" t="s">
        <v>8</v>
      </c>
      <c r="B6041" t="s">
        <v>16869</v>
      </c>
      <c r="C6041" t="s">
        <v>16870</v>
      </c>
      <c r="D6041">
        <v>1</v>
      </c>
      <c r="E6041" t="s">
        <v>16829</v>
      </c>
      <c r="F6041" t="s">
        <v>16830</v>
      </c>
      <c r="G6041" s="1"/>
      <c r="H6041" t="str">
        <f>"3250617197212"</f>
        <v>3250617197212</v>
      </c>
      <c r="J6041" t="s">
        <v>16871</v>
      </c>
    </row>
    <row r="6042" spans="1:10" x14ac:dyDescent="0.25">
      <c r="A6042" t="s">
        <v>8</v>
      </c>
      <c r="B6042" t="s">
        <v>16872</v>
      </c>
      <c r="C6042" t="s">
        <v>16873</v>
      </c>
      <c r="D6042">
        <v>1</v>
      </c>
      <c r="E6042" t="s">
        <v>16829</v>
      </c>
      <c r="F6042" t="s">
        <v>16830</v>
      </c>
      <c r="G6042" s="1"/>
      <c r="H6042" t="str">
        <f>"3250617197229"</f>
        <v>3250617197229</v>
      </c>
      <c r="J6042" t="s">
        <v>16874</v>
      </c>
    </row>
    <row r="6043" spans="1:10" x14ac:dyDescent="0.25">
      <c r="A6043" t="s">
        <v>8</v>
      </c>
      <c r="B6043" t="s">
        <v>16875</v>
      </c>
      <c r="C6043" t="s">
        <v>16876</v>
      </c>
      <c r="D6043">
        <v>1</v>
      </c>
      <c r="E6043" t="s">
        <v>16829</v>
      </c>
      <c r="F6043" t="s">
        <v>16830</v>
      </c>
      <c r="G6043" s="1"/>
      <c r="H6043" t="str">
        <f>"3250617197236"</f>
        <v>3250617197236</v>
      </c>
      <c r="J6043" t="s">
        <v>16877</v>
      </c>
    </row>
    <row r="6044" spans="1:10" x14ac:dyDescent="0.25">
      <c r="A6044" t="s">
        <v>8</v>
      </c>
      <c r="B6044" t="s">
        <v>16878</v>
      </c>
      <c r="C6044" t="s">
        <v>16879</v>
      </c>
      <c r="D6044">
        <v>1</v>
      </c>
      <c r="E6044" t="s">
        <v>16829</v>
      </c>
      <c r="F6044" t="s">
        <v>16830</v>
      </c>
      <c r="G6044" s="1"/>
      <c r="H6044" t="str">
        <f>"3250617197243"</f>
        <v>3250617197243</v>
      </c>
      <c r="J6044" t="s">
        <v>16880</v>
      </c>
    </row>
    <row r="6045" spans="1:10" x14ac:dyDescent="0.25">
      <c r="A6045" t="s">
        <v>8</v>
      </c>
      <c r="B6045" t="s">
        <v>16881</v>
      </c>
      <c r="C6045" t="s">
        <v>16882</v>
      </c>
      <c r="D6045">
        <v>1</v>
      </c>
      <c r="E6045" t="s">
        <v>16829</v>
      </c>
      <c r="F6045" t="s">
        <v>16830</v>
      </c>
      <c r="G6045" s="1"/>
      <c r="H6045" t="str">
        <f>"3250617197267"</f>
        <v>3250617197267</v>
      </c>
      <c r="J6045" t="s">
        <v>16871</v>
      </c>
    </row>
    <row r="6046" spans="1:10" x14ac:dyDescent="0.25">
      <c r="A6046" t="s">
        <v>8</v>
      </c>
      <c r="B6046" t="s">
        <v>16883</v>
      </c>
      <c r="C6046" t="s">
        <v>16884</v>
      </c>
      <c r="D6046">
        <v>1</v>
      </c>
      <c r="E6046" t="s">
        <v>16829</v>
      </c>
      <c r="F6046" t="s">
        <v>16830</v>
      </c>
      <c r="G6046" s="1"/>
      <c r="H6046" t="str">
        <f>"3250617197274"</f>
        <v>3250617197274</v>
      </c>
      <c r="J6046" t="s">
        <v>16874</v>
      </c>
    </row>
    <row r="6047" spans="1:10" x14ac:dyDescent="0.25">
      <c r="A6047" t="s">
        <v>8</v>
      </c>
      <c r="B6047" t="s">
        <v>16885</v>
      </c>
      <c r="C6047" t="s">
        <v>16886</v>
      </c>
      <c r="D6047">
        <v>1</v>
      </c>
      <c r="E6047" t="s">
        <v>16829</v>
      </c>
      <c r="F6047" t="s">
        <v>16830</v>
      </c>
      <c r="G6047" s="1"/>
      <c r="H6047" t="str">
        <f>"3250617197281"</f>
        <v>3250617197281</v>
      </c>
      <c r="J6047" t="s">
        <v>16859</v>
      </c>
    </row>
    <row r="6048" spans="1:10" x14ac:dyDescent="0.25">
      <c r="A6048" t="s">
        <v>8</v>
      </c>
      <c r="B6048" t="s">
        <v>16887</v>
      </c>
      <c r="C6048" t="s">
        <v>16888</v>
      </c>
      <c r="D6048">
        <v>1</v>
      </c>
      <c r="E6048" t="s">
        <v>16829</v>
      </c>
      <c r="F6048" t="s">
        <v>16830</v>
      </c>
      <c r="G6048" s="1"/>
      <c r="H6048" t="str">
        <f>"3250617197298"</f>
        <v>3250617197298</v>
      </c>
      <c r="J6048" t="s">
        <v>16862</v>
      </c>
    </row>
    <row r="6049" spans="1:10" x14ac:dyDescent="0.25">
      <c r="A6049" t="s">
        <v>8</v>
      </c>
      <c r="B6049" t="s">
        <v>16889</v>
      </c>
      <c r="C6049" t="s">
        <v>16890</v>
      </c>
      <c r="D6049">
        <v>1</v>
      </c>
      <c r="E6049" t="s">
        <v>16829</v>
      </c>
      <c r="F6049" t="s">
        <v>16830</v>
      </c>
      <c r="G6049" s="1"/>
      <c r="H6049" t="str">
        <f>"3250617197304"</f>
        <v>3250617197304</v>
      </c>
      <c r="J6049" t="s">
        <v>16865</v>
      </c>
    </row>
    <row r="6050" spans="1:10" x14ac:dyDescent="0.25">
      <c r="A6050" t="s">
        <v>8</v>
      </c>
      <c r="B6050" t="s">
        <v>16891</v>
      </c>
      <c r="C6050" t="s">
        <v>16892</v>
      </c>
      <c r="D6050">
        <v>1</v>
      </c>
      <c r="E6050" t="s">
        <v>16829</v>
      </c>
      <c r="F6050" t="s">
        <v>16830</v>
      </c>
      <c r="G6050" s="1"/>
      <c r="H6050" t="str">
        <f>"3250617197328"</f>
        <v>3250617197328</v>
      </c>
      <c r="J6050" t="s">
        <v>16868</v>
      </c>
    </row>
    <row r="6051" spans="1:10" x14ac:dyDescent="0.25">
      <c r="A6051" t="s">
        <v>8</v>
      </c>
      <c r="B6051" t="s">
        <v>16893</v>
      </c>
      <c r="C6051" t="s">
        <v>16894</v>
      </c>
      <c r="D6051">
        <v>1</v>
      </c>
      <c r="E6051" t="s">
        <v>16829</v>
      </c>
      <c r="F6051" t="s">
        <v>16830</v>
      </c>
      <c r="G6051" s="1"/>
      <c r="H6051" t="str">
        <f>"3250617197335"</f>
        <v>3250617197335</v>
      </c>
      <c r="J6051" t="s">
        <v>16871</v>
      </c>
    </row>
    <row r="6052" spans="1:10" x14ac:dyDescent="0.25">
      <c r="A6052" t="s">
        <v>8</v>
      </c>
      <c r="B6052" t="s">
        <v>16895</v>
      </c>
      <c r="C6052" t="s">
        <v>16896</v>
      </c>
      <c r="D6052">
        <v>1</v>
      </c>
      <c r="E6052" t="s">
        <v>16829</v>
      </c>
      <c r="F6052" t="s">
        <v>16830</v>
      </c>
      <c r="G6052" s="1"/>
      <c r="H6052" t="str">
        <f>"3250617197342"</f>
        <v>3250617197342</v>
      </c>
      <c r="J6052" t="s">
        <v>16874</v>
      </c>
    </row>
    <row r="6053" spans="1:10" x14ac:dyDescent="0.25">
      <c r="A6053" t="s">
        <v>8</v>
      </c>
      <c r="B6053" t="s">
        <v>16897</v>
      </c>
      <c r="C6053" t="s">
        <v>16898</v>
      </c>
      <c r="D6053">
        <v>1</v>
      </c>
      <c r="E6053" t="s">
        <v>16829</v>
      </c>
      <c r="F6053" t="s">
        <v>16830</v>
      </c>
      <c r="G6053" s="1"/>
      <c r="H6053" t="str">
        <f>"3250617197359"</f>
        <v>3250617197359</v>
      </c>
      <c r="J6053" t="s">
        <v>16877</v>
      </c>
    </row>
    <row r="6054" spans="1:10" x14ac:dyDescent="0.25">
      <c r="A6054" t="s">
        <v>8</v>
      </c>
      <c r="B6054" t="s">
        <v>16899</v>
      </c>
      <c r="C6054" t="s">
        <v>16900</v>
      </c>
      <c r="D6054">
        <v>1</v>
      </c>
      <c r="E6054" t="s">
        <v>16829</v>
      </c>
      <c r="F6054" t="s">
        <v>16830</v>
      </c>
      <c r="G6054" s="1"/>
      <c r="H6054" t="str">
        <f>"3250617197366"</f>
        <v>3250617197366</v>
      </c>
      <c r="J6054" t="s">
        <v>16880</v>
      </c>
    </row>
    <row r="6055" spans="1:10" x14ac:dyDescent="0.25">
      <c r="A6055" t="s">
        <v>8</v>
      </c>
      <c r="B6055" t="s">
        <v>16901</v>
      </c>
      <c r="C6055" t="s">
        <v>16902</v>
      </c>
      <c r="D6055">
        <v>1</v>
      </c>
      <c r="E6055" t="s">
        <v>16829</v>
      </c>
      <c r="F6055" t="s">
        <v>16830</v>
      </c>
      <c r="G6055" s="1"/>
      <c r="H6055" t="str">
        <f>"3250617197380"</f>
        <v>3250617197380</v>
      </c>
      <c r="J6055" t="s">
        <v>16871</v>
      </c>
    </row>
    <row r="6056" spans="1:10" x14ac:dyDescent="0.25">
      <c r="A6056" t="s">
        <v>8</v>
      </c>
      <c r="B6056" t="s">
        <v>16903</v>
      </c>
      <c r="C6056" t="s">
        <v>16904</v>
      </c>
      <c r="D6056">
        <v>1</v>
      </c>
      <c r="E6056" t="s">
        <v>16829</v>
      </c>
      <c r="F6056" t="s">
        <v>16830</v>
      </c>
      <c r="G6056" s="1"/>
      <c r="H6056" t="str">
        <f>"3250617197397"</f>
        <v>3250617197397</v>
      </c>
      <c r="J6056" t="s">
        <v>16874</v>
      </c>
    </row>
    <row r="6057" spans="1:10" x14ac:dyDescent="0.25">
      <c r="A6057" t="s">
        <v>8</v>
      </c>
      <c r="B6057" t="s">
        <v>16905</v>
      </c>
      <c r="C6057" t="s">
        <v>16906</v>
      </c>
      <c r="D6057">
        <v>1</v>
      </c>
      <c r="E6057" t="s">
        <v>16829</v>
      </c>
      <c r="F6057" t="s">
        <v>16830</v>
      </c>
      <c r="G6057" s="1"/>
      <c r="H6057" t="str">
        <f>"3250617197403"</f>
        <v>3250617197403</v>
      </c>
      <c r="J6057" t="s">
        <v>16907</v>
      </c>
    </row>
    <row r="6058" spans="1:10" x14ac:dyDescent="0.25">
      <c r="A6058" t="s">
        <v>8</v>
      </c>
      <c r="B6058" t="s">
        <v>16908</v>
      </c>
      <c r="C6058" t="s">
        <v>16909</v>
      </c>
      <c r="D6058">
        <v>1</v>
      </c>
      <c r="E6058" t="s">
        <v>16829</v>
      </c>
      <c r="F6058" t="s">
        <v>16830</v>
      </c>
      <c r="G6058" s="1"/>
      <c r="H6058" t="str">
        <f>"3250617197410"</f>
        <v>3250617197410</v>
      </c>
      <c r="J6058" t="s">
        <v>16910</v>
      </c>
    </row>
    <row r="6059" spans="1:10" x14ac:dyDescent="0.25">
      <c r="A6059" t="s">
        <v>8</v>
      </c>
      <c r="B6059" t="s">
        <v>16911</v>
      </c>
      <c r="C6059" t="s">
        <v>16912</v>
      </c>
      <c r="D6059">
        <v>1</v>
      </c>
      <c r="E6059" t="s">
        <v>16829</v>
      </c>
      <c r="F6059" t="s">
        <v>16830</v>
      </c>
      <c r="G6059" s="1"/>
      <c r="H6059" t="str">
        <f>"3250617197427"</f>
        <v>3250617197427</v>
      </c>
      <c r="J6059" t="s">
        <v>16910</v>
      </c>
    </row>
    <row r="6060" spans="1:10" x14ac:dyDescent="0.25">
      <c r="A6060" t="s">
        <v>8</v>
      </c>
      <c r="B6060" t="s">
        <v>16913</v>
      </c>
      <c r="C6060" t="s">
        <v>16914</v>
      </c>
      <c r="D6060">
        <v>1</v>
      </c>
      <c r="E6060" t="s">
        <v>16829</v>
      </c>
      <c r="F6060" t="s">
        <v>16830</v>
      </c>
      <c r="G6060" s="1"/>
      <c r="H6060" t="str">
        <f>"3250617197434"</f>
        <v>3250617197434</v>
      </c>
      <c r="J6060" t="s">
        <v>16915</v>
      </c>
    </row>
    <row r="6061" spans="1:10" x14ac:dyDescent="0.25">
      <c r="A6061" t="s">
        <v>8</v>
      </c>
      <c r="B6061" t="s">
        <v>16916</v>
      </c>
      <c r="C6061" t="s">
        <v>16917</v>
      </c>
      <c r="D6061">
        <v>1</v>
      </c>
      <c r="E6061" t="s">
        <v>16829</v>
      </c>
      <c r="F6061" t="s">
        <v>16830</v>
      </c>
      <c r="G6061" s="1"/>
      <c r="H6061" t="str">
        <f>"3250617197441"</f>
        <v>3250617197441</v>
      </c>
      <c r="J6061" t="s">
        <v>16915</v>
      </c>
    </row>
    <row r="6062" spans="1:10" x14ac:dyDescent="0.25">
      <c r="A6062" t="s">
        <v>8</v>
      </c>
      <c r="B6062" t="s">
        <v>16918</v>
      </c>
      <c r="C6062" t="s">
        <v>16919</v>
      </c>
      <c r="D6062">
        <v>1</v>
      </c>
      <c r="E6062" t="s">
        <v>16829</v>
      </c>
      <c r="F6062" t="s">
        <v>16830</v>
      </c>
      <c r="G6062" s="1"/>
      <c r="H6062" t="str">
        <f>"3250617197458"</f>
        <v>3250617197458</v>
      </c>
      <c r="J6062" t="s">
        <v>16920</v>
      </c>
    </row>
    <row r="6063" spans="1:10" x14ac:dyDescent="0.25">
      <c r="A6063" t="s">
        <v>8</v>
      </c>
      <c r="B6063" t="s">
        <v>16921</v>
      </c>
      <c r="C6063" t="s">
        <v>16922</v>
      </c>
      <c r="D6063">
        <v>1</v>
      </c>
      <c r="E6063" t="s">
        <v>16829</v>
      </c>
      <c r="F6063" t="s">
        <v>16830</v>
      </c>
      <c r="G6063" s="1"/>
      <c r="H6063" t="str">
        <f>"3250617197465"</f>
        <v>3250617197465</v>
      </c>
      <c r="J6063" t="s">
        <v>16923</v>
      </c>
    </row>
    <row r="6064" spans="1:10" x14ac:dyDescent="0.25">
      <c r="A6064" t="s">
        <v>8</v>
      </c>
      <c r="B6064" t="s">
        <v>16924</v>
      </c>
      <c r="C6064" t="s">
        <v>16925</v>
      </c>
      <c r="D6064">
        <v>1</v>
      </c>
      <c r="E6064" t="s">
        <v>16829</v>
      </c>
      <c r="F6064" t="s">
        <v>16830</v>
      </c>
      <c r="G6064" s="1"/>
      <c r="H6064" t="str">
        <f>"3250617197472"</f>
        <v>3250617197472</v>
      </c>
      <c r="J6064" t="s">
        <v>16926</v>
      </c>
    </row>
    <row r="6065" spans="1:10" x14ac:dyDescent="0.25">
      <c r="A6065" t="s">
        <v>8</v>
      </c>
      <c r="B6065" t="s">
        <v>16927</v>
      </c>
      <c r="C6065" t="s">
        <v>16928</v>
      </c>
      <c r="D6065">
        <v>1</v>
      </c>
      <c r="E6065" t="s">
        <v>16829</v>
      </c>
      <c r="F6065" t="s">
        <v>16830</v>
      </c>
      <c r="G6065" s="1"/>
      <c r="H6065" t="str">
        <f>"3250617197489"</f>
        <v>3250617197489</v>
      </c>
      <c r="J6065" t="s">
        <v>16929</v>
      </c>
    </row>
    <row r="6066" spans="1:10" x14ac:dyDescent="0.25">
      <c r="A6066" t="s">
        <v>8</v>
      </c>
      <c r="B6066" t="s">
        <v>16930</v>
      </c>
      <c r="C6066" t="s">
        <v>16931</v>
      </c>
      <c r="D6066">
        <v>1</v>
      </c>
      <c r="E6066" t="s">
        <v>16829</v>
      </c>
      <c r="F6066" t="s">
        <v>16830</v>
      </c>
      <c r="G6066" s="1"/>
      <c r="H6066" t="str">
        <f>"3250617197502"</f>
        <v>3250617197502</v>
      </c>
      <c r="J6066" t="s">
        <v>16920</v>
      </c>
    </row>
    <row r="6067" spans="1:10" x14ac:dyDescent="0.25">
      <c r="A6067" t="s">
        <v>8</v>
      </c>
      <c r="B6067" t="s">
        <v>16932</v>
      </c>
      <c r="C6067" t="s">
        <v>16933</v>
      </c>
      <c r="D6067">
        <v>1</v>
      </c>
      <c r="E6067" t="s">
        <v>16829</v>
      </c>
      <c r="F6067" t="s">
        <v>16830</v>
      </c>
      <c r="G6067" s="1"/>
      <c r="H6067" t="str">
        <f>"3250617197519"</f>
        <v>3250617197519</v>
      </c>
      <c r="J6067" t="s">
        <v>16923</v>
      </c>
    </row>
    <row r="6068" spans="1:10" x14ac:dyDescent="0.25">
      <c r="A6068" t="s">
        <v>8</v>
      </c>
      <c r="B6068" t="s">
        <v>16934</v>
      </c>
      <c r="C6068" t="s">
        <v>16935</v>
      </c>
      <c r="D6068">
        <v>1</v>
      </c>
      <c r="E6068" t="s">
        <v>16829</v>
      </c>
      <c r="F6068" t="s">
        <v>16830</v>
      </c>
      <c r="G6068" s="1"/>
      <c r="H6068" t="str">
        <f>"3250617197526"</f>
        <v>3250617197526</v>
      </c>
      <c r="J6068" t="s">
        <v>16936</v>
      </c>
    </row>
    <row r="6069" spans="1:10" x14ac:dyDescent="0.25">
      <c r="A6069" t="s">
        <v>8</v>
      </c>
      <c r="B6069" t="s">
        <v>16937</v>
      </c>
      <c r="C6069" t="s">
        <v>16938</v>
      </c>
      <c r="D6069">
        <v>1</v>
      </c>
      <c r="E6069" t="s">
        <v>16829</v>
      </c>
      <c r="F6069" t="s">
        <v>16830</v>
      </c>
      <c r="G6069" s="1"/>
      <c r="H6069" t="str">
        <f>"3250617197533"</f>
        <v>3250617197533</v>
      </c>
      <c r="J6069" t="s">
        <v>16939</v>
      </c>
    </row>
    <row r="6070" spans="1:10" x14ac:dyDescent="0.25">
      <c r="A6070" t="s">
        <v>8</v>
      </c>
      <c r="B6070" t="s">
        <v>16940</v>
      </c>
      <c r="C6070" t="s">
        <v>16941</v>
      </c>
      <c r="D6070">
        <v>1</v>
      </c>
      <c r="E6070" t="s">
        <v>16829</v>
      </c>
      <c r="F6070" t="s">
        <v>16830</v>
      </c>
      <c r="G6070" s="1"/>
      <c r="H6070" t="str">
        <f>"3250617197540"</f>
        <v>3250617197540</v>
      </c>
      <c r="J6070" t="s">
        <v>16942</v>
      </c>
    </row>
    <row r="6071" spans="1:10" x14ac:dyDescent="0.25">
      <c r="A6071" t="s">
        <v>8</v>
      </c>
      <c r="B6071" t="s">
        <v>16943</v>
      </c>
      <c r="C6071" t="s">
        <v>16944</v>
      </c>
      <c r="D6071">
        <v>1</v>
      </c>
      <c r="E6071" t="s">
        <v>16829</v>
      </c>
      <c r="F6071" t="s">
        <v>16830</v>
      </c>
      <c r="G6071" s="1"/>
      <c r="H6071" t="str">
        <f>"3250617196741"</f>
        <v>3250617196741</v>
      </c>
      <c r="J6071" t="s">
        <v>16945</v>
      </c>
    </row>
    <row r="6072" spans="1:10" x14ac:dyDescent="0.25">
      <c r="A6072" t="s">
        <v>8</v>
      </c>
      <c r="B6072" t="s">
        <v>16946</v>
      </c>
      <c r="C6072" t="s">
        <v>16947</v>
      </c>
      <c r="D6072">
        <v>1</v>
      </c>
      <c r="E6072" t="s">
        <v>16829</v>
      </c>
      <c r="F6072" t="s">
        <v>16830</v>
      </c>
      <c r="G6072" s="1"/>
      <c r="H6072" t="str">
        <f>"3250617197571"</f>
        <v>3250617197571</v>
      </c>
      <c r="J6072" t="s">
        <v>16948</v>
      </c>
    </row>
    <row r="6073" spans="1:10" x14ac:dyDescent="0.25">
      <c r="A6073" t="s">
        <v>8</v>
      </c>
      <c r="B6073" t="s">
        <v>16949</v>
      </c>
      <c r="C6073" t="s">
        <v>16950</v>
      </c>
      <c r="D6073">
        <v>1</v>
      </c>
      <c r="E6073" t="s">
        <v>16829</v>
      </c>
      <c r="F6073" t="s">
        <v>16830</v>
      </c>
      <c r="G6073" s="1"/>
      <c r="H6073" t="str">
        <f>"3250617197588"</f>
        <v>3250617197588</v>
      </c>
      <c r="J6073" t="s">
        <v>16951</v>
      </c>
    </row>
    <row r="6074" spans="1:10" x14ac:dyDescent="0.25">
      <c r="A6074" t="s">
        <v>8</v>
      </c>
      <c r="B6074" t="s">
        <v>16952</v>
      </c>
      <c r="C6074" t="s">
        <v>16953</v>
      </c>
      <c r="D6074">
        <v>1</v>
      </c>
      <c r="E6074" t="s">
        <v>16829</v>
      </c>
      <c r="F6074" t="s">
        <v>16830</v>
      </c>
      <c r="G6074" s="1"/>
      <c r="H6074" t="str">
        <f>"3250617197595"</f>
        <v>3250617197595</v>
      </c>
      <c r="J6074" t="s">
        <v>16954</v>
      </c>
    </row>
    <row r="6075" spans="1:10" x14ac:dyDescent="0.25">
      <c r="A6075" t="s">
        <v>8</v>
      </c>
      <c r="B6075" t="s">
        <v>16955</v>
      </c>
      <c r="C6075" t="s">
        <v>16956</v>
      </c>
      <c r="D6075">
        <v>1</v>
      </c>
      <c r="E6075" t="s">
        <v>16829</v>
      </c>
      <c r="F6075" t="s">
        <v>16830</v>
      </c>
      <c r="G6075" s="1"/>
      <c r="H6075" t="str">
        <f>"3250617197601"</f>
        <v>3250617197601</v>
      </c>
      <c r="J6075" t="s">
        <v>16957</v>
      </c>
    </row>
    <row r="6076" spans="1:10" x14ac:dyDescent="0.25">
      <c r="A6076" t="s">
        <v>8</v>
      </c>
      <c r="B6076" t="s">
        <v>16958</v>
      </c>
      <c r="C6076" t="s">
        <v>16959</v>
      </c>
      <c r="D6076">
        <v>1</v>
      </c>
      <c r="E6076" t="s">
        <v>16829</v>
      </c>
      <c r="F6076" t="s">
        <v>16830</v>
      </c>
      <c r="G6076" s="1"/>
      <c r="H6076" t="str">
        <f>"3250617197625"</f>
        <v>3250617197625</v>
      </c>
      <c r="J6076" t="s">
        <v>16948</v>
      </c>
    </row>
    <row r="6077" spans="1:10" x14ac:dyDescent="0.25">
      <c r="A6077" t="s">
        <v>8</v>
      </c>
      <c r="B6077" t="s">
        <v>16960</v>
      </c>
      <c r="C6077" t="s">
        <v>16961</v>
      </c>
      <c r="D6077">
        <v>1</v>
      </c>
      <c r="E6077" t="s">
        <v>16829</v>
      </c>
      <c r="F6077" t="s">
        <v>16830</v>
      </c>
      <c r="G6077" s="1"/>
      <c r="H6077" t="str">
        <f>"3250617197632"</f>
        <v>3250617197632</v>
      </c>
      <c r="J6077" t="s">
        <v>16951</v>
      </c>
    </row>
    <row r="6078" spans="1:10" x14ac:dyDescent="0.25">
      <c r="A6078" t="s">
        <v>8</v>
      </c>
      <c r="B6078" t="s">
        <v>16962</v>
      </c>
      <c r="C6078" t="s">
        <v>16963</v>
      </c>
      <c r="D6078">
        <v>1</v>
      </c>
      <c r="E6078" t="s">
        <v>16829</v>
      </c>
      <c r="F6078" t="s">
        <v>16830</v>
      </c>
      <c r="G6078" s="1"/>
      <c r="H6078" t="str">
        <f>"3250617197649"</f>
        <v>3250617197649</v>
      </c>
      <c r="J6078" t="s">
        <v>16964</v>
      </c>
    </row>
    <row r="6079" spans="1:10" x14ac:dyDescent="0.25">
      <c r="A6079" t="s">
        <v>8</v>
      </c>
      <c r="B6079" t="s">
        <v>16965</v>
      </c>
      <c r="C6079" t="s">
        <v>16966</v>
      </c>
      <c r="D6079">
        <v>1</v>
      </c>
      <c r="E6079" t="s">
        <v>16829</v>
      </c>
      <c r="F6079" t="s">
        <v>16830</v>
      </c>
      <c r="G6079" s="1"/>
      <c r="H6079" t="str">
        <f>"3250617197656"</f>
        <v>3250617197656</v>
      </c>
      <c r="J6079" t="s">
        <v>16967</v>
      </c>
    </row>
    <row r="6080" spans="1:10" x14ac:dyDescent="0.25">
      <c r="A6080" t="s">
        <v>8</v>
      </c>
      <c r="B6080" t="s">
        <v>16968</v>
      </c>
      <c r="C6080" t="s">
        <v>16969</v>
      </c>
      <c r="D6080">
        <v>1</v>
      </c>
      <c r="E6080" t="s">
        <v>16829</v>
      </c>
      <c r="F6080" t="s">
        <v>16830</v>
      </c>
      <c r="G6080" s="1"/>
      <c r="H6080" t="str">
        <f>"3250617197663"</f>
        <v>3250617197663</v>
      </c>
      <c r="J6080" t="s">
        <v>16967</v>
      </c>
    </row>
    <row r="6081" spans="1:10" x14ac:dyDescent="0.25">
      <c r="A6081" t="s">
        <v>8</v>
      </c>
      <c r="B6081" t="s">
        <v>16970</v>
      </c>
      <c r="C6081" t="s">
        <v>16971</v>
      </c>
      <c r="D6081">
        <v>1</v>
      </c>
      <c r="E6081" t="s">
        <v>16829</v>
      </c>
      <c r="F6081" t="s">
        <v>16830</v>
      </c>
      <c r="G6081" s="1"/>
      <c r="H6081" t="str">
        <f>"3250617197687"</f>
        <v>3250617197687</v>
      </c>
      <c r="J6081" t="s">
        <v>16972</v>
      </c>
    </row>
    <row r="6082" spans="1:10" x14ac:dyDescent="0.25">
      <c r="A6082" t="s">
        <v>8</v>
      </c>
      <c r="B6082" t="s">
        <v>16973</v>
      </c>
      <c r="C6082" t="s">
        <v>16974</v>
      </c>
      <c r="D6082">
        <v>1</v>
      </c>
      <c r="E6082" t="s">
        <v>16829</v>
      </c>
      <c r="F6082" t="s">
        <v>16830</v>
      </c>
      <c r="G6082" s="1"/>
      <c r="H6082" t="str">
        <f>"3250617197694"</f>
        <v>3250617197694</v>
      </c>
      <c r="J6082" t="s">
        <v>7858</v>
      </c>
    </row>
    <row r="6083" spans="1:10" x14ac:dyDescent="0.25">
      <c r="A6083" t="s">
        <v>8</v>
      </c>
      <c r="B6083" t="s">
        <v>16975</v>
      </c>
      <c r="C6083" t="s">
        <v>16976</v>
      </c>
      <c r="D6083">
        <v>1</v>
      </c>
      <c r="E6083" t="s">
        <v>16829</v>
      </c>
      <c r="F6083" t="s">
        <v>16830</v>
      </c>
      <c r="G6083" s="1"/>
      <c r="H6083" t="str">
        <f>"3250617197700"</f>
        <v>3250617197700</v>
      </c>
      <c r="J6083" t="s">
        <v>16977</v>
      </c>
    </row>
    <row r="6084" spans="1:10" x14ac:dyDescent="0.25">
      <c r="A6084" t="s">
        <v>8</v>
      </c>
      <c r="B6084" t="s">
        <v>16978</v>
      </c>
      <c r="C6084" t="s">
        <v>16979</v>
      </c>
      <c r="D6084">
        <v>1</v>
      </c>
      <c r="E6084" t="s">
        <v>16829</v>
      </c>
      <c r="F6084" t="s">
        <v>16830</v>
      </c>
      <c r="G6084" s="1"/>
      <c r="H6084" t="str">
        <f>"3250617197717"</f>
        <v>3250617197717</v>
      </c>
      <c r="J6084" t="s">
        <v>16980</v>
      </c>
    </row>
    <row r="6085" spans="1:10" x14ac:dyDescent="0.25">
      <c r="A6085" t="s">
        <v>8</v>
      </c>
      <c r="B6085" t="s">
        <v>16981</v>
      </c>
      <c r="C6085" t="s">
        <v>16982</v>
      </c>
      <c r="D6085">
        <v>1</v>
      </c>
      <c r="E6085" t="s">
        <v>16829</v>
      </c>
      <c r="F6085" t="s">
        <v>16830</v>
      </c>
      <c r="G6085" s="1"/>
      <c r="H6085" t="str">
        <f>"3250617197724"</f>
        <v>3250617197724</v>
      </c>
      <c r="J6085" t="s">
        <v>16983</v>
      </c>
    </row>
    <row r="6086" spans="1:10" x14ac:dyDescent="0.25">
      <c r="A6086" t="s">
        <v>8</v>
      </c>
      <c r="B6086" t="s">
        <v>16984</v>
      </c>
      <c r="C6086" t="s">
        <v>16985</v>
      </c>
      <c r="D6086">
        <v>1</v>
      </c>
      <c r="E6086" t="s">
        <v>16829</v>
      </c>
      <c r="F6086" t="s">
        <v>16830</v>
      </c>
      <c r="G6086" s="1"/>
      <c r="H6086" t="str">
        <f>"3250617197748"</f>
        <v>3250617197748</v>
      </c>
      <c r="J6086" t="s">
        <v>7858</v>
      </c>
    </row>
    <row r="6087" spans="1:10" x14ac:dyDescent="0.25">
      <c r="A6087" t="s">
        <v>8</v>
      </c>
      <c r="B6087" t="s">
        <v>16986</v>
      </c>
      <c r="C6087" t="s">
        <v>16987</v>
      </c>
      <c r="D6087">
        <v>1</v>
      </c>
      <c r="E6087" t="s">
        <v>16829</v>
      </c>
      <c r="F6087" t="s">
        <v>16830</v>
      </c>
      <c r="G6087" s="1"/>
      <c r="H6087" t="str">
        <f>"3250617197755"</f>
        <v>3250617197755</v>
      </c>
      <c r="J6087" t="s">
        <v>16977</v>
      </c>
    </row>
    <row r="6088" spans="1:10" x14ac:dyDescent="0.25">
      <c r="A6088" t="s">
        <v>8</v>
      </c>
      <c r="B6088" t="s">
        <v>16988</v>
      </c>
      <c r="C6088" t="s">
        <v>16989</v>
      </c>
      <c r="D6088">
        <v>1</v>
      </c>
      <c r="E6088" t="s">
        <v>16829</v>
      </c>
      <c r="F6088" t="s">
        <v>16830</v>
      </c>
      <c r="G6088" s="1"/>
      <c r="H6088" t="str">
        <f>"3250617197762"</f>
        <v>3250617197762</v>
      </c>
      <c r="J6088" t="s">
        <v>16907</v>
      </c>
    </row>
    <row r="6089" spans="1:10" x14ac:dyDescent="0.25">
      <c r="A6089" t="s">
        <v>8</v>
      </c>
      <c r="B6089" t="s">
        <v>16990</v>
      </c>
      <c r="C6089" t="s">
        <v>16991</v>
      </c>
      <c r="D6089">
        <v>1</v>
      </c>
      <c r="E6089" t="s">
        <v>16829</v>
      </c>
      <c r="F6089" t="s">
        <v>16830</v>
      </c>
      <c r="G6089" s="1"/>
      <c r="H6089" t="str">
        <f>"3250617197779"</f>
        <v>3250617197779</v>
      </c>
      <c r="J6089" t="s">
        <v>16910</v>
      </c>
    </row>
    <row r="6090" spans="1:10" x14ac:dyDescent="0.25">
      <c r="A6090" t="s">
        <v>8</v>
      </c>
      <c r="B6090" t="s">
        <v>16992</v>
      </c>
      <c r="C6090" t="s">
        <v>16993</v>
      </c>
      <c r="D6090">
        <v>1</v>
      </c>
      <c r="E6090" t="s">
        <v>16829</v>
      </c>
      <c r="F6090" t="s">
        <v>16830</v>
      </c>
      <c r="G6090" s="1"/>
      <c r="H6090" t="str">
        <f>"3250617197786"</f>
        <v>3250617197786</v>
      </c>
      <c r="J6090" t="s">
        <v>16910</v>
      </c>
    </row>
    <row r="6091" spans="1:10" x14ac:dyDescent="0.25">
      <c r="A6091" t="s">
        <v>8</v>
      </c>
      <c r="B6091" t="s">
        <v>16994</v>
      </c>
      <c r="C6091" t="s">
        <v>16995</v>
      </c>
      <c r="D6091">
        <v>1</v>
      </c>
      <c r="E6091" t="s">
        <v>16829</v>
      </c>
      <c r="F6091" t="s">
        <v>16830</v>
      </c>
      <c r="G6091" s="1"/>
      <c r="H6091" t="str">
        <f>"3250617197809"</f>
        <v>3250617197809</v>
      </c>
      <c r="J6091" t="s">
        <v>16915</v>
      </c>
    </row>
    <row r="6092" spans="1:10" x14ac:dyDescent="0.25">
      <c r="A6092" t="s">
        <v>8</v>
      </c>
      <c r="B6092" t="s">
        <v>16996</v>
      </c>
      <c r="C6092" t="s">
        <v>16997</v>
      </c>
      <c r="D6092">
        <v>1</v>
      </c>
      <c r="E6092" t="s">
        <v>16829</v>
      </c>
      <c r="F6092" t="s">
        <v>16830</v>
      </c>
      <c r="G6092" s="1"/>
      <c r="H6092" t="str">
        <f>"3250617197816"</f>
        <v>3250617197816</v>
      </c>
      <c r="J6092" t="s">
        <v>16920</v>
      </c>
    </row>
    <row r="6093" spans="1:10" x14ac:dyDescent="0.25">
      <c r="A6093" t="s">
        <v>8</v>
      </c>
      <c r="B6093" t="s">
        <v>16998</v>
      </c>
      <c r="C6093" t="s">
        <v>16999</v>
      </c>
      <c r="D6093">
        <v>1</v>
      </c>
      <c r="E6093" t="s">
        <v>16829</v>
      </c>
      <c r="F6093" t="s">
        <v>16830</v>
      </c>
      <c r="G6093" s="1"/>
      <c r="H6093" t="str">
        <f>"3250617197823"</f>
        <v>3250617197823</v>
      </c>
      <c r="J6093" t="s">
        <v>16923</v>
      </c>
    </row>
    <row r="6094" spans="1:10" x14ac:dyDescent="0.25">
      <c r="A6094" t="s">
        <v>8</v>
      </c>
      <c r="B6094" t="s">
        <v>17000</v>
      </c>
      <c r="C6094" t="s">
        <v>17001</v>
      </c>
      <c r="D6094">
        <v>1</v>
      </c>
      <c r="E6094" t="s">
        <v>16829</v>
      </c>
      <c r="F6094" t="s">
        <v>16830</v>
      </c>
      <c r="G6094" s="1"/>
      <c r="H6094" t="str">
        <f>"3250617197830"</f>
        <v>3250617197830</v>
      </c>
      <c r="J6094" t="s">
        <v>16926</v>
      </c>
    </row>
    <row r="6095" spans="1:10" x14ac:dyDescent="0.25">
      <c r="A6095" t="s">
        <v>8</v>
      </c>
      <c r="B6095" t="s">
        <v>17002</v>
      </c>
      <c r="C6095" t="s">
        <v>17003</v>
      </c>
      <c r="D6095">
        <v>1</v>
      </c>
      <c r="E6095" t="s">
        <v>16829</v>
      </c>
      <c r="F6095" t="s">
        <v>16830</v>
      </c>
      <c r="G6095" s="1"/>
      <c r="H6095" t="str">
        <f>"3250617197847"</f>
        <v>3250617197847</v>
      </c>
      <c r="J6095" t="s">
        <v>16929</v>
      </c>
    </row>
    <row r="6096" spans="1:10" x14ac:dyDescent="0.25">
      <c r="A6096" t="s">
        <v>8</v>
      </c>
      <c r="B6096" t="s">
        <v>17004</v>
      </c>
      <c r="C6096" t="s">
        <v>17005</v>
      </c>
      <c r="D6096">
        <v>1</v>
      </c>
      <c r="E6096" t="s">
        <v>16829</v>
      </c>
      <c r="F6096" t="s">
        <v>16830</v>
      </c>
      <c r="G6096" s="1"/>
      <c r="H6096" t="str">
        <f>"3250617197854"</f>
        <v>3250617197854</v>
      </c>
      <c r="J6096" t="s">
        <v>16910</v>
      </c>
    </row>
    <row r="6097" spans="1:10" x14ac:dyDescent="0.25">
      <c r="A6097" t="s">
        <v>8</v>
      </c>
      <c r="B6097" t="s">
        <v>17006</v>
      </c>
      <c r="C6097" t="s">
        <v>17007</v>
      </c>
      <c r="D6097">
        <v>1</v>
      </c>
      <c r="E6097" t="s">
        <v>16829</v>
      </c>
      <c r="F6097" t="s">
        <v>16830</v>
      </c>
      <c r="G6097" s="1"/>
      <c r="H6097" t="str">
        <f>"3250617197861"</f>
        <v>3250617197861</v>
      </c>
      <c r="J6097" t="s">
        <v>16920</v>
      </c>
    </row>
    <row r="6098" spans="1:10" x14ac:dyDescent="0.25">
      <c r="A6098" t="s">
        <v>8</v>
      </c>
      <c r="B6098" t="s">
        <v>17008</v>
      </c>
      <c r="C6098" t="s">
        <v>17009</v>
      </c>
      <c r="D6098">
        <v>1</v>
      </c>
      <c r="E6098" t="s">
        <v>16829</v>
      </c>
      <c r="F6098" t="s">
        <v>16830</v>
      </c>
      <c r="G6098" s="1"/>
      <c r="H6098" t="str">
        <f>"3250617197878"</f>
        <v>3250617197878</v>
      </c>
      <c r="J6098" t="s">
        <v>16923</v>
      </c>
    </row>
    <row r="6099" spans="1:10" x14ac:dyDescent="0.25">
      <c r="A6099" t="s">
        <v>8</v>
      </c>
      <c r="B6099" t="s">
        <v>17010</v>
      </c>
      <c r="C6099" t="s">
        <v>17011</v>
      </c>
      <c r="D6099">
        <v>1</v>
      </c>
      <c r="E6099" t="s">
        <v>16829</v>
      </c>
      <c r="F6099" t="s">
        <v>16830</v>
      </c>
      <c r="G6099" s="1"/>
      <c r="H6099" t="str">
        <f>"3250617197885"</f>
        <v>3250617197885</v>
      </c>
      <c r="J6099" t="s">
        <v>16964</v>
      </c>
    </row>
    <row r="6100" spans="1:10" x14ac:dyDescent="0.25">
      <c r="A6100" t="s">
        <v>8</v>
      </c>
      <c r="B6100" t="s">
        <v>17012</v>
      </c>
      <c r="C6100" t="s">
        <v>17013</v>
      </c>
      <c r="D6100">
        <v>1</v>
      </c>
      <c r="E6100" t="s">
        <v>16829</v>
      </c>
      <c r="F6100" t="s">
        <v>16830</v>
      </c>
      <c r="G6100" s="1"/>
      <c r="H6100" t="str">
        <f>"3250617197892"</f>
        <v>3250617197892</v>
      </c>
      <c r="J6100" t="s">
        <v>16967</v>
      </c>
    </row>
    <row r="6101" spans="1:10" x14ac:dyDescent="0.25">
      <c r="A6101" t="s">
        <v>8</v>
      </c>
      <c r="B6101" t="s">
        <v>17014</v>
      </c>
      <c r="C6101" t="s">
        <v>17015</v>
      </c>
      <c r="D6101">
        <v>1</v>
      </c>
      <c r="E6101" t="s">
        <v>16829</v>
      </c>
      <c r="F6101" t="s">
        <v>16830</v>
      </c>
      <c r="G6101" s="1"/>
      <c r="H6101" t="str">
        <f>"3250617197908"</f>
        <v>3250617197908</v>
      </c>
      <c r="J6101" t="s">
        <v>16967</v>
      </c>
    </row>
    <row r="6102" spans="1:10" x14ac:dyDescent="0.25">
      <c r="A6102" t="s">
        <v>8</v>
      </c>
      <c r="B6102" t="s">
        <v>17016</v>
      </c>
      <c r="C6102" t="s">
        <v>17017</v>
      </c>
      <c r="D6102">
        <v>1</v>
      </c>
      <c r="E6102" t="s">
        <v>16829</v>
      </c>
      <c r="F6102" t="s">
        <v>16830</v>
      </c>
      <c r="G6102" s="1"/>
      <c r="H6102" t="str">
        <f>"3250617197915"</f>
        <v>3250617197915</v>
      </c>
      <c r="J6102" t="s">
        <v>16972</v>
      </c>
    </row>
    <row r="6103" spans="1:10" x14ac:dyDescent="0.25">
      <c r="A6103" t="s">
        <v>8</v>
      </c>
      <c r="B6103" t="s">
        <v>17018</v>
      </c>
      <c r="C6103" t="s">
        <v>17019</v>
      </c>
      <c r="D6103">
        <v>1</v>
      </c>
      <c r="E6103" t="s">
        <v>16829</v>
      </c>
      <c r="F6103" t="s">
        <v>16830</v>
      </c>
      <c r="G6103" s="1"/>
      <c r="H6103" t="str">
        <f>"3250617197922"</f>
        <v>3250617197922</v>
      </c>
      <c r="J6103" t="s">
        <v>16972</v>
      </c>
    </row>
    <row r="6104" spans="1:10" x14ac:dyDescent="0.25">
      <c r="A6104" t="s">
        <v>8</v>
      </c>
      <c r="B6104" t="s">
        <v>17020</v>
      </c>
      <c r="C6104" t="s">
        <v>17021</v>
      </c>
      <c r="D6104">
        <v>1</v>
      </c>
      <c r="E6104" t="s">
        <v>16829</v>
      </c>
      <c r="F6104" t="s">
        <v>16830</v>
      </c>
      <c r="G6104" s="1"/>
      <c r="H6104" t="str">
        <f>"3250617197939"</f>
        <v>3250617197939</v>
      </c>
      <c r="J6104" t="s">
        <v>7858</v>
      </c>
    </row>
    <row r="6105" spans="1:10" x14ac:dyDescent="0.25">
      <c r="A6105" t="s">
        <v>8</v>
      </c>
      <c r="B6105" t="s">
        <v>17022</v>
      </c>
      <c r="C6105" t="s">
        <v>17023</v>
      </c>
      <c r="D6105">
        <v>1</v>
      </c>
      <c r="E6105" t="s">
        <v>16829</v>
      </c>
      <c r="F6105" t="s">
        <v>16830</v>
      </c>
      <c r="G6105" s="1"/>
      <c r="H6105" t="str">
        <f>"3250617197946"</f>
        <v>3250617197946</v>
      </c>
      <c r="J6105" t="s">
        <v>16977</v>
      </c>
    </row>
    <row r="6106" spans="1:10" x14ac:dyDescent="0.25">
      <c r="A6106" t="s">
        <v>8</v>
      </c>
      <c r="B6106" t="s">
        <v>17024</v>
      </c>
      <c r="C6106" t="s">
        <v>17025</v>
      </c>
      <c r="D6106">
        <v>1</v>
      </c>
      <c r="E6106" t="s">
        <v>16829</v>
      </c>
      <c r="F6106" t="s">
        <v>16830</v>
      </c>
      <c r="G6106" s="1"/>
      <c r="H6106" t="str">
        <f>"3250617197953"</f>
        <v>3250617197953</v>
      </c>
      <c r="J6106" t="s">
        <v>16980</v>
      </c>
    </row>
    <row r="6107" spans="1:10" x14ac:dyDescent="0.25">
      <c r="A6107" t="s">
        <v>8</v>
      </c>
      <c r="B6107" t="s">
        <v>17026</v>
      </c>
      <c r="C6107" t="s">
        <v>17027</v>
      </c>
      <c r="D6107">
        <v>1</v>
      </c>
      <c r="E6107" t="s">
        <v>16829</v>
      </c>
      <c r="F6107" t="s">
        <v>16830</v>
      </c>
      <c r="G6107" s="1"/>
      <c r="H6107" t="str">
        <f>"3250617197960"</f>
        <v>3250617197960</v>
      </c>
      <c r="J6107" t="s">
        <v>16983</v>
      </c>
    </row>
    <row r="6108" spans="1:10" x14ac:dyDescent="0.25">
      <c r="A6108" t="s">
        <v>8</v>
      </c>
      <c r="B6108" t="s">
        <v>17028</v>
      </c>
      <c r="C6108" t="s">
        <v>17029</v>
      </c>
      <c r="D6108">
        <v>1</v>
      </c>
      <c r="E6108" t="s">
        <v>16829</v>
      </c>
      <c r="F6108" t="s">
        <v>16830</v>
      </c>
      <c r="G6108" s="1"/>
      <c r="H6108" t="str">
        <f>"3250617197984"</f>
        <v>3250617197984</v>
      </c>
      <c r="J6108" t="s">
        <v>7858</v>
      </c>
    </row>
    <row r="6109" spans="1:10" x14ac:dyDescent="0.25">
      <c r="A6109" t="s">
        <v>8</v>
      </c>
      <c r="B6109" t="s">
        <v>17030</v>
      </c>
      <c r="C6109" t="s">
        <v>17031</v>
      </c>
      <c r="D6109">
        <v>1</v>
      </c>
      <c r="E6109" t="s">
        <v>16829</v>
      </c>
      <c r="F6109" t="s">
        <v>16830</v>
      </c>
      <c r="G6109" s="1"/>
      <c r="H6109" t="str">
        <f>"3250617197991"</f>
        <v>3250617197991</v>
      </c>
      <c r="J6109" t="s">
        <v>16977</v>
      </c>
    </row>
    <row r="6110" spans="1:10" x14ac:dyDescent="0.25">
      <c r="A6110" t="s">
        <v>8</v>
      </c>
      <c r="B6110" t="s">
        <v>17032</v>
      </c>
      <c r="C6110" t="s">
        <v>17033</v>
      </c>
      <c r="D6110">
        <v>1</v>
      </c>
      <c r="E6110" t="s">
        <v>16829</v>
      </c>
      <c r="F6110" t="s">
        <v>16830</v>
      </c>
      <c r="G6110" s="1"/>
      <c r="H6110" t="str">
        <f>"3250617196505"</f>
        <v>3250617196505</v>
      </c>
      <c r="J6110" t="s">
        <v>16907</v>
      </c>
    </row>
    <row r="6111" spans="1:10" x14ac:dyDescent="0.25">
      <c r="A6111" t="s">
        <v>8</v>
      </c>
      <c r="B6111" t="s">
        <v>17034</v>
      </c>
      <c r="C6111" t="s">
        <v>17035</v>
      </c>
      <c r="D6111">
        <v>1</v>
      </c>
      <c r="E6111" t="s">
        <v>16829</v>
      </c>
      <c r="F6111" t="s">
        <v>16830</v>
      </c>
      <c r="G6111" s="1"/>
      <c r="H6111" t="str">
        <f>"3250617196512"</f>
        <v>3250617196512</v>
      </c>
      <c r="J6111" t="s">
        <v>16910</v>
      </c>
    </row>
    <row r="6112" spans="1:10" x14ac:dyDescent="0.25">
      <c r="A6112" t="s">
        <v>8</v>
      </c>
      <c r="B6112" t="s">
        <v>17036</v>
      </c>
      <c r="C6112" t="s">
        <v>17037</v>
      </c>
      <c r="D6112">
        <v>1</v>
      </c>
      <c r="E6112" t="s">
        <v>16829</v>
      </c>
      <c r="F6112" t="s">
        <v>16830</v>
      </c>
      <c r="G6112" s="1"/>
      <c r="H6112" t="str">
        <f>"3250617196529"</f>
        <v>3250617196529</v>
      </c>
      <c r="J6112" t="s">
        <v>16910</v>
      </c>
    </row>
    <row r="6113" spans="1:10" x14ac:dyDescent="0.25">
      <c r="A6113" t="s">
        <v>8</v>
      </c>
      <c r="B6113" t="s">
        <v>17038</v>
      </c>
      <c r="C6113" t="s">
        <v>17039</v>
      </c>
      <c r="D6113">
        <v>1</v>
      </c>
      <c r="E6113" t="s">
        <v>16829</v>
      </c>
      <c r="F6113" t="s">
        <v>16830</v>
      </c>
      <c r="G6113" s="1"/>
      <c r="H6113" t="str">
        <f>"3250617196543"</f>
        <v>3250617196543</v>
      </c>
      <c r="J6113" t="s">
        <v>16915</v>
      </c>
    </row>
    <row r="6114" spans="1:10" x14ac:dyDescent="0.25">
      <c r="A6114" t="s">
        <v>8</v>
      </c>
      <c r="B6114" t="s">
        <v>17040</v>
      </c>
      <c r="C6114" t="s">
        <v>17041</v>
      </c>
      <c r="D6114">
        <v>1</v>
      </c>
      <c r="E6114" t="s">
        <v>16829</v>
      </c>
      <c r="F6114" t="s">
        <v>16830</v>
      </c>
      <c r="G6114" s="1"/>
      <c r="H6114" t="str">
        <f>"3250617196550"</f>
        <v>3250617196550</v>
      </c>
      <c r="J6114" t="s">
        <v>16920</v>
      </c>
    </row>
    <row r="6115" spans="1:10" x14ac:dyDescent="0.25">
      <c r="A6115" t="s">
        <v>8</v>
      </c>
      <c r="B6115" t="s">
        <v>17042</v>
      </c>
      <c r="C6115" t="s">
        <v>17043</v>
      </c>
      <c r="D6115">
        <v>1</v>
      </c>
      <c r="E6115" t="s">
        <v>16829</v>
      </c>
      <c r="F6115" t="s">
        <v>16830</v>
      </c>
      <c r="G6115" s="1"/>
      <c r="H6115" t="str">
        <f>"3250617196567"</f>
        <v>3250617196567</v>
      </c>
      <c r="J6115" t="s">
        <v>16923</v>
      </c>
    </row>
    <row r="6116" spans="1:10" x14ac:dyDescent="0.25">
      <c r="A6116" t="s">
        <v>8</v>
      </c>
      <c r="B6116" t="s">
        <v>17044</v>
      </c>
      <c r="C6116" t="s">
        <v>17045</v>
      </c>
      <c r="D6116">
        <v>1</v>
      </c>
      <c r="E6116" t="s">
        <v>16829</v>
      </c>
      <c r="F6116" t="s">
        <v>16830</v>
      </c>
      <c r="G6116" s="1"/>
      <c r="H6116" t="str">
        <f>"3250617196574"</f>
        <v>3250617196574</v>
      </c>
      <c r="J6116" t="s">
        <v>16926</v>
      </c>
    </row>
    <row r="6117" spans="1:10" x14ac:dyDescent="0.25">
      <c r="A6117" t="s">
        <v>8</v>
      </c>
      <c r="B6117" t="s">
        <v>17046</v>
      </c>
      <c r="C6117" t="s">
        <v>17047</v>
      </c>
      <c r="D6117">
        <v>1</v>
      </c>
      <c r="E6117" t="s">
        <v>16829</v>
      </c>
      <c r="F6117" t="s">
        <v>16830</v>
      </c>
      <c r="G6117" s="1"/>
      <c r="H6117" t="str">
        <f>"3250617196581"</f>
        <v>3250617196581</v>
      </c>
      <c r="J6117" t="s">
        <v>16929</v>
      </c>
    </row>
    <row r="6118" spans="1:10" x14ac:dyDescent="0.25">
      <c r="A6118" t="s">
        <v>8</v>
      </c>
      <c r="B6118" t="s">
        <v>17048</v>
      </c>
      <c r="C6118" t="s">
        <v>17049</v>
      </c>
      <c r="D6118">
        <v>1</v>
      </c>
      <c r="E6118" t="s">
        <v>16829</v>
      </c>
      <c r="F6118" t="s">
        <v>16830</v>
      </c>
      <c r="G6118" s="1"/>
      <c r="H6118" t="str">
        <f>"3250617196604"</f>
        <v>3250617196604</v>
      </c>
      <c r="J6118" t="s">
        <v>16920</v>
      </c>
    </row>
    <row r="6119" spans="1:10" x14ac:dyDescent="0.25">
      <c r="A6119" t="s">
        <v>8</v>
      </c>
      <c r="B6119" t="s">
        <v>17050</v>
      </c>
      <c r="C6119" t="s">
        <v>17051</v>
      </c>
      <c r="D6119">
        <v>1</v>
      </c>
      <c r="E6119" t="s">
        <v>16829</v>
      </c>
      <c r="F6119" t="s">
        <v>16830</v>
      </c>
      <c r="G6119" s="1"/>
      <c r="H6119" t="str">
        <f>"3250617196611"</f>
        <v>3250617196611</v>
      </c>
      <c r="J6119" t="s">
        <v>16923</v>
      </c>
    </row>
    <row r="6120" spans="1:10" x14ac:dyDescent="0.25">
      <c r="A6120" t="s">
        <v>8</v>
      </c>
      <c r="B6120" t="s">
        <v>17052</v>
      </c>
      <c r="C6120" t="s">
        <v>17053</v>
      </c>
      <c r="D6120">
        <v>1</v>
      </c>
      <c r="E6120" t="s">
        <v>16829</v>
      </c>
      <c r="F6120" t="s">
        <v>16830</v>
      </c>
      <c r="G6120" s="1"/>
      <c r="H6120" t="str">
        <f>"3250617192903"</f>
        <v>3250617192903</v>
      </c>
      <c r="J6120" t="s">
        <v>16859</v>
      </c>
    </row>
    <row r="6121" spans="1:10" x14ac:dyDescent="0.25">
      <c r="A6121" t="s">
        <v>8</v>
      </c>
      <c r="B6121" t="s">
        <v>17054</v>
      </c>
      <c r="C6121" t="s">
        <v>17055</v>
      </c>
      <c r="D6121">
        <v>1</v>
      </c>
      <c r="E6121" t="s">
        <v>16829</v>
      </c>
      <c r="F6121" t="s">
        <v>16830</v>
      </c>
      <c r="G6121" s="1"/>
      <c r="H6121" t="str">
        <f>"3250617192989"</f>
        <v>3250617192989</v>
      </c>
      <c r="J6121" t="s">
        <v>16862</v>
      </c>
    </row>
    <row r="6122" spans="1:10" x14ac:dyDescent="0.25">
      <c r="A6122" t="s">
        <v>8</v>
      </c>
      <c r="B6122" t="s">
        <v>17056</v>
      </c>
      <c r="C6122" t="s">
        <v>17057</v>
      </c>
      <c r="D6122">
        <v>1</v>
      </c>
      <c r="E6122" t="s">
        <v>16829</v>
      </c>
      <c r="F6122" t="s">
        <v>16830</v>
      </c>
      <c r="G6122" s="1"/>
      <c r="H6122" t="str">
        <f>"3250617192996"</f>
        <v>3250617192996</v>
      </c>
      <c r="J6122" t="s">
        <v>16865</v>
      </c>
    </row>
    <row r="6123" spans="1:10" x14ac:dyDescent="0.25">
      <c r="A6123" t="s">
        <v>8</v>
      </c>
      <c r="B6123" t="s">
        <v>17058</v>
      </c>
      <c r="C6123" t="s">
        <v>17059</v>
      </c>
      <c r="D6123">
        <v>1</v>
      </c>
      <c r="E6123" t="s">
        <v>16829</v>
      </c>
      <c r="F6123" t="s">
        <v>16830</v>
      </c>
      <c r="G6123" s="1"/>
      <c r="H6123" t="str">
        <f>"3250617194266"</f>
        <v>3250617194266</v>
      </c>
      <c r="J6123" t="s">
        <v>16868</v>
      </c>
    </row>
    <row r="6124" spans="1:10" x14ac:dyDescent="0.25">
      <c r="A6124" t="s">
        <v>8</v>
      </c>
      <c r="B6124" t="s">
        <v>17060</v>
      </c>
      <c r="C6124" t="s">
        <v>17061</v>
      </c>
      <c r="D6124">
        <v>1</v>
      </c>
      <c r="E6124" t="s">
        <v>16829</v>
      </c>
      <c r="F6124" t="s">
        <v>16830</v>
      </c>
      <c r="G6124" s="1"/>
      <c r="H6124" t="str">
        <f>"3250617194273"</f>
        <v>3250617194273</v>
      </c>
      <c r="J6124" t="s">
        <v>16871</v>
      </c>
    </row>
    <row r="6125" spans="1:10" x14ac:dyDescent="0.25">
      <c r="A6125" t="s">
        <v>8</v>
      </c>
      <c r="B6125" t="s">
        <v>17062</v>
      </c>
      <c r="C6125" t="s">
        <v>17063</v>
      </c>
      <c r="D6125">
        <v>1</v>
      </c>
      <c r="E6125" t="s">
        <v>16829</v>
      </c>
      <c r="F6125" t="s">
        <v>16830</v>
      </c>
      <c r="G6125" s="1"/>
      <c r="H6125" t="str">
        <f>"3250617194280"</f>
        <v>3250617194280</v>
      </c>
      <c r="J6125" t="s">
        <v>16874</v>
      </c>
    </row>
    <row r="6126" spans="1:10" x14ac:dyDescent="0.25">
      <c r="A6126" t="s">
        <v>8</v>
      </c>
      <c r="B6126" t="s">
        <v>17064</v>
      </c>
      <c r="C6126" t="s">
        <v>17065</v>
      </c>
      <c r="D6126">
        <v>1</v>
      </c>
      <c r="E6126" t="s">
        <v>16829</v>
      </c>
      <c r="F6126" t="s">
        <v>16830</v>
      </c>
      <c r="G6126" s="1"/>
      <c r="H6126" t="str">
        <f>"3250617194297"</f>
        <v>3250617194297</v>
      </c>
      <c r="J6126" t="s">
        <v>16877</v>
      </c>
    </row>
    <row r="6127" spans="1:10" x14ac:dyDescent="0.25">
      <c r="A6127" t="s">
        <v>8</v>
      </c>
      <c r="B6127" t="s">
        <v>17066</v>
      </c>
      <c r="C6127" t="s">
        <v>17067</v>
      </c>
      <c r="D6127">
        <v>1</v>
      </c>
      <c r="E6127" t="s">
        <v>16829</v>
      </c>
      <c r="F6127" t="s">
        <v>16830</v>
      </c>
      <c r="G6127" s="1"/>
      <c r="H6127" t="str">
        <f>"3250617194303"</f>
        <v>3250617194303</v>
      </c>
      <c r="J6127" t="s">
        <v>16880</v>
      </c>
    </row>
    <row r="6128" spans="1:10" x14ac:dyDescent="0.25">
      <c r="A6128" t="s">
        <v>8</v>
      </c>
      <c r="B6128" t="s">
        <v>17068</v>
      </c>
      <c r="C6128" t="s">
        <v>17069</v>
      </c>
      <c r="D6128">
        <v>1</v>
      </c>
      <c r="E6128" t="s">
        <v>16829</v>
      </c>
      <c r="F6128" t="s">
        <v>16830</v>
      </c>
      <c r="G6128" s="1"/>
      <c r="H6128" t="str">
        <f>"3250617194327"</f>
        <v>3250617194327</v>
      </c>
      <c r="J6128" t="s">
        <v>16871</v>
      </c>
    </row>
    <row r="6129" spans="1:10" x14ac:dyDescent="0.25">
      <c r="A6129" t="s">
        <v>8</v>
      </c>
      <c r="B6129" t="s">
        <v>17070</v>
      </c>
      <c r="C6129" t="s">
        <v>17071</v>
      </c>
      <c r="D6129">
        <v>1</v>
      </c>
      <c r="E6129" t="s">
        <v>16829</v>
      </c>
      <c r="F6129" t="s">
        <v>16830</v>
      </c>
      <c r="G6129" s="1"/>
      <c r="H6129" t="str">
        <f>"3250617194334"</f>
        <v>3250617194334</v>
      </c>
      <c r="J6129" t="s">
        <v>16874</v>
      </c>
    </row>
    <row r="6130" spans="1:10" x14ac:dyDescent="0.25">
      <c r="A6130" t="s">
        <v>8</v>
      </c>
      <c r="B6130" t="s">
        <v>17072</v>
      </c>
      <c r="C6130" t="s">
        <v>17073</v>
      </c>
      <c r="D6130">
        <v>1</v>
      </c>
      <c r="E6130" t="s">
        <v>16829</v>
      </c>
      <c r="F6130" t="s">
        <v>16830</v>
      </c>
      <c r="G6130" s="1"/>
      <c r="H6130" t="str">
        <f>"3250610130551"</f>
        <v>3250610130551</v>
      </c>
      <c r="J6130" t="s">
        <v>17074</v>
      </c>
    </row>
    <row r="6131" spans="1:10" x14ac:dyDescent="0.25">
      <c r="A6131" t="s">
        <v>8</v>
      </c>
      <c r="B6131" t="s">
        <v>17075</v>
      </c>
      <c r="C6131" t="s">
        <v>17076</v>
      </c>
      <c r="D6131">
        <v>1</v>
      </c>
      <c r="E6131" t="s">
        <v>16829</v>
      </c>
      <c r="F6131" t="s">
        <v>16830</v>
      </c>
      <c r="G6131" s="1"/>
      <c r="H6131" t="str">
        <f>"3250610130568"</f>
        <v>3250610130568</v>
      </c>
      <c r="J6131" t="s">
        <v>33</v>
      </c>
    </row>
    <row r="6132" spans="1:10" x14ac:dyDescent="0.25">
      <c r="A6132" t="s">
        <v>8</v>
      </c>
      <c r="B6132" t="s">
        <v>17077</v>
      </c>
      <c r="C6132" t="s">
        <v>17078</v>
      </c>
      <c r="D6132">
        <v>1</v>
      </c>
      <c r="E6132" t="s">
        <v>16829</v>
      </c>
      <c r="F6132" t="s">
        <v>16830</v>
      </c>
      <c r="G6132" s="1"/>
      <c r="H6132" t="str">
        <f>"3250610130575"</f>
        <v>3250610130575</v>
      </c>
      <c r="J6132" t="s">
        <v>17079</v>
      </c>
    </row>
    <row r="6133" spans="1:10" x14ac:dyDescent="0.25">
      <c r="A6133" t="s">
        <v>8</v>
      </c>
      <c r="B6133" t="s">
        <v>17080</v>
      </c>
      <c r="C6133" t="s">
        <v>17081</v>
      </c>
      <c r="D6133">
        <v>1</v>
      </c>
      <c r="E6133" t="s">
        <v>16829</v>
      </c>
      <c r="F6133" t="s">
        <v>16830</v>
      </c>
      <c r="G6133" s="1"/>
      <c r="H6133" t="str">
        <f>"3250610130599"</f>
        <v>3250610130599</v>
      </c>
      <c r="J6133" t="s">
        <v>33</v>
      </c>
    </row>
    <row r="6134" spans="1:10" x14ac:dyDescent="0.25">
      <c r="A6134" t="s">
        <v>8</v>
      </c>
      <c r="B6134" t="s">
        <v>17082</v>
      </c>
      <c r="C6134" t="s">
        <v>17083</v>
      </c>
      <c r="D6134">
        <v>1</v>
      </c>
      <c r="E6134" t="s">
        <v>16829</v>
      </c>
      <c r="F6134" t="s">
        <v>16830</v>
      </c>
      <c r="G6134" s="1"/>
      <c r="H6134" t="str">
        <f>"3250610130605"</f>
        <v>3250610130605</v>
      </c>
      <c r="J6134" t="s">
        <v>17079</v>
      </c>
    </row>
    <row r="6135" spans="1:10" x14ac:dyDescent="0.25">
      <c r="A6135" t="s">
        <v>8</v>
      </c>
      <c r="B6135" t="s">
        <v>17084</v>
      </c>
      <c r="C6135" t="s">
        <v>17085</v>
      </c>
      <c r="D6135">
        <v>1</v>
      </c>
      <c r="E6135" t="s">
        <v>16829</v>
      </c>
      <c r="F6135" t="s">
        <v>16830</v>
      </c>
      <c r="G6135" s="1"/>
      <c r="H6135" t="str">
        <f>"3250610130650"</f>
        <v>3250610130650</v>
      </c>
      <c r="J6135" t="s">
        <v>17086</v>
      </c>
    </row>
    <row r="6136" spans="1:10" x14ac:dyDescent="0.25">
      <c r="A6136" t="s">
        <v>8</v>
      </c>
      <c r="B6136" t="s">
        <v>17087</v>
      </c>
      <c r="C6136" t="s">
        <v>17088</v>
      </c>
      <c r="D6136">
        <v>1</v>
      </c>
      <c r="E6136" t="s">
        <v>16829</v>
      </c>
      <c r="F6136" t="s">
        <v>16830</v>
      </c>
      <c r="G6136" s="1"/>
      <c r="H6136" t="str">
        <f>"3250610130667"</f>
        <v>3250610130667</v>
      </c>
      <c r="J6136" t="s">
        <v>17089</v>
      </c>
    </row>
    <row r="6137" spans="1:10" x14ac:dyDescent="0.25">
      <c r="A6137" t="s">
        <v>8</v>
      </c>
      <c r="B6137" t="s">
        <v>17090</v>
      </c>
      <c r="C6137" t="s">
        <v>17091</v>
      </c>
      <c r="D6137">
        <v>1</v>
      </c>
      <c r="E6137" t="s">
        <v>16829</v>
      </c>
      <c r="F6137" t="s">
        <v>16830</v>
      </c>
      <c r="G6137" s="1"/>
      <c r="H6137" t="str">
        <f>"3250610130674"</f>
        <v>3250610130674</v>
      </c>
      <c r="J6137" t="s">
        <v>17092</v>
      </c>
    </row>
    <row r="6138" spans="1:10" x14ac:dyDescent="0.25">
      <c r="A6138" t="s">
        <v>8</v>
      </c>
      <c r="B6138" t="s">
        <v>17093</v>
      </c>
      <c r="C6138" t="s">
        <v>17094</v>
      </c>
      <c r="D6138">
        <v>1</v>
      </c>
      <c r="E6138" t="s">
        <v>16829</v>
      </c>
      <c r="F6138" t="s">
        <v>16830</v>
      </c>
      <c r="G6138" s="1"/>
      <c r="H6138" t="str">
        <f>"3250610130698"</f>
        <v>3250610130698</v>
      </c>
      <c r="J6138" t="s">
        <v>17089</v>
      </c>
    </row>
    <row r="6139" spans="1:10" x14ac:dyDescent="0.25">
      <c r="A6139" t="s">
        <v>8</v>
      </c>
      <c r="B6139" t="s">
        <v>17095</v>
      </c>
      <c r="C6139" t="s">
        <v>17096</v>
      </c>
      <c r="D6139">
        <v>1</v>
      </c>
      <c r="E6139" t="s">
        <v>16829</v>
      </c>
      <c r="F6139" t="s">
        <v>16830</v>
      </c>
      <c r="G6139" s="1"/>
      <c r="H6139" t="str">
        <f>"3250610130704"</f>
        <v>3250610130704</v>
      </c>
      <c r="J6139" t="s">
        <v>17092</v>
      </c>
    </row>
    <row r="6140" spans="1:10" x14ac:dyDescent="0.25">
      <c r="A6140" t="s">
        <v>8</v>
      </c>
      <c r="B6140" t="s">
        <v>17097</v>
      </c>
      <c r="C6140" t="s">
        <v>17098</v>
      </c>
      <c r="D6140">
        <v>1</v>
      </c>
      <c r="E6140" t="s">
        <v>16829</v>
      </c>
      <c r="F6140" t="s">
        <v>16830</v>
      </c>
      <c r="G6140" s="1"/>
      <c r="H6140" t="str">
        <f>"3250610130452"</f>
        <v>3250610130452</v>
      </c>
      <c r="J6140" t="s">
        <v>16964</v>
      </c>
    </row>
    <row r="6141" spans="1:10" x14ac:dyDescent="0.25">
      <c r="A6141" t="s">
        <v>8</v>
      </c>
      <c r="B6141" t="s">
        <v>17099</v>
      </c>
      <c r="C6141" t="s">
        <v>17100</v>
      </c>
      <c r="D6141">
        <v>1</v>
      </c>
      <c r="E6141" t="s">
        <v>16829</v>
      </c>
      <c r="F6141" t="s">
        <v>16830</v>
      </c>
      <c r="G6141" s="1"/>
      <c r="H6141" t="str">
        <f>"3250610130469"</f>
        <v>3250610130469</v>
      </c>
      <c r="J6141" t="s">
        <v>7858</v>
      </c>
    </row>
    <row r="6142" spans="1:10" x14ac:dyDescent="0.25">
      <c r="A6142" t="s">
        <v>8</v>
      </c>
      <c r="B6142" t="s">
        <v>17101</v>
      </c>
      <c r="C6142" t="s">
        <v>17102</v>
      </c>
      <c r="D6142">
        <v>1</v>
      </c>
      <c r="E6142" t="s">
        <v>16829</v>
      </c>
      <c r="F6142" t="s">
        <v>16830</v>
      </c>
      <c r="G6142" s="1"/>
      <c r="H6142" t="str">
        <f>"3250610130476"</f>
        <v>3250610130476</v>
      </c>
      <c r="J6142" t="s">
        <v>16977</v>
      </c>
    </row>
    <row r="6143" spans="1:10" x14ac:dyDescent="0.25">
      <c r="A6143" t="s">
        <v>8</v>
      </c>
      <c r="B6143" t="s">
        <v>17103</v>
      </c>
      <c r="C6143" t="s">
        <v>17104</v>
      </c>
      <c r="D6143">
        <v>1</v>
      </c>
      <c r="E6143" t="s">
        <v>16829</v>
      </c>
      <c r="F6143" t="s">
        <v>16830</v>
      </c>
      <c r="G6143" s="1"/>
      <c r="H6143" t="str">
        <f>"3250610130490"</f>
        <v>3250610130490</v>
      </c>
      <c r="J6143" t="s">
        <v>7858</v>
      </c>
    </row>
    <row r="6144" spans="1:10" x14ac:dyDescent="0.25">
      <c r="A6144" t="s">
        <v>8</v>
      </c>
      <c r="B6144" t="s">
        <v>17105</v>
      </c>
      <c r="C6144" t="s">
        <v>17106</v>
      </c>
      <c r="D6144">
        <v>1</v>
      </c>
      <c r="E6144" t="s">
        <v>16829</v>
      </c>
      <c r="F6144" t="s">
        <v>16830</v>
      </c>
      <c r="G6144" s="1"/>
      <c r="H6144" t="str">
        <f>"3250610130506"</f>
        <v>3250610130506</v>
      </c>
      <c r="J6144" t="s">
        <v>16977</v>
      </c>
    </row>
    <row r="6145" spans="1:10" x14ac:dyDescent="0.25">
      <c r="A6145" t="s">
        <v>8</v>
      </c>
      <c r="B6145" t="s">
        <v>17107</v>
      </c>
      <c r="C6145" t="s">
        <v>17108</v>
      </c>
      <c r="D6145">
        <v>1</v>
      </c>
      <c r="E6145" t="s">
        <v>16829</v>
      </c>
      <c r="F6145" t="s">
        <v>16830</v>
      </c>
      <c r="G6145" s="1"/>
      <c r="H6145" t="str">
        <f>"3250610130353"</f>
        <v>3250610130353</v>
      </c>
      <c r="J6145" t="s">
        <v>16964</v>
      </c>
    </row>
    <row r="6146" spans="1:10" x14ac:dyDescent="0.25">
      <c r="A6146" t="s">
        <v>8</v>
      </c>
      <c r="B6146" t="s">
        <v>17109</v>
      </c>
      <c r="C6146" t="s">
        <v>17110</v>
      </c>
      <c r="D6146">
        <v>1</v>
      </c>
      <c r="E6146" t="s">
        <v>16829</v>
      </c>
      <c r="F6146" t="s">
        <v>16830</v>
      </c>
      <c r="G6146" s="1"/>
      <c r="H6146" t="str">
        <f>"3250610130360"</f>
        <v>3250610130360</v>
      </c>
      <c r="J6146" t="s">
        <v>7858</v>
      </c>
    </row>
    <row r="6147" spans="1:10" x14ac:dyDescent="0.25">
      <c r="A6147" t="s">
        <v>8</v>
      </c>
      <c r="B6147" t="s">
        <v>17111</v>
      </c>
      <c r="C6147" t="s">
        <v>17112</v>
      </c>
      <c r="D6147">
        <v>1</v>
      </c>
      <c r="E6147" t="s">
        <v>16829</v>
      </c>
      <c r="F6147" t="s">
        <v>16830</v>
      </c>
      <c r="G6147" s="1"/>
      <c r="H6147" t="str">
        <f>"3250610130377"</f>
        <v>3250610130377</v>
      </c>
      <c r="J6147" t="s">
        <v>16977</v>
      </c>
    </row>
    <row r="6148" spans="1:10" x14ac:dyDescent="0.25">
      <c r="A6148" t="s">
        <v>8</v>
      </c>
      <c r="B6148" t="s">
        <v>17113</v>
      </c>
      <c r="C6148" t="s">
        <v>17114</v>
      </c>
      <c r="D6148">
        <v>1</v>
      </c>
      <c r="E6148" t="s">
        <v>16829</v>
      </c>
      <c r="F6148" t="s">
        <v>16830</v>
      </c>
      <c r="G6148" s="1"/>
      <c r="H6148" t="str">
        <f>"3250610130391"</f>
        <v>3250610130391</v>
      </c>
      <c r="J6148" t="s">
        <v>7858</v>
      </c>
    </row>
    <row r="6149" spans="1:10" x14ac:dyDescent="0.25">
      <c r="A6149" t="s">
        <v>8</v>
      </c>
      <c r="B6149" t="s">
        <v>17115</v>
      </c>
      <c r="C6149" t="s">
        <v>17116</v>
      </c>
      <c r="D6149">
        <v>1</v>
      </c>
      <c r="E6149" t="s">
        <v>16829</v>
      </c>
      <c r="F6149" t="s">
        <v>16830</v>
      </c>
      <c r="G6149" s="1"/>
      <c r="H6149" t="str">
        <f>"3250610130407"</f>
        <v>3250610130407</v>
      </c>
      <c r="J6149" t="s">
        <v>16977</v>
      </c>
    </row>
    <row r="6150" spans="1:10" x14ac:dyDescent="0.25">
      <c r="A6150" t="s">
        <v>8</v>
      </c>
      <c r="B6150" t="s">
        <v>17117</v>
      </c>
      <c r="C6150" t="s">
        <v>17118</v>
      </c>
      <c r="D6150">
        <v>1</v>
      </c>
      <c r="E6150" t="s">
        <v>16829</v>
      </c>
      <c r="F6150" t="s">
        <v>16830</v>
      </c>
      <c r="G6150" s="1"/>
      <c r="H6150" t="str">
        <f>"3250610130759"</f>
        <v>3250610130759</v>
      </c>
      <c r="J6150" t="s">
        <v>17119</v>
      </c>
    </row>
    <row r="6151" spans="1:10" x14ac:dyDescent="0.25">
      <c r="A6151" t="s">
        <v>8</v>
      </c>
      <c r="B6151" t="s">
        <v>17120</v>
      </c>
      <c r="C6151" t="s">
        <v>17121</v>
      </c>
      <c r="D6151">
        <v>1</v>
      </c>
      <c r="E6151" t="s">
        <v>16829</v>
      </c>
      <c r="F6151" t="s">
        <v>16830</v>
      </c>
      <c r="G6151" s="1"/>
      <c r="H6151" t="str">
        <f>"3250610130766"</f>
        <v>3250610130766</v>
      </c>
      <c r="J6151" t="s">
        <v>17122</v>
      </c>
    </row>
    <row r="6152" spans="1:10" x14ac:dyDescent="0.25">
      <c r="A6152" t="s">
        <v>8</v>
      </c>
      <c r="B6152" t="s">
        <v>17123</v>
      </c>
      <c r="C6152" t="s">
        <v>17124</v>
      </c>
      <c r="D6152">
        <v>1</v>
      </c>
      <c r="E6152" t="s">
        <v>16829</v>
      </c>
      <c r="F6152" t="s">
        <v>16830</v>
      </c>
      <c r="G6152" s="1"/>
      <c r="H6152" t="str">
        <f>"3250610130773"</f>
        <v>3250610130773</v>
      </c>
      <c r="J6152" t="s">
        <v>16977</v>
      </c>
    </row>
    <row r="6153" spans="1:10" x14ac:dyDescent="0.25">
      <c r="A6153" t="s">
        <v>8</v>
      </c>
      <c r="B6153" t="s">
        <v>17125</v>
      </c>
      <c r="C6153" t="s">
        <v>17126</v>
      </c>
      <c r="D6153">
        <v>1</v>
      </c>
      <c r="E6153" t="s">
        <v>16829</v>
      </c>
      <c r="F6153" t="s">
        <v>16830</v>
      </c>
      <c r="G6153" s="1"/>
      <c r="H6153" t="str">
        <f>"3250610130797"</f>
        <v>3250610130797</v>
      </c>
      <c r="J6153" t="s">
        <v>17122</v>
      </c>
    </row>
    <row r="6154" spans="1:10" x14ac:dyDescent="0.25">
      <c r="A6154" t="s">
        <v>8</v>
      </c>
      <c r="B6154" t="s">
        <v>17127</v>
      </c>
      <c r="C6154" t="s">
        <v>17128</v>
      </c>
      <c r="D6154">
        <v>1</v>
      </c>
      <c r="E6154" t="s">
        <v>16829</v>
      </c>
      <c r="F6154" t="s">
        <v>16830</v>
      </c>
      <c r="G6154" s="1"/>
      <c r="H6154" t="str">
        <f>"3250610131039"</f>
        <v>3250610131039</v>
      </c>
      <c r="J6154" t="s">
        <v>16977</v>
      </c>
    </row>
    <row r="6155" spans="1:10" x14ac:dyDescent="0.25">
      <c r="A6155" t="s">
        <v>8</v>
      </c>
      <c r="B6155" t="s">
        <v>17129</v>
      </c>
      <c r="C6155" t="s">
        <v>17130</v>
      </c>
      <c r="D6155">
        <v>1</v>
      </c>
      <c r="E6155" t="s">
        <v>17131</v>
      </c>
      <c r="F6155" t="s">
        <v>17132</v>
      </c>
      <c r="G6155" s="1"/>
      <c r="H6155" t="str">
        <f>"3250618500363"</f>
        <v>3250618500363</v>
      </c>
      <c r="J6155" t="s">
        <v>17133</v>
      </c>
    </row>
    <row r="6156" spans="1:10" x14ac:dyDescent="0.25">
      <c r="A6156" t="s">
        <v>8</v>
      </c>
      <c r="B6156" t="s">
        <v>17134</v>
      </c>
      <c r="C6156" t="s">
        <v>17135</v>
      </c>
      <c r="D6156">
        <v>1</v>
      </c>
      <c r="E6156" t="s">
        <v>17131</v>
      </c>
      <c r="F6156" t="s">
        <v>17132</v>
      </c>
      <c r="G6156" s="1"/>
      <c r="H6156" t="str">
        <f>"3250618500370"</f>
        <v>3250618500370</v>
      </c>
      <c r="J6156" t="s">
        <v>17136</v>
      </c>
    </row>
    <row r="6157" spans="1:10" x14ac:dyDescent="0.25">
      <c r="A6157" t="s">
        <v>8</v>
      </c>
      <c r="B6157" t="s">
        <v>17137</v>
      </c>
      <c r="C6157" t="s">
        <v>17138</v>
      </c>
      <c r="D6157">
        <v>1</v>
      </c>
      <c r="E6157" t="s">
        <v>17131</v>
      </c>
      <c r="F6157" t="s">
        <v>17132</v>
      </c>
      <c r="G6157" s="1"/>
      <c r="H6157" t="str">
        <f>"3250618500387"</f>
        <v>3250618500387</v>
      </c>
      <c r="J6157" t="s">
        <v>17139</v>
      </c>
    </row>
    <row r="6158" spans="1:10" x14ac:dyDescent="0.25">
      <c r="A6158" t="s">
        <v>8</v>
      </c>
      <c r="B6158" t="s">
        <v>17140</v>
      </c>
      <c r="C6158" t="s">
        <v>17141</v>
      </c>
      <c r="D6158">
        <v>1</v>
      </c>
      <c r="E6158" t="s">
        <v>17131</v>
      </c>
      <c r="F6158" t="s">
        <v>17132</v>
      </c>
      <c r="G6158" s="1"/>
      <c r="H6158" t="str">
        <f>"3250618500394"</f>
        <v>3250618500394</v>
      </c>
      <c r="J6158" t="s">
        <v>17142</v>
      </c>
    </row>
    <row r="6159" spans="1:10" x14ac:dyDescent="0.25">
      <c r="A6159" t="s">
        <v>8</v>
      </c>
      <c r="B6159" t="s">
        <v>17143</v>
      </c>
      <c r="C6159" t="s">
        <v>17144</v>
      </c>
      <c r="D6159">
        <v>1</v>
      </c>
      <c r="E6159" t="s">
        <v>17131</v>
      </c>
      <c r="F6159" t="s">
        <v>17132</v>
      </c>
      <c r="G6159" s="1"/>
      <c r="H6159" t="str">
        <f>"3250618500400"</f>
        <v>3250618500400</v>
      </c>
      <c r="J6159" t="s">
        <v>17145</v>
      </c>
    </row>
    <row r="6160" spans="1:10" x14ac:dyDescent="0.25">
      <c r="A6160" t="s">
        <v>8</v>
      </c>
      <c r="B6160" t="s">
        <v>17146</v>
      </c>
      <c r="C6160" t="s">
        <v>17147</v>
      </c>
      <c r="D6160">
        <v>1</v>
      </c>
      <c r="E6160" t="s">
        <v>17131</v>
      </c>
      <c r="F6160" t="s">
        <v>17132</v>
      </c>
      <c r="G6160" s="1"/>
      <c r="H6160" t="str">
        <f>"3250618500417"</f>
        <v>3250618500417</v>
      </c>
      <c r="J6160" t="s">
        <v>17148</v>
      </c>
    </row>
    <row r="6161" spans="1:10" x14ac:dyDescent="0.25">
      <c r="A6161" t="s">
        <v>8</v>
      </c>
      <c r="B6161" t="s">
        <v>17149</v>
      </c>
      <c r="C6161" t="s">
        <v>17150</v>
      </c>
      <c r="D6161">
        <v>1</v>
      </c>
      <c r="E6161" t="s">
        <v>17131</v>
      </c>
      <c r="F6161" t="s">
        <v>17132</v>
      </c>
      <c r="G6161" s="1"/>
      <c r="H6161" t="str">
        <f>"3250618500424"</f>
        <v>3250618500424</v>
      </c>
      <c r="J6161" t="s">
        <v>17151</v>
      </c>
    </row>
    <row r="6162" spans="1:10" x14ac:dyDescent="0.25">
      <c r="A6162" t="s">
        <v>8</v>
      </c>
      <c r="B6162" t="s">
        <v>17152</v>
      </c>
      <c r="C6162" t="s">
        <v>17153</v>
      </c>
      <c r="D6162">
        <v>1</v>
      </c>
      <c r="E6162" t="s">
        <v>17131</v>
      </c>
      <c r="F6162" t="s">
        <v>17132</v>
      </c>
      <c r="G6162" s="1"/>
      <c r="H6162" t="str">
        <f>"3250618500431"</f>
        <v>3250618500431</v>
      </c>
      <c r="J6162" t="s">
        <v>17154</v>
      </c>
    </row>
    <row r="6163" spans="1:10" x14ac:dyDescent="0.25">
      <c r="A6163" t="s">
        <v>8</v>
      </c>
      <c r="B6163" t="s">
        <v>17155</v>
      </c>
      <c r="C6163" t="s">
        <v>17156</v>
      </c>
      <c r="D6163">
        <v>1</v>
      </c>
      <c r="E6163" t="s">
        <v>17131</v>
      </c>
      <c r="F6163" t="s">
        <v>17132</v>
      </c>
      <c r="G6163" s="1"/>
      <c r="H6163" t="str">
        <f>"3250618500486"</f>
        <v>3250618500486</v>
      </c>
      <c r="J6163" t="s">
        <v>17157</v>
      </c>
    </row>
    <row r="6164" spans="1:10" x14ac:dyDescent="0.25">
      <c r="A6164" t="s">
        <v>8</v>
      </c>
      <c r="B6164" t="s">
        <v>17158</v>
      </c>
      <c r="C6164" t="s">
        <v>17159</v>
      </c>
      <c r="D6164">
        <v>1</v>
      </c>
      <c r="E6164" t="s">
        <v>17131</v>
      </c>
      <c r="F6164" t="s">
        <v>17132</v>
      </c>
      <c r="G6164" s="1"/>
      <c r="H6164" t="str">
        <f>"3250618500523"</f>
        <v>3250618500523</v>
      </c>
      <c r="J6164" t="s">
        <v>17160</v>
      </c>
    </row>
    <row r="6165" spans="1:10" x14ac:dyDescent="0.25">
      <c r="A6165" t="s">
        <v>8</v>
      </c>
      <c r="B6165" t="s">
        <v>17161</v>
      </c>
      <c r="C6165" t="s">
        <v>17162</v>
      </c>
      <c r="D6165">
        <v>1</v>
      </c>
      <c r="E6165" t="s">
        <v>17163</v>
      </c>
      <c r="F6165" t="s">
        <v>17164</v>
      </c>
      <c r="G6165" s="1"/>
      <c r="H6165" t="str">
        <f>"3250613416492"</f>
        <v>3250613416492</v>
      </c>
      <c r="J6165" t="s">
        <v>17165</v>
      </c>
    </row>
    <row r="6166" spans="1:10" x14ac:dyDescent="0.25">
      <c r="A6166" t="s">
        <v>8</v>
      </c>
      <c r="B6166" t="s">
        <v>17166</v>
      </c>
      <c r="C6166" t="s">
        <v>17167</v>
      </c>
      <c r="D6166">
        <v>1</v>
      </c>
      <c r="E6166" t="s">
        <v>17163</v>
      </c>
      <c r="F6166" t="s">
        <v>17164</v>
      </c>
      <c r="G6166" s="1"/>
      <c r="H6166" t="str">
        <f>"3250613416508"</f>
        <v>3250613416508</v>
      </c>
      <c r="J6166" t="s">
        <v>17168</v>
      </c>
    </row>
    <row r="6167" spans="1:10" x14ac:dyDescent="0.25">
      <c r="A6167" t="s">
        <v>8</v>
      </c>
      <c r="B6167" t="s">
        <v>17169</v>
      </c>
      <c r="C6167" t="s">
        <v>17170</v>
      </c>
      <c r="D6167">
        <v>1</v>
      </c>
      <c r="E6167" t="s">
        <v>17163</v>
      </c>
      <c r="F6167" t="s">
        <v>17164</v>
      </c>
      <c r="G6167" s="1"/>
      <c r="H6167" t="str">
        <f>"3250613416553"</f>
        <v>3250613416553</v>
      </c>
      <c r="J6167" t="s">
        <v>17171</v>
      </c>
    </row>
    <row r="6168" spans="1:10" x14ac:dyDescent="0.25">
      <c r="A6168" t="s">
        <v>8</v>
      </c>
      <c r="B6168" t="s">
        <v>17172</v>
      </c>
      <c r="C6168" t="s">
        <v>17173</v>
      </c>
      <c r="D6168">
        <v>1</v>
      </c>
      <c r="E6168" t="s">
        <v>17163</v>
      </c>
      <c r="F6168" t="s">
        <v>17164</v>
      </c>
      <c r="G6168" s="1"/>
      <c r="H6168" t="str">
        <f>"3250613416560"</f>
        <v>3250613416560</v>
      </c>
      <c r="J6168" t="s">
        <v>17174</v>
      </c>
    </row>
    <row r="6169" spans="1:10" x14ac:dyDescent="0.25">
      <c r="A6169" t="s">
        <v>8</v>
      </c>
      <c r="B6169" t="s">
        <v>17175</v>
      </c>
      <c r="C6169" t="s">
        <v>17176</v>
      </c>
      <c r="D6169">
        <v>1</v>
      </c>
      <c r="E6169" t="s">
        <v>17163</v>
      </c>
      <c r="F6169" t="s">
        <v>17164</v>
      </c>
      <c r="G6169" s="1"/>
      <c r="H6169" t="str">
        <f>"3250613416577"</f>
        <v>3250613416577</v>
      </c>
      <c r="J6169" t="s">
        <v>17177</v>
      </c>
    </row>
    <row r="6170" spans="1:10" x14ac:dyDescent="0.25">
      <c r="A6170" t="s">
        <v>8</v>
      </c>
      <c r="B6170" t="s">
        <v>17178</v>
      </c>
      <c r="C6170" t="s">
        <v>17179</v>
      </c>
      <c r="D6170">
        <v>1</v>
      </c>
      <c r="E6170" t="s">
        <v>17163</v>
      </c>
      <c r="F6170" t="s">
        <v>17164</v>
      </c>
      <c r="G6170" s="1"/>
      <c r="H6170" t="str">
        <f>"3250613416584"</f>
        <v>3250613416584</v>
      </c>
      <c r="J6170" t="s">
        <v>17180</v>
      </c>
    </row>
    <row r="6171" spans="1:10" x14ac:dyDescent="0.25">
      <c r="A6171" t="s">
        <v>8</v>
      </c>
      <c r="B6171" t="s">
        <v>17181</v>
      </c>
      <c r="C6171" t="s">
        <v>17182</v>
      </c>
      <c r="D6171">
        <v>1</v>
      </c>
      <c r="E6171" t="s">
        <v>17163</v>
      </c>
      <c r="F6171" t="s">
        <v>17164</v>
      </c>
      <c r="G6171" s="1"/>
      <c r="H6171" t="str">
        <f>"3250613148720"</f>
        <v>3250613148720</v>
      </c>
      <c r="I6171" s="1"/>
      <c r="J6171" t="s">
        <v>17183</v>
      </c>
    </row>
    <row r="6172" spans="1:10" x14ac:dyDescent="0.25">
      <c r="A6172" t="s">
        <v>8</v>
      </c>
      <c r="B6172" t="s">
        <v>17184</v>
      </c>
      <c r="C6172" t="s">
        <v>17185</v>
      </c>
      <c r="D6172">
        <v>1</v>
      </c>
      <c r="E6172" t="s">
        <v>17163</v>
      </c>
      <c r="F6172" t="s">
        <v>17164</v>
      </c>
      <c r="G6172" s="1"/>
      <c r="H6172" t="str">
        <f>"3250613148737"</f>
        <v>3250613148737</v>
      </c>
      <c r="J6172" t="s">
        <v>17186</v>
      </c>
    </row>
    <row r="6173" spans="1:10" x14ac:dyDescent="0.25">
      <c r="A6173" t="s">
        <v>8</v>
      </c>
      <c r="B6173" t="s">
        <v>17187</v>
      </c>
      <c r="C6173" t="s">
        <v>17188</v>
      </c>
      <c r="D6173">
        <v>1</v>
      </c>
      <c r="E6173" t="s">
        <v>17189</v>
      </c>
      <c r="F6173" t="s">
        <v>17190</v>
      </c>
      <c r="G6173" s="1"/>
      <c r="H6173" t="str">
        <f>"3250618504040"</f>
        <v>3250618504040</v>
      </c>
      <c r="J6173" t="s">
        <v>17191</v>
      </c>
    </row>
    <row r="6174" spans="1:10" x14ac:dyDescent="0.25">
      <c r="A6174" t="s">
        <v>8</v>
      </c>
      <c r="B6174" t="s">
        <v>17192</v>
      </c>
      <c r="C6174" t="s">
        <v>17193</v>
      </c>
      <c r="D6174">
        <v>1</v>
      </c>
      <c r="E6174" t="s">
        <v>17189</v>
      </c>
      <c r="F6174" t="s">
        <v>17190</v>
      </c>
      <c r="G6174" s="1"/>
      <c r="H6174" t="str">
        <f>"3250618504057"</f>
        <v>3250618504057</v>
      </c>
      <c r="J6174" t="s">
        <v>17194</v>
      </c>
    </row>
    <row r="6175" spans="1:10" x14ac:dyDescent="0.25">
      <c r="A6175" t="s">
        <v>8</v>
      </c>
      <c r="B6175" t="s">
        <v>17195</v>
      </c>
      <c r="C6175" t="s">
        <v>17196</v>
      </c>
      <c r="D6175">
        <v>1</v>
      </c>
      <c r="E6175" t="s">
        <v>17189</v>
      </c>
      <c r="F6175" t="s">
        <v>17190</v>
      </c>
      <c r="G6175" s="1"/>
      <c r="H6175" t="str">
        <f>"3250618504064"</f>
        <v>3250618504064</v>
      </c>
      <c r="J6175" t="s">
        <v>17197</v>
      </c>
    </row>
    <row r="6176" spans="1:10" x14ac:dyDescent="0.25">
      <c r="A6176" t="s">
        <v>8</v>
      </c>
      <c r="B6176" t="s">
        <v>17198</v>
      </c>
      <c r="C6176" t="s">
        <v>17199</v>
      </c>
      <c r="D6176">
        <v>1</v>
      </c>
      <c r="E6176" t="s">
        <v>17200</v>
      </c>
      <c r="F6176" t="s">
        <v>17201</v>
      </c>
      <c r="G6176" s="1"/>
      <c r="H6176" t="str">
        <f>"4012740992954"</f>
        <v>4012740992954</v>
      </c>
      <c r="J6176" t="s">
        <v>17202</v>
      </c>
    </row>
    <row r="6177" spans="1:10" x14ac:dyDescent="0.25">
      <c r="A6177" t="s">
        <v>8</v>
      </c>
      <c r="B6177" t="s">
        <v>17203</v>
      </c>
      <c r="C6177" t="s">
        <v>17204</v>
      </c>
      <c r="D6177">
        <v>1</v>
      </c>
      <c r="E6177" t="s">
        <v>17205</v>
      </c>
      <c r="F6177" t="s">
        <v>17206</v>
      </c>
      <c r="G6177" s="1"/>
      <c r="H6177" t="str">
        <f>"3250617060196"</f>
        <v>3250617060196</v>
      </c>
      <c r="J6177" t="s">
        <v>17207</v>
      </c>
    </row>
    <row r="6178" spans="1:10" x14ac:dyDescent="0.25">
      <c r="A6178" t="s">
        <v>8</v>
      </c>
      <c r="B6178" t="s">
        <v>17208</v>
      </c>
      <c r="C6178" t="s">
        <v>17209</v>
      </c>
      <c r="D6178">
        <v>1</v>
      </c>
      <c r="E6178" t="s">
        <v>17205</v>
      </c>
      <c r="F6178" t="s">
        <v>17206</v>
      </c>
      <c r="G6178" s="1"/>
      <c r="H6178" t="str">
        <f>"3250617060097"</f>
        <v>3250617060097</v>
      </c>
      <c r="J6178" t="s">
        <v>17210</v>
      </c>
    </row>
    <row r="6179" spans="1:10" x14ac:dyDescent="0.25">
      <c r="A6179" t="s">
        <v>8</v>
      </c>
      <c r="B6179" t="s">
        <v>17211</v>
      </c>
      <c r="C6179" t="s">
        <v>17212</v>
      </c>
      <c r="D6179">
        <v>1</v>
      </c>
      <c r="E6179" t="s">
        <v>17205</v>
      </c>
      <c r="F6179" t="s">
        <v>17206</v>
      </c>
      <c r="G6179" s="1"/>
      <c r="H6179" t="str">
        <f>"3250617060110"</f>
        <v>3250617060110</v>
      </c>
      <c r="J6179" t="s">
        <v>17213</v>
      </c>
    </row>
    <row r="6180" spans="1:10" x14ac:dyDescent="0.25">
      <c r="A6180" t="s">
        <v>8</v>
      </c>
      <c r="B6180" t="s">
        <v>17214</v>
      </c>
      <c r="C6180" t="s">
        <v>17215</v>
      </c>
      <c r="D6180">
        <v>1</v>
      </c>
      <c r="E6180" t="s">
        <v>17205</v>
      </c>
      <c r="F6180" t="s">
        <v>17206</v>
      </c>
      <c r="G6180" s="1"/>
      <c r="H6180" t="str">
        <f>"3250617060127"</f>
        <v>3250617060127</v>
      </c>
      <c r="J6180" t="s">
        <v>17216</v>
      </c>
    </row>
    <row r="6181" spans="1:10" x14ac:dyDescent="0.25">
      <c r="A6181" t="s">
        <v>8</v>
      </c>
      <c r="B6181" t="s">
        <v>17217</v>
      </c>
      <c r="C6181" t="s">
        <v>17218</v>
      </c>
      <c r="D6181">
        <v>1</v>
      </c>
      <c r="E6181" t="s">
        <v>17205</v>
      </c>
      <c r="F6181" t="s">
        <v>17206</v>
      </c>
      <c r="G6181" s="1"/>
      <c r="H6181" t="str">
        <f>"3250617060134"</f>
        <v>3250617060134</v>
      </c>
      <c r="J6181" t="s">
        <v>17219</v>
      </c>
    </row>
    <row r="6182" spans="1:10" x14ac:dyDescent="0.25">
      <c r="A6182" t="s">
        <v>8</v>
      </c>
      <c r="B6182" t="s">
        <v>17220</v>
      </c>
      <c r="C6182" t="s">
        <v>17221</v>
      </c>
      <c r="D6182">
        <v>1</v>
      </c>
      <c r="E6182" t="s">
        <v>17205</v>
      </c>
      <c r="F6182" t="s">
        <v>17206</v>
      </c>
      <c r="G6182" s="1"/>
      <c r="H6182" t="str">
        <f>"3250617060141"</f>
        <v>3250617060141</v>
      </c>
      <c r="J6182" t="s">
        <v>17222</v>
      </c>
    </row>
    <row r="6183" spans="1:10" x14ac:dyDescent="0.25">
      <c r="A6183" t="s">
        <v>8</v>
      </c>
      <c r="B6183" t="s">
        <v>17223</v>
      </c>
      <c r="C6183" t="s">
        <v>17224</v>
      </c>
      <c r="D6183">
        <v>1</v>
      </c>
      <c r="E6183" t="s">
        <v>17205</v>
      </c>
      <c r="F6183" t="s">
        <v>17206</v>
      </c>
      <c r="G6183" s="1"/>
      <c r="H6183" t="str">
        <f>"3250617060158"</f>
        <v>3250617060158</v>
      </c>
      <c r="J6183" t="s">
        <v>17225</v>
      </c>
    </row>
    <row r="6184" spans="1:10" x14ac:dyDescent="0.25">
      <c r="A6184" t="s">
        <v>8</v>
      </c>
      <c r="B6184" t="s">
        <v>17226</v>
      </c>
      <c r="C6184" t="s">
        <v>17227</v>
      </c>
      <c r="D6184">
        <v>1</v>
      </c>
      <c r="E6184" t="s">
        <v>17205</v>
      </c>
      <c r="F6184" t="s">
        <v>17206</v>
      </c>
      <c r="G6184" s="1"/>
      <c r="H6184" t="str">
        <f>"3250617060165"</f>
        <v>3250617060165</v>
      </c>
      <c r="J6184" t="s">
        <v>17228</v>
      </c>
    </row>
    <row r="6185" spans="1:10" x14ac:dyDescent="0.25">
      <c r="A6185" t="s">
        <v>8</v>
      </c>
      <c r="B6185" t="s">
        <v>17229</v>
      </c>
      <c r="C6185" t="s">
        <v>9100</v>
      </c>
      <c r="D6185">
        <v>1</v>
      </c>
      <c r="E6185" t="s">
        <v>17205</v>
      </c>
      <c r="F6185" t="s">
        <v>17206</v>
      </c>
      <c r="G6185" s="1"/>
      <c r="H6185" t="str">
        <f>"3250617200301"</f>
        <v>3250617200301</v>
      </c>
      <c r="J6185" t="s">
        <v>17230</v>
      </c>
    </row>
    <row r="6186" spans="1:10" x14ac:dyDescent="0.25">
      <c r="A6186" t="s">
        <v>8</v>
      </c>
      <c r="B6186" t="s">
        <v>17231</v>
      </c>
      <c r="C6186" t="s">
        <v>17232</v>
      </c>
      <c r="D6186">
        <v>1</v>
      </c>
      <c r="E6186" t="s">
        <v>17205</v>
      </c>
      <c r="F6186" t="s">
        <v>17206</v>
      </c>
      <c r="G6186" s="1"/>
      <c r="H6186" t="str">
        <f>"3250610128947"</f>
        <v>3250610128947</v>
      </c>
      <c r="J6186" t="s">
        <v>17228</v>
      </c>
    </row>
    <row r="6187" spans="1:10" x14ac:dyDescent="0.25">
      <c r="A6187" t="s">
        <v>8</v>
      </c>
      <c r="B6187" t="s">
        <v>17233</v>
      </c>
      <c r="C6187" t="s">
        <v>17234</v>
      </c>
      <c r="D6187">
        <v>1</v>
      </c>
      <c r="E6187" t="s">
        <v>17235</v>
      </c>
      <c r="F6187" t="s">
        <v>17236</v>
      </c>
      <c r="G6187" s="1"/>
      <c r="H6187" t="str">
        <f>"3250617579902"</f>
        <v>3250617579902</v>
      </c>
      <c r="J6187" t="s">
        <v>17237</v>
      </c>
    </row>
    <row r="6188" spans="1:10" x14ac:dyDescent="0.25">
      <c r="A6188" t="s">
        <v>8</v>
      </c>
      <c r="B6188" t="s">
        <v>17238</v>
      </c>
      <c r="C6188" t="s">
        <v>17239</v>
      </c>
      <c r="D6188">
        <v>1</v>
      </c>
      <c r="E6188" t="s">
        <v>17235</v>
      </c>
      <c r="F6188" t="s">
        <v>17236</v>
      </c>
      <c r="G6188" s="1"/>
      <c r="H6188" t="str">
        <f>"3250618502435"</f>
        <v>3250618502435</v>
      </c>
      <c r="J6188" t="s">
        <v>17240</v>
      </c>
    </row>
    <row r="6189" spans="1:10" x14ac:dyDescent="0.25">
      <c r="A6189" t="s">
        <v>8</v>
      </c>
      <c r="B6189" t="s">
        <v>17241</v>
      </c>
      <c r="C6189" t="s">
        <v>17242</v>
      </c>
      <c r="D6189">
        <v>1</v>
      </c>
      <c r="E6189" t="s">
        <v>17235</v>
      </c>
      <c r="F6189" t="s">
        <v>17236</v>
      </c>
      <c r="G6189" s="1"/>
      <c r="H6189" t="str">
        <f>"3250617579919"</f>
        <v>3250617579919</v>
      </c>
      <c r="J6189" t="s">
        <v>17243</v>
      </c>
    </row>
    <row r="6190" spans="1:10" x14ac:dyDescent="0.25">
      <c r="A6190" t="s">
        <v>8</v>
      </c>
      <c r="B6190" t="s">
        <v>17244</v>
      </c>
      <c r="C6190" t="s">
        <v>17245</v>
      </c>
      <c r="D6190">
        <v>1</v>
      </c>
      <c r="E6190" t="s">
        <v>17235</v>
      </c>
      <c r="F6190" t="s">
        <v>17236</v>
      </c>
      <c r="G6190" s="1"/>
      <c r="H6190" t="str">
        <f>"3250617579926"</f>
        <v>3250617579926</v>
      </c>
      <c r="J6190" t="s">
        <v>17246</v>
      </c>
    </row>
    <row r="6191" spans="1:10" x14ac:dyDescent="0.25">
      <c r="A6191" t="s">
        <v>8</v>
      </c>
      <c r="B6191" t="s">
        <v>17247</v>
      </c>
      <c r="C6191" t="s">
        <v>17248</v>
      </c>
      <c r="D6191">
        <v>1</v>
      </c>
      <c r="E6191" t="s">
        <v>17235</v>
      </c>
      <c r="F6191" t="s">
        <v>17236</v>
      </c>
      <c r="G6191" s="1"/>
      <c r="H6191" t="str">
        <f>"3250617579896"</f>
        <v>3250617579896</v>
      </c>
      <c r="J6191" t="s">
        <v>17249</v>
      </c>
    </row>
    <row r="6192" spans="1:10" x14ac:dyDescent="0.25">
      <c r="A6192" t="s">
        <v>8</v>
      </c>
      <c r="B6192" t="s">
        <v>17250</v>
      </c>
      <c r="C6192" t="s">
        <v>17251</v>
      </c>
      <c r="D6192">
        <v>1</v>
      </c>
      <c r="E6192" t="s">
        <v>17252</v>
      </c>
      <c r="F6192" t="s">
        <v>17253</v>
      </c>
      <c r="G6192" s="1"/>
      <c r="H6192" t="str">
        <f>"4012740017398"</f>
        <v>4012740017398</v>
      </c>
      <c r="J6192" t="s">
        <v>17254</v>
      </c>
    </row>
    <row r="6193" spans="1:10" x14ac:dyDescent="0.25">
      <c r="A6193" t="s">
        <v>8</v>
      </c>
      <c r="B6193" t="s">
        <v>17255</v>
      </c>
      <c r="C6193" t="s">
        <v>17256</v>
      </c>
      <c r="D6193">
        <v>1</v>
      </c>
      <c r="E6193" t="s">
        <v>17257</v>
      </c>
      <c r="F6193" t="s">
        <v>17258</v>
      </c>
      <c r="G6193" s="1"/>
      <c r="H6193" t="str">
        <f>"4012740017404"</f>
        <v>4012740017404</v>
      </c>
      <c r="J6193" t="s">
        <v>3485</v>
      </c>
    </row>
    <row r="6194" spans="1:10" x14ac:dyDescent="0.25">
      <c r="A6194" t="s">
        <v>8</v>
      </c>
      <c r="B6194" t="s">
        <v>17259</v>
      </c>
      <c r="C6194" t="s">
        <v>17260</v>
      </c>
      <c r="D6194">
        <v>1</v>
      </c>
      <c r="E6194" t="s">
        <v>17257</v>
      </c>
      <c r="F6194" t="s">
        <v>17258</v>
      </c>
      <c r="G6194" s="1"/>
      <c r="H6194" t="str">
        <f>"4012740017411"</f>
        <v>4012740017411</v>
      </c>
      <c r="J6194" t="s">
        <v>3485</v>
      </c>
    </row>
    <row r="6195" spans="1:10" x14ac:dyDescent="0.25">
      <c r="A6195" t="s">
        <v>8</v>
      </c>
      <c r="B6195" t="s">
        <v>17261</v>
      </c>
      <c r="C6195" t="s">
        <v>17262</v>
      </c>
      <c r="D6195">
        <v>1</v>
      </c>
      <c r="E6195" t="s">
        <v>17257</v>
      </c>
      <c r="F6195" t="s">
        <v>17258</v>
      </c>
      <c r="G6195" s="1"/>
      <c r="H6195" t="str">
        <f>"4012740017428"</f>
        <v>4012740017428</v>
      </c>
      <c r="J6195" t="s">
        <v>12423</v>
      </c>
    </row>
    <row r="6196" spans="1:10" x14ac:dyDescent="0.25">
      <c r="A6196" t="s">
        <v>8</v>
      </c>
      <c r="B6196" t="s">
        <v>17263</v>
      </c>
      <c r="C6196" t="s">
        <v>17264</v>
      </c>
      <c r="D6196">
        <v>1</v>
      </c>
      <c r="E6196" t="s">
        <v>17257</v>
      </c>
      <c r="F6196" t="s">
        <v>17258</v>
      </c>
      <c r="G6196" s="1"/>
      <c r="H6196" t="str">
        <f>"4012740017459"</f>
        <v>4012740017459</v>
      </c>
      <c r="J6196" t="s">
        <v>17265</v>
      </c>
    </row>
    <row r="6197" spans="1:10" x14ac:dyDescent="0.25">
      <c r="A6197" t="s">
        <v>8</v>
      </c>
      <c r="B6197" t="s">
        <v>17266</v>
      </c>
      <c r="C6197" t="s">
        <v>17267</v>
      </c>
      <c r="D6197">
        <v>1</v>
      </c>
      <c r="E6197" t="s">
        <v>17257</v>
      </c>
      <c r="F6197" t="s">
        <v>17258</v>
      </c>
      <c r="G6197" s="1"/>
      <c r="H6197" t="str">
        <f>"4012740017466"</f>
        <v>4012740017466</v>
      </c>
      <c r="J6197" t="s">
        <v>17268</v>
      </c>
    </row>
    <row r="6198" spans="1:10" x14ac:dyDescent="0.25">
      <c r="A6198" t="s">
        <v>8</v>
      </c>
      <c r="B6198" t="s">
        <v>17269</v>
      </c>
      <c r="C6198" t="s">
        <v>17270</v>
      </c>
      <c r="D6198">
        <v>1</v>
      </c>
      <c r="E6198" t="s">
        <v>17257</v>
      </c>
      <c r="F6198" t="s">
        <v>17258</v>
      </c>
      <c r="G6198" s="1"/>
      <c r="H6198" t="str">
        <f>"4012740017473"</f>
        <v>4012740017473</v>
      </c>
      <c r="J6198" t="s">
        <v>17271</v>
      </c>
    </row>
    <row r="6199" spans="1:10" x14ac:dyDescent="0.25">
      <c r="A6199" t="s">
        <v>8</v>
      </c>
      <c r="B6199" t="s">
        <v>17272</v>
      </c>
      <c r="C6199" t="s">
        <v>17273</v>
      </c>
      <c r="D6199">
        <v>1</v>
      </c>
      <c r="E6199" t="s">
        <v>17257</v>
      </c>
      <c r="F6199" t="s">
        <v>17258</v>
      </c>
      <c r="G6199" s="1"/>
      <c r="H6199" t="str">
        <f>"4012740017435"</f>
        <v>4012740017435</v>
      </c>
      <c r="J6199" t="s">
        <v>12449</v>
      </c>
    </row>
    <row r="6200" spans="1:10" x14ac:dyDescent="0.25">
      <c r="A6200" t="s">
        <v>8</v>
      </c>
      <c r="B6200" t="s">
        <v>17274</v>
      </c>
      <c r="C6200" t="s">
        <v>17275</v>
      </c>
      <c r="D6200">
        <v>1</v>
      </c>
      <c r="E6200" t="s">
        <v>17276</v>
      </c>
      <c r="F6200" t="s">
        <v>17277</v>
      </c>
      <c r="G6200" s="1"/>
      <c r="H6200" t="str">
        <f>"4012740023368"</f>
        <v>4012740023368</v>
      </c>
      <c r="J6200" t="s">
        <v>17278</v>
      </c>
    </row>
    <row r="6201" spans="1:10" x14ac:dyDescent="0.25">
      <c r="A6201" t="s">
        <v>8</v>
      </c>
      <c r="B6201" t="s">
        <v>17279</v>
      </c>
      <c r="C6201" t="s">
        <v>17280</v>
      </c>
      <c r="D6201">
        <v>1</v>
      </c>
      <c r="E6201" t="s">
        <v>17276</v>
      </c>
      <c r="F6201" t="s">
        <v>17277</v>
      </c>
      <c r="G6201" s="1"/>
      <c r="H6201" t="str">
        <f>"4012740014977"</f>
        <v>4012740014977</v>
      </c>
      <c r="J6201" t="s">
        <v>17281</v>
      </c>
    </row>
    <row r="6202" spans="1:10" x14ac:dyDescent="0.25">
      <c r="A6202" t="s">
        <v>8</v>
      </c>
      <c r="B6202" t="s">
        <v>17282</v>
      </c>
      <c r="C6202" t="s">
        <v>17283</v>
      </c>
      <c r="D6202">
        <v>1</v>
      </c>
      <c r="E6202" t="s">
        <v>17276</v>
      </c>
      <c r="F6202" t="s">
        <v>17277</v>
      </c>
      <c r="G6202" s="1"/>
      <c r="H6202" t="str">
        <f>"4012740023375"</f>
        <v>4012740023375</v>
      </c>
      <c r="J6202" t="s">
        <v>17284</v>
      </c>
    </row>
    <row r="6203" spans="1:10" x14ac:dyDescent="0.25">
      <c r="A6203" t="s">
        <v>8</v>
      </c>
      <c r="B6203" t="s">
        <v>17285</v>
      </c>
      <c r="C6203" t="s">
        <v>17286</v>
      </c>
      <c r="D6203">
        <v>1</v>
      </c>
      <c r="E6203" t="s">
        <v>17276</v>
      </c>
      <c r="F6203" t="s">
        <v>17277</v>
      </c>
      <c r="G6203" s="1"/>
      <c r="H6203" t="str">
        <f>"4012740023382"</f>
        <v>4012740023382</v>
      </c>
      <c r="J6203" t="s">
        <v>17287</v>
      </c>
    </row>
    <row r="6204" spans="1:10" x14ac:dyDescent="0.25">
      <c r="A6204" t="s">
        <v>8</v>
      </c>
      <c r="B6204" t="s">
        <v>17288</v>
      </c>
      <c r="C6204" t="s">
        <v>17289</v>
      </c>
      <c r="D6204">
        <v>1</v>
      </c>
      <c r="E6204" t="s">
        <v>17276</v>
      </c>
      <c r="F6204" t="s">
        <v>17277</v>
      </c>
      <c r="G6204" s="1"/>
      <c r="H6204" t="str">
        <f>"4012740014991"</f>
        <v>4012740014991</v>
      </c>
      <c r="J6204" t="s">
        <v>17290</v>
      </c>
    </row>
    <row r="6205" spans="1:10" x14ac:dyDescent="0.25">
      <c r="A6205" t="s">
        <v>8</v>
      </c>
      <c r="B6205" t="s">
        <v>17291</v>
      </c>
      <c r="C6205" t="s">
        <v>17292</v>
      </c>
      <c r="D6205">
        <v>1</v>
      </c>
      <c r="E6205" t="s">
        <v>17276</v>
      </c>
      <c r="F6205" t="s">
        <v>17277</v>
      </c>
      <c r="G6205" s="1"/>
      <c r="H6205" t="str">
        <f>"4012740023399"</f>
        <v>4012740023399</v>
      </c>
      <c r="J6205" t="s">
        <v>17293</v>
      </c>
    </row>
    <row r="6206" spans="1:10" x14ac:dyDescent="0.25">
      <c r="A6206" t="s">
        <v>8</v>
      </c>
      <c r="B6206" t="s">
        <v>17294</v>
      </c>
      <c r="C6206" t="s">
        <v>17295</v>
      </c>
      <c r="D6206">
        <v>1</v>
      </c>
      <c r="E6206" t="s">
        <v>17276</v>
      </c>
      <c r="F6206" t="s">
        <v>17277</v>
      </c>
      <c r="G6206" s="1"/>
      <c r="H6206" t="str">
        <f>"4012740023405"</f>
        <v>4012740023405</v>
      </c>
      <c r="J6206" t="s">
        <v>17287</v>
      </c>
    </row>
    <row r="6207" spans="1:10" x14ac:dyDescent="0.25">
      <c r="A6207" t="s">
        <v>8</v>
      </c>
      <c r="B6207" t="s">
        <v>17296</v>
      </c>
      <c r="C6207" t="s">
        <v>17297</v>
      </c>
      <c r="D6207">
        <v>1</v>
      </c>
      <c r="E6207" t="s">
        <v>17276</v>
      </c>
      <c r="F6207" t="s">
        <v>17277</v>
      </c>
      <c r="G6207" s="1"/>
      <c r="H6207" t="str">
        <f>"4012740015004"</f>
        <v>4012740015004</v>
      </c>
      <c r="J6207" t="s">
        <v>17290</v>
      </c>
    </row>
    <row r="6208" spans="1:10" x14ac:dyDescent="0.25">
      <c r="A6208" t="s">
        <v>8</v>
      </c>
      <c r="B6208" t="s">
        <v>17298</v>
      </c>
      <c r="C6208" t="s">
        <v>17299</v>
      </c>
      <c r="D6208">
        <v>1</v>
      </c>
      <c r="E6208" t="s">
        <v>17276</v>
      </c>
      <c r="F6208" t="s">
        <v>17277</v>
      </c>
      <c r="G6208" s="1"/>
      <c r="H6208" t="str">
        <f>"4012740023412"</f>
        <v>4012740023412</v>
      </c>
      <c r="J6208" t="s">
        <v>17293</v>
      </c>
    </row>
    <row r="6209" spans="1:10" x14ac:dyDescent="0.25">
      <c r="A6209" t="s">
        <v>8</v>
      </c>
      <c r="B6209" t="s">
        <v>17300</v>
      </c>
      <c r="C6209" t="s">
        <v>17301</v>
      </c>
      <c r="D6209">
        <v>1</v>
      </c>
      <c r="E6209" t="s">
        <v>17276</v>
      </c>
      <c r="F6209" t="s">
        <v>17277</v>
      </c>
      <c r="G6209" s="1"/>
      <c r="H6209" t="str">
        <f>"4012740023429"</f>
        <v>4012740023429</v>
      </c>
      <c r="J6209" t="s">
        <v>17302</v>
      </c>
    </row>
    <row r="6210" spans="1:10" x14ac:dyDescent="0.25">
      <c r="A6210" t="s">
        <v>8</v>
      </c>
      <c r="B6210" t="s">
        <v>17303</v>
      </c>
      <c r="C6210" t="s">
        <v>17304</v>
      </c>
      <c r="D6210">
        <v>1</v>
      </c>
      <c r="E6210" t="s">
        <v>17276</v>
      </c>
      <c r="F6210" t="s">
        <v>17277</v>
      </c>
      <c r="G6210" s="1"/>
      <c r="H6210" t="str">
        <f>"4012740015011"</f>
        <v>4012740015011</v>
      </c>
      <c r="J6210" t="s">
        <v>17305</v>
      </c>
    </row>
    <row r="6211" spans="1:10" x14ac:dyDescent="0.25">
      <c r="A6211" t="s">
        <v>8</v>
      </c>
      <c r="B6211" t="s">
        <v>17306</v>
      </c>
      <c r="C6211" t="s">
        <v>17307</v>
      </c>
      <c r="D6211">
        <v>1</v>
      </c>
      <c r="E6211" t="s">
        <v>17276</v>
      </c>
      <c r="F6211" t="s">
        <v>17277</v>
      </c>
      <c r="G6211" s="1"/>
      <c r="H6211" t="str">
        <f>"4012740023436"</f>
        <v>4012740023436</v>
      </c>
      <c r="J6211" t="s">
        <v>17308</v>
      </c>
    </row>
    <row r="6212" spans="1:10" x14ac:dyDescent="0.25">
      <c r="A6212" t="s">
        <v>8</v>
      </c>
      <c r="B6212" t="s">
        <v>17309</v>
      </c>
      <c r="C6212" t="s">
        <v>17310</v>
      </c>
      <c r="D6212">
        <v>1</v>
      </c>
      <c r="E6212" t="s">
        <v>17276</v>
      </c>
      <c r="F6212" t="s">
        <v>17277</v>
      </c>
      <c r="G6212" s="1"/>
      <c r="H6212" t="str">
        <f>"4012740023443"</f>
        <v>4012740023443</v>
      </c>
      <c r="J6212" t="s">
        <v>17311</v>
      </c>
    </row>
    <row r="6213" spans="1:10" x14ac:dyDescent="0.25">
      <c r="A6213" t="s">
        <v>8</v>
      </c>
      <c r="B6213" t="s">
        <v>17312</v>
      </c>
      <c r="C6213" t="s">
        <v>17313</v>
      </c>
      <c r="D6213">
        <v>1</v>
      </c>
      <c r="E6213" t="s">
        <v>17276</v>
      </c>
      <c r="F6213" t="s">
        <v>17277</v>
      </c>
      <c r="G6213" s="1"/>
      <c r="H6213" t="str">
        <f>"4012740015028"</f>
        <v>4012740015028</v>
      </c>
      <c r="J6213" t="s">
        <v>17314</v>
      </c>
    </row>
    <row r="6214" spans="1:10" x14ac:dyDescent="0.25">
      <c r="A6214" t="s">
        <v>8</v>
      </c>
      <c r="B6214" t="s">
        <v>17315</v>
      </c>
      <c r="C6214" t="s">
        <v>17316</v>
      </c>
      <c r="D6214">
        <v>1</v>
      </c>
      <c r="E6214" t="s">
        <v>17276</v>
      </c>
      <c r="F6214" t="s">
        <v>17277</v>
      </c>
      <c r="G6214" s="1"/>
      <c r="H6214" t="str">
        <f>"4012740023450"</f>
        <v>4012740023450</v>
      </c>
      <c r="J6214" t="s">
        <v>17317</v>
      </c>
    </row>
    <row r="6215" spans="1:10" x14ac:dyDescent="0.25">
      <c r="A6215" t="s">
        <v>8</v>
      </c>
      <c r="B6215" t="s">
        <v>17318</v>
      </c>
      <c r="C6215" t="s">
        <v>17319</v>
      </c>
      <c r="D6215">
        <v>1</v>
      </c>
      <c r="E6215" t="s">
        <v>17276</v>
      </c>
      <c r="F6215" t="s">
        <v>17277</v>
      </c>
      <c r="G6215" s="1"/>
      <c r="H6215" t="str">
        <f>"4012740023467"</f>
        <v>4012740023467</v>
      </c>
      <c r="J6215" t="s">
        <v>17320</v>
      </c>
    </row>
    <row r="6216" spans="1:10" x14ac:dyDescent="0.25">
      <c r="A6216" t="s">
        <v>8</v>
      </c>
      <c r="B6216" t="s">
        <v>17321</v>
      </c>
      <c r="C6216" t="s">
        <v>17322</v>
      </c>
      <c r="D6216">
        <v>1</v>
      </c>
      <c r="E6216" t="s">
        <v>17276</v>
      </c>
      <c r="F6216" t="s">
        <v>17277</v>
      </c>
      <c r="G6216" s="1"/>
      <c r="H6216" t="str">
        <f>"4012740015035"</f>
        <v>4012740015035</v>
      </c>
      <c r="J6216" t="s">
        <v>17323</v>
      </c>
    </row>
    <row r="6217" spans="1:10" x14ac:dyDescent="0.25">
      <c r="A6217" t="s">
        <v>8</v>
      </c>
      <c r="B6217" t="s">
        <v>17324</v>
      </c>
      <c r="C6217" t="s">
        <v>17325</v>
      </c>
      <c r="D6217">
        <v>1</v>
      </c>
      <c r="E6217" t="s">
        <v>17276</v>
      </c>
      <c r="F6217" t="s">
        <v>17277</v>
      </c>
      <c r="G6217" s="1"/>
      <c r="H6217" t="str">
        <f>"4012740015042"</f>
        <v>4012740015042</v>
      </c>
      <c r="J6217" t="s">
        <v>17326</v>
      </c>
    </row>
    <row r="6218" spans="1:10" x14ac:dyDescent="0.25">
      <c r="A6218" t="s">
        <v>8</v>
      </c>
      <c r="B6218" t="s">
        <v>17327</v>
      </c>
      <c r="C6218" t="s">
        <v>17328</v>
      </c>
      <c r="D6218">
        <v>1</v>
      </c>
      <c r="E6218" t="s">
        <v>17276</v>
      </c>
      <c r="F6218" t="s">
        <v>17277</v>
      </c>
      <c r="G6218" s="1"/>
      <c r="H6218" t="str">
        <f>"4012740015066"</f>
        <v>4012740015066</v>
      </c>
      <c r="J6218" t="s">
        <v>17329</v>
      </c>
    </row>
    <row r="6219" spans="1:10" x14ac:dyDescent="0.25">
      <c r="A6219" t="s">
        <v>8</v>
      </c>
      <c r="B6219" t="s">
        <v>17330</v>
      </c>
      <c r="C6219" t="s">
        <v>17331</v>
      </c>
      <c r="D6219">
        <v>1</v>
      </c>
      <c r="E6219" t="s">
        <v>17276</v>
      </c>
      <c r="F6219" t="s">
        <v>17277</v>
      </c>
      <c r="G6219" s="1"/>
      <c r="H6219" t="str">
        <f>"4012740015073"</f>
        <v>4012740015073</v>
      </c>
      <c r="J6219" t="s">
        <v>17329</v>
      </c>
    </row>
    <row r="6220" spans="1:10" x14ac:dyDescent="0.25">
      <c r="A6220" t="s">
        <v>8</v>
      </c>
      <c r="B6220" t="s">
        <v>17332</v>
      </c>
      <c r="C6220" t="s">
        <v>17333</v>
      </c>
      <c r="D6220">
        <v>1</v>
      </c>
      <c r="E6220" t="s">
        <v>17276</v>
      </c>
      <c r="F6220" t="s">
        <v>17277</v>
      </c>
      <c r="G6220" s="1"/>
      <c r="H6220" t="str">
        <f>"4012740015080"</f>
        <v>4012740015080</v>
      </c>
      <c r="J6220" t="s">
        <v>17334</v>
      </c>
    </row>
    <row r="6221" spans="1:10" x14ac:dyDescent="0.25">
      <c r="A6221" t="s">
        <v>8</v>
      </c>
      <c r="B6221" t="s">
        <v>17335</v>
      </c>
      <c r="C6221" t="s">
        <v>17336</v>
      </c>
      <c r="D6221">
        <v>1</v>
      </c>
      <c r="E6221" t="s">
        <v>17276</v>
      </c>
      <c r="F6221" t="s">
        <v>17277</v>
      </c>
      <c r="G6221" s="1"/>
      <c r="H6221" t="str">
        <f>"4012740015097"</f>
        <v>4012740015097</v>
      </c>
      <c r="J6221" t="s">
        <v>17337</v>
      </c>
    </row>
    <row r="6222" spans="1:10" x14ac:dyDescent="0.25">
      <c r="A6222" t="s">
        <v>8</v>
      </c>
      <c r="B6222" t="s">
        <v>17338</v>
      </c>
      <c r="C6222" t="s">
        <v>17339</v>
      </c>
      <c r="D6222">
        <v>1</v>
      </c>
      <c r="E6222" t="s">
        <v>17276</v>
      </c>
      <c r="F6222" t="s">
        <v>17277</v>
      </c>
      <c r="G6222" s="1"/>
      <c r="H6222" t="str">
        <f>"4012740015103"</f>
        <v>4012740015103</v>
      </c>
      <c r="J6222" t="s">
        <v>17340</v>
      </c>
    </row>
    <row r="6223" spans="1:10" x14ac:dyDescent="0.25">
      <c r="A6223" t="s">
        <v>8</v>
      </c>
      <c r="B6223" t="s">
        <v>17341</v>
      </c>
      <c r="C6223" t="s">
        <v>17342</v>
      </c>
      <c r="D6223">
        <v>1</v>
      </c>
      <c r="E6223" t="s">
        <v>17276</v>
      </c>
      <c r="F6223" t="s">
        <v>17277</v>
      </c>
      <c r="G6223" s="1"/>
      <c r="H6223" t="str">
        <f>"4012740015110"</f>
        <v>4012740015110</v>
      </c>
      <c r="J6223" t="s">
        <v>17343</v>
      </c>
    </row>
    <row r="6224" spans="1:10" x14ac:dyDescent="0.25">
      <c r="A6224" t="s">
        <v>8</v>
      </c>
      <c r="B6224" t="s">
        <v>17344</v>
      </c>
      <c r="C6224" t="s">
        <v>17345</v>
      </c>
      <c r="D6224">
        <v>1</v>
      </c>
      <c r="E6224" t="s">
        <v>17276</v>
      </c>
      <c r="F6224" t="s">
        <v>17277</v>
      </c>
      <c r="G6224" s="1"/>
      <c r="H6224" t="str">
        <f>"4012740015127"</f>
        <v>4012740015127</v>
      </c>
      <c r="J6224" t="s">
        <v>17346</v>
      </c>
    </row>
    <row r="6225" spans="1:10" x14ac:dyDescent="0.25">
      <c r="A6225" t="s">
        <v>8</v>
      </c>
      <c r="B6225" t="s">
        <v>17347</v>
      </c>
      <c r="C6225" t="s">
        <v>17348</v>
      </c>
      <c r="D6225">
        <v>1</v>
      </c>
      <c r="E6225" t="s">
        <v>17276</v>
      </c>
      <c r="F6225" t="s">
        <v>17277</v>
      </c>
      <c r="G6225" s="1"/>
      <c r="H6225" t="str">
        <f>"4012740015134"</f>
        <v>4012740015134</v>
      </c>
      <c r="J6225" t="s">
        <v>17349</v>
      </c>
    </row>
    <row r="6226" spans="1:10" x14ac:dyDescent="0.25">
      <c r="A6226" t="s">
        <v>8</v>
      </c>
      <c r="B6226" t="s">
        <v>17350</v>
      </c>
      <c r="C6226" t="s">
        <v>17351</v>
      </c>
      <c r="D6226">
        <v>1</v>
      </c>
      <c r="E6226" t="s">
        <v>17276</v>
      </c>
      <c r="F6226" t="s">
        <v>17277</v>
      </c>
      <c r="G6226" s="1"/>
      <c r="H6226" t="str">
        <f>"4012740023474"</f>
        <v>4012740023474</v>
      </c>
      <c r="J6226" t="s">
        <v>17352</v>
      </c>
    </row>
    <row r="6227" spans="1:10" x14ac:dyDescent="0.25">
      <c r="A6227" t="s">
        <v>8</v>
      </c>
      <c r="B6227" t="s">
        <v>17353</v>
      </c>
      <c r="C6227" t="s">
        <v>17354</v>
      </c>
      <c r="D6227">
        <v>1</v>
      </c>
      <c r="E6227" t="s">
        <v>17276</v>
      </c>
      <c r="F6227" t="s">
        <v>17277</v>
      </c>
      <c r="G6227" s="1"/>
      <c r="H6227" t="str">
        <f>"4012740015158"</f>
        <v>4012740015158</v>
      </c>
      <c r="J6227" t="s">
        <v>17356</v>
      </c>
    </row>
    <row r="6228" spans="1:10" x14ac:dyDescent="0.25">
      <c r="A6228" t="s">
        <v>8</v>
      </c>
      <c r="B6228" t="s">
        <v>17357</v>
      </c>
      <c r="C6228" t="s">
        <v>17358</v>
      </c>
      <c r="D6228">
        <v>1</v>
      </c>
      <c r="E6228" t="s">
        <v>17276</v>
      </c>
      <c r="F6228" t="s">
        <v>17277</v>
      </c>
      <c r="G6228" s="1"/>
      <c r="H6228" t="str">
        <f>"4012740023481"</f>
        <v>4012740023481</v>
      </c>
      <c r="J6228" t="s">
        <v>17359</v>
      </c>
    </row>
    <row r="6229" spans="1:10" x14ac:dyDescent="0.25">
      <c r="A6229" t="s">
        <v>8</v>
      </c>
      <c r="B6229" t="s">
        <v>17360</v>
      </c>
      <c r="C6229" t="s">
        <v>17361</v>
      </c>
      <c r="D6229">
        <v>1</v>
      </c>
      <c r="E6229" t="s">
        <v>17276</v>
      </c>
      <c r="F6229" t="s">
        <v>17277</v>
      </c>
      <c r="G6229" s="1"/>
      <c r="H6229" t="str">
        <f>"4012740023498"</f>
        <v>4012740023498</v>
      </c>
      <c r="J6229" t="s">
        <v>17362</v>
      </c>
    </row>
    <row r="6230" spans="1:10" x14ac:dyDescent="0.25">
      <c r="A6230" t="s">
        <v>8</v>
      </c>
      <c r="B6230" t="s">
        <v>17363</v>
      </c>
      <c r="C6230" t="s">
        <v>17364</v>
      </c>
      <c r="D6230">
        <v>1</v>
      </c>
      <c r="E6230" t="s">
        <v>17276</v>
      </c>
      <c r="F6230" t="s">
        <v>17277</v>
      </c>
      <c r="G6230" s="1"/>
      <c r="H6230" t="str">
        <f>"4012740015165"</f>
        <v>4012740015165</v>
      </c>
      <c r="J6230" t="s">
        <v>17365</v>
      </c>
    </row>
    <row r="6231" spans="1:10" x14ac:dyDescent="0.25">
      <c r="A6231" t="s">
        <v>8</v>
      </c>
      <c r="B6231" t="s">
        <v>17366</v>
      </c>
      <c r="C6231" t="s">
        <v>17367</v>
      </c>
      <c r="D6231">
        <v>1</v>
      </c>
      <c r="E6231" t="s">
        <v>17276</v>
      </c>
      <c r="F6231" t="s">
        <v>17277</v>
      </c>
      <c r="G6231" s="1"/>
      <c r="H6231" t="str">
        <f>"4012740023504"</f>
        <v>4012740023504</v>
      </c>
      <c r="J6231" t="s">
        <v>17368</v>
      </c>
    </row>
    <row r="6232" spans="1:10" x14ac:dyDescent="0.25">
      <c r="A6232" t="s">
        <v>8</v>
      </c>
      <c r="B6232" t="s">
        <v>17369</v>
      </c>
      <c r="C6232" t="s">
        <v>17370</v>
      </c>
      <c r="D6232">
        <v>1</v>
      </c>
      <c r="E6232" t="s">
        <v>17276</v>
      </c>
      <c r="F6232" t="s">
        <v>17277</v>
      </c>
      <c r="G6232" s="1"/>
      <c r="H6232" t="str">
        <f>"4012740015172"</f>
        <v>4012740015172</v>
      </c>
      <c r="J6232" t="s">
        <v>17371</v>
      </c>
    </row>
    <row r="6233" spans="1:10" x14ac:dyDescent="0.25">
      <c r="A6233" t="s">
        <v>8</v>
      </c>
      <c r="B6233" t="s">
        <v>17372</v>
      </c>
      <c r="C6233" t="s">
        <v>17373</v>
      </c>
      <c r="D6233">
        <v>1</v>
      </c>
      <c r="E6233" t="s">
        <v>17276</v>
      </c>
      <c r="F6233" t="s">
        <v>17277</v>
      </c>
      <c r="G6233" s="1"/>
      <c r="H6233" t="str">
        <f>"4012740015189"</f>
        <v>4012740015189</v>
      </c>
      <c r="J6233" t="s">
        <v>17374</v>
      </c>
    </row>
    <row r="6234" spans="1:10" x14ac:dyDescent="0.25">
      <c r="A6234" t="s">
        <v>8</v>
      </c>
      <c r="B6234" t="s">
        <v>17375</v>
      </c>
      <c r="C6234" t="s">
        <v>17376</v>
      </c>
      <c r="D6234">
        <v>1</v>
      </c>
      <c r="E6234" t="s">
        <v>17276</v>
      </c>
      <c r="F6234" t="s">
        <v>17277</v>
      </c>
      <c r="G6234" s="1"/>
      <c r="H6234" t="str">
        <f>"4012740023511"</f>
        <v>4012740023511</v>
      </c>
      <c r="J6234" t="s">
        <v>17377</v>
      </c>
    </row>
    <row r="6235" spans="1:10" x14ac:dyDescent="0.25">
      <c r="A6235" t="s">
        <v>8</v>
      </c>
      <c r="B6235" t="s">
        <v>17378</v>
      </c>
      <c r="C6235" t="s">
        <v>17379</v>
      </c>
      <c r="D6235">
        <v>1</v>
      </c>
      <c r="E6235" t="s">
        <v>17276</v>
      </c>
      <c r="F6235" t="s">
        <v>17277</v>
      </c>
      <c r="G6235" s="1"/>
      <c r="H6235" t="str">
        <f>"4012740015196"</f>
        <v>4012740015196</v>
      </c>
      <c r="J6235" t="s">
        <v>17380</v>
      </c>
    </row>
    <row r="6236" spans="1:10" x14ac:dyDescent="0.25">
      <c r="A6236" t="s">
        <v>8</v>
      </c>
      <c r="B6236" t="s">
        <v>17381</v>
      </c>
      <c r="C6236" t="s">
        <v>17382</v>
      </c>
      <c r="D6236">
        <v>1</v>
      </c>
      <c r="E6236" t="s">
        <v>17276</v>
      </c>
      <c r="F6236" t="s">
        <v>17277</v>
      </c>
      <c r="G6236" s="1"/>
      <c r="H6236" t="str">
        <f>"4012740023528"</f>
        <v>4012740023528</v>
      </c>
      <c r="J6236" t="s">
        <v>11520</v>
      </c>
    </row>
    <row r="6237" spans="1:10" x14ac:dyDescent="0.25">
      <c r="A6237" t="s">
        <v>8</v>
      </c>
      <c r="B6237" t="s">
        <v>17383</v>
      </c>
      <c r="C6237" t="s">
        <v>17384</v>
      </c>
      <c r="D6237">
        <v>1</v>
      </c>
      <c r="E6237" t="s">
        <v>17276</v>
      </c>
      <c r="F6237" t="s">
        <v>17277</v>
      </c>
      <c r="G6237" s="1"/>
      <c r="H6237" t="str">
        <f>"4012740023689"</f>
        <v>4012740023689</v>
      </c>
      <c r="J6237" t="s">
        <v>17385</v>
      </c>
    </row>
    <row r="6238" spans="1:10" x14ac:dyDescent="0.25">
      <c r="A6238" t="s">
        <v>8</v>
      </c>
      <c r="B6238" t="s">
        <v>17386</v>
      </c>
      <c r="C6238" t="s">
        <v>17387</v>
      </c>
      <c r="D6238">
        <v>1</v>
      </c>
      <c r="E6238" t="s">
        <v>17276</v>
      </c>
      <c r="F6238" t="s">
        <v>17277</v>
      </c>
      <c r="G6238" s="1"/>
      <c r="H6238" t="str">
        <f>"4012740015202"</f>
        <v>4012740015202</v>
      </c>
      <c r="J6238" t="s">
        <v>17388</v>
      </c>
    </row>
    <row r="6239" spans="1:10" x14ac:dyDescent="0.25">
      <c r="A6239" t="s">
        <v>8</v>
      </c>
      <c r="B6239" t="s">
        <v>17389</v>
      </c>
      <c r="C6239" t="s">
        <v>17390</v>
      </c>
      <c r="D6239">
        <v>1</v>
      </c>
      <c r="E6239" t="s">
        <v>17276</v>
      </c>
      <c r="F6239" t="s">
        <v>17277</v>
      </c>
      <c r="G6239" s="1"/>
      <c r="H6239" t="str">
        <f>"4012740023535"</f>
        <v>4012740023535</v>
      </c>
      <c r="J6239" t="s">
        <v>17391</v>
      </c>
    </row>
    <row r="6240" spans="1:10" x14ac:dyDescent="0.25">
      <c r="A6240" t="s">
        <v>8</v>
      </c>
      <c r="B6240" t="s">
        <v>17392</v>
      </c>
      <c r="C6240" t="s">
        <v>17393</v>
      </c>
      <c r="D6240">
        <v>1</v>
      </c>
      <c r="E6240" t="s">
        <v>17276</v>
      </c>
      <c r="F6240" t="s">
        <v>17277</v>
      </c>
      <c r="G6240" s="1"/>
      <c r="H6240" t="str">
        <f>"4012740023542"</f>
        <v>4012740023542</v>
      </c>
      <c r="J6240" t="s">
        <v>17394</v>
      </c>
    </row>
    <row r="6241" spans="1:10" x14ac:dyDescent="0.25">
      <c r="A6241" t="s">
        <v>8</v>
      </c>
      <c r="B6241" t="s">
        <v>17395</v>
      </c>
      <c r="C6241" t="s">
        <v>17396</v>
      </c>
      <c r="D6241">
        <v>1</v>
      </c>
      <c r="E6241" t="s">
        <v>17276</v>
      </c>
      <c r="F6241" t="s">
        <v>17277</v>
      </c>
      <c r="G6241" s="1"/>
      <c r="H6241" t="str">
        <f>"4012740015219"</f>
        <v>4012740015219</v>
      </c>
      <c r="J6241" t="s">
        <v>17397</v>
      </c>
    </row>
    <row r="6242" spans="1:10" x14ac:dyDescent="0.25">
      <c r="A6242" t="s">
        <v>8</v>
      </c>
      <c r="B6242" t="s">
        <v>17398</v>
      </c>
      <c r="C6242" t="s">
        <v>17399</v>
      </c>
      <c r="D6242">
        <v>1</v>
      </c>
      <c r="E6242" t="s">
        <v>17276</v>
      </c>
      <c r="F6242" t="s">
        <v>17277</v>
      </c>
      <c r="G6242" s="1"/>
      <c r="H6242" t="str">
        <f>"4012740015226"</f>
        <v>4012740015226</v>
      </c>
      <c r="J6242" t="s">
        <v>17400</v>
      </c>
    </row>
    <row r="6243" spans="1:10" x14ac:dyDescent="0.25">
      <c r="A6243" t="s">
        <v>8</v>
      </c>
      <c r="B6243" t="s">
        <v>17401</v>
      </c>
      <c r="C6243" t="s">
        <v>17402</v>
      </c>
      <c r="D6243">
        <v>1</v>
      </c>
      <c r="E6243" t="s">
        <v>17276</v>
      </c>
      <c r="F6243" t="s">
        <v>17277</v>
      </c>
      <c r="G6243" s="1"/>
      <c r="H6243" t="str">
        <f>"4012740023559"</f>
        <v>4012740023559</v>
      </c>
      <c r="J6243" t="s">
        <v>17403</v>
      </c>
    </row>
    <row r="6244" spans="1:10" x14ac:dyDescent="0.25">
      <c r="A6244" t="s">
        <v>8</v>
      </c>
      <c r="B6244" t="s">
        <v>17404</v>
      </c>
      <c r="C6244" t="s">
        <v>17405</v>
      </c>
      <c r="D6244">
        <v>1</v>
      </c>
      <c r="E6244" t="s">
        <v>17276</v>
      </c>
      <c r="F6244" t="s">
        <v>17277</v>
      </c>
      <c r="G6244" s="1"/>
      <c r="H6244" t="str">
        <f>"4012740015240"</f>
        <v>4012740015240</v>
      </c>
      <c r="J6244" t="s">
        <v>17406</v>
      </c>
    </row>
    <row r="6245" spans="1:10" x14ac:dyDescent="0.25">
      <c r="A6245" t="s">
        <v>8</v>
      </c>
      <c r="B6245" t="s">
        <v>17407</v>
      </c>
      <c r="C6245" t="s">
        <v>17408</v>
      </c>
      <c r="D6245">
        <v>1</v>
      </c>
      <c r="E6245" t="s">
        <v>17276</v>
      </c>
      <c r="F6245" t="s">
        <v>17277</v>
      </c>
      <c r="G6245" s="1"/>
      <c r="H6245" t="str">
        <f>"4012740023566"</f>
        <v>4012740023566</v>
      </c>
      <c r="J6245" t="s">
        <v>17409</v>
      </c>
    </row>
    <row r="6246" spans="1:10" x14ac:dyDescent="0.25">
      <c r="A6246" t="s">
        <v>8</v>
      </c>
      <c r="B6246" t="s">
        <v>17410</v>
      </c>
      <c r="C6246" t="s">
        <v>17411</v>
      </c>
      <c r="D6246">
        <v>1</v>
      </c>
      <c r="E6246" t="s">
        <v>17276</v>
      </c>
      <c r="F6246" t="s">
        <v>17277</v>
      </c>
      <c r="G6246" s="1"/>
      <c r="H6246" t="str">
        <f>"4012740023665"</f>
        <v>4012740023665</v>
      </c>
      <c r="J6246" t="s">
        <v>17403</v>
      </c>
    </row>
    <row r="6247" spans="1:10" x14ac:dyDescent="0.25">
      <c r="A6247" t="s">
        <v>8</v>
      </c>
      <c r="B6247" t="s">
        <v>17412</v>
      </c>
      <c r="C6247" t="s">
        <v>17413</v>
      </c>
      <c r="D6247">
        <v>1</v>
      </c>
      <c r="E6247" t="s">
        <v>17276</v>
      </c>
      <c r="F6247" t="s">
        <v>17277</v>
      </c>
      <c r="G6247" s="1"/>
      <c r="H6247" t="str">
        <f>"4012740015257"</f>
        <v>4012740015257</v>
      </c>
      <c r="J6247" t="s">
        <v>17406</v>
      </c>
    </row>
    <row r="6248" spans="1:10" x14ac:dyDescent="0.25">
      <c r="A6248" t="s">
        <v>8</v>
      </c>
      <c r="B6248" t="s">
        <v>17414</v>
      </c>
      <c r="C6248" t="s">
        <v>17415</v>
      </c>
      <c r="D6248">
        <v>1</v>
      </c>
      <c r="E6248" t="s">
        <v>17276</v>
      </c>
      <c r="F6248" t="s">
        <v>17277</v>
      </c>
      <c r="G6248" s="1"/>
      <c r="H6248" t="str">
        <f>"4012740023573"</f>
        <v>4012740023573</v>
      </c>
      <c r="J6248" t="s">
        <v>17409</v>
      </c>
    </row>
    <row r="6249" spans="1:10" x14ac:dyDescent="0.25">
      <c r="A6249" t="s">
        <v>8</v>
      </c>
      <c r="B6249" t="s">
        <v>17416</v>
      </c>
      <c r="C6249" t="s">
        <v>17417</v>
      </c>
      <c r="D6249">
        <v>1</v>
      </c>
      <c r="E6249" t="s">
        <v>17276</v>
      </c>
      <c r="F6249" t="s">
        <v>17277</v>
      </c>
      <c r="G6249" s="1"/>
      <c r="H6249" t="str">
        <f>"4012740015264"</f>
        <v>4012740015264</v>
      </c>
      <c r="J6249" t="s">
        <v>17418</v>
      </c>
    </row>
    <row r="6250" spans="1:10" x14ac:dyDescent="0.25">
      <c r="A6250" t="s">
        <v>8</v>
      </c>
      <c r="B6250" t="s">
        <v>17419</v>
      </c>
      <c r="C6250" t="s">
        <v>17420</v>
      </c>
      <c r="D6250">
        <v>1</v>
      </c>
      <c r="E6250" t="s">
        <v>17276</v>
      </c>
      <c r="F6250" t="s">
        <v>17277</v>
      </c>
      <c r="G6250" s="1"/>
      <c r="H6250" t="str">
        <f>"4012740015271"</f>
        <v>4012740015271</v>
      </c>
      <c r="J6250" t="s">
        <v>17421</v>
      </c>
    </row>
    <row r="6251" spans="1:10" x14ac:dyDescent="0.25">
      <c r="A6251" t="s">
        <v>8</v>
      </c>
      <c r="B6251" t="s">
        <v>17422</v>
      </c>
      <c r="C6251" t="s">
        <v>17423</v>
      </c>
      <c r="D6251">
        <v>1</v>
      </c>
      <c r="E6251" t="s">
        <v>17276</v>
      </c>
      <c r="F6251" t="s">
        <v>17277</v>
      </c>
      <c r="G6251" s="1"/>
      <c r="H6251" t="str">
        <f>"4012740023672"</f>
        <v>4012740023672</v>
      </c>
      <c r="J6251" t="s">
        <v>17424</v>
      </c>
    </row>
    <row r="6252" spans="1:10" x14ac:dyDescent="0.25">
      <c r="A6252" t="s">
        <v>8</v>
      </c>
      <c r="B6252" t="s">
        <v>17425</v>
      </c>
      <c r="C6252" t="s">
        <v>17426</v>
      </c>
      <c r="D6252">
        <v>1</v>
      </c>
      <c r="E6252" t="s">
        <v>17276</v>
      </c>
      <c r="F6252" t="s">
        <v>17277</v>
      </c>
      <c r="G6252" s="1"/>
      <c r="H6252" t="str">
        <f>"4012740015288"</f>
        <v>4012740015288</v>
      </c>
      <c r="J6252" t="s">
        <v>17427</v>
      </c>
    </row>
    <row r="6253" spans="1:10" x14ac:dyDescent="0.25">
      <c r="A6253" t="s">
        <v>8</v>
      </c>
      <c r="B6253" t="s">
        <v>17428</v>
      </c>
      <c r="C6253" t="s">
        <v>17429</v>
      </c>
      <c r="D6253">
        <v>1</v>
      </c>
      <c r="E6253" t="s">
        <v>17276</v>
      </c>
      <c r="F6253" t="s">
        <v>17277</v>
      </c>
      <c r="G6253" s="1"/>
      <c r="H6253" t="str">
        <f>"4012740023580"</f>
        <v>4012740023580</v>
      </c>
      <c r="J6253" t="s">
        <v>17430</v>
      </c>
    </row>
    <row r="6254" spans="1:10" x14ac:dyDescent="0.25">
      <c r="A6254" t="s">
        <v>8</v>
      </c>
      <c r="B6254" t="s">
        <v>17431</v>
      </c>
      <c r="C6254" t="s">
        <v>17432</v>
      </c>
      <c r="D6254">
        <v>1</v>
      </c>
      <c r="E6254" t="s">
        <v>17276</v>
      </c>
      <c r="F6254" t="s">
        <v>17277</v>
      </c>
      <c r="G6254" s="1"/>
      <c r="H6254" t="str">
        <f>"4012740023597"</f>
        <v>4012740023597</v>
      </c>
      <c r="J6254" t="s">
        <v>17433</v>
      </c>
    </row>
    <row r="6255" spans="1:10" x14ac:dyDescent="0.25">
      <c r="A6255" t="s">
        <v>8</v>
      </c>
      <c r="B6255" t="s">
        <v>17434</v>
      </c>
      <c r="C6255" t="s">
        <v>17435</v>
      </c>
      <c r="D6255">
        <v>1</v>
      </c>
      <c r="E6255" t="s">
        <v>17276</v>
      </c>
      <c r="F6255" t="s">
        <v>17277</v>
      </c>
      <c r="G6255" s="1"/>
      <c r="H6255" t="str">
        <f>"4012740015295"</f>
        <v>4012740015295</v>
      </c>
      <c r="J6255" t="s">
        <v>17436</v>
      </c>
    </row>
    <row r="6256" spans="1:10" x14ac:dyDescent="0.25">
      <c r="A6256" t="s">
        <v>8</v>
      </c>
      <c r="B6256" t="s">
        <v>17437</v>
      </c>
      <c r="C6256" t="s">
        <v>17438</v>
      </c>
      <c r="D6256">
        <v>1</v>
      </c>
      <c r="E6256" t="s">
        <v>17276</v>
      </c>
      <c r="F6256" t="s">
        <v>17277</v>
      </c>
      <c r="G6256" s="1"/>
      <c r="H6256" t="str">
        <f>"4012740023603"</f>
        <v>4012740023603</v>
      </c>
      <c r="J6256" t="s">
        <v>17439</v>
      </c>
    </row>
    <row r="6257" spans="1:10" x14ac:dyDescent="0.25">
      <c r="A6257" t="s">
        <v>8</v>
      </c>
      <c r="B6257" t="s">
        <v>17440</v>
      </c>
      <c r="C6257" t="s">
        <v>17441</v>
      </c>
      <c r="D6257">
        <v>1</v>
      </c>
      <c r="E6257" t="s">
        <v>17276</v>
      </c>
      <c r="F6257" t="s">
        <v>17277</v>
      </c>
      <c r="G6257" s="1"/>
      <c r="H6257" t="str">
        <f>"4012740023610"</f>
        <v>4012740023610</v>
      </c>
      <c r="J6257" t="s">
        <v>17442</v>
      </c>
    </row>
    <row r="6258" spans="1:10" x14ac:dyDescent="0.25">
      <c r="A6258" t="s">
        <v>8</v>
      </c>
      <c r="B6258" t="s">
        <v>17443</v>
      </c>
      <c r="C6258" t="s">
        <v>17444</v>
      </c>
      <c r="D6258">
        <v>1</v>
      </c>
      <c r="E6258" t="s">
        <v>17276</v>
      </c>
      <c r="F6258" t="s">
        <v>17277</v>
      </c>
      <c r="G6258" s="1"/>
      <c r="H6258" t="str">
        <f>"4012740015301"</f>
        <v>4012740015301</v>
      </c>
      <c r="J6258" t="s">
        <v>17445</v>
      </c>
    </row>
    <row r="6259" spans="1:10" x14ac:dyDescent="0.25">
      <c r="A6259" t="s">
        <v>8</v>
      </c>
      <c r="B6259" t="s">
        <v>17446</v>
      </c>
      <c r="C6259" t="s">
        <v>17447</v>
      </c>
      <c r="D6259">
        <v>1</v>
      </c>
      <c r="E6259" t="s">
        <v>17276</v>
      </c>
      <c r="F6259" t="s">
        <v>17277</v>
      </c>
      <c r="G6259" s="1"/>
      <c r="H6259" t="str">
        <f>"4012740015318"</f>
        <v>4012740015318</v>
      </c>
      <c r="J6259" t="s">
        <v>17448</v>
      </c>
    </row>
    <row r="6260" spans="1:10" x14ac:dyDescent="0.25">
      <c r="A6260" t="s">
        <v>8</v>
      </c>
      <c r="B6260" t="s">
        <v>17449</v>
      </c>
      <c r="C6260" t="s">
        <v>17450</v>
      </c>
      <c r="D6260">
        <v>1</v>
      </c>
      <c r="E6260" t="s">
        <v>17276</v>
      </c>
      <c r="F6260" t="s">
        <v>17277</v>
      </c>
      <c r="G6260" s="1"/>
      <c r="H6260" t="str">
        <f>"4012740015332"</f>
        <v>4012740015332</v>
      </c>
      <c r="J6260" t="s">
        <v>17451</v>
      </c>
    </row>
    <row r="6261" spans="1:10" x14ac:dyDescent="0.25">
      <c r="A6261" t="s">
        <v>8</v>
      </c>
      <c r="B6261" t="s">
        <v>17452</v>
      </c>
      <c r="C6261" t="s">
        <v>17453</v>
      </c>
      <c r="D6261">
        <v>1</v>
      </c>
      <c r="E6261" t="s">
        <v>17276</v>
      </c>
      <c r="F6261" t="s">
        <v>17277</v>
      </c>
      <c r="G6261" s="1"/>
      <c r="H6261" t="str">
        <f>"4012740015349"</f>
        <v>4012740015349</v>
      </c>
      <c r="J6261" t="s">
        <v>17451</v>
      </c>
    </row>
    <row r="6262" spans="1:10" x14ac:dyDescent="0.25">
      <c r="A6262" t="s">
        <v>8</v>
      </c>
      <c r="B6262" t="s">
        <v>17454</v>
      </c>
      <c r="C6262" t="s">
        <v>17455</v>
      </c>
      <c r="D6262">
        <v>1</v>
      </c>
      <c r="E6262" t="s">
        <v>17276</v>
      </c>
      <c r="F6262" t="s">
        <v>17277</v>
      </c>
      <c r="G6262" s="1"/>
      <c r="H6262" t="str">
        <f>"4012740015363"</f>
        <v>4012740015363</v>
      </c>
      <c r="J6262" t="s">
        <v>17456</v>
      </c>
    </row>
    <row r="6263" spans="1:10" x14ac:dyDescent="0.25">
      <c r="A6263" t="s">
        <v>8</v>
      </c>
      <c r="B6263" t="s">
        <v>17457</v>
      </c>
      <c r="C6263" t="s">
        <v>17458</v>
      </c>
      <c r="D6263">
        <v>1</v>
      </c>
      <c r="E6263" t="s">
        <v>17276</v>
      </c>
      <c r="F6263" t="s">
        <v>17277</v>
      </c>
      <c r="G6263" s="1"/>
      <c r="H6263" t="str">
        <f>"4012740015370"</f>
        <v>4012740015370</v>
      </c>
      <c r="J6263" t="s">
        <v>17459</v>
      </c>
    </row>
    <row r="6264" spans="1:10" x14ac:dyDescent="0.25">
      <c r="A6264" t="s">
        <v>8</v>
      </c>
      <c r="B6264" t="s">
        <v>17460</v>
      </c>
      <c r="C6264" t="s">
        <v>17461</v>
      </c>
      <c r="D6264">
        <v>1</v>
      </c>
      <c r="E6264" t="s">
        <v>17276</v>
      </c>
      <c r="F6264" t="s">
        <v>17277</v>
      </c>
      <c r="G6264" s="1"/>
      <c r="H6264" t="str">
        <f>"4012740015387"</f>
        <v>4012740015387</v>
      </c>
      <c r="J6264" t="s">
        <v>17462</v>
      </c>
    </row>
    <row r="6265" spans="1:10" x14ac:dyDescent="0.25">
      <c r="A6265" t="s">
        <v>8</v>
      </c>
      <c r="B6265" t="s">
        <v>17463</v>
      </c>
      <c r="C6265" t="s">
        <v>17464</v>
      </c>
      <c r="D6265">
        <v>1</v>
      </c>
      <c r="E6265" t="s">
        <v>17276</v>
      </c>
      <c r="F6265" t="s">
        <v>17277</v>
      </c>
      <c r="G6265" s="1"/>
      <c r="H6265" t="str">
        <f>"4012740015394"</f>
        <v>4012740015394</v>
      </c>
      <c r="J6265" t="s">
        <v>17465</v>
      </c>
    </row>
    <row r="6266" spans="1:10" x14ac:dyDescent="0.25">
      <c r="A6266" t="s">
        <v>8</v>
      </c>
      <c r="B6266" t="s">
        <v>17466</v>
      </c>
      <c r="C6266" t="s">
        <v>17467</v>
      </c>
      <c r="D6266">
        <v>1</v>
      </c>
      <c r="E6266" t="s">
        <v>17276</v>
      </c>
      <c r="F6266" t="s">
        <v>17277</v>
      </c>
      <c r="G6266" s="1"/>
      <c r="H6266" t="str">
        <f>"4012740023627"</f>
        <v>4012740023627</v>
      </c>
      <c r="J6266" t="s">
        <v>17468</v>
      </c>
    </row>
    <row r="6267" spans="1:10" x14ac:dyDescent="0.25">
      <c r="A6267" t="s">
        <v>8</v>
      </c>
      <c r="B6267" t="s">
        <v>17469</v>
      </c>
      <c r="C6267" t="s">
        <v>17470</v>
      </c>
      <c r="D6267">
        <v>1</v>
      </c>
      <c r="E6267" t="s">
        <v>17276</v>
      </c>
      <c r="F6267" t="s">
        <v>17277</v>
      </c>
      <c r="G6267" s="1"/>
      <c r="H6267" t="str">
        <f>"4012740023634"</f>
        <v>4012740023634</v>
      </c>
      <c r="J6267" t="s">
        <v>17471</v>
      </c>
    </row>
    <row r="6268" spans="1:10" x14ac:dyDescent="0.25">
      <c r="A6268" t="s">
        <v>8</v>
      </c>
      <c r="B6268" t="s">
        <v>17472</v>
      </c>
      <c r="C6268" t="s">
        <v>17473</v>
      </c>
      <c r="D6268">
        <v>1</v>
      </c>
      <c r="E6268" t="s">
        <v>17276</v>
      </c>
      <c r="F6268" t="s">
        <v>17277</v>
      </c>
      <c r="G6268" s="1"/>
      <c r="H6268" t="str">
        <f>"4012740023658"</f>
        <v>4012740023658</v>
      </c>
      <c r="J6268" t="s">
        <v>17474</v>
      </c>
    </row>
    <row r="6269" spans="1:10" x14ac:dyDescent="0.25">
      <c r="A6269" t="s">
        <v>8</v>
      </c>
      <c r="B6269" t="s">
        <v>17475</v>
      </c>
      <c r="C6269" t="s">
        <v>17476</v>
      </c>
      <c r="D6269">
        <v>1</v>
      </c>
      <c r="E6269" t="s">
        <v>17276</v>
      </c>
      <c r="F6269" t="s">
        <v>17277</v>
      </c>
      <c r="G6269" s="1"/>
      <c r="H6269" t="str">
        <f>"4012740023641"</f>
        <v>4012740023641</v>
      </c>
      <c r="J6269" t="s">
        <v>17474</v>
      </c>
    </row>
    <row r="6270" spans="1:10" x14ac:dyDescent="0.25">
      <c r="A6270" t="s">
        <v>8</v>
      </c>
      <c r="B6270" t="s">
        <v>17477</v>
      </c>
      <c r="C6270" t="s">
        <v>17478</v>
      </c>
      <c r="D6270">
        <v>1</v>
      </c>
      <c r="E6270" t="s">
        <v>17479</v>
      </c>
      <c r="F6270" t="s">
        <v>17480</v>
      </c>
      <c r="G6270" s="1"/>
      <c r="H6270" t="str">
        <f>"4012740013727"</f>
        <v>4012740013727</v>
      </c>
      <c r="J6270" t="s">
        <v>17481</v>
      </c>
    </row>
    <row r="6271" spans="1:10" x14ac:dyDescent="0.25">
      <c r="A6271" t="s">
        <v>8</v>
      </c>
      <c r="B6271" t="s">
        <v>17482</v>
      </c>
      <c r="C6271" t="s">
        <v>17483</v>
      </c>
      <c r="D6271">
        <v>1</v>
      </c>
      <c r="E6271" t="s">
        <v>17479</v>
      </c>
      <c r="F6271" t="s">
        <v>17480</v>
      </c>
      <c r="G6271" s="1"/>
      <c r="H6271" t="str">
        <f>"4012740013734"</f>
        <v>4012740013734</v>
      </c>
      <c r="J6271" t="s">
        <v>15978</v>
      </c>
    </row>
    <row r="6272" spans="1:10" x14ac:dyDescent="0.25">
      <c r="A6272" t="s">
        <v>8</v>
      </c>
      <c r="B6272" t="s">
        <v>17484</v>
      </c>
      <c r="C6272" t="s">
        <v>17485</v>
      </c>
      <c r="D6272">
        <v>1</v>
      </c>
      <c r="E6272" t="s">
        <v>17479</v>
      </c>
      <c r="F6272" t="s">
        <v>17480</v>
      </c>
      <c r="G6272" s="1"/>
      <c r="H6272" t="str">
        <f>"4012740013758"</f>
        <v>4012740013758</v>
      </c>
      <c r="J6272" t="s">
        <v>13639</v>
      </c>
    </row>
    <row r="6273" spans="1:10" x14ac:dyDescent="0.25">
      <c r="A6273" t="s">
        <v>8</v>
      </c>
      <c r="B6273" t="s">
        <v>17486</v>
      </c>
      <c r="C6273" t="s">
        <v>17487</v>
      </c>
      <c r="D6273">
        <v>1</v>
      </c>
      <c r="E6273" t="s">
        <v>17488</v>
      </c>
      <c r="F6273" t="s">
        <v>17489</v>
      </c>
      <c r="G6273" s="1"/>
      <c r="H6273" t="str">
        <f>"3250617180023"</f>
        <v>3250617180023</v>
      </c>
      <c r="J6273" t="s">
        <v>17490</v>
      </c>
    </row>
    <row r="6274" spans="1:10" x14ac:dyDescent="0.25">
      <c r="A6274" t="s">
        <v>8</v>
      </c>
      <c r="B6274" t="s">
        <v>17491</v>
      </c>
      <c r="C6274" t="s">
        <v>17492</v>
      </c>
      <c r="D6274">
        <v>1</v>
      </c>
      <c r="E6274" t="s">
        <v>17488</v>
      </c>
      <c r="F6274" t="s">
        <v>17489</v>
      </c>
      <c r="G6274" s="1"/>
      <c r="H6274" t="str">
        <f>"3250617180047"</f>
        <v>3250617180047</v>
      </c>
      <c r="J6274" t="s">
        <v>17493</v>
      </c>
    </row>
    <row r="6275" spans="1:10" x14ac:dyDescent="0.25">
      <c r="A6275" t="s">
        <v>8</v>
      </c>
      <c r="B6275" t="s">
        <v>17494</v>
      </c>
      <c r="C6275" t="s">
        <v>17495</v>
      </c>
      <c r="D6275">
        <v>1</v>
      </c>
      <c r="E6275" t="s">
        <v>17488</v>
      </c>
      <c r="F6275" t="s">
        <v>17489</v>
      </c>
      <c r="G6275" s="1"/>
      <c r="H6275" t="str">
        <f>"3250617180061"</f>
        <v>3250617180061</v>
      </c>
      <c r="J6275" t="s">
        <v>17496</v>
      </c>
    </row>
    <row r="6276" spans="1:10" x14ac:dyDescent="0.25">
      <c r="A6276" t="s">
        <v>8</v>
      </c>
      <c r="B6276" t="s">
        <v>17497</v>
      </c>
      <c r="C6276" t="s">
        <v>17498</v>
      </c>
      <c r="D6276">
        <v>1</v>
      </c>
      <c r="E6276" t="s">
        <v>17488</v>
      </c>
      <c r="F6276" t="s">
        <v>17489</v>
      </c>
      <c r="G6276" s="1"/>
      <c r="H6276" t="str">
        <f>"3250617180078"</f>
        <v>3250617180078</v>
      </c>
      <c r="J6276" t="s">
        <v>17499</v>
      </c>
    </row>
    <row r="6277" spans="1:10" x14ac:dyDescent="0.25">
      <c r="A6277" t="s">
        <v>8</v>
      </c>
      <c r="B6277" t="s">
        <v>17500</v>
      </c>
      <c r="C6277" t="s">
        <v>17501</v>
      </c>
      <c r="D6277">
        <v>1</v>
      </c>
      <c r="E6277" t="s">
        <v>17488</v>
      </c>
      <c r="F6277" t="s">
        <v>17489</v>
      </c>
      <c r="G6277" s="1"/>
      <c r="H6277" t="str">
        <f>"3250617180092"</f>
        <v>3250617180092</v>
      </c>
      <c r="J6277" t="s">
        <v>17502</v>
      </c>
    </row>
    <row r="6278" spans="1:10" x14ac:dyDescent="0.25">
      <c r="A6278" t="s">
        <v>8</v>
      </c>
      <c r="B6278" t="s">
        <v>17503</v>
      </c>
      <c r="C6278" t="s">
        <v>17504</v>
      </c>
      <c r="D6278">
        <v>1</v>
      </c>
      <c r="E6278" t="s">
        <v>17488</v>
      </c>
      <c r="F6278" t="s">
        <v>17489</v>
      </c>
      <c r="G6278" s="1"/>
      <c r="H6278" t="str">
        <f>"3250617180115"</f>
        <v>3250617180115</v>
      </c>
      <c r="J6278" t="s">
        <v>17505</v>
      </c>
    </row>
    <row r="6279" spans="1:10" x14ac:dyDescent="0.25">
      <c r="A6279" t="s">
        <v>8</v>
      </c>
      <c r="B6279" t="s">
        <v>17506</v>
      </c>
      <c r="C6279" t="s">
        <v>17507</v>
      </c>
      <c r="D6279">
        <v>1</v>
      </c>
      <c r="E6279" t="s">
        <v>17488</v>
      </c>
      <c r="F6279" t="s">
        <v>17489</v>
      </c>
      <c r="G6279" s="1"/>
      <c r="H6279" t="str">
        <f>"3250617180146"</f>
        <v>3250617180146</v>
      </c>
      <c r="J6279" t="s">
        <v>17508</v>
      </c>
    </row>
    <row r="6280" spans="1:10" x14ac:dyDescent="0.25">
      <c r="A6280" t="s">
        <v>8</v>
      </c>
      <c r="B6280" t="s">
        <v>17509</v>
      </c>
      <c r="C6280" t="s">
        <v>17510</v>
      </c>
      <c r="D6280">
        <v>1</v>
      </c>
      <c r="E6280" t="s">
        <v>17488</v>
      </c>
      <c r="F6280" t="s">
        <v>17489</v>
      </c>
      <c r="G6280" s="1"/>
      <c r="H6280" t="str">
        <f>"3250617180153"</f>
        <v>3250617180153</v>
      </c>
      <c r="J6280" t="s">
        <v>17511</v>
      </c>
    </row>
    <row r="6281" spans="1:10" x14ac:dyDescent="0.25">
      <c r="A6281" t="s">
        <v>8</v>
      </c>
      <c r="B6281" t="s">
        <v>17512</v>
      </c>
      <c r="C6281" t="s">
        <v>17513</v>
      </c>
      <c r="D6281">
        <v>1</v>
      </c>
      <c r="E6281" t="s">
        <v>17488</v>
      </c>
      <c r="F6281" t="s">
        <v>17489</v>
      </c>
      <c r="G6281" s="1"/>
      <c r="H6281" t="str">
        <f>"3250617180160"</f>
        <v>3250617180160</v>
      </c>
      <c r="J6281" t="s">
        <v>14187</v>
      </c>
    </row>
    <row r="6282" spans="1:10" x14ac:dyDescent="0.25">
      <c r="A6282" t="s">
        <v>8</v>
      </c>
      <c r="B6282" t="s">
        <v>17514</v>
      </c>
      <c r="C6282" t="s">
        <v>17515</v>
      </c>
      <c r="D6282">
        <v>1</v>
      </c>
      <c r="E6282" t="s">
        <v>17488</v>
      </c>
      <c r="F6282" t="s">
        <v>17489</v>
      </c>
      <c r="G6282" s="1"/>
      <c r="H6282" t="str">
        <f>"3250617180177"</f>
        <v>3250617180177</v>
      </c>
      <c r="J6282" t="s">
        <v>17516</v>
      </c>
    </row>
    <row r="6283" spans="1:10" x14ac:dyDescent="0.25">
      <c r="A6283" t="s">
        <v>8</v>
      </c>
      <c r="B6283" t="s">
        <v>17517</v>
      </c>
      <c r="C6283" t="s">
        <v>17518</v>
      </c>
      <c r="D6283">
        <v>1</v>
      </c>
      <c r="E6283" t="s">
        <v>17488</v>
      </c>
      <c r="F6283" t="s">
        <v>17489</v>
      </c>
      <c r="G6283" s="1"/>
      <c r="H6283" t="str">
        <f>"3250617180184"</f>
        <v>3250617180184</v>
      </c>
      <c r="J6283" t="s">
        <v>17519</v>
      </c>
    </row>
    <row r="6284" spans="1:10" x14ac:dyDescent="0.25">
      <c r="A6284" t="s">
        <v>8</v>
      </c>
      <c r="B6284" t="s">
        <v>17520</v>
      </c>
      <c r="C6284" t="s">
        <v>17521</v>
      </c>
      <c r="D6284">
        <v>1</v>
      </c>
      <c r="E6284" t="s">
        <v>17488</v>
      </c>
      <c r="F6284" t="s">
        <v>17489</v>
      </c>
      <c r="G6284" s="1"/>
      <c r="H6284" t="str">
        <f>"3250617180191"</f>
        <v>3250617180191</v>
      </c>
      <c r="J6284" t="s">
        <v>17522</v>
      </c>
    </row>
    <row r="6285" spans="1:10" x14ac:dyDescent="0.25">
      <c r="A6285" t="s">
        <v>8</v>
      </c>
      <c r="B6285" t="s">
        <v>17523</v>
      </c>
      <c r="C6285" t="s">
        <v>17524</v>
      </c>
      <c r="D6285">
        <v>1</v>
      </c>
      <c r="E6285" t="s">
        <v>17488</v>
      </c>
      <c r="F6285" t="s">
        <v>17489</v>
      </c>
      <c r="G6285" s="1"/>
      <c r="H6285" t="str">
        <f>"3250617180207"</f>
        <v>3250617180207</v>
      </c>
      <c r="J6285" t="s">
        <v>17525</v>
      </c>
    </row>
    <row r="6286" spans="1:10" x14ac:dyDescent="0.25">
      <c r="A6286" t="s">
        <v>8</v>
      </c>
      <c r="B6286" t="s">
        <v>17526</v>
      </c>
      <c r="C6286" t="s">
        <v>17527</v>
      </c>
      <c r="D6286">
        <v>1</v>
      </c>
      <c r="E6286" t="s">
        <v>17488</v>
      </c>
      <c r="F6286" t="s">
        <v>17489</v>
      </c>
      <c r="G6286" s="1"/>
      <c r="H6286" t="str">
        <f>"3250617180238"</f>
        <v>3250617180238</v>
      </c>
      <c r="J6286" t="s">
        <v>17528</v>
      </c>
    </row>
    <row r="6287" spans="1:10" x14ac:dyDescent="0.25">
      <c r="A6287" t="s">
        <v>8</v>
      </c>
      <c r="B6287" t="s">
        <v>17529</v>
      </c>
      <c r="C6287" t="s">
        <v>17530</v>
      </c>
      <c r="D6287">
        <v>1</v>
      </c>
      <c r="E6287" t="s">
        <v>17488</v>
      </c>
      <c r="F6287" t="s">
        <v>17489</v>
      </c>
      <c r="G6287" s="1"/>
      <c r="H6287" t="str">
        <f>"3250617180245"</f>
        <v>3250617180245</v>
      </c>
      <c r="J6287" t="s">
        <v>17531</v>
      </c>
    </row>
    <row r="6288" spans="1:10" x14ac:dyDescent="0.25">
      <c r="A6288" t="s">
        <v>8</v>
      </c>
      <c r="B6288" t="s">
        <v>17532</v>
      </c>
      <c r="C6288" t="s">
        <v>17533</v>
      </c>
      <c r="D6288">
        <v>1</v>
      </c>
      <c r="E6288" t="s">
        <v>17488</v>
      </c>
      <c r="F6288" t="s">
        <v>17489</v>
      </c>
      <c r="G6288" s="1"/>
      <c r="H6288" t="str">
        <f>"3250617180269"</f>
        <v>3250617180269</v>
      </c>
      <c r="J6288" t="s">
        <v>16169</v>
      </c>
    </row>
    <row r="6289" spans="1:10" x14ac:dyDescent="0.25">
      <c r="A6289" t="s">
        <v>8</v>
      </c>
      <c r="B6289" t="s">
        <v>17534</v>
      </c>
      <c r="C6289" t="s">
        <v>17535</v>
      </c>
      <c r="D6289">
        <v>1</v>
      </c>
      <c r="E6289" t="s">
        <v>17488</v>
      </c>
      <c r="F6289" t="s">
        <v>17489</v>
      </c>
      <c r="G6289" s="1"/>
      <c r="H6289" t="str">
        <f>"3250617180283"</f>
        <v>3250617180283</v>
      </c>
      <c r="J6289" t="s">
        <v>14356</v>
      </c>
    </row>
    <row r="6290" spans="1:10" x14ac:dyDescent="0.25">
      <c r="A6290" t="s">
        <v>8</v>
      </c>
      <c r="B6290" t="s">
        <v>17536</v>
      </c>
      <c r="C6290" t="s">
        <v>17537</v>
      </c>
      <c r="D6290">
        <v>1</v>
      </c>
      <c r="E6290" t="s">
        <v>17488</v>
      </c>
      <c r="F6290" t="s">
        <v>17489</v>
      </c>
      <c r="G6290" s="1"/>
      <c r="H6290" t="str">
        <f>"3250617180313"</f>
        <v>3250617180313</v>
      </c>
      <c r="J6290" t="s">
        <v>17538</v>
      </c>
    </row>
    <row r="6291" spans="1:10" x14ac:dyDescent="0.25">
      <c r="A6291" t="s">
        <v>8</v>
      </c>
      <c r="B6291" t="s">
        <v>17539</v>
      </c>
      <c r="C6291" t="s">
        <v>17540</v>
      </c>
      <c r="D6291">
        <v>1</v>
      </c>
      <c r="E6291" t="s">
        <v>17488</v>
      </c>
      <c r="F6291" t="s">
        <v>17489</v>
      </c>
      <c r="G6291" s="1"/>
      <c r="H6291" t="str">
        <f>"3250617180320"</f>
        <v>3250617180320</v>
      </c>
      <c r="J6291" t="s">
        <v>17541</v>
      </c>
    </row>
    <row r="6292" spans="1:10" x14ac:dyDescent="0.25">
      <c r="A6292" t="s">
        <v>8</v>
      </c>
      <c r="B6292" t="s">
        <v>17542</v>
      </c>
      <c r="C6292" t="s">
        <v>17543</v>
      </c>
      <c r="D6292">
        <v>1</v>
      </c>
      <c r="E6292" t="s">
        <v>17488</v>
      </c>
      <c r="F6292" t="s">
        <v>17489</v>
      </c>
      <c r="G6292" s="1"/>
      <c r="H6292" t="str">
        <f>"3250617180337"</f>
        <v>3250617180337</v>
      </c>
      <c r="J6292" t="s">
        <v>17544</v>
      </c>
    </row>
    <row r="6293" spans="1:10" x14ac:dyDescent="0.25">
      <c r="A6293" t="s">
        <v>8</v>
      </c>
      <c r="B6293" t="s">
        <v>17545</v>
      </c>
      <c r="C6293" t="s">
        <v>17546</v>
      </c>
      <c r="D6293">
        <v>1</v>
      </c>
      <c r="E6293" t="s">
        <v>17488</v>
      </c>
      <c r="F6293" t="s">
        <v>17489</v>
      </c>
      <c r="G6293" s="1"/>
      <c r="H6293" t="str">
        <f>"3250617180344"</f>
        <v>3250617180344</v>
      </c>
      <c r="J6293" t="s">
        <v>11585</v>
      </c>
    </row>
    <row r="6294" spans="1:10" x14ac:dyDescent="0.25">
      <c r="A6294" t="s">
        <v>8</v>
      </c>
      <c r="B6294" t="s">
        <v>17547</v>
      </c>
      <c r="C6294" t="s">
        <v>17548</v>
      </c>
      <c r="D6294">
        <v>1</v>
      </c>
      <c r="E6294" t="s">
        <v>17488</v>
      </c>
      <c r="F6294" t="s">
        <v>17489</v>
      </c>
      <c r="G6294" s="1"/>
      <c r="H6294" t="str">
        <f>"3250617180351"</f>
        <v>3250617180351</v>
      </c>
      <c r="J6294" t="s">
        <v>17549</v>
      </c>
    </row>
    <row r="6295" spans="1:10" x14ac:dyDescent="0.25">
      <c r="A6295" t="s">
        <v>8</v>
      </c>
      <c r="B6295" t="s">
        <v>17550</v>
      </c>
      <c r="C6295" t="s">
        <v>17551</v>
      </c>
      <c r="D6295">
        <v>1</v>
      </c>
      <c r="E6295" t="s">
        <v>17488</v>
      </c>
      <c r="F6295" t="s">
        <v>17489</v>
      </c>
      <c r="G6295" s="1"/>
      <c r="H6295" t="str">
        <f>"3250617180368"</f>
        <v>3250617180368</v>
      </c>
      <c r="J6295" t="s">
        <v>17552</v>
      </c>
    </row>
    <row r="6296" spans="1:10" x14ac:dyDescent="0.25">
      <c r="A6296" t="s">
        <v>8</v>
      </c>
      <c r="B6296" t="s">
        <v>17553</v>
      </c>
      <c r="C6296" t="s">
        <v>17554</v>
      </c>
      <c r="D6296">
        <v>1</v>
      </c>
      <c r="E6296" t="s">
        <v>17488</v>
      </c>
      <c r="F6296" t="s">
        <v>17489</v>
      </c>
      <c r="G6296" s="1"/>
      <c r="H6296" t="str">
        <f>"3250617180375"</f>
        <v>3250617180375</v>
      </c>
      <c r="J6296" t="s">
        <v>17555</v>
      </c>
    </row>
    <row r="6297" spans="1:10" x14ac:dyDescent="0.25">
      <c r="A6297" t="s">
        <v>8</v>
      </c>
      <c r="B6297" t="s">
        <v>17556</v>
      </c>
      <c r="C6297" t="s">
        <v>17557</v>
      </c>
      <c r="D6297">
        <v>1</v>
      </c>
      <c r="E6297" t="s">
        <v>17488</v>
      </c>
      <c r="F6297" t="s">
        <v>17489</v>
      </c>
      <c r="G6297" s="1"/>
      <c r="H6297" t="str">
        <f>"3250617180382"</f>
        <v>3250617180382</v>
      </c>
      <c r="J6297" t="s">
        <v>17558</v>
      </c>
    </row>
    <row r="6298" spans="1:10" x14ac:dyDescent="0.25">
      <c r="A6298" t="s">
        <v>8</v>
      </c>
      <c r="B6298" t="s">
        <v>17559</v>
      </c>
      <c r="C6298" t="s">
        <v>17560</v>
      </c>
      <c r="D6298">
        <v>1</v>
      </c>
      <c r="E6298" t="s">
        <v>17488</v>
      </c>
      <c r="F6298" t="s">
        <v>17489</v>
      </c>
      <c r="G6298" s="1"/>
      <c r="H6298" t="str">
        <f>"3250617180399"</f>
        <v>3250617180399</v>
      </c>
      <c r="J6298" t="s">
        <v>17561</v>
      </c>
    </row>
    <row r="6299" spans="1:10" x14ac:dyDescent="0.25">
      <c r="A6299" t="s">
        <v>8</v>
      </c>
      <c r="B6299" t="s">
        <v>17562</v>
      </c>
      <c r="C6299" t="s">
        <v>17563</v>
      </c>
      <c r="D6299">
        <v>1</v>
      </c>
      <c r="E6299" t="s">
        <v>17488</v>
      </c>
      <c r="F6299" t="s">
        <v>17489</v>
      </c>
      <c r="G6299" s="1"/>
      <c r="H6299" t="str">
        <f>"3250617180412"</f>
        <v>3250617180412</v>
      </c>
      <c r="J6299" t="s">
        <v>17516</v>
      </c>
    </row>
    <row r="6300" spans="1:10" x14ac:dyDescent="0.25">
      <c r="A6300" t="s">
        <v>8</v>
      </c>
      <c r="B6300" t="s">
        <v>17564</v>
      </c>
      <c r="C6300" t="s">
        <v>17565</v>
      </c>
      <c r="D6300">
        <v>1</v>
      </c>
      <c r="E6300" t="s">
        <v>17566</v>
      </c>
      <c r="F6300" t="s">
        <v>17567</v>
      </c>
      <c r="G6300" s="1"/>
      <c r="H6300" t="str">
        <f>"3250617180290"</f>
        <v>3250617180290</v>
      </c>
      <c r="J6300" t="s">
        <v>17568</v>
      </c>
    </row>
    <row r="6301" spans="1:10" x14ac:dyDescent="0.25">
      <c r="A6301" t="s">
        <v>8</v>
      </c>
      <c r="B6301" t="s">
        <v>17569</v>
      </c>
      <c r="C6301" t="s">
        <v>17570</v>
      </c>
      <c r="D6301">
        <v>1</v>
      </c>
      <c r="E6301" t="s">
        <v>17566</v>
      </c>
      <c r="F6301" t="s">
        <v>17567</v>
      </c>
      <c r="G6301" s="1"/>
      <c r="H6301" t="str">
        <f>"3250617180450"</f>
        <v>3250617180450</v>
      </c>
      <c r="J6301" t="s">
        <v>2399</v>
      </c>
    </row>
    <row r="6302" spans="1:10" x14ac:dyDescent="0.25">
      <c r="A6302" t="s">
        <v>8</v>
      </c>
      <c r="B6302" t="s">
        <v>17571</v>
      </c>
      <c r="C6302" t="s">
        <v>17572</v>
      </c>
      <c r="D6302">
        <v>1</v>
      </c>
      <c r="E6302" t="s">
        <v>17566</v>
      </c>
      <c r="F6302" t="s">
        <v>17567</v>
      </c>
      <c r="G6302" s="1"/>
      <c r="H6302" t="str">
        <f>"3250617180467"</f>
        <v>3250617180467</v>
      </c>
      <c r="J6302" t="s">
        <v>17573</v>
      </c>
    </row>
    <row r="6303" spans="1:10" x14ac:dyDescent="0.25">
      <c r="A6303" t="s">
        <v>8</v>
      </c>
      <c r="B6303" t="s">
        <v>17574</v>
      </c>
      <c r="C6303" t="s">
        <v>17575</v>
      </c>
      <c r="D6303">
        <v>1</v>
      </c>
      <c r="E6303" t="s">
        <v>17566</v>
      </c>
      <c r="F6303" t="s">
        <v>17567</v>
      </c>
      <c r="G6303" s="1"/>
      <c r="H6303" t="str">
        <f>"3250617180474"</f>
        <v>3250617180474</v>
      </c>
      <c r="J6303" t="s">
        <v>17576</v>
      </c>
    </row>
    <row r="6304" spans="1:10" x14ac:dyDescent="0.25">
      <c r="A6304" t="s">
        <v>8</v>
      </c>
      <c r="B6304" t="s">
        <v>17577</v>
      </c>
      <c r="C6304" t="s">
        <v>17578</v>
      </c>
      <c r="D6304">
        <v>1</v>
      </c>
      <c r="E6304" t="s">
        <v>17566</v>
      </c>
      <c r="F6304" t="s">
        <v>17567</v>
      </c>
      <c r="G6304" s="1"/>
      <c r="H6304" t="str">
        <f>"3250617180498"</f>
        <v>3250617180498</v>
      </c>
      <c r="J6304" t="s">
        <v>17579</v>
      </c>
    </row>
    <row r="6305" spans="1:10" x14ac:dyDescent="0.25">
      <c r="A6305" t="s">
        <v>8</v>
      </c>
      <c r="B6305" t="s">
        <v>17580</v>
      </c>
      <c r="C6305" t="s">
        <v>17581</v>
      </c>
      <c r="D6305">
        <v>1</v>
      </c>
      <c r="E6305" t="s">
        <v>17566</v>
      </c>
      <c r="F6305" t="s">
        <v>17567</v>
      </c>
      <c r="G6305" s="1"/>
      <c r="H6305" t="str">
        <f>"3250617180528"</f>
        <v>3250617180528</v>
      </c>
      <c r="J6305" t="s">
        <v>17582</v>
      </c>
    </row>
    <row r="6306" spans="1:10" x14ac:dyDescent="0.25">
      <c r="A6306" t="s">
        <v>8</v>
      </c>
      <c r="B6306" t="s">
        <v>17583</v>
      </c>
      <c r="C6306" t="s">
        <v>17584</v>
      </c>
      <c r="D6306">
        <v>1</v>
      </c>
      <c r="E6306" t="s">
        <v>17566</v>
      </c>
      <c r="F6306" t="s">
        <v>17567</v>
      </c>
      <c r="G6306" s="1"/>
      <c r="H6306" t="str">
        <f>"3250617180535"</f>
        <v>3250617180535</v>
      </c>
      <c r="J6306" t="s">
        <v>17585</v>
      </c>
    </row>
    <row r="6307" spans="1:10" x14ac:dyDescent="0.25">
      <c r="A6307" t="s">
        <v>8</v>
      </c>
      <c r="B6307" t="s">
        <v>17586</v>
      </c>
      <c r="C6307" t="s">
        <v>17587</v>
      </c>
      <c r="D6307">
        <v>1</v>
      </c>
      <c r="E6307" t="s">
        <v>17566</v>
      </c>
      <c r="F6307" t="s">
        <v>17567</v>
      </c>
      <c r="G6307" s="1"/>
      <c r="H6307" t="str">
        <f>"3250617180542"</f>
        <v>3250617180542</v>
      </c>
      <c r="J6307" t="s">
        <v>17588</v>
      </c>
    </row>
    <row r="6308" spans="1:10" x14ac:dyDescent="0.25">
      <c r="A6308" t="s">
        <v>8</v>
      </c>
      <c r="B6308" t="s">
        <v>17589</v>
      </c>
      <c r="C6308" t="s">
        <v>17590</v>
      </c>
      <c r="D6308">
        <v>1</v>
      </c>
      <c r="E6308" t="s">
        <v>17566</v>
      </c>
      <c r="F6308" t="s">
        <v>17567</v>
      </c>
      <c r="G6308" s="1"/>
      <c r="H6308" t="str">
        <f>"3250617180559"</f>
        <v>3250617180559</v>
      </c>
      <c r="J6308" t="s">
        <v>17591</v>
      </c>
    </row>
    <row r="6309" spans="1:10" x14ac:dyDescent="0.25">
      <c r="A6309" t="s">
        <v>8</v>
      </c>
      <c r="B6309" t="s">
        <v>17592</v>
      </c>
      <c r="C6309" t="s">
        <v>17593</v>
      </c>
      <c r="D6309">
        <v>1</v>
      </c>
      <c r="E6309" t="s">
        <v>17566</v>
      </c>
      <c r="F6309" t="s">
        <v>17567</v>
      </c>
      <c r="G6309" s="1"/>
      <c r="H6309" t="str">
        <f>"3250617180566"</f>
        <v>3250617180566</v>
      </c>
      <c r="J6309" t="s">
        <v>17591</v>
      </c>
    </row>
    <row r="6310" spans="1:10" x14ac:dyDescent="0.25">
      <c r="A6310" t="s">
        <v>8</v>
      </c>
      <c r="B6310" t="s">
        <v>17594</v>
      </c>
      <c r="C6310" t="s">
        <v>17595</v>
      </c>
      <c r="D6310">
        <v>1</v>
      </c>
      <c r="E6310" t="s">
        <v>17566</v>
      </c>
      <c r="F6310" t="s">
        <v>17567</v>
      </c>
      <c r="G6310" s="1"/>
      <c r="H6310" t="str">
        <f>"3250617180597"</f>
        <v>3250617180597</v>
      </c>
      <c r="J6310" t="s">
        <v>17596</v>
      </c>
    </row>
    <row r="6311" spans="1:10" x14ac:dyDescent="0.25">
      <c r="A6311" t="s">
        <v>8</v>
      </c>
      <c r="B6311" t="s">
        <v>17597</v>
      </c>
      <c r="C6311" t="s">
        <v>17598</v>
      </c>
      <c r="D6311">
        <v>1</v>
      </c>
      <c r="E6311" t="s">
        <v>17566</v>
      </c>
      <c r="F6311" t="s">
        <v>17567</v>
      </c>
      <c r="G6311" s="1"/>
      <c r="H6311" t="str">
        <f>"3250617180603"</f>
        <v>3250617180603</v>
      </c>
      <c r="J6311" t="s">
        <v>17599</v>
      </c>
    </row>
    <row r="6312" spans="1:10" x14ac:dyDescent="0.25">
      <c r="A6312" t="s">
        <v>8</v>
      </c>
      <c r="B6312" t="s">
        <v>17600</v>
      </c>
      <c r="C6312" t="s">
        <v>17601</v>
      </c>
      <c r="D6312">
        <v>1</v>
      </c>
      <c r="E6312" t="s">
        <v>17566</v>
      </c>
      <c r="F6312" t="s">
        <v>17567</v>
      </c>
      <c r="G6312" s="1"/>
      <c r="H6312" t="str">
        <f>"3250617180627"</f>
        <v>3250617180627</v>
      </c>
      <c r="J6312" t="s">
        <v>17602</v>
      </c>
    </row>
    <row r="6313" spans="1:10" x14ac:dyDescent="0.25">
      <c r="A6313" t="s">
        <v>8</v>
      </c>
      <c r="B6313" t="s">
        <v>17603</v>
      </c>
      <c r="C6313" t="s">
        <v>17604</v>
      </c>
      <c r="D6313">
        <v>1</v>
      </c>
      <c r="E6313" t="s">
        <v>17566</v>
      </c>
      <c r="F6313" t="s">
        <v>17567</v>
      </c>
      <c r="G6313" s="1"/>
      <c r="H6313" t="str">
        <f>"3250617180634"</f>
        <v>3250617180634</v>
      </c>
      <c r="J6313" t="s">
        <v>17605</v>
      </c>
    </row>
    <row r="6314" spans="1:10" x14ac:dyDescent="0.25">
      <c r="A6314" t="s">
        <v>8</v>
      </c>
      <c r="B6314" t="s">
        <v>17606</v>
      </c>
      <c r="C6314" t="s">
        <v>17607</v>
      </c>
      <c r="D6314">
        <v>1</v>
      </c>
      <c r="E6314" t="s">
        <v>17566</v>
      </c>
      <c r="F6314" t="s">
        <v>17567</v>
      </c>
      <c r="G6314" s="1"/>
      <c r="H6314" t="str">
        <f>"3250617180641"</f>
        <v>3250617180641</v>
      </c>
      <c r="J6314" t="s">
        <v>17608</v>
      </c>
    </row>
    <row r="6315" spans="1:10" x14ac:dyDescent="0.25">
      <c r="A6315" t="s">
        <v>8</v>
      </c>
      <c r="B6315" t="s">
        <v>17609</v>
      </c>
      <c r="C6315" t="s">
        <v>17610</v>
      </c>
      <c r="D6315">
        <v>1</v>
      </c>
      <c r="E6315" t="s">
        <v>17566</v>
      </c>
      <c r="F6315" t="s">
        <v>17567</v>
      </c>
      <c r="G6315" s="1"/>
      <c r="H6315" t="str">
        <f>"3250617180658"</f>
        <v>3250617180658</v>
      </c>
      <c r="J6315" t="s">
        <v>17611</v>
      </c>
    </row>
    <row r="6316" spans="1:10" x14ac:dyDescent="0.25">
      <c r="A6316" t="s">
        <v>8</v>
      </c>
      <c r="B6316" t="s">
        <v>17612</v>
      </c>
      <c r="C6316" t="s">
        <v>17613</v>
      </c>
      <c r="D6316">
        <v>1</v>
      </c>
      <c r="E6316" t="s">
        <v>17566</v>
      </c>
      <c r="F6316" t="s">
        <v>17567</v>
      </c>
      <c r="G6316" s="1"/>
      <c r="H6316" t="str">
        <f>"3250617180665"</f>
        <v>3250617180665</v>
      </c>
      <c r="J6316" t="s">
        <v>17614</v>
      </c>
    </row>
    <row r="6317" spans="1:10" x14ac:dyDescent="0.25">
      <c r="A6317" t="s">
        <v>8</v>
      </c>
      <c r="B6317" t="s">
        <v>17615</v>
      </c>
      <c r="C6317" t="s">
        <v>17616</v>
      </c>
      <c r="D6317">
        <v>1</v>
      </c>
      <c r="E6317" t="s">
        <v>17566</v>
      </c>
      <c r="F6317" t="s">
        <v>17567</v>
      </c>
      <c r="G6317" s="1"/>
      <c r="H6317" t="str">
        <f>"3250617180672"</f>
        <v>3250617180672</v>
      </c>
      <c r="J6317" t="s">
        <v>17617</v>
      </c>
    </row>
    <row r="6318" spans="1:10" x14ac:dyDescent="0.25">
      <c r="A6318" t="s">
        <v>8</v>
      </c>
      <c r="B6318" t="s">
        <v>17618</v>
      </c>
      <c r="C6318" t="s">
        <v>17619</v>
      </c>
      <c r="D6318">
        <v>1</v>
      </c>
      <c r="E6318" t="s">
        <v>17566</v>
      </c>
      <c r="F6318" t="s">
        <v>17567</v>
      </c>
      <c r="G6318" s="1"/>
      <c r="H6318" t="str">
        <f>"3250617180689"</f>
        <v>3250617180689</v>
      </c>
      <c r="J6318" t="s">
        <v>17620</v>
      </c>
    </row>
    <row r="6319" spans="1:10" x14ac:dyDescent="0.25">
      <c r="A6319" t="s">
        <v>8</v>
      </c>
      <c r="B6319" t="s">
        <v>17621</v>
      </c>
      <c r="C6319" t="s">
        <v>17622</v>
      </c>
      <c r="D6319">
        <v>1</v>
      </c>
      <c r="E6319" t="s">
        <v>17566</v>
      </c>
      <c r="F6319" t="s">
        <v>17567</v>
      </c>
      <c r="G6319" s="1"/>
      <c r="H6319" t="str">
        <f>"3250617180696"</f>
        <v>3250617180696</v>
      </c>
      <c r="J6319" t="s">
        <v>17623</v>
      </c>
    </row>
    <row r="6320" spans="1:10" x14ac:dyDescent="0.25">
      <c r="A6320" t="s">
        <v>8</v>
      </c>
      <c r="B6320" t="s">
        <v>17624</v>
      </c>
      <c r="C6320" t="s">
        <v>17625</v>
      </c>
      <c r="D6320">
        <v>1</v>
      </c>
      <c r="E6320" t="s">
        <v>17566</v>
      </c>
      <c r="F6320" t="s">
        <v>17567</v>
      </c>
      <c r="G6320" s="1"/>
      <c r="H6320" t="str">
        <f>"3250617180702"</f>
        <v>3250617180702</v>
      </c>
      <c r="J6320" t="s">
        <v>17626</v>
      </c>
    </row>
    <row r="6321" spans="1:10" x14ac:dyDescent="0.25">
      <c r="A6321" t="s">
        <v>8</v>
      </c>
      <c r="B6321" t="s">
        <v>17627</v>
      </c>
      <c r="C6321" t="s">
        <v>17628</v>
      </c>
      <c r="D6321">
        <v>1</v>
      </c>
      <c r="E6321" t="s">
        <v>17566</v>
      </c>
      <c r="F6321" t="s">
        <v>17567</v>
      </c>
      <c r="G6321" s="1"/>
      <c r="H6321" t="str">
        <f>"3250617180719"</f>
        <v>3250617180719</v>
      </c>
      <c r="I6321" s="1"/>
      <c r="J6321" t="s">
        <v>13051</v>
      </c>
    </row>
    <row r="6322" spans="1:10" x14ac:dyDescent="0.25">
      <c r="A6322" t="s">
        <v>8</v>
      </c>
      <c r="B6322" t="s">
        <v>17629</v>
      </c>
      <c r="C6322" t="s">
        <v>17630</v>
      </c>
      <c r="D6322">
        <v>1</v>
      </c>
      <c r="E6322" t="s">
        <v>17566</v>
      </c>
      <c r="F6322" t="s">
        <v>17567</v>
      </c>
      <c r="G6322" s="1"/>
      <c r="H6322" t="str">
        <f>"3250617180900"</f>
        <v>3250617180900</v>
      </c>
      <c r="J6322" t="s">
        <v>17631</v>
      </c>
    </row>
    <row r="6323" spans="1:10" x14ac:dyDescent="0.25">
      <c r="A6323" t="s">
        <v>8</v>
      </c>
      <c r="B6323" t="s">
        <v>17632</v>
      </c>
      <c r="C6323" t="s">
        <v>17633</v>
      </c>
      <c r="D6323">
        <v>1</v>
      </c>
      <c r="E6323" t="s">
        <v>17566</v>
      </c>
      <c r="F6323" t="s">
        <v>17567</v>
      </c>
      <c r="G6323" s="1"/>
      <c r="H6323" t="str">
        <f>"3250617180740"</f>
        <v>3250617180740</v>
      </c>
      <c r="J6323" t="s">
        <v>17634</v>
      </c>
    </row>
    <row r="6324" spans="1:10" x14ac:dyDescent="0.25">
      <c r="A6324" t="s">
        <v>8</v>
      </c>
      <c r="B6324" t="s">
        <v>17635</v>
      </c>
      <c r="C6324" t="s">
        <v>17636</v>
      </c>
      <c r="D6324">
        <v>1</v>
      </c>
      <c r="E6324" t="s">
        <v>17566</v>
      </c>
      <c r="F6324" t="s">
        <v>17567</v>
      </c>
      <c r="G6324" s="1"/>
      <c r="H6324" t="str">
        <f>"3250617180757"</f>
        <v>3250617180757</v>
      </c>
      <c r="J6324" t="s">
        <v>17637</v>
      </c>
    </row>
    <row r="6325" spans="1:10" x14ac:dyDescent="0.25">
      <c r="A6325" t="s">
        <v>8</v>
      </c>
      <c r="B6325" t="s">
        <v>17638</v>
      </c>
      <c r="C6325" t="s">
        <v>17639</v>
      </c>
      <c r="D6325">
        <v>1</v>
      </c>
      <c r="E6325" t="s">
        <v>17566</v>
      </c>
      <c r="F6325" t="s">
        <v>17567</v>
      </c>
      <c r="G6325" s="1"/>
      <c r="H6325" t="str">
        <f>"3250617180764"</f>
        <v>3250617180764</v>
      </c>
      <c r="J6325" t="s">
        <v>17637</v>
      </c>
    </row>
    <row r="6326" spans="1:10" x14ac:dyDescent="0.25">
      <c r="A6326" t="s">
        <v>8</v>
      </c>
      <c r="B6326" t="s">
        <v>17640</v>
      </c>
      <c r="C6326" t="s">
        <v>17641</v>
      </c>
      <c r="D6326">
        <v>1</v>
      </c>
      <c r="E6326" t="s">
        <v>17566</v>
      </c>
      <c r="F6326" t="s">
        <v>17567</v>
      </c>
      <c r="G6326" s="1"/>
      <c r="H6326" t="str">
        <f>"3250617180771"</f>
        <v>3250617180771</v>
      </c>
      <c r="J6326" t="s">
        <v>17642</v>
      </c>
    </row>
    <row r="6327" spans="1:10" x14ac:dyDescent="0.25">
      <c r="A6327" t="s">
        <v>8</v>
      </c>
      <c r="B6327" t="s">
        <v>17643</v>
      </c>
      <c r="C6327" t="s">
        <v>17644</v>
      </c>
      <c r="D6327">
        <v>1</v>
      </c>
      <c r="E6327" t="s">
        <v>17566</v>
      </c>
      <c r="F6327" t="s">
        <v>17567</v>
      </c>
      <c r="G6327" s="1"/>
      <c r="H6327" t="str">
        <f>"3250617180788"</f>
        <v>3250617180788</v>
      </c>
      <c r="J6327" t="s">
        <v>17645</v>
      </c>
    </row>
    <row r="6328" spans="1:10" x14ac:dyDescent="0.25">
      <c r="A6328" t="s">
        <v>8</v>
      </c>
      <c r="B6328" t="s">
        <v>17646</v>
      </c>
      <c r="C6328" t="s">
        <v>17647</v>
      </c>
      <c r="D6328">
        <v>1</v>
      </c>
      <c r="E6328" t="s">
        <v>17566</v>
      </c>
      <c r="F6328" t="s">
        <v>17567</v>
      </c>
      <c r="G6328" s="1"/>
      <c r="H6328" t="str">
        <f>"3250617180795"</f>
        <v>3250617180795</v>
      </c>
      <c r="J6328" t="s">
        <v>17648</v>
      </c>
    </row>
    <row r="6329" spans="1:10" x14ac:dyDescent="0.25">
      <c r="A6329" t="s">
        <v>8</v>
      </c>
      <c r="B6329" t="s">
        <v>17649</v>
      </c>
      <c r="C6329" t="s">
        <v>17650</v>
      </c>
      <c r="D6329">
        <v>1</v>
      </c>
      <c r="E6329" t="s">
        <v>17566</v>
      </c>
      <c r="F6329" t="s">
        <v>17567</v>
      </c>
      <c r="G6329" s="1"/>
      <c r="H6329" t="str">
        <f>"3250617180801"</f>
        <v>3250617180801</v>
      </c>
      <c r="J6329" t="s">
        <v>17651</v>
      </c>
    </row>
    <row r="6330" spans="1:10" x14ac:dyDescent="0.25">
      <c r="A6330" t="s">
        <v>8</v>
      </c>
      <c r="B6330" t="s">
        <v>17652</v>
      </c>
      <c r="C6330" t="s">
        <v>17653</v>
      </c>
      <c r="D6330">
        <v>1</v>
      </c>
      <c r="E6330" t="s">
        <v>17566</v>
      </c>
      <c r="F6330" t="s">
        <v>17567</v>
      </c>
      <c r="G6330" s="1"/>
      <c r="H6330" t="str">
        <f>"3250617180818"</f>
        <v>3250617180818</v>
      </c>
      <c r="J6330" t="s">
        <v>17654</v>
      </c>
    </row>
    <row r="6331" spans="1:10" x14ac:dyDescent="0.25">
      <c r="A6331" t="s">
        <v>8</v>
      </c>
      <c r="B6331" t="s">
        <v>17655</v>
      </c>
      <c r="C6331" t="s">
        <v>17656</v>
      </c>
      <c r="D6331">
        <v>1</v>
      </c>
      <c r="E6331" t="s">
        <v>17566</v>
      </c>
      <c r="F6331" t="s">
        <v>17567</v>
      </c>
      <c r="G6331" s="1"/>
      <c r="H6331" t="str">
        <f>"3250617180825"</f>
        <v>3250617180825</v>
      </c>
      <c r="J6331" t="s">
        <v>17657</v>
      </c>
    </row>
    <row r="6332" spans="1:10" x14ac:dyDescent="0.25">
      <c r="A6332" t="s">
        <v>8</v>
      </c>
      <c r="B6332" t="s">
        <v>17658</v>
      </c>
      <c r="C6332" t="s">
        <v>17659</v>
      </c>
      <c r="D6332">
        <v>1</v>
      </c>
      <c r="E6332" t="s">
        <v>17566</v>
      </c>
      <c r="F6332" t="s">
        <v>17567</v>
      </c>
      <c r="G6332" s="1"/>
      <c r="H6332" t="str">
        <f>"3250617180832"</f>
        <v>3250617180832</v>
      </c>
      <c r="J6332" t="s">
        <v>17660</v>
      </c>
    </row>
    <row r="6333" spans="1:10" x14ac:dyDescent="0.25">
      <c r="A6333" t="s">
        <v>8</v>
      </c>
      <c r="B6333" t="s">
        <v>17661</v>
      </c>
      <c r="C6333" t="s">
        <v>17662</v>
      </c>
      <c r="D6333">
        <v>1</v>
      </c>
      <c r="E6333" t="s">
        <v>17566</v>
      </c>
      <c r="F6333" t="s">
        <v>17567</v>
      </c>
      <c r="G6333" s="1"/>
      <c r="H6333" t="str">
        <f>"3250617180849"</f>
        <v>3250617180849</v>
      </c>
      <c r="I6333" s="1"/>
      <c r="J6333" t="s">
        <v>17663</v>
      </c>
    </row>
    <row r="6334" spans="1:10" x14ac:dyDescent="0.25">
      <c r="A6334" t="s">
        <v>8</v>
      </c>
      <c r="B6334" t="s">
        <v>17664</v>
      </c>
      <c r="C6334" t="s">
        <v>17665</v>
      </c>
      <c r="D6334">
        <v>1</v>
      </c>
      <c r="E6334" t="s">
        <v>17566</v>
      </c>
      <c r="F6334" t="s">
        <v>17567</v>
      </c>
      <c r="G6334" s="1"/>
      <c r="H6334" t="str">
        <f>"3250617180856"</f>
        <v>3250617180856</v>
      </c>
      <c r="J6334" t="s">
        <v>17666</v>
      </c>
    </row>
    <row r="6335" spans="1:10" x14ac:dyDescent="0.25">
      <c r="A6335" t="s">
        <v>8</v>
      </c>
      <c r="B6335" t="s">
        <v>17667</v>
      </c>
      <c r="C6335" t="s">
        <v>17668</v>
      </c>
      <c r="D6335">
        <v>1</v>
      </c>
      <c r="E6335" t="s">
        <v>17566</v>
      </c>
      <c r="F6335" t="s">
        <v>17567</v>
      </c>
      <c r="G6335" s="1"/>
      <c r="H6335" t="str">
        <f>"3250617180863"</f>
        <v>3250617180863</v>
      </c>
      <c r="J6335" t="s">
        <v>17669</v>
      </c>
    </row>
    <row r="6336" spans="1:10" x14ac:dyDescent="0.25">
      <c r="A6336" t="s">
        <v>8</v>
      </c>
      <c r="B6336" t="s">
        <v>17670</v>
      </c>
      <c r="C6336" t="s">
        <v>17671</v>
      </c>
      <c r="D6336">
        <v>1</v>
      </c>
      <c r="E6336" t="s">
        <v>17566</v>
      </c>
      <c r="F6336" t="s">
        <v>17567</v>
      </c>
      <c r="G6336" s="1"/>
      <c r="H6336" t="str">
        <f>"3250617180870"</f>
        <v>3250617180870</v>
      </c>
      <c r="J6336" t="s">
        <v>14227</v>
      </c>
    </row>
    <row r="6337" spans="1:10" x14ac:dyDescent="0.25">
      <c r="A6337" t="s">
        <v>8</v>
      </c>
      <c r="B6337" t="s">
        <v>17672</v>
      </c>
      <c r="C6337" t="s">
        <v>17673</v>
      </c>
      <c r="D6337">
        <v>1</v>
      </c>
      <c r="E6337" t="s">
        <v>17566</v>
      </c>
      <c r="F6337" t="s">
        <v>17567</v>
      </c>
      <c r="G6337" s="1"/>
      <c r="H6337" t="str">
        <f>"3250617180887"</f>
        <v>3250617180887</v>
      </c>
      <c r="J6337" t="s">
        <v>17674</v>
      </c>
    </row>
    <row r="6338" spans="1:10" x14ac:dyDescent="0.25">
      <c r="A6338" t="s">
        <v>8</v>
      </c>
      <c r="B6338" t="s">
        <v>17675</v>
      </c>
      <c r="C6338" t="s">
        <v>17676</v>
      </c>
      <c r="D6338">
        <v>1</v>
      </c>
      <c r="E6338" t="s">
        <v>17677</v>
      </c>
      <c r="F6338" t="s">
        <v>17678</v>
      </c>
      <c r="G6338" s="1"/>
      <c r="H6338" t="str">
        <f>"4012740984010"</f>
        <v>4012740984010</v>
      </c>
      <c r="J6338" t="s">
        <v>17679</v>
      </c>
    </row>
    <row r="6339" spans="1:10" x14ac:dyDescent="0.25">
      <c r="A6339" t="s">
        <v>8</v>
      </c>
      <c r="B6339" t="s">
        <v>17680</v>
      </c>
      <c r="C6339" t="s">
        <v>17681</v>
      </c>
      <c r="D6339">
        <v>1</v>
      </c>
      <c r="E6339" t="s">
        <v>17677</v>
      </c>
      <c r="F6339" t="s">
        <v>17678</v>
      </c>
      <c r="G6339" s="1"/>
      <c r="H6339" t="str">
        <f>"4012740008150"</f>
        <v>4012740008150</v>
      </c>
      <c r="J6339" t="s">
        <v>17682</v>
      </c>
    </row>
    <row r="6340" spans="1:10" x14ac:dyDescent="0.25">
      <c r="A6340" t="s">
        <v>8</v>
      </c>
      <c r="B6340" t="s">
        <v>17683</v>
      </c>
      <c r="C6340" t="s">
        <v>17684</v>
      </c>
      <c r="D6340">
        <v>1</v>
      </c>
      <c r="E6340" t="s">
        <v>17677</v>
      </c>
      <c r="F6340" t="s">
        <v>17678</v>
      </c>
      <c r="G6340" s="1"/>
      <c r="H6340" t="str">
        <f>"4012740984041"</f>
        <v>4012740984041</v>
      </c>
      <c r="J6340" t="s">
        <v>17685</v>
      </c>
    </row>
    <row r="6341" spans="1:10" x14ac:dyDescent="0.25">
      <c r="A6341" t="s">
        <v>8</v>
      </c>
      <c r="B6341" t="s">
        <v>17686</v>
      </c>
      <c r="C6341" t="s">
        <v>17687</v>
      </c>
      <c r="D6341">
        <v>1</v>
      </c>
      <c r="E6341" t="s">
        <v>17677</v>
      </c>
      <c r="F6341" t="s">
        <v>17678</v>
      </c>
      <c r="G6341" s="1"/>
      <c r="H6341" t="str">
        <f>"4012740984058"</f>
        <v>4012740984058</v>
      </c>
      <c r="J6341" t="s">
        <v>17688</v>
      </c>
    </row>
    <row r="6342" spans="1:10" x14ac:dyDescent="0.25">
      <c r="A6342" t="s">
        <v>8</v>
      </c>
      <c r="B6342" t="s">
        <v>17689</v>
      </c>
      <c r="C6342" t="s">
        <v>17690</v>
      </c>
      <c r="D6342">
        <v>1</v>
      </c>
      <c r="E6342" t="s">
        <v>17691</v>
      </c>
      <c r="F6342" t="s">
        <v>17692</v>
      </c>
      <c r="G6342" s="1"/>
      <c r="H6342" t="str">
        <f>"3250613131982"</f>
        <v>3250613131982</v>
      </c>
      <c r="J6342" t="s">
        <v>17693</v>
      </c>
    </row>
    <row r="6343" spans="1:10" x14ac:dyDescent="0.25">
      <c r="A6343" t="s">
        <v>8</v>
      </c>
      <c r="B6343" t="s">
        <v>17694</v>
      </c>
      <c r="C6343" t="s">
        <v>17695</v>
      </c>
      <c r="D6343">
        <v>1</v>
      </c>
      <c r="E6343" t="s">
        <v>17691</v>
      </c>
      <c r="F6343" t="s">
        <v>17692</v>
      </c>
      <c r="G6343" s="1"/>
      <c r="H6343" t="str">
        <f>"3250613131999"</f>
        <v>3250613131999</v>
      </c>
      <c r="J6343" t="s">
        <v>13690</v>
      </c>
    </row>
    <row r="6344" spans="1:10" x14ac:dyDescent="0.25">
      <c r="A6344" t="s">
        <v>8</v>
      </c>
      <c r="B6344" t="s">
        <v>17696</v>
      </c>
      <c r="C6344" t="s">
        <v>17697</v>
      </c>
      <c r="D6344">
        <v>1</v>
      </c>
      <c r="E6344" t="s">
        <v>17691</v>
      </c>
      <c r="F6344" t="s">
        <v>17692</v>
      </c>
      <c r="G6344" s="1"/>
      <c r="H6344" t="str">
        <f>"3250613132002"</f>
        <v>3250613132002</v>
      </c>
      <c r="J6344" t="s">
        <v>17698</v>
      </c>
    </row>
    <row r="6345" spans="1:10" x14ac:dyDescent="0.25">
      <c r="A6345" t="s">
        <v>8</v>
      </c>
      <c r="B6345" t="s">
        <v>17699</v>
      </c>
      <c r="C6345" t="s">
        <v>17700</v>
      </c>
      <c r="D6345">
        <v>1</v>
      </c>
      <c r="E6345" t="s">
        <v>17691</v>
      </c>
      <c r="F6345" t="s">
        <v>17692</v>
      </c>
      <c r="G6345" s="1"/>
      <c r="H6345" t="str">
        <f>"3250616378667"</f>
        <v>3250616378667</v>
      </c>
      <c r="J6345" t="s">
        <v>17701</v>
      </c>
    </row>
    <row r="6346" spans="1:10" x14ac:dyDescent="0.25">
      <c r="A6346" t="s">
        <v>8</v>
      </c>
      <c r="B6346" t="s">
        <v>17702</v>
      </c>
      <c r="C6346" t="s">
        <v>17703</v>
      </c>
      <c r="D6346">
        <v>1</v>
      </c>
      <c r="E6346" t="s">
        <v>17691</v>
      </c>
      <c r="F6346" t="s">
        <v>17692</v>
      </c>
      <c r="G6346" s="1"/>
      <c r="H6346" t="str">
        <f>"3250616378674"</f>
        <v>3250616378674</v>
      </c>
      <c r="J6346" t="s">
        <v>17704</v>
      </c>
    </row>
    <row r="6347" spans="1:10" x14ac:dyDescent="0.25">
      <c r="A6347" t="s">
        <v>8</v>
      </c>
      <c r="B6347" t="s">
        <v>17705</v>
      </c>
      <c r="C6347" t="s">
        <v>17706</v>
      </c>
      <c r="D6347">
        <v>1</v>
      </c>
      <c r="E6347" t="s">
        <v>17691</v>
      </c>
      <c r="F6347" t="s">
        <v>17692</v>
      </c>
      <c r="G6347" s="1"/>
      <c r="H6347" t="str">
        <f>"3250616378681"</f>
        <v>3250616378681</v>
      </c>
      <c r="J6347" t="s">
        <v>17707</v>
      </c>
    </row>
    <row r="6348" spans="1:10" x14ac:dyDescent="0.25">
      <c r="A6348" t="s">
        <v>8</v>
      </c>
      <c r="B6348" t="s">
        <v>17708</v>
      </c>
      <c r="C6348" t="s">
        <v>17709</v>
      </c>
      <c r="D6348">
        <v>1</v>
      </c>
      <c r="E6348" t="s">
        <v>17691</v>
      </c>
      <c r="F6348" t="s">
        <v>17692</v>
      </c>
      <c r="G6348" s="1"/>
      <c r="H6348" t="str">
        <f>"3250616378698"</f>
        <v>3250616378698</v>
      </c>
      <c r="J6348" t="s">
        <v>17710</v>
      </c>
    </row>
    <row r="6349" spans="1:10" x14ac:dyDescent="0.25">
      <c r="A6349" t="s">
        <v>8</v>
      </c>
      <c r="B6349" t="s">
        <v>17711</v>
      </c>
      <c r="C6349" t="s">
        <v>17712</v>
      </c>
      <c r="D6349">
        <v>1</v>
      </c>
      <c r="E6349" t="s">
        <v>17691</v>
      </c>
      <c r="F6349" t="s">
        <v>17692</v>
      </c>
      <c r="G6349" s="1"/>
      <c r="H6349" t="str">
        <f>"3250616378728"</f>
        <v>3250616378728</v>
      </c>
      <c r="J6349" t="s">
        <v>17713</v>
      </c>
    </row>
    <row r="6350" spans="1:10" x14ac:dyDescent="0.25">
      <c r="A6350" t="s">
        <v>8</v>
      </c>
      <c r="B6350" t="s">
        <v>17714</v>
      </c>
      <c r="C6350" t="s">
        <v>17715</v>
      </c>
      <c r="D6350">
        <v>1</v>
      </c>
      <c r="E6350" t="s">
        <v>17691</v>
      </c>
      <c r="F6350" t="s">
        <v>17692</v>
      </c>
      <c r="G6350" s="1"/>
      <c r="H6350" t="str">
        <f>"3250616378735"</f>
        <v>3250616378735</v>
      </c>
      <c r="J6350" t="s">
        <v>17713</v>
      </c>
    </row>
    <row r="6351" spans="1:10" x14ac:dyDescent="0.25">
      <c r="A6351" t="s">
        <v>8</v>
      </c>
      <c r="B6351" t="s">
        <v>17716</v>
      </c>
      <c r="C6351" t="s">
        <v>17717</v>
      </c>
      <c r="D6351">
        <v>1</v>
      </c>
      <c r="E6351" t="s">
        <v>17691</v>
      </c>
      <c r="F6351" t="s">
        <v>17692</v>
      </c>
      <c r="G6351" s="1"/>
      <c r="H6351" t="str">
        <f>"3250616378742"</f>
        <v>3250616378742</v>
      </c>
      <c r="J6351" t="s">
        <v>17718</v>
      </c>
    </row>
    <row r="6352" spans="1:10" x14ac:dyDescent="0.25">
      <c r="A6352" t="s">
        <v>8</v>
      </c>
      <c r="B6352" t="s">
        <v>17719</v>
      </c>
      <c r="C6352" t="s">
        <v>17720</v>
      </c>
      <c r="D6352">
        <v>1</v>
      </c>
      <c r="E6352" t="s">
        <v>17691</v>
      </c>
      <c r="F6352" t="s">
        <v>17692</v>
      </c>
      <c r="G6352" s="1"/>
      <c r="H6352" t="str">
        <f>"3250616378773"</f>
        <v>3250616378773</v>
      </c>
      <c r="J6352" t="s">
        <v>17721</v>
      </c>
    </row>
    <row r="6353" spans="1:10" x14ac:dyDescent="0.25">
      <c r="A6353" t="s">
        <v>8</v>
      </c>
      <c r="B6353" t="s">
        <v>17722</v>
      </c>
      <c r="C6353" t="s">
        <v>17723</v>
      </c>
      <c r="D6353">
        <v>1</v>
      </c>
      <c r="E6353" t="s">
        <v>17691</v>
      </c>
      <c r="F6353" t="s">
        <v>17692</v>
      </c>
      <c r="G6353" s="1"/>
      <c r="H6353" t="str">
        <f>"3250616378780"</f>
        <v>3250616378780</v>
      </c>
      <c r="J6353" t="s">
        <v>17724</v>
      </c>
    </row>
    <row r="6354" spans="1:10" x14ac:dyDescent="0.25">
      <c r="A6354" t="s">
        <v>8</v>
      </c>
      <c r="B6354" t="s">
        <v>17725</v>
      </c>
      <c r="C6354" t="s">
        <v>17726</v>
      </c>
      <c r="D6354">
        <v>1</v>
      </c>
      <c r="E6354" t="s">
        <v>17691</v>
      </c>
      <c r="F6354" t="s">
        <v>17692</v>
      </c>
      <c r="G6354" s="1"/>
      <c r="H6354" t="str">
        <f>"3250616378797"</f>
        <v>3250616378797</v>
      </c>
      <c r="J6354" t="s">
        <v>17727</v>
      </c>
    </row>
    <row r="6355" spans="1:10" x14ac:dyDescent="0.25">
      <c r="A6355" t="s">
        <v>8</v>
      </c>
      <c r="B6355" t="s">
        <v>17728</v>
      </c>
      <c r="C6355" t="s">
        <v>17729</v>
      </c>
      <c r="D6355">
        <v>1</v>
      </c>
      <c r="E6355" t="s">
        <v>17691</v>
      </c>
      <c r="F6355" t="s">
        <v>17692</v>
      </c>
      <c r="G6355" s="1"/>
      <c r="H6355" t="str">
        <f>"3250616378803"</f>
        <v>3250616378803</v>
      </c>
      <c r="J6355" t="s">
        <v>17730</v>
      </c>
    </row>
    <row r="6356" spans="1:10" x14ac:dyDescent="0.25">
      <c r="A6356" t="s">
        <v>8</v>
      </c>
      <c r="B6356" t="s">
        <v>17731</v>
      </c>
      <c r="C6356" t="s">
        <v>17732</v>
      </c>
      <c r="D6356">
        <v>1</v>
      </c>
      <c r="E6356" t="s">
        <v>17691</v>
      </c>
      <c r="F6356" t="s">
        <v>17692</v>
      </c>
      <c r="G6356" s="1"/>
      <c r="H6356" t="str">
        <f>"3250616378810"</f>
        <v>3250616378810</v>
      </c>
      <c r="J6356" t="s">
        <v>17733</v>
      </c>
    </row>
    <row r="6357" spans="1:10" x14ac:dyDescent="0.25">
      <c r="A6357" t="s">
        <v>8</v>
      </c>
      <c r="B6357" t="s">
        <v>17734</v>
      </c>
      <c r="C6357" t="s">
        <v>17735</v>
      </c>
      <c r="D6357">
        <v>1</v>
      </c>
      <c r="E6357" t="s">
        <v>17691</v>
      </c>
      <c r="F6357" t="s">
        <v>17692</v>
      </c>
      <c r="G6357" s="1"/>
      <c r="H6357" t="str">
        <f>"3250616378865"</f>
        <v>3250616378865</v>
      </c>
      <c r="J6357" t="s">
        <v>17736</v>
      </c>
    </row>
    <row r="6358" spans="1:10" x14ac:dyDescent="0.25">
      <c r="A6358" t="s">
        <v>8</v>
      </c>
      <c r="B6358" t="s">
        <v>17737</v>
      </c>
      <c r="C6358" t="s">
        <v>17738</v>
      </c>
      <c r="D6358">
        <v>1</v>
      </c>
      <c r="E6358" t="s">
        <v>17691</v>
      </c>
      <c r="F6358" t="s">
        <v>17692</v>
      </c>
      <c r="G6358" s="1"/>
      <c r="H6358" t="str">
        <f>"3250616378872"</f>
        <v>3250616378872</v>
      </c>
      <c r="J6358" t="s">
        <v>17736</v>
      </c>
    </row>
    <row r="6359" spans="1:10" x14ac:dyDescent="0.25">
      <c r="A6359" t="s">
        <v>8</v>
      </c>
      <c r="B6359" t="s">
        <v>17739</v>
      </c>
      <c r="C6359" t="s">
        <v>17740</v>
      </c>
      <c r="D6359">
        <v>1</v>
      </c>
      <c r="E6359" t="s">
        <v>17691</v>
      </c>
      <c r="F6359" t="s">
        <v>17692</v>
      </c>
      <c r="G6359" s="1"/>
      <c r="H6359" t="str">
        <f>"3250616378889"</f>
        <v>3250616378889</v>
      </c>
      <c r="J6359" t="s">
        <v>17736</v>
      </c>
    </row>
    <row r="6360" spans="1:10" x14ac:dyDescent="0.25">
      <c r="A6360" t="s">
        <v>8</v>
      </c>
      <c r="B6360" t="s">
        <v>17741</v>
      </c>
      <c r="C6360" t="s">
        <v>17742</v>
      </c>
      <c r="D6360">
        <v>1</v>
      </c>
      <c r="E6360" t="s">
        <v>17691</v>
      </c>
      <c r="F6360" t="s">
        <v>17692</v>
      </c>
      <c r="G6360" s="1"/>
      <c r="H6360" t="str">
        <f>"3250616378919"</f>
        <v>3250616378919</v>
      </c>
      <c r="J6360" t="s">
        <v>17743</v>
      </c>
    </row>
    <row r="6361" spans="1:10" x14ac:dyDescent="0.25">
      <c r="A6361" t="s">
        <v>8</v>
      </c>
      <c r="B6361" t="s">
        <v>17744</v>
      </c>
      <c r="C6361" t="s">
        <v>17745</v>
      </c>
      <c r="D6361">
        <v>1</v>
      </c>
      <c r="E6361" t="s">
        <v>17691</v>
      </c>
      <c r="F6361" t="s">
        <v>17692</v>
      </c>
      <c r="G6361" s="1"/>
      <c r="H6361" t="str">
        <f>"3250616378926"</f>
        <v>3250616378926</v>
      </c>
      <c r="J6361" t="s">
        <v>17746</v>
      </c>
    </row>
    <row r="6362" spans="1:10" x14ac:dyDescent="0.25">
      <c r="A6362" t="s">
        <v>8</v>
      </c>
      <c r="B6362" t="s">
        <v>17747</v>
      </c>
      <c r="C6362" t="s">
        <v>17748</v>
      </c>
      <c r="D6362">
        <v>1</v>
      </c>
      <c r="E6362" t="s">
        <v>17691</v>
      </c>
      <c r="F6362" t="s">
        <v>17692</v>
      </c>
      <c r="G6362" s="1"/>
      <c r="H6362" t="str">
        <f>"3250616378933"</f>
        <v>3250616378933</v>
      </c>
      <c r="J6362" t="s">
        <v>17749</v>
      </c>
    </row>
    <row r="6363" spans="1:10" x14ac:dyDescent="0.25">
      <c r="A6363" t="s">
        <v>8</v>
      </c>
      <c r="B6363" t="s">
        <v>17750</v>
      </c>
      <c r="C6363" t="s">
        <v>17751</v>
      </c>
      <c r="D6363">
        <v>1</v>
      </c>
      <c r="E6363" t="s">
        <v>17691</v>
      </c>
      <c r="F6363" t="s">
        <v>17692</v>
      </c>
      <c r="G6363" s="1"/>
      <c r="H6363" t="str">
        <f>"3250616378940"</f>
        <v>3250616378940</v>
      </c>
      <c r="J6363" t="s">
        <v>17752</v>
      </c>
    </row>
    <row r="6364" spans="1:10" x14ac:dyDescent="0.25">
      <c r="A6364" t="s">
        <v>8</v>
      </c>
      <c r="B6364" t="s">
        <v>17753</v>
      </c>
      <c r="C6364" t="s">
        <v>17754</v>
      </c>
      <c r="D6364">
        <v>1</v>
      </c>
      <c r="E6364" t="s">
        <v>17691</v>
      </c>
      <c r="F6364" t="s">
        <v>17692</v>
      </c>
      <c r="G6364" s="1"/>
      <c r="H6364" t="str">
        <f>"3250616378995"</f>
        <v>3250616378995</v>
      </c>
      <c r="J6364" t="s">
        <v>17755</v>
      </c>
    </row>
    <row r="6365" spans="1:10" x14ac:dyDescent="0.25">
      <c r="A6365" t="s">
        <v>8</v>
      </c>
      <c r="B6365" t="s">
        <v>17756</v>
      </c>
      <c r="C6365" t="s">
        <v>17757</v>
      </c>
      <c r="D6365">
        <v>1</v>
      </c>
      <c r="E6365" t="s">
        <v>17691</v>
      </c>
      <c r="F6365" t="s">
        <v>17692</v>
      </c>
      <c r="G6365" s="1"/>
      <c r="H6365" t="str">
        <f>"3250616379008"</f>
        <v>3250616379008</v>
      </c>
      <c r="J6365" t="s">
        <v>17755</v>
      </c>
    </row>
    <row r="6366" spans="1:10" x14ac:dyDescent="0.25">
      <c r="A6366" t="s">
        <v>8</v>
      </c>
      <c r="B6366" t="s">
        <v>17758</v>
      </c>
      <c r="C6366" t="s">
        <v>17759</v>
      </c>
      <c r="D6366">
        <v>1</v>
      </c>
      <c r="E6366" t="s">
        <v>17691</v>
      </c>
      <c r="F6366" t="s">
        <v>17692</v>
      </c>
      <c r="G6366" s="1"/>
      <c r="H6366" t="str">
        <f>"3250616379015"</f>
        <v>3250616379015</v>
      </c>
      <c r="J6366" t="s">
        <v>17755</v>
      </c>
    </row>
    <row r="6367" spans="1:10" x14ac:dyDescent="0.25">
      <c r="A6367" t="s">
        <v>8</v>
      </c>
      <c r="B6367" t="s">
        <v>17760</v>
      </c>
      <c r="C6367" t="s">
        <v>17761</v>
      </c>
      <c r="D6367">
        <v>1</v>
      </c>
      <c r="E6367" t="s">
        <v>17691</v>
      </c>
      <c r="F6367" t="s">
        <v>17692</v>
      </c>
      <c r="G6367" s="1"/>
      <c r="H6367" t="str">
        <f>"3250616379022"</f>
        <v>3250616379022</v>
      </c>
      <c r="J6367" t="s">
        <v>17762</v>
      </c>
    </row>
    <row r="6368" spans="1:10" x14ac:dyDescent="0.25">
      <c r="A6368" t="s">
        <v>8</v>
      </c>
      <c r="B6368" t="s">
        <v>17763</v>
      </c>
      <c r="C6368" t="s">
        <v>17764</v>
      </c>
      <c r="D6368">
        <v>1</v>
      </c>
      <c r="E6368" t="s">
        <v>17691</v>
      </c>
      <c r="F6368" t="s">
        <v>17692</v>
      </c>
      <c r="G6368" s="1"/>
      <c r="H6368" t="str">
        <f>"3250616379039"</f>
        <v>3250616379039</v>
      </c>
      <c r="J6368" t="s">
        <v>17765</v>
      </c>
    </row>
    <row r="6369" spans="1:10" x14ac:dyDescent="0.25">
      <c r="A6369" t="s">
        <v>8</v>
      </c>
      <c r="B6369" t="s">
        <v>17766</v>
      </c>
      <c r="C6369" t="s">
        <v>17767</v>
      </c>
      <c r="D6369">
        <v>1</v>
      </c>
      <c r="E6369" t="s">
        <v>17691</v>
      </c>
      <c r="F6369" t="s">
        <v>17692</v>
      </c>
      <c r="G6369" s="1"/>
      <c r="H6369" t="str">
        <f>"3250616379046"</f>
        <v>3250616379046</v>
      </c>
      <c r="J6369" s="1">
        <v>78</v>
      </c>
    </row>
    <row r="6370" spans="1:10" x14ac:dyDescent="0.25">
      <c r="A6370" t="s">
        <v>8</v>
      </c>
      <c r="B6370" t="s">
        <v>17768</v>
      </c>
      <c r="C6370" t="s">
        <v>17769</v>
      </c>
      <c r="D6370">
        <v>1</v>
      </c>
      <c r="E6370" t="s">
        <v>17691</v>
      </c>
      <c r="F6370" t="s">
        <v>17692</v>
      </c>
      <c r="G6370" s="1"/>
      <c r="H6370" t="str">
        <f>"3250616379053"</f>
        <v>3250616379053</v>
      </c>
      <c r="J6370" t="s">
        <v>17770</v>
      </c>
    </row>
    <row r="6371" spans="1:10" x14ac:dyDescent="0.25">
      <c r="A6371" t="s">
        <v>8</v>
      </c>
      <c r="B6371" t="s">
        <v>17771</v>
      </c>
      <c r="C6371" t="s">
        <v>17772</v>
      </c>
      <c r="D6371">
        <v>1</v>
      </c>
      <c r="E6371" t="s">
        <v>17691</v>
      </c>
      <c r="F6371" t="s">
        <v>17692</v>
      </c>
      <c r="G6371" s="1"/>
      <c r="H6371" t="str">
        <f>"3250616379060"</f>
        <v>3250616379060</v>
      </c>
      <c r="J6371" t="s">
        <v>17773</v>
      </c>
    </row>
    <row r="6372" spans="1:10" x14ac:dyDescent="0.25">
      <c r="A6372" t="s">
        <v>8</v>
      </c>
      <c r="B6372" t="s">
        <v>17774</v>
      </c>
      <c r="C6372" t="s">
        <v>17775</v>
      </c>
      <c r="D6372">
        <v>1</v>
      </c>
      <c r="E6372" t="s">
        <v>17691</v>
      </c>
      <c r="F6372" t="s">
        <v>17692</v>
      </c>
      <c r="G6372" s="1"/>
      <c r="H6372" t="str">
        <f>"3250616379077"</f>
        <v>3250616379077</v>
      </c>
      <c r="J6372" t="s">
        <v>17776</v>
      </c>
    </row>
    <row r="6373" spans="1:10" x14ac:dyDescent="0.25">
      <c r="A6373" t="s">
        <v>8</v>
      </c>
      <c r="B6373" t="s">
        <v>17777</v>
      </c>
      <c r="C6373" t="s">
        <v>17778</v>
      </c>
      <c r="D6373">
        <v>1</v>
      </c>
      <c r="E6373" t="s">
        <v>17691</v>
      </c>
      <c r="F6373" t="s">
        <v>17692</v>
      </c>
      <c r="G6373" s="1"/>
      <c r="H6373" t="str">
        <f>"3250616379084"</f>
        <v>3250616379084</v>
      </c>
      <c r="J6373" s="1">
        <v>90</v>
      </c>
    </row>
    <row r="6374" spans="1:10" x14ac:dyDescent="0.25">
      <c r="A6374" t="s">
        <v>8</v>
      </c>
      <c r="B6374" t="s">
        <v>17779</v>
      </c>
      <c r="C6374" t="s">
        <v>17780</v>
      </c>
      <c r="D6374">
        <v>1</v>
      </c>
      <c r="E6374" t="s">
        <v>17691</v>
      </c>
      <c r="F6374" t="s">
        <v>17692</v>
      </c>
      <c r="G6374" s="1"/>
      <c r="H6374" t="str">
        <f>"3250616379091"</f>
        <v>3250616379091</v>
      </c>
      <c r="J6374" t="s">
        <v>17355</v>
      </c>
    </row>
    <row r="6375" spans="1:10" x14ac:dyDescent="0.25">
      <c r="A6375" t="s">
        <v>8</v>
      </c>
      <c r="B6375" t="s">
        <v>17781</v>
      </c>
      <c r="C6375" t="s">
        <v>17782</v>
      </c>
      <c r="D6375">
        <v>1</v>
      </c>
      <c r="E6375" t="s">
        <v>17783</v>
      </c>
      <c r="F6375" t="s">
        <v>17784</v>
      </c>
      <c r="G6375" s="1"/>
      <c r="H6375" t="str">
        <f>"3250616378643"</f>
        <v>3250616378643</v>
      </c>
      <c r="J6375" t="s">
        <v>17785</v>
      </c>
    </row>
    <row r="6376" spans="1:10" x14ac:dyDescent="0.25">
      <c r="A6376" t="s">
        <v>8</v>
      </c>
      <c r="B6376" t="s">
        <v>17786</v>
      </c>
      <c r="C6376" t="s">
        <v>17787</v>
      </c>
      <c r="D6376">
        <v>1</v>
      </c>
      <c r="E6376" t="s">
        <v>17783</v>
      </c>
      <c r="F6376" t="s">
        <v>17784</v>
      </c>
      <c r="G6376" s="1"/>
      <c r="H6376" t="str">
        <f>"3250616378650"</f>
        <v>3250616378650</v>
      </c>
      <c r="J6376" t="s">
        <v>17749</v>
      </c>
    </row>
    <row r="6377" spans="1:10" x14ac:dyDescent="0.25">
      <c r="A6377" t="s">
        <v>8</v>
      </c>
      <c r="B6377" t="s">
        <v>17788</v>
      </c>
      <c r="C6377" t="s">
        <v>17789</v>
      </c>
      <c r="D6377">
        <v>1</v>
      </c>
      <c r="E6377" t="s">
        <v>17783</v>
      </c>
      <c r="F6377" t="s">
        <v>17784</v>
      </c>
      <c r="G6377" s="1"/>
      <c r="H6377" t="str">
        <f>"3250616378704"</f>
        <v>3250616378704</v>
      </c>
      <c r="J6377" t="s">
        <v>17790</v>
      </c>
    </row>
    <row r="6378" spans="1:10" x14ac:dyDescent="0.25">
      <c r="A6378" t="s">
        <v>8</v>
      </c>
      <c r="B6378" t="s">
        <v>17791</v>
      </c>
      <c r="C6378" t="s">
        <v>17792</v>
      </c>
      <c r="D6378">
        <v>1</v>
      </c>
      <c r="E6378" t="s">
        <v>17783</v>
      </c>
      <c r="F6378" t="s">
        <v>17784</v>
      </c>
      <c r="G6378" s="1"/>
      <c r="H6378" t="str">
        <f>"3250616378711"</f>
        <v>3250616378711</v>
      </c>
      <c r="J6378" t="s">
        <v>17793</v>
      </c>
    </row>
    <row r="6379" spans="1:10" x14ac:dyDescent="0.25">
      <c r="A6379" t="s">
        <v>8</v>
      </c>
      <c r="B6379" t="s">
        <v>17794</v>
      </c>
      <c r="C6379" t="s">
        <v>17795</v>
      </c>
      <c r="D6379">
        <v>1</v>
      </c>
      <c r="E6379" t="s">
        <v>17783</v>
      </c>
      <c r="F6379" t="s">
        <v>17784</v>
      </c>
      <c r="G6379" s="1"/>
      <c r="H6379" t="str">
        <f>"3250616378759"</f>
        <v>3250616378759</v>
      </c>
      <c r="J6379" t="s">
        <v>17796</v>
      </c>
    </row>
    <row r="6380" spans="1:10" x14ac:dyDescent="0.25">
      <c r="A6380" t="s">
        <v>8</v>
      </c>
      <c r="B6380" t="s">
        <v>17797</v>
      </c>
      <c r="C6380" t="s">
        <v>17798</v>
      </c>
      <c r="D6380">
        <v>1</v>
      </c>
      <c r="E6380" t="s">
        <v>17783</v>
      </c>
      <c r="F6380" t="s">
        <v>17784</v>
      </c>
      <c r="G6380" s="1"/>
      <c r="H6380" t="str">
        <f>"3250616378766"</f>
        <v>3250616378766</v>
      </c>
      <c r="J6380" t="s">
        <v>17799</v>
      </c>
    </row>
    <row r="6381" spans="1:10" x14ac:dyDescent="0.25">
      <c r="A6381" t="s">
        <v>8</v>
      </c>
      <c r="B6381" t="s">
        <v>17800</v>
      </c>
      <c r="C6381" t="s">
        <v>17801</v>
      </c>
      <c r="D6381">
        <v>1</v>
      </c>
      <c r="E6381" t="s">
        <v>17783</v>
      </c>
      <c r="F6381" t="s">
        <v>17784</v>
      </c>
      <c r="G6381" s="1"/>
      <c r="H6381" t="str">
        <f>"3250616378827"</f>
        <v>3250616378827</v>
      </c>
      <c r="J6381" t="s">
        <v>17802</v>
      </c>
    </row>
    <row r="6382" spans="1:10" x14ac:dyDescent="0.25">
      <c r="A6382" t="s">
        <v>8</v>
      </c>
      <c r="B6382" t="s">
        <v>17803</v>
      </c>
      <c r="C6382" t="s">
        <v>17804</v>
      </c>
      <c r="D6382">
        <v>1</v>
      </c>
      <c r="E6382" t="s">
        <v>17783</v>
      </c>
      <c r="F6382" t="s">
        <v>17784</v>
      </c>
      <c r="G6382" s="1"/>
      <c r="H6382" t="str">
        <f>"3250616378841"</f>
        <v>3250616378841</v>
      </c>
      <c r="J6382" t="s">
        <v>17805</v>
      </c>
    </row>
    <row r="6383" spans="1:10" x14ac:dyDescent="0.25">
      <c r="A6383" t="s">
        <v>8</v>
      </c>
      <c r="B6383" t="s">
        <v>17806</v>
      </c>
      <c r="C6383" t="s">
        <v>17807</v>
      </c>
      <c r="D6383">
        <v>1</v>
      </c>
      <c r="E6383" t="s">
        <v>17783</v>
      </c>
      <c r="F6383" t="s">
        <v>17784</v>
      </c>
      <c r="G6383" s="1"/>
      <c r="H6383" t="str">
        <f>"3250616378858"</f>
        <v>3250616378858</v>
      </c>
      <c r="J6383" t="s">
        <v>17805</v>
      </c>
    </row>
    <row r="6384" spans="1:10" x14ac:dyDescent="0.25">
      <c r="A6384" t="s">
        <v>8</v>
      </c>
      <c r="B6384" t="s">
        <v>17808</v>
      </c>
      <c r="C6384" t="s">
        <v>17809</v>
      </c>
      <c r="D6384">
        <v>1</v>
      </c>
      <c r="E6384" t="s">
        <v>17783</v>
      </c>
      <c r="F6384" t="s">
        <v>17784</v>
      </c>
      <c r="G6384" s="1"/>
      <c r="H6384" t="str">
        <f>"3250616378896"</f>
        <v>3250616378896</v>
      </c>
      <c r="J6384" t="s">
        <v>17810</v>
      </c>
    </row>
    <row r="6385" spans="1:10" x14ac:dyDescent="0.25">
      <c r="A6385" t="s">
        <v>8</v>
      </c>
      <c r="B6385" t="s">
        <v>17811</v>
      </c>
      <c r="C6385" t="s">
        <v>17812</v>
      </c>
      <c r="D6385">
        <v>1</v>
      </c>
      <c r="E6385" t="s">
        <v>17783</v>
      </c>
      <c r="F6385" t="s">
        <v>17784</v>
      </c>
      <c r="G6385" s="1"/>
      <c r="H6385" t="str">
        <f>"3250616378902"</f>
        <v>3250616378902</v>
      </c>
      <c r="J6385" t="s">
        <v>17813</v>
      </c>
    </row>
    <row r="6386" spans="1:10" x14ac:dyDescent="0.25">
      <c r="A6386" t="s">
        <v>8</v>
      </c>
      <c r="B6386" t="s">
        <v>17814</v>
      </c>
      <c r="C6386" t="s">
        <v>17815</v>
      </c>
      <c r="D6386">
        <v>1</v>
      </c>
      <c r="E6386" t="s">
        <v>17783</v>
      </c>
      <c r="F6386" t="s">
        <v>17784</v>
      </c>
      <c r="G6386" s="1"/>
      <c r="H6386" t="str">
        <f>"3250616378957"</f>
        <v>3250616378957</v>
      </c>
      <c r="J6386" t="s">
        <v>17816</v>
      </c>
    </row>
    <row r="6387" spans="1:10" x14ac:dyDescent="0.25">
      <c r="A6387" t="s">
        <v>8</v>
      </c>
      <c r="B6387" t="s">
        <v>17817</v>
      </c>
      <c r="C6387" t="s">
        <v>17818</v>
      </c>
      <c r="D6387">
        <v>1</v>
      </c>
      <c r="E6387" t="s">
        <v>17783</v>
      </c>
      <c r="F6387" t="s">
        <v>17784</v>
      </c>
      <c r="G6387" s="1"/>
      <c r="H6387" t="str">
        <f>"3250616378971"</f>
        <v>3250616378971</v>
      </c>
      <c r="J6387" t="s">
        <v>17819</v>
      </c>
    </row>
    <row r="6388" spans="1:10" x14ac:dyDescent="0.25">
      <c r="A6388" t="s">
        <v>8</v>
      </c>
      <c r="B6388" t="s">
        <v>17820</v>
      </c>
      <c r="C6388" t="s">
        <v>17821</v>
      </c>
      <c r="D6388">
        <v>1</v>
      </c>
      <c r="E6388" t="s">
        <v>17783</v>
      </c>
      <c r="F6388" t="s">
        <v>17784</v>
      </c>
      <c r="G6388" s="1"/>
      <c r="H6388" t="str">
        <f>"3250616378988"</f>
        <v>3250616378988</v>
      </c>
      <c r="J6388" t="s">
        <v>17819</v>
      </c>
    </row>
    <row r="6389" spans="1:10" x14ac:dyDescent="0.25">
      <c r="A6389" t="s">
        <v>8</v>
      </c>
      <c r="B6389" t="s">
        <v>17822</v>
      </c>
      <c r="C6389" t="s">
        <v>17823</v>
      </c>
      <c r="D6389">
        <v>1</v>
      </c>
      <c r="E6389" t="s">
        <v>17824</v>
      </c>
      <c r="F6389" t="s">
        <v>17825</v>
      </c>
      <c r="G6389" s="1"/>
      <c r="H6389" t="str">
        <f>"3250617121705"</f>
        <v>3250617121705</v>
      </c>
      <c r="J6389" t="s">
        <v>17826</v>
      </c>
    </row>
    <row r="6390" spans="1:10" x14ac:dyDescent="0.25">
      <c r="A6390" t="s">
        <v>8</v>
      </c>
      <c r="B6390" t="s">
        <v>17827</v>
      </c>
      <c r="C6390" t="s">
        <v>17828</v>
      </c>
      <c r="D6390">
        <v>1</v>
      </c>
      <c r="E6390" t="s">
        <v>17824</v>
      </c>
      <c r="F6390" t="s">
        <v>17825</v>
      </c>
      <c r="G6390" s="1"/>
      <c r="H6390" t="str">
        <f>"3250617121712"</f>
        <v>3250617121712</v>
      </c>
      <c r="J6390" t="s">
        <v>17829</v>
      </c>
    </row>
    <row r="6391" spans="1:10" x14ac:dyDescent="0.25">
      <c r="A6391" t="s">
        <v>8</v>
      </c>
      <c r="B6391" t="s">
        <v>17830</v>
      </c>
      <c r="C6391" t="s">
        <v>17831</v>
      </c>
      <c r="D6391">
        <v>1</v>
      </c>
      <c r="E6391" t="s">
        <v>17824</v>
      </c>
      <c r="F6391" t="s">
        <v>17825</v>
      </c>
      <c r="G6391" s="1"/>
      <c r="H6391" t="str">
        <f>"3250617121729"</f>
        <v>3250617121729</v>
      </c>
      <c r="J6391" t="s">
        <v>17832</v>
      </c>
    </row>
    <row r="6392" spans="1:10" x14ac:dyDescent="0.25">
      <c r="A6392" t="s">
        <v>8</v>
      </c>
      <c r="B6392" t="s">
        <v>17833</v>
      </c>
      <c r="C6392" t="s">
        <v>17834</v>
      </c>
      <c r="D6392">
        <v>1</v>
      </c>
      <c r="E6392" t="s">
        <v>17824</v>
      </c>
      <c r="F6392" t="s">
        <v>17825</v>
      </c>
      <c r="G6392" s="1"/>
      <c r="H6392" t="str">
        <f>"3250617121736"</f>
        <v>3250617121736</v>
      </c>
      <c r="J6392" t="s">
        <v>17835</v>
      </c>
    </row>
    <row r="6393" spans="1:10" x14ac:dyDescent="0.25">
      <c r="A6393" t="s">
        <v>8</v>
      </c>
      <c r="B6393" t="s">
        <v>17836</v>
      </c>
      <c r="C6393" t="s">
        <v>17837</v>
      </c>
      <c r="D6393">
        <v>1</v>
      </c>
      <c r="E6393" t="s">
        <v>17824</v>
      </c>
      <c r="F6393" t="s">
        <v>17825</v>
      </c>
      <c r="G6393" s="1"/>
      <c r="H6393" t="str">
        <f>"3250617121743"</f>
        <v>3250617121743</v>
      </c>
      <c r="J6393" t="s">
        <v>17838</v>
      </c>
    </row>
    <row r="6394" spans="1:10" x14ac:dyDescent="0.25">
      <c r="A6394" t="s">
        <v>8</v>
      </c>
      <c r="B6394" t="s">
        <v>17839</v>
      </c>
      <c r="C6394" t="s">
        <v>17840</v>
      </c>
      <c r="D6394">
        <v>1</v>
      </c>
      <c r="E6394" t="s">
        <v>17824</v>
      </c>
      <c r="F6394" t="s">
        <v>17825</v>
      </c>
      <c r="G6394" s="1"/>
      <c r="H6394" t="str">
        <f>"3250617121767"</f>
        <v>3250617121767</v>
      </c>
      <c r="J6394" t="s">
        <v>17841</v>
      </c>
    </row>
    <row r="6395" spans="1:10" x14ac:dyDescent="0.25">
      <c r="A6395" t="s">
        <v>8</v>
      </c>
      <c r="B6395" t="s">
        <v>17842</v>
      </c>
      <c r="C6395" t="s">
        <v>17843</v>
      </c>
      <c r="D6395">
        <v>1</v>
      </c>
      <c r="E6395" t="s">
        <v>17824</v>
      </c>
      <c r="F6395" t="s">
        <v>17825</v>
      </c>
      <c r="G6395" s="1"/>
      <c r="H6395" t="str">
        <f>"3250617121774"</f>
        <v>3250617121774</v>
      </c>
      <c r="J6395" t="s">
        <v>17844</v>
      </c>
    </row>
    <row r="6396" spans="1:10" x14ac:dyDescent="0.25">
      <c r="A6396" t="s">
        <v>8</v>
      </c>
      <c r="B6396" t="s">
        <v>17845</v>
      </c>
      <c r="C6396" t="s">
        <v>17846</v>
      </c>
      <c r="D6396">
        <v>1</v>
      </c>
      <c r="E6396" t="s">
        <v>17824</v>
      </c>
      <c r="F6396" t="s">
        <v>17825</v>
      </c>
      <c r="G6396" s="1"/>
      <c r="H6396" t="str">
        <f>"3250617121781"</f>
        <v>3250617121781</v>
      </c>
      <c r="J6396" t="s">
        <v>8967</v>
      </c>
    </row>
    <row r="6397" spans="1:10" x14ac:dyDescent="0.25">
      <c r="A6397" t="s">
        <v>8</v>
      </c>
      <c r="B6397" t="s">
        <v>17847</v>
      </c>
      <c r="C6397" t="s">
        <v>17848</v>
      </c>
      <c r="D6397">
        <v>1</v>
      </c>
      <c r="E6397" t="s">
        <v>17824</v>
      </c>
      <c r="F6397" t="s">
        <v>17825</v>
      </c>
      <c r="G6397" s="1"/>
      <c r="H6397" t="str">
        <f>"3250617121798"</f>
        <v>3250617121798</v>
      </c>
      <c r="J6397" t="s">
        <v>17849</v>
      </c>
    </row>
    <row r="6398" spans="1:10" x14ac:dyDescent="0.25">
      <c r="A6398" t="s">
        <v>8</v>
      </c>
      <c r="B6398" t="s">
        <v>17850</v>
      </c>
      <c r="C6398" t="s">
        <v>17851</v>
      </c>
      <c r="D6398">
        <v>1</v>
      </c>
      <c r="E6398" t="s">
        <v>17824</v>
      </c>
      <c r="F6398" t="s">
        <v>17825</v>
      </c>
      <c r="G6398" s="1"/>
      <c r="H6398" t="str">
        <f>"3250617121804"</f>
        <v>3250617121804</v>
      </c>
      <c r="J6398" t="s">
        <v>8967</v>
      </c>
    </row>
    <row r="6399" spans="1:10" x14ac:dyDescent="0.25">
      <c r="A6399" t="s">
        <v>8</v>
      </c>
      <c r="B6399" t="s">
        <v>17852</v>
      </c>
      <c r="C6399" t="s">
        <v>17853</v>
      </c>
      <c r="D6399">
        <v>1</v>
      </c>
      <c r="E6399" t="s">
        <v>17824</v>
      </c>
      <c r="F6399" t="s">
        <v>17825</v>
      </c>
      <c r="G6399" s="1"/>
      <c r="H6399" t="str">
        <f>"3250617121811"</f>
        <v>3250617121811</v>
      </c>
      <c r="J6399" t="s">
        <v>17854</v>
      </c>
    </row>
    <row r="6400" spans="1:10" x14ac:dyDescent="0.25">
      <c r="A6400" t="s">
        <v>8</v>
      </c>
      <c r="B6400" t="s">
        <v>17855</v>
      </c>
      <c r="C6400" t="s">
        <v>17856</v>
      </c>
      <c r="D6400">
        <v>1</v>
      </c>
      <c r="E6400" t="s">
        <v>17824</v>
      </c>
      <c r="F6400" t="s">
        <v>17825</v>
      </c>
      <c r="G6400" s="1"/>
      <c r="H6400" t="str">
        <f>"3250617121828"</f>
        <v>3250617121828</v>
      </c>
      <c r="J6400" t="s">
        <v>17854</v>
      </c>
    </row>
    <row r="6401" spans="1:10" x14ac:dyDescent="0.25">
      <c r="A6401" t="s">
        <v>8</v>
      </c>
      <c r="B6401" t="s">
        <v>17857</v>
      </c>
      <c r="C6401" t="s">
        <v>17858</v>
      </c>
      <c r="D6401">
        <v>1</v>
      </c>
      <c r="E6401" t="s">
        <v>17824</v>
      </c>
      <c r="F6401" t="s">
        <v>17825</v>
      </c>
      <c r="G6401" s="1"/>
      <c r="H6401" t="str">
        <f>"3250617121835"</f>
        <v>3250617121835</v>
      </c>
      <c r="J6401" t="s">
        <v>15278</v>
      </c>
    </row>
    <row r="6402" spans="1:10" x14ac:dyDescent="0.25">
      <c r="A6402" t="s">
        <v>8</v>
      </c>
      <c r="B6402" t="s">
        <v>17859</v>
      </c>
      <c r="C6402" t="s">
        <v>17860</v>
      </c>
      <c r="D6402">
        <v>1</v>
      </c>
      <c r="E6402" t="s">
        <v>17824</v>
      </c>
      <c r="F6402" t="s">
        <v>17825</v>
      </c>
      <c r="G6402" s="1"/>
      <c r="H6402" t="str">
        <f>"3250617121842"</f>
        <v>3250617121842</v>
      </c>
      <c r="J6402" t="s">
        <v>17861</v>
      </c>
    </row>
    <row r="6403" spans="1:10" x14ac:dyDescent="0.25">
      <c r="A6403" t="s">
        <v>8</v>
      </c>
      <c r="B6403" t="s">
        <v>17862</v>
      </c>
      <c r="C6403" t="s">
        <v>17863</v>
      </c>
      <c r="D6403">
        <v>1</v>
      </c>
      <c r="E6403" t="s">
        <v>17864</v>
      </c>
      <c r="F6403" t="s">
        <v>17865</v>
      </c>
      <c r="G6403" s="1"/>
      <c r="H6403" t="str">
        <f>"3250617121859"</f>
        <v>3250617121859</v>
      </c>
      <c r="J6403" t="s">
        <v>17866</v>
      </c>
    </row>
    <row r="6404" spans="1:10" x14ac:dyDescent="0.25">
      <c r="A6404" t="s">
        <v>8</v>
      </c>
      <c r="B6404" t="s">
        <v>17867</v>
      </c>
      <c r="C6404" t="s">
        <v>17868</v>
      </c>
      <c r="D6404">
        <v>1</v>
      </c>
      <c r="E6404" t="s">
        <v>17864</v>
      </c>
      <c r="F6404" t="s">
        <v>17865</v>
      </c>
      <c r="G6404" s="1"/>
      <c r="H6404" t="str">
        <f>"3250617121866"</f>
        <v>3250617121866</v>
      </c>
      <c r="J6404" t="s">
        <v>17869</v>
      </c>
    </row>
    <row r="6405" spans="1:10" x14ac:dyDescent="0.25">
      <c r="A6405" t="s">
        <v>8</v>
      </c>
      <c r="B6405" t="s">
        <v>17870</v>
      </c>
      <c r="C6405" t="s">
        <v>17871</v>
      </c>
      <c r="D6405">
        <v>1</v>
      </c>
      <c r="E6405" t="s">
        <v>17864</v>
      </c>
      <c r="F6405" t="s">
        <v>17865</v>
      </c>
      <c r="G6405" s="1"/>
      <c r="H6405" t="str">
        <f>"3250617121873"</f>
        <v>3250617121873</v>
      </c>
      <c r="J6405" t="s">
        <v>17872</v>
      </c>
    </row>
    <row r="6406" spans="1:10" x14ac:dyDescent="0.25">
      <c r="A6406" t="s">
        <v>8</v>
      </c>
      <c r="B6406" t="s">
        <v>17873</v>
      </c>
      <c r="C6406" t="s">
        <v>17874</v>
      </c>
      <c r="D6406">
        <v>1</v>
      </c>
      <c r="E6406" t="s">
        <v>17864</v>
      </c>
      <c r="F6406" t="s">
        <v>17865</v>
      </c>
      <c r="G6406" s="1"/>
      <c r="H6406" t="str">
        <f>"3250617121880"</f>
        <v>3250617121880</v>
      </c>
      <c r="J6406" t="s">
        <v>17875</v>
      </c>
    </row>
    <row r="6407" spans="1:10" x14ac:dyDescent="0.25">
      <c r="A6407" t="s">
        <v>8</v>
      </c>
      <c r="B6407" t="s">
        <v>17876</v>
      </c>
      <c r="C6407" t="s">
        <v>17877</v>
      </c>
      <c r="D6407">
        <v>1</v>
      </c>
      <c r="E6407" t="s">
        <v>17864</v>
      </c>
      <c r="F6407" t="s">
        <v>17865</v>
      </c>
      <c r="G6407" s="1"/>
      <c r="H6407" t="str">
        <f>"3250617121897"</f>
        <v>3250617121897</v>
      </c>
      <c r="J6407" t="s">
        <v>17869</v>
      </c>
    </row>
    <row r="6408" spans="1:10" x14ac:dyDescent="0.25">
      <c r="A6408" t="s">
        <v>8</v>
      </c>
      <c r="B6408" t="s">
        <v>17878</v>
      </c>
      <c r="C6408" t="s">
        <v>17879</v>
      </c>
      <c r="D6408">
        <v>1</v>
      </c>
      <c r="E6408" t="s">
        <v>17864</v>
      </c>
      <c r="F6408" t="s">
        <v>17865</v>
      </c>
      <c r="G6408" s="1"/>
      <c r="H6408" t="str">
        <f>"3250617121903"</f>
        <v>3250617121903</v>
      </c>
      <c r="J6408" t="s">
        <v>17872</v>
      </c>
    </row>
    <row r="6409" spans="1:10" x14ac:dyDescent="0.25">
      <c r="A6409" t="s">
        <v>8</v>
      </c>
      <c r="B6409" t="s">
        <v>17880</v>
      </c>
      <c r="C6409" t="s">
        <v>17881</v>
      </c>
      <c r="D6409">
        <v>1</v>
      </c>
      <c r="E6409" t="s">
        <v>17864</v>
      </c>
      <c r="F6409" t="s">
        <v>17865</v>
      </c>
      <c r="G6409" s="1"/>
      <c r="H6409" t="str">
        <f>"3250617121910"</f>
        <v>3250617121910</v>
      </c>
      <c r="J6409" t="s">
        <v>17882</v>
      </c>
    </row>
    <row r="6410" spans="1:10" x14ac:dyDescent="0.25">
      <c r="A6410" t="s">
        <v>8</v>
      </c>
      <c r="B6410" t="s">
        <v>17883</v>
      </c>
      <c r="C6410" t="s">
        <v>17884</v>
      </c>
      <c r="D6410">
        <v>1</v>
      </c>
      <c r="E6410" t="s">
        <v>17864</v>
      </c>
      <c r="F6410" t="s">
        <v>17865</v>
      </c>
      <c r="G6410" s="1"/>
      <c r="H6410" t="str">
        <f>"3250617121927"</f>
        <v>3250617121927</v>
      </c>
      <c r="I6410" s="1"/>
      <c r="J6410" t="s">
        <v>17885</v>
      </c>
    </row>
    <row r="6411" spans="1:10" x14ac:dyDescent="0.25">
      <c r="A6411" t="s">
        <v>8</v>
      </c>
      <c r="B6411" t="s">
        <v>17886</v>
      </c>
      <c r="C6411" t="s">
        <v>17887</v>
      </c>
      <c r="D6411">
        <v>1</v>
      </c>
      <c r="E6411" t="s">
        <v>17888</v>
      </c>
      <c r="F6411" t="s">
        <v>17889</v>
      </c>
      <c r="G6411" s="1"/>
      <c r="H6411" t="str">
        <f>"4012740984102"</f>
        <v>4012740984102</v>
      </c>
      <c r="J6411" t="s">
        <v>17890</v>
      </c>
    </row>
    <row r="6412" spans="1:10" x14ac:dyDescent="0.25">
      <c r="A6412" t="s">
        <v>8</v>
      </c>
      <c r="B6412" t="s">
        <v>17891</v>
      </c>
      <c r="C6412" t="s">
        <v>17892</v>
      </c>
      <c r="D6412">
        <v>1</v>
      </c>
      <c r="E6412" t="s">
        <v>17888</v>
      </c>
      <c r="F6412" t="s">
        <v>17889</v>
      </c>
      <c r="G6412" s="1"/>
      <c r="H6412" t="str">
        <f>"4012740984119"</f>
        <v>4012740984119</v>
      </c>
      <c r="J6412" t="s">
        <v>17893</v>
      </c>
    </row>
    <row r="6413" spans="1:10" x14ac:dyDescent="0.25">
      <c r="A6413" t="s">
        <v>8</v>
      </c>
      <c r="B6413" t="s">
        <v>17894</v>
      </c>
      <c r="C6413" t="s">
        <v>17895</v>
      </c>
      <c r="D6413">
        <v>1</v>
      </c>
      <c r="E6413" t="s">
        <v>17888</v>
      </c>
      <c r="F6413" t="s">
        <v>17889</v>
      </c>
      <c r="G6413" s="1"/>
      <c r="H6413" t="str">
        <f>"3250610001387"</f>
        <v>3250610001387</v>
      </c>
      <c r="J6413" t="s">
        <v>17896</v>
      </c>
    </row>
    <row r="6414" spans="1:10" x14ac:dyDescent="0.25">
      <c r="A6414" t="s">
        <v>8</v>
      </c>
      <c r="B6414" t="s">
        <v>17897</v>
      </c>
      <c r="C6414" t="s">
        <v>17898</v>
      </c>
      <c r="D6414">
        <v>1</v>
      </c>
      <c r="E6414" t="s">
        <v>17888</v>
      </c>
      <c r="F6414" t="s">
        <v>17889</v>
      </c>
      <c r="G6414" s="1"/>
      <c r="H6414" t="str">
        <f>"3250610103173"</f>
        <v>3250610103173</v>
      </c>
      <c r="J6414" t="s">
        <v>17899</v>
      </c>
    </row>
    <row r="6415" spans="1:10" x14ac:dyDescent="0.25">
      <c r="A6415" t="s">
        <v>8</v>
      </c>
      <c r="B6415" t="s">
        <v>17900</v>
      </c>
      <c r="C6415" t="s">
        <v>17901</v>
      </c>
      <c r="D6415">
        <v>1</v>
      </c>
      <c r="E6415" t="s">
        <v>17902</v>
      </c>
      <c r="F6415" t="s">
        <v>17903</v>
      </c>
      <c r="G6415" s="1"/>
      <c r="H6415" t="str">
        <f>"3250615515308"</f>
        <v>3250615515308</v>
      </c>
      <c r="J6415" t="s">
        <v>17904</v>
      </c>
    </row>
    <row r="6416" spans="1:10" x14ac:dyDescent="0.25">
      <c r="A6416" t="s">
        <v>8</v>
      </c>
      <c r="B6416" t="s">
        <v>17905</v>
      </c>
      <c r="C6416" t="s">
        <v>17906</v>
      </c>
      <c r="D6416">
        <v>1</v>
      </c>
      <c r="E6416" t="s">
        <v>17902</v>
      </c>
      <c r="F6416" t="s">
        <v>17903</v>
      </c>
      <c r="G6416" s="1"/>
      <c r="H6416" t="str">
        <f>"3250615515193"</f>
        <v>3250615515193</v>
      </c>
      <c r="J6416" t="s">
        <v>17907</v>
      </c>
    </row>
    <row r="6417" spans="1:10" x14ac:dyDescent="0.25">
      <c r="A6417" t="s">
        <v>8</v>
      </c>
      <c r="B6417" t="s">
        <v>17908</v>
      </c>
      <c r="C6417" t="s">
        <v>17909</v>
      </c>
      <c r="D6417">
        <v>1</v>
      </c>
      <c r="E6417" t="s">
        <v>17902</v>
      </c>
      <c r="F6417" t="s">
        <v>17903</v>
      </c>
      <c r="G6417" s="1"/>
      <c r="H6417" t="str">
        <f>"3250615515339"</f>
        <v>3250615515339</v>
      </c>
      <c r="J6417" t="s">
        <v>17910</v>
      </c>
    </row>
    <row r="6418" spans="1:10" x14ac:dyDescent="0.25">
      <c r="A6418" t="s">
        <v>8</v>
      </c>
      <c r="B6418" t="s">
        <v>17911</v>
      </c>
      <c r="C6418" t="s">
        <v>17912</v>
      </c>
      <c r="D6418">
        <v>1</v>
      </c>
      <c r="E6418" t="s">
        <v>17902</v>
      </c>
      <c r="F6418" t="s">
        <v>17903</v>
      </c>
      <c r="G6418" s="1"/>
      <c r="H6418" t="str">
        <f>"3250615515346"</f>
        <v>3250615515346</v>
      </c>
      <c r="J6418" t="s">
        <v>17913</v>
      </c>
    </row>
    <row r="6419" spans="1:10" x14ac:dyDescent="0.25">
      <c r="A6419" t="s">
        <v>8</v>
      </c>
      <c r="B6419" t="s">
        <v>17914</v>
      </c>
      <c r="C6419" t="s">
        <v>17915</v>
      </c>
      <c r="D6419">
        <v>1</v>
      </c>
      <c r="E6419" t="s">
        <v>17902</v>
      </c>
      <c r="F6419" t="s">
        <v>17903</v>
      </c>
      <c r="G6419" s="1"/>
      <c r="H6419" t="str">
        <f>"3250615515353"</f>
        <v>3250615515353</v>
      </c>
      <c r="J6419" t="s">
        <v>17916</v>
      </c>
    </row>
    <row r="6420" spans="1:10" x14ac:dyDescent="0.25">
      <c r="A6420" t="s">
        <v>8</v>
      </c>
      <c r="B6420" t="s">
        <v>17917</v>
      </c>
      <c r="C6420" t="s">
        <v>17918</v>
      </c>
      <c r="D6420">
        <v>1</v>
      </c>
      <c r="E6420" t="s">
        <v>17902</v>
      </c>
      <c r="F6420" t="s">
        <v>17903</v>
      </c>
      <c r="G6420" s="1"/>
      <c r="H6420" t="str">
        <f>"3250615515360"</f>
        <v>3250615515360</v>
      </c>
      <c r="J6420" t="s">
        <v>17919</v>
      </c>
    </row>
    <row r="6421" spans="1:10" x14ac:dyDescent="0.25">
      <c r="A6421" t="s">
        <v>8</v>
      </c>
      <c r="B6421" t="s">
        <v>17920</v>
      </c>
      <c r="C6421" t="s">
        <v>17921</v>
      </c>
      <c r="D6421">
        <v>1</v>
      </c>
      <c r="E6421" t="s">
        <v>17902</v>
      </c>
      <c r="F6421" t="s">
        <v>17903</v>
      </c>
      <c r="G6421" s="1"/>
      <c r="H6421" t="str">
        <f>"3250615515377"</f>
        <v>3250615515377</v>
      </c>
      <c r="J6421" t="s">
        <v>17922</v>
      </c>
    </row>
    <row r="6422" spans="1:10" x14ac:dyDescent="0.25">
      <c r="A6422" t="s">
        <v>8</v>
      </c>
      <c r="B6422" t="s">
        <v>17923</v>
      </c>
      <c r="C6422" t="s">
        <v>17924</v>
      </c>
      <c r="D6422">
        <v>1</v>
      </c>
      <c r="E6422" t="s">
        <v>17902</v>
      </c>
      <c r="F6422" t="s">
        <v>17903</v>
      </c>
      <c r="G6422" s="1"/>
      <c r="H6422" t="str">
        <f>"3250615515209"</f>
        <v>3250615515209</v>
      </c>
      <c r="J6422" t="s">
        <v>17925</v>
      </c>
    </row>
    <row r="6423" spans="1:10" x14ac:dyDescent="0.25">
      <c r="A6423" t="s">
        <v>8</v>
      </c>
      <c r="B6423" t="s">
        <v>17926</v>
      </c>
      <c r="C6423" t="s">
        <v>17927</v>
      </c>
      <c r="D6423">
        <v>1</v>
      </c>
      <c r="E6423" t="s">
        <v>17902</v>
      </c>
      <c r="F6423" t="s">
        <v>17903</v>
      </c>
      <c r="G6423" s="1"/>
      <c r="H6423" t="str">
        <f>"3250615515438"</f>
        <v>3250615515438</v>
      </c>
      <c r="J6423" t="s">
        <v>17928</v>
      </c>
    </row>
    <row r="6424" spans="1:10" x14ac:dyDescent="0.25">
      <c r="A6424" t="s">
        <v>8</v>
      </c>
      <c r="B6424" t="s">
        <v>17929</v>
      </c>
      <c r="C6424" t="s">
        <v>17930</v>
      </c>
      <c r="D6424">
        <v>1</v>
      </c>
      <c r="E6424" t="s">
        <v>17902</v>
      </c>
      <c r="F6424" t="s">
        <v>17903</v>
      </c>
      <c r="G6424" s="1"/>
      <c r="H6424" t="str">
        <f>"3250615515469"</f>
        <v>3250615515469</v>
      </c>
      <c r="J6424" t="s">
        <v>17931</v>
      </c>
    </row>
    <row r="6425" spans="1:10" x14ac:dyDescent="0.25">
      <c r="A6425" t="s">
        <v>8</v>
      </c>
      <c r="B6425" t="s">
        <v>17932</v>
      </c>
      <c r="C6425" t="s">
        <v>17933</v>
      </c>
      <c r="D6425">
        <v>1</v>
      </c>
      <c r="E6425" t="s">
        <v>17902</v>
      </c>
      <c r="F6425" t="s">
        <v>17903</v>
      </c>
      <c r="G6425" s="1"/>
      <c r="H6425" t="str">
        <f>"3250615515483"</f>
        <v>3250615515483</v>
      </c>
      <c r="J6425" t="s">
        <v>17934</v>
      </c>
    </row>
    <row r="6426" spans="1:10" x14ac:dyDescent="0.25">
      <c r="A6426" t="s">
        <v>8</v>
      </c>
      <c r="B6426" t="s">
        <v>17935</v>
      </c>
      <c r="C6426" t="s">
        <v>17936</v>
      </c>
      <c r="D6426">
        <v>1</v>
      </c>
      <c r="E6426" t="s">
        <v>17902</v>
      </c>
      <c r="F6426" t="s">
        <v>17903</v>
      </c>
      <c r="G6426" s="1"/>
      <c r="H6426" t="str">
        <f>"3250615515490"</f>
        <v>3250615515490</v>
      </c>
      <c r="J6426" t="s">
        <v>17937</v>
      </c>
    </row>
    <row r="6427" spans="1:10" x14ac:dyDescent="0.25">
      <c r="A6427" t="s">
        <v>8</v>
      </c>
      <c r="B6427" t="s">
        <v>17938</v>
      </c>
      <c r="C6427" t="s">
        <v>17939</v>
      </c>
      <c r="D6427">
        <v>1</v>
      </c>
      <c r="E6427" t="s">
        <v>17902</v>
      </c>
      <c r="F6427" t="s">
        <v>17903</v>
      </c>
      <c r="G6427" s="1"/>
      <c r="H6427" t="str">
        <f>"3250615515551"</f>
        <v>3250615515551</v>
      </c>
      <c r="J6427" t="s">
        <v>17940</v>
      </c>
    </row>
    <row r="6428" spans="1:10" x14ac:dyDescent="0.25">
      <c r="A6428" t="s">
        <v>8</v>
      </c>
      <c r="B6428" t="s">
        <v>17941</v>
      </c>
      <c r="C6428" t="s">
        <v>17942</v>
      </c>
      <c r="D6428">
        <v>1</v>
      </c>
      <c r="E6428" t="s">
        <v>17902</v>
      </c>
      <c r="F6428" t="s">
        <v>17903</v>
      </c>
      <c r="G6428" s="1"/>
      <c r="H6428" t="str">
        <f>"3250615515575"</f>
        <v>3250615515575</v>
      </c>
      <c r="J6428" t="s">
        <v>17943</v>
      </c>
    </row>
    <row r="6429" spans="1:10" x14ac:dyDescent="0.25">
      <c r="A6429" t="s">
        <v>8</v>
      </c>
      <c r="B6429" t="s">
        <v>17944</v>
      </c>
      <c r="C6429" t="s">
        <v>17945</v>
      </c>
      <c r="D6429">
        <v>1</v>
      </c>
      <c r="E6429" t="s">
        <v>17902</v>
      </c>
      <c r="F6429" t="s">
        <v>17903</v>
      </c>
      <c r="G6429" s="1"/>
      <c r="H6429" t="str">
        <f>"3250615515599"</f>
        <v>3250615515599</v>
      </c>
      <c r="J6429" t="s">
        <v>17946</v>
      </c>
    </row>
    <row r="6430" spans="1:10" x14ac:dyDescent="0.25">
      <c r="A6430" t="s">
        <v>8</v>
      </c>
      <c r="B6430" t="s">
        <v>17947</v>
      </c>
      <c r="C6430" t="s">
        <v>17948</v>
      </c>
      <c r="D6430">
        <v>1</v>
      </c>
      <c r="E6430" t="s">
        <v>17902</v>
      </c>
      <c r="F6430" t="s">
        <v>17903</v>
      </c>
      <c r="G6430" s="1"/>
      <c r="H6430" t="str">
        <f>"3250615515605"</f>
        <v>3250615515605</v>
      </c>
      <c r="J6430" t="s">
        <v>17949</v>
      </c>
    </row>
    <row r="6431" spans="1:10" x14ac:dyDescent="0.25">
      <c r="A6431" t="s">
        <v>8</v>
      </c>
      <c r="B6431" t="s">
        <v>17950</v>
      </c>
      <c r="C6431" t="s">
        <v>17951</v>
      </c>
      <c r="D6431">
        <v>1</v>
      </c>
      <c r="E6431" t="s">
        <v>17902</v>
      </c>
      <c r="F6431" t="s">
        <v>17903</v>
      </c>
      <c r="G6431" s="1"/>
      <c r="H6431" t="str">
        <f>"3250615514950"</f>
        <v>3250615514950</v>
      </c>
      <c r="J6431" t="s">
        <v>17952</v>
      </c>
    </row>
    <row r="6432" spans="1:10" x14ac:dyDescent="0.25">
      <c r="A6432" t="s">
        <v>8</v>
      </c>
      <c r="B6432" t="s">
        <v>17953</v>
      </c>
      <c r="C6432" t="s">
        <v>17954</v>
      </c>
      <c r="D6432">
        <v>1</v>
      </c>
      <c r="E6432" t="s">
        <v>17902</v>
      </c>
      <c r="F6432" t="s">
        <v>17903</v>
      </c>
      <c r="G6432" s="1"/>
      <c r="H6432" t="str">
        <f>"3250615514967"</f>
        <v>3250615514967</v>
      </c>
      <c r="J6432" t="s">
        <v>17955</v>
      </c>
    </row>
    <row r="6433" spans="1:10" x14ac:dyDescent="0.25">
      <c r="A6433" t="s">
        <v>8</v>
      </c>
      <c r="B6433" t="s">
        <v>17956</v>
      </c>
      <c r="C6433" t="s">
        <v>17957</v>
      </c>
      <c r="D6433">
        <v>1</v>
      </c>
      <c r="E6433" t="s">
        <v>17902</v>
      </c>
      <c r="F6433" t="s">
        <v>17903</v>
      </c>
      <c r="G6433" s="1"/>
      <c r="H6433" t="str">
        <f>"3250615514813"</f>
        <v>3250615514813</v>
      </c>
      <c r="J6433" t="s">
        <v>17958</v>
      </c>
    </row>
    <row r="6434" spans="1:10" x14ac:dyDescent="0.25">
      <c r="A6434" t="s">
        <v>8</v>
      </c>
      <c r="B6434" t="s">
        <v>17959</v>
      </c>
      <c r="C6434" t="s">
        <v>17960</v>
      </c>
      <c r="D6434">
        <v>1</v>
      </c>
      <c r="E6434" t="s">
        <v>17902</v>
      </c>
      <c r="F6434" t="s">
        <v>17903</v>
      </c>
      <c r="G6434" s="1"/>
      <c r="H6434" t="str">
        <f>"3250615514820"</f>
        <v>3250615514820</v>
      </c>
      <c r="J6434" t="s">
        <v>17961</v>
      </c>
    </row>
    <row r="6435" spans="1:10" x14ac:dyDescent="0.25">
      <c r="A6435" t="s">
        <v>8</v>
      </c>
      <c r="B6435" t="s">
        <v>17962</v>
      </c>
      <c r="C6435" t="s">
        <v>17963</v>
      </c>
      <c r="D6435">
        <v>1</v>
      </c>
      <c r="E6435" t="s">
        <v>17902</v>
      </c>
      <c r="F6435" t="s">
        <v>17903</v>
      </c>
      <c r="G6435" s="1"/>
      <c r="H6435" t="str">
        <f>"3250615514837"</f>
        <v>3250615514837</v>
      </c>
      <c r="J6435" t="s">
        <v>17964</v>
      </c>
    </row>
    <row r="6436" spans="1:10" x14ac:dyDescent="0.25">
      <c r="A6436" t="s">
        <v>8</v>
      </c>
      <c r="B6436" t="s">
        <v>17965</v>
      </c>
      <c r="C6436" t="s">
        <v>17966</v>
      </c>
      <c r="D6436">
        <v>1</v>
      </c>
      <c r="E6436" t="s">
        <v>17902</v>
      </c>
      <c r="F6436" t="s">
        <v>17903</v>
      </c>
      <c r="G6436" s="1"/>
      <c r="H6436" t="str">
        <f>"3250615514844"</f>
        <v>3250615514844</v>
      </c>
      <c r="J6436" t="s">
        <v>17967</v>
      </c>
    </row>
    <row r="6437" spans="1:10" x14ac:dyDescent="0.25">
      <c r="A6437" t="s">
        <v>8</v>
      </c>
      <c r="B6437" t="s">
        <v>17968</v>
      </c>
      <c r="C6437" t="s">
        <v>17969</v>
      </c>
      <c r="D6437">
        <v>1</v>
      </c>
      <c r="E6437" t="s">
        <v>17902</v>
      </c>
      <c r="F6437" t="s">
        <v>17903</v>
      </c>
      <c r="G6437" s="1"/>
      <c r="H6437" t="str">
        <f>"3250613741570"</f>
        <v>3250613741570</v>
      </c>
      <c r="J6437" t="s">
        <v>17970</v>
      </c>
    </row>
    <row r="6438" spans="1:10" x14ac:dyDescent="0.25">
      <c r="A6438" t="s">
        <v>8</v>
      </c>
      <c r="B6438" t="s">
        <v>17971</v>
      </c>
      <c r="C6438" t="s">
        <v>17972</v>
      </c>
      <c r="D6438">
        <v>1</v>
      </c>
      <c r="E6438" t="s">
        <v>17902</v>
      </c>
      <c r="F6438" t="s">
        <v>17903</v>
      </c>
      <c r="G6438" s="1"/>
      <c r="H6438" t="str">
        <f>"3250613741587"</f>
        <v>3250613741587</v>
      </c>
      <c r="J6438" t="s">
        <v>17973</v>
      </c>
    </row>
    <row r="6439" spans="1:10" x14ac:dyDescent="0.25">
      <c r="A6439" t="s">
        <v>8</v>
      </c>
      <c r="B6439" t="s">
        <v>17974</v>
      </c>
      <c r="C6439" t="s">
        <v>17975</v>
      </c>
      <c r="D6439">
        <v>1</v>
      </c>
      <c r="E6439" t="s">
        <v>17902</v>
      </c>
      <c r="F6439" t="s">
        <v>17903</v>
      </c>
      <c r="G6439" s="1"/>
      <c r="H6439" t="str">
        <f>"3250613741594"</f>
        <v>3250613741594</v>
      </c>
      <c r="J6439" t="s">
        <v>17976</v>
      </c>
    </row>
    <row r="6440" spans="1:10" x14ac:dyDescent="0.25">
      <c r="A6440" t="s">
        <v>8</v>
      </c>
      <c r="B6440" t="s">
        <v>17977</v>
      </c>
      <c r="C6440" t="s">
        <v>17978</v>
      </c>
      <c r="D6440">
        <v>1</v>
      </c>
      <c r="E6440" t="s">
        <v>17902</v>
      </c>
      <c r="F6440" t="s">
        <v>17903</v>
      </c>
      <c r="G6440" s="1"/>
      <c r="H6440" t="str">
        <f>"3250615515049"</f>
        <v>3250615515049</v>
      </c>
      <c r="J6440" t="s">
        <v>17979</v>
      </c>
    </row>
    <row r="6441" spans="1:10" x14ac:dyDescent="0.25">
      <c r="A6441" t="s">
        <v>8</v>
      </c>
      <c r="B6441" t="s">
        <v>17980</v>
      </c>
      <c r="C6441" t="s">
        <v>17981</v>
      </c>
      <c r="D6441">
        <v>1</v>
      </c>
      <c r="E6441" t="s">
        <v>17902</v>
      </c>
      <c r="F6441" t="s">
        <v>17903</v>
      </c>
      <c r="G6441" s="1"/>
      <c r="H6441" t="str">
        <f>"3250615515056"</f>
        <v>3250615515056</v>
      </c>
      <c r="J6441" t="s">
        <v>17982</v>
      </c>
    </row>
    <row r="6442" spans="1:10" x14ac:dyDescent="0.25">
      <c r="A6442" t="s">
        <v>8</v>
      </c>
      <c r="B6442" t="s">
        <v>17983</v>
      </c>
      <c r="C6442" t="s">
        <v>17984</v>
      </c>
      <c r="D6442">
        <v>1</v>
      </c>
      <c r="E6442" t="s">
        <v>17902</v>
      </c>
      <c r="F6442" t="s">
        <v>17903</v>
      </c>
      <c r="G6442" s="1"/>
      <c r="H6442" t="str">
        <f>"3250615515063"</f>
        <v>3250615515063</v>
      </c>
      <c r="J6442" t="s">
        <v>17985</v>
      </c>
    </row>
    <row r="6443" spans="1:10" x14ac:dyDescent="0.25">
      <c r="A6443" t="s">
        <v>8</v>
      </c>
      <c r="B6443" t="s">
        <v>17986</v>
      </c>
      <c r="C6443" t="s">
        <v>17987</v>
      </c>
      <c r="D6443">
        <v>1</v>
      </c>
      <c r="E6443" t="s">
        <v>17902</v>
      </c>
      <c r="F6443" t="s">
        <v>17903</v>
      </c>
      <c r="G6443" s="1"/>
      <c r="H6443" t="str">
        <f>"3250615513175"</f>
        <v>3250615513175</v>
      </c>
      <c r="J6443" t="s">
        <v>17988</v>
      </c>
    </row>
    <row r="6444" spans="1:10" x14ac:dyDescent="0.25">
      <c r="A6444" t="s">
        <v>8</v>
      </c>
      <c r="B6444" t="s">
        <v>17989</v>
      </c>
      <c r="C6444" t="s">
        <v>17990</v>
      </c>
      <c r="D6444">
        <v>1</v>
      </c>
      <c r="E6444" t="s">
        <v>17902</v>
      </c>
      <c r="F6444" t="s">
        <v>17903</v>
      </c>
      <c r="G6444" s="1"/>
      <c r="H6444" t="str">
        <f>"3250615513182"</f>
        <v>3250615513182</v>
      </c>
      <c r="J6444" t="s">
        <v>17991</v>
      </c>
    </row>
    <row r="6445" spans="1:10" x14ac:dyDescent="0.25">
      <c r="A6445" t="s">
        <v>8</v>
      </c>
      <c r="B6445" t="s">
        <v>17992</v>
      </c>
      <c r="C6445" t="s">
        <v>17993</v>
      </c>
      <c r="D6445">
        <v>1</v>
      </c>
      <c r="E6445" t="s">
        <v>17902</v>
      </c>
      <c r="F6445" t="s">
        <v>17903</v>
      </c>
      <c r="G6445" s="1"/>
      <c r="H6445" t="str">
        <f>"3250615513199"</f>
        <v>3250615513199</v>
      </c>
      <c r="J6445" t="s">
        <v>17994</v>
      </c>
    </row>
    <row r="6446" spans="1:10" x14ac:dyDescent="0.25">
      <c r="A6446" t="s">
        <v>8</v>
      </c>
      <c r="B6446" t="s">
        <v>17995</v>
      </c>
      <c r="C6446" t="s">
        <v>17996</v>
      </c>
      <c r="D6446">
        <v>1</v>
      </c>
      <c r="E6446" t="s">
        <v>17902</v>
      </c>
      <c r="F6446" t="s">
        <v>17903</v>
      </c>
      <c r="G6446" s="1"/>
      <c r="H6446" t="str">
        <f>"3250615512376"</f>
        <v>3250615512376</v>
      </c>
      <c r="J6446" t="s">
        <v>17997</v>
      </c>
    </row>
    <row r="6447" spans="1:10" x14ac:dyDescent="0.25">
      <c r="A6447" t="s">
        <v>8</v>
      </c>
      <c r="B6447" t="s">
        <v>17998</v>
      </c>
      <c r="C6447" t="s">
        <v>17999</v>
      </c>
      <c r="D6447">
        <v>1</v>
      </c>
      <c r="E6447" t="s">
        <v>17902</v>
      </c>
      <c r="F6447" t="s">
        <v>17903</v>
      </c>
      <c r="G6447" s="1"/>
      <c r="H6447" t="str">
        <f>"3250615512383"</f>
        <v>3250615512383</v>
      </c>
      <c r="J6447" t="s">
        <v>18000</v>
      </c>
    </row>
    <row r="6448" spans="1:10" x14ac:dyDescent="0.25">
      <c r="A6448" t="s">
        <v>8</v>
      </c>
      <c r="B6448" t="s">
        <v>18001</v>
      </c>
      <c r="C6448" t="s">
        <v>18002</v>
      </c>
      <c r="D6448">
        <v>1</v>
      </c>
      <c r="E6448" t="s">
        <v>18003</v>
      </c>
      <c r="F6448" t="s">
        <v>18004</v>
      </c>
      <c r="G6448" s="1"/>
      <c r="H6448" t="str">
        <f>"3250617205306"</f>
        <v>3250617205306</v>
      </c>
      <c r="J6448" t="s">
        <v>18005</v>
      </c>
    </row>
    <row r="6449" spans="1:10" x14ac:dyDescent="0.25">
      <c r="A6449" t="s">
        <v>8</v>
      </c>
      <c r="B6449" t="s">
        <v>18006</v>
      </c>
      <c r="C6449" t="s">
        <v>18007</v>
      </c>
      <c r="D6449">
        <v>1</v>
      </c>
      <c r="E6449" t="s">
        <v>18003</v>
      </c>
      <c r="F6449" t="s">
        <v>18004</v>
      </c>
      <c r="G6449" s="1"/>
      <c r="H6449" t="str">
        <f>"3250617205313"</f>
        <v>3250617205313</v>
      </c>
      <c r="J6449" t="s">
        <v>18008</v>
      </c>
    </row>
    <row r="6450" spans="1:10" x14ac:dyDescent="0.25">
      <c r="A6450" t="s">
        <v>8</v>
      </c>
      <c r="B6450" t="s">
        <v>18009</v>
      </c>
      <c r="C6450" t="s">
        <v>18010</v>
      </c>
      <c r="D6450">
        <v>1</v>
      </c>
      <c r="E6450" t="s">
        <v>18003</v>
      </c>
      <c r="F6450" t="s">
        <v>18004</v>
      </c>
      <c r="G6450" s="1"/>
      <c r="H6450" t="str">
        <f>"3250617205320"</f>
        <v>3250617205320</v>
      </c>
      <c r="J6450" t="s">
        <v>18011</v>
      </c>
    </row>
    <row r="6451" spans="1:10" x14ac:dyDescent="0.25">
      <c r="A6451" t="s">
        <v>8</v>
      </c>
      <c r="B6451" t="s">
        <v>18012</v>
      </c>
      <c r="C6451" t="s">
        <v>18013</v>
      </c>
      <c r="D6451">
        <v>1</v>
      </c>
      <c r="E6451" t="s">
        <v>18003</v>
      </c>
      <c r="F6451" t="s">
        <v>18004</v>
      </c>
      <c r="G6451" s="1"/>
      <c r="H6451" t="str">
        <f>"3250617205337"</f>
        <v>3250617205337</v>
      </c>
      <c r="J6451" t="s">
        <v>18014</v>
      </c>
    </row>
    <row r="6452" spans="1:10" x14ac:dyDescent="0.25">
      <c r="A6452" t="s">
        <v>8</v>
      </c>
      <c r="B6452" t="s">
        <v>18015</v>
      </c>
      <c r="C6452" t="s">
        <v>18016</v>
      </c>
      <c r="D6452">
        <v>1</v>
      </c>
      <c r="E6452" t="s">
        <v>18003</v>
      </c>
      <c r="F6452" t="s">
        <v>18004</v>
      </c>
      <c r="G6452" s="1"/>
      <c r="H6452" t="str">
        <f>"3250617205344"</f>
        <v>3250617205344</v>
      </c>
      <c r="J6452" t="s">
        <v>18017</v>
      </c>
    </row>
    <row r="6453" spans="1:10" x14ac:dyDescent="0.25">
      <c r="A6453" t="s">
        <v>8</v>
      </c>
      <c r="B6453" t="s">
        <v>18018</v>
      </c>
      <c r="C6453" t="s">
        <v>18019</v>
      </c>
      <c r="D6453">
        <v>1</v>
      </c>
      <c r="E6453" t="s">
        <v>18003</v>
      </c>
      <c r="F6453" t="s">
        <v>18004</v>
      </c>
      <c r="G6453" s="1"/>
      <c r="H6453" t="str">
        <f>"3250617205351"</f>
        <v>3250617205351</v>
      </c>
      <c r="J6453" t="s">
        <v>18020</v>
      </c>
    </row>
    <row r="6454" spans="1:10" x14ac:dyDescent="0.25">
      <c r="A6454" t="s">
        <v>8</v>
      </c>
      <c r="B6454" t="s">
        <v>18021</v>
      </c>
      <c r="C6454" t="s">
        <v>18022</v>
      </c>
      <c r="D6454">
        <v>1</v>
      </c>
      <c r="E6454" t="s">
        <v>18003</v>
      </c>
      <c r="F6454" t="s">
        <v>18004</v>
      </c>
      <c r="G6454" s="1"/>
      <c r="H6454" t="str">
        <f>"3250617205368"</f>
        <v>3250617205368</v>
      </c>
      <c r="J6454" t="s">
        <v>15437</v>
      </c>
    </row>
    <row r="6455" spans="1:10" x14ac:dyDescent="0.25">
      <c r="A6455" t="s">
        <v>8</v>
      </c>
      <c r="B6455" t="s">
        <v>18023</v>
      </c>
      <c r="C6455" t="s">
        <v>18024</v>
      </c>
      <c r="D6455">
        <v>1</v>
      </c>
      <c r="E6455" t="s">
        <v>18003</v>
      </c>
      <c r="F6455" t="s">
        <v>18004</v>
      </c>
      <c r="G6455" s="1"/>
      <c r="H6455" t="str">
        <f>"3250617205375"</f>
        <v>3250617205375</v>
      </c>
      <c r="J6455" t="s">
        <v>18025</v>
      </c>
    </row>
    <row r="6456" spans="1:10" x14ac:dyDescent="0.25">
      <c r="A6456" t="s">
        <v>8</v>
      </c>
      <c r="B6456" t="s">
        <v>18026</v>
      </c>
      <c r="C6456" t="s">
        <v>18027</v>
      </c>
      <c r="D6456">
        <v>1</v>
      </c>
      <c r="E6456" t="s">
        <v>18003</v>
      </c>
      <c r="F6456" t="s">
        <v>18004</v>
      </c>
      <c r="G6456" s="1"/>
      <c r="H6456" t="str">
        <f>"3250617205382"</f>
        <v>3250617205382</v>
      </c>
      <c r="J6456" t="s">
        <v>14618</v>
      </c>
    </row>
    <row r="6457" spans="1:10" x14ac:dyDescent="0.25">
      <c r="A6457" t="s">
        <v>8</v>
      </c>
      <c r="B6457" t="s">
        <v>18028</v>
      </c>
      <c r="C6457" t="s">
        <v>18029</v>
      </c>
      <c r="D6457">
        <v>1</v>
      </c>
      <c r="E6457" t="s">
        <v>18003</v>
      </c>
      <c r="F6457" t="s">
        <v>18004</v>
      </c>
      <c r="G6457" s="1"/>
      <c r="H6457" t="str">
        <f>"3250617205399"</f>
        <v>3250617205399</v>
      </c>
      <c r="J6457" t="s">
        <v>18030</v>
      </c>
    </row>
    <row r="6458" spans="1:10" x14ac:dyDescent="0.25">
      <c r="A6458" t="s">
        <v>8</v>
      </c>
      <c r="B6458" t="s">
        <v>18031</v>
      </c>
      <c r="C6458" t="s">
        <v>18032</v>
      </c>
      <c r="D6458">
        <v>1</v>
      </c>
      <c r="E6458" t="s">
        <v>18003</v>
      </c>
      <c r="F6458" t="s">
        <v>18004</v>
      </c>
      <c r="G6458" s="1"/>
      <c r="H6458" t="str">
        <f>"3250617205405"</f>
        <v>3250617205405</v>
      </c>
      <c r="J6458" t="s">
        <v>18033</v>
      </c>
    </row>
    <row r="6459" spans="1:10" x14ac:dyDescent="0.25">
      <c r="A6459" t="s">
        <v>8</v>
      </c>
      <c r="B6459" t="s">
        <v>18034</v>
      </c>
      <c r="C6459" t="s">
        <v>18035</v>
      </c>
      <c r="D6459">
        <v>1</v>
      </c>
      <c r="E6459" t="s">
        <v>18003</v>
      </c>
      <c r="F6459" t="s">
        <v>18004</v>
      </c>
      <c r="G6459" s="1"/>
      <c r="H6459" t="str">
        <f>"3250617205412"</f>
        <v>3250617205412</v>
      </c>
      <c r="J6459" t="s">
        <v>18036</v>
      </c>
    </row>
    <row r="6460" spans="1:10" x14ac:dyDescent="0.25">
      <c r="A6460" t="s">
        <v>8</v>
      </c>
      <c r="B6460" t="s">
        <v>18037</v>
      </c>
      <c r="C6460" t="s">
        <v>18038</v>
      </c>
      <c r="D6460">
        <v>1</v>
      </c>
      <c r="E6460" t="s">
        <v>18003</v>
      </c>
      <c r="F6460" t="s">
        <v>18004</v>
      </c>
      <c r="G6460" s="1"/>
      <c r="H6460" t="str">
        <f>"3250617205429"</f>
        <v>3250617205429</v>
      </c>
      <c r="J6460" t="s">
        <v>15437</v>
      </c>
    </row>
    <row r="6461" spans="1:10" x14ac:dyDescent="0.25">
      <c r="A6461" t="s">
        <v>8</v>
      </c>
      <c r="B6461" t="s">
        <v>18039</v>
      </c>
      <c r="C6461" t="s">
        <v>18040</v>
      </c>
      <c r="D6461">
        <v>1</v>
      </c>
      <c r="E6461" t="s">
        <v>18003</v>
      </c>
      <c r="F6461" t="s">
        <v>18004</v>
      </c>
      <c r="G6461" s="1"/>
      <c r="H6461" t="str">
        <f>"3250617205436"</f>
        <v>3250617205436</v>
      </c>
      <c r="J6461" t="s">
        <v>18025</v>
      </c>
    </row>
    <row r="6462" spans="1:10" x14ac:dyDescent="0.25">
      <c r="A6462" t="s">
        <v>8</v>
      </c>
      <c r="B6462" t="s">
        <v>18041</v>
      </c>
      <c r="C6462" t="s">
        <v>18042</v>
      </c>
      <c r="D6462">
        <v>1</v>
      </c>
      <c r="E6462" t="s">
        <v>18003</v>
      </c>
      <c r="F6462" t="s">
        <v>18004</v>
      </c>
      <c r="G6462" s="1"/>
      <c r="H6462" t="str">
        <f>"3250617205443"</f>
        <v>3250617205443</v>
      </c>
      <c r="J6462" t="s">
        <v>14618</v>
      </c>
    </row>
    <row r="6463" spans="1:10" x14ac:dyDescent="0.25">
      <c r="A6463" t="s">
        <v>8</v>
      </c>
      <c r="B6463" t="s">
        <v>18043</v>
      </c>
      <c r="C6463" t="s">
        <v>18044</v>
      </c>
      <c r="D6463">
        <v>1</v>
      </c>
      <c r="E6463" t="s">
        <v>18003</v>
      </c>
      <c r="F6463" t="s">
        <v>18004</v>
      </c>
      <c r="G6463" s="1"/>
      <c r="H6463" t="str">
        <f>"3250617205450"</f>
        <v>3250617205450</v>
      </c>
      <c r="J6463" t="s">
        <v>18030</v>
      </c>
    </row>
    <row r="6464" spans="1:10" x14ac:dyDescent="0.25">
      <c r="A6464" t="s">
        <v>8</v>
      </c>
      <c r="B6464" t="s">
        <v>18045</v>
      </c>
      <c r="C6464" t="s">
        <v>18046</v>
      </c>
      <c r="D6464">
        <v>1</v>
      </c>
      <c r="E6464" t="s">
        <v>18003</v>
      </c>
      <c r="F6464" t="s">
        <v>18004</v>
      </c>
      <c r="G6464" s="1"/>
      <c r="H6464" t="str">
        <f>"3250617205467"</f>
        <v>3250617205467</v>
      </c>
      <c r="J6464" t="s">
        <v>18033</v>
      </c>
    </row>
    <row r="6465" spans="1:10" x14ac:dyDescent="0.25">
      <c r="A6465" t="s">
        <v>8</v>
      </c>
      <c r="B6465" t="s">
        <v>18047</v>
      </c>
      <c r="C6465" t="s">
        <v>18048</v>
      </c>
      <c r="D6465">
        <v>1</v>
      </c>
      <c r="E6465" t="s">
        <v>18003</v>
      </c>
      <c r="F6465" t="s">
        <v>18004</v>
      </c>
      <c r="G6465" s="1"/>
      <c r="H6465" t="str">
        <f>"3250617205474"</f>
        <v>3250617205474</v>
      </c>
      <c r="J6465" t="s">
        <v>18036</v>
      </c>
    </row>
    <row r="6466" spans="1:10" x14ac:dyDescent="0.25">
      <c r="A6466" t="s">
        <v>8</v>
      </c>
      <c r="B6466" t="s">
        <v>18049</v>
      </c>
      <c r="C6466" t="s">
        <v>18050</v>
      </c>
      <c r="D6466">
        <v>1</v>
      </c>
      <c r="E6466" t="s">
        <v>18003</v>
      </c>
      <c r="F6466" t="s">
        <v>18004</v>
      </c>
      <c r="G6466" s="1"/>
      <c r="H6466" t="str">
        <f>"3250617205481"</f>
        <v>3250617205481</v>
      </c>
      <c r="J6466" t="s">
        <v>15437</v>
      </c>
    </row>
    <row r="6467" spans="1:10" x14ac:dyDescent="0.25">
      <c r="A6467" t="s">
        <v>8</v>
      </c>
      <c r="B6467" t="s">
        <v>18051</v>
      </c>
      <c r="C6467" t="s">
        <v>18052</v>
      </c>
      <c r="D6467">
        <v>1</v>
      </c>
      <c r="E6467" t="s">
        <v>18003</v>
      </c>
      <c r="F6467" t="s">
        <v>18004</v>
      </c>
      <c r="G6467" s="1"/>
      <c r="H6467" t="str">
        <f>"3250617205498"</f>
        <v>3250617205498</v>
      </c>
      <c r="J6467" t="s">
        <v>18025</v>
      </c>
    </row>
    <row r="6468" spans="1:10" x14ac:dyDescent="0.25">
      <c r="A6468" t="s">
        <v>8</v>
      </c>
      <c r="B6468" t="s">
        <v>18053</v>
      </c>
      <c r="C6468" t="s">
        <v>18054</v>
      </c>
      <c r="D6468">
        <v>1</v>
      </c>
      <c r="E6468" t="s">
        <v>18003</v>
      </c>
      <c r="F6468" t="s">
        <v>18004</v>
      </c>
      <c r="G6468" s="1"/>
      <c r="H6468" t="str">
        <f>"3250617205504"</f>
        <v>3250617205504</v>
      </c>
      <c r="J6468" t="s">
        <v>14618</v>
      </c>
    </row>
    <row r="6469" spans="1:10" x14ac:dyDescent="0.25">
      <c r="A6469" t="s">
        <v>8</v>
      </c>
      <c r="B6469" t="s">
        <v>18055</v>
      </c>
      <c r="C6469" t="s">
        <v>18056</v>
      </c>
      <c r="D6469">
        <v>1</v>
      </c>
      <c r="E6469" t="s">
        <v>18003</v>
      </c>
      <c r="F6469" t="s">
        <v>18004</v>
      </c>
      <c r="G6469" s="1"/>
      <c r="H6469" t="str">
        <f>"3250617205511"</f>
        <v>3250617205511</v>
      </c>
      <c r="J6469" t="s">
        <v>18030</v>
      </c>
    </row>
    <row r="6470" spans="1:10" x14ac:dyDescent="0.25">
      <c r="A6470" t="s">
        <v>8</v>
      </c>
      <c r="B6470" t="s">
        <v>18057</v>
      </c>
      <c r="C6470" t="s">
        <v>18058</v>
      </c>
      <c r="D6470">
        <v>1</v>
      </c>
      <c r="E6470" t="s">
        <v>18003</v>
      </c>
      <c r="F6470" t="s">
        <v>18004</v>
      </c>
      <c r="G6470" s="1"/>
      <c r="H6470" t="str">
        <f>"3250617205528"</f>
        <v>3250617205528</v>
      </c>
      <c r="J6470" t="s">
        <v>18033</v>
      </c>
    </row>
    <row r="6471" spans="1:10" x14ac:dyDescent="0.25">
      <c r="A6471" t="s">
        <v>8</v>
      </c>
      <c r="B6471" t="s">
        <v>18059</v>
      </c>
      <c r="C6471" t="s">
        <v>18060</v>
      </c>
      <c r="D6471">
        <v>1</v>
      </c>
      <c r="E6471" t="s">
        <v>18003</v>
      </c>
      <c r="F6471" t="s">
        <v>18004</v>
      </c>
      <c r="G6471" s="1"/>
      <c r="H6471" t="str">
        <f>"3250617205535"</f>
        <v>3250617205535</v>
      </c>
      <c r="J6471" t="s">
        <v>18036</v>
      </c>
    </row>
    <row r="6472" spans="1:10" x14ac:dyDescent="0.25">
      <c r="A6472" t="s">
        <v>8</v>
      </c>
      <c r="B6472" t="s">
        <v>18061</v>
      </c>
      <c r="C6472" t="s">
        <v>18062</v>
      </c>
      <c r="D6472">
        <v>1</v>
      </c>
      <c r="E6472" t="s">
        <v>18003</v>
      </c>
      <c r="F6472" t="s">
        <v>18004</v>
      </c>
      <c r="G6472" s="1"/>
      <c r="H6472" t="str">
        <f>"3250617205542"</f>
        <v>3250617205542</v>
      </c>
      <c r="J6472" t="s">
        <v>15437</v>
      </c>
    </row>
    <row r="6473" spans="1:10" x14ac:dyDescent="0.25">
      <c r="A6473" t="s">
        <v>8</v>
      </c>
      <c r="B6473" t="s">
        <v>18063</v>
      </c>
      <c r="C6473" t="s">
        <v>18064</v>
      </c>
      <c r="D6473">
        <v>1</v>
      </c>
      <c r="E6473" t="s">
        <v>18003</v>
      </c>
      <c r="F6473" t="s">
        <v>18004</v>
      </c>
      <c r="G6473" s="1"/>
      <c r="H6473" t="str">
        <f>"3250617205559"</f>
        <v>3250617205559</v>
      </c>
      <c r="J6473" t="s">
        <v>18025</v>
      </c>
    </row>
    <row r="6474" spans="1:10" x14ac:dyDescent="0.25">
      <c r="A6474" t="s">
        <v>8</v>
      </c>
      <c r="B6474" t="s">
        <v>18065</v>
      </c>
      <c r="C6474" t="s">
        <v>18066</v>
      </c>
      <c r="D6474">
        <v>1</v>
      </c>
      <c r="E6474" t="s">
        <v>18003</v>
      </c>
      <c r="F6474" t="s">
        <v>18004</v>
      </c>
      <c r="G6474" s="1"/>
      <c r="H6474" t="str">
        <f>"3250617205566"</f>
        <v>3250617205566</v>
      </c>
      <c r="J6474" t="s">
        <v>14618</v>
      </c>
    </row>
    <row r="6475" spans="1:10" x14ac:dyDescent="0.25">
      <c r="A6475" t="s">
        <v>8</v>
      </c>
      <c r="B6475" t="s">
        <v>18067</v>
      </c>
      <c r="C6475" t="s">
        <v>18068</v>
      </c>
      <c r="D6475">
        <v>1</v>
      </c>
      <c r="E6475" t="s">
        <v>18003</v>
      </c>
      <c r="F6475" t="s">
        <v>18004</v>
      </c>
      <c r="G6475" s="1"/>
      <c r="H6475" t="str">
        <f>"3250617205573"</f>
        <v>3250617205573</v>
      </c>
      <c r="J6475" t="s">
        <v>18030</v>
      </c>
    </row>
    <row r="6476" spans="1:10" x14ac:dyDescent="0.25">
      <c r="A6476" t="s">
        <v>8</v>
      </c>
      <c r="B6476" t="s">
        <v>18069</v>
      </c>
      <c r="C6476" t="s">
        <v>18070</v>
      </c>
      <c r="D6476">
        <v>1</v>
      </c>
      <c r="E6476" t="s">
        <v>18003</v>
      </c>
      <c r="F6476" t="s">
        <v>18004</v>
      </c>
      <c r="G6476" s="1"/>
      <c r="H6476" t="str">
        <f>"3250617205580"</f>
        <v>3250617205580</v>
      </c>
      <c r="J6476" t="s">
        <v>18033</v>
      </c>
    </row>
    <row r="6477" spans="1:10" x14ac:dyDescent="0.25">
      <c r="A6477" t="s">
        <v>8</v>
      </c>
      <c r="B6477" t="s">
        <v>18071</v>
      </c>
      <c r="C6477" t="s">
        <v>18072</v>
      </c>
      <c r="D6477">
        <v>1</v>
      </c>
      <c r="E6477" t="s">
        <v>18003</v>
      </c>
      <c r="F6477" t="s">
        <v>18004</v>
      </c>
      <c r="G6477" s="1"/>
      <c r="H6477" t="str">
        <f>"3250617205597"</f>
        <v>3250617205597</v>
      </c>
      <c r="J6477" t="s">
        <v>18036</v>
      </c>
    </row>
    <row r="6478" spans="1:10" x14ac:dyDescent="0.25">
      <c r="A6478" t="s">
        <v>8</v>
      </c>
      <c r="B6478" t="s">
        <v>18073</v>
      </c>
      <c r="C6478" t="s">
        <v>18074</v>
      </c>
      <c r="D6478">
        <v>1</v>
      </c>
      <c r="E6478" t="s">
        <v>18003</v>
      </c>
      <c r="F6478" t="s">
        <v>18004</v>
      </c>
      <c r="G6478" s="1"/>
      <c r="H6478" t="str">
        <f>"3250617205603"</f>
        <v>3250617205603</v>
      </c>
      <c r="J6478" t="s">
        <v>15437</v>
      </c>
    </row>
    <row r="6479" spans="1:10" x14ac:dyDescent="0.25">
      <c r="A6479" t="s">
        <v>8</v>
      </c>
      <c r="B6479" t="s">
        <v>18075</v>
      </c>
      <c r="C6479" t="s">
        <v>18076</v>
      </c>
      <c r="D6479">
        <v>1</v>
      </c>
      <c r="E6479" t="s">
        <v>18003</v>
      </c>
      <c r="F6479" t="s">
        <v>18004</v>
      </c>
      <c r="G6479" s="1"/>
      <c r="H6479" t="str">
        <f>"3250617205610"</f>
        <v>3250617205610</v>
      </c>
      <c r="J6479" t="s">
        <v>18025</v>
      </c>
    </row>
    <row r="6480" spans="1:10" x14ac:dyDescent="0.25">
      <c r="A6480" t="s">
        <v>8</v>
      </c>
      <c r="B6480" t="s">
        <v>18077</v>
      </c>
      <c r="C6480" t="s">
        <v>18078</v>
      </c>
      <c r="D6480">
        <v>1</v>
      </c>
      <c r="E6480" t="s">
        <v>18003</v>
      </c>
      <c r="F6480" t="s">
        <v>18004</v>
      </c>
      <c r="G6480" s="1"/>
      <c r="H6480" t="str">
        <f>"3250617205627"</f>
        <v>3250617205627</v>
      </c>
      <c r="J6480" t="s">
        <v>14618</v>
      </c>
    </row>
    <row r="6481" spans="1:10" x14ac:dyDescent="0.25">
      <c r="A6481" t="s">
        <v>8</v>
      </c>
      <c r="B6481" t="s">
        <v>18079</v>
      </c>
      <c r="C6481" t="s">
        <v>18080</v>
      </c>
      <c r="D6481">
        <v>1</v>
      </c>
      <c r="E6481" t="s">
        <v>18003</v>
      </c>
      <c r="F6481" t="s">
        <v>18004</v>
      </c>
      <c r="G6481" s="1"/>
      <c r="H6481" t="str">
        <f>"3250617205634"</f>
        <v>3250617205634</v>
      </c>
      <c r="J6481" t="s">
        <v>18030</v>
      </c>
    </row>
    <row r="6482" spans="1:10" x14ac:dyDescent="0.25">
      <c r="A6482" t="s">
        <v>8</v>
      </c>
      <c r="B6482" t="s">
        <v>18081</v>
      </c>
      <c r="C6482" t="s">
        <v>18082</v>
      </c>
      <c r="D6482">
        <v>1</v>
      </c>
      <c r="E6482" t="s">
        <v>18003</v>
      </c>
      <c r="F6482" t="s">
        <v>18004</v>
      </c>
      <c r="G6482" s="1"/>
      <c r="H6482" t="str">
        <f>"3250617205641"</f>
        <v>3250617205641</v>
      </c>
      <c r="J6482" t="s">
        <v>18033</v>
      </c>
    </row>
    <row r="6483" spans="1:10" x14ac:dyDescent="0.25">
      <c r="A6483" t="s">
        <v>8</v>
      </c>
      <c r="B6483" t="s">
        <v>18083</v>
      </c>
      <c r="C6483" t="s">
        <v>18084</v>
      </c>
      <c r="D6483">
        <v>1</v>
      </c>
      <c r="E6483" t="s">
        <v>18003</v>
      </c>
      <c r="F6483" t="s">
        <v>18004</v>
      </c>
      <c r="G6483" s="1"/>
      <c r="H6483" t="str">
        <f>"3250617205658"</f>
        <v>3250617205658</v>
      </c>
      <c r="J6483" t="s">
        <v>18036</v>
      </c>
    </row>
    <row r="6484" spans="1:10" x14ac:dyDescent="0.25">
      <c r="A6484" t="s">
        <v>8</v>
      </c>
      <c r="B6484" t="s">
        <v>18085</v>
      </c>
      <c r="C6484" t="s">
        <v>18086</v>
      </c>
      <c r="D6484">
        <v>1</v>
      </c>
      <c r="E6484" t="s">
        <v>18087</v>
      </c>
      <c r="F6484" t="s">
        <v>18088</v>
      </c>
      <c r="G6484" s="1"/>
      <c r="H6484" t="str">
        <f>"3250613140199"</f>
        <v>3250613140199</v>
      </c>
      <c r="J6484" t="s">
        <v>18089</v>
      </c>
    </row>
    <row r="6485" spans="1:10" x14ac:dyDescent="0.25">
      <c r="A6485" t="s">
        <v>8</v>
      </c>
      <c r="B6485" t="s">
        <v>18090</v>
      </c>
      <c r="C6485" t="s">
        <v>18091</v>
      </c>
      <c r="D6485">
        <v>1</v>
      </c>
      <c r="E6485" t="s">
        <v>18087</v>
      </c>
      <c r="F6485" t="s">
        <v>18088</v>
      </c>
      <c r="G6485" s="1"/>
      <c r="H6485" t="str">
        <f>"3250613140205"</f>
        <v>3250613140205</v>
      </c>
      <c r="J6485" t="s">
        <v>18092</v>
      </c>
    </row>
    <row r="6486" spans="1:10" x14ac:dyDescent="0.25">
      <c r="A6486" t="s">
        <v>8</v>
      </c>
      <c r="B6486" t="s">
        <v>18093</v>
      </c>
      <c r="C6486" t="s">
        <v>18094</v>
      </c>
      <c r="D6486">
        <v>1</v>
      </c>
      <c r="E6486" t="s">
        <v>18087</v>
      </c>
      <c r="F6486" t="s">
        <v>18088</v>
      </c>
      <c r="G6486" s="1"/>
      <c r="H6486" t="str">
        <f>"3250613232146"</f>
        <v>3250613232146</v>
      </c>
      <c r="J6486" t="s">
        <v>18095</v>
      </c>
    </row>
    <row r="6487" spans="1:10" x14ac:dyDescent="0.25">
      <c r="A6487" t="s">
        <v>8</v>
      </c>
      <c r="B6487" t="s">
        <v>18096</v>
      </c>
      <c r="C6487" t="s">
        <v>18097</v>
      </c>
      <c r="D6487">
        <v>1</v>
      </c>
      <c r="E6487" t="s">
        <v>18087</v>
      </c>
      <c r="F6487" t="s">
        <v>18088</v>
      </c>
      <c r="G6487" s="1"/>
      <c r="H6487" t="str">
        <f>"3250613232245"</f>
        <v>3250613232245</v>
      </c>
      <c r="J6487" t="s">
        <v>18098</v>
      </c>
    </row>
    <row r="6488" spans="1:10" x14ac:dyDescent="0.25">
      <c r="A6488" t="s">
        <v>8</v>
      </c>
      <c r="B6488" t="s">
        <v>18099</v>
      </c>
      <c r="C6488" t="s">
        <v>18100</v>
      </c>
      <c r="D6488">
        <v>1</v>
      </c>
      <c r="E6488" t="s">
        <v>18087</v>
      </c>
      <c r="F6488" t="s">
        <v>18088</v>
      </c>
      <c r="G6488" s="1"/>
      <c r="H6488" t="str">
        <f>"3250613232252"</f>
        <v>3250613232252</v>
      </c>
      <c r="J6488" t="s">
        <v>18098</v>
      </c>
    </row>
    <row r="6489" spans="1:10" x14ac:dyDescent="0.25">
      <c r="A6489" t="s">
        <v>8</v>
      </c>
      <c r="B6489" t="s">
        <v>18101</v>
      </c>
      <c r="C6489" t="s">
        <v>18102</v>
      </c>
      <c r="D6489">
        <v>1</v>
      </c>
      <c r="E6489" t="s">
        <v>18087</v>
      </c>
      <c r="F6489" t="s">
        <v>18088</v>
      </c>
      <c r="G6489" s="1"/>
      <c r="H6489" t="str">
        <f>"3250613232269"</f>
        <v>3250613232269</v>
      </c>
      <c r="J6489" t="s">
        <v>18098</v>
      </c>
    </row>
    <row r="6490" spans="1:10" x14ac:dyDescent="0.25">
      <c r="A6490" t="s">
        <v>8</v>
      </c>
      <c r="B6490" t="s">
        <v>18103</v>
      </c>
      <c r="C6490" t="s">
        <v>18104</v>
      </c>
      <c r="D6490">
        <v>1</v>
      </c>
      <c r="E6490" t="s">
        <v>18087</v>
      </c>
      <c r="F6490" t="s">
        <v>18088</v>
      </c>
      <c r="G6490" s="1"/>
      <c r="H6490" t="str">
        <f>"3250613232276"</f>
        <v>3250613232276</v>
      </c>
      <c r="J6490" t="s">
        <v>18098</v>
      </c>
    </row>
    <row r="6491" spans="1:10" x14ac:dyDescent="0.25">
      <c r="A6491" t="s">
        <v>8</v>
      </c>
      <c r="B6491" t="s">
        <v>18105</v>
      </c>
      <c r="C6491" t="s">
        <v>18106</v>
      </c>
      <c r="D6491">
        <v>1</v>
      </c>
      <c r="E6491" t="s">
        <v>18087</v>
      </c>
      <c r="F6491" t="s">
        <v>18088</v>
      </c>
      <c r="G6491" s="1"/>
      <c r="H6491" t="str">
        <f>"3250613235369"</f>
        <v>3250613235369</v>
      </c>
      <c r="J6491" t="s">
        <v>18107</v>
      </c>
    </row>
    <row r="6492" spans="1:10" x14ac:dyDescent="0.25">
      <c r="A6492" t="s">
        <v>8</v>
      </c>
      <c r="B6492" t="s">
        <v>18108</v>
      </c>
      <c r="C6492" t="s">
        <v>18109</v>
      </c>
      <c r="D6492">
        <v>1</v>
      </c>
      <c r="E6492" t="s">
        <v>18087</v>
      </c>
      <c r="F6492" t="s">
        <v>18088</v>
      </c>
      <c r="G6492" s="1"/>
      <c r="H6492" t="str">
        <f>"3250613235376"</f>
        <v>3250613235376</v>
      </c>
      <c r="J6492" t="s">
        <v>18107</v>
      </c>
    </row>
    <row r="6493" spans="1:10" x14ac:dyDescent="0.25">
      <c r="A6493" t="s">
        <v>8</v>
      </c>
      <c r="B6493" t="s">
        <v>18110</v>
      </c>
      <c r="C6493" t="s">
        <v>18111</v>
      </c>
      <c r="D6493">
        <v>1</v>
      </c>
      <c r="E6493" t="s">
        <v>18087</v>
      </c>
      <c r="F6493" t="s">
        <v>18088</v>
      </c>
      <c r="G6493" s="1"/>
      <c r="H6493" t="str">
        <f>"3250613235390"</f>
        <v>3250613235390</v>
      </c>
      <c r="J6493" t="s">
        <v>18107</v>
      </c>
    </row>
    <row r="6494" spans="1:10" x14ac:dyDescent="0.25">
      <c r="A6494" t="s">
        <v>8</v>
      </c>
      <c r="B6494" t="s">
        <v>18112</v>
      </c>
      <c r="C6494" t="s">
        <v>18113</v>
      </c>
      <c r="D6494">
        <v>1</v>
      </c>
      <c r="E6494" t="s">
        <v>18087</v>
      </c>
      <c r="F6494" t="s">
        <v>18088</v>
      </c>
      <c r="G6494" s="1"/>
      <c r="H6494" t="str">
        <f>"3250613232641"</f>
        <v>3250613232641</v>
      </c>
      <c r="J6494" t="s">
        <v>18114</v>
      </c>
    </row>
    <row r="6495" spans="1:10" x14ac:dyDescent="0.25">
      <c r="A6495" t="s">
        <v>8</v>
      </c>
      <c r="B6495" t="s">
        <v>18115</v>
      </c>
      <c r="C6495" t="s">
        <v>18116</v>
      </c>
      <c r="D6495">
        <v>1</v>
      </c>
      <c r="E6495" t="s">
        <v>18087</v>
      </c>
      <c r="F6495" t="s">
        <v>18088</v>
      </c>
      <c r="G6495" s="1"/>
      <c r="H6495" t="str">
        <f>"3250613232658"</f>
        <v>3250613232658</v>
      </c>
      <c r="J6495" t="s">
        <v>18114</v>
      </c>
    </row>
    <row r="6496" spans="1:10" x14ac:dyDescent="0.25">
      <c r="A6496" t="s">
        <v>8</v>
      </c>
      <c r="B6496" t="s">
        <v>18117</v>
      </c>
      <c r="C6496" t="s">
        <v>18118</v>
      </c>
      <c r="D6496">
        <v>1</v>
      </c>
      <c r="E6496" t="s">
        <v>18087</v>
      </c>
      <c r="F6496" t="s">
        <v>18088</v>
      </c>
      <c r="G6496" s="1"/>
      <c r="H6496" t="str">
        <f>"3250613232672"</f>
        <v>3250613232672</v>
      </c>
      <c r="J6496" t="s">
        <v>18114</v>
      </c>
    </row>
    <row r="6497" spans="1:10" x14ac:dyDescent="0.25">
      <c r="A6497" t="s">
        <v>8</v>
      </c>
      <c r="B6497" t="s">
        <v>18119</v>
      </c>
      <c r="C6497" t="s">
        <v>18120</v>
      </c>
      <c r="D6497">
        <v>1</v>
      </c>
      <c r="E6497" t="s">
        <v>18087</v>
      </c>
      <c r="F6497" t="s">
        <v>18088</v>
      </c>
      <c r="G6497" s="1"/>
      <c r="H6497" t="str">
        <f>"3250613232696"</f>
        <v>3250613232696</v>
      </c>
      <c r="J6497" t="s">
        <v>18114</v>
      </c>
    </row>
    <row r="6498" spans="1:10" x14ac:dyDescent="0.25">
      <c r="A6498" t="s">
        <v>8</v>
      </c>
      <c r="B6498" t="s">
        <v>18121</v>
      </c>
      <c r="C6498" t="s">
        <v>18122</v>
      </c>
      <c r="D6498">
        <v>1</v>
      </c>
      <c r="E6498" t="s">
        <v>18087</v>
      </c>
      <c r="F6498" t="s">
        <v>18088</v>
      </c>
      <c r="G6498" s="1"/>
      <c r="H6498" t="str">
        <f>"3250613232702"</f>
        <v>3250613232702</v>
      </c>
      <c r="J6498" t="s">
        <v>18114</v>
      </c>
    </row>
    <row r="6499" spans="1:10" x14ac:dyDescent="0.25">
      <c r="A6499" t="s">
        <v>8</v>
      </c>
      <c r="B6499" t="s">
        <v>18123</v>
      </c>
      <c r="C6499" t="s">
        <v>18124</v>
      </c>
      <c r="D6499">
        <v>1</v>
      </c>
      <c r="E6499" t="s">
        <v>18087</v>
      </c>
      <c r="F6499" t="s">
        <v>18088</v>
      </c>
      <c r="G6499" s="1"/>
      <c r="H6499" t="str">
        <f>"3250613232726"</f>
        <v>3250613232726</v>
      </c>
      <c r="J6499" t="s">
        <v>18114</v>
      </c>
    </row>
    <row r="6500" spans="1:10" x14ac:dyDescent="0.25">
      <c r="A6500" t="s">
        <v>8</v>
      </c>
      <c r="B6500" t="s">
        <v>18125</v>
      </c>
      <c r="C6500" t="s">
        <v>18126</v>
      </c>
      <c r="D6500">
        <v>1</v>
      </c>
      <c r="E6500" t="s">
        <v>18087</v>
      </c>
      <c r="F6500" t="s">
        <v>18088</v>
      </c>
      <c r="G6500" s="1"/>
      <c r="H6500" t="str">
        <f>"3250613232740"</f>
        <v>3250613232740</v>
      </c>
      <c r="J6500" t="s">
        <v>18114</v>
      </c>
    </row>
    <row r="6501" spans="1:10" x14ac:dyDescent="0.25">
      <c r="A6501" t="s">
        <v>8</v>
      </c>
      <c r="B6501" t="s">
        <v>18127</v>
      </c>
      <c r="C6501" t="s">
        <v>18128</v>
      </c>
      <c r="D6501">
        <v>1</v>
      </c>
      <c r="E6501" t="s">
        <v>18087</v>
      </c>
      <c r="F6501" t="s">
        <v>18088</v>
      </c>
      <c r="G6501" s="1"/>
      <c r="H6501" t="str">
        <f>"3250613232757"</f>
        <v>3250613232757</v>
      </c>
      <c r="J6501" t="s">
        <v>18114</v>
      </c>
    </row>
    <row r="6502" spans="1:10" x14ac:dyDescent="0.25">
      <c r="A6502" t="s">
        <v>8</v>
      </c>
      <c r="B6502" t="s">
        <v>18129</v>
      </c>
      <c r="C6502" t="s">
        <v>18130</v>
      </c>
      <c r="D6502">
        <v>1</v>
      </c>
      <c r="E6502" t="s">
        <v>18087</v>
      </c>
      <c r="F6502" t="s">
        <v>18088</v>
      </c>
      <c r="G6502" s="1"/>
      <c r="H6502" t="str">
        <f>"3250613232771"</f>
        <v>3250613232771</v>
      </c>
      <c r="J6502" t="s">
        <v>18114</v>
      </c>
    </row>
    <row r="6503" spans="1:10" x14ac:dyDescent="0.25">
      <c r="A6503" t="s">
        <v>8</v>
      </c>
      <c r="B6503" t="s">
        <v>18131</v>
      </c>
      <c r="C6503" t="s">
        <v>18132</v>
      </c>
      <c r="D6503">
        <v>1</v>
      </c>
      <c r="E6503" t="s">
        <v>18087</v>
      </c>
      <c r="F6503" t="s">
        <v>18088</v>
      </c>
      <c r="G6503" s="1"/>
      <c r="H6503" t="str">
        <f>"3250613232801"</f>
        <v>3250613232801</v>
      </c>
      <c r="J6503" t="s">
        <v>18133</v>
      </c>
    </row>
    <row r="6504" spans="1:10" x14ac:dyDescent="0.25">
      <c r="A6504" t="s">
        <v>8</v>
      </c>
      <c r="B6504" t="s">
        <v>18134</v>
      </c>
      <c r="C6504" t="s">
        <v>18135</v>
      </c>
      <c r="D6504">
        <v>1</v>
      </c>
      <c r="E6504" t="s">
        <v>18087</v>
      </c>
      <c r="F6504" t="s">
        <v>18088</v>
      </c>
      <c r="G6504" s="1"/>
      <c r="H6504" t="str">
        <f>"3250613232818"</f>
        <v>3250613232818</v>
      </c>
      <c r="J6504" t="s">
        <v>18136</v>
      </c>
    </row>
    <row r="6505" spans="1:10" x14ac:dyDescent="0.25">
      <c r="A6505" t="s">
        <v>8</v>
      </c>
      <c r="B6505" t="s">
        <v>18137</v>
      </c>
      <c r="C6505" t="s">
        <v>18138</v>
      </c>
      <c r="D6505">
        <v>1</v>
      </c>
      <c r="E6505" t="s">
        <v>18087</v>
      </c>
      <c r="F6505" t="s">
        <v>18088</v>
      </c>
      <c r="G6505" s="1"/>
      <c r="H6505" t="str">
        <f>"3250613232825"</f>
        <v>3250613232825</v>
      </c>
      <c r="J6505" t="s">
        <v>18139</v>
      </c>
    </row>
    <row r="6506" spans="1:10" x14ac:dyDescent="0.25">
      <c r="A6506" t="s">
        <v>8</v>
      </c>
      <c r="B6506" t="s">
        <v>18140</v>
      </c>
      <c r="C6506" t="s">
        <v>18141</v>
      </c>
      <c r="D6506">
        <v>1</v>
      </c>
      <c r="E6506" t="s">
        <v>18087</v>
      </c>
      <c r="F6506" t="s">
        <v>18088</v>
      </c>
      <c r="G6506" s="1"/>
      <c r="H6506" t="str">
        <f>"3250613232849"</f>
        <v>3250613232849</v>
      </c>
      <c r="J6506" t="s">
        <v>18142</v>
      </c>
    </row>
    <row r="6507" spans="1:10" x14ac:dyDescent="0.25">
      <c r="A6507" t="s">
        <v>8</v>
      </c>
      <c r="B6507" t="s">
        <v>18143</v>
      </c>
      <c r="C6507" t="s">
        <v>18144</v>
      </c>
      <c r="D6507">
        <v>1</v>
      </c>
      <c r="E6507" t="s">
        <v>18087</v>
      </c>
      <c r="F6507" t="s">
        <v>18088</v>
      </c>
      <c r="G6507" s="1"/>
      <c r="H6507" t="str">
        <f>"3250613232856"</f>
        <v>3250613232856</v>
      </c>
      <c r="J6507" t="s">
        <v>18145</v>
      </c>
    </row>
    <row r="6508" spans="1:10" x14ac:dyDescent="0.25">
      <c r="A6508" t="s">
        <v>8</v>
      </c>
      <c r="B6508" t="s">
        <v>18146</v>
      </c>
      <c r="C6508" t="s">
        <v>18147</v>
      </c>
      <c r="D6508">
        <v>1</v>
      </c>
      <c r="E6508" t="s">
        <v>18087</v>
      </c>
      <c r="F6508" t="s">
        <v>18088</v>
      </c>
      <c r="G6508" s="1"/>
      <c r="H6508" t="str">
        <f>"3250613232863"</f>
        <v>3250613232863</v>
      </c>
      <c r="J6508" t="s">
        <v>18148</v>
      </c>
    </row>
    <row r="6509" spans="1:10" x14ac:dyDescent="0.25">
      <c r="A6509" t="s">
        <v>8</v>
      </c>
      <c r="B6509" t="s">
        <v>18149</v>
      </c>
      <c r="C6509" t="s">
        <v>18150</v>
      </c>
      <c r="D6509">
        <v>1</v>
      </c>
      <c r="E6509" t="s">
        <v>18087</v>
      </c>
      <c r="F6509" t="s">
        <v>18088</v>
      </c>
      <c r="G6509" s="1"/>
      <c r="H6509" t="str">
        <f>"3250613232887"</f>
        <v>3250613232887</v>
      </c>
      <c r="J6509" t="s">
        <v>18151</v>
      </c>
    </row>
    <row r="6510" spans="1:10" x14ac:dyDescent="0.25">
      <c r="A6510" t="s">
        <v>8</v>
      </c>
      <c r="B6510" t="s">
        <v>18152</v>
      </c>
      <c r="C6510" t="s">
        <v>18153</v>
      </c>
      <c r="D6510">
        <v>1</v>
      </c>
      <c r="E6510" t="s">
        <v>18087</v>
      </c>
      <c r="F6510" t="s">
        <v>18088</v>
      </c>
      <c r="G6510" s="1"/>
      <c r="H6510" t="str">
        <f>"3250613122584"</f>
        <v>3250613122584</v>
      </c>
      <c r="J6510" t="s">
        <v>18089</v>
      </c>
    </row>
    <row r="6511" spans="1:10" x14ac:dyDescent="0.25">
      <c r="A6511" t="s">
        <v>8</v>
      </c>
      <c r="B6511" t="s">
        <v>18154</v>
      </c>
      <c r="C6511" t="s">
        <v>18155</v>
      </c>
      <c r="D6511">
        <v>1</v>
      </c>
      <c r="E6511" t="s">
        <v>18087</v>
      </c>
      <c r="F6511" t="s">
        <v>18088</v>
      </c>
      <c r="G6511" s="1"/>
      <c r="H6511" t="str">
        <f>"3250613232894"</f>
        <v>3250613232894</v>
      </c>
      <c r="J6511" t="s">
        <v>18156</v>
      </c>
    </row>
    <row r="6512" spans="1:10" x14ac:dyDescent="0.25">
      <c r="A6512" t="s">
        <v>8</v>
      </c>
      <c r="B6512" t="s">
        <v>18157</v>
      </c>
      <c r="C6512" t="s">
        <v>18158</v>
      </c>
      <c r="D6512">
        <v>1</v>
      </c>
      <c r="E6512" t="s">
        <v>18087</v>
      </c>
      <c r="F6512" t="s">
        <v>18088</v>
      </c>
      <c r="G6512" s="1"/>
      <c r="H6512" t="str">
        <f>"3250613133498"</f>
        <v>3250613133498</v>
      </c>
      <c r="J6512" t="s">
        <v>18159</v>
      </c>
    </row>
    <row r="6513" spans="1:10" x14ac:dyDescent="0.25">
      <c r="A6513" t="s">
        <v>8</v>
      </c>
      <c r="B6513" t="s">
        <v>18160</v>
      </c>
      <c r="C6513" t="s">
        <v>18161</v>
      </c>
      <c r="D6513">
        <v>1</v>
      </c>
      <c r="E6513" t="s">
        <v>18087</v>
      </c>
      <c r="F6513" t="s">
        <v>18088</v>
      </c>
      <c r="G6513" s="1"/>
      <c r="H6513" t="str">
        <f>"3250613235420"</f>
        <v>3250613235420</v>
      </c>
      <c r="J6513" t="s">
        <v>18107</v>
      </c>
    </row>
    <row r="6514" spans="1:10" x14ac:dyDescent="0.25">
      <c r="A6514" t="s">
        <v>8</v>
      </c>
      <c r="B6514" t="s">
        <v>18162</v>
      </c>
      <c r="C6514" t="s">
        <v>18163</v>
      </c>
      <c r="D6514">
        <v>1</v>
      </c>
      <c r="E6514" t="s">
        <v>18087</v>
      </c>
      <c r="F6514" t="s">
        <v>18088</v>
      </c>
      <c r="G6514" s="1"/>
      <c r="H6514" t="str">
        <f>"3250613235437"</f>
        <v>3250613235437</v>
      </c>
      <c r="J6514" t="s">
        <v>18107</v>
      </c>
    </row>
    <row r="6515" spans="1:10" x14ac:dyDescent="0.25">
      <c r="A6515" t="s">
        <v>8</v>
      </c>
      <c r="B6515" t="s">
        <v>18164</v>
      </c>
      <c r="C6515" t="s">
        <v>18165</v>
      </c>
      <c r="D6515">
        <v>1</v>
      </c>
      <c r="E6515" t="s">
        <v>18087</v>
      </c>
      <c r="F6515" t="s">
        <v>18088</v>
      </c>
      <c r="G6515" s="1"/>
      <c r="H6515" t="str">
        <f>"3250613235468"</f>
        <v>3250613235468</v>
      </c>
      <c r="J6515" t="s">
        <v>18166</v>
      </c>
    </row>
    <row r="6516" spans="1:10" x14ac:dyDescent="0.25">
      <c r="A6516" t="s">
        <v>8</v>
      </c>
      <c r="B6516" t="s">
        <v>18167</v>
      </c>
      <c r="C6516" t="s">
        <v>18168</v>
      </c>
      <c r="D6516">
        <v>1</v>
      </c>
      <c r="E6516" t="s">
        <v>18087</v>
      </c>
      <c r="F6516" t="s">
        <v>18088</v>
      </c>
      <c r="G6516" s="1"/>
      <c r="H6516" t="str">
        <f>"3250613235475"</f>
        <v>3250613235475</v>
      </c>
      <c r="J6516" t="s">
        <v>18169</v>
      </c>
    </row>
    <row r="6517" spans="1:10" x14ac:dyDescent="0.25">
      <c r="A6517" t="s">
        <v>8</v>
      </c>
      <c r="B6517" t="s">
        <v>18170</v>
      </c>
      <c r="C6517" t="s">
        <v>18171</v>
      </c>
      <c r="D6517">
        <v>1</v>
      </c>
      <c r="E6517" t="s">
        <v>18087</v>
      </c>
      <c r="F6517" t="s">
        <v>18088</v>
      </c>
      <c r="G6517" s="1"/>
      <c r="H6517" t="str">
        <f>"3250613235482"</f>
        <v>3250613235482</v>
      </c>
      <c r="J6517" t="s">
        <v>18166</v>
      </c>
    </row>
    <row r="6518" spans="1:10" x14ac:dyDescent="0.25">
      <c r="A6518" t="s">
        <v>8</v>
      </c>
      <c r="B6518" t="s">
        <v>18172</v>
      </c>
      <c r="C6518" t="s">
        <v>18173</v>
      </c>
      <c r="D6518">
        <v>1</v>
      </c>
      <c r="E6518" t="s">
        <v>18087</v>
      </c>
      <c r="F6518" t="s">
        <v>18088</v>
      </c>
      <c r="G6518" s="1"/>
      <c r="H6518" t="str">
        <f>"3250613235499"</f>
        <v>3250613235499</v>
      </c>
      <c r="J6518" t="s">
        <v>18169</v>
      </c>
    </row>
    <row r="6519" spans="1:10" x14ac:dyDescent="0.25">
      <c r="A6519" t="s">
        <v>8</v>
      </c>
      <c r="B6519" t="s">
        <v>18174</v>
      </c>
      <c r="C6519" t="s">
        <v>18175</v>
      </c>
      <c r="D6519">
        <v>1</v>
      </c>
      <c r="E6519" t="s">
        <v>18087</v>
      </c>
      <c r="F6519" t="s">
        <v>18088</v>
      </c>
      <c r="G6519" s="1"/>
      <c r="H6519" t="str">
        <f>"3250613235505"</f>
        <v>3250613235505</v>
      </c>
      <c r="J6519" t="s">
        <v>18166</v>
      </c>
    </row>
    <row r="6520" spans="1:10" x14ac:dyDescent="0.25">
      <c r="A6520" t="s">
        <v>8</v>
      </c>
      <c r="B6520" t="s">
        <v>18176</v>
      </c>
      <c r="C6520" t="s">
        <v>18177</v>
      </c>
      <c r="D6520">
        <v>1</v>
      </c>
      <c r="E6520" t="s">
        <v>18087</v>
      </c>
      <c r="F6520" t="s">
        <v>18088</v>
      </c>
      <c r="G6520" s="1"/>
      <c r="H6520" t="str">
        <f>"3250613235512"</f>
        <v>3250613235512</v>
      </c>
      <c r="J6520" t="s">
        <v>18169</v>
      </c>
    </row>
    <row r="6521" spans="1:10" x14ac:dyDescent="0.25">
      <c r="A6521" t="s">
        <v>8</v>
      </c>
      <c r="B6521" t="s">
        <v>18178</v>
      </c>
      <c r="C6521" t="s">
        <v>18179</v>
      </c>
      <c r="D6521">
        <v>1</v>
      </c>
      <c r="E6521" t="s">
        <v>18087</v>
      </c>
      <c r="F6521" t="s">
        <v>18088</v>
      </c>
      <c r="G6521" s="1"/>
      <c r="H6521" t="str">
        <f>"3250613235529"</f>
        <v>3250613235529</v>
      </c>
      <c r="J6521" t="s">
        <v>18166</v>
      </c>
    </row>
    <row r="6522" spans="1:10" x14ac:dyDescent="0.25">
      <c r="A6522" t="s">
        <v>8</v>
      </c>
      <c r="B6522" t="s">
        <v>18180</v>
      </c>
      <c r="C6522" t="s">
        <v>18181</v>
      </c>
      <c r="D6522">
        <v>1</v>
      </c>
      <c r="E6522" t="s">
        <v>18087</v>
      </c>
      <c r="F6522" t="s">
        <v>18088</v>
      </c>
      <c r="G6522" s="1"/>
      <c r="H6522" t="str">
        <f>"3250613235536"</f>
        <v>3250613235536</v>
      </c>
      <c r="J6522" t="s">
        <v>18169</v>
      </c>
    </row>
    <row r="6523" spans="1:10" x14ac:dyDescent="0.25">
      <c r="A6523" t="s">
        <v>8</v>
      </c>
      <c r="B6523" t="s">
        <v>18182</v>
      </c>
      <c r="C6523" t="s">
        <v>18183</v>
      </c>
      <c r="D6523">
        <v>1</v>
      </c>
      <c r="E6523" t="s">
        <v>18087</v>
      </c>
      <c r="F6523" t="s">
        <v>18088</v>
      </c>
      <c r="G6523" s="1"/>
      <c r="H6523" t="str">
        <f>"3250613235543"</f>
        <v>3250613235543</v>
      </c>
      <c r="J6523" t="s">
        <v>18184</v>
      </c>
    </row>
    <row r="6524" spans="1:10" x14ac:dyDescent="0.25">
      <c r="A6524" t="s">
        <v>8</v>
      </c>
      <c r="B6524" t="s">
        <v>18185</v>
      </c>
      <c r="C6524" t="s">
        <v>18186</v>
      </c>
      <c r="D6524">
        <v>1</v>
      </c>
      <c r="E6524" t="s">
        <v>18087</v>
      </c>
      <c r="F6524" t="s">
        <v>18088</v>
      </c>
      <c r="G6524" s="1"/>
      <c r="H6524" t="str">
        <f>"3250613234287"</f>
        <v>3250613234287</v>
      </c>
      <c r="J6524" t="s">
        <v>18187</v>
      </c>
    </row>
    <row r="6525" spans="1:10" x14ac:dyDescent="0.25">
      <c r="A6525" t="s">
        <v>8</v>
      </c>
      <c r="B6525" t="s">
        <v>18188</v>
      </c>
      <c r="C6525" t="s">
        <v>18189</v>
      </c>
      <c r="D6525">
        <v>1</v>
      </c>
      <c r="E6525" t="s">
        <v>18087</v>
      </c>
      <c r="F6525" t="s">
        <v>18088</v>
      </c>
      <c r="G6525" s="1"/>
      <c r="H6525" t="str">
        <f>"3250613133481"</f>
        <v>3250613133481</v>
      </c>
      <c r="J6525" t="s">
        <v>18190</v>
      </c>
    </row>
    <row r="6526" spans="1:10" x14ac:dyDescent="0.25">
      <c r="A6526" t="s">
        <v>8</v>
      </c>
      <c r="B6526" t="s">
        <v>18191</v>
      </c>
      <c r="C6526" t="s">
        <v>18192</v>
      </c>
      <c r="D6526">
        <v>1</v>
      </c>
      <c r="E6526" t="s">
        <v>18087</v>
      </c>
      <c r="F6526" t="s">
        <v>18088</v>
      </c>
      <c r="G6526" s="1"/>
      <c r="H6526" t="str">
        <f>"3250613233044"</f>
        <v>3250613233044</v>
      </c>
      <c r="J6526" t="s">
        <v>18190</v>
      </c>
    </row>
    <row r="6527" spans="1:10" x14ac:dyDescent="0.25">
      <c r="A6527" t="s">
        <v>8</v>
      </c>
      <c r="B6527" t="s">
        <v>18193</v>
      </c>
      <c r="C6527" t="s">
        <v>18194</v>
      </c>
      <c r="D6527">
        <v>1</v>
      </c>
      <c r="E6527" t="s">
        <v>18087</v>
      </c>
      <c r="F6527" t="s">
        <v>18088</v>
      </c>
      <c r="G6527" s="1"/>
      <c r="H6527" t="str">
        <f>"3250613233075"</f>
        <v>3250613233075</v>
      </c>
      <c r="J6527" t="s">
        <v>18190</v>
      </c>
    </row>
    <row r="6528" spans="1:10" x14ac:dyDescent="0.25">
      <c r="A6528" t="s">
        <v>8</v>
      </c>
      <c r="B6528" t="s">
        <v>18195</v>
      </c>
      <c r="C6528" t="s">
        <v>18196</v>
      </c>
      <c r="D6528">
        <v>1</v>
      </c>
      <c r="E6528" t="s">
        <v>18087</v>
      </c>
      <c r="F6528" t="s">
        <v>18088</v>
      </c>
      <c r="G6528" s="1"/>
      <c r="H6528" t="str">
        <f>"3250613233082"</f>
        <v>3250613233082</v>
      </c>
      <c r="J6528" t="s">
        <v>18197</v>
      </c>
    </row>
    <row r="6529" spans="1:10" x14ac:dyDescent="0.25">
      <c r="A6529" t="s">
        <v>8</v>
      </c>
      <c r="B6529" t="s">
        <v>18198</v>
      </c>
      <c r="C6529" t="s">
        <v>18199</v>
      </c>
      <c r="D6529">
        <v>1</v>
      </c>
      <c r="E6529" t="s">
        <v>18087</v>
      </c>
      <c r="F6529" t="s">
        <v>18088</v>
      </c>
      <c r="G6529" s="1"/>
      <c r="H6529" t="str">
        <f>"3250613113933"</f>
        <v>3250613113933</v>
      </c>
      <c r="J6529" t="s">
        <v>18200</v>
      </c>
    </row>
    <row r="6530" spans="1:10" x14ac:dyDescent="0.25">
      <c r="A6530" t="s">
        <v>8</v>
      </c>
      <c r="B6530" t="s">
        <v>18201</v>
      </c>
      <c r="C6530" t="s">
        <v>18202</v>
      </c>
      <c r="D6530">
        <v>1</v>
      </c>
      <c r="E6530" t="s">
        <v>18087</v>
      </c>
      <c r="F6530" t="s">
        <v>18088</v>
      </c>
      <c r="G6530" s="1"/>
      <c r="H6530" t="str">
        <f>"3250613119539"</f>
        <v>3250613119539</v>
      </c>
      <c r="J6530" t="s">
        <v>18203</v>
      </c>
    </row>
    <row r="6531" spans="1:10" x14ac:dyDescent="0.25">
      <c r="A6531" t="s">
        <v>8</v>
      </c>
      <c r="B6531" t="s">
        <v>18204</v>
      </c>
      <c r="C6531" t="s">
        <v>18205</v>
      </c>
      <c r="D6531">
        <v>1</v>
      </c>
      <c r="E6531" t="s">
        <v>18087</v>
      </c>
      <c r="F6531" t="s">
        <v>18088</v>
      </c>
      <c r="G6531" s="1"/>
      <c r="H6531" t="str">
        <f>"3250613233129"</f>
        <v>3250613233129</v>
      </c>
      <c r="J6531" t="s">
        <v>18203</v>
      </c>
    </row>
    <row r="6532" spans="1:10" x14ac:dyDescent="0.25">
      <c r="A6532" t="s">
        <v>8</v>
      </c>
      <c r="B6532" t="s">
        <v>18206</v>
      </c>
      <c r="C6532" t="s">
        <v>18207</v>
      </c>
      <c r="D6532">
        <v>1</v>
      </c>
      <c r="E6532" t="s">
        <v>18087</v>
      </c>
      <c r="F6532" t="s">
        <v>18088</v>
      </c>
      <c r="G6532" s="1"/>
      <c r="H6532" t="str">
        <f>"3250613233136"</f>
        <v>3250613233136</v>
      </c>
      <c r="J6532" t="s">
        <v>18208</v>
      </c>
    </row>
    <row r="6533" spans="1:10" x14ac:dyDescent="0.25">
      <c r="A6533" t="s">
        <v>8</v>
      </c>
      <c r="B6533" t="s">
        <v>18209</v>
      </c>
      <c r="C6533" t="s">
        <v>18210</v>
      </c>
      <c r="D6533">
        <v>1</v>
      </c>
      <c r="E6533" t="s">
        <v>18087</v>
      </c>
      <c r="F6533" t="s">
        <v>18088</v>
      </c>
      <c r="G6533" s="1"/>
      <c r="H6533" t="str">
        <f>"3250613233143"</f>
        <v>3250613233143</v>
      </c>
      <c r="J6533" t="s">
        <v>18208</v>
      </c>
    </row>
    <row r="6534" spans="1:10" x14ac:dyDescent="0.25">
      <c r="A6534" t="s">
        <v>8</v>
      </c>
      <c r="B6534" t="s">
        <v>18211</v>
      </c>
      <c r="C6534" t="s">
        <v>18212</v>
      </c>
      <c r="D6534">
        <v>1</v>
      </c>
      <c r="E6534" t="s">
        <v>18087</v>
      </c>
      <c r="F6534" t="s">
        <v>18088</v>
      </c>
      <c r="G6534" s="1"/>
      <c r="H6534" t="str">
        <f>"3250613233174"</f>
        <v>3250613233174</v>
      </c>
      <c r="J6534" t="s">
        <v>18213</v>
      </c>
    </row>
    <row r="6535" spans="1:10" x14ac:dyDescent="0.25">
      <c r="A6535" t="s">
        <v>8</v>
      </c>
      <c r="B6535" t="s">
        <v>18214</v>
      </c>
      <c r="C6535" t="s">
        <v>18215</v>
      </c>
      <c r="D6535">
        <v>1</v>
      </c>
      <c r="E6535" t="s">
        <v>18087</v>
      </c>
      <c r="F6535" t="s">
        <v>18088</v>
      </c>
      <c r="G6535" s="1"/>
      <c r="H6535" t="str">
        <f>"3250613233181"</f>
        <v>3250613233181</v>
      </c>
      <c r="J6535" t="s">
        <v>18216</v>
      </c>
    </row>
    <row r="6536" spans="1:10" x14ac:dyDescent="0.25">
      <c r="A6536" t="s">
        <v>8</v>
      </c>
      <c r="B6536" t="s">
        <v>18217</v>
      </c>
      <c r="C6536" t="s">
        <v>18218</v>
      </c>
      <c r="D6536">
        <v>1</v>
      </c>
      <c r="E6536" t="s">
        <v>18087</v>
      </c>
      <c r="F6536" t="s">
        <v>18088</v>
      </c>
      <c r="G6536" s="1"/>
      <c r="H6536" t="str">
        <f>"3250613122591"</f>
        <v>3250613122591</v>
      </c>
      <c r="J6536" t="s">
        <v>18145</v>
      </c>
    </row>
    <row r="6537" spans="1:10" x14ac:dyDescent="0.25">
      <c r="A6537" t="s">
        <v>8</v>
      </c>
      <c r="B6537" t="s">
        <v>18219</v>
      </c>
      <c r="C6537" t="s">
        <v>18220</v>
      </c>
      <c r="D6537">
        <v>1</v>
      </c>
      <c r="E6537" t="s">
        <v>18087</v>
      </c>
      <c r="F6537" t="s">
        <v>18088</v>
      </c>
      <c r="G6537" s="1"/>
      <c r="H6537" t="str">
        <f>"3250613122607"</f>
        <v>3250613122607</v>
      </c>
      <c r="J6537" t="s">
        <v>18221</v>
      </c>
    </row>
    <row r="6538" spans="1:10" x14ac:dyDescent="0.25">
      <c r="A6538" t="s">
        <v>8</v>
      </c>
      <c r="B6538" t="s">
        <v>18222</v>
      </c>
      <c r="C6538" t="s">
        <v>18223</v>
      </c>
      <c r="D6538">
        <v>1</v>
      </c>
      <c r="E6538" t="s">
        <v>18087</v>
      </c>
      <c r="F6538" t="s">
        <v>18088</v>
      </c>
      <c r="G6538" s="1"/>
      <c r="H6538" t="str">
        <f>"3250613216085"</f>
        <v>3250613216085</v>
      </c>
      <c r="J6538" t="s">
        <v>18095</v>
      </c>
    </row>
    <row r="6539" spans="1:10" x14ac:dyDescent="0.25">
      <c r="A6539" t="s">
        <v>8</v>
      </c>
      <c r="B6539" t="s">
        <v>18224</v>
      </c>
      <c r="C6539" t="s">
        <v>18225</v>
      </c>
      <c r="D6539">
        <v>1</v>
      </c>
      <c r="E6539" t="s">
        <v>18087</v>
      </c>
      <c r="F6539" t="s">
        <v>18088</v>
      </c>
      <c r="G6539" s="1"/>
      <c r="H6539" t="str">
        <f>"3250613216115"</f>
        <v>3250613216115</v>
      </c>
      <c r="J6539" t="s">
        <v>18226</v>
      </c>
    </row>
    <row r="6540" spans="1:10" x14ac:dyDescent="0.25">
      <c r="A6540" t="s">
        <v>8</v>
      </c>
      <c r="B6540" t="s">
        <v>18227</v>
      </c>
      <c r="C6540" t="s">
        <v>18228</v>
      </c>
      <c r="D6540">
        <v>1</v>
      </c>
      <c r="E6540" t="s">
        <v>18087</v>
      </c>
      <c r="F6540" t="s">
        <v>18088</v>
      </c>
      <c r="G6540" s="1"/>
      <c r="H6540" t="str">
        <f>"3250613232283"</f>
        <v>3250613232283</v>
      </c>
      <c r="J6540" t="s">
        <v>18098</v>
      </c>
    </row>
    <row r="6541" spans="1:10" x14ac:dyDescent="0.25">
      <c r="A6541" t="s">
        <v>8</v>
      </c>
      <c r="B6541" t="s">
        <v>18229</v>
      </c>
      <c r="C6541" t="s">
        <v>18230</v>
      </c>
      <c r="D6541">
        <v>1</v>
      </c>
      <c r="E6541" t="s">
        <v>18087</v>
      </c>
      <c r="F6541" t="s">
        <v>18088</v>
      </c>
      <c r="G6541" s="1"/>
      <c r="H6541" t="str">
        <f>"3250613232290"</f>
        <v>3250613232290</v>
      </c>
      <c r="J6541" t="s">
        <v>18098</v>
      </c>
    </row>
    <row r="6542" spans="1:10" x14ac:dyDescent="0.25">
      <c r="A6542" t="s">
        <v>8</v>
      </c>
      <c r="B6542" t="s">
        <v>18231</v>
      </c>
      <c r="C6542" t="s">
        <v>18232</v>
      </c>
      <c r="D6542">
        <v>1</v>
      </c>
      <c r="E6542" t="s">
        <v>18087</v>
      </c>
      <c r="F6542" t="s">
        <v>18088</v>
      </c>
      <c r="G6542" s="1"/>
      <c r="H6542" t="str">
        <f>"3250613183745"</f>
        <v>3250613183745</v>
      </c>
      <c r="J6542" t="s">
        <v>18233</v>
      </c>
    </row>
    <row r="6543" spans="1:10" x14ac:dyDescent="0.25">
      <c r="A6543" t="s">
        <v>8</v>
      </c>
      <c r="B6543" t="s">
        <v>18234</v>
      </c>
      <c r="C6543" t="s">
        <v>18235</v>
      </c>
      <c r="D6543">
        <v>1</v>
      </c>
      <c r="E6543" t="s">
        <v>18087</v>
      </c>
      <c r="F6543" t="s">
        <v>18088</v>
      </c>
      <c r="G6543" s="1"/>
      <c r="H6543" t="str">
        <f>"3250613183752"</f>
        <v>3250613183752</v>
      </c>
      <c r="J6543" t="s">
        <v>18233</v>
      </c>
    </row>
    <row r="6544" spans="1:10" x14ac:dyDescent="0.25">
      <c r="A6544" t="s">
        <v>8</v>
      </c>
      <c r="B6544" t="s">
        <v>18236</v>
      </c>
      <c r="C6544" t="s">
        <v>18237</v>
      </c>
      <c r="D6544">
        <v>1</v>
      </c>
      <c r="E6544" t="s">
        <v>18087</v>
      </c>
      <c r="F6544" t="s">
        <v>18088</v>
      </c>
      <c r="G6544" s="1"/>
      <c r="H6544" t="str">
        <f>"3250613183776"</f>
        <v>3250613183776</v>
      </c>
      <c r="J6544" t="s">
        <v>18233</v>
      </c>
    </row>
    <row r="6545" spans="1:10" x14ac:dyDescent="0.25">
      <c r="A6545" t="s">
        <v>8</v>
      </c>
      <c r="B6545" t="s">
        <v>18238</v>
      </c>
      <c r="C6545" t="s">
        <v>18239</v>
      </c>
      <c r="D6545">
        <v>1</v>
      </c>
      <c r="E6545" t="s">
        <v>18087</v>
      </c>
      <c r="F6545" t="s">
        <v>18088</v>
      </c>
      <c r="G6545" s="1"/>
      <c r="H6545" t="str">
        <f>"3250613183783"</f>
        <v>3250613183783</v>
      </c>
      <c r="J6545" t="s">
        <v>18233</v>
      </c>
    </row>
    <row r="6546" spans="1:10" x14ac:dyDescent="0.25">
      <c r="A6546" t="s">
        <v>8</v>
      </c>
      <c r="B6546" t="s">
        <v>18240</v>
      </c>
      <c r="C6546" t="s">
        <v>18241</v>
      </c>
      <c r="D6546">
        <v>1</v>
      </c>
      <c r="E6546" t="s">
        <v>18087</v>
      </c>
      <c r="F6546" t="s">
        <v>18088</v>
      </c>
      <c r="G6546" s="1"/>
      <c r="H6546" t="str">
        <f>"3250613166267"</f>
        <v>3250613166267</v>
      </c>
      <c r="J6546" t="s">
        <v>18133</v>
      </c>
    </row>
    <row r="6547" spans="1:10" x14ac:dyDescent="0.25">
      <c r="A6547" t="s">
        <v>8</v>
      </c>
      <c r="B6547" t="s">
        <v>18242</v>
      </c>
      <c r="C6547" t="s">
        <v>18243</v>
      </c>
      <c r="D6547">
        <v>1</v>
      </c>
      <c r="E6547" t="s">
        <v>18087</v>
      </c>
      <c r="F6547" t="s">
        <v>18088</v>
      </c>
      <c r="G6547" s="1"/>
      <c r="H6547" t="str">
        <f>"3250613166274"</f>
        <v>3250613166274</v>
      </c>
      <c r="J6547" t="s">
        <v>18136</v>
      </c>
    </row>
    <row r="6548" spans="1:10" x14ac:dyDescent="0.25">
      <c r="A6548" t="s">
        <v>8</v>
      </c>
      <c r="B6548" t="s">
        <v>18244</v>
      </c>
      <c r="C6548" t="s">
        <v>18245</v>
      </c>
      <c r="D6548">
        <v>1</v>
      </c>
      <c r="E6548" t="s">
        <v>18087</v>
      </c>
      <c r="F6548" t="s">
        <v>18088</v>
      </c>
      <c r="G6548" s="1"/>
      <c r="H6548" t="str">
        <f>"3250613151140"</f>
        <v>3250613151140</v>
      </c>
      <c r="J6548" t="s">
        <v>18139</v>
      </c>
    </row>
    <row r="6549" spans="1:10" x14ac:dyDescent="0.25">
      <c r="A6549" t="s">
        <v>8</v>
      </c>
      <c r="B6549" t="s">
        <v>18246</v>
      </c>
      <c r="C6549" t="s">
        <v>18247</v>
      </c>
      <c r="D6549">
        <v>1</v>
      </c>
      <c r="E6549" t="s">
        <v>18087</v>
      </c>
      <c r="F6549" t="s">
        <v>18088</v>
      </c>
      <c r="G6549" s="1"/>
      <c r="H6549" t="str">
        <f>"3250613235062"</f>
        <v>3250613235062</v>
      </c>
      <c r="J6549" t="s">
        <v>18151</v>
      </c>
    </row>
    <row r="6550" spans="1:10" x14ac:dyDescent="0.25">
      <c r="A6550" t="s">
        <v>8</v>
      </c>
      <c r="B6550" t="s">
        <v>18248</v>
      </c>
      <c r="C6550" t="s">
        <v>18249</v>
      </c>
      <c r="D6550">
        <v>1</v>
      </c>
      <c r="E6550" t="s">
        <v>18087</v>
      </c>
      <c r="F6550" t="s">
        <v>18088</v>
      </c>
      <c r="G6550" s="1"/>
      <c r="H6550" t="str">
        <f>"3250613183806"</f>
        <v>3250613183806</v>
      </c>
      <c r="J6550" t="s">
        <v>18156</v>
      </c>
    </row>
    <row r="6551" spans="1:10" x14ac:dyDescent="0.25">
      <c r="A6551" t="s">
        <v>8</v>
      </c>
      <c r="B6551" t="s">
        <v>18250</v>
      </c>
      <c r="C6551" t="s">
        <v>18251</v>
      </c>
      <c r="D6551">
        <v>1</v>
      </c>
      <c r="E6551" t="s">
        <v>18087</v>
      </c>
      <c r="F6551" t="s">
        <v>18088</v>
      </c>
      <c r="G6551" s="1"/>
      <c r="H6551" t="str">
        <f>"3250613183813"</f>
        <v>3250613183813</v>
      </c>
      <c r="J6551" t="s">
        <v>18233</v>
      </c>
    </row>
    <row r="6552" spans="1:10" x14ac:dyDescent="0.25">
      <c r="A6552" t="s">
        <v>8</v>
      </c>
      <c r="B6552" t="s">
        <v>18252</v>
      </c>
      <c r="C6552" t="s">
        <v>18253</v>
      </c>
      <c r="D6552">
        <v>1</v>
      </c>
      <c r="E6552" t="s">
        <v>18087</v>
      </c>
      <c r="F6552" t="s">
        <v>18088</v>
      </c>
      <c r="G6552" s="1"/>
      <c r="H6552" t="str">
        <f>"3250613183820"</f>
        <v>3250613183820</v>
      </c>
      <c r="J6552" t="s">
        <v>18233</v>
      </c>
    </row>
    <row r="6553" spans="1:10" x14ac:dyDescent="0.25">
      <c r="A6553" t="s">
        <v>8</v>
      </c>
      <c r="B6553" t="s">
        <v>18254</v>
      </c>
      <c r="C6553" t="s">
        <v>18255</v>
      </c>
      <c r="D6553">
        <v>1</v>
      </c>
      <c r="E6553" t="s">
        <v>18087</v>
      </c>
      <c r="F6553" t="s">
        <v>18088</v>
      </c>
      <c r="G6553" s="1"/>
      <c r="H6553" t="str">
        <f>"3250613183844"</f>
        <v>3250613183844</v>
      </c>
      <c r="J6553" t="s">
        <v>18233</v>
      </c>
    </row>
    <row r="6554" spans="1:10" x14ac:dyDescent="0.25">
      <c r="A6554" t="s">
        <v>8</v>
      </c>
      <c r="B6554" t="s">
        <v>18256</v>
      </c>
      <c r="C6554" t="s">
        <v>18257</v>
      </c>
      <c r="D6554">
        <v>1</v>
      </c>
      <c r="E6554" t="s">
        <v>18087</v>
      </c>
      <c r="F6554" t="s">
        <v>18088</v>
      </c>
      <c r="G6554" s="1"/>
      <c r="H6554" t="str">
        <f>"3250613232917"</f>
        <v>3250613232917</v>
      </c>
      <c r="J6554" t="s">
        <v>18184</v>
      </c>
    </row>
    <row r="6555" spans="1:10" x14ac:dyDescent="0.25">
      <c r="A6555" t="s">
        <v>8</v>
      </c>
      <c r="B6555" t="s">
        <v>18258</v>
      </c>
      <c r="C6555" t="s">
        <v>18259</v>
      </c>
      <c r="D6555">
        <v>1</v>
      </c>
      <c r="E6555" t="s">
        <v>18087</v>
      </c>
      <c r="F6555" t="s">
        <v>18088</v>
      </c>
      <c r="G6555" s="1"/>
      <c r="H6555" t="str">
        <f>"3250613235079"</f>
        <v>3250613235079</v>
      </c>
      <c r="J6555" t="s">
        <v>18136</v>
      </c>
    </row>
    <row r="6556" spans="1:10" x14ac:dyDescent="0.25">
      <c r="A6556" t="s">
        <v>8</v>
      </c>
      <c r="B6556" t="s">
        <v>18260</v>
      </c>
      <c r="C6556" t="s">
        <v>18261</v>
      </c>
      <c r="D6556">
        <v>1</v>
      </c>
      <c r="E6556" t="s">
        <v>18087</v>
      </c>
      <c r="F6556" t="s">
        <v>18088</v>
      </c>
      <c r="G6556" s="1"/>
      <c r="H6556" t="str">
        <f>"3250613235086"</f>
        <v>3250613235086</v>
      </c>
      <c r="J6556" t="s">
        <v>18187</v>
      </c>
    </row>
    <row r="6557" spans="1:10" x14ac:dyDescent="0.25">
      <c r="A6557" t="s">
        <v>8</v>
      </c>
      <c r="B6557" t="s">
        <v>18262</v>
      </c>
      <c r="C6557" t="s">
        <v>18263</v>
      </c>
      <c r="D6557">
        <v>1</v>
      </c>
      <c r="E6557" t="s">
        <v>18087</v>
      </c>
      <c r="F6557" t="s">
        <v>18088</v>
      </c>
      <c r="G6557" s="1"/>
      <c r="H6557" t="str">
        <f>"3250613122997"</f>
        <v>3250613122997</v>
      </c>
      <c r="J6557" t="s">
        <v>18148</v>
      </c>
    </row>
    <row r="6558" spans="1:10" x14ac:dyDescent="0.25">
      <c r="A6558" t="s">
        <v>8</v>
      </c>
      <c r="B6558" t="s">
        <v>18264</v>
      </c>
      <c r="C6558" t="s">
        <v>18265</v>
      </c>
      <c r="D6558">
        <v>1</v>
      </c>
      <c r="E6558" t="s">
        <v>18087</v>
      </c>
      <c r="F6558" t="s">
        <v>18088</v>
      </c>
      <c r="G6558" s="1"/>
      <c r="H6558" t="str">
        <f>"3250613123000"</f>
        <v>3250613123000</v>
      </c>
      <c r="J6558" t="s">
        <v>18266</v>
      </c>
    </row>
    <row r="6559" spans="1:10" x14ac:dyDescent="0.25">
      <c r="A6559" t="s">
        <v>8</v>
      </c>
      <c r="B6559" t="s">
        <v>18267</v>
      </c>
      <c r="C6559" t="s">
        <v>18268</v>
      </c>
      <c r="D6559">
        <v>1</v>
      </c>
      <c r="E6559" t="s">
        <v>18087</v>
      </c>
      <c r="F6559" t="s">
        <v>18088</v>
      </c>
      <c r="G6559" s="1"/>
      <c r="H6559" t="str">
        <f>"3250613235116"</f>
        <v>3250613235116</v>
      </c>
      <c r="J6559" t="s">
        <v>18190</v>
      </c>
    </row>
    <row r="6560" spans="1:10" x14ac:dyDescent="0.25">
      <c r="A6560" t="s">
        <v>8</v>
      </c>
      <c r="B6560" t="s">
        <v>18269</v>
      </c>
      <c r="C6560" t="s">
        <v>18270</v>
      </c>
      <c r="D6560">
        <v>1</v>
      </c>
      <c r="E6560" t="s">
        <v>18087</v>
      </c>
      <c r="F6560" t="s">
        <v>18088</v>
      </c>
      <c r="G6560" s="1"/>
      <c r="H6560" t="str">
        <f>"3250613235123"</f>
        <v>3250613235123</v>
      </c>
      <c r="J6560" t="s">
        <v>18190</v>
      </c>
    </row>
    <row r="6561" spans="1:10" x14ac:dyDescent="0.25">
      <c r="A6561" t="s">
        <v>8</v>
      </c>
      <c r="B6561" t="s">
        <v>18271</v>
      </c>
      <c r="C6561" t="s">
        <v>18272</v>
      </c>
      <c r="D6561">
        <v>1</v>
      </c>
      <c r="E6561" t="s">
        <v>18087</v>
      </c>
      <c r="F6561" t="s">
        <v>18088</v>
      </c>
      <c r="G6561" s="1"/>
      <c r="H6561" t="str">
        <f>"3250613183967"</f>
        <v>3250613183967</v>
      </c>
      <c r="J6561" t="s">
        <v>18139</v>
      </c>
    </row>
    <row r="6562" spans="1:10" x14ac:dyDescent="0.25">
      <c r="A6562" t="s">
        <v>8</v>
      </c>
      <c r="B6562" t="s">
        <v>18273</v>
      </c>
      <c r="C6562" t="s">
        <v>18274</v>
      </c>
      <c r="D6562">
        <v>1</v>
      </c>
      <c r="E6562" t="s">
        <v>18087</v>
      </c>
      <c r="F6562" t="s">
        <v>18088</v>
      </c>
      <c r="G6562" s="1"/>
      <c r="H6562" t="str">
        <f>"3250613143633"</f>
        <v>3250613143633</v>
      </c>
      <c r="J6562" t="s">
        <v>18200</v>
      </c>
    </row>
    <row r="6563" spans="1:10" x14ac:dyDescent="0.25">
      <c r="A6563" t="s">
        <v>8</v>
      </c>
      <c r="B6563" t="s">
        <v>18275</v>
      </c>
      <c r="C6563" t="s">
        <v>18276</v>
      </c>
      <c r="D6563">
        <v>1</v>
      </c>
      <c r="E6563" t="s">
        <v>18087</v>
      </c>
      <c r="F6563" t="s">
        <v>18088</v>
      </c>
      <c r="G6563" s="1"/>
      <c r="H6563" t="str">
        <f>"3250613119638"</f>
        <v>3250613119638</v>
      </c>
      <c r="J6563" t="s">
        <v>18277</v>
      </c>
    </row>
    <row r="6564" spans="1:10" x14ac:dyDescent="0.25">
      <c r="A6564" t="s">
        <v>8</v>
      </c>
      <c r="B6564" t="s">
        <v>18278</v>
      </c>
      <c r="C6564" t="s">
        <v>18279</v>
      </c>
      <c r="D6564">
        <v>1</v>
      </c>
      <c r="E6564" t="s">
        <v>18087</v>
      </c>
      <c r="F6564" t="s">
        <v>18088</v>
      </c>
      <c r="G6564" s="1"/>
      <c r="H6564" t="str">
        <f>"3250613232160"</f>
        <v>3250613232160</v>
      </c>
      <c r="J6564" t="s">
        <v>18280</v>
      </c>
    </row>
    <row r="6565" spans="1:10" x14ac:dyDescent="0.25">
      <c r="A6565" t="s">
        <v>8</v>
      </c>
      <c r="B6565" t="s">
        <v>18281</v>
      </c>
      <c r="C6565" t="s">
        <v>18282</v>
      </c>
      <c r="D6565">
        <v>1</v>
      </c>
      <c r="E6565" t="s">
        <v>18087</v>
      </c>
      <c r="F6565" t="s">
        <v>18088</v>
      </c>
      <c r="G6565" s="1"/>
      <c r="H6565" t="str">
        <f>"3250613232306"</f>
        <v>3250613232306</v>
      </c>
      <c r="J6565" t="s">
        <v>18098</v>
      </c>
    </row>
    <row r="6566" spans="1:10" x14ac:dyDescent="0.25">
      <c r="A6566" t="s">
        <v>8</v>
      </c>
      <c r="B6566" t="s">
        <v>18283</v>
      </c>
      <c r="C6566" t="s">
        <v>18284</v>
      </c>
      <c r="D6566">
        <v>1</v>
      </c>
      <c r="E6566" t="s">
        <v>18087</v>
      </c>
      <c r="F6566" t="s">
        <v>18088</v>
      </c>
      <c r="G6566" s="1"/>
      <c r="H6566" t="str">
        <f>"3250613232313"</f>
        <v>3250613232313</v>
      </c>
      <c r="J6566" t="s">
        <v>18098</v>
      </c>
    </row>
    <row r="6567" spans="1:10" x14ac:dyDescent="0.25">
      <c r="A6567" t="s">
        <v>8</v>
      </c>
      <c r="B6567" t="s">
        <v>18285</v>
      </c>
      <c r="C6567" t="s">
        <v>18286</v>
      </c>
      <c r="D6567">
        <v>1</v>
      </c>
      <c r="E6567" t="s">
        <v>18087</v>
      </c>
      <c r="F6567" t="s">
        <v>18088</v>
      </c>
      <c r="G6567" s="1"/>
      <c r="H6567" t="str">
        <f>"3250613239558"</f>
        <v>3250613239558</v>
      </c>
      <c r="J6567" t="s">
        <v>18287</v>
      </c>
    </row>
    <row r="6568" spans="1:10" x14ac:dyDescent="0.25">
      <c r="A6568" t="s">
        <v>8</v>
      </c>
      <c r="B6568" t="s">
        <v>18288</v>
      </c>
      <c r="C6568" t="s">
        <v>18289</v>
      </c>
      <c r="D6568">
        <v>1</v>
      </c>
      <c r="E6568" t="s">
        <v>18087</v>
      </c>
      <c r="F6568" t="s">
        <v>18088</v>
      </c>
      <c r="G6568" s="1"/>
      <c r="H6568" t="str">
        <f>"3250613239565"</f>
        <v>3250613239565</v>
      </c>
      <c r="J6568" t="s">
        <v>18287</v>
      </c>
    </row>
    <row r="6569" spans="1:10" x14ac:dyDescent="0.25">
      <c r="A6569" t="s">
        <v>8</v>
      </c>
      <c r="B6569" t="s">
        <v>18290</v>
      </c>
      <c r="C6569" t="s">
        <v>18291</v>
      </c>
      <c r="D6569">
        <v>1</v>
      </c>
      <c r="E6569" t="s">
        <v>18087</v>
      </c>
      <c r="F6569" t="s">
        <v>18088</v>
      </c>
      <c r="G6569" s="1"/>
      <c r="H6569" t="str">
        <f>"3250613239572"</f>
        <v>3250613239572</v>
      </c>
      <c r="J6569" t="s">
        <v>18287</v>
      </c>
    </row>
    <row r="6570" spans="1:10" x14ac:dyDescent="0.25">
      <c r="A6570" t="s">
        <v>8</v>
      </c>
      <c r="B6570" t="s">
        <v>18292</v>
      </c>
      <c r="C6570" t="s">
        <v>18293</v>
      </c>
      <c r="D6570">
        <v>1</v>
      </c>
      <c r="E6570" t="s">
        <v>18087</v>
      </c>
      <c r="F6570" t="s">
        <v>18088</v>
      </c>
      <c r="G6570" s="1"/>
      <c r="H6570" t="str">
        <f>"3250613239589"</f>
        <v>3250613239589</v>
      </c>
      <c r="J6570" t="s">
        <v>18287</v>
      </c>
    </row>
    <row r="6571" spans="1:10" x14ac:dyDescent="0.25">
      <c r="A6571" t="s">
        <v>8</v>
      </c>
      <c r="B6571" t="s">
        <v>18294</v>
      </c>
      <c r="C6571" t="s">
        <v>18295</v>
      </c>
      <c r="D6571">
        <v>1</v>
      </c>
      <c r="E6571" t="s">
        <v>18087</v>
      </c>
      <c r="F6571" t="s">
        <v>18088</v>
      </c>
      <c r="G6571" s="1"/>
      <c r="H6571" t="str">
        <f>"3250613239596"</f>
        <v>3250613239596</v>
      </c>
      <c r="J6571" t="s">
        <v>18287</v>
      </c>
    </row>
    <row r="6572" spans="1:10" x14ac:dyDescent="0.25">
      <c r="A6572" t="s">
        <v>8</v>
      </c>
      <c r="B6572" t="s">
        <v>18296</v>
      </c>
      <c r="C6572" t="s">
        <v>18297</v>
      </c>
      <c r="D6572">
        <v>1</v>
      </c>
      <c r="E6572" t="s">
        <v>18087</v>
      </c>
      <c r="F6572" t="s">
        <v>18088</v>
      </c>
      <c r="G6572" s="1"/>
      <c r="H6572" t="str">
        <f>"3250613239602"</f>
        <v>3250613239602</v>
      </c>
      <c r="J6572" t="s">
        <v>18287</v>
      </c>
    </row>
    <row r="6573" spans="1:10" x14ac:dyDescent="0.25">
      <c r="A6573" t="s">
        <v>8</v>
      </c>
      <c r="B6573" t="s">
        <v>18298</v>
      </c>
      <c r="C6573" t="s">
        <v>18299</v>
      </c>
      <c r="D6573">
        <v>1</v>
      </c>
      <c r="E6573" t="s">
        <v>18087</v>
      </c>
      <c r="F6573" t="s">
        <v>18088</v>
      </c>
      <c r="G6573" s="1"/>
      <c r="H6573" t="str">
        <f>"3250613239619"</f>
        <v>3250613239619</v>
      </c>
      <c r="J6573" t="s">
        <v>18287</v>
      </c>
    </row>
    <row r="6574" spans="1:10" x14ac:dyDescent="0.25">
      <c r="A6574" t="s">
        <v>8</v>
      </c>
      <c r="B6574" t="s">
        <v>18300</v>
      </c>
      <c r="C6574" t="s">
        <v>18301</v>
      </c>
      <c r="D6574">
        <v>1</v>
      </c>
      <c r="E6574" t="s">
        <v>18087</v>
      </c>
      <c r="F6574" t="s">
        <v>18088</v>
      </c>
      <c r="G6574" s="1"/>
      <c r="H6574" t="str">
        <f>"3250613239626"</f>
        <v>3250613239626</v>
      </c>
      <c r="J6574" t="s">
        <v>18287</v>
      </c>
    </row>
    <row r="6575" spans="1:10" x14ac:dyDescent="0.25">
      <c r="A6575" t="s">
        <v>8</v>
      </c>
      <c r="B6575" t="s">
        <v>18302</v>
      </c>
      <c r="C6575" t="s">
        <v>18303</v>
      </c>
      <c r="D6575">
        <v>1</v>
      </c>
      <c r="E6575" t="s">
        <v>18087</v>
      </c>
      <c r="F6575" t="s">
        <v>18088</v>
      </c>
      <c r="G6575" s="1"/>
      <c r="H6575" t="str">
        <f>"3250613239794"</f>
        <v>3250613239794</v>
      </c>
      <c r="J6575" t="s">
        <v>18304</v>
      </c>
    </row>
    <row r="6576" spans="1:10" x14ac:dyDescent="0.25">
      <c r="A6576" t="s">
        <v>8</v>
      </c>
      <c r="B6576" t="s">
        <v>18305</v>
      </c>
      <c r="C6576" t="s">
        <v>18306</v>
      </c>
      <c r="D6576">
        <v>1</v>
      </c>
      <c r="E6576" t="s">
        <v>18087</v>
      </c>
      <c r="F6576" t="s">
        <v>18088</v>
      </c>
      <c r="G6576" s="1"/>
      <c r="H6576" t="str">
        <f>"3250613239800"</f>
        <v>3250613239800</v>
      </c>
      <c r="J6576" t="s">
        <v>18304</v>
      </c>
    </row>
    <row r="6577" spans="1:10" x14ac:dyDescent="0.25">
      <c r="A6577" t="s">
        <v>8</v>
      </c>
      <c r="B6577" t="s">
        <v>18307</v>
      </c>
      <c r="C6577" t="s">
        <v>18308</v>
      </c>
      <c r="D6577">
        <v>1</v>
      </c>
      <c r="E6577" t="s">
        <v>18087</v>
      </c>
      <c r="F6577" t="s">
        <v>18088</v>
      </c>
      <c r="G6577" s="1"/>
      <c r="H6577" t="str">
        <f>"3250613239817"</f>
        <v>3250613239817</v>
      </c>
      <c r="J6577" t="s">
        <v>18304</v>
      </c>
    </row>
    <row r="6578" spans="1:10" x14ac:dyDescent="0.25">
      <c r="A6578" t="s">
        <v>8</v>
      </c>
      <c r="B6578" t="s">
        <v>18309</v>
      </c>
      <c r="C6578" t="s">
        <v>18310</v>
      </c>
      <c r="D6578">
        <v>1</v>
      </c>
      <c r="E6578" t="s">
        <v>18087</v>
      </c>
      <c r="F6578" t="s">
        <v>18088</v>
      </c>
      <c r="G6578" s="1"/>
      <c r="H6578" t="str">
        <f>"3250613239824"</f>
        <v>3250613239824</v>
      </c>
      <c r="J6578" t="s">
        <v>18304</v>
      </c>
    </row>
    <row r="6579" spans="1:10" x14ac:dyDescent="0.25">
      <c r="A6579" t="s">
        <v>8</v>
      </c>
      <c r="B6579" t="s">
        <v>18311</v>
      </c>
      <c r="C6579" t="s">
        <v>18312</v>
      </c>
      <c r="D6579">
        <v>1</v>
      </c>
      <c r="E6579" t="s">
        <v>18087</v>
      </c>
      <c r="F6579" t="s">
        <v>18088</v>
      </c>
      <c r="G6579" s="1"/>
      <c r="H6579" t="str">
        <f>"3250613239831"</f>
        <v>3250613239831</v>
      </c>
      <c r="J6579" t="s">
        <v>18304</v>
      </c>
    </row>
    <row r="6580" spans="1:10" x14ac:dyDescent="0.25">
      <c r="A6580" t="s">
        <v>8</v>
      </c>
      <c r="B6580" t="s">
        <v>18313</v>
      </c>
      <c r="C6580" t="s">
        <v>18314</v>
      </c>
      <c r="D6580">
        <v>1</v>
      </c>
      <c r="E6580" t="s">
        <v>18087</v>
      </c>
      <c r="F6580" t="s">
        <v>18088</v>
      </c>
      <c r="G6580" s="1"/>
      <c r="H6580" t="str">
        <f>"3250613239848"</f>
        <v>3250613239848</v>
      </c>
      <c r="J6580" t="s">
        <v>18304</v>
      </c>
    </row>
    <row r="6581" spans="1:10" x14ac:dyDescent="0.25">
      <c r="A6581" t="s">
        <v>8</v>
      </c>
      <c r="B6581" t="s">
        <v>18315</v>
      </c>
      <c r="C6581" t="s">
        <v>18316</v>
      </c>
      <c r="D6581">
        <v>1</v>
      </c>
      <c r="E6581" t="s">
        <v>18087</v>
      </c>
      <c r="F6581" t="s">
        <v>18088</v>
      </c>
      <c r="G6581" s="1"/>
      <c r="H6581" t="str">
        <f>"3250613239855"</f>
        <v>3250613239855</v>
      </c>
      <c r="J6581" t="s">
        <v>18304</v>
      </c>
    </row>
    <row r="6582" spans="1:10" x14ac:dyDescent="0.25">
      <c r="A6582" t="s">
        <v>8</v>
      </c>
      <c r="B6582" t="s">
        <v>18317</v>
      </c>
      <c r="C6582" t="s">
        <v>18318</v>
      </c>
      <c r="D6582">
        <v>1</v>
      </c>
      <c r="E6582" t="s">
        <v>18087</v>
      </c>
      <c r="F6582" t="s">
        <v>18088</v>
      </c>
      <c r="G6582" s="1"/>
      <c r="H6582" t="str">
        <f>"3250613239862"</f>
        <v>3250613239862</v>
      </c>
      <c r="J6582" t="s">
        <v>18304</v>
      </c>
    </row>
    <row r="6583" spans="1:10" x14ac:dyDescent="0.25">
      <c r="A6583" t="s">
        <v>8</v>
      </c>
      <c r="B6583" t="s">
        <v>18319</v>
      </c>
      <c r="C6583" t="s">
        <v>18320</v>
      </c>
      <c r="D6583">
        <v>1</v>
      </c>
      <c r="E6583" t="s">
        <v>18087</v>
      </c>
      <c r="F6583" t="s">
        <v>18088</v>
      </c>
      <c r="G6583" s="1"/>
      <c r="H6583" t="str">
        <f>"3250613123093"</f>
        <v>3250613123093</v>
      </c>
      <c r="J6583" t="s">
        <v>18148</v>
      </c>
    </row>
    <row r="6584" spans="1:10" x14ac:dyDescent="0.25">
      <c r="A6584" t="s">
        <v>8</v>
      </c>
      <c r="B6584" t="s">
        <v>18321</v>
      </c>
      <c r="C6584" t="s">
        <v>18322</v>
      </c>
      <c r="D6584">
        <v>1</v>
      </c>
      <c r="E6584" t="s">
        <v>18087</v>
      </c>
      <c r="F6584" t="s">
        <v>18088</v>
      </c>
      <c r="G6584" s="1"/>
      <c r="H6584" t="str">
        <f>"3250613232870"</f>
        <v>3250613232870</v>
      </c>
      <c r="J6584" t="s">
        <v>18323</v>
      </c>
    </row>
    <row r="6585" spans="1:10" x14ac:dyDescent="0.25">
      <c r="A6585" t="s">
        <v>8</v>
      </c>
      <c r="B6585" t="s">
        <v>18324</v>
      </c>
      <c r="C6585" t="s">
        <v>18325</v>
      </c>
      <c r="D6585">
        <v>1</v>
      </c>
      <c r="E6585" t="s">
        <v>18087</v>
      </c>
      <c r="F6585" t="s">
        <v>18088</v>
      </c>
      <c r="G6585" s="1"/>
      <c r="H6585" t="str">
        <f>"3250613234249"</f>
        <v>3250613234249</v>
      </c>
      <c r="J6585" t="s">
        <v>18326</v>
      </c>
    </row>
    <row r="6586" spans="1:10" x14ac:dyDescent="0.25">
      <c r="A6586" t="s">
        <v>8</v>
      </c>
      <c r="B6586" t="s">
        <v>18327</v>
      </c>
      <c r="C6586" t="s">
        <v>18328</v>
      </c>
      <c r="D6586">
        <v>1</v>
      </c>
      <c r="E6586" t="s">
        <v>18087</v>
      </c>
      <c r="F6586" t="s">
        <v>18088</v>
      </c>
      <c r="G6586" s="1"/>
      <c r="H6586" t="str">
        <f>"3250613183875"</f>
        <v>3250613183875</v>
      </c>
      <c r="J6586" t="s">
        <v>18329</v>
      </c>
    </row>
    <row r="6587" spans="1:10" x14ac:dyDescent="0.25">
      <c r="A6587" t="s">
        <v>8</v>
      </c>
      <c r="B6587" t="s">
        <v>18330</v>
      </c>
      <c r="C6587" t="s">
        <v>18331</v>
      </c>
      <c r="D6587">
        <v>1</v>
      </c>
      <c r="E6587" t="s">
        <v>18087</v>
      </c>
      <c r="F6587" t="s">
        <v>18088</v>
      </c>
      <c r="G6587" s="1"/>
      <c r="H6587" t="str">
        <f>"3250613183882"</f>
        <v>3250613183882</v>
      </c>
      <c r="J6587" t="s">
        <v>18332</v>
      </c>
    </row>
    <row r="6588" spans="1:10" x14ac:dyDescent="0.25">
      <c r="A6588" t="s">
        <v>8</v>
      </c>
      <c r="B6588" t="s">
        <v>18333</v>
      </c>
      <c r="C6588" t="s">
        <v>18334</v>
      </c>
      <c r="D6588">
        <v>1</v>
      </c>
      <c r="E6588" t="s">
        <v>18087</v>
      </c>
      <c r="F6588" t="s">
        <v>18088</v>
      </c>
      <c r="G6588" s="1"/>
      <c r="H6588" t="str">
        <f>"3250613183912"</f>
        <v>3250613183912</v>
      </c>
      <c r="J6588" t="s">
        <v>18329</v>
      </c>
    </row>
    <row r="6589" spans="1:10" x14ac:dyDescent="0.25">
      <c r="A6589" t="s">
        <v>8</v>
      </c>
      <c r="B6589" t="s">
        <v>18335</v>
      </c>
      <c r="C6589" t="s">
        <v>18336</v>
      </c>
      <c r="D6589">
        <v>1</v>
      </c>
      <c r="E6589" t="s">
        <v>18087</v>
      </c>
      <c r="F6589" t="s">
        <v>18088</v>
      </c>
      <c r="G6589" s="1"/>
      <c r="H6589" t="str">
        <f>"3250613183929"</f>
        <v>3250613183929</v>
      </c>
      <c r="J6589" t="s">
        <v>18332</v>
      </c>
    </row>
    <row r="6590" spans="1:10" x14ac:dyDescent="0.25">
      <c r="A6590" t="s">
        <v>8</v>
      </c>
      <c r="B6590" t="s">
        <v>18337</v>
      </c>
      <c r="C6590" t="s">
        <v>18338</v>
      </c>
      <c r="D6590">
        <v>1</v>
      </c>
      <c r="E6590" t="s">
        <v>18087</v>
      </c>
      <c r="F6590" t="s">
        <v>18088</v>
      </c>
      <c r="G6590" s="1"/>
      <c r="H6590" t="str">
        <f>"3250613220112"</f>
        <v>3250613220112</v>
      </c>
      <c r="J6590" t="s">
        <v>18339</v>
      </c>
    </row>
    <row r="6591" spans="1:10" x14ac:dyDescent="0.25">
      <c r="A6591" t="s">
        <v>8</v>
      </c>
      <c r="B6591" t="s">
        <v>18340</v>
      </c>
      <c r="C6591" t="s">
        <v>18341</v>
      </c>
      <c r="D6591">
        <v>1</v>
      </c>
      <c r="E6591" t="s">
        <v>18087</v>
      </c>
      <c r="F6591" t="s">
        <v>18088</v>
      </c>
      <c r="G6591" s="1"/>
      <c r="H6591" t="str">
        <f>"3250613220143"</f>
        <v>3250613220143</v>
      </c>
      <c r="J6591" t="s">
        <v>18342</v>
      </c>
    </row>
    <row r="6592" spans="1:10" x14ac:dyDescent="0.25">
      <c r="A6592" t="s">
        <v>8</v>
      </c>
      <c r="B6592" t="s">
        <v>18343</v>
      </c>
      <c r="C6592" t="s">
        <v>18344</v>
      </c>
      <c r="D6592">
        <v>1</v>
      </c>
      <c r="E6592" t="s">
        <v>18087</v>
      </c>
      <c r="F6592" t="s">
        <v>18088</v>
      </c>
      <c r="G6592" s="1"/>
      <c r="H6592" t="str">
        <f>"3250613151287"</f>
        <v>3250613151287</v>
      </c>
      <c r="J6592" t="s">
        <v>18133</v>
      </c>
    </row>
    <row r="6593" spans="1:10" x14ac:dyDescent="0.25">
      <c r="A6593" t="s">
        <v>8</v>
      </c>
      <c r="B6593" t="s">
        <v>18345</v>
      </c>
      <c r="C6593" t="s">
        <v>18346</v>
      </c>
      <c r="D6593">
        <v>1</v>
      </c>
      <c r="E6593" t="s">
        <v>18087</v>
      </c>
      <c r="F6593" t="s">
        <v>18088</v>
      </c>
      <c r="G6593" s="1"/>
      <c r="H6593" t="str">
        <f>"3250613151294"</f>
        <v>3250613151294</v>
      </c>
      <c r="J6593" t="s">
        <v>18136</v>
      </c>
    </row>
    <row r="6594" spans="1:10" x14ac:dyDescent="0.25">
      <c r="A6594" t="s">
        <v>8</v>
      </c>
      <c r="B6594" t="s">
        <v>18347</v>
      </c>
      <c r="C6594" t="s">
        <v>18348</v>
      </c>
      <c r="D6594">
        <v>1</v>
      </c>
      <c r="E6594" t="s">
        <v>18087</v>
      </c>
      <c r="F6594" t="s">
        <v>18088</v>
      </c>
      <c r="G6594" s="1"/>
      <c r="H6594" t="str">
        <f>"3250613123109"</f>
        <v>3250613123109</v>
      </c>
      <c r="J6594" t="s">
        <v>18349</v>
      </c>
    </row>
    <row r="6595" spans="1:10" x14ac:dyDescent="0.25">
      <c r="A6595" t="s">
        <v>8</v>
      </c>
      <c r="B6595" t="s">
        <v>18350</v>
      </c>
      <c r="C6595" t="s">
        <v>18351</v>
      </c>
      <c r="D6595">
        <v>1</v>
      </c>
      <c r="E6595" t="s">
        <v>18087</v>
      </c>
      <c r="F6595" t="s">
        <v>18088</v>
      </c>
      <c r="G6595" s="1"/>
      <c r="H6595" t="str">
        <f>"3250613235093"</f>
        <v>3250613235093</v>
      </c>
      <c r="J6595" t="s">
        <v>18349</v>
      </c>
    </row>
    <row r="6596" spans="1:10" x14ac:dyDescent="0.25">
      <c r="A6596" t="s">
        <v>8</v>
      </c>
      <c r="B6596" t="s">
        <v>18352</v>
      </c>
      <c r="C6596" t="s">
        <v>18353</v>
      </c>
      <c r="D6596">
        <v>1</v>
      </c>
      <c r="E6596" t="s">
        <v>18087</v>
      </c>
      <c r="F6596" t="s">
        <v>18088</v>
      </c>
      <c r="G6596" s="1"/>
      <c r="H6596" t="str">
        <f>"3250613235109"</f>
        <v>3250613235109</v>
      </c>
      <c r="J6596" t="s">
        <v>18354</v>
      </c>
    </row>
    <row r="6597" spans="1:10" x14ac:dyDescent="0.25">
      <c r="A6597" t="s">
        <v>8</v>
      </c>
      <c r="B6597" t="s">
        <v>18355</v>
      </c>
      <c r="C6597" t="s">
        <v>18356</v>
      </c>
      <c r="D6597">
        <v>1</v>
      </c>
      <c r="E6597" t="s">
        <v>18357</v>
      </c>
      <c r="F6597" t="s">
        <v>18358</v>
      </c>
      <c r="G6597" s="1"/>
      <c r="H6597" t="str">
        <f>"3250613235666"</f>
        <v>3250613235666</v>
      </c>
      <c r="J6597" t="s">
        <v>18359</v>
      </c>
    </row>
    <row r="6598" spans="1:10" x14ac:dyDescent="0.25">
      <c r="A6598" t="s">
        <v>8</v>
      </c>
      <c r="B6598" t="s">
        <v>18360</v>
      </c>
      <c r="C6598" t="s">
        <v>18361</v>
      </c>
      <c r="D6598">
        <v>1</v>
      </c>
      <c r="E6598" t="s">
        <v>18357</v>
      </c>
      <c r="F6598" t="s">
        <v>18358</v>
      </c>
      <c r="G6598" s="1"/>
      <c r="H6598" t="str">
        <f>"3250613235680"</f>
        <v>3250613235680</v>
      </c>
      <c r="J6598" t="s">
        <v>18359</v>
      </c>
    </row>
    <row r="6599" spans="1:10" x14ac:dyDescent="0.25">
      <c r="A6599" t="s">
        <v>8</v>
      </c>
      <c r="B6599" t="s">
        <v>18362</v>
      </c>
      <c r="C6599" t="s">
        <v>18363</v>
      </c>
      <c r="D6599">
        <v>1</v>
      </c>
      <c r="E6599" t="s">
        <v>18357</v>
      </c>
      <c r="F6599" t="s">
        <v>18358</v>
      </c>
      <c r="G6599" s="1"/>
      <c r="H6599" t="str">
        <f>"3250613235703"</f>
        <v>3250613235703</v>
      </c>
      <c r="J6599" t="s">
        <v>18364</v>
      </c>
    </row>
    <row r="6600" spans="1:10" x14ac:dyDescent="0.25">
      <c r="A6600" t="s">
        <v>8</v>
      </c>
      <c r="B6600" t="s">
        <v>18365</v>
      </c>
      <c r="C6600" t="s">
        <v>18366</v>
      </c>
      <c r="D6600">
        <v>1</v>
      </c>
      <c r="E6600" t="s">
        <v>18357</v>
      </c>
      <c r="F6600" t="s">
        <v>18358</v>
      </c>
      <c r="G6600" s="1"/>
      <c r="H6600" t="str">
        <f>"3250613235727"</f>
        <v>3250613235727</v>
      </c>
      <c r="J6600" t="s">
        <v>18364</v>
      </c>
    </row>
    <row r="6601" spans="1:10" x14ac:dyDescent="0.25">
      <c r="A6601" t="s">
        <v>8</v>
      </c>
      <c r="B6601" t="s">
        <v>18367</v>
      </c>
      <c r="C6601" t="s">
        <v>18368</v>
      </c>
      <c r="D6601">
        <v>1</v>
      </c>
      <c r="E6601" t="s">
        <v>18357</v>
      </c>
      <c r="F6601" t="s">
        <v>18358</v>
      </c>
      <c r="G6601" s="1"/>
      <c r="H6601" t="str">
        <f>"3250613235741"</f>
        <v>3250613235741</v>
      </c>
      <c r="J6601" t="s">
        <v>18369</v>
      </c>
    </row>
    <row r="6602" spans="1:10" x14ac:dyDescent="0.25">
      <c r="A6602" t="s">
        <v>8</v>
      </c>
      <c r="B6602" t="s">
        <v>18370</v>
      </c>
      <c r="C6602" t="s">
        <v>18371</v>
      </c>
      <c r="D6602">
        <v>1</v>
      </c>
      <c r="E6602" t="s">
        <v>18357</v>
      </c>
      <c r="F6602" t="s">
        <v>18358</v>
      </c>
      <c r="G6602" s="1"/>
      <c r="H6602" t="str">
        <f>"3250613235765"</f>
        <v>3250613235765</v>
      </c>
      <c r="J6602" t="s">
        <v>18369</v>
      </c>
    </row>
    <row r="6603" spans="1:10" x14ac:dyDescent="0.25">
      <c r="A6603" t="s">
        <v>8</v>
      </c>
      <c r="B6603" t="s">
        <v>18372</v>
      </c>
      <c r="C6603" t="s">
        <v>18373</v>
      </c>
      <c r="D6603">
        <v>1</v>
      </c>
      <c r="E6603" t="s">
        <v>18357</v>
      </c>
      <c r="F6603" t="s">
        <v>18358</v>
      </c>
      <c r="G6603" s="1"/>
      <c r="H6603" t="str">
        <f>"3250613235789"</f>
        <v>3250613235789</v>
      </c>
      <c r="J6603" t="s">
        <v>18374</v>
      </c>
    </row>
    <row r="6604" spans="1:10" x14ac:dyDescent="0.25">
      <c r="A6604" t="s">
        <v>8</v>
      </c>
      <c r="B6604" t="s">
        <v>18375</v>
      </c>
      <c r="C6604" t="s">
        <v>18376</v>
      </c>
      <c r="D6604">
        <v>1</v>
      </c>
      <c r="E6604" t="s">
        <v>18357</v>
      </c>
      <c r="F6604" t="s">
        <v>18358</v>
      </c>
      <c r="G6604" s="1"/>
      <c r="H6604" t="str">
        <f>"3250613235802"</f>
        <v>3250613235802</v>
      </c>
      <c r="J6604" t="s">
        <v>18374</v>
      </c>
    </row>
    <row r="6605" spans="1:10" x14ac:dyDescent="0.25">
      <c r="A6605" t="s">
        <v>8</v>
      </c>
      <c r="B6605" t="s">
        <v>18377</v>
      </c>
      <c r="C6605" t="s">
        <v>18378</v>
      </c>
      <c r="D6605">
        <v>1</v>
      </c>
      <c r="E6605" t="s">
        <v>18357</v>
      </c>
      <c r="F6605" t="s">
        <v>18358</v>
      </c>
      <c r="G6605" s="1"/>
      <c r="H6605" t="str">
        <f>"3250613235901"</f>
        <v>3250613235901</v>
      </c>
      <c r="J6605" t="s">
        <v>18379</v>
      </c>
    </row>
    <row r="6606" spans="1:10" x14ac:dyDescent="0.25">
      <c r="A6606" t="s">
        <v>8</v>
      </c>
      <c r="B6606" t="s">
        <v>18380</v>
      </c>
      <c r="C6606" t="s">
        <v>18381</v>
      </c>
      <c r="D6606">
        <v>1</v>
      </c>
      <c r="E6606" t="s">
        <v>18357</v>
      </c>
      <c r="F6606" t="s">
        <v>18358</v>
      </c>
      <c r="G6606" s="1"/>
      <c r="H6606" t="str">
        <f>"3250613235925"</f>
        <v>3250613235925</v>
      </c>
      <c r="J6606" t="s">
        <v>18379</v>
      </c>
    </row>
    <row r="6607" spans="1:10" x14ac:dyDescent="0.25">
      <c r="A6607" t="s">
        <v>8</v>
      </c>
      <c r="B6607" t="s">
        <v>18382</v>
      </c>
      <c r="C6607" t="s">
        <v>18383</v>
      </c>
      <c r="D6607">
        <v>1</v>
      </c>
      <c r="E6607" t="s">
        <v>18357</v>
      </c>
      <c r="F6607" t="s">
        <v>18358</v>
      </c>
      <c r="G6607" s="1"/>
      <c r="H6607" t="str">
        <f>"3250613235949"</f>
        <v>3250613235949</v>
      </c>
      <c r="J6607" t="s">
        <v>18384</v>
      </c>
    </row>
    <row r="6608" spans="1:10" x14ac:dyDescent="0.25">
      <c r="A6608" t="s">
        <v>8</v>
      </c>
      <c r="B6608" t="s">
        <v>18385</v>
      </c>
      <c r="C6608" t="s">
        <v>18386</v>
      </c>
      <c r="D6608">
        <v>1</v>
      </c>
      <c r="E6608" t="s">
        <v>18357</v>
      </c>
      <c r="F6608" t="s">
        <v>18358</v>
      </c>
      <c r="G6608" s="1"/>
      <c r="H6608" t="str">
        <f>"3250613235963"</f>
        <v>3250613235963</v>
      </c>
      <c r="J6608" t="s">
        <v>18384</v>
      </c>
    </row>
    <row r="6609" spans="1:10" x14ac:dyDescent="0.25">
      <c r="A6609" t="s">
        <v>8</v>
      </c>
      <c r="B6609" t="s">
        <v>18387</v>
      </c>
      <c r="C6609" t="s">
        <v>18388</v>
      </c>
      <c r="D6609">
        <v>1</v>
      </c>
      <c r="E6609" t="s">
        <v>18357</v>
      </c>
      <c r="F6609" t="s">
        <v>18358</v>
      </c>
      <c r="G6609" s="1"/>
      <c r="H6609" t="str">
        <f>"3250613235987"</f>
        <v>3250613235987</v>
      </c>
      <c r="J6609" t="s">
        <v>18389</v>
      </c>
    </row>
    <row r="6610" spans="1:10" x14ac:dyDescent="0.25">
      <c r="A6610" t="s">
        <v>8</v>
      </c>
      <c r="B6610" t="s">
        <v>18390</v>
      </c>
      <c r="C6610" t="s">
        <v>18391</v>
      </c>
      <c r="D6610">
        <v>1</v>
      </c>
      <c r="E6610" t="s">
        <v>18357</v>
      </c>
      <c r="F6610" t="s">
        <v>18358</v>
      </c>
      <c r="G6610" s="1"/>
      <c r="H6610" t="str">
        <f>"3250613236007"</f>
        <v>3250613236007</v>
      </c>
      <c r="J6610" t="s">
        <v>18389</v>
      </c>
    </row>
    <row r="6611" spans="1:10" x14ac:dyDescent="0.25">
      <c r="A6611" t="s">
        <v>8</v>
      </c>
      <c r="B6611" t="s">
        <v>18392</v>
      </c>
      <c r="C6611" t="s">
        <v>18393</v>
      </c>
      <c r="D6611">
        <v>1</v>
      </c>
      <c r="E6611" t="s">
        <v>18357</v>
      </c>
      <c r="F6611" t="s">
        <v>18358</v>
      </c>
      <c r="G6611" s="1"/>
      <c r="H6611" t="str">
        <f>"3250613236021"</f>
        <v>3250613236021</v>
      </c>
      <c r="J6611" t="s">
        <v>18394</v>
      </c>
    </row>
    <row r="6612" spans="1:10" x14ac:dyDescent="0.25">
      <c r="A6612" t="s">
        <v>8</v>
      </c>
      <c r="B6612" t="s">
        <v>18395</v>
      </c>
      <c r="C6612" t="s">
        <v>18396</v>
      </c>
      <c r="D6612">
        <v>1</v>
      </c>
      <c r="E6612" t="s">
        <v>18357</v>
      </c>
      <c r="F6612" t="s">
        <v>18358</v>
      </c>
      <c r="G6612" s="1"/>
      <c r="H6612" t="str">
        <f>"3250613236045"</f>
        <v>3250613236045</v>
      </c>
      <c r="J6612" t="s">
        <v>18394</v>
      </c>
    </row>
    <row r="6613" spans="1:10" x14ac:dyDescent="0.25">
      <c r="A6613" t="s">
        <v>8</v>
      </c>
      <c r="B6613" t="s">
        <v>18397</v>
      </c>
      <c r="C6613" t="s">
        <v>18398</v>
      </c>
      <c r="D6613">
        <v>1</v>
      </c>
      <c r="E6613" t="s">
        <v>18357</v>
      </c>
      <c r="F6613" t="s">
        <v>18358</v>
      </c>
      <c r="G6613" s="1"/>
      <c r="H6613" t="str">
        <f>"3250613236144"</f>
        <v>3250613236144</v>
      </c>
      <c r="J6613" t="s">
        <v>18399</v>
      </c>
    </row>
    <row r="6614" spans="1:10" x14ac:dyDescent="0.25">
      <c r="A6614" t="s">
        <v>8</v>
      </c>
      <c r="B6614" t="s">
        <v>18400</v>
      </c>
      <c r="C6614" t="s">
        <v>18401</v>
      </c>
      <c r="D6614">
        <v>1</v>
      </c>
      <c r="E6614" t="s">
        <v>18357</v>
      </c>
      <c r="F6614" t="s">
        <v>18358</v>
      </c>
      <c r="G6614" s="1"/>
      <c r="H6614" t="str">
        <f>"3250613236168"</f>
        <v>3250613236168</v>
      </c>
      <c r="J6614" t="s">
        <v>18399</v>
      </c>
    </row>
    <row r="6615" spans="1:10" x14ac:dyDescent="0.25">
      <c r="A6615" t="s">
        <v>8</v>
      </c>
      <c r="B6615" t="s">
        <v>18402</v>
      </c>
      <c r="C6615" t="s">
        <v>18403</v>
      </c>
      <c r="D6615">
        <v>1</v>
      </c>
      <c r="E6615" t="s">
        <v>18357</v>
      </c>
      <c r="F6615" t="s">
        <v>18358</v>
      </c>
      <c r="G6615" s="1"/>
      <c r="H6615" t="str">
        <f>"3250613236182"</f>
        <v>3250613236182</v>
      </c>
      <c r="J6615" t="s">
        <v>18404</v>
      </c>
    </row>
    <row r="6616" spans="1:10" x14ac:dyDescent="0.25">
      <c r="A6616" t="s">
        <v>8</v>
      </c>
      <c r="B6616" t="s">
        <v>18405</v>
      </c>
      <c r="C6616" t="s">
        <v>18406</v>
      </c>
      <c r="D6616">
        <v>1</v>
      </c>
      <c r="E6616" t="s">
        <v>18357</v>
      </c>
      <c r="F6616" t="s">
        <v>18358</v>
      </c>
      <c r="G6616" s="1"/>
      <c r="H6616" t="str">
        <f>"3250613236205"</f>
        <v>3250613236205</v>
      </c>
      <c r="J6616" t="s">
        <v>18404</v>
      </c>
    </row>
    <row r="6617" spans="1:10" x14ac:dyDescent="0.25">
      <c r="A6617" t="s">
        <v>8</v>
      </c>
      <c r="B6617" t="s">
        <v>18407</v>
      </c>
      <c r="C6617" t="s">
        <v>18408</v>
      </c>
      <c r="D6617">
        <v>1</v>
      </c>
      <c r="E6617" t="s">
        <v>18357</v>
      </c>
      <c r="F6617" t="s">
        <v>18358</v>
      </c>
      <c r="G6617" s="1"/>
      <c r="H6617" t="str">
        <f>"3250613236229"</f>
        <v>3250613236229</v>
      </c>
      <c r="J6617" t="s">
        <v>18409</v>
      </c>
    </row>
    <row r="6618" spans="1:10" x14ac:dyDescent="0.25">
      <c r="A6618" t="s">
        <v>8</v>
      </c>
      <c r="B6618" t="s">
        <v>18410</v>
      </c>
      <c r="C6618" t="s">
        <v>18411</v>
      </c>
      <c r="D6618">
        <v>1</v>
      </c>
      <c r="E6618" t="s">
        <v>18357</v>
      </c>
      <c r="F6618" t="s">
        <v>18358</v>
      </c>
      <c r="G6618" s="1"/>
      <c r="H6618" t="str">
        <f>"3250613236243"</f>
        <v>3250613236243</v>
      </c>
      <c r="J6618" t="s">
        <v>18409</v>
      </c>
    </row>
    <row r="6619" spans="1:10" x14ac:dyDescent="0.25">
      <c r="A6619" t="s">
        <v>8</v>
      </c>
      <c r="B6619" t="s">
        <v>18412</v>
      </c>
      <c r="C6619" t="s">
        <v>18413</v>
      </c>
      <c r="D6619">
        <v>1</v>
      </c>
      <c r="E6619" t="s">
        <v>18357</v>
      </c>
      <c r="F6619" t="s">
        <v>18358</v>
      </c>
      <c r="G6619" s="1"/>
      <c r="H6619" t="str">
        <f>"3250613236267"</f>
        <v>3250613236267</v>
      </c>
      <c r="J6619" t="s">
        <v>18379</v>
      </c>
    </row>
    <row r="6620" spans="1:10" x14ac:dyDescent="0.25">
      <c r="A6620" t="s">
        <v>8</v>
      </c>
      <c r="B6620" t="s">
        <v>18414</v>
      </c>
      <c r="C6620" t="s">
        <v>18415</v>
      </c>
      <c r="D6620">
        <v>1</v>
      </c>
      <c r="E6620" t="s">
        <v>18357</v>
      </c>
      <c r="F6620" t="s">
        <v>18358</v>
      </c>
      <c r="G6620" s="1"/>
      <c r="H6620" t="str">
        <f>"3250613236281"</f>
        <v>3250613236281</v>
      </c>
      <c r="J6620" t="s">
        <v>18379</v>
      </c>
    </row>
    <row r="6621" spans="1:10" x14ac:dyDescent="0.25">
      <c r="A6621" t="s">
        <v>8</v>
      </c>
      <c r="B6621" t="s">
        <v>18416</v>
      </c>
      <c r="C6621" t="s">
        <v>18417</v>
      </c>
      <c r="D6621">
        <v>1</v>
      </c>
      <c r="E6621" t="s">
        <v>18357</v>
      </c>
      <c r="F6621" t="s">
        <v>18358</v>
      </c>
      <c r="G6621" s="1"/>
      <c r="H6621" t="str">
        <f>"3250613236380"</f>
        <v>3250613236380</v>
      </c>
      <c r="J6621" t="s">
        <v>18418</v>
      </c>
    </row>
    <row r="6622" spans="1:10" x14ac:dyDescent="0.25">
      <c r="A6622" t="s">
        <v>8</v>
      </c>
      <c r="B6622" t="s">
        <v>18419</v>
      </c>
      <c r="C6622" t="s">
        <v>18420</v>
      </c>
      <c r="D6622">
        <v>1</v>
      </c>
      <c r="E6622" t="s">
        <v>18357</v>
      </c>
      <c r="F6622" t="s">
        <v>18358</v>
      </c>
      <c r="G6622" s="1"/>
      <c r="H6622" t="str">
        <f>"3250613236403"</f>
        <v>3250613236403</v>
      </c>
      <c r="J6622" t="s">
        <v>18418</v>
      </c>
    </row>
    <row r="6623" spans="1:10" x14ac:dyDescent="0.25">
      <c r="A6623" t="s">
        <v>8</v>
      </c>
      <c r="B6623" t="s">
        <v>18421</v>
      </c>
      <c r="C6623" t="s">
        <v>18422</v>
      </c>
      <c r="D6623">
        <v>1</v>
      </c>
      <c r="E6623" t="s">
        <v>18357</v>
      </c>
      <c r="F6623" t="s">
        <v>18358</v>
      </c>
      <c r="G6623" s="1"/>
      <c r="H6623" t="str">
        <f>"3250613236427"</f>
        <v>3250613236427</v>
      </c>
      <c r="J6623" t="s">
        <v>18423</v>
      </c>
    </row>
    <row r="6624" spans="1:10" x14ac:dyDescent="0.25">
      <c r="A6624" t="s">
        <v>8</v>
      </c>
      <c r="B6624" t="s">
        <v>18424</v>
      </c>
      <c r="C6624" t="s">
        <v>18425</v>
      </c>
      <c r="D6624">
        <v>1</v>
      </c>
      <c r="E6624" t="s">
        <v>18357</v>
      </c>
      <c r="F6624" t="s">
        <v>18358</v>
      </c>
      <c r="G6624" s="1"/>
      <c r="H6624" t="str">
        <f>"3250613236441"</f>
        <v>3250613236441</v>
      </c>
      <c r="J6624" t="s">
        <v>18423</v>
      </c>
    </row>
    <row r="6625" spans="1:10" x14ac:dyDescent="0.25">
      <c r="A6625" t="s">
        <v>8</v>
      </c>
      <c r="B6625" t="s">
        <v>18426</v>
      </c>
      <c r="C6625" t="s">
        <v>18427</v>
      </c>
      <c r="D6625">
        <v>1</v>
      </c>
      <c r="E6625" t="s">
        <v>18357</v>
      </c>
      <c r="F6625" t="s">
        <v>18358</v>
      </c>
      <c r="G6625" s="1"/>
      <c r="H6625" t="str">
        <f>"3250613236465"</f>
        <v>3250613236465</v>
      </c>
      <c r="J6625" t="s">
        <v>18428</v>
      </c>
    </row>
    <row r="6626" spans="1:10" x14ac:dyDescent="0.25">
      <c r="A6626" t="s">
        <v>8</v>
      </c>
      <c r="B6626" t="s">
        <v>18429</v>
      </c>
      <c r="C6626" t="s">
        <v>18430</v>
      </c>
      <c r="D6626">
        <v>1</v>
      </c>
      <c r="E6626" t="s">
        <v>18357</v>
      </c>
      <c r="F6626" t="s">
        <v>18358</v>
      </c>
      <c r="G6626" s="1"/>
      <c r="H6626" t="str">
        <f>"3250613236489"</f>
        <v>3250613236489</v>
      </c>
      <c r="J6626" t="s">
        <v>18428</v>
      </c>
    </row>
    <row r="6627" spans="1:10" x14ac:dyDescent="0.25">
      <c r="A6627" t="s">
        <v>8</v>
      </c>
      <c r="B6627" t="s">
        <v>18431</v>
      </c>
      <c r="C6627" t="s">
        <v>18432</v>
      </c>
      <c r="D6627">
        <v>1</v>
      </c>
      <c r="E6627" t="s">
        <v>18357</v>
      </c>
      <c r="F6627" t="s">
        <v>18358</v>
      </c>
      <c r="G6627" s="1"/>
      <c r="H6627" t="str">
        <f>"3250613236502"</f>
        <v>3250613236502</v>
      </c>
      <c r="J6627" t="s">
        <v>18433</v>
      </c>
    </row>
    <row r="6628" spans="1:10" x14ac:dyDescent="0.25">
      <c r="A6628" t="s">
        <v>8</v>
      </c>
      <c r="B6628" t="s">
        <v>18434</v>
      </c>
      <c r="C6628" t="s">
        <v>18435</v>
      </c>
      <c r="D6628">
        <v>1</v>
      </c>
      <c r="E6628" t="s">
        <v>18357</v>
      </c>
      <c r="F6628" t="s">
        <v>18358</v>
      </c>
      <c r="G6628" s="1"/>
      <c r="H6628" t="str">
        <f>"3250613236526"</f>
        <v>3250613236526</v>
      </c>
      <c r="J6628" t="s">
        <v>18433</v>
      </c>
    </row>
    <row r="6629" spans="1:10" x14ac:dyDescent="0.25">
      <c r="A6629" t="s">
        <v>8</v>
      </c>
      <c r="B6629" t="s">
        <v>18436</v>
      </c>
      <c r="C6629" t="s">
        <v>18437</v>
      </c>
      <c r="D6629">
        <v>1</v>
      </c>
      <c r="E6629" t="s">
        <v>18357</v>
      </c>
      <c r="F6629" t="s">
        <v>18358</v>
      </c>
      <c r="G6629" s="1"/>
      <c r="H6629" t="str">
        <f>"3250613237042"</f>
        <v>3250613237042</v>
      </c>
      <c r="J6629" t="s">
        <v>18438</v>
      </c>
    </row>
    <row r="6630" spans="1:10" x14ac:dyDescent="0.25">
      <c r="A6630" t="s">
        <v>8</v>
      </c>
      <c r="B6630" t="s">
        <v>18439</v>
      </c>
      <c r="C6630" t="s">
        <v>18440</v>
      </c>
      <c r="D6630">
        <v>1</v>
      </c>
      <c r="E6630" t="s">
        <v>18357</v>
      </c>
      <c r="F6630" t="s">
        <v>18358</v>
      </c>
      <c r="G6630" s="1"/>
      <c r="H6630" t="str">
        <f>"3250613237059"</f>
        <v>3250613237059</v>
      </c>
      <c r="J6630" t="s">
        <v>18438</v>
      </c>
    </row>
    <row r="6631" spans="1:10" x14ac:dyDescent="0.25">
      <c r="A6631" t="s">
        <v>8</v>
      </c>
      <c r="B6631" t="s">
        <v>18441</v>
      </c>
      <c r="C6631" t="s">
        <v>18442</v>
      </c>
      <c r="D6631">
        <v>1</v>
      </c>
      <c r="E6631" t="s">
        <v>18357</v>
      </c>
      <c r="F6631" t="s">
        <v>18358</v>
      </c>
      <c r="G6631" s="1"/>
      <c r="H6631" t="str">
        <f>"3250613237066"</f>
        <v>3250613237066</v>
      </c>
      <c r="J6631" t="s">
        <v>18443</v>
      </c>
    </row>
    <row r="6632" spans="1:10" x14ac:dyDescent="0.25">
      <c r="A6632" t="s">
        <v>8</v>
      </c>
      <c r="B6632" t="s">
        <v>18444</v>
      </c>
      <c r="C6632" t="s">
        <v>18445</v>
      </c>
      <c r="D6632">
        <v>1</v>
      </c>
      <c r="E6632" t="s">
        <v>18357</v>
      </c>
      <c r="F6632" t="s">
        <v>18358</v>
      </c>
      <c r="G6632" s="1"/>
      <c r="H6632" t="str">
        <f>"3250613237073"</f>
        <v>3250613237073</v>
      </c>
      <c r="J6632" t="s">
        <v>18443</v>
      </c>
    </row>
    <row r="6633" spans="1:10" x14ac:dyDescent="0.25">
      <c r="A6633" t="s">
        <v>8</v>
      </c>
      <c r="B6633" t="s">
        <v>18446</v>
      </c>
      <c r="C6633" t="s">
        <v>18447</v>
      </c>
      <c r="D6633">
        <v>1</v>
      </c>
      <c r="E6633" t="s">
        <v>18357</v>
      </c>
      <c r="F6633" t="s">
        <v>18358</v>
      </c>
      <c r="G6633" s="1"/>
      <c r="H6633" t="str">
        <f>"3250613237080"</f>
        <v>3250613237080</v>
      </c>
      <c r="J6633" t="s">
        <v>18448</v>
      </c>
    </row>
    <row r="6634" spans="1:10" x14ac:dyDescent="0.25">
      <c r="A6634" t="s">
        <v>8</v>
      </c>
      <c r="B6634" t="s">
        <v>18449</v>
      </c>
      <c r="C6634" t="s">
        <v>18450</v>
      </c>
      <c r="D6634">
        <v>1</v>
      </c>
      <c r="E6634" t="s">
        <v>18357</v>
      </c>
      <c r="F6634" t="s">
        <v>18358</v>
      </c>
      <c r="G6634" s="1"/>
      <c r="H6634" t="str">
        <f>"3250613237097"</f>
        <v>3250613237097</v>
      </c>
      <c r="J6634" t="s">
        <v>18448</v>
      </c>
    </row>
    <row r="6635" spans="1:10" x14ac:dyDescent="0.25">
      <c r="A6635" t="s">
        <v>8</v>
      </c>
      <c r="B6635" t="s">
        <v>18451</v>
      </c>
      <c r="C6635" t="s">
        <v>18452</v>
      </c>
      <c r="D6635">
        <v>1</v>
      </c>
      <c r="E6635" t="s">
        <v>18357</v>
      </c>
      <c r="F6635" t="s">
        <v>18358</v>
      </c>
      <c r="G6635" s="1"/>
      <c r="H6635" t="str">
        <f>"3250613237103"</f>
        <v>3250613237103</v>
      </c>
      <c r="J6635" t="s">
        <v>18453</v>
      </c>
    </row>
    <row r="6636" spans="1:10" x14ac:dyDescent="0.25">
      <c r="A6636" t="s">
        <v>8</v>
      </c>
      <c r="B6636" t="s">
        <v>18454</v>
      </c>
      <c r="C6636" t="s">
        <v>18455</v>
      </c>
      <c r="D6636">
        <v>1</v>
      </c>
      <c r="E6636" t="s">
        <v>18357</v>
      </c>
      <c r="F6636" t="s">
        <v>18358</v>
      </c>
      <c r="G6636" s="1"/>
      <c r="H6636" t="str">
        <f>"3250613237110"</f>
        <v>3250613237110</v>
      </c>
      <c r="J6636" t="s">
        <v>18453</v>
      </c>
    </row>
    <row r="6637" spans="1:10" x14ac:dyDescent="0.25">
      <c r="A6637" t="s">
        <v>8</v>
      </c>
      <c r="B6637" t="s">
        <v>18456</v>
      </c>
      <c r="C6637" t="s">
        <v>18457</v>
      </c>
      <c r="D6637">
        <v>1</v>
      </c>
      <c r="E6637" t="s">
        <v>18357</v>
      </c>
      <c r="F6637" t="s">
        <v>18358</v>
      </c>
      <c r="G6637" s="1"/>
      <c r="H6637" t="str">
        <f>"3250613237165"</f>
        <v>3250613237165</v>
      </c>
      <c r="J6637" t="s">
        <v>18458</v>
      </c>
    </row>
    <row r="6638" spans="1:10" x14ac:dyDescent="0.25">
      <c r="A6638" t="s">
        <v>8</v>
      </c>
      <c r="B6638" t="s">
        <v>18459</v>
      </c>
      <c r="C6638" t="s">
        <v>18460</v>
      </c>
      <c r="D6638">
        <v>1</v>
      </c>
      <c r="E6638" t="s">
        <v>18357</v>
      </c>
      <c r="F6638" t="s">
        <v>18358</v>
      </c>
      <c r="G6638" s="1"/>
      <c r="H6638" t="str">
        <f>"3250613237172"</f>
        <v>3250613237172</v>
      </c>
      <c r="J6638" t="s">
        <v>18458</v>
      </c>
    </row>
    <row r="6639" spans="1:10" x14ac:dyDescent="0.25">
      <c r="A6639" t="s">
        <v>8</v>
      </c>
      <c r="B6639" t="s">
        <v>18461</v>
      </c>
      <c r="C6639" t="s">
        <v>18462</v>
      </c>
      <c r="D6639">
        <v>1</v>
      </c>
      <c r="E6639" t="s">
        <v>18357</v>
      </c>
      <c r="F6639" t="s">
        <v>18358</v>
      </c>
      <c r="G6639" s="1"/>
      <c r="H6639" t="str">
        <f>"3250613237189"</f>
        <v>3250613237189</v>
      </c>
      <c r="J6639" t="s">
        <v>18463</v>
      </c>
    </row>
    <row r="6640" spans="1:10" x14ac:dyDescent="0.25">
      <c r="A6640" t="s">
        <v>8</v>
      </c>
      <c r="B6640" t="s">
        <v>18464</v>
      </c>
      <c r="C6640" t="s">
        <v>18465</v>
      </c>
      <c r="D6640">
        <v>1</v>
      </c>
      <c r="E6640" t="s">
        <v>18357</v>
      </c>
      <c r="F6640" t="s">
        <v>18358</v>
      </c>
      <c r="G6640" s="1"/>
      <c r="H6640" t="str">
        <f>"3250613237196"</f>
        <v>3250613237196</v>
      </c>
      <c r="J6640" t="s">
        <v>18463</v>
      </c>
    </row>
    <row r="6641" spans="1:10" x14ac:dyDescent="0.25">
      <c r="A6641" t="s">
        <v>8</v>
      </c>
      <c r="B6641" t="s">
        <v>18466</v>
      </c>
      <c r="C6641" t="s">
        <v>18467</v>
      </c>
      <c r="D6641">
        <v>1</v>
      </c>
      <c r="E6641" t="s">
        <v>18357</v>
      </c>
      <c r="F6641" t="s">
        <v>18358</v>
      </c>
      <c r="G6641" s="1"/>
      <c r="H6641" t="str">
        <f>"3250613237202"</f>
        <v>3250613237202</v>
      </c>
      <c r="J6641" t="s">
        <v>18468</v>
      </c>
    </row>
    <row r="6642" spans="1:10" x14ac:dyDescent="0.25">
      <c r="A6642" t="s">
        <v>8</v>
      </c>
      <c r="B6642" t="s">
        <v>18469</v>
      </c>
      <c r="C6642" t="s">
        <v>18470</v>
      </c>
      <c r="D6642">
        <v>1</v>
      </c>
      <c r="E6642" t="s">
        <v>18357</v>
      </c>
      <c r="F6642" t="s">
        <v>18358</v>
      </c>
      <c r="G6642" s="1"/>
      <c r="H6642" t="str">
        <f>"3250613237219"</f>
        <v>3250613237219</v>
      </c>
      <c r="J6642" t="s">
        <v>18468</v>
      </c>
    </row>
    <row r="6643" spans="1:10" x14ac:dyDescent="0.25">
      <c r="A6643" t="s">
        <v>8</v>
      </c>
      <c r="B6643" t="s">
        <v>18471</v>
      </c>
      <c r="C6643" t="s">
        <v>18472</v>
      </c>
      <c r="D6643">
        <v>1</v>
      </c>
      <c r="E6643" t="s">
        <v>18357</v>
      </c>
      <c r="F6643" t="s">
        <v>18358</v>
      </c>
      <c r="G6643" s="1"/>
      <c r="H6643" t="str">
        <f>"3250613237226"</f>
        <v>3250613237226</v>
      </c>
      <c r="J6643" t="s">
        <v>18364</v>
      </c>
    </row>
    <row r="6644" spans="1:10" x14ac:dyDescent="0.25">
      <c r="A6644" t="s">
        <v>8</v>
      </c>
      <c r="B6644" t="s">
        <v>18473</v>
      </c>
      <c r="C6644" t="s">
        <v>18474</v>
      </c>
      <c r="D6644">
        <v>1</v>
      </c>
      <c r="E6644" t="s">
        <v>18357</v>
      </c>
      <c r="F6644" t="s">
        <v>18358</v>
      </c>
      <c r="G6644" s="1"/>
      <c r="H6644" t="str">
        <f>"3250613237233"</f>
        <v>3250613237233</v>
      </c>
      <c r="J6644" t="s">
        <v>18364</v>
      </c>
    </row>
    <row r="6645" spans="1:10" x14ac:dyDescent="0.25">
      <c r="A6645" t="s">
        <v>8</v>
      </c>
      <c r="B6645" t="s">
        <v>18475</v>
      </c>
      <c r="C6645" t="s">
        <v>18476</v>
      </c>
      <c r="D6645">
        <v>1</v>
      </c>
      <c r="E6645" t="s">
        <v>18357</v>
      </c>
      <c r="F6645" t="s">
        <v>18358</v>
      </c>
      <c r="G6645" s="1"/>
      <c r="H6645" t="str">
        <f>"3250613235673"</f>
        <v>3250613235673</v>
      </c>
      <c r="J6645" t="s">
        <v>18359</v>
      </c>
    </row>
    <row r="6646" spans="1:10" x14ac:dyDescent="0.25">
      <c r="A6646" t="s">
        <v>8</v>
      </c>
      <c r="B6646" t="s">
        <v>18477</v>
      </c>
      <c r="C6646" t="s">
        <v>18478</v>
      </c>
      <c r="D6646">
        <v>1</v>
      </c>
      <c r="E6646" t="s">
        <v>18357</v>
      </c>
      <c r="F6646" t="s">
        <v>18358</v>
      </c>
      <c r="G6646" s="1"/>
      <c r="H6646" t="str">
        <f>"3250613235697"</f>
        <v>3250613235697</v>
      </c>
      <c r="J6646" t="s">
        <v>18359</v>
      </c>
    </row>
    <row r="6647" spans="1:10" x14ac:dyDescent="0.25">
      <c r="A6647" t="s">
        <v>8</v>
      </c>
      <c r="B6647" t="s">
        <v>18479</v>
      </c>
      <c r="C6647" t="s">
        <v>18480</v>
      </c>
      <c r="D6647">
        <v>1</v>
      </c>
      <c r="E6647" t="s">
        <v>18357</v>
      </c>
      <c r="F6647" t="s">
        <v>18358</v>
      </c>
      <c r="G6647" s="1"/>
      <c r="H6647" t="str">
        <f>"3250613235710"</f>
        <v>3250613235710</v>
      </c>
      <c r="J6647" t="s">
        <v>18364</v>
      </c>
    </row>
    <row r="6648" spans="1:10" x14ac:dyDescent="0.25">
      <c r="A6648" t="s">
        <v>8</v>
      </c>
      <c r="B6648" t="s">
        <v>18481</v>
      </c>
      <c r="C6648" t="s">
        <v>18482</v>
      </c>
      <c r="D6648">
        <v>1</v>
      </c>
      <c r="E6648" t="s">
        <v>18357</v>
      </c>
      <c r="F6648" t="s">
        <v>18358</v>
      </c>
      <c r="G6648" s="1"/>
      <c r="H6648" t="str">
        <f>"3250613235734"</f>
        <v>3250613235734</v>
      </c>
      <c r="J6648" t="s">
        <v>18364</v>
      </c>
    </row>
    <row r="6649" spans="1:10" x14ac:dyDescent="0.25">
      <c r="A6649" t="s">
        <v>8</v>
      </c>
      <c r="B6649" t="s">
        <v>18483</v>
      </c>
      <c r="C6649" t="s">
        <v>18484</v>
      </c>
      <c r="D6649">
        <v>1</v>
      </c>
      <c r="E6649" t="s">
        <v>18357</v>
      </c>
      <c r="F6649" t="s">
        <v>18358</v>
      </c>
      <c r="G6649" s="1"/>
      <c r="H6649" t="str">
        <f>"3250613235758"</f>
        <v>3250613235758</v>
      </c>
      <c r="J6649" t="s">
        <v>18369</v>
      </c>
    </row>
    <row r="6650" spans="1:10" x14ac:dyDescent="0.25">
      <c r="A6650" t="s">
        <v>8</v>
      </c>
      <c r="B6650" t="s">
        <v>18485</v>
      </c>
      <c r="C6650" t="s">
        <v>18486</v>
      </c>
      <c r="D6650">
        <v>1</v>
      </c>
      <c r="E6650" t="s">
        <v>18357</v>
      </c>
      <c r="F6650" t="s">
        <v>18358</v>
      </c>
      <c r="G6650" s="1"/>
      <c r="H6650" t="str">
        <f>"3250613235772"</f>
        <v>3250613235772</v>
      </c>
      <c r="J6650" t="s">
        <v>18369</v>
      </c>
    </row>
    <row r="6651" spans="1:10" x14ac:dyDescent="0.25">
      <c r="A6651" t="s">
        <v>8</v>
      </c>
      <c r="B6651" t="s">
        <v>18487</v>
      </c>
      <c r="C6651" t="s">
        <v>18488</v>
      </c>
      <c r="D6651">
        <v>1</v>
      </c>
      <c r="E6651" t="s">
        <v>18357</v>
      </c>
      <c r="F6651" t="s">
        <v>18358</v>
      </c>
      <c r="G6651" s="1"/>
      <c r="H6651" t="str">
        <f>"3250613235796"</f>
        <v>3250613235796</v>
      </c>
      <c r="J6651" t="s">
        <v>18374</v>
      </c>
    </row>
    <row r="6652" spans="1:10" x14ac:dyDescent="0.25">
      <c r="A6652" t="s">
        <v>8</v>
      </c>
      <c r="B6652" t="s">
        <v>18489</v>
      </c>
      <c r="C6652" t="s">
        <v>18490</v>
      </c>
      <c r="D6652">
        <v>1</v>
      </c>
      <c r="E6652" t="s">
        <v>18357</v>
      </c>
      <c r="F6652" t="s">
        <v>18358</v>
      </c>
      <c r="G6652" s="1"/>
      <c r="H6652" t="str">
        <f>"3250613235819"</f>
        <v>3250613235819</v>
      </c>
      <c r="J6652" t="s">
        <v>18374</v>
      </c>
    </row>
    <row r="6653" spans="1:10" x14ac:dyDescent="0.25">
      <c r="A6653" t="s">
        <v>8</v>
      </c>
      <c r="B6653" t="s">
        <v>18491</v>
      </c>
      <c r="C6653" t="s">
        <v>18492</v>
      </c>
      <c r="D6653">
        <v>1</v>
      </c>
      <c r="E6653" t="s">
        <v>18357</v>
      </c>
      <c r="F6653" t="s">
        <v>18358</v>
      </c>
      <c r="G6653" s="1"/>
      <c r="H6653" t="str">
        <f>"3250613235918"</f>
        <v>3250613235918</v>
      </c>
      <c r="J6653" t="s">
        <v>18379</v>
      </c>
    </row>
    <row r="6654" spans="1:10" x14ac:dyDescent="0.25">
      <c r="A6654" t="s">
        <v>8</v>
      </c>
      <c r="B6654" t="s">
        <v>18493</v>
      </c>
      <c r="C6654" t="s">
        <v>18494</v>
      </c>
      <c r="D6654">
        <v>1</v>
      </c>
      <c r="E6654" t="s">
        <v>18357</v>
      </c>
      <c r="F6654" t="s">
        <v>18358</v>
      </c>
      <c r="G6654" s="1"/>
      <c r="H6654" t="str">
        <f>"3250613235932"</f>
        <v>3250613235932</v>
      </c>
      <c r="J6654" t="s">
        <v>18379</v>
      </c>
    </row>
    <row r="6655" spans="1:10" x14ac:dyDescent="0.25">
      <c r="A6655" t="s">
        <v>8</v>
      </c>
      <c r="B6655" t="s">
        <v>18495</v>
      </c>
      <c r="C6655" t="s">
        <v>18496</v>
      </c>
      <c r="D6655">
        <v>1</v>
      </c>
      <c r="E6655" t="s">
        <v>18357</v>
      </c>
      <c r="F6655" t="s">
        <v>18358</v>
      </c>
      <c r="G6655" s="1"/>
      <c r="H6655" t="str">
        <f>"3250613235956"</f>
        <v>3250613235956</v>
      </c>
      <c r="J6655" t="s">
        <v>18384</v>
      </c>
    </row>
    <row r="6656" spans="1:10" x14ac:dyDescent="0.25">
      <c r="A6656" t="s">
        <v>8</v>
      </c>
      <c r="B6656" t="s">
        <v>18497</v>
      </c>
      <c r="C6656" t="s">
        <v>18498</v>
      </c>
      <c r="D6656">
        <v>1</v>
      </c>
      <c r="E6656" t="s">
        <v>18357</v>
      </c>
      <c r="F6656" t="s">
        <v>18358</v>
      </c>
      <c r="G6656" s="1"/>
      <c r="H6656" t="str">
        <f>"3250613235970"</f>
        <v>3250613235970</v>
      </c>
      <c r="J6656" t="s">
        <v>18384</v>
      </c>
    </row>
    <row r="6657" spans="1:10" x14ac:dyDescent="0.25">
      <c r="A6657" t="s">
        <v>8</v>
      </c>
      <c r="B6657" t="s">
        <v>18499</v>
      </c>
      <c r="C6657" t="s">
        <v>18500</v>
      </c>
      <c r="D6657">
        <v>1</v>
      </c>
      <c r="E6657" t="s">
        <v>18357</v>
      </c>
      <c r="F6657" t="s">
        <v>18358</v>
      </c>
      <c r="G6657" s="1"/>
      <c r="H6657" t="str">
        <f>"3250613235994"</f>
        <v>3250613235994</v>
      </c>
      <c r="J6657" t="s">
        <v>18389</v>
      </c>
    </row>
    <row r="6658" spans="1:10" x14ac:dyDescent="0.25">
      <c r="A6658" t="s">
        <v>8</v>
      </c>
      <c r="B6658" t="s">
        <v>18501</v>
      </c>
      <c r="C6658" t="s">
        <v>18502</v>
      </c>
      <c r="D6658">
        <v>1</v>
      </c>
      <c r="E6658" t="s">
        <v>18357</v>
      </c>
      <c r="F6658" t="s">
        <v>18358</v>
      </c>
      <c r="G6658" s="1"/>
      <c r="H6658" t="str">
        <f>"3250613236014"</f>
        <v>3250613236014</v>
      </c>
      <c r="J6658" t="s">
        <v>18389</v>
      </c>
    </row>
    <row r="6659" spans="1:10" x14ac:dyDescent="0.25">
      <c r="A6659" t="s">
        <v>8</v>
      </c>
      <c r="B6659" t="s">
        <v>18503</v>
      </c>
      <c r="C6659" t="s">
        <v>18504</v>
      </c>
      <c r="D6659">
        <v>1</v>
      </c>
      <c r="E6659" t="s">
        <v>18357</v>
      </c>
      <c r="F6659" t="s">
        <v>18358</v>
      </c>
      <c r="G6659" s="1"/>
      <c r="H6659" t="str">
        <f>"3250613236038"</f>
        <v>3250613236038</v>
      </c>
      <c r="J6659" t="s">
        <v>18394</v>
      </c>
    </row>
    <row r="6660" spans="1:10" x14ac:dyDescent="0.25">
      <c r="A6660" t="s">
        <v>8</v>
      </c>
      <c r="B6660" t="s">
        <v>18505</v>
      </c>
      <c r="C6660" t="s">
        <v>18506</v>
      </c>
      <c r="D6660">
        <v>1</v>
      </c>
      <c r="E6660" t="s">
        <v>18357</v>
      </c>
      <c r="F6660" t="s">
        <v>18358</v>
      </c>
      <c r="G6660" s="1"/>
      <c r="H6660" t="str">
        <f>"3250613236052"</f>
        <v>3250613236052</v>
      </c>
      <c r="J6660" t="s">
        <v>18394</v>
      </c>
    </row>
    <row r="6661" spans="1:10" x14ac:dyDescent="0.25">
      <c r="A6661" t="s">
        <v>8</v>
      </c>
      <c r="B6661" t="s">
        <v>18507</v>
      </c>
      <c r="C6661" t="s">
        <v>18508</v>
      </c>
      <c r="D6661">
        <v>1</v>
      </c>
      <c r="E6661" t="s">
        <v>18357</v>
      </c>
      <c r="F6661" t="s">
        <v>18358</v>
      </c>
      <c r="G6661" s="1"/>
      <c r="H6661" t="str">
        <f>"3250613236151"</f>
        <v>3250613236151</v>
      </c>
      <c r="J6661" t="s">
        <v>18399</v>
      </c>
    </row>
    <row r="6662" spans="1:10" x14ac:dyDescent="0.25">
      <c r="A6662" t="s">
        <v>8</v>
      </c>
      <c r="B6662" t="s">
        <v>18509</v>
      </c>
      <c r="C6662" t="s">
        <v>18510</v>
      </c>
      <c r="D6662">
        <v>1</v>
      </c>
      <c r="E6662" t="s">
        <v>18357</v>
      </c>
      <c r="F6662" t="s">
        <v>18358</v>
      </c>
      <c r="G6662" s="1"/>
      <c r="H6662" t="str">
        <f>"3250613236175"</f>
        <v>3250613236175</v>
      </c>
      <c r="J6662" t="s">
        <v>18399</v>
      </c>
    </row>
    <row r="6663" spans="1:10" x14ac:dyDescent="0.25">
      <c r="A6663" t="s">
        <v>8</v>
      </c>
      <c r="B6663" t="s">
        <v>18511</v>
      </c>
      <c r="C6663" t="s">
        <v>18512</v>
      </c>
      <c r="D6663">
        <v>1</v>
      </c>
      <c r="E6663" t="s">
        <v>18357</v>
      </c>
      <c r="F6663" t="s">
        <v>18358</v>
      </c>
      <c r="G6663" s="1"/>
      <c r="H6663" t="str">
        <f>"3250613236199"</f>
        <v>3250613236199</v>
      </c>
      <c r="J6663" t="s">
        <v>18404</v>
      </c>
    </row>
    <row r="6664" spans="1:10" x14ac:dyDescent="0.25">
      <c r="A6664" t="s">
        <v>8</v>
      </c>
      <c r="B6664" t="s">
        <v>18513</v>
      </c>
      <c r="C6664" t="s">
        <v>18514</v>
      </c>
      <c r="D6664">
        <v>1</v>
      </c>
      <c r="E6664" t="s">
        <v>18357</v>
      </c>
      <c r="F6664" t="s">
        <v>18358</v>
      </c>
      <c r="G6664" s="1"/>
      <c r="H6664" t="str">
        <f>"3250613236212"</f>
        <v>3250613236212</v>
      </c>
      <c r="J6664" t="s">
        <v>18404</v>
      </c>
    </row>
    <row r="6665" spans="1:10" x14ac:dyDescent="0.25">
      <c r="A6665" t="s">
        <v>8</v>
      </c>
      <c r="B6665" t="s">
        <v>18515</v>
      </c>
      <c r="C6665" t="s">
        <v>18516</v>
      </c>
      <c r="D6665">
        <v>1</v>
      </c>
      <c r="E6665" t="s">
        <v>18357</v>
      </c>
      <c r="F6665" t="s">
        <v>18358</v>
      </c>
      <c r="G6665" s="1"/>
      <c r="H6665" t="str">
        <f>"3250613236236"</f>
        <v>3250613236236</v>
      </c>
      <c r="J6665" t="s">
        <v>18409</v>
      </c>
    </row>
    <row r="6666" spans="1:10" x14ac:dyDescent="0.25">
      <c r="A6666" t="s">
        <v>8</v>
      </c>
      <c r="B6666" t="s">
        <v>18517</v>
      </c>
      <c r="C6666" t="s">
        <v>18518</v>
      </c>
      <c r="D6666">
        <v>1</v>
      </c>
      <c r="E6666" t="s">
        <v>18357</v>
      </c>
      <c r="F6666" t="s">
        <v>18358</v>
      </c>
      <c r="G6666" s="1"/>
      <c r="H6666" t="str">
        <f>"3250613236250"</f>
        <v>3250613236250</v>
      </c>
      <c r="J6666" t="s">
        <v>18409</v>
      </c>
    </row>
    <row r="6667" spans="1:10" x14ac:dyDescent="0.25">
      <c r="A6667" t="s">
        <v>8</v>
      </c>
      <c r="B6667" t="s">
        <v>18519</v>
      </c>
      <c r="C6667" t="s">
        <v>18520</v>
      </c>
      <c r="D6667">
        <v>1</v>
      </c>
      <c r="E6667" t="s">
        <v>18357</v>
      </c>
      <c r="F6667" t="s">
        <v>18358</v>
      </c>
      <c r="G6667" s="1"/>
      <c r="H6667" t="str">
        <f>"3250613236274"</f>
        <v>3250613236274</v>
      </c>
      <c r="J6667" t="s">
        <v>18379</v>
      </c>
    </row>
    <row r="6668" spans="1:10" x14ac:dyDescent="0.25">
      <c r="A6668" t="s">
        <v>8</v>
      </c>
      <c r="B6668" t="s">
        <v>18521</v>
      </c>
      <c r="C6668" t="s">
        <v>18522</v>
      </c>
      <c r="D6668">
        <v>1</v>
      </c>
      <c r="E6668" t="s">
        <v>18357</v>
      </c>
      <c r="F6668" t="s">
        <v>18358</v>
      </c>
      <c r="G6668" s="1"/>
      <c r="H6668" t="str">
        <f>"3250613236298"</f>
        <v>3250613236298</v>
      </c>
      <c r="J6668" t="s">
        <v>18379</v>
      </c>
    </row>
    <row r="6669" spans="1:10" x14ac:dyDescent="0.25">
      <c r="A6669" t="s">
        <v>8</v>
      </c>
      <c r="B6669" t="s">
        <v>18523</v>
      </c>
      <c r="C6669" t="s">
        <v>18524</v>
      </c>
      <c r="D6669">
        <v>1</v>
      </c>
      <c r="E6669" t="s">
        <v>18357</v>
      </c>
      <c r="F6669" t="s">
        <v>18358</v>
      </c>
      <c r="G6669" s="1"/>
      <c r="H6669" t="str">
        <f>"3250613236397"</f>
        <v>3250613236397</v>
      </c>
      <c r="J6669" t="s">
        <v>18418</v>
      </c>
    </row>
    <row r="6670" spans="1:10" x14ac:dyDescent="0.25">
      <c r="A6670" t="s">
        <v>8</v>
      </c>
      <c r="B6670" t="s">
        <v>18525</v>
      </c>
      <c r="C6670" t="s">
        <v>18526</v>
      </c>
      <c r="D6670">
        <v>1</v>
      </c>
      <c r="E6670" t="s">
        <v>18357</v>
      </c>
      <c r="F6670" t="s">
        <v>18358</v>
      </c>
      <c r="G6670" s="1"/>
      <c r="H6670" t="str">
        <f>"3250613236410"</f>
        <v>3250613236410</v>
      </c>
      <c r="J6670" t="s">
        <v>18418</v>
      </c>
    </row>
    <row r="6671" spans="1:10" x14ac:dyDescent="0.25">
      <c r="A6671" t="s">
        <v>8</v>
      </c>
      <c r="B6671" t="s">
        <v>18527</v>
      </c>
      <c r="C6671" t="s">
        <v>18528</v>
      </c>
      <c r="D6671">
        <v>1</v>
      </c>
      <c r="E6671" t="s">
        <v>18357</v>
      </c>
      <c r="F6671" t="s">
        <v>18358</v>
      </c>
      <c r="G6671" s="1"/>
      <c r="H6671" t="str">
        <f>"3250613236434"</f>
        <v>3250613236434</v>
      </c>
      <c r="J6671" t="s">
        <v>18423</v>
      </c>
    </row>
    <row r="6672" spans="1:10" x14ac:dyDescent="0.25">
      <c r="A6672" t="s">
        <v>8</v>
      </c>
      <c r="B6672" t="s">
        <v>18529</v>
      </c>
      <c r="C6672" t="s">
        <v>18530</v>
      </c>
      <c r="D6672">
        <v>1</v>
      </c>
      <c r="E6672" t="s">
        <v>18357</v>
      </c>
      <c r="F6672" t="s">
        <v>18358</v>
      </c>
      <c r="G6672" s="1"/>
      <c r="H6672" t="str">
        <f>"3250613236458"</f>
        <v>3250613236458</v>
      </c>
      <c r="J6672" t="s">
        <v>18423</v>
      </c>
    </row>
    <row r="6673" spans="1:10" x14ac:dyDescent="0.25">
      <c r="A6673" t="s">
        <v>8</v>
      </c>
      <c r="B6673" t="s">
        <v>18531</v>
      </c>
      <c r="C6673" t="s">
        <v>18532</v>
      </c>
      <c r="D6673">
        <v>1</v>
      </c>
      <c r="E6673" t="s">
        <v>18357</v>
      </c>
      <c r="F6673" t="s">
        <v>18358</v>
      </c>
      <c r="G6673" s="1"/>
      <c r="H6673" t="str">
        <f>"3250613236472"</f>
        <v>3250613236472</v>
      </c>
      <c r="J6673" t="s">
        <v>18428</v>
      </c>
    </row>
    <row r="6674" spans="1:10" x14ac:dyDescent="0.25">
      <c r="A6674" t="s">
        <v>8</v>
      </c>
      <c r="B6674" t="s">
        <v>18533</v>
      </c>
      <c r="C6674" t="s">
        <v>18534</v>
      </c>
      <c r="D6674">
        <v>1</v>
      </c>
      <c r="E6674" t="s">
        <v>18357</v>
      </c>
      <c r="F6674" t="s">
        <v>18358</v>
      </c>
      <c r="G6674" s="1"/>
      <c r="H6674" t="str">
        <f>"3250613236496"</f>
        <v>3250613236496</v>
      </c>
      <c r="J6674" t="s">
        <v>18428</v>
      </c>
    </row>
    <row r="6675" spans="1:10" x14ac:dyDescent="0.25">
      <c r="A6675" t="s">
        <v>8</v>
      </c>
      <c r="B6675" t="s">
        <v>18535</v>
      </c>
      <c r="C6675" t="s">
        <v>18536</v>
      </c>
      <c r="D6675">
        <v>1</v>
      </c>
      <c r="E6675" t="s">
        <v>18357</v>
      </c>
      <c r="F6675" t="s">
        <v>18358</v>
      </c>
      <c r="G6675" s="1"/>
      <c r="H6675" t="str">
        <f>"3250613236519"</f>
        <v>3250613236519</v>
      </c>
      <c r="J6675" t="s">
        <v>18433</v>
      </c>
    </row>
    <row r="6676" spans="1:10" x14ac:dyDescent="0.25">
      <c r="A6676" t="s">
        <v>8</v>
      </c>
      <c r="B6676" t="s">
        <v>18537</v>
      </c>
      <c r="C6676" t="s">
        <v>18538</v>
      </c>
      <c r="D6676">
        <v>1</v>
      </c>
      <c r="E6676" t="s">
        <v>18357</v>
      </c>
      <c r="F6676" t="s">
        <v>18358</v>
      </c>
      <c r="G6676" s="1"/>
      <c r="H6676" t="str">
        <f>"3250613236533"</f>
        <v>3250613236533</v>
      </c>
      <c r="J6676" t="s">
        <v>18433</v>
      </c>
    </row>
    <row r="6677" spans="1:10" x14ac:dyDescent="0.25">
      <c r="A6677" t="s">
        <v>8</v>
      </c>
      <c r="B6677" t="s">
        <v>18539</v>
      </c>
      <c r="C6677" t="s">
        <v>18540</v>
      </c>
      <c r="D6677">
        <v>1</v>
      </c>
      <c r="E6677" t="s">
        <v>18357</v>
      </c>
      <c r="F6677" t="s">
        <v>18358</v>
      </c>
      <c r="G6677" s="1"/>
      <c r="H6677" t="str">
        <f>"3250610031353"</f>
        <v>3250610031353</v>
      </c>
      <c r="J6677" t="s">
        <v>18541</v>
      </c>
    </row>
    <row r="6678" spans="1:10" x14ac:dyDescent="0.25">
      <c r="A6678" t="s">
        <v>8</v>
      </c>
      <c r="B6678" t="s">
        <v>18542</v>
      </c>
      <c r="C6678" t="s">
        <v>18543</v>
      </c>
      <c r="D6678">
        <v>1</v>
      </c>
      <c r="E6678" t="s">
        <v>18357</v>
      </c>
      <c r="F6678" t="s">
        <v>18358</v>
      </c>
      <c r="G6678" s="1"/>
      <c r="H6678" t="str">
        <f>"3250610031377"</f>
        <v>3250610031377</v>
      </c>
      <c r="J6678" t="s">
        <v>18544</v>
      </c>
    </row>
    <row r="6679" spans="1:10" x14ac:dyDescent="0.25">
      <c r="A6679" t="s">
        <v>8</v>
      </c>
      <c r="B6679" t="s">
        <v>18545</v>
      </c>
      <c r="C6679" t="s">
        <v>18546</v>
      </c>
      <c r="D6679">
        <v>1</v>
      </c>
      <c r="E6679" t="s">
        <v>18357</v>
      </c>
      <c r="F6679" t="s">
        <v>18358</v>
      </c>
      <c r="G6679" s="1"/>
      <c r="H6679" t="str">
        <f>"3250610028544"</f>
        <v>3250610028544</v>
      </c>
      <c r="J6679" t="s">
        <v>18547</v>
      </c>
    </row>
    <row r="6680" spans="1:10" x14ac:dyDescent="0.25">
      <c r="A6680" t="s">
        <v>8</v>
      </c>
      <c r="B6680" t="s">
        <v>18548</v>
      </c>
      <c r="C6680" t="s">
        <v>18549</v>
      </c>
      <c r="D6680">
        <v>1</v>
      </c>
      <c r="E6680" t="s">
        <v>18357</v>
      </c>
      <c r="F6680" t="s">
        <v>18358</v>
      </c>
      <c r="G6680" s="1"/>
      <c r="H6680" t="str">
        <f>"3250610028551"</f>
        <v>3250610028551</v>
      </c>
      <c r="J6680" t="s">
        <v>18547</v>
      </c>
    </row>
    <row r="6681" spans="1:10" x14ac:dyDescent="0.25">
      <c r="A6681" t="s">
        <v>8</v>
      </c>
      <c r="B6681" t="s">
        <v>18550</v>
      </c>
      <c r="C6681" t="s">
        <v>18551</v>
      </c>
      <c r="D6681">
        <v>1</v>
      </c>
      <c r="E6681" t="s">
        <v>18357</v>
      </c>
      <c r="F6681" t="s">
        <v>18358</v>
      </c>
      <c r="G6681" s="1"/>
      <c r="H6681" t="str">
        <f>"3250610028568"</f>
        <v>3250610028568</v>
      </c>
      <c r="J6681" t="s">
        <v>18552</v>
      </c>
    </row>
    <row r="6682" spans="1:10" x14ac:dyDescent="0.25">
      <c r="A6682" t="s">
        <v>8</v>
      </c>
      <c r="B6682" t="s">
        <v>18553</v>
      </c>
      <c r="C6682" t="s">
        <v>18554</v>
      </c>
      <c r="D6682">
        <v>1</v>
      </c>
      <c r="E6682" t="s">
        <v>18357</v>
      </c>
      <c r="F6682" t="s">
        <v>18358</v>
      </c>
      <c r="G6682" s="1"/>
      <c r="H6682" t="str">
        <f>"3250610028575"</f>
        <v>3250610028575</v>
      </c>
      <c r="J6682" t="s">
        <v>18552</v>
      </c>
    </row>
    <row r="6683" spans="1:10" x14ac:dyDescent="0.25">
      <c r="A6683" t="s">
        <v>8</v>
      </c>
      <c r="B6683" t="s">
        <v>18555</v>
      </c>
      <c r="C6683" t="s">
        <v>18556</v>
      </c>
      <c r="D6683">
        <v>1</v>
      </c>
      <c r="E6683" t="s">
        <v>18357</v>
      </c>
      <c r="F6683" t="s">
        <v>18358</v>
      </c>
      <c r="G6683" s="1"/>
      <c r="H6683" t="str">
        <f>"3250610028582"</f>
        <v>3250610028582</v>
      </c>
      <c r="J6683" t="s">
        <v>18557</v>
      </c>
    </row>
    <row r="6684" spans="1:10" x14ac:dyDescent="0.25">
      <c r="A6684" t="s">
        <v>8</v>
      </c>
      <c r="B6684" t="s">
        <v>18558</v>
      </c>
      <c r="C6684" t="s">
        <v>18559</v>
      </c>
      <c r="D6684">
        <v>1</v>
      </c>
      <c r="E6684" t="s">
        <v>18357</v>
      </c>
      <c r="F6684" t="s">
        <v>18358</v>
      </c>
      <c r="G6684" s="1"/>
      <c r="H6684" t="str">
        <f>"3250610028599"</f>
        <v>3250610028599</v>
      </c>
      <c r="J6684" t="s">
        <v>18557</v>
      </c>
    </row>
    <row r="6685" spans="1:10" x14ac:dyDescent="0.25">
      <c r="A6685" t="s">
        <v>8</v>
      </c>
      <c r="B6685" t="s">
        <v>18560</v>
      </c>
      <c r="C6685" t="s">
        <v>18561</v>
      </c>
      <c r="D6685">
        <v>1</v>
      </c>
      <c r="E6685" t="s">
        <v>18357</v>
      </c>
      <c r="F6685" t="s">
        <v>18358</v>
      </c>
      <c r="G6685" s="1"/>
      <c r="H6685" t="str">
        <f>"3250610028605"</f>
        <v>3250610028605</v>
      </c>
      <c r="J6685" t="s">
        <v>18562</v>
      </c>
    </row>
    <row r="6686" spans="1:10" x14ac:dyDescent="0.25">
      <c r="A6686" t="s">
        <v>8</v>
      </c>
      <c r="B6686" t="s">
        <v>18563</v>
      </c>
      <c r="C6686" t="s">
        <v>18564</v>
      </c>
      <c r="D6686">
        <v>1</v>
      </c>
      <c r="E6686" t="s">
        <v>18357</v>
      </c>
      <c r="F6686" t="s">
        <v>18358</v>
      </c>
      <c r="G6686" s="1"/>
      <c r="H6686" t="str">
        <f>"3250610028612"</f>
        <v>3250610028612</v>
      </c>
      <c r="J6686" t="s">
        <v>18562</v>
      </c>
    </row>
    <row r="6687" spans="1:10" x14ac:dyDescent="0.25">
      <c r="A6687" t="s">
        <v>8</v>
      </c>
      <c r="B6687" t="s">
        <v>18565</v>
      </c>
      <c r="C6687" t="s">
        <v>18566</v>
      </c>
      <c r="D6687">
        <v>1</v>
      </c>
      <c r="E6687" t="s">
        <v>18357</v>
      </c>
      <c r="F6687" t="s">
        <v>18358</v>
      </c>
      <c r="G6687" s="1"/>
      <c r="H6687" t="str">
        <f>"3250610028667"</f>
        <v>3250610028667</v>
      </c>
      <c r="J6687" t="s">
        <v>18567</v>
      </c>
    </row>
    <row r="6688" spans="1:10" x14ac:dyDescent="0.25">
      <c r="A6688" t="s">
        <v>8</v>
      </c>
      <c r="B6688" t="s">
        <v>18568</v>
      </c>
      <c r="C6688" t="s">
        <v>18569</v>
      </c>
      <c r="D6688">
        <v>1</v>
      </c>
      <c r="E6688" t="s">
        <v>18357</v>
      </c>
      <c r="F6688" t="s">
        <v>18358</v>
      </c>
      <c r="G6688" s="1"/>
      <c r="H6688" t="str">
        <f>"3250610028674"</f>
        <v>3250610028674</v>
      </c>
      <c r="J6688" t="s">
        <v>18567</v>
      </c>
    </row>
    <row r="6689" spans="1:10" x14ac:dyDescent="0.25">
      <c r="A6689" t="s">
        <v>8</v>
      </c>
      <c r="B6689" t="s">
        <v>18570</v>
      </c>
      <c r="C6689" t="s">
        <v>18571</v>
      </c>
      <c r="D6689">
        <v>1</v>
      </c>
      <c r="E6689" t="s">
        <v>18357</v>
      </c>
      <c r="F6689" t="s">
        <v>18358</v>
      </c>
      <c r="G6689" s="1"/>
      <c r="H6689" t="str">
        <f>"3250610028681"</f>
        <v>3250610028681</v>
      </c>
      <c r="J6689" t="s">
        <v>18572</v>
      </c>
    </row>
    <row r="6690" spans="1:10" x14ac:dyDescent="0.25">
      <c r="A6690" t="s">
        <v>8</v>
      </c>
      <c r="B6690" t="s">
        <v>18573</v>
      </c>
      <c r="C6690" t="s">
        <v>18574</v>
      </c>
      <c r="D6690">
        <v>1</v>
      </c>
      <c r="E6690" t="s">
        <v>18357</v>
      </c>
      <c r="F6690" t="s">
        <v>18358</v>
      </c>
      <c r="G6690" s="1"/>
      <c r="H6690" t="str">
        <f>"3250610028698"</f>
        <v>3250610028698</v>
      </c>
      <c r="J6690" t="s">
        <v>18572</v>
      </c>
    </row>
    <row r="6691" spans="1:10" x14ac:dyDescent="0.25">
      <c r="A6691" t="s">
        <v>8</v>
      </c>
      <c r="B6691" t="s">
        <v>18575</v>
      </c>
      <c r="C6691" t="s">
        <v>18576</v>
      </c>
      <c r="D6691">
        <v>1</v>
      </c>
      <c r="E6691" t="s">
        <v>18357</v>
      </c>
      <c r="F6691" t="s">
        <v>18358</v>
      </c>
      <c r="G6691" s="1"/>
      <c r="H6691" t="str">
        <f>"3250610028704"</f>
        <v>3250610028704</v>
      </c>
      <c r="J6691" t="s">
        <v>18577</v>
      </c>
    </row>
    <row r="6692" spans="1:10" x14ac:dyDescent="0.25">
      <c r="A6692" t="s">
        <v>8</v>
      </c>
      <c r="B6692" t="s">
        <v>18578</v>
      </c>
      <c r="C6692" t="s">
        <v>18579</v>
      </c>
      <c r="D6692">
        <v>1</v>
      </c>
      <c r="E6692" t="s">
        <v>18357</v>
      </c>
      <c r="F6692" t="s">
        <v>18358</v>
      </c>
      <c r="G6692" s="1"/>
      <c r="H6692" t="str">
        <f>"3250610028711"</f>
        <v>3250610028711</v>
      </c>
      <c r="J6692" t="s">
        <v>18577</v>
      </c>
    </row>
    <row r="6693" spans="1:10" x14ac:dyDescent="0.25">
      <c r="A6693" t="s">
        <v>8</v>
      </c>
      <c r="B6693" t="s">
        <v>18580</v>
      </c>
      <c r="C6693" t="s">
        <v>18581</v>
      </c>
      <c r="D6693">
        <v>1</v>
      </c>
      <c r="E6693" t="s">
        <v>18357</v>
      </c>
      <c r="F6693" t="s">
        <v>18358</v>
      </c>
      <c r="G6693" s="1"/>
      <c r="H6693" t="str">
        <f>"3250610028728"</f>
        <v>3250610028728</v>
      </c>
      <c r="J6693" t="s">
        <v>18582</v>
      </c>
    </row>
    <row r="6694" spans="1:10" x14ac:dyDescent="0.25">
      <c r="A6694" t="s">
        <v>8</v>
      </c>
      <c r="B6694" t="s">
        <v>18583</v>
      </c>
      <c r="C6694" t="s">
        <v>18584</v>
      </c>
      <c r="D6694">
        <v>1</v>
      </c>
      <c r="E6694" t="s">
        <v>18357</v>
      </c>
      <c r="F6694" t="s">
        <v>18358</v>
      </c>
      <c r="G6694" s="1"/>
      <c r="H6694" t="str">
        <f>"3250610028735"</f>
        <v>3250610028735</v>
      </c>
      <c r="J6694" t="s">
        <v>18582</v>
      </c>
    </row>
    <row r="6695" spans="1:10" x14ac:dyDescent="0.25">
      <c r="A6695" t="s">
        <v>8</v>
      </c>
      <c r="B6695" t="s">
        <v>18585</v>
      </c>
      <c r="C6695" t="s">
        <v>18586</v>
      </c>
      <c r="D6695">
        <v>1</v>
      </c>
      <c r="E6695" t="s">
        <v>18357</v>
      </c>
      <c r="F6695" t="s">
        <v>18358</v>
      </c>
      <c r="G6695" s="1"/>
      <c r="H6695" t="str">
        <f>"3250610028780"</f>
        <v>3250610028780</v>
      </c>
      <c r="J6695" t="s">
        <v>18587</v>
      </c>
    </row>
    <row r="6696" spans="1:10" x14ac:dyDescent="0.25">
      <c r="A6696" t="s">
        <v>8</v>
      </c>
      <c r="B6696" t="s">
        <v>18588</v>
      </c>
      <c r="C6696" t="s">
        <v>18589</v>
      </c>
      <c r="D6696">
        <v>1</v>
      </c>
      <c r="E6696" t="s">
        <v>18357</v>
      </c>
      <c r="F6696" t="s">
        <v>18358</v>
      </c>
      <c r="G6696" s="1"/>
      <c r="H6696" t="str">
        <f>"3250610028797"</f>
        <v>3250610028797</v>
      </c>
      <c r="J6696" t="s">
        <v>18587</v>
      </c>
    </row>
    <row r="6697" spans="1:10" x14ac:dyDescent="0.25">
      <c r="A6697" t="s">
        <v>8</v>
      </c>
      <c r="B6697" t="s">
        <v>18590</v>
      </c>
      <c r="C6697" t="s">
        <v>18591</v>
      </c>
      <c r="D6697">
        <v>1</v>
      </c>
      <c r="E6697" t="s">
        <v>18357</v>
      </c>
      <c r="F6697" t="s">
        <v>18358</v>
      </c>
      <c r="G6697" s="1"/>
      <c r="H6697" t="str">
        <f>"3250610028803"</f>
        <v>3250610028803</v>
      </c>
      <c r="J6697" t="s">
        <v>18592</v>
      </c>
    </row>
    <row r="6698" spans="1:10" x14ac:dyDescent="0.25">
      <c r="A6698" t="s">
        <v>8</v>
      </c>
      <c r="B6698" t="s">
        <v>18593</v>
      </c>
      <c r="C6698" t="s">
        <v>18594</v>
      </c>
      <c r="D6698">
        <v>1</v>
      </c>
      <c r="E6698" t="s">
        <v>18357</v>
      </c>
      <c r="F6698" t="s">
        <v>18358</v>
      </c>
      <c r="G6698" s="1"/>
      <c r="H6698" t="str">
        <f>"3250610028810"</f>
        <v>3250610028810</v>
      </c>
      <c r="J6698" t="s">
        <v>18592</v>
      </c>
    </row>
    <row r="6699" spans="1:10" x14ac:dyDescent="0.25">
      <c r="A6699" t="s">
        <v>8</v>
      </c>
      <c r="B6699" t="s">
        <v>18595</v>
      </c>
      <c r="C6699" t="s">
        <v>18596</v>
      </c>
      <c r="D6699">
        <v>1</v>
      </c>
      <c r="E6699" t="s">
        <v>18357</v>
      </c>
      <c r="F6699" t="s">
        <v>18358</v>
      </c>
      <c r="G6699" s="1"/>
      <c r="H6699" t="str">
        <f>"3250610028827"</f>
        <v>3250610028827</v>
      </c>
      <c r="J6699" t="s">
        <v>18597</v>
      </c>
    </row>
    <row r="6700" spans="1:10" x14ac:dyDescent="0.25">
      <c r="A6700" t="s">
        <v>8</v>
      </c>
      <c r="B6700" t="s">
        <v>18598</v>
      </c>
      <c r="C6700" t="s">
        <v>18599</v>
      </c>
      <c r="D6700">
        <v>1</v>
      </c>
      <c r="E6700" t="s">
        <v>18357</v>
      </c>
      <c r="F6700" t="s">
        <v>18358</v>
      </c>
      <c r="G6700" s="1"/>
      <c r="H6700" t="str">
        <f>"3250610028834"</f>
        <v>3250610028834</v>
      </c>
      <c r="J6700" t="s">
        <v>18597</v>
      </c>
    </row>
    <row r="6701" spans="1:10" x14ac:dyDescent="0.25">
      <c r="A6701" t="s">
        <v>8</v>
      </c>
      <c r="B6701" t="s">
        <v>18600</v>
      </c>
      <c r="C6701" t="s">
        <v>18601</v>
      </c>
      <c r="D6701">
        <v>1</v>
      </c>
      <c r="E6701" t="s">
        <v>18357</v>
      </c>
      <c r="F6701" t="s">
        <v>18358</v>
      </c>
      <c r="G6701" s="1"/>
      <c r="H6701" t="str">
        <f>"3250610028841"</f>
        <v>3250610028841</v>
      </c>
      <c r="J6701" t="s">
        <v>18567</v>
      </c>
    </row>
    <row r="6702" spans="1:10" x14ac:dyDescent="0.25">
      <c r="A6702" t="s">
        <v>8</v>
      </c>
      <c r="B6702" t="s">
        <v>18602</v>
      </c>
      <c r="C6702" t="s">
        <v>18603</v>
      </c>
      <c r="D6702">
        <v>1</v>
      </c>
      <c r="E6702" t="s">
        <v>18357</v>
      </c>
      <c r="F6702" t="s">
        <v>18358</v>
      </c>
      <c r="G6702" s="1"/>
      <c r="H6702" t="str">
        <f>"3250610028858"</f>
        <v>3250610028858</v>
      </c>
      <c r="J6702" t="s">
        <v>18567</v>
      </c>
    </row>
    <row r="6703" spans="1:10" x14ac:dyDescent="0.25">
      <c r="A6703" t="s">
        <v>8</v>
      </c>
      <c r="B6703" t="s">
        <v>18604</v>
      </c>
      <c r="C6703" t="s">
        <v>18605</v>
      </c>
      <c r="D6703">
        <v>1</v>
      </c>
      <c r="E6703" t="s">
        <v>18357</v>
      </c>
      <c r="F6703" t="s">
        <v>18358</v>
      </c>
      <c r="G6703" s="1"/>
      <c r="H6703" t="str">
        <f>"3250610028902"</f>
        <v>3250610028902</v>
      </c>
      <c r="J6703" t="s">
        <v>18606</v>
      </c>
    </row>
    <row r="6704" spans="1:10" x14ac:dyDescent="0.25">
      <c r="A6704" t="s">
        <v>8</v>
      </c>
      <c r="B6704" t="s">
        <v>18607</v>
      </c>
      <c r="C6704" t="s">
        <v>18608</v>
      </c>
      <c r="D6704">
        <v>1</v>
      </c>
      <c r="E6704" t="s">
        <v>18357</v>
      </c>
      <c r="F6704" t="s">
        <v>18358</v>
      </c>
      <c r="G6704" s="1"/>
      <c r="H6704" t="str">
        <f>"3250610028919"</f>
        <v>3250610028919</v>
      </c>
      <c r="J6704" t="s">
        <v>18606</v>
      </c>
    </row>
    <row r="6705" spans="1:10" x14ac:dyDescent="0.25">
      <c r="A6705" t="s">
        <v>8</v>
      </c>
      <c r="B6705" t="s">
        <v>18609</v>
      </c>
      <c r="C6705" t="s">
        <v>18610</v>
      </c>
      <c r="D6705">
        <v>1</v>
      </c>
      <c r="E6705" t="s">
        <v>18357</v>
      </c>
      <c r="F6705" t="s">
        <v>18358</v>
      </c>
      <c r="G6705" s="1"/>
      <c r="H6705" t="str">
        <f>"3250610028926"</f>
        <v>3250610028926</v>
      </c>
      <c r="J6705" t="s">
        <v>18611</v>
      </c>
    </row>
    <row r="6706" spans="1:10" x14ac:dyDescent="0.25">
      <c r="A6706" t="s">
        <v>8</v>
      </c>
      <c r="B6706" t="s">
        <v>18612</v>
      </c>
      <c r="C6706" t="s">
        <v>18613</v>
      </c>
      <c r="D6706">
        <v>1</v>
      </c>
      <c r="E6706" t="s">
        <v>18357</v>
      </c>
      <c r="F6706" t="s">
        <v>18358</v>
      </c>
      <c r="G6706" s="1"/>
      <c r="H6706" t="str">
        <f>"3250610028933"</f>
        <v>3250610028933</v>
      </c>
      <c r="J6706" t="s">
        <v>18611</v>
      </c>
    </row>
    <row r="6707" spans="1:10" x14ac:dyDescent="0.25">
      <c r="A6707" t="s">
        <v>8</v>
      </c>
      <c r="B6707" t="s">
        <v>18614</v>
      </c>
      <c r="C6707" t="s">
        <v>18615</v>
      </c>
      <c r="D6707">
        <v>1</v>
      </c>
      <c r="E6707" t="s">
        <v>18357</v>
      </c>
      <c r="F6707" t="s">
        <v>18358</v>
      </c>
      <c r="G6707" s="1"/>
      <c r="H6707" t="str">
        <f>"3250610028940"</f>
        <v>3250610028940</v>
      </c>
      <c r="J6707" t="s">
        <v>18616</v>
      </c>
    </row>
    <row r="6708" spans="1:10" x14ac:dyDescent="0.25">
      <c r="A6708" t="s">
        <v>8</v>
      </c>
      <c r="B6708" t="s">
        <v>18617</v>
      </c>
      <c r="C6708" t="s">
        <v>18618</v>
      </c>
      <c r="D6708">
        <v>1</v>
      </c>
      <c r="E6708" t="s">
        <v>18357</v>
      </c>
      <c r="F6708" t="s">
        <v>18358</v>
      </c>
      <c r="G6708" s="1"/>
      <c r="H6708" t="str">
        <f>"3250610028957"</f>
        <v>3250610028957</v>
      </c>
      <c r="J6708" t="s">
        <v>18616</v>
      </c>
    </row>
    <row r="6709" spans="1:10" x14ac:dyDescent="0.25">
      <c r="A6709" t="s">
        <v>8</v>
      </c>
      <c r="B6709" t="s">
        <v>18619</v>
      </c>
      <c r="C6709" t="s">
        <v>18620</v>
      </c>
      <c r="D6709">
        <v>1</v>
      </c>
      <c r="E6709" t="s">
        <v>18357</v>
      </c>
      <c r="F6709" t="s">
        <v>18358</v>
      </c>
      <c r="G6709" s="1"/>
      <c r="H6709" t="str">
        <f>"3250610028964"</f>
        <v>3250610028964</v>
      </c>
      <c r="J6709" t="s">
        <v>18621</v>
      </c>
    </row>
    <row r="6710" spans="1:10" x14ac:dyDescent="0.25">
      <c r="A6710" t="s">
        <v>8</v>
      </c>
      <c r="B6710" t="s">
        <v>18622</v>
      </c>
      <c r="C6710" t="s">
        <v>18623</v>
      </c>
      <c r="D6710">
        <v>1</v>
      </c>
      <c r="E6710" t="s">
        <v>18357</v>
      </c>
      <c r="F6710" t="s">
        <v>18358</v>
      </c>
      <c r="G6710" s="1"/>
      <c r="H6710" t="str">
        <f>"3250610028971"</f>
        <v>3250610028971</v>
      </c>
      <c r="J6710" t="s">
        <v>18621</v>
      </c>
    </row>
    <row r="6711" spans="1:10" x14ac:dyDescent="0.25">
      <c r="A6711" t="s">
        <v>8</v>
      </c>
      <c r="B6711" t="s">
        <v>18624</v>
      </c>
      <c r="C6711" t="s">
        <v>18625</v>
      </c>
      <c r="D6711">
        <v>1</v>
      </c>
      <c r="E6711" t="s">
        <v>18357</v>
      </c>
      <c r="F6711" t="s">
        <v>18358</v>
      </c>
      <c r="G6711" s="1"/>
      <c r="H6711" t="str">
        <f>"3250610029244"</f>
        <v>3250610029244</v>
      </c>
      <c r="J6711" t="s">
        <v>18626</v>
      </c>
    </row>
    <row r="6712" spans="1:10" x14ac:dyDescent="0.25">
      <c r="A6712" t="s">
        <v>8</v>
      </c>
      <c r="B6712" t="s">
        <v>18627</v>
      </c>
      <c r="C6712" t="s">
        <v>18628</v>
      </c>
      <c r="D6712">
        <v>1</v>
      </c>
      <c r="E6712" t="s">
        <v>18357</v>
      </c>
      <c r="F6712" t="s">
        <v>18358</v>
      </c>
      <c r="G6712" s="1"/>
      <c r="H6712" t="str">
        <f>"3250610029251"</f>
        <v>3250610029251</v>
      </c>
      <c r="J6712" t="s">
        <v>18629</v>
      </c>
    </row>
    <row r="6713" spans="1:10" x14ac:dyDescent="0.25">
      <c r="A6713" t="s">
        <v>8</v>
      </c>
      <c r="B6713" t="s">
        <v>18630</v>
      </c>
      <c r="C6713" t="s">
        <v>18631</v>
      </c>
      <c r="D6713">
        <v>1</v>
      </c>
      <c r="E6713" t="s">
        <v>18357</v>
      </c>
      <c r="F6713" t="s">
        <v>18358</v>
      </c>
      <c r="G6713" s="1"/>
      <c r="H6713" t="str">
        <f>"3250610029268"</f>
        <v>3250610029268</v>
      </c>
      <c r="J6713" t="s">
        <v>18632</v>
      </c>
    </row>
    <row r="6714" spans="1:10" x14ac:dyDescent="0.25">
      <c r="A6714" t="s">
        <v>8</v>
      </c>
      <c r="B6714" t="s">
        <v>18633</v>
      </c>
      <c r="C6714" t="s">
        <v>18634</v>
      </c>
      <c r="D6714">
        <v>1</v>
      </c>
      <c r="E6714" t="s">
        <v>18357</v>
      </c>
      <c r="F6714" t="s">
        <v>18358</v>
      </c>
      <c r="G6714" s="1"/>
      <c r="H6714" t="str">
        <f>"3250610029275"</f>
        <v>3250610029275</v>
      </c>
      <c r="J6714" t="s">
        <v>18635</v>
      </c>
    </row>
    <row r="6715" spans="1:10" x14ac:dyDescent="0.25">
      <c r="A6715" t="s">
        <v>8</v>
      </c>
      <c r="B6715" t="s">
        <v>18636</v>
      </c>
      <c r="C6715" t="s">
        <v>18637</v>
      </c>
      <c r="D6715">
        <v>1</v>
      </c>
      <c r="E6715" t="s">
        <v>18357</v>
      </c>
      <c r="F6715" t="s">
        <v>18358</v>
      </c>
      <c r="G6715" s="1"/>
      <c r="H6715" t="str">
        <f>"3250610029305"</f>
        <v>3250610029305</v>
      </c>
      <c r="J6715" t="s">
        <v>18638</v>
      </c>
    </row>
    <row r="6716" spans="1:10" x14ac:dyDescent="0.25">
      <c r="A6716" t="s">
        <v>8</v>
      </c>
      <c r="B6716" t="s">
        <v>18639</v>
      </c>
      <c r="C6716" t="s">
        <v>18640</v>
      </c>
      <c r="D6716">
        <v>1</v>
      </c>
      <c r="E6716" t="s">
        <v>18357</v>
      </c>
      <c r="F6716" t="s">
        <v>18358</v>
      </c>
      <c r="G6716" s="1"/>
      <c r="H6716" t="str">
        <f>"3250610029312"</f>
        <v>3250610029312</v>
      </c>
      <c r="J6716" t="s">
        <v>18641</v>
      </c>
    </row>
    <row r="6717" spans="1:10" x14ac:dyDescent="0.25">
      <c r="A6717" t="s">
        <v>8</v>
      </c>
      <c r="B6717" t="s">
        <v>18642</v>
      </c>
      <c r="C6717" t="s">
        <v>18643</v>
      </c>
      <c r="D6717">
        <v>1</v>
      </c>
      <c r="E6717" t="s">
        <v>18357</v>
      </c>
      <c r="F6717" t="s">
        <v>18358</v>
      </c>
      <c r="G6717" s="1"/>
      <c r="H6717" t="str">
        <f>"3250610029329"</f>
        <v>3250610029329</v>
      </c>
      <c r="J6717" t="s">
        <v>18644</v>
      </c>
    </row>
    <row r="6718" spans="1:10" x14ac:dyDescent="0.25">
      <c r="A6718" t="s">
        <v>8</v>
      </c>
      <c r="B6718" t="s">
        <v>18645</v>
      </c>
      <c r="C6718" t="s">
        <v>18646</v>
      </c>
      <c r="D6718">
        <v>1</v>
      </c>
      <c r="E6718" t="s">
        <v>18357</v>
      </c>
      <c r="F6718" t="s">
        <v>18358</v>
      </c>
      <c r="G6718" s="1"/>
      <c r="H6718" t="str">
        <f>"3250610029336"</f>
        <v>3250610029336</v>
      </c>
      <c r="J6718" t="s">
        <v>18552</v>
      </c>
    </row>
    <row r="6719" spans="1:10" x14ac:dyDescent="0.25">
      <c r="A6719" t="s">
        <v>8</v>
      </c>
      <c r="B6719" t="s">
        <v>18647</v>
      </c>
      <c r="C6719" t="s">
        <v>18648</v>
      </c>
      <c r="D6719">
        <v>1</v>
      </c>
      <c r="E6719" t="s">
        <v>18649</v>
      </c>
      <c r="F6719" t="s">
        <v>18650</v>
      </c>
      <c r="G6719" s="1"/>
      <c r="H6719" t="str">
        <f>"3250613234201"</f>
        <v>3250613234201</v>
      </c>
      <c r="J6719" t="s">
        <v>18651</v>
      </c>
    </row>
    <row r="6720" spans="1:10" x14ac:dyDescent="0.25">
      <c r="A6720" t="s">
        <v>8</v>
      </c>
      <c r="B6720" t="s">
        <v>18652</v>
      </c>
      <c r="C6720" t="s">
        <v>18653</v>
      </c>
      <c r="D6720">
        <v>1</v>
      </c>
      <c r="E6720" t="s">
        <v>18649</v>
      </c>
      <c r="F6720" t="s">
        <v>18650</v>
      </c>
      <c r="G6720" s="1"/>
      <c r="H6720" t="str">
        <f>"3250613234218"</f>
        <v>3250613234218</v>
      </c>
      <c r="J6720" t="s">
        <v>18654</v>
      </c>
    </row>
    <row r="6721" spans="1:10" x14ac:dyDescent="0.25">
      <c r="A6721" t="s">
        <v>8</v>
      </c>
      <c r="B6721" t="s">
        <v>18655</v>
      </c>
      <c r="C6721" t="s">
        <v>18656</v>
      </c>
      <c r="D6721">
        <v>1</v>
      </c>
      <c r="E6721" t="s">
        <v>18649</v>
      </c>
      <c r="F6721" t="s">
        <v>18650</v>
      </c>
      <c r="G6721" s="1"/>
      <c r="H6721" t="str">
        <f>"3250613234225"</f>
        <v>3250613234225</v>
      </c>
      <c r="J6721" t="s">
        <v>18654</v>
      </c>
    </row>
    <row r="6722" spans="1:10" x14ac:dyDescent="0.25">
      <c r="A6722" t="s">
        <v>8</v>
      </c>
      <c r="B6722" t="s">
        <v>18657</v>
      </c>
      <c r="C6722" t="s">
        <v>18658</v>
      </c>
      <c r="D6722">
        <v>1</v>
      </c>
      <c r="E6722" t="s">
        <v>18649</v>
      </c>
      <c r="F6722" t="s">
        <v>18650</v>
      </c>
      <c r="G6722" s="1"/>
      <c r="H6722" t="str">
        <f>"3250613234232"</f>
        <v>3250613234232</v>
      </c>
      <c r="J6722" t="s">
        <v>18089</v>
      </c>
    </row>
    <row r="6723" spans="1:10" x14ac:dyDescent="0.25">
      <c r="A6723" t="s">
        <v>8</v>
      </c>
      <c r="B6723" t="s">
        <v>18659</v>
      </c>
      <c r="C6723" t="s">
        <v>18660</v>
      </c>
      <c r="D6723">
        <v>1</v>
      </c>
      <c r="E6723" t="s">
        <v>18649</v>
      </c>
      <c r="F6723" t="s">
        <v>18650</v>
      </c>
      <c r="G6723" s="1"/>
      <c r="H6723" t="str">
        <f>"3250613141950"</f>
        <v>3250613141950</v>
      </c>
      <c r="J6723" t="s">
        <v>18148</v>
      </c>
    </row>
    <row r="6724" spans="1:10" x14ac:dyDescent="0.25">
      <c r="A6724" t="s">
        <v>8</v>
      </c>
      <c r="B6724" t="s">
        <v>18661</v>
      </c>
      <c r="C6724" t="s">
        <v>18662</v>
      </c>
      <c r="D6724">
        <v>1</v>
      </c>
      <c r="E6724" t="s">
        <v>18649</v>
      </c>
      <c r="F6724" t="s">
        <v>18650</v>
      </c>
      <c r="G6724" s="1"/>
      <c r="H6724" t="str">
        <f>"3250613141967"</f>
        <v>3250613141967</v>
      </c>
      <c r="J6724" t="s">
        <v>18148</v>
      </c>
    </row>
    <row r="6725" spans="1:10" x14ac:dyDescent="0.25">
      <c r="A6725" t="s">
        <v>8</v>
      </c>
      <c r="B6725" t="s">
        <v>18663</v>
      </c>
      <c r="C6725" t="s">
        <v>18664</v>
      </c>
      <c r="D6725">
        <v>1</v>
      </c>
      <c r="E6725" t="s">
        <v>18649</v>
      </c>
      <c r="F6725" t="s">
        <v>18650</v>
      </c>
      <c r="G6725" s="1"/>
      <c r="H6725" t="str">
        <f>"3250613141981"</f>
        <v>3250613141981</v>
      </c>
      <c r="J6725" t="s">
        <v>18148</v>
      </c>
    </row>
    <row r="6726" spans="1:10" x14ac:dyDescent="0.25">
      <c r="A6726" t="s">
        <v>8</v>
      </c>
      <c r="B6726" t="s">
        <v>18665</v>
      </c>
      <c r="C6726" t="s">
        <v>18666</v>
      </c>
      <c r="D6726">
        <v>1</v>
      </c>
      <c r="E6726" t="s">
        <v>18649</v>
      </c>
      <c r="F6726" t="s">
        <v>18650</v>
      </c>
      <c r="G6726" s="1"/>
      <c r="H6726" t="str">
        <f>"3250613141998"</f>
        <v>3250613141998</v>
      </c>
      <c r="J6726" t="s">
        <v>18148</v>
      </c>
    </row>
    <row r="6727" spans="1:10" x14ac:dyDescent="0.25">
      <c r="A6727" t="s">
        <v>8</v>
      </c>
      <c r="B6727" t="s">
        <v>18667</v>
      </c>
      <c r="C6727" t="s">
        <v>18668</v>
      </c>
      <c r="D6727">
        <v>1</v>
      </c>
      <c r="E6727" t="s">
        <v>18649</v>
      </c>
      <c r="F6727" t="s">
        <v>18650</v>
      </c>
      <c r="G6727" s="1"/>
      <c r="H6727" t="str">
        <f>"3250613113995"</f>
        <v>3250613113995</v>
      </c>
      <c r="J6727" t="s">
        <v>18156</v>
      </c>
    </row>
    <row r="6728" spans="1:10" x14ac:dyDescent="0.25">
      <c r="A6728" t="s">
        <v>8</v>
      </c>
      <c r="B6728" t="s">
        <v>18669</v>
      </c>
      <c r="C6728" t="s">
        <v>18670</v>
      </c>
      <c r="D6728">
        <v>1</v>
      </c>
      <c r="E6728" t="s">
        <v>18649</v>
      </c>
      <c r="F6728" t="s">
        <v>18650</v>
      </c>
      <c r="G6728" s="1"/>
      <c r="H6728" t="str">
        <f>"3250613145996"</f>
        <v>3250613145996</v>
      </c>
      <c r="J6728" t="s">
        <v>18671</v>
      </c>
    </row>
    <row r="6729" spans="1:10" x14ac:dyDescent="0.25">
      <c r="A6729" t="s">
        <v>8</v>
      </c>
      <c r="B6729" t="s">
        <v>18672</v>
      </c>
      <c r="C6729" t="s">
        <v>18673</v>
      </c>
      <c r="D6729">
        <v>1</v>
      </c>
      <c r="E6729" t="s">
        <v>18649</v>
      </c>
      <c r="F6729" t="s">
        <v>18650</v>
      </c>
      <c r="G6729" s="1"/>
      <c r="H6729" t="str">
        <f>"3250613146009"</f>
        <v>3250613146009</v>
      </c>
      <c r="J6729" t="s">
        <v>18671</v>
      </c>
    </row>
    <row r="6730" spans="1:10" x14ac:dyDescent="0.25">
      <c r="A6730" t="s">
        <v>8</v>
      </c>
      <c r="B6730" t="s">
        <v>18674</v>
      </c>
      <c r="C6730" t="s">
        <v>18675</v>
      </c>
      <c r="D6730">
        <v>1</v>
      </c>
      <c r="E6730" t="s">
        <v>18649</v>
      </c>
      <c r="F6730" t="s">
        <v>18650</v>
      </c>
      <c r="G6730" s="1"/>
      <c r="H6730" t="str">
        <f>"3250613146016"</f>
        <v>3250613146016</v>
      </c>
      <c r="J6730" t="s">
        <v>18676</v>
      </c>
    </row>
    <row r="6731" spans="1:10" x14ac:dyDescent="0.25">
      <c r="A6731" t="s">
        <v>8</v>
      </c>
      <c r="B6731" t="s">
        <v>18677</v>
      </c>
      <c r="C6731" t="s">
        <v>18678</v>
      </c>
      <c r="D6731">
        <v>1</v>
      </c>
      <c r="E6731" t="s">
        <v>18649</v>
      </c>
      <c r="F6731" t="s">
        <v>18650</v>
      </c>
      <c r="G6731" s="1"/>
      <c r="H6731" t="str">
        <f>"3250613146023"</f>
        <v>3250613146023</v>
      </c>
      <c r="J6731" t="s">
        <v>18145</v>
      </c>
    </row>
    <row r="6732" spans="1:10" x14ac:dyDescent="0.25">
      <c r="A6732" t="s">
        <v>8</v>
      </c>
      <c r="B6732" t="s">
        <v>18679</v>
      </c>
      <c r="C6732" t="s">
        <v>18680</v>
      </c>
      <c r="D6732">
        <v>1</v>
      </c>
      <c r="E6732" t="s">
        <v>18649</v>
      </c>
      <c r="F6732" t="s">
        <v>18650</v>
      </c>
      <c r="G6732" s="1"/>
      <c r="H6732" t="str">
        <f>"3250613233099"</f>
        <v>3250613233099</v>
      </c>
      <c r="J6732" t="s">
        <v>18681</v>
      </c>
    </row>
    <row r="6733" spans="1:10" x14ac:dyDescent="0.25">
      <c r="A6733" t="s">
        <v>8</v>
      </c>
      <c r="B6733" t="s">
        <v>18682</v>
      </c>
      <c r="C6733" t="s">
        <v>18683</v>
      </c>
      <c r="D6733">
        <v>1</v>
      </c>
      <c r="E6733" t="s">
        <v>18649</v>
      </c>
      <c r="F6733" t="s">
        <v>18650</v>
      </c>
      <c r="G6733" s="1"/>
      <c r="H6733" t="str">
        <f>"3250613233105"</f>
        <v>3250613233105</v>
      </c>
      <c r="J6733" t="s">
        <v>18684</v>
      </c>
    </row>
    <row r="6734" spans="1:10" x14ac:dyDescent="0.25">
      <c r="A6734" t="s">
        <v>8</v>
      </c>
      <c r="B6734" t="s">
        <v>18685</v>
      </c>
      <c r="C6734" t="s">
        <v>18686</v>
      </c>
      <c r="D6734">
        <v>1</v>
      </c>
      <c r="E6734" t="s">
        <v>18649</v>
      </c>
      <c r="F6734" t="s">
        <v>18650</v>
      </c>
      <c r="G6734" s="1"/>
      <c r="H6734" t="str">
        <f>"3250613233112"</f>
        <v>3250613233112</v>
      </c>
      <c r="J6734" t="s">
        <v>18684</v>
      </c>
    </row>
    <row r="6735" spans="1:10" x14ac:dyDescent="0.25">
      <c r="A6735" t="s">
        <v>8</v>
      </c>
      <c r="B6735" t="s">
        <v>18687</v>
      </c>
      <c r="C6735" t="s">
        <v>18688</v>
      </c>
      <c r="D6735">
        <v>1</v>
      </c>
      <c r="E6735" t="s">
        <v>18649</v>
      </c>
      <c r="F6735" t="s">
        <v>18650</v>
      </c>
      <c r="G6735" s="1"/>
      <c r="H6735" t="str">
        <f>"3250613137878"</f>
        <v>3250613137878</v>
      </c>
      <c r="J6735" t="s">
        <v>18689</v>
      </c>
    </row>
    <row r="6736" spans="1:10" x14ac:dyDescent="0.25">
      <c r="A6736" t="s">
        <v>8</v>
      </c>
      <c r="B6736" t="s">
        <v>18690</v>
      </c>
      <c r="C6736" t="s">
        <v>18691</v>
      </c>
      <c r="D6736">
        <v>1</v>
      </c>
      <c r="E6736" t="s">
        <v>18649</v>
      </c>
      <c r="F6736" t="s">
        <v>18650</v>
      </c>
      <c r="G6736" s="1"/>
      <c r="H6736" t="str">
        <f>"3250613137885"</f>
        <v>3250613137885</v>
      </c>
      <c r="J6736" t="s">
        <v>18689</v>
      </c>
    </row>
    <row r="6737" spans="1:10" x14ac:dyDescent="0.25">
      <c r="A6737" t="s">
        <v>8</v>
      </c>
      <c r="B6737" t="s">
        <v>18692</v>
      </c>
      <c r="C6737" t="s">
        <v>18693</v>
      </c>
      <c r="D6737">
        <v>1</v>
      </c>
      <c r="E6737" t="s">
        <v>18649</v>
      </c>
      <c r="F6737" t="s">
        <v>18650</v>
      </c>
      <c r="G6737" s="1"/>
      <c r="H6737" t="str">
        <f>"3250613137892"</f>
        <v>3250613137892</v>
      </c>
      <c r="J6737" t="s">
        <v>18689</v>
      </c>
    </row>
    <row r="6738" spans="1:10" x14ac:dyDescent="0.25">
      <c r="A6738" t="s">
        <v>8</v>
      </c>
      <c r="B6738" t="s">
        <v>18694</v>
      </c>
      <c r="C6738" t="s">
        <v>18695</v>
      </c>
      <c r="D6738">
        <v>1</v>
      </c>
      <c r="E6738" t="s">
        <v>18649</v>
      </c>
      <c r="F6738" t="s">
        <v>18650</v>
      </c>
      <c r="G6738" s="1"/>
      <c r="H6738" t="str">
        <f>"3250613137908"</f>
        <v>3250613137908</v>
      </c>
      <c r="J6738" t="s">
        <v>18689</v>
      </c>
    </row>
    <row r="6739" spans="1:10" x14ac:dyDescent="0.25">
      <c r="A6739" t="s">
        <v>8</v>
      </c>
      <c r="B6739" t="s">
        <v>18696</v>
      </c>
      <c r="C6739" t="s">
        <v>18697</v>
      </c>
      <c r="D6739">
        <v>1</v>
      </c>
      <c r="E6739" t="s">
        <v>18649</v>
      </c>
      <c r="F6739" t="s">
        <v>18650</v>
      </c>
      <c r="G6739" s="1"/>
      <c r="H6739" t="str">
        <f>"3250613137915"</f>
        <v>3250613137915</v>
      </c>
      <c r="J6739" t="s">
        <v>18689</v>
      </c>
    </row>
    <row r="6740" spans="1:10" x14ac:dyDescent="0.25">
      <c r="A6740" t="s">
        <v>8</v>
      </c>
      <c r="B6740" t="s">
        <v>18698</v>
      </c>
      <c r="C6740" t="s">
        <v>18699</v>
      </c>
      <c r="D6740">
        <v>1</v>
      </c>
      <c r="E6740" t="s">
        <v>18649</v>
      </c>
      <c r="F6740" t="s">
        <v>18650</v>
      </c>
      <c r="G6740" s="1"/>
      <c r="H6740" t="str">
        <f>"3250613246150"</f>
        <v>3250613246150</v>
      </c>
      <c r="J6740" t="s">
        <v>18098</v>
      </c>
    </row>
    <row r="6741" spans="1:10" x14ac:dyDescent="0.25">
      <c r="A6741" t="s">
        <v>8</v>
      </c>
      <c r="B6741" t="s">
        <v>18700</v>
      </c>
      <c r="C6741" t="s">
        <v>18701</v>
      </c>
      <c r="D6741">
        <v>1</v>
      </c>
      <c r="E6741" t="s">
        <v>18649</v>
      </c>
      <c r="F6741" t="s">
        <v>18650</v>
      </c>
      <c r="G6741" s="1"/>
      <c r="H6741" t="str">
        <f>"3250613246167"</f>
        <v>3250613246167</v>
      </c>
      <c r="J6741" t="s">
        <v>18098</v>
      </c>
    </row>
    <row r="6742" spans="1:10" x14ac:dyDescent="0.25">
      <c r="A6742" t="s">
        <v>8</v>
      </c>
      <c r="B6742" t="s">
        <v>18702</v>
      </c>
      <c r="C6742" t="s">
        <v>18703</v>
      </c>
      <c r="D6742">
        <v>1</v>
      </c>
      <c r="E6742" t="s">
        <v>18649</v>
      </c>
      <c r="F6742" t="s">
        <v>18650</v>
      </c>
      <c r="G6742" s="1"/>
      <c r="H6742" t="str">
        <f>"3250613246174"</f>
        <v>3250613246174</v>
      </c>
      <c r="J6742" t="s">
        <v>18098</v>
      </c>
    </row>
    <row r="6743" spans="1:10" x14ac:dyDescent="0.25">
      <c r="A6743" t="s">
        <v>8</v>
      </c>
      <c r="B6743" t="s">
        <v>18704</v>
      </c>
      <c r="C6743" t="s">
        <v>18705</v>
      </c>
      <c r="D6743">
        <v>1</v>
      </c>
      <c r="E6743" t="s">
        <v>18649</v>
      </c>
      <c r="F6743" t="s">
        <v>18650</v>
      </c>
      <c r="G6743" s="1"/>
      <c r="H6743" t="str">
        <f>"3250613246181"</f>
        <v>3250613246181</v>
      </c>
      <c r="J6743" t="s">
        <v>18098</v>
      </c>
    </row>
    <row r="6744" spans="1:10" x14ac:dyDescent="0.25">
      <c r="A6744" t="s">
        <v>8</v>
      </c>
      <c r="B6744" t="s">
        <v>18706</v>
      </c>
      <c r="C6744" t="s">
        <v>18707</v>
      </c>
      <c r="D6744">
        <v>1</v>
      </c>
      <c r="E6744" t="s">
        <v>18649</v>
      </c>
      <c r="F6744" t="s">
        <v>18650</v>
      </c>
      <c r="G6744" s="1"/>
      <c r="H6744" t="str">
        <f>"3250613246235"</f>
        <v>3250613246235</v>
      </c>
      <c r="J6744" t="s">
        <v>18107</v>
      </c>
    </row>
    <row r="6745" spans="1:10" x14ac:dyDescent="0.25">
      <c r="A6745" t="s">
        <v>8</v>
      </c>
      <c r="B6745" t="s">
        <v>18708</v>
      </c>
      <c r="C6745" t="s">
        <v>18709</v>
      </c>
      <c r="D6745">
        <v>1</v>
      </c>
      <c r="E6745" t="s">
        <v>18649</v>
      </c>
      <c r="F6745" t="s">
        <v>18650</v>
      </c>
      <c r="G6745" s="1"/>
      <c r="H6745" t="str">
        <f>"3250613246242"</f>
        <v>3250613246242</v>
      </c>
      <c r="J6745" t="s">
        <v>18107</v>
      </c>
    </row>
    <row r="6746" spans="1:10" x14ac:dyDescent="0.25">
      <c r="A6746" t="s">
        <v>8</v>
      </c>
      <c r="B6746" t="s">
        <v>18710</v>
      </c>
      <c r="C6746" t="s">
        <v>18711</v>
      </c>
      <c r="D6746">
        <v>1</v>
      </c>
      <c r="E6746" t="s">
        <v>18649</v>
      </c>
      <c r="F6746" t="s">
        <v>18650</v>
      </c>
      <c r="G6746" s="1"/>
      <c r="H6746" t="str">
        <f>"3250613246266"</f>
        <v>3250613246266</v>
      </c>
      <c r="J6746" t="s">
        <v>18107</v>
      </c>
    </row>
    <row r="6747" spans="1:10" x14ac:dyDescent="0.25">
      <c r="A6747" t="s">
        <v>8</v>
      </c>
      <c r="B6747" t="s">
        <v>18712</v>
      </c>
      <c r="C6747" t="s">
        <v>18713</v>
      </c>
      <c r="D6747">
        <v>1</v>
      </c>
      <c r="E6747" t="s">
        <v>18649</v>
      </c>
      <c r="F6747" t="s">
        <v>18650</v>
      </c>
      <c r="G6747" s="1"/>
      <c r="H6747" t="str">
        <f>"3250613246297"</f>
        <v>3250613246297</v>
      </c>
      <c r="J6747" t="s">
        <v>18114</v>
      </c>
    </row>
    <row r="6748" spans="1:10" x14ac:dyDescent="0.25">
      <c r="A6748" t="s">
        <v>8</v>
      </c>
      <c r="B6748" t="s">
        <v>18714</v>
      </c>
      <c r="C6748" t="s">
        <v>18715</v>
      </c>
      <c r="D6748">
        <v>1</v>
      </c>
      <c r="E6748" t="s">
        <v>18649</v>
      </c>
      <c r="F6748" t="s">
        <v>18650</v>
      </c>
      <c r="G6748" s="1"/>
      <c r="H6748" t="str">
        <f>"3250613246303"</f>
        <v>3250613246303</v>
      </c>
      <c r="J6748" t="s">
        <v>18114</v>
      </c>
    </row>
    <row r="6749" spans="1:10" x14ac:dyDescent="0.25">
      <c r="A6749" t="s">
        <v>8</v>
      </c>
      <c r="B6749" t="s">
        <v>18716</v>
      </c>
      <c r="C6749" t="s">
        <v>18717</v>
      </c>
      <c r="D6749">
        <v>1</v>
      </c>
      <c r="E6749" t="s">
        <v>18649</v>
      </c>
      <c r="F6749" t="s">
        <v>18650</v>
      </c>
      <c r="G6749" s="1"/>
      <c r="H6749" t="str">
        <f>"3250613246327"</f>
        <v>3250613246327</v>
      </c>
      <c r="J6749" t="s">
        <v>18114</v>
      </c>
    </row>
    <row r="6750" spans="1:10" x14ac:dyDescent="0.25">
      <c r="A6750" t="s">
        <v>8</v>
      </c>
      <c r="B6750" t="s">
        <v>18718</v>
      </c>
      <c r="C6750" t="s">
        <v>18719</v>
      </c>
      <c r="D6750">
        <v>1</v>
      </c>
      <c r="E6750" t="s">
        <v>18649</v>
      </c>
      <c r="F6750" t="s">
        <v>18650</v>
      </c>
      <c r="G6750" s="1"/>
      <c r="H6750" t="str">
        <f>"3250613246341"</f>
        <v>3250613246341</v>
      </c>
      <c r="J6750" t="s">
        <v>18114</v>
      </c>
    </row>
    <row r="6751" spans="1:10" x14ac:dyDescent="0.25">
      <c r="A6751" t="s">
        <v>8</v>
      </c>
      <c r="B6751" t="s">
        <v>18720</v>
      </c>
      <c r="C6751" t="s">
        <v>18721</v>
      </c>
      <c r="D6751">
        <v>1</v>
      </c>
      <c r="E6751" t="s">
        <v>18649</v>
      </c>
      <c r="F6751" t="s">
        <v>18650</v>
      </c>
      <c r="G6751" s="1"/>
      <c r="H6751" t="str">
        <f>"3250613246358"</f>
        <v>3250613246358</v>
      </c>
      <c r="J6751" t="s">
        <v>18114</v>
      </c>
    </row>
    <row r="6752" spans="1:10" x14ac:dyDescent="0.25">
      <c r="A6752" t="s">
        <v>8</v>
      </c>
      <c r="B6752" t="s">
        <v>18722</v>
      </c>
      <c r="C6752" t="s">
        <v>18723</v>
      </c>
      <c r="D6752">
        <v>1</v>
      </c>
      <c r="E6752" t="s">
        <v>18649</v>
      </c>
      <c r="F6752" t="s">
        <v>18650</v>
      </c>
      <c r="G6752" s="1"/>
      <c r="H6752" t="str">
        <f>"3250613246372"</f>
        <v>3250613246372</v>
      </c>
      <c r="J6752" t="s">
        <v>18114</v>
      </c>
    </row>
    <row r="6753" spans="1:10" x14ac:dyDescent="0.25">
      <c r="A6753" t="s">
        <v>8</v>
      </c>
      <c r="B6753" t="s">
        <v>18724</v>
      </c>
      <c r="C6753" t="s">
        <v>18725</v>
      </c>
      <c r="D6753">
        <v>1</v>
      </c>
      <c r="E6753" t="s">
        <v>18649</v>
      </c>
      <c r="F6753" t="s">
        <v>18650</v>
      </c>
      <c r="G6753" s="1"/>
      <c r="H6753" t="str">
        <f>"3250613246396"</f>
        <v>3250613246396</v>
      </c>
      <c r="J6753" t="s">
        <v>18114</v>
      </c>
    </row>
    <row r="6754" spans="1:10" x14ac:dyDescent="0.25">
      <c r="A6754" t="s">
        <v>8</v>
      </c>
      <c r="B6754" t="s">
        <v>18726</v>
      </c>
      <c r="C6754" t="s">
        <v>18727</v>
      </c>
      <c r="D6754">
        <v>1</v>
      </c>
      <c r="E6754" t="s">
        <v>18649</v>
      </c>
      <c r="F6754" t="s">
        <v>18650</v>
      </c>
      <c r="G6754" s="1"/>
      <c r="H6754" t="str">
        <f>"3250613246402"</f>
        <v>3250613246402</v>
      </c>
      <c r="J6754" t="s">
        <v>18114</v>
      </c>
    </row>
    <row r="6755" spans="1:10" x14ac:dyDescent="0.25">
      <c r="A6755" t="s">
        <v>8</v>
      </c>
      <c r="B6755" t="s">
        <v>18728</v>
      </c>
      <c r="C6755" t="s">
        <v>18729</v>
      </c>
      <c r="D6755">
        <v>1</v>
      </c>
      <c r="E6755" t="s">
        <v>18649</v>
      </c>
      <c r="F6755" t="s">
        <v>18650</v>
      </c>
      <c r="G6755" s="1"/>
      <c r="H6755" t="str">
        <f>"3250613246426"</f>
        <v>3250613246426</v>
      </c>
      <c r="J6755" t="s">
        <v>18114</v>
      </c>
    </row>
    <row r="6756" spans="1:10" x14ac:dyDescent="0.25">
      <c r="A6756" t="s">
        <v>8</v>
      </c>
      <c r="B6756" t="s">
        <v>18730</v>
      </c>
      <c r="C6756" t="s">
        <v>18731</v>
      </c>
      <c r="D6756">
        <v>1</v>
      </c>
      <c r="E6756" t="s">
        <v>18649</v>
      </c>
      <c r="F6756" t="s">
        <v>18650</v>
      </c>
      <c r="G6756" s="1"/>
      <c r="H6756" t="str">
        <f>"3250613246440"</f>
        <v>3250613246440</v>
      </c>
      <c r="J6756" t="s">
        <v>18133</v>
      </c>
    </row>
    <row r="6757" spans="1:10" x14ac:dyDescent="0.25">
      <c r="A6757" t="s">
        <v>8</v>
      </c>
      <c r="B6757" t="s">
        <v>18732</v>
      </c>
      <c r="C6757" t="s">
        <v>18733</v>
      </c>
      <c r="D6757">
        <v>1</v>
      </c>
      <c r="E6757" t="s">
        <v>18649</v>
      </c>
      <c r="F6757" t="s">
        <v>18650</v>
      </c>
      <c r="G6757" s="1"/>
      <c r="H6757" t="str">
        <f>"3250613246457"</f>
        <v>3250613246457</v>
      </c>
      <c r="J6757" t="s">
        <v>18136</v>
      </c>
    </row>
    <row r="6758" spans="1:10" x14ac:dyDescent="0.25">
      <c r="A6758" t="s">
        <v>8</v>
      </c>
      <c r="B6758" t="s">
        <v>18734</v>
      </c>
      <c r="C6758" t="s">
        <v>18735</v>
      </c>
      <c r="D6758">
        <v>1</v>
      </c>
      <c r="E6758" t="s">
        <v>18649</v>
      </c>
      <c r="F6758" t="s">
        <v>18650</v>
      </c>
      <c r="G6758" s="1"/>
      <c r="H6758" t="str">
        <f>"3250613246464"</f>
        <v>3250613246464</v>
      </c>
      <c r="J6758" t="s">
        <v>18139</v>
      </c>
    </row>
    <row r="6759" spans="1:10" x14ac:dyDescent="0.25">
      <c r="A6759" t="s">
        <v>8</v>
      </c>
      <c r="B6759" t="s">
        <v>18736</v>
      </c>
      <c r="C6759" t="s">
        <v>18737</v>
      </c>
      <c r="D6759">
        <v>1</v>
      </c>
      <c r="E6759" t="s">
        <v>18649</v>
      </c>
      <c r="F6759" t="s">
        <v>18650</v>
      </c>
      <c r="G6759" s="1"/>
      <c r="H6759" t="str">
        <f>"3250613246471"</f>
        <v>3250613246471</v>
      </c>
      <c r="J6759" t="s">
        <v>18142</v>
      </c>
    </row>
    <row r="6760" spans="1:10" x14ac:dyDescent="0.25">
      <c r="A6760" t="s">
        <v>8</v>
      </c>
      <c r="B6760" t="s">
        <v>18738</v>
      </c>
      <c r="C6760" t="s">
        <v>18739</v>
      </c>
      <c r="D6760">
        <v>1</v>
      </c>
      <c r="E6760" t="s">
        <v>18649</v>
      </c>
      <c r="F6760" t="s">
        <v>18650</v>
      </c>
      <c r="G6760" s="1"/>
      <c r="H6760" t="str">
        <f>"3250613246488"</f>
        <v>3250613246488</v>
      </c>
      <c r="J6760" t="s">
        <v>18145</v>
      </c>
    </row>
    <row r="6761" spans="1:10" x14ac:dyDescent="0.25">
      <c r="A6761" t="s">
        <v>8</v>
      </c>
      <c r="B6761" t="s">
        <v>18740</v>
      </c>
      <c r="C6761" t="s">
        <v>18741</v>
      </c>
      <c r="D6761">
        <v>1</v>
      </c>
      <c r="E6761" t="s">
        <v>18649</v>
      </c>
      <c r="F6761" t="s">
        <v>18650</v>
      </c>
      <c r="G6761" s="1"/>
      <c r="H6761" t="str">
        <f>"3250613246501"</f>
        <v>3250613246501</v>
      </c>
      <c r="J6761" t="s">
        <v>18151</v>
      </c>
    </row>
    <row r="6762" spans="1:10" x14ac:dyDescent="0.25">
      <c r="A6762" t="s">
        <v>8</v>
      </c>
      <c r="B6762" t="s">
        <v>18742</v>
      </c>
      <c r="C6762" t="s">
        <v>18743</v>
      </c>
      <c r="D6762">
        <v>1</v>
      </c>
      <c r="E6762" t="s">
        <v>18649</v>
      </c>
      <c r="F6762" t="s">
        <v>18650</v>
      </c>
      <c r="G6762" s="1"/>
      <c r="H6762" t="str">
        <f>"3250613246198"</f>
        <v>3250613246198</v>
      </c>
      <c r="J6762" t="s">
        <v>18089</v>
      </c>
    </row>
    <row r="6763" spans="1:10" x14ac:dyDescent="0.25">
      <c r="A6763" t="s">
        <v>8</v>
      </c>
      <c r="B6763" t="s">
        <v>18744</v>
      </c>
      <c r="C6763" t="s">
        <v>18745</v>
      </c>
      <c r="D6763">
        <v>1</v>
      </c>
      <c r="E6763" t="s">
        <v>18649</v>
      </c>
      <c r="F6763" t="s">
        <v>18650</v>
      </c>
      <c r="G6763" s="1"/>
      <c r="H6763" t="str">
        <f>"3250613246518"</f>
        <v>3250613246518</v>
      </c>
      <c r="J6763" t="s">
        <v>18156</v>
      </c>
    </row>
    <row r="6764" spans="1:10" x14ac:dyDescent="0.25">
      <c r="A6764" t="s">
        <v>8</v>
      </c>
      <c r="B6764" t="s">
        <v>18746</v>
      </c>
      <c r="C6764" t="s">
        <v>18747</v>
      </c>
      <c r="D6764">
        <v>1</v>
      </c>
      <c r="E6764" t="s">
        <v>18649</v>
      </c>
      <c r="F6764" t="s">
        <v>18650</v>
      </c>
      <c r="G6764" s="1"/>
      <c r="H6764" t="str">
        <f>"3250613246525"</f>
        <v>3250613246525</v>
      </c>
      <c r="J6764" t="s">
        <v>18107</v>
      </c>
    </row>
    <row r="6765" spans="1:10" x14ac:dyDescent="0.25">
      <c r="A6765" t="s">
        <v>8</v>
      </c>
      <c r="B6765" t="s">
        <v>18748</v>
      </c>
      <c r="C6765" t="s">
        <v>18749</v>
      </c>
      <c r="D6765">
        <v>1</v>
      </c>
      <c r="E6765" t="s">
        <v>18649</v>
      </c>
      <c r="F6765" t="s">
        <v>18650</v>
      </c>
      <c r="G6765" s="1"/>
      <c r="H6765" t="str">
        <f>"3250613246532"</f>
        <v>3250613246532</v>
      </c>
      <c r="J6765" t="s">
        <v>18107</v>
      </c>
    </row>
    <row r="6766" spans="1:10" x14ac:dyDescent="0.25">
      <c r="A6766" t="s">
        <v>8</v>
      </c>
      <c r="B6766" t="s">
        <v>18750</v>
      </c>
      <c r="C6766" t="s">
        <v>18751</v>
      </c>
      <c r="D6766">
        <v>1</v>
      </c>
      <c r="E6766" t="s">
        <v>18649</v>
      </c>
      <c r="F6766" t="s">
        <v>18650</v>
      </c>
      <c r="G6766" s="1"/>
      <c r="H6766" t="str">
        <f>"3250613246563"</f>
        <v>3250613246563</v>
      </c>
      <c r="J6766" t="s">
        <v>18166</v>
      </c>
    </row>
    <row r="6767" spans="1:10" x14ac:dyDescent="0.25">
      <c r="A6767" t="s">
        <v>8</v>
      </c>
      <c r="B6767" t="s">
        <v>18752</v>
      </c>
      <c r="C6767" t="s">
        <v>18753</v>
      </c>
      <c r="D6767">
        <v>1</v>
      </c>
      <c r="E6767" t="s">
        <v>18649</v>
      </c>
      <c r="F6767" t="s">
        <v>18650</v>
      </c>
      <c r="G6767" s="1"/>
      <c r="H6767" t="str">
        <f>"3250613246570"</f>
        <v>3250613246570</v>
      </c>
      <c r="J6767" t="s">
        <v>18169</v>
      </c>
    </row>
    <row r="6768" spans="1:10" x14ac:dyDescent="0.25">
      <c r="A6768" t="s">
        <v>8</v>
      </c>
      <c r="B6768" t="s">
        <v>18754</v>
      </c>
      <c r="C6768" t="s">
        <v>18755</v>
      </c>
      <c r="D6768">
        <v>1</v>
      </c>
      <c r="E6768" t="s">
        <v>18649</v>
      </c>
      <c r="F6768" t="s">
        <v>18650</v>
      </c>
      <c r="G6768" s="1"/>
      <c r="H6768" t="str">
        <f>"3250613246587"</f>
        <v>3250613246587</v>
      </c>
      <c r="J6768" t="s">
        <v>18166</v>
      </c>
    </row>
    <row r="6769" spans="1:10" x14ac:dyDescent="0.25">
      <c r="A6769" t="s">
        <v>8</v>
      </c>
      <c r="B6769" t="s">
        <v>18756</v>
      </c>
      <c r="C6769" t="s">
        <v>18757</v>
      </c>
      <c r="D6769">
        <v>1</v>
      </c>
      <c r="E6769" t="s">
        <v>18649</v>
      </c>
      <c r="F6769" t="s">
        <v>18650</v>
      </c>
      <c r="G6769" s="1"/>
      <c r="H6769" t="str">
        <f>"3250613246594"</f>
        <v>3250613246594</v>
      </c>
      <c r="J6769" t="s">
        <v>18169</v>
      </c>
    </row>
    <row r="6770" spans="1:10" x14ac:dyDescent="0.25">
      <c r="A6770" t="s">
        <v>8</v>
      </c>
      <c r="B6770" t="s">
        <v>18758</v>
      </c>
      <c r="C6770" t="s">
        <v>18759</v>
      </c>
      <c r="D6770">
        <v>1</v>
      </c>
      <c r="E6770" t="s">
        <v>18649</v>
      </c>
      <c r="F6770" t="s">
        <v>18650</v>
      </c>
      <c r="G6770" s="1"/>
      <c r="H6770" t="str">
        <f>"3250613246600"</f>
        <v>3250613246600</v>
      </c>
      <c r="J6770" t="s">
        <v>18166</v>
      </c>
    </row>
    <row r="6771" spans="1:10" x14ac:dyDescent="0.25">
      <c r="A6771" t="s">
        <v>8</v>
      </c>
      <c r="B6771" t="s">
        <v>18760</v>
      </c>
      <c r="C6771" t="s">
        <v>18761</v>
      </c>
      <c r="D6771">
        <v>1</v>
      </c>
      <c r="E6771" t="s">
        <v>18649</v>
      </c>
      <c r="F6771" t="s">
        <v>18650</v>
      </c>
      <c r="G6771" s="1"/>
      <c r="H6771" t="str">
        <f>"3250613246617"</f>
        <v>3250613246617</v>
      </c>
      <c r="J6771" t="s">
        <v>18169</v>
      </c>
    </row>
    <row r="6772" spans="1:10" x14ac:dyDescent="0.25">
      <c r="A6772" t="s">
        <v>8</v>
      </c>
      <c r="B6772" t="s">
        <v>18762</v>
      </c>
      <c r="C6772" t="s">
        <v>18763</v>
      </c>
      <c r="D6772">
        <v>1</v>
      </c>
      <c r="E6772" t="s">
        <v>18649</v>
      </c>
      <c r="F6772" t="s">
        <v>18650</v>
      </c>
      <c r="G6772" s="1"/>
      <c r="H6772" t="str">
        <f>"3250613246624"</f>
        <v>3250613246624</v>
      </c>
      <c r="J6772" t="s">
        <v>18166</v>
      </c>
    </row>
    <row r="6773" spans="1:10" x14ac:dyDescent="0.25">
      <c r="A6773" t="s">
        <v>8</v>
      </c>
      <c r="B6773" t="s">
        <v>18764</v>
      </c>
      <c r="C6773" t="s">
        <v>18765</v>
      </c>
      <c r="D6773">
        <v>1</v>
      </c>
      <c r="E6773" t="s">
        <v>18649</v>
      </c>
      <c r="F6773" t="s">
        <v>18650</v>
      </c>
      <c r="G6773" s="1"/>
      <c r="H6773" t="str">
        <f>"3250613246631"</f>
        <v>3250613246631</v>
      </c>
      <c r="J6773" t="s">
        <v>18169</v>
      </c>
    </row>
    <row r="6774" spans="1:10" x14ac:dyDescent="0.25">
      <c r="A6774" t="s">
        <v>8</v>
      </c>
      <c r="B6774" t="s">
        <v>18766</v>
      </c>
      <c r="C6774" t="s">
        <v>18767</v>
      </c>
      <c r="D6774">
        <v>1</v>
      </c>
      <c r="E6774" t="s">
        <v>18649</v>
      </c>
      <c r="F6774" t="s">
        <v>18650</v>
      </c>
      <c r="G6774" s="1"/>
      <c r="H6774" t="str">
        <f>"3250613246648"</f>
        <v>3250613246648</v>
      </c>
      <c r="J6774" t="s">
        <v>18184</v>
      </c>
    </row>
    <row r="6775" spans="1:10" x14ac:dyDescent="0.25">
      <c r="A6775" t="s">
        <v>8</v>
      </c>
      <c r="B6775" t="s">
        <v>18768</v>
      </c>
      <c r="C6775" t="s">
        <v>18769</v>
      </c>
      <c r="D6775">
        <v>1</v>
      </c>
      <c r="E6775" t="s">
        <v>18649</v>
      </c>
      <c r="F6775" t="s">
        <v>18650</v>
      </c>
      <c r="G6775" s="1"/>
      <c r="H6775" t="str">
        <f>"3250613246655"</f>
        <v>3250613246655</v>
      </c>
      <c r="J6775" t="s">
        <v>18187</v>
      </c>
    </row>
    <row r="6776" spans="1:10" x14ac:dyDescent="0.25">
      <c r="A6776" t="s">
        <v>8</v>
      </c>
      <c r="B6776" t="s">
        <v>18770</v>
      </c>
      <c r="C6776" t="s">
        <v>18771</v>
      </c>
      <c r="D6776">
        <v>1</v>
      </c>
      <c r="E6776" t="s">
        <v>18649</v>
      </c>
      <c r="F6776" t="s">
        <v>18650</v>
      </c>
      <c r="G6776" s="1"/>
      <c r="H6776" t="str">
        <f>"3250613246662"</f>
        <v>3250613246662</v>
      </c>
      <c r="J6776" t="s">
        <v>18190</v>
      </c>
    </row>
    <row r="6777" spans="1:10" x14ac:dyDescent="0.25">
      <c r="A6777" t="s">
        <v>8</v>
      </c>
      <c r="B6777" t="s">
        <v>18772</v>
      </c>
      <c r="C6777" t="s">
        <v>18773</v>
      </c>
      <c r="D6777">
        <v>1</v>
      </c>
      <c r="E6777" t="s">
        <v>18649</v>
      </c>
      <c r="F6777" t="s">
        <v>18650</v>
      </c>
      <c r="G6777" s="1"/>
      <c r="H6777" t="str">
        <f>"3250613246778"</f>
        <v>3250613246778</v>
      </c>
      <c r="J6777" t="s">
        <v>18190</v>
      </c>
    </row>
    <row r="6778" spans="1:10" x14ac:dyDescent="0.25">
      <c r="A6778" t="s">
        <v>8</v>
      </c>
      <c r="B6778" t="s">
        <v>18774</v>
      </c>
      <c r="C6778" t="s">
        <v>18775</v>
      </c>
      <c r="D6778">
        <v>1</v>
      </c>
      <c r="E6778" t="s">
        <v>18649</v>
      </c>
      <c r="F6778" t="s">
        <v>18650</v>
      </c>
      <c r="G6778" s="1"/>
      <c r="H6778" t="str">
        <f>"3250613246785"</f>
        <v>3250613246785</v>
      </c>
      <c r="J6778" t="s">
        <v>18190</v>
      </c>
    </row>
    <row r="6779" spans="1:10" x14ac:dyDescent="0.25">
      <c r="A6779" t="s">
        <v>8</v>
      </c>
      <c r="B6779" t="s">
        <v>18776</v>
      </c>
      <c r="C6779" t="s">
        <v>18777</v>
      </c>
      <c r="D6779">
        <v>1</v>
      </c>
      <c r="E6779" t="s">
        <v>18649</v>
      </c>
      <c r="F6779" t="s">
        <v>18650</v>
      </c>
      <c r="G6779" s="1"/>
      <c r="H6779" t="str">
        <f>"3250613246792"</f>
        <v>3250613246792</v>
      </c>
      <c r="J6779" t="s">
        <v>18197</v>
      </c>
    </row>
    <row r="6780" spans="1:10" x14ac:dyDescent="0.25">
      <c r="A6780" t="s">
        <v>8</v>
      </c>
      <c r="B6780" t="s">
        <v>18778</v>
      </c>
      <c r="C6780" t="s">
        <v>18779</v>
      </c>
      <c r="D6780">
        <v>1</v>
      </c>
      <c r="E6780" t="s">
        <v>18649</v>
      </c>
      <c r="F6780" t="s">
        <v>18650</v>
      </c>
      <c r="G6780" s="1"/>
      <c r="H6780" t="str">
        <f>"3250613246204"</f>
        <v>3250613246204</v>
      </c>
      <c r="J6780" t="s">
        <v>18200</v>
      </c>
    </row>
    <row r="6781" spans="1:10" x14ac:dyDescent="0.25">
      <c r="A6781" t="s">
        <v>8</v>
      </c>
      <c r="B6781" t="s">
        <v>18780</v>
      </c>
      <c r="C6781" t="s">
        <v>18781</v>
      </c>
      <c r="D6781">
        <v>1</v>
      </c>
      <c r="E6781" t="s">
        <v>18649</v>
      </c>
      <c r="F6781" t="s">
        <v>18650</v>
      </c>
      <c r="G6781" s="1"/>
      <c r="H6781" t="str">
        <f>"3250613246808"</f>
        <v>3250613246808</v>
      </c>
      <c r="J6781" t="s">
        <v>18203</v>
      </c>
    </row>
    <row r="6782" spans="1:10" x14ac:dyDescent="0.25">
      <c r="A6782" t="s">
        <v>8</v>
      </c>
      <c r="B6782" t="s">
        <v>18782</v>
      </c>
      <c r="C6782" t="s">
        <v>18783</v>
      </c>
      <c r="D6782">
        <v>1</v>
      </c>
      <c r="E6782" t="s">
        <v>18649</v>
      </c>
      <c r="F6782" t="s">
        <v>18650</v>
      </c>
      <c r="G6782" s="1"/>
      <c r="H6782" t="str">
        <f>"3250613246815"</f>
        <v>3250613246815</v>
      </c>
      <c r="J6782" t="s">
        <v>18208</v>
      </c>
    </row>
    <row r="6783" spans="1:10" x14ac:dyDescent="0.25">
      <c r="A6783" t="s">
        <v>8</v>
      </c>
      <c r="B6783" t="s">
        <v>18784</v>
      </c>
      <c r="C6783" t="s">
        <v>18785</v>
      </c>
      <c r="D6783">
        <v>1</v>
      </c>
      <c r="E6783" t="s">
        <v>18649</v>
      </c>
      <c r="F6783" t="s">
        <v>18650</v>
      </c>
      <c r="G6783" s="1"/>
      <c r="H6783" t="str">
        <f>"3250613246822"</f>
        <v>3250613246822</v>
      </c>
      <c r="J6783" t="s">
        <v>18208</v>
      </c>
    </row>
    <row r="6784" spans="1:10" x14ac:dyDescent="0.25">
      <c r="A6784" t="s">
        <v>8</v>
      </c>
      <c r="B6784" t="s">
        <v>18786</v>
      </c>
      <c r="C6784" t="s">
        <v>18787</v>
      </c>
      <c r="D6784">
        <v>1</v>
      </c>
      <c r="E6784" t="s">
        <v>18649</v>
      </c>
      <c r="F6784" t="s">
        <v>18650</v>
      </c>
      <c r="G6784" s="1"/>
      <c r="H6784" t="str">
        <f>"3250613250003"</f>
        <v>3250613250003</v>
      </c>
      <c r="J6784" t="s">
        <v>18098</v>
      </c>
    </row>
    <row r="6785" spans="1:10" x14ac:dyDescent="0.25">
      <c r="A6785" t="s">
        <v>8</v>
      </c>
      <c r="B6785" t="s">
        <v>18788</v>
      </c>
      <c r="C6785" t="s">
        <v>18789</v>
      </c>
      <c r="D6785">
        <v>1</v>
      </c>
      <c r="E6785" t="s">
        <v>18649</v>
      </c>
      <c r="F6785" t="s">
        <v>18650</v>
      </c>
      <c r="G6785" s="1"/>
      <c r="H6785" t="str">
        <f>"3250613250010"</f>
        <v>3250613250010</v>
      </c>
      <c r="J6785" t="s">
        <v>18098</v>
      </c>
    </row>
    <row r="6786" spans="1:10" x14ac:dyDescent="0.25">
      <c r="A6786" t="s">
        <v>8</v>
      </c>
      <c r="B6786" t="s">
        <v>18790</v>
      </c>
      <c r="C6786" t="s">
        <v>18791</v>
      </c>
      <c r="D6786">
        <v>1</v>
      </c>
      <c r="E6786" t="s">
        <v>18649</v>
      </c>
      <c r="F6786" t="s">
        <v>18650</v>
      </c>
      <c r="G6786" s="1"/>
      <c r="H6786" t="str">
        <f>"3250613250195"</f>
        <v>3250613250195</v>
      </c>
      <c r="J6786" t="s">
        <v>18233</v>
      </c>
    </row>
    <row r="6787" spans="1:10" x14ac:dyDescent="0.25">
      <c r="A6787" t="s">
        <v>8</v>
      </c>
      <c r="B6787" t="s">
        <v>18792</v>
      </c>
      <c r="C6787" t="s">
        <v>18793</v>
      </c>
      <c r="D6787">
        <v>1</v>
      </c>
      <c r="E6787" t="s">
        <v>18649</v>
      </c>
      <c r="F6787" t="s">
        <v>18650</v>
      </c>
      <c r="G6787" s="1"/>
      <c r="H6787" t="str">
        <f>"3250613250201"</f>
        <v>3250613250201</v>
      </c>
      <c r="J6787" t="s">
        <v>18233</v>
      </c>
    </row>
    <row r="6788" spans="1:10" x14ac:dyDescent="0.25">
      <c r="A6788" t="s">
        <v>8</v>
      </c>
      <c r="B6788" t="s">
        <v>18794</v>
      </c>
      <c r="C6788" t="s">
        <v>18795</v>
      </c>
      <c r="D6788">
        <v>1</v>
      </c>
      <c r="E6788" t="s">
        <v>18649</v>
      </c>
      <c r="F6788" t="s">
        <v>18650</v>
      </c>
      <c r="G6788" s="1"/>
      <c r="H6788" t="str">
        <f>"3250613250225"</f>
        <v>3250613250225</v>
      </c>
      <c r="J6788" t="s">
        <v>18233</v>
      </c>
    </row>
    <row r="6789" spans="1:10" x14ac:dyDescent="0.25">
      <c r="A6789" t="s">
        <v>8</v>
      </c>
      <c r="B6789" t="s">
        <v>18796</v>
      </c>
      <c r="C6789" t="s">
        <v>18797</v>
      </c>
      <c r="D6789">
        <v>1</v>
      </c>
      <c r="E6789" t="s">
        <v>18649</v>
      </c>
      <c r="F6789" t="s">
        <v>18650</v>
      </c>
      <c r="G6789" s="1"/>
      <c r="H6789" t="str">
        <f>"3250613250232"</f>
        <v>3250613250232</v>
      </c>
      <c r="J6789" t="s">
        <v>18233</v>
      </c>
    </row>
    <row r="6790" spans="1:10" x14ac:dyDescent="0.25">
      <c r="A6790" t="s">
        <v>8</v>
      </c>
      <c r="B6790" t="s">
        <v>18798</v>
      </c>
      <c r="C6790" t="s">
        <v>18799</v>
      </c>
      <c r="D6790">
        <v>1</v>
      </c>
      <c r="E6790" t="s">
        <v>18649</v>
      </c>
      <c r="F6790" t="s">
        <v>18650</v>
      </c>
      <c r="G6790" s="1"/>
      <c r="H6790" t="str">
        <f>"3250613250256"</f>
        <v>3250613250256</v>
      </c>
      <c r="J6790" t="s">
        <v>18133</v>
      </c>
    </row>
    <row r="6791" spans="1:10" x14ac:dyDescent="0.25">
      <c r="A6791" t="s">
        <v>8</v>
      </c>
      <c r="B6791" t="s">
        <v>18800</v>
      </c>
      <c r="C6791" t="s">
        <v>18801</v>
      </c>
      <c r="D6791">
        <v>1</v>
      </c>
      <c r="E6791" t="s">
        <v>18649</v>
      </c>
      <c r="F6791" t="s">
        <v>18650</v>
      </c>
      <c r="G6791" s="1"/>
      <c r="H6791" t="str">
        <f>"3250613250263"</f>
        <v>3250613250263</v>
      </c>
      <c r="J6791" t="s">
        <v>18136</v>
      </c>
    </row>
    <row r="6792" spans="1:10" x14ac:dyDescent="0.25">
      <c r="A6792" t="s">
        <v>8</v>
      </c>
      <c r="B6792" t="s">
        <v>18802</v>
      </c>
      <c r="C6792" t="s">
        <v>18803</v>
      </c>
      <c r="D6792">
        <v>1</v>
      </c>
      <c r="E6792" t="s">
        <v>18649</v>
      </c>
      <c r="F6792" t="s">
        <v>18650</v>
      </c>
      <c r="G6792" s="1"/>
      <c r="H6792" t="str">
        <f>"3250613250270"</f>
        <v>3250613250270</v>
      </c>
      <c r="J6792" t="s">
        <v>18139</v>
      </c>
    </row>
    <row r="6793" spans="1:10" x14ac:dyDescent="0.25">
      <c r="A6793" t="s">
        <v>8</v>
      </c>
      <c r="B6793" t="s">
        <v>18804</v>
      </c>
      <c r="C6793" t="s">
        <v>18805</v>
      </c>
      <c r="D6793">
        <v>1</v>
      </c>
      <c r="E6793" t="s">
        <v>18649</v>
      </c>
      <c r="F6793" t="s">
        <v>18650</v>
      </c>
      <c r="G6793" s="1"/>
      <c r="H6793" t="str">
        <f>"3250613250287"</f>
        <v>3250613250287</v>
      </c>
      <c r="J6793" t="s">
        <v>18151</v>
      </c>
    </row>
    <row r="6794" spans="1:10" x14ac:dyDescent="0.25">
      <c r="A6794" t="s">
        <v>8</v>
      </c>
      <c r="B6794" t="s">
        <v>18806</v>
      </c>
      <c r="C6794" t="s">
        <v>18807</v>
      </c>
      <c r="D6794">
        <v>1</v>
      </c>
      <c r="E6794" t="s">
        <v>18649</v>
      </c>
      <c r="F6794" t="s">
        <v>18650</v>
      </c>
      <c r="G6794" s="1"/>
      <c r="H6794" t="str">
        <f>"3250613250294"</f>
        <v>3250613250294</v>
      </c>
      <c r="J6794" t="s">
        <v>18156</v>
      </c>
    </row>
    <row r="6795" spans="1:10" x14ac:dyDescent="0.25">
      <c r="A6795" t="s">
        <v>8</v>
      </c>
      <c r="B6795" t="s">
        <v>18808</v>
      </c>
      <c r="C6795" t="s">
        <v>18809</v>
      </c>
      <c r="D6795">
        <v>1</v>
      </c>
      <c r="E6795" t="s">
        <v>18649</v>
      </c>
      <c r="F6795" t="s">
        <v>18650</v>
      </c>
      <c r="G6795" s="1"/>
      <c r="H6795" t="str">
        <f>"3250613250300"</f>
        <v>3250613250300</v>
      </c>
      <c r="J6795" t="s">
        <v>18233</v>
      </c>
    </row>
    <row r="6796" spans="1:10" x14ac:dyDescent="0.25">
      <c r="A6796" t="s">
        <v>8</v>
      </c>
      <c r="B6796" t="s">
        <v>18810</v>
      </c>
      <c r="C6796" t="s">
        <v>18811</v>
      </c>
      <c r="D6796">
        <v>1</v>
      </c>
      <c r="E6796" t="s">
        <v>18649</v>
      </c>
      <c r="F6796" t="s">
        <v>18650</v>
      </c>
      <c r="G6796" s="1"/>
      <c r="H6796" t="str">
        <f>"3250613250317"</f>
        <v>3250613250317</v>
      </c>
      <c r="J6796" t="s">
        <v>18233</v>
      </c>
    </row>
    <row r="6797" spans="1:10" x14ac:dyDescent="0.25">
      <c r="A6797" t="s">
        <v>8</v>
      </c>
      <c r="B6797" t="s">
        <v>18812</v>
      </c>
      <c r="C6797" t="s">
        <v>18813</v>
      </c>
      <c r="D6797">
        <v>1</v>
      </c>
      <c r="E6797" t="s">
        <v>18649</v>
      </c>
      <c r="F6797" t="s">
        <v>18650</v>
      </c>
      <c r="G6797" s="1"/>
      <c r="H6797" t="str">
        <f>"3250613250331"</f>
        <v>3250613250331</v>
      </c>
      <c r="J6797" t="s">
        <v>18233</v>
      </c>
    </row>
    <row r="6798" spans="1:10" x14ac:dyDescent="0.25">
      <c r="A6798" t="s">
        <v>8</v>
      </c>
      <c r="B6798" t="s">
        <v>18814</v>
      </c>
      <c r="C6798" t="s">
        <v>18815</v>
      </c>
      <c r="D6798">
        <v>1</v>
      </c>
      <c r="E6798" t="s">
        <v>18649</v>
      </c>
      <c r="F6798" t="s">
        <v>18650</v>
      </c>
      <c r="G6798" s="1"/>
      <c r="H6798" t="str">
        <f>"3250613250386"</f>
        <v>3250613250386</v>
      </c>
      <c r="J6798" t="s">
        <v>18184</v>
      </c>
    </row>
    <row r="6799" spans="1:10" x14ac:dyDescent="0.25">
      <c r="A6799" t="s">
        <v>8</v>
      </c>
      <c r="B6799" t="s">
        <v>18816</v>
      </c>
      <c r="C6799" t="s">
        <v>18817</v>
      </c>
      <c r="D6799">
        <v>1</v>
      </c>
      <c r="E6799" t="s">
        <v>18649</v>
      </c>
      <c r="F6799" t="s">
        <v>18650</v>
      </c>
      <c r="G6799" s="1"/>
      <c r="H6799" t="str">
        <f>"3250613250409"</f>
        <v>3250613250409</v>
      </c>
      <c r="J6799" t="s">
        <v>18136</v>
      </c>
    </row>
    <row r="6800" spans="1:10" x14ac:dyDescent="0.25">
      <c r="A6800" t="s">
        <v>8</v>
      </c>
      <c r="B6800" t="s">
        <v>18818</v>
      </c>
      <c r="C6800" t="s">
        <v>18819</v>
      </c>
      <c r="D6800">
        <v>1</v>
      </c>
      <c r="E6800" t="s">
        <v>18649</v>
      </c>
      <c r="F6800" t="s">
        <v>18650</v>
      </c>
      <c r="G6800" s="1"/>
      <c r="H6800" t="str">
        <f>"3250613250416"</f>
        <v>3250613250416</v>
      </c>
      <c r="J6800" t="s">
        <v>18187</v>
      </c>
    </row>
    <row r="6801" spans="1:10" x14ac:dyDescent="0.25">
      <c r="A6801" t="s">
        <v>8</v>
      </c>
      <c r="B6801" t="s">
        <v>18820</v>
      </c>
      <c r="C6801" t="s">
        <v>18821</v>
      </c>
      <c r="D6801">
        <v>1</v>
      </c>
      <c r="E6801" t="s">
        <v>18649</v>
      </c>
      <c r="F6801" t="s">
        <v>18650</v>
      </c>
      <c r="G6801" s="1"/>
      <c r="H6801" t="str">
        <f>"3250613250461"</f>
        <v>3250613250461</v>
      </c>
      <c r="J6801" t="s">
        <v>18148</v>
      </c>
    </row>
    <row r="6802" spans="1:10" x14ac:dyDescent="0.25">
      <c r="A6802" t="s">
        <v>8</v>
      </c>
      <c r="B6802" t="s">
        <v>18822</v>
      </c>
      <c r="C6802" t="s">
        <v>18823</v>
      </c>
      <c r="D6802">
        <v>1</v>
      </c>
      <c r="E6802" t="s">
        <v>18649</v>
      </c>
      <c r="F6802" t="s">
        <v>18650</v>
      </c>
      <c r="G6802" s="1"/>
      <c r="H6802" t="str">
        <f>"3250613250478"</f>
        <v>3250613250478</v>
      </c>
      <c r="J6802" t="s">
        <v>18266</v>
      </c>
    </row>
    <row r="6803" spans="1:10" x14ac:dyDescent="0.25">
      <c r="A6803" t="s">
        <v>8</v>
      </c>
      <c r="B6803" t="s">
        <v>18824</v>
      </c>
      <c r="C6803" t="s">
        <v>18825</v>
      </c>
      <c r="D6803">
        <v>1</v>
      </c>
      <c r="E6803" t="s">
        <v>18649</v>
      </c>
      <c r="F6803" t="s">
        <v>18650</v>
      </c>
      <c r="G6803" s="1"/>
      <c r="H6803" t="str">
        <f>"3250613250546"</f>
        <v>3250613250546</v>
      </c>
      <c r="J6803" t="s">
        <v>18190</v>
      </c>
    </row>
    <row r="6804" spans="1:10" x14ac:dyDescent="0.25">
      <c r="A6804" t="s">
        <v>8</v>
      </c>
      <c r="B6804" t="s">
        <v>18826</v>
      </c>
      <c r="C6804" t="s">
        <v>18827</v>
      </c>
      <c r="D6804">
        <v>1</v>
      </c>
      <c r="E6804" t="s">
        <v>18649</v>
      </c>
      <c r="F6804" t="s">
        <v>18650</v>
      </c>
      <c r="G6804" s="1"/>
      <c r="H6804" t="str">
        <f>"3250613250553"</f>
        <v>3250613250553</v>
      </c>
      <c r="J6804" t="s">
        <v>18190</v>
      </c>
    </row>
    <row r="6805" spans="1:10" x14ac:dyDescent="0.25">
      <c r="A6805" t="s">
        <v>8</v>
      </c>
      <c r="B6805" t="s">
        <v>18828</v>
      </c>
      <c r="C6805" t="s">
        <v>18829</v>
      </c>
      <c r="D6805">
        <v>1</v>
      </c>
      <c r="E6805" t="s">
        <v>18649</v>
      </c>
      <c r="F6805" t="s">
        <v>18650</v>
      </c>
      <c r="G6805" s="1"/>
      <c r="H6805" t="str">
        <f>"3250613250560"</f>
        <v>3250613250560</v>
      </c>
      <c r="J6805" t="s">
        <v>18139</v>
      </c>
    </row>
    <row r="6806" spans="1:10" x14ac:dyDescent="0.25">
      <c r="A6806" t="s">
        <v>8</v>
      </c>
      <c r="B6806" t="s">
        <v>18830</v>
      </c>
      <c r="C6806" t="s">
        <v>18831</v>
      </c>
      <c r="D6806">
        <v>1</v>
      </c>
      <c r="E6806" t="s">
        <v>18649</v>
      </c>
      <c r="F6806" t="s">
        <v>18650</v>
      </c>
      <c r="G6806" s="1"/>
      <c r="H6806" t="str">
        <f>"3250613183974"</f>
        <v>3250613183974</v>
      </c>
      <c r="J6806" t="s">
        <v>18681</v>
      </c>
    </row>
    <row r="6807" spans="1:10" x14ac:dyDescent="0.25">
      <c r="A6807" t="s">
        <v>8</v>
      </c>
      <c r="B6807" t="s">
        <v>18832</v>
      </c>
      <c r="C6807" t="s">
        <v>18833</v>
      </c>
      <c r="D6807">
        <v>1</v>
      </c>
      <c r="E6807" t="s">
        <v>18649</v>
      </c>
      <c r="F6807" t="s">
        <v>18650</v>
      </c>
      <c r="G6807" s="1"/>
      <c r="H6807" t="str">
        <f>"3250613166304"</f>
        <v>3250613166304</v>
      </c>
      <c r="J6807" t="s">
        <v>18190</v>
      </c>
    </row>
    <row r="6808" spans="1:10" x14ac:dyDescent="0.25">
      <c r="A6808" t="s">
        <v>8</v>
      </c>
      <c r="B6808" t="s">
        <v>18834</v>
      </c>
      <c r="C6808" t="s">
        <v>18835</v>
      </c>
      <c r="D6808">
        <v>1</v>
      </c>
      <c r="E6808" t="s">
        <v>18649</v>
      </c>
      <c r="F6808" t="s">
        <v>18650</v>
      </c>
      <c r="G6808" s="1"/>
      <c r="H6808" t="str">
        <f>"3250613166311"</f>
        <v>3250613166311</v>
      </c>
      <c r="J6808" t="s">
        <v>18190</v>
      </c>
    </row>
    <row r="6809" spans="1:10" x14ac:dyDescent="0.25">
      <c r="A6809" t="s">
        <v>8</v>
      </c>
      <c r="B6809" t="s">
        <v>18836</v>
      </c>
      <c r="C6809" t="s">
        <v>18837</v>
      </c>
      <c r="D6809">
        <v>1</v>
      </c>
      <c r="E6809" t="s">
        <v>18649</v>
      </c>
      <c r="F6809" t="s">
        <v>18650</v>
      </c>
      <c r="G6809" s="1"/>
      <c r="H6809" t="str">
        <f>"3250613250577"</f>
        <v>3250613250577</v>
      </c>
      <c r="J6809" t="s">
        <v>18838</v>
      </c>
    </row>
    <row r="6810" spans="1:10" x14ac:dyDescent="0.25">
      <c r="A6810" t="s">
        <v>8</v>
      </c>
      <c r="B6810" t="s">
        <v>18839</v>
      </c>
      <c r="C6810" t="s">
        <v>18840</v>
      </c>
      <c r="D6810">
        <v>1</v>
      </c>
      <c r="E6810" t="s">
        <v>18649</v>
      </c>
      <c r="F6810" t="s">
        <v>18650</v>
      </c>
      <c r="G6810" s="1"/>
      <c r="H6810" t="str">
        <f>"3250613250027"</f>
        <v>3250613250027</v>
      </c>
      <c r="J6810" t="s">
        <v>18098</v>
      </c>
    </row>
    <row r="6811" spans="1:10" x14ac:dyDescent="0.25">
      <c r="A6811" t="s">
        <v>8</v>
      </c>
      <c r="B6811" t="s">
        <v>18841</v>
      </c>
      <c r="C6811" t="s">
        <v>18842</v>
      </c>
      <c r="D6811">
        <v>1</v>
      </c>
      <c r="E6811" t="s">
        <v>18649</v>
      </c>
      <c r="F6811" t="s">
        <v>18650</v>
      </c>
      <c r="G6811" s="1"/>
      <c r="H6811" t="str">
        <f>"3250613250034"</f>
        <v>3250613250034</v>
      </c>
      <c r="J6811" t="s">
        <v>18098</v>
      </c>
    </row>
    <row r="6812" spans="1:10" x14ac:dyDescent="0.25">
      <c r="A6812" t="s">
        <v>8</v>
      </c>
      <c r="B6812" t="s">
        <v>18843</v>
      </c>
      <c r="C6812" t="s">
        <v>18844</v>
      </c>
      <c r="D6812">
        <v>1</v>
      </c>
      <c r="E6812" t="s">
        <v>18649</v>
      </c>
      <c r="F6812" t="s">
        <v>18650</v>
      </c>
      <c r="G6812" s="1"/>
      <c r="H6812" t="str">
        <f>"3250613245610"</f>
        <v>3250613245610</v>
      </c>
      <c r="J6812" t="s">
        <v>18287</v>
      </c>
    </row>
    <row r="6813" spans="1:10" x14ac:dyDescent="0.25">
      <c r="A6813" t="s">
        <v>8</v>
      </c>
      <c r="B6813" t="s">
        <v>18845</v>
      </c>
      <c r="C6813" t="s">
        <v>18846</v>
      </c>
      <c r="D6813">
        <v>1</v>
      </c>
      <c r="E6813" t="s">
        <v>18649</v>
      </c>
      <c r="F6813" t="s">
        <v>18650</v>
      </c>
      <c r="G6813" s="1"/>
      <c r="H6813" t="str">
        <f>"3250613245627"</f>
        <v>3250613245627</v>
      </c>
      <c r="J6813" t="s">
        <v>18287</v>
      </c>
    </row>
    <row r="6814" spans="1:10" x14ac:dyDescent="0.25">
      <c r="A6814" t="s">
        <v>8</v>
      </c>
      <c r="B6814" t="s">
        <v>18847</v>
      </c>
      <c r="C6814" t="s">
        <v>18848</v>
      </c>
      <c r="D6814">
        <v>1</v>
      </c>
      <c r="E6814" t="s">
        <v>18649</v>
      </c>
      <c r="F6814" t="s">
        <v>18650</v>
      </c>
      <c r="G6814" s="1"/>
      <c r="H6814" t="str">
        <f>"3250613245634"</f>
        <v>3250613245634</v>
      </c>
      <c r="J6814" t="s">
        <v>18287</v>
      </c>
    </row>
    <row r="6815" spans="1:10" x14ac:dyDescent="0.25">
      <c r="A6815" t="s">
        <v>8</v>
      </c>
      <c r="B6815" t="s">
        <v>18849</v>
      </c>
      <c r="C6815" t="s">
        <v>18850</v>
      </c>
      <c r="D6815">
        <v>1</v>
      </c>
      <c r="E6815" t="s">
        <v>18649</v>
      </c>
      <c r="F6815" t="s">
        <v>18650</v>
      </c>
      <c r="G6815" s="1"/>
      <c r="H6815" t="str">
        <f>"3250613245641"</f>
        <v>3250613245641</v>
      </c>
      <c r="J6815" t="s">
        <v>18287</v>
      </c>
    </row>
    <row r="6816" spans="1:10" x14ac:dyDescent="0.25">
      <c r="A6816" t="s">
        <v>8</v>
      </c>
      <c r="B6816" t="s">
        <v>18851</v>
      </c>
      <c r="C6816" t="s">
        <v>18852</v>
      </c>
      <c r="D6816">
        <v>1</v>
      </c>
      <c r="E6816" t="s">
        <v>18649</v>
      </c>
      <c r="F6816" t="s">
        <v>18650</v>
      </c>
      <c r="G6816" s="1"/>
      <c r="H6816" t="str">
        <f>"3250613245658"</f>
        <v>3250613245658</v>
      </c>
      <c r="J6816" t="s">
        <v>18287</v>
      </c>
    </row>
    <row r="6817" spans="1:10" x14ac:dyDescent="0.25">
      <c r="A6817" t="s">
        <v>8</v>
      </c>
      <c r="B6817" t="s">
        <v>18853</v>
      </c>
      <c r="C6817" t="s">
        <v>18854</v>
      </c>
      <c r="D6817">
        <v>1</v>
      </c>
      <c r="E6817" t="s">
        <v>18649</v>
      </c>
      <c r="F6817" t="s">
        <v>18650</v>
      </c>
      <c r="G6817" s="1"/>
      <c r="H6817" t="str">
        <f>"3250613245665"</f>
        <v>3250613245665</v>
      </c>
      <c r="J6817" t="s">
        <v>18287</v>
      </c>
    </row>
    <row r="6818" spans="1:10" x14ac:dyDescent="0.25">
      <c r="A6818" t="s">
        <v>8</v>
      </c>
      <c r="B6818" t="s">
        <v>18855</v>
      </c>
      <c r="C6818" t="s">
        <v>18856</v>
      </c>
      <c r="D6818">
        <v>1</v>
      </c>
      <c r="E6818" t="s">
        <v>18649</v>
      </c>
      <c r="F6818" t="s">
        <v>18650</v>
      </c>
      <c r="G6818" s="1"/>
      <c r="H6818" t="str">
        <f>"3250613245672"</f>
        <v>3250613245672</v>
      </c>
      <c r="J6818" t="s">
        <v>18287</v>
      </c>
    </row>
    <row r="6819" spans="1:10" x14ac:dyDescent="0.25">
      <c r="A6819" t="s">
        <v>8</v>
      </c>
      <c r="B6819" t="s">
        <v>18857</v>
      </c>
      <c r="C6819" t="s">
        <v>18858</v>
      </c>
      <c r="D6819">
        <v>1</v>
      </c>
      <c r="E6819" t="s">
        <v>18649</v>
      </c>
      <c r="F6819" t="s">
        <v>18650</v>
      </c>
      <c r="G6819" s="1"/>
      <c r="H6819" t="str">
        <f>"3250613245689"</f>
        <v>3250613245689</v>
      </c>
      <c r="J6819" t="s">
        <v>18287</v>
      </c>
    </row>
    <row r="6820" spans="1:10" x14ac:dyDescent="0.25">
      <c r="A6820" t="s">
        <v>8</v>
      </c>
      <c r="B6820" t="s">
        <v>18859</v>
      </c>
      <c r="C6820" t="s">
        <v>18860</v>
      </c>
      <c r="D6820">
        <v>1</v>
      </c>
      <c r="E6820" t="s">
        <v>18649</v>
      </c>
      <c r="F6820" t="s">
        <v>18650</v>
      </c>
      <c r="G6820" s="1"/>
      <c r="H6820" t="str">
        <f>"3250613245856"</f>
        <v>3250613245856</v>
      </c>
      <c r="J6820" t="s">
        <v>18304</v>
      </c>
    </row>
    <row r="6821" spans="1:10" x14ac:dyDescent="0.25">
      <c r="A6821" t="s">
        <v>8</v>
      </c>
      <c r="B6821" t="s">
        <v>18861</v>
      </c>
      <c r="C6821" t="s">
        <v>18862</v>
      </c>
      <c r="D6821">
        <v>1</v>
      </c>
      <c r="E6821" t="s">
        <v>18649</v>
      </c>
      <c r="F6821" t="s">
        <v>18650</v>
      </c>
      <c r="G6821" s="1"/>
      <c r="H6821" t="str">
        <f>"3250613245863"</f>
        <v>3250613245863</v>
      </c>
      <c r="J6821" t="s">
        <v>18304</v>
      </c>
    </row>
    <row r="6822" spans="1:10" x14ac:dyDescent="0.25">
      <c r="A6822" t="s">
        <v>8</v>
      </c>
      <c r="B6822" t="s">
        <v>18863</v>
      </c>
      <c r="C6822" t="s">
        <v>18864</v>
      </c>
      <c r="D6822">
        <v>1</v>
      </c>
      <c r="E6822" t="s">
        <v>18649</v>
      </c>
      <c r="F6822" t="s">
        <v>18650</v>
      </c>
      <c r="G6822" s="1"/>
      <c r="H6822" t="str">
        <f>"3250613245870"</f>
        <v>3250613245870</v>
      </c>
      <c r="J6822" t="s">
        <v>18304</v>
      </c>
    </row>
    <row r="6823" spans="1:10" x14ac:dyDescent="0.25">
      <c r="A6823" t="s">
        <v>8</v>
      </c>
      <c r="B6823" t="s">
        <v>18865</v>
      </c>
      <c r="C6823" t="s">
        <v>18866</v>
      </c>
      <c r="D6823">
        <v>1</v>
      </c>
      <c r="E6823" t="s">
        <v>18649</v>
      </c>
      <c r="F6823" t="s">
        <v>18650</v>
      </c>
      <c r="G6823" s="1"/>
      <c r="H6823" t="str">
        <f>"3250613245887"</f>
        <v>3250613245887</v>
      </c>
      <c r="J6823" t="s">
        <v>18304</v>
      </c>
    </row>
    <row r="6824" spans="1:10" x14ac:dyDescent="0.25">
      <c r="A6824" t="s">
        <v>8</v>
      </c>
      <c r="B6824" t="s">
        <v>18867</v>
      </c>
      <c r="C6824" t="s">
        <v>18868</v>
      </c>
      <c r="D6824">
        <v>1</v>
      </c>
      <c r="E6824" t="s">
        <v>18649</v>
      </c>
      <c r="F6824" t="s">
        <v>18650</v>
      </c>
      <c r="G6824" s="1"/>
      <c r="H6824" t="str">
        <f>"3250613245894"</f>
        <v>3250613245894</v>
      </c>
      <c r="J6824" t="s">
        <v>18304</v>
      </c>
    </row>
    <row r="6825" spans="1:10" x14ac:dyDescent="0.25">
      <c r="A6825" t="s">
        <v>8</v>
      </c>
      <c r="B6825" t="s">
        <v>18869</v>
      </c>
      <c r="C6825" t="s">
        <v>18870</v>
      </c>
      <c r="D6825">
        <v>1</v>
      </c>
      <c r="E6825" t="s">
        <v>18649</v>
      </c>
      <c r="F6825" t="s">
        <v>18650</v>
      </c>
      <c r="G6825" s="1"/>
      <c r="H6825" t="str">
        <f>"3250613245900"</f>
        <v>3250613245900</v>
      </c>
      <c r="J6825" t="s">
        <v>18304</v>
      </c>
    </row>
    <row r="6826" spans="1:10" x14ac:dyDescent="0.25">
      <c r="A6826" t="s">
        <v>8</v>
      </c>
      <c r="B6826" t="s">
        <v>18871</v>
      </c>
      <c r="C6826" t="s">
        <v>18872</v>
      </c>
      <c r="D6826">
        <v>1</v>
      </c>
      <c r="E6826" t="s">
        <v>18649</v>
      </c>
      <c r="F6826" t="s">
        <v>18650</v>
      </c>
      <c r="G6826" s="1"/>
      <c r="H6826" t="str">
        <f>"3250613245917"</f>
        <v>3250613245917</v>
      </c>
      <c r="J6826" t="s">
        <v>18304</v>
      </c>
    </row>
    <row r="6827" spans="1:10" x14ac:dyDescent="0.25">
      <c r="A6827" t="s">
        <v>8</v>
      </c>
      <c r="B6827" t="s">
        <v>18873</v>
      </c>
      <c r="C6827" t="s">
        <v>18874</v>
      </c>
      <c r="D6827">
        <v>1</v>
      </c>
      <c r="E6827" t="s">
        <v>18649</v>
      </c>
      <c r="F6827" t="s">
        <v>18650</v>
      </c>
      <c r="G6827" s="1"/>
      <c r="H6827" t="str">
        <f>"3250613245924"</f>
        <v>3250613245924</v>
      </c>
      <c r="J6827" t="s">
        <v>18304</v>
      </c>
    </row>
    <row r="6828" spans="1:10" x14ac:dyDescent="0.25">
      <c r="A6828" t="s">
        <v>8</v>
      </c>
      <c r="B6828" t="s">
        <v>18875</v>
      </c>
      <c r="C6828" t="s">
        <v>18876</v>
      </c>
      <c r="D6828">
        <v>1</v>
      </c>
      <c r="E6828" t="s">
        <v>18649</v>
      </c>
      <c r="F6828" t="s">
        <v>18650</v>
      </c>
      <c r="G6828" s="1"/>
      <c r="H6828" t="str">
        <f>"3250613114107"</f>
        <v>3250613114107</v>
      </c>
      <c r="J6828" t="s">
        <v>18877</v>
      </c>
    </row>
    <row r="6829" spans="1:10" x14ac:dyDescent="0.25">
      <c r="A6829" t="s">
        <v>8</v>
      </c>
      <c r="B6829" t="s">
        <v>18878</v>
      </c>
      <c r="C6829" t="s">
        <v>18879</v>
      </c>
      <c r="D6829">
        <v>1</v>
      </c>
      <c r="E6829" t="s">
        <v>18649</v>
      </c>
      <c r="F6829" t="s">
        <v>18650</v>
      </c>
      <c r="G6829" s="1"/>
      <c r="H6829" t="str">
        <f>"3250613246495"</f>
        <v>3250613246495</v>
      </c>
      <c r="J6829" t="s">
        <v>18323</v>
      </c>
    </row>
    <row r="6830" spans="1:10" x14ac:dyDescent="0.25">
      <c r="A6830" t="s">
        <v>8</v>
      </c>
      <c r="B6830" t="s">
        <v>18880</v>
      </c>
      <c r="C6830" t="s">
        <v>18881</v>
      </c>
      <c r="D6830">
        <v>1</v>
      </c>
      <c r="E6830" t="s">
        <v>18649</v>
      </c>
      <c r="F6830" t="s">
        <v>18650</v>
      </c>
      <c r="G6830" s="1"/>
      <c r="H6830" t="str">
        <f>"3250613250362"</f>
        <v>3250613250362</v>
      </c>
      <c r="J6830" t="s">
        <v>18329</v>
      </c>
    </row>
    <row r="6831" spans="1:10" x14ac:dyDescent="0.25">
      <c r="A6831" t="s">
        <v>8</v>
      </c>
      <c r="B6831" t="s">
        <v>18882</v>
      </c>
      <c r="C6831" t="s">
        <v>18883</v>
      </c>
      <c r="D6831">
        <v>1</v>
      </c>
      <c r="E6831" t="s">
        <v>18649</v>
      </c>
      <c r="F6831" t="s">
        <v>18650</v>
      </c>
      <c r="G6831" s="1"/>
      <c r="H6831" t="str">
        <f>"3250613250379"</f>
        <v>3250613250379</v>
      </c>
      <c r="J6831" t="s">
        <v>18332</v>
      </c>
    </row>
    <row r="6832" spans="1:10" x14ac:dyDescent="0.25">
      <c r="A6832" t="s">
        <v>8</v>
      </c>
      <c r="B6832" t="s">
        <v>18884</v>
      </c>
      <c r="C6832" t="s">
        <v>18885</v>
      </c>
      <c r="D6832">
        <v>1</v>
      </c>
      <c r="E6832" t="s">
        <v>18649</v>
      </c>
      <c r="F6832" t="s">
        <v>18650</v>
      </c>
      <c r="G6832" s="1"/>
      <c r="H6832" t="str">
        <f>"3250613250423"</f>
        <v>3250613250423</v>
      </c>
      <c r="J6832" t="s">
        <v>18349</v>
      </c>
    </row>
    <row r="6833" spans="1:10" x14ac:dyDescent="0.25">
      <c r="A6833" t="s">
        <v>8</v>
      </c>
      <c r="B6833" t="s">
        <v>18886</v>
      </c>
      <c r="C6833" t="s">
        <v>18887</v>
      </c>
      <c r="D6833">
        <v>1</v>
      </c>
      <c r="E6833" t="s">
        <v>18649</v>
      </c>
      <c r="F6833" t="s">
        <v>18650</v>
      </c>
      <c r="G6833" s="1"/>
      <c r="H6833" t="str">
        <f>"3250613250430"</f>
        <v>3250613250430</v>
      </c>
      <c r="J6833" t="s">
        <v>18354</v>
      </c>
    </row>
    <row r="6834" spans="1:10" x14ac:dyDescent="0.25">
      <c r="A6834" t="s">
        <v>8</v>
      </c>
      <c r="B6834" t="s">
        <v>18888</v>
      </c>
      <c r="C6834" t="s">
        <v>18889</v>
      </c>
      <c r="D6834">
        <v>1</v>
      </c>
      <c r="E6834" t="s">
        <v>18649</v>
      </c>
      <c r="F6834" t="s">
        <v>18650</v>
      </c>
      <c r="G6834" s="1"/>
      <c r="H6834" t="str">
        <f>"3250613250485"</f>
        <v>3250613250485</v>
      </c>
      <c r="J6834" t="s">
        <v>18329</v>
      </c>
    </row>
    <row r="6835" spans="1:10" x14ac:dyDescent="0.25">
      <c r="A6835" t="s">
        <v>8</v>
      </c>
      <c r="B6835" t="s">
        <v>18890</v>
      </c>
      <c r="C6835" t="s">
        <v>18891</v>
      </c>
      <c r="D6835">
        <v>1</v>
      </c>
      <c r="E6835" t="s">
        <v>18649</v>
      </c>
      <c r="F6835" t="s">
        <v>18650</v>
      </c>
      <c r="G6835" s="1"/>
      <c r="H6835" t="str">
        <f>"3250613250492"</f>
        <v>3250613250492</v>
      </c>
      <c r="J6835" t="s">
        <v>18332</v>
      </c>
    </row>
    <row r="6836" spans="1:10" x14ac:dyDescent="0.25">
      <c r="A6836" t="s">
        <v>8</v>
      </c>
      <c r="B6836" t="s">
        <v>18892</v>
      </c>
      <c r="C6836" t="s">
        <v>18893</v>
      </c>
      <c r="D6836">
        <v>1</v>
      </c>
      <c r="E6836" t="s">
        <v>18649</v>
      </c>
      <c r="F6836" t="s">
        <v>18650</v>
      </c>
      <c r="G6836" s="1"/>
      <c r="H6836" t="str">
        <f>"3250613166342"</f>
        <v>3250613166342</v>
      </c>
      <c r="J6836" t="s">
        <v>18354</v>
      </c>
    </row>
    <row r="6837" spans="1:10" x14ac:dyDescent="0.25">
      <c r="A6837" t="s">
        <v>8</v>
      </c>
      <c r="B6837" t="s">
        <v>18894</v>
      </c>
      <c r="C6837" t="s">
        <v>18895</v>
      </c>
      <c r="D6837">
        <v>1</v>
      </c>
      <c r="E6837" t="s">
        <v>18649</v>
      </c>
      <c r="F6837" t="s">
        <v>18650</v>
      </c>
      <c r="G6837" s="1"/>
      <c r="H6837" t="str">
        <f>"3250613166359"</f>
        <v>3250613166359</v>
      </c>
      <c r="J6837" t="s">
        <v>18354</v>
      </c>
    </row>
    <row r="6838" spans="1:10" x14ac:dyDescent="0.25">
      <c r="A6838" t="s">
        <v>8</v>
      </c>
      <c r="B6838" t="s">
        <v>18896</v>
      </c>
      <c r="C6838" t="s">
        <v>18897</v>
      </c>
      <c r="D6838">
        <v>1</v>
      </c>
      <c r="E6838" t="s">
        <v>18649</v>
      </c>
      <c r="F6838" t="s">
        <v>18650</v>
      </c>
      <c r="G6838" s="1"/>
      <c r="H6838" t="str">
        <f>"3250613246211"</f>
        <v>3250613246211</v>
      </c>
      <c r="J6838" t="s">
        <v>18145</v>
      </c>
    </row>
    <row r="6839" spans="1:10" x14ac:dyDescent="0.25">
      <c r="A6839" t="s">
        <v>8</v>
      </c>
      <c r="B6839" t="s">
        <v>18898</v>
      </c>
      <c r="C6839" t="s">
        <v>18899</v>
      </c>
      <c r="D6839">
        <v>1</v>
      </c>
      <c r="E6839" t="s">
        <v>18649</v>
      </c>
      <c r="F6839" t="s">
        <v>18650</v>
      </c>
      <c r="G6839" s="1"/>
      <c r="H6839" t="str">
        <f>"3250613246228"</f>
        <v>3250613246228</v>
      </c>
      <c r="J6839" t="s">
        <v>18221</v>
      </c>
    </row>
    <row r="6840" spans="1:10" x14ac:dyDescent="0.25">
      <c r="A6840" t="s">
        <v>8</v>
      </c>
      <c r="B6840" t="s">
        <v>18900</v>
      </c>
      <c r="C6840" t="s">
        <v>18901</v>
      </c>
      <c r="D6840">
        <v>1</v>
      </c>
      <c r="E6840" t="s">
        <v>18649</v>
      </c>
      <c r="F6840" t="s">
        <v>18650</v>
      </c>
      <c r="G6840" s="1"/>
      <c r="H6840" t="str">
        <f>"3250613232979"</f>
        <v>3250613232979</v>
      </c>
      <c r="J6840" t="s">
        <v>18671</v>
      </c>
    </row>
    <row r="6841" spans="1:10" x14ac:dyDescent="0.25">
      <c r="A6841" t="s">
        <v>8</v>
      </c>
      <c r="B6841" t="s">
        <v>18902</v>
      </c>
      <c r="C6841" t="s">
        <v>18903</v>
      </c>
      <c r="D6841">
        <v>1</v>
      </c>
      <c r="E6841" t="s">
        <v>18649</v>
      </c>
      <c r="F6841" t="s">
        <v>18650</v>
      </c>
      <c r="G6841" s="1"/>
      <c r="H6841" t="str">
        <f>"3250613232986"</f>
        <v>3250613232986</v>
      </c>
      <c r="J6841" t="s">
        <v>18671</v>
      </c>
    </row>
    <row r="6842" spans="1:10" x14ac:dyDescent="0.25">
      <c r="A6842" t="s">
        <v>8</v>
      </c>
      <c r="B6842" t="s">
        <v>18904</v>
      </c>
      <c r="C6842" t="s">
        <v>18905</v>
      </c>
      <c r="D6842">
        <v>1</v>
      </c>
      <c r="E6842" t="s">
        <v>18649</v>
      </c>
      <c r="F6842" t="s">
        <v>18650</v>
      </c>
      <c r="G6842" s="1"/>
      <c r="H6842" t="str">
        <f>"3250613232993"</f>
        <v>3250613232993</v>
      </c>
      <c r="J6842" t="s">
        <v>18671</v>
      </c>
    </row>
    <row r="6843" spans="1:10" x14ac:dyDescent="0.25">
      <c r="A6843" t="s">
        <v>8</v>
      </c>
      <c r="B6843" t="s">
        <v>18906</v>
      </c>
      <c r="C6843" t="s">
        <v>18907</v>
      </c>
      <c r="D6843">
        <v>1</v>
      </c>
      <c r="E6843" t="s">
        <v>18649</v>
      </c>
      <c r="F6843" t="s">
        <v>18650</v>
      </c>
      <c r="G6843" s="1"/>
      <c r="H6843" t="str">
        <f>"3250613146030"</f>
        <v>3250613146030</v>
      </c>
      <c r="J6843" t="s">
        <v>18671</v>
      </c>
    </row>
    <row r="6844" spans="1:10" x14ac:dyDescent="0.25">
      <c r="A6844" t="s">
        <v>8</v>
      </c>
      <c r="B6844" t="s">
        <v>18908</v>
      </c>
      <c r="C6844" t="s">
        <v>18909</v>
      </c>
      <c r="D6844">
        <v>1</v>
      </c>
      <c r="E6844" t="s">
        <v>18649</v>
      </c>
      <c r="F6844" t="s">
        <v>18650</v>
      </c>
      <c r="G6844" s="1"/>
      <c r="H6844" t="str">
        <f>"3250613233006"</f>
        <v>3250613233006</v>
      </c>
      <c r="J6844" t="s">
        <v>18671</v>
      </c>
    </row>
    <row r="6845" spans="1:10" x14ac:dyDescent="0.25">
      <c r="A6845" t="s">
        <v>8</v>
      </c>
      <c r="B6845" t="s">
        <v>18910</v>
      </c>
      <c r="C6845" t="s">
        <v>18911</v>
      </c>
      <c r="D6845">
        <v>1</v>
      </c>
      <c r="E6845" t="s">
        <v>18649</v>
      </c>
      <c r="F6845" t="s">
        <v>18650</v>
      </c>
      <c r="G6845" s="1"/>
      <c r="H6845" t="str">
        <f>"3250613113551"</f>
        <v>3250613113551</v>
      </c>
      <c r="J6845" t="s">
        <v>18671</v>
      </c>
    </row>
    <row r="6846" spans="1:10" x14ac:dyDescent="0.25">
      <c r="A6846" t="s">
        <v>8</v>
      </c>
      <c r="B6846" t="s">
        <v>18912</v>
      </c>
      <c r="C6846" t="s">
        <v>18913</v>
      </c>
      <c r="D6846">
        <v>1</v>
      </c>
      <c r="E6846" t="s">
        <v>18649</v>
      </c>
      <c r="F6846" t="s">
        <v>18650</v>
      </c>
      <c r="G6846" s="1"/>
      <c r="H6846" t="str">
        <f>"3250613141578"</f>
        <v>3250613141578</v>
      </c>
      <c r="J6846" t="s">
        <v>18671</v>
      </c>
    </row>
    <row r="6847" spans="1:10" x14ac:dyDescent="0.25">
      <c r="A6847" t="s">
        <v>8</v>
      </c>
      <c r="B6847" t="s">
        <v>18914</v>
      </c>
      <c r="C6847" t="s">
        <v>18915</v>
      </c>
      <c r="D6847">
        <v>1</v>
      </c>
      <c r="E6847" t="s">
        <v>18649</v>
      </c>
      <c r="F6847" t="s">
        <v>18650</v>
      </c>
      <c r="G6847" s="1"/>
      <c r="H6847" t="str">
        <f>"3250613141585"</f>
        <v>3250613141585</v>
      </c>
      <c r="J6847" t="s">
        <v>18671</v>
      </c>
    </row>
    <row r="6848" spans="1:10" x14ac:dyDescent="0.25">
      <c r="A6848" t="s">
        <v>8</v>
      </c>
      <c r="B6848" t="s">
        <v>18916</v>
      </c>
      <c r="C6848" t="s">
        <v>18917</v>
      </c>
      <c r="D6848">
        <v>1</v>
      </c>
      <c r="E6848" t="s">
        <v>18649</v>
      </c>
      <c r="F6848" t="s">
        <v>18650</v>
      </c>
      <c r="G6848" s="1"/>
      <c r="H6848" t="str">
        <f>"3250613141592"</f>
        <v>3250613141592</v>
      </c>
      <c r="J6848" t="s">
        <v>18671</v>
      </c>
    </row>
    <row r="6849" spans="1:10" x14ac:dyDescent="0.25">
      <c r="A6849" t="s">
        <v>8</v>
      </c>
      <c r="B6849" t="s">
        <v>18918</v>
      </c>
      <c r="C6849" t="s">
        <v>18919</v>
      </c>
      <c r="D6849">
        <v>1</v>
      </c>
      <c r="E6849" t="s">
        <v>18649</v>
      </c>
      <c r="F6849" t="s">
        <v>18650</v>
      </c>
      <c r="G6849" s="1"/>
      <c r="H6849" t="str">
        <f>"3250613141608"</f>
        <v>3250613141608</v>
      </c>
      <c r="J6849" t="s">
        <v>18671</v>
      </c>
    </row>
    <row r="6850" spans="1:10" x14ac:dyDescent="0.25">
      <c r="A6850" t="s">
        <v>8</v>
      </c>
      <c r="B6850" t="s">
        <v>18920</v>
      </c>
      <c r="C6850" t="s">
        <v>18921</v>
      </c>
      <c r="D6850">
        <v>1</v>
      </c>
      <c r="E6850" t="s">
        <v>18649</v>
      </c>
      <c r="F6850" t="s">
        <v>18650</v>
      </c>
      <c r="G6850" s="1"/>
      <c r="H6850" t="str">
        <f>"3250610028445"</f>
        <v>3250610028445</v>
      </c>
      <c r="J6850" t="s">
        <v>18922</v>
      </c>
    </row>
    <row r="6851" spans="1:10" x14ac:dyDescent="0.25">
      <c r="A6851" t="s">
        <v>8</v>
      </c>
      <c r="B6851" t="s">
        <v>18923</v>
      </c>
      <c r="C6851" t="s">
        <v>18924</v>
      </c>
      <c r="D6851">
        <v>1</v>
      </c>
      <c r="E6851" t="s">
        <v>18649</v>
      </c>
      <c r="F6851" t="s">
        <v>18650</v>
      </c>
      <c r="G6851" s="1"/>
      <c r="H6851" t="str">
        <f>"3250610028452"</f>
        <v>3250610028452</v>
      </c>
      <c r="J6851" t="s">
        <v>18925</v>
      </c>
    </row>
    <row r="6852" spans="1:10" x14ac:dyDescent="0.25">
      <c r="A6852" t="s">
        <v>8</v>
      </c>
      <c r="B6852" t="s">
        <v>18926</v>
      </c>
      <c r="C6852" t="s">
        <v>18927</v>
      </c>
      <c r="D6852">
        <v>1</v>
      </c>
      <c r="E6852" t="s">
        <v>18649</v>
      </c>
      <c r="F6852" t="s">
        <v>18650</v>
      </c>
      <c r="G6852" s="1"/>
      <c r="H6852" t="str">
        <f>"3250610028469"</f>
        <v>3250610028469</v>
      </c>
      <c r="J6852" t="s">
        <v>18928</v>
      </c>
    </row>
    <row r="6853" spans="1:10" x14ac:dyDescent="0.25">
      <c r="A6853" t="s">
        <v>8</v>
      </c>
      <c r="B6853" t="s">
        <v>18929</v>
      </c>
      <c r="C6853" t="s">
        <v>18930</v>
      </c>
      <c r="D6853">
        <v>1</v>
      </c>
      <c r="E6853" t="s">
        <v>18649</v>
      </c>
      <c r="F6853" t="s">
        <v>18650</v>
      </c>
      <c r="G6853" s="1"/>
      <c r="H6853" t="str">
        <f>"3250610028476"</f>
        <v>3250610028476</v>
      </c>
      <c r="J6853" t="s">
        <v>18931</v>
      </c>
    </row>
    <row r="6854" spans="1:10" x14ac:dyDescent="0.25">
      <c r="A6854" t="s">
        <v>8</v>
      </c>
      <c r="B6854" t="s">
        <v>18932</v>
      </c>
      <c r="C6854" t="s">
        <v>18933</v>
      </c>
      <c r="D6854">
        <v>1</v>
      </c>
      <c r="E6854" t="s">
        <v>18649</v>
      </c>
      <c r="F6854" t="s">
        <v>18650</v>
      </c>
      <c r="G6854" s="1"/>
      <c r="H6854" t="str">
        <f>"3250610028483"</f>
        <v>3250610028483</v>
      </c>
      <c r="J6854" t="s">
        <v>18934</v>
      </c>
    </row>
    <row r="6855" spans="1:10" x14ac:dyDescent="0.25">
      <c r="A6855" t="s">
        <v>8</v>
      </c>
      <c r="B6855" t="s">
        <v>18935</v>
      </c>
      <c r="C6855" t="s">
        <v>18936</v>
      </c>
      <c r="D6855">
        <v>1</v>
      </c>
      <c r="E6855" t="s">
        <v>18649</v>
      </c>
      <c r="F6855" t="s">
        <v>18650</v>
      </c>
      <c r="G6855" s="1"/>
      <c r="H6855" t="str">
        <f>"3250610028490"</f>
        <v>3250610028490</v>
      </c>
      <c r="I6855" s="1"/>
      <c r="J6855" t="s">
        <v>18937</v>
      </c>
    </row>
    <row r="6856" spans="1:10" x14ac:dyDescent="0.25">
      <c r="A6856" t="s">
        <v>8</v>
      </c>
      <c r="B6856" t="s">
        <v>18938</v>
      </c>
      <c r="C6856" t="s">
        <v>18939</v>
      </c>
      <c r="D6856">
        <v>1</v>
      </c>
      <c r="E6856" t="s">
        <v>18649</v>
      </c>
      <c r="F6856" t="s">
        <v>18650</v>
      </c>
      <c r="G6856" s="1"/>
      <c r="H6856" t="str">
        <f>"3250610055977"</f>
        <v>3250610055977</v>
      </c>
      <c r="J6856" t="s">
        <v>18940</v>
      </c>
    </row>
    <row r="6857" spans="1:10" x14ac:dyDescent="0.25">
      <c r="A6857" t="s">
        <v>8</v>
      </c>
      <c r="B6857" t="s">
        <v>18941</v>
      </c>
      <c r="C6857" t="s">
        <v>18942</v>
      </c>
      <c r="D6857">
        <v>1</v>
      </c>
      <c r="E6857" t="s">
        <v>18649</v>
      </c>
      <c r="F6857" t="s">
        <v>18650</v>
      </c>
      <c r="G6857" s="1"/>
      <c r="H6857" t="str">
        <f>"3250610055984"</f>
        <v>3250610055984</v>
      </c>
      <c r="J6857" t="s">
        <v>18940</v>
      </c>
    </row>
    <row r="6858" spans="1:10" x14ac:dyDescent="0.25">
      <c r="A6858" t="s">
        <v>8</v>
      </c>
      <c r="B6858" t="s">
        <v>18943</v>
      </c>
      <c r="C6858" t="s">
        <v>18944</v>
      </c>
      <c r="D6858">
        <v>1</v>
      </c>
      <c r="E6858" t="s">
        <v>18649</v>
      </c>
      <c r="F6858" t="s">
        <v>18650</v>
      </c>
      <c r="G6858" s="1"/>
      <c r="H6858" t="str">
        <f>"3250610055991"</f>
        <v>3250610055991</v>
      </c>
      <c r="J6858" t="s">
        <v>18940</v>
      </c>
    </row>
    <row r="6859" spans="1:10" x14ac:dyDescent="0.25">
      <c r="A6859" t="s">
        <v>8</v>
      </c>
      <c r="B6859" t="s">
        <v>18945</v>
      </c>
      <c r="C6859" t="s">
        <v>18946</v>
      </c>
      <c r="D6859">
        <v>1</v>
      </c>
      <c r="E6859" t="s">
        <v>18649</v>
      </c>
      <c r="F6859" t="s">
        <v>18650</v>
      </c>
      <c r="G6859" s="1"/>
      <c r="H6859" t="str">
        <f>"3250613234300"</f>
        <v>3250613234300</v>
      </c>
      <c r="J6859" t="s">
        <v>18684</v>
      </c>
    </row>
    <row r="6860" spans="1:10" x14ac:dyDescent="0.25">
      <c r="A6860" t="s">
        <v>8</v>
      </c>
      <c r="B6860" t="s">
        <v>18947</v>
      </c>
      <c r="C6860" t="s">
        <v>18948</v>
      </c>
      <c r="D6860">
        <v>1</v>
      </c>
      <c r="E6860" t="s">
        <v>18649</v>
      </c>
      <c r="F6860" t="s">
        <v>18650</v>
      </c>
      <c r="G6860" s="1"/>
      <c r="H6860" t="str">
        <f>"3250613234317"</f>
        <v>3250613234317</v>
      </c>
      <c r="J6860" t="s">
        <v>18684</v>
      </c>
    </row>
    <row r="6861" spans="1:10" x14ac:dyDescent="0.25">
      <c r="A6861" t="s">
        <v>8</v>
      </c>
      <c r="B6861" t="s">
        <v>18949</v>
      </c>
      <c r="C6861" t="s">
        <v>18950</v>
      </c>
      <c r="D6861">
        <v>1</v>
      </c>
      <c r="E6861" t="s">
        <v>18649</v>
      </c>
      <c r="F6861" t="s">
        <v>18650</v>
      </c>
      <c r="G6861" s="1"/>
      <c r="H6861" t="str">
        <f>"3250613166328"</f>
        <v>3250613166328</v>
      </c>
      <c r="J6861" t="s">
        <v>18190</v>
      </c>
    </row>
    <row r="6862" spans="1:10" x14ac:dyDescent="0.25">
      <c r="A6862" t="s">
        <v>8</v>
      </c>
      <c r="B6862" t="s">
        <v>18951</v>
      </c>
      <c r="C6862" t="s">
        <v>18952</v>
      </c>
      <c r="D6862">
        <v>1</v>
      </c>
      <c r="E6862" t="s">
        <v>18649</v>
      </c>
      <c r="F6862" t="s">
        <v>18650</v>
      </c>
      <c r="G6862" s="1"/>
      <c r="H6862" t="str">
        <f>"3250613166335"</f>
        <v>3250613166335</v>
      </c>
      <c r="J6862" t="s">
        <v>18190</v>
      </c>
    </row>
    <row r="6863" spans="1:10" x14ac:dyDescent="0.25">
      <c r="A6863" t="s">
        <v>8</v>
      </c>
      <c r="B6863" t="s">
        <v>18953</v>
      </c>
      <c r="C6863" t="s">
        <v>18954</v>
      </c>
      <c r="D6863">
        <v>1</v>
      </c>
      <c r="E6863" t="s">
        <v>18649</v>
      </c>
      <c r="F6863" t="s">
        <v>18650</v>
      </c>
      <c r="G6863" s="1"/>
      <c r="H6863" t="str">
        <f>"3250613166366"</f>
        <v>3250613166366</v>
      </c>
      <c r="J6863" t="s">
        <v>18354</v>
      </c>
    </row>
    <row r="6864" spans="1:10" x14ac:dyDescent="0.25">
      <c r="A6864" t="s">
        <v>8</v>
      </c>
      <c r="B6864" t="s">
        <v>18955</v>
      </c>
      <c r="C6864" t="s">
        <v>18956</v>
      </c>
      <c r="D6864">
        <v>1</v>
      </c>
      <c r="E6864" t="s">
        <v>18649</v>
      </c>
      <c r="F6864" t="s">
        <v>18650</v>
      </c>
      <c r="G6864" s="1"/>
      <c r="H6864" t="str">
        <f>"3250613166373"</f>
        <v>3250613166373</v>
      </c>
      <c r="J6864" t="s">
        <v>18354</v>
      </c>
    </row>
    <row r="6865" spans="1:10" x14ac:dyDescent="0.25">
      <c r="A6865" t="s">
        <v>8</v>
      </c>
      <c r="B6865" t="s">
        <v>18957</v>
      </c>
      <c r="C6865" t="s">
        <v>18958</v>
      </c>
      <c r="D6865">
        <v>1</v>
      </c>
      <c r="E6865" t="s">
        <v>18649</v>
      </c>
      <c r="F6865" t="s">
        <v>18650</v>
      </c>
      <c r="G6865" s="1"/>
      <c r="H6865" t="str">
        <f>"3250613246136"</f>
        <v>3250613246136</v>
      </c>
      <c r="J6865" t="s">
        <v>18959</v>
      </c>
    </row>
    <row r="6866" spans="1:10" x14ac:dyDescent="0.25">
      <c r="A6866" t="s">
        <v>8</v>
      </c>
      <c r="B6866" t="s">
        <v>18960</v>
      </c>
      <c r="C6866" t="s">
        <v>18961</v>
      </c>
      <c r="D6866">
        <v>1</v>
      </c>
      <c r="E6866" t="s">
        <v>18649</v>
      </c>
      <c r="F6866" t="s">
        <v>18650</v>
      </c>
      <c r="G6866" s="1"/>
      <c r="H6866" t="str">
        <f>"3250613246143"</f>
        <v>3250613246143</v>
      </c>
      <c r="J6866" t="s">
        <v>18959</v>
      </c>
    </row>
    <row r="6867" spans="1:10" x14ac:dyDescent="0.25">
      <c r="A6867" t="s">
        <v>8</v>
      </c>
      <c r="B6867" t="s">
        <v>18962</v>
      </c>
      <c r="C6867" t="s">
        <v>18963</v>
      </c>
      <c r="D6867">
        <v>1</v>
      </c>
      <c r="E6867" t="s">
        <v>18649</v>
      </c>
      <c r="F6867" t="s">
        <v>18650</v>
      </c>
      <c r="G6867" s="1"/>
      <c r="H6867" t="str">
        <f>"3250613250041"</f>
        <v>3250613250041</v>
      </c>
      <c r="J6867" t="s">
        <v>18959</v>
      </c>
    </row>
    <row r="6868" spans="1:10" x14ac:dyDescent="0.25">
      <c r="A6868" t="s">
        <v>8</v>
      </c>
      <c r="B6868" t="s">
        <v>18964</v>
      </c>
      <c r="C6868" t="s">
        <v>18965</v>
      </c>
      <c r="D6868">
        <v>1</v>
      </c>
      <c r="E6868" t="s">
        <v>18649</v>
      </c>
      <c r="F6868" t="s">
        <v>18650</v>
      </c>
      <c r="G6868" s="1"/>
      <c r="H6868" t="str">
        <f>"3250613250058"</f>
        <v>3250613250058</v>
      </c>
      <c r="J6868" t="s">
        <v>18959</v>
      </c>
    </row>
    <row r="6869" spans="1:10" x14ac:dyDescent="0.25">
      <c r="A6869" t="s">
        <v>8</v>
      </c>
      <c r="B6869" t="s">
        <v>18966</v>
      </c>
      <c r="C6869" t="s">
        <v>18967</v>
      </c>
      <c r="D6869">
        <v>1</v>
      </c>
      <c r="E6869" t="s">
        <v>18649</v>
      </c>
      <c r="F6869" t="s">
        <v>18650</v>
      </c>
      <c r="G6869" s="1"/>
      <c r="H6869" t="str">
        <f>"3250613245597"</f>
        <v>3250613245597</v>
      </c>
      <c r="J6869" t="s">
        <v>18968</v>
      </c>
    </row>
    <row r="6870" spans="1:10" x14ac:dyDescent="0.25">
      <c r="A6870" t="s">
        <v>8</v>
      </c>
      <c r="B6870" t="s">
        <v>18969</v>
      </c>
      <c r="C6870" t="s">
        <v>18970</v>
      </c>
      <c r="D6870">
        <v>1</v>
      </c>
      <c r="E6870" t="s">
        <v>18649</v>
      </c>
      <c r="F6870" t="s">
        <v>18650</v>
      </c>
      <c r="G6870" s="1"/>
      <c r="H6870" t="str">
        <f>"3250613245603"</f>
        <v>3250613245603</v>
      </c>
      <c r="J6870" t="s">
        <v>18968</v>
      </c>
    </row>
    <row r="6871" spans="1:10" x14ac:dyDescent="0.25">
      <c r="A6871" t="s">
        <v>8</v>
      </c>
      <c r="B6871" t="s">
        <v>18971</v>
      </c>
      <c r="C6871" t="s">
        <v>18972</v>
      </c>
      <c r="D6871">
        <v>1</v>
      </c>
      <c r="E6871" t="s">
        <v>18649</v>
      </c>
      <c r="F6871" t="s">
        <v>18650</v>
      </c>
      <c r="G6871" s="1"/>
      <c r="H6871" t="str">
        <f>"3250613245696"</f>
        <v>3250613245696</v>
      </c>
      <c r="J6871" t="s">
        <v>18968</v>
      </c>
    </row>
    <row r="6872" spans="1:10" x14ac:dyDescent="0.25">
      <c r="A6872" t="s">
        <v>8</v>
      </c>
      <c r="B6872" t="s">
        <v>18973</v>
      </c>
      <c r="C6872" t="s">
        <v>18974</v>
      </c>
      <c r="D6872">
        <v>1</v>
      </c>
      <c r="E6872" t="s">
        <v>18649</v>
      </c>
      <c r="F6872" t="s">
        <v>18650</v>
      </c>
      <c r="G6872" s="1"/>
      <c r="H6872" t="str">
        <f>"3250613245702"</f>
        <v>3250613245702</v>
      </c>
      <c r="J6872" t="s">
        <v>18968</v>
      </c>
    </row>
    <row r="6873" spans="1:10" x14ac:dyDescent="0.25">
      <c r="A6873" t="s">
        <v>8</v>
      </c>
      <c r="B6873" t="s">
        <v>18975</v>
      </c>
      <c r="C6873" t="s">
        <v>18976</v>
      </c>
      <c r="D6873">
        <v>1</v>
      </c>
      <c r="E6873" t="s">
        <v>18649</v>
      </c>
      <c r="F6873" t="s">
        <v>18650</v>
      </c>
      <c r="G6873" s="1"/>
      <c r="H6873" t="str">
        <f>"3250613245832"</f>
        <v>3250613245832</v>
      </c>
      <c r="J6873" t="s">
        <v>18977</v>
      </c>
    </row>
    <row r="6874" spans="1:10" x14ac:dyDescent="0.25">
      <c r="A6874" t="s">
        <v>8</v>
      </c>
      <c r="B6874" t="s">
        <v>18978</v>
      </c>
      <c r="C6874" t="s">
        <v>18979</v>
      </c>
      <c r="D6874">
        <v>1</v>
      </c>
      <c r="E6874" t="s">
        <v>18649</v>
      </c>
      <c r="F6874" t="s">
        <v>18650</v>
      </c>
      <c r="G6874" s="1"/>
      <c r="H6874" t="str">
        <f>"3250613245849"</f>
        <v>3250613245849</v>
      </c>
      <c r="J6874" t="s">
        <v>18977</v>
      </c>
    </row>
    <row r="6875" spans="1:10" x14ac:dyDescent="0.25">
      <c r="A6875" t="s">
        <v>8</v>
      </c>
      <c r="B6875" t="s">
        <v>18980</v>
      </c>
      <c r="C6875" t="s">
        <v>18981</v>
      </c>
      <c r="D6875">
        <v>1</v>
      </c>
      <c r="E6875" t="s">
        <v>18649</v>
      </c>
      <c r="F6875" t="s">
        <v>18650</v>
      </c>
      <c r="G6875" s="1"/>
      <c r="H6875" t="str">
        <f>"3250613245931"</f>
        <v>3250613245931</v>
      </c>
      <c r="J6875" t="s">
        <v>18977</v>
      </c>
    </row>
    <row r="6876" spans="1:10" x14ac:dyDescent="0.25">
      <c r="A6876" t="s">
        <v>8</v>
      </c>
      <c r="B6876" t="s">
        <v>18982</v>
      </c>
      <c r="C6876" t="s">
        <v>18983</v>
      </c>
      <c r="D6876">
        <v>1</v>
      </c>
      <c r="E6876" t="s">
        <v>18649</v>
      </c>
      <c r="F6876" t="s">
        <v>18650</v>
      </c>
      <c r="G6876" s="1"/>
      <c r="H6876" t="str">
        <f>"3250613245948"</f>
        <v>3250613245948</v>
      </c>
      <c r="J6876" t="s">
        <v>18977</v>
      </c>
    </row>
    <row r="6877" spans="1:10" x14ac:dyDescent="0.25">
      <c r="A6877" t="s">
        <v>8</v>
      </c>
      <c r="B6877" t="s">
        <v>18984</v>
      </c>
      <c r="C6877" t="s">
        <v>18985</v>
      </c>
      <c r="D6877">
        <v>1</v>
      </c>
      <c r="E6877" t="s">
        <v>18649</v>
      </c>
      <c r="F6877" t="s">
        <v>18650</v>
      </c>
      <c r="G6877" s="1"/>
      <c r="H6877" t="str">
        <f>"3250610031834"</f>
        <v>3250610031834</v>
      </c>
      <c r="J6877" t="s">
        <v>18986</v>
      </c>
    </row>
    <row r="6878" spans="1:10" x14ac:dyDescent="0.25">
      <c r="A6878" t="s">
        <v>8</v>
      </c>
      <c r="B6878" t="s">
        <v>18987</v>
      </c>
      <c r="C6878" t="s">
        <v>18988</v>
      </c>
      <c r="D6878">
        <v>1</v>
      </c>
      <c r="E6878" t="s">
        <v>18649</v>
      </c>
      <c r="F6878" t="s">
        <v>18650</v>
      </c>
      <c r="G6878" s="1"/>
      <c r="H6878" t="str">
        <f>"3250610031841"</f>
        <v>3250610031841</v>
      </c>
      <c r="J6878" t="s">
        <v>18986</v>
      </c>
    </row>
    <row r="6879" spans="1:10" x14ac:dyDescent="0.25">
      <c r="A6879" t="s">
        <v>8</v>
      </c>
      <c r="B6879" t="s">
        <v>18989</v>
      </c>
      <c r="C6879" t="s">
        <v>18990</v>
      </c>
      <c r="D6879">
        <v>1</v>
      </c>
      <c r="E6879" t="s">
        <v>18649</v>
      </c>
      <c r="F6879" t="s">
        <v>18650</v>
      </c>
      <c r="G6879" s="1"/>
      <c r="H6879" t="str">
        <f>"3250610031858"</f>
        <v>3250610031858</v>
      </c>
      <c r="J6879" t="s">
        <v>18986</v>
      </c>
    </row>
    <row r="6880" spans="1:10" x14ac:dyDescent="0.25">
      <c r="A6880" t="s">
        <v>8</v>
      </c>
      <c r="B6880" t="s">
        <v>18991</v>
      </c>
      <c r="C6880" t="s">
        <v>18992</v>
      </c>
      <c r="D6880">
        <v>1</v>
      </c>
      <c r="E6880" t="s">
        <v>18649</v>
      </c>
      <c r="F6880" t="s">
        <v>18650</v>
      </c>
      <c r="G6880" s="1"/>
      <c r="H6880" t="str">
        <f>"3250613246754"</f>
        <v>3250613246754</v>
      </c>
      <c r="J6880" t="s">
        <v>18993</v>
      </c>
    </row>
    <row r="6881" spans="1:10" x14ac:dyDescent="0.25">
      <c r="A6881" t="s">
        <v>8</v>
      </c>
      <c r="B6881" t="s">
        <v>18994</v>
      </c>
      <c r="C6881" t="s">
        <v>18995</v>
      </c>
      <c r="D6881">
        <v>1</v>
      </c>
      <c r="E6881" t="s">
        <v>18649</v>
      </c>
      <c r="F6881" t="s">
        <v>18650</v>
      </c>
      <c r="G6881" s="1"/>
      <c r="H6881" t="str">
        <f>"3250613246761"</f>
        <v>3250613246761</v>
      </c>
      <c r="J6881" t="s">
        <v>18996</v>
      </c>
    </row>
    <row r="6882" spans="1:10" x14ac:dyDescent="0.25">
      <c r="A6882" t="s">
        <v>8</v>
      </c>
      <c r="B6882" t="s">
        <v>18997</v>
      </c>
      <c r="C6882" t="s">
        <v>18998</v>
      </c>
      <c r="D6882">
        <v>1</v>
      </c>
      <c r="E6882" t="s">
        <v>18649</v>
      </c>
      <c r="F6882" t="s">
        <v>18650</v>
      </c>
      <c r="G6882" s="1"/>
      <c r="H6882" t="str">
        <f>"3250613250508"</f>
        <v>3250613250508</v>
      </c>
      <c r="J6882" t="s">
        <v>18996</v>
      </c>
    </row>
    <row r="6883" spans="1:10" x14ac:dyDescent="0.25">
      <c r="A6883" t="s">
        <v>8</v>
      </c>
      <c r="B6883" t="s">
        <v>18999</v>
      </c>
      <c r="C6883" t="s">
        <v>19000</v>
      </c>
      <c r="D6883">
        <v>1</v>
      </c>
      <c r="E6883" t="s">
        <v>18649</v>
      </c>
      <c r="F6883" t="s">
        <v>18650</v>
      </c>
      <c r="G6883" s="1"/>
      <c r="H6883" t="str">
        <f>"3250613250515"</f>
        <v>3250613250515</v>
      </c>
      <c r="J6883" t="s">
        <v>10223</v>
      </c>
    </row>
    <row r="6884" spans="1:10" x14ac:dyDescent="0.25">
      <c r="A6884" t="s">
        <v>8</v>
      </c>
      <c r="B6884" t="s">
        <v>19001</v>
      </c>
      <c r="C6884" t="s">
        <v>19002</v>
      </c>
      <c r="D6884">
        <v>1</v>
      </c>
      <c r="E6884" t="s">
        <v>18649</v>
      </c>
      <c r="F6884" t="s">
        <v>18650</v>
      </c>
      <c r="G6884" s="1"/>
      <c r="H6884" t="str">
        <f>"3250613250522"</f>
        <v>3250613250522</v>
      </c>
      <c r="J6884" t="s">
        <v>18996</v>
      </c>
    </row>
    <row r="6885" spans="1:10" x14ac:dyDescent="0.25">
      <c r="A6885" t="s">
        <v>8</v>
      </c>
      <c r="B6885" t="s">
        <v>19003</v>
      </c>
      <c r="C6885" t="s">
        <v>19004</v>
      </c>
      <c r="D6885">
        <v>1</v>
      </c>
      <c r="E6885" t="s">
        <v>18649</v>
      </c>
      <c r="F6885" t="s">
        <v>18650</v>
      </c>
      <c r="G6885" s="1"/>
      <c r="H6885" t="str">
        <f>"3250613250539"</f>
        <v>3250613250539</v>
      </c>
      <c r="J6885" t="s">
        <v>10223</v>
      </c>
    </row>
    <row r="6886" spans="1:10" x14ac:dyDescent="0.25">
      <c r="A6886" t="s">
        <v>8</v>
      </c>
      <c r="B6886" t="s">
        <v>19005</v>
      </c>
      <c r="C6886" t="s">
        <v>19006</v>
      </c>
      <c r="D6886">
        <v>1</v>
      </c>
      <c r="E6886" t="s">
        <v>19007</v>
      </c>
      <c r="F6886" t="s">
        <v>19008</v>
      </c>
      <c r="G6886" s="1"/>
      <c r="H6886" t="str">
        <f>"3250615600639"</f>
        <v>3250615600639</v>
      </c>
      <c r="J6886" t="s">
        <v>19009</v>
      </c>
    </row>
    <row r="6887" spans="1:10" x14ac:dyDescent="0.25">
      <c r="A6887" t="s">
        <v>8</v>
      </c>
      <c r="B6887" t="s">
        <v>19010</v>
      </c>
      <c r="C6887" t="s">
        <v>19011</v>
      </c>
      <c r="D6887">
        <v>1</v>
      </c>
      <c r="E6887" t="s">
        <v>19007</v>
      </c>
      <c r="F6887" t="s">
        <v>19008</v>
      </c>
      <c r="G6887" s="1"/>
      <c r="H6887" t="str">
        <f>"3250615600646"</f>
        <v>3250615600646</v>
      </c>
      <c r="J6887" t="s">
        <v>19012</v>
      </c>
    </row>
    <row r="6888" spans="1:10" x14ac:dyDescent="0.25">
      <c r="A6888" t="s">
        <v>8</v>
      </c>
      <c r="B6888" t="s">
        <v>19013</v>
      </c>
      <c r="C6888" t="s">
        <v>19014</v>
      </c>
      <c r="D6888">
        <v>1</v>
      </c>
      <c r="E6888" t="s">
        <v>19007</v>
      </c>
      <c r="F6888" t="s">
        <v>19008</v>
      </c>
      <c r="G6888" s="1"/>
      <c r="H6888" t="str">
        <f>"3250615600516"</f>
        <v>3250615600516</v>
      </c>
      <c r="J6888" t="s">
        <v>19015</v>
      </c>
    </row>
    <row r="6889" spans="1:10" x14ac:dyDescent="0.25">
      <c r="A6889" t="s">
        <v>8</v>
      </c>
      <c r="B6889" t="s">
        <v>19016</v>
      </c>
      <c r="C6889" t="s">
        <v>19017</v>
      </c>
      <c r="D6889">
        <v>1</v>
      </c>
      <c r="E6889" t="s">
        <v>19018</v>
      </c>
      <c r="F6889" t="s">
        <v>19019</v>
      </c>
      <c r="G6889" s="1"/>
      <c r="H6889" t="str">
        <f>"3250617201056"</f>
        <v>3250617201056</v>
      </c>
      <c r="J6889" t="s">
        <v>19020</v>
      </c>
    </row>
    <row r="6890" spans="1:10" x14ac:dyDescent="0.25">
      <c r="A6890" t="s">
        <v>8</v>
      </c>
      <c r="B6890" t="s">
        <v>19021</v>
      </c>
      <c r="C6890" t="s">
        <v>19022</v>
      </c>
      <c r="D6890">
        <v>1</v>
      </c>
      <c r="E6890" t="s">
        <v>19018</v>
      </c>
      <c r="F6890" t="s">
        <v>19019</v>
      </c>
      <c r="G6890" s="1"/>
      <c r="H6890" t="str">
        <f>"3250617201063"</f>
        <v>3250617201063</v>
      </c>
      <c r="J6890" t="s">
        <v>19023</v>
      </c>
    </row>
    <row r="6891" spans="1:10" x14ac:dyDescent="0.25">
      <c r="A6891" t="s">
        <v>8</v>
      </c>
      <c r="B6891" t="s">
        <v>19024</v>
      </c>
      <c r="C6891" t="s">
        <v>19025</v>
      </c>
      <c r="D6891">
        <v>1</v>
      </c>
      <c r="E6891" t="s">
        <v>19018</v>
      </c>
      <c r="F6891" t="s">
        <v>19019</v>
      </c>
      <c r="G6891" s="1"/>
      <c r="H6891" t="str">
        <f>"3250617201070"</f>
        <v>3250617201070</v>
      </c>
      <c r="J6891" t="s">
        <v>19026</v>
      </c>
    </row>
    <row r="6892" spans="1:10" x14ac:dyDescent="0.25">
      <c r="A6892" t="s">
        <v>8</v>
      </c>
      <c r="B6892" t="s">
        <v>19027</v>
      </c>
      <c r="C6892" t="s">
        <v>19028</v>
      </c>
      <c r="D6892">
        <v>1</v>
      </c>
      <c r="E6892" t="s">
        <v>19018</v>
      </c>
      <c r="F6892" t="s">
        <v>19019</v>
      </c>
      <c r="G6892" s="1"/>
      <c r="H6892" t="str">
        <f>"3250617201087"</f>
        <v>3250617201087</v>
      </c>
      <c r="J6892" t="s">
        <v>19029</v>
      </c>
    </row>
    <row r="6893" spans="1:10" x14ac:dyDescent="0.25">
      <c r="A6893" t="s">
        <v>8</v>
      </c>
      <c r="B6893" t="s">
        <v>19030</v>
      </c>
      <c r="C6893" t="s">
        <v>19031</v>
      </c>
      <c r="D6893">
        <v>1</v>
      </c>
      <c r="E6893" t="s">
        <v>19018</v>
      </c>
      <c r="F6893" t="s">
        <v>19019</v>
      </c>
      <c r="G6893" s="1"/>
      <c r="H6893" t="str">
        <f>"3250617201094"</f>
        <v>3250617201094</v>
      </c>
      <c r="J6893" t="s">
        <v>19032</v>
      </c>
    </row>
    <row r="6894" spans="1:10" x14ac:dyDescent="0.25">
      <c r="A6894" t="s">
        <v>8</v>
      </c>
      <c r="B6894" t="s">
        <v>19033</v>
      </c>
      <c r="C6894" t="s">
        <v>19034</v>
      </c>
      <c r="D6894">
        <v>1</v>
      </c>
      <c r="E6894" t="s">
        <v>19035</v>
      </c>
      <c r="F6894" t="s">
        <v>19036</v>
      </c>
      <c r="G6894" s="1"/>
      <c r="H6894" t="str">
        <f>"3250610010235"</f>
        <v>3250610010235</v>
      </c>
      <c r="J6894" t="s">
        <v>19037</v>
      </c>
    </row>
    <row r="6895" spans="1:10" x14ac:dyDescent="0.25">
      <c r="A6895" t="s">
        <v>8</v>
      </c>
      <c r="B6895" t="s">
        <v>19038</v>
      </c>
      <c r="C6895" t="s">
        <v>19039</v>
      </c>
      <c r="D6895">
        <v>1</v>
      </c>
      <c r="E6895" t="s">
        <v>19035</v>
      </c>
      <c r="F6895" t="s">
        <v>19036</v>
      </c>
      <c r="G6895" s="1"/>
      <c r="H6895" t="str">
        <f>"3250610010259"</f>
        <v>3250610010259</v>
      </c>
      <c r="J6895" t="s">
        <v>19040</v>
      </c>
    </row>
    <row r="6896" spans="1:10" x14ac:dyDescent="0.25">
      <c r="A6896" t="s">
        <v>8</v>
      </c>
      <c r="B6896" t="s">
        <v>19041</v>
      </c>
      <c r="C6896" t="s">
        <v>19042</v>
      </c>
      <c r="D6896">
        <v>1</v>
      </c>
      <c r="E6896" t="s">
        <v>19035</v>
      </c>
      <c r="F6896" t="s">
        <v>19036</v>
      </c>
      <c r="G6896" s="1"/>
      <c r="H6896" t="str">
        <f>"3250610010198"</f>
        <v>3250610010198</v>
      </c>
      <c r="J6896" t="s">
        <v>19043</v>
      </c>
    </row>
    <row r="6897" spans="1:10" x14ac:dyDescent="0.25">
      <c r="A6897" t="s">
        <v>8</v>
      </c>
      <c r="B6897" t="s">
        <v>19044</v>
      </c>
      <c r="C6897" t="s">
        <v>19045</v>
      </c>
      <c r="D6897">
        <v>1</v>
      </c>
      <c r="E6897" t="s">
        <v>19035</v>
      </c>
      <c r="F6897" t="s">
        <v>19036</v>
      </c>
      <c r="G6897" s="1"/>
      <c r="H6897" t="str">
        <f>"3250610010242"</f>
        <v>3250610010242</v>
      </c>
      <c r="J6897" t="s">
        <v>19046</v>
      </c>
    </row>
    <row r="6898" spans="1:10" x14ac:dyDescent="0.25">
      <c r="A6898" t="s">
        <v>8</v>
      </c>
      <c r="B6898" t="s">
        <v>19047</v>
      </c>
      <c r="C6898" t="s">
        <v>19048</v>
      </c>
      <c r="D6898">
        <v>1</v>
      </c>
      <c r="E6898" t="s">
        <v>19035</v>
      </c>
      <c r="F6898" t="s">
        <v>19036</v>
      </c>
      <c r="G6898" s="1"/>
      <c r="H6898" t="str">
        <f>"3250610094792"</f>
        <v>3250610094792</v>
      </c>
      <c r="J6898" t="s">
        <v>19049</v>
      </c>
    </row>
    <row r="6899" spans="1:10" x14ac:dyDescent="0.25">
      <c r="A6899" t="s">
        <v>8</v>
      </c>
      <c r="B6899" t="s">
        <v>19050</v>
      </c>
      <c r="C6899" t="s">
        <v>19051</v>
      </c>
      <c r="D6899">
        <v>1</v>
      </c>
      <c r="E6899" t="s">
        <v>19052</v>
      </c>
      <c r="F6899" t="s">
        <v>19053</v>
      </c>
      <c r="G6899" s="1"/>
      <c r="H6899" t="str">
        <f>"3250615600592"</f>
        <v>3250615600592</v>
      </c>
      <c r="J6899" t="s">
        <v>19054</v>
      </c>
    </row>
    <row r="6900" spans="1:10" x14ac:dyDescent="0.25">
      <c r="A6900" t="s">
        <v>8</v>
      </c>
      <c r="B6900" t="s">
        <v>19055</v>
      </c>
      <c r="C6900" t="s">
        <v>19056</v>
      </c>
      <c r="D6900">
        <v>1</v>
      </c>
      <c r="E6900" t="s">
        <v>19052</v>
      </c>
      <c r="F6900" t="s">
        <v>19053</v>
      </c>
      <c r="G6900" s="1"/>
      <c r="H6900" t="str">
        <f>"3250615600608"</f>
        <v>3250615600608</v>
      </c>
      <c r="J6900" t="s">
        <v>19057</v>
      </c>
    </row>
    <row r="6901" spans="1:10" x14ac:dyDescent="0.25">
      <c r="A6901" t="s">
        <v>8</v>
      </c>
      <c r="B6901" t="s">
        <v>19058</v>
      </c>
      <c r="C6901" t="s">
        <v>19059</v>
      </c>
      <c r="D6901">
        <v>1</v>
      </c>
      <c r="E6901" t="s">
        <v>19052</v>
      </c>
      <c r="F6901" t="s">
        <v>19053</v>
      </c>
      <c r="G6901" s="1"/>
      <c r="H6901" t="str">
        <f>"3250615600622"</f>
        <v>3250615600622</v>
      </c>
      <c r="J6901" t="s">
        <v>19060</v>
      </c>
    </row>
    <row r="6902" spans="1:10" x14ac:dyDescent="0.25">
      <c r="A6902" t="s">
        <v>8</v>
      </c>
      <c r="B6902" t="s">
        <v>19061</v>
      </c>
      <c r="C6902" t="s">
        <v>19062</v>
      </c>
      <c r="D6902">
        <v>1</v>
      </c>
      <c r="E6902" t="s">
        <v>19063</v>
      </c>
      <c r="F6902" t="s">
        <v>19064</v>
      </c>
      <c r="G6902" s="1"/>
      <c r="H6902" t="str">
        <f>"3250613216276"</f>
        <v>3250613216276</v>
      </c>
      <c r="J6902" t="s">
        <v>19065</v>
      </c>
    </row>
    <row r="6903" spans="1:10" x14ac:dyDescent="0.25">
      <c r="A6903" t="s">
        <v>8</v>
      </c>
      <c r="B6903" t="s">
        <v>19066</v>
      </c>
      <c r="C6903" t="s">
        <v>19067</v>
      </c>
      <c r="D6903">
        <v>1</v>
      </c>
      <c r="E6903" t="s">
        <v>19063</v>
      </c>
      <c r="F6903" t="s">
        <v>19064</v>
      </c>
      <c r="G6903" s="1"/>
      <c r="H6903" t="str">
        <f>"3250613216290"</f>
        <v>3250613216290</v>
      </c>
      <c r="J6903" t="s">
        <v>19065</v>
      </c>
    </row>
    <row r="6904" spans="1:10" x14ac:dyDescent="0.25">
      <c r="A6904" t="s">
        <v>8</v>
      </c>
      <c r="B6904" t="s">
        <v>19068</v>
      </c>
      <c r="C6904" t="s">
        <v>19069</v>
      </c>
      <c r="D6904">
        <v>1</v>
      </c>
      <c r="E6904" t="s">
        <v>19063</v>
      </c>
      <c r="F6904" t="s">
        <v>19064</v>
      </c>
      <c r="G6904" s="1"/>
      <c r="H6904" t="str">
        <f>"3250613216313"</f>
        <v>3250613216313</v>
      </c>
      <c r="J6904" t="s">
        <v>19070</v>
      </c>
    </row>
    <row r="6905" spans="1:10" x14ac:dyDescent="0.25">
      <c r="A6905" t="s">
        <v>8</v>
      </c>
      <c r="B6905" t="s">
        <v>19071</v>
      </c>
      <c r="C6905" t="s">
        <v>19072</v>
      </c>
      <c r="D6905">
        <v>1</v>
      </c>
      <c r="E6905" t="s">
        <v>19063</v>
      </c>
      <c r="F6905" t="s">
        <v>19064</v>
      </c>
      <c r="G6905" s="1"/>
      <c r="H6905" t="str">
        <f>"3250613216337"</f>
        <v>3250613216337</v>
      </c>
      <c r="J6905" t="s">
        <v>19070</v>
      </c>
    </row>
    <row r="6906" spans="1:10" x14ac:dyDescent="0.25">
      <c r="A6906" t="s">
        <v>8</v>
      </c>
      <c r="B6906" t="s">
        <v>19073</v>
      </c>
      <c r="C6906" t="s">
        <v>19074</v>
      </c>
      <c r="D6906">
        <v>1</v>
      </c>
      <c r="E6906" t="s">
        <v>19063</v>
      </c>
      <c r="F6906" t="s">
        <v>19064</v>
      </c>
      <c r="G6906" s="1"/>
      <c r="H6906" t="str">
        <f>"3250613216351"</f>
        <v>3250613216351</v>
      </c>
      <c r="J6906" t="s">
        <v>19075</v>
      </c>
    </row>
    <row r="6907" spans="1:10" x14ac:dyDescent="0.25">
      <c r="A6907" t="s">
        <v>8</v>
      </c>
      <c r="B6907" t="s">
        <v>19076</v>
      </c>
      <c r="C6907" t="s">
        <v>19077</v>
      </c>
      <c r="D6907">
        <v>1</v>
      </c>
      <c r="E6907" t="s">
        <v>19063</v>
      </c>
      <c r="F6907" t="s">
        <v>19064</v>
      </c>
      <c r="G6907" s="1"/>
      <c r="H6907" t="str">
        <f>"3250613216375"</f>
        <v>3250613216375</v>
      </c>
      <c r="J6907" t="s">
        <v>19075</v>
      </c>
    </row>
    <row r="6908" spans="1:10" x14ac:dyDescent="0.25">
      <c r="A6908" t="s">
        <v>8</v>
      </c>
      <c r="B6908" t="s">
        <v>19078</v>
      </c>
      <c r="C6908" t="s">
        <v>19079</v>
      </c>
      <c r="D6908">
        <v>1</v>
      </c>
      <c r="E6908" t="s">
        <v>19063</v>
      </c>
      <c r="F6908" t="s">
        <v>19064</v>
      </c>
      <c r="G6908" s="1"/>
      <c r="H6908" t="str">
        <f>"3250613216559"</f>
        <v>3250613216559</v>
      </c>
      <c r="J6908" t="s">
        <v>19070</v>
      </c>
    </row>
    <row r="6909" spans="1:10" x14ac:dyDescent="0.25">
      <c r="A6909" t="s">
        <v>8</v>
      </c>
      <c r="B6909" t="s">
        <v>19080</v>
      </c>
      <c r="C6909" t="s">
        <v>19081</v>
      </c>
      <c r="D6909">
        <v>1</v>
      </c>
      <c r="E6909" t="s">
        <v>19063</v>
      </c>
      <c r="F6909" t="s">
        <v>19064</v>
      </c>
      <c r="G6909" s="1"/>
      <c r="H6909" t="str">
        <f>"3250613216573"</f>
        <v>3250613216573</v>
      </c>
      <c r="J6909" t="s">
        <v>19070</v>
      </c>
    </row>
    <row r="6910" spans="1:10" x14ac:dyDescent="0.25">
      <c r="A6910" t="s">
        <v>8</v>
      </c>
      <c r="B6910" t="s">
        <v>19082</v>
      </c>
      <c r="C6910" t="s">
        <v>19083</v>
      </c>
      <c r="D6910">
        <v>1</v>
      </c>
      <c r="E6910" t="s">
        <v>19063</v>
      </c>
      <c r="F6910" t="s">
        <v>19064</v>
      </c>
      <c r="G6910" s="1"/>
      <c r="H6910" t="str">
        <f>"3250613216597"</f>
        <v>3250613216597</v>
      </c>
      <c r="J6910" t="s">
        <v>19084</v>
      </c>
    </row>
    <row r="6911" spans="1:10" x14ac:dyDescent="0.25">
      <c r="A6911" t="s">
        <v>8</v>
      </c>
      <c r="B6911" t="s">
        <v>19085</v>
      </c>
      <c r="C6911" t="s">
        <v>19086</v>
      </c>
      <c r="D6911">
        <v>1</v>
      </c>
      <c r="E6911" t="s">
        <v>19063</v>
      </c>
      <c r="F6911" t="s">
        <v>19064</v>
      </c>
      <c r="G6911" s="1"/>
      <c r="H6911" t="str">
        <f>"3250613216610"</f>
        <v>3250613216610</v>
      </c>
      <c r="J6911" t="s">
        <v>19084</v>
      </c>
    </row>
    <row r="6912" spans="1:10" x14ac:dyDescent="0.25">
      <c r="A6912" t="s">
        <v>8</v>
      </c>
      <c r="B6912" t="s">
        <v>19087</v>
      </c>
      <c r="C6912" t="s">
        <v>19088</v>
      </c>
      <c r="D6912">
        <v>1</v>
      </c>
      <c r="E6912" t="s">
        <v>19063</v>
      </c>
      <c r="F6912" t="s">
        <v>19064</v>
      </c>
      <c r="G6912" s="1"/>
      <c r="H6912" t="str">
        <f>"3250613216634"</f>
        <v>3250613216634</v>
      </c>
      <c r="J6912" t="s">
        <v>19089</v>
      </c>
    </row>
    <row r="6913" spans="1:10" x14ac:dyDescent="0.25">
      <c r="A6913" t="s">
        <v>8</v>
      </c>
      <c r="B6913" t="s">
        <v>19090</v>
      </c>
      <c r="C6913" t="s">
        <v>19091</v>
      </c>
      <c r="D6913">
        <v>1</v>
      </c>
      <c r="E6913" t="s">
        <v>19063</v>
      </c>
      <c r="F6913" t="s">
        <v>19064</v>
      </c>
      <c r="G6913" s="1"/>
      <c r="H6913" t="str">
        <f>"3250613216658"</f>
        <v>3250613216658</v>
      </c>
      <c r="J6913" t="s">
        <v>19089</v>
      </c>
    </row>
    <row r="6914" spans="1:10" x14ac:dyDescent="0.25">
      <c r="A6914" t="s">
        <v>8</v>
      </c>
      <c r="B6914" t="s">
        <v>19092</v>
      </c>
      <c r="C6914" t="s">
        <v>19093</v>
      </c>
      <c r="D6914">
        <v>1</v>
      </c>
      <c r="E6914" t="s">
        <v>19063</v>
      </c>
      <c r="F6914" t="s">
        <v>19064</v>
      </c>
      <c r="G6914" s="1"/>
      <c r="H6914" t="str">
        <f>"3250613217396"</f>
        <v>3250613217396</v>
      </c>
      <c r="J6914" t="s">
        <v>19094</v>
      </c>
    </row>
    <row r="6915" spans="1:10" x14ac:dyDescent="0.25">
      <c r="A6915" t="s">
        <v>8</v>
      </c>
      <c r="B6915" t="s">
        <v>19095</v>
      </c>
      <c r="C6915" t="s">
        <v>19096</v>
      </c>
      <c r="D6915">
        <v>1</v>
      </c>
      <c r="E6915" t="s">
        <v>19063</v>
      </c>
      <c r="F6915" t="s">
        <v>19064</v>
      </c>
      <c r="G6915" s="1"/>
      <c r="H6915" t="str">
        <f>"3250613217419"</f>
        <v>3250613217419</v>
      </c>
      <c r="J6915" t="s">
        <v>19094</v>
      </c>
    </row>
    <row r="6916" spans="1:10" x14ac:dyDescent="0.25">
      <c r="A6916" t="s">
        <v>8</v>
      </c>
      <c r="B6916" t="s">
        <v>19097</v>
      </c>
      <c r="C6916" t="s">
        <v>19098</v>
      </c>
      <c r="D6916">
        <v>1</v>
      </c>
      <c r="E6916" t="s">
        <v>19063</v>
      </c>
      <c r="F6916" t="s">
        <v>19064</v>
      </c>
      <c r="G6916" s="1"/>
      <c r="H6916" t="str">
        <f>"3250613217433"</f>
        <v>3250613217433</v>
      </c>
      <c r="J6916" t="s">
        <v>19099</v>
      </c>
    </row>
    <row r="6917" spans="1:10" x14ac:dyDescent="0.25">
      <c r="A6917" t="s">
        <v>8</v>
      </c>
      <c r="B6917" t="s">
        <v>19100</v>
      </c>
      <c r="C6917" t="s">
        <v>19101</v>
      </c>
      <c r="D6917">
        <v>1</v>
      </c>
      <c r="E6917" t="s">
        <v>19063</v>
      </c>
      <c r="F6917" t="s">
        <v>19064</v>
      </c>
      <c r="G6917" s="1"/>
      <c r="H6917" t="str">
        <f>"3250613217457"</f>
        <v>3250613217457</v>
      </c>
      <c r="J6917" t="s">
        <v>19099</v>
      </c>
    </row>
    <row r="6918" spans="1:10" x14ac:dyDescent="0.25">
      <c r="A6918" t="s">
        <v>8</v>
      </c>
      <c r="B6918" t="s">
        <v>19102</v>
      </c>
      <c r="C6918" t="s">
        <v>19103</v>
      </c>
      <c r="D6918">
        <v>1</v>
      </c>
      <c r="E6918" t="s">
        <v>19063</v>
      </c>
      <c r="F6918" t="s">
        <v>19064</v>
      </c>
      <c r="G6918" s="1"/>
      <c r="H6918" t="str">
        <f>"3250613217471"</f>
        <v>3250613217471</v>
      </c>
      <c r="J6918" t="s">
        <v>19104</v>
      </c>
    </row>
    <row r="6919" spans="1:10" x14ac:dyDescent="0.25">
      <c r="A6919" t="s">
        <v>8</v>
      </c>
      <c r="B6919" t="s">
        <v>19105</v>
      </c>
      <c r="C6919" t="s">
        <v>19106</v>
      </c>
      <c r="D6919">
        <v>1</v>
      </c>
      <c r="E6919" t="s">
        <v>19063</v>
      </c>
      <c r="F6919" t="s">
        <v>19064</v>
      </c>
      <c r="G6919" s="1"/>
      <c r="H6919" t="str">
        <f>"3250613217495"</f>
        <v>3250613217495</v>
      </c>
      <c r="J6919" t="s">
        <v>19104</v>
      </c>
    </row>
    <row r="6920" spans="1:10" x14ac:dyDescent="0.25">
      <c r="A6920" t="s">
        <v>8</v>
      </c>
      <c r="B6920" t="s">
        <v>19107</v>
      </c>
      <c r="C6920" t="s">
        <v>19108</v>
      </c>
      <c r="D6920">
        <v>1</v>
      </c>
      <c r="E6920" t="s">
        <v>19063</v>
      </c>
      <c r="F6920" t="s">
        <v>19064</v>
      </c>
      <c r="G6920" s="1"/>
      <c r="H6920" t="str">
        <f>"3250613217679"</f>
        <v>3250613217679</v>
      </c>
      <c r="J6920" t="s">
        <v>19084</v>
      </c>
    </row>
    <row r="6921" spans="1:10" x14ac:dyDescent="0.25">
      <c r="A6921" t="s">
        <v>8</v>
      </c>
      <c r="B6921" t="s">
        <v>19109</v>
      </c>
      <c r="C6921" t="s">
        <v>19110</v>
      </c>
      <c r="D6921">
        <v>1</v>
      </c>
      <c r="E6921" t="s">
        <v>19063</v>
      </c>
      <c r="F6921" t="s">
        <v>19064</v>
      </c>
      <c r="G6921" s="1"/>
      <c r="H6921" t="str">
        <f>"3250613217693"</f>
        <v>3250613217693</v>
      </c>
      <c r="J6921" t="s">
        <v>19084</v>
      </c>
    </row>
    <row r="6922" spans="1:10" x14ac:dyDescent="0.25">
      <c r="A6922" t="s">
        <v>8</v>
      </c>
      <c r="B6922" t="s">
        <v>19111</v>
      </c>
      <c r="C6922" t="s">
        <v>19112</v>
      </c>
      <c r="D6922">
        <v>1</v>
      </c>
      <c r="E6922" t="s">
        <v>19063</v>
      </c>
      <c r="F6922" t="s">
        <v>19064</v>
      </c>
      <c r="G6922" s="1"/>
      <c r="H6922" t="str">
        <f>"3250613217716"</f>
        <v>3250613217716</v>
      </c>
      <c r="J6922" t="s">
        <v>19075</v>
      </c>
    </row>
    <row r="6923" spans="1:10" x14ac:dyDescent="0.25">
      <c r="A6923" t="s">
        <v>8</v>
      </c>
      <c r="B6923" t="s">
        <v>19113</v>
      </c>
      <c r="C6923" t="s">
        <v>19114</v>
      </c>
      <c r="D6923">
        <v>1</v>
      </c>
      <c r="E6923" t="s">
        <v>19063</v>
      </c>
      <c r="F6923" t="s">
        <v>19064</v>
      </c>
      <c r="G6923" s="1"/>
      <c r="H6923" t="str">
        <f>"3250613217730"</f>
        <v>3250613217730</v>
      </c>
      <c r="J6923" t="s">
        <v>19075</v>
      </c>
    </row>
    <row r="6924" spans="1:10" x14ac:dyDescent="0.25">
      <c r="A6924" t="s">
        <v>8</v>
      </c>
      <c r="B6924" t="s">
        <v>19115</v>
      </c>
      <c r="C6924" t="s">
        <v>19116</v>
      </c>
      <c r="D6924">
        <v>1</v>
      </c>
      <c r="E6924" t="s">
        <v>19063</v>
      </c>
      <c r="F6924" t="s">
        <v>19064</v>
      </c>
      <c r="G6924" s="1"/>
      <c r="H6924" t="str">
        <f>"3250613217754"</f>
        <v>3250613217754</v>
      </c>
      <c r="J6924" t="s">
        <v>19117</v>
      </c>
    </row>
    <row r="6925" spans="1:10" x14ac:dyDescent="0.25">
      <c r="A6925" t="s">
        <v>8</v>
      </c>
      <c r="B6925" t="s">
        <v>19118</v>
      </c>
      <c r="C6925" t="s">
        <v>19119</v>
      </c>
      <c r="D6925">
        <v>1</v>
      </c>
      <c r="E6925" t="s">
        <v>19063</v>
      </c>
      <c r="F6925" t="s">
        <v>19064</v>
      </c>
      <c r="G6925" s="1"/>
      <c r="H6925" t="str">
        <f>"3250613217778"</f>
        <v>3250613217778</v>
      </c>
      <c r="J6925" t="s">
        <v>19117</v>
      </c>
    </row>
    <row r="6926" spans="1:10" x14ac:dyDescent="0.25">
      <c r="A6926" t="s">
        <v>8</v>
      </c>
      <c r="B6926" t="s">
        <v>19120</v>
      </c>
      <c r="C6926" t="s">
        <v>19121</v>
      </c>
      <c r="D6926">
        <v>1</v>
      </c>
      <c r="E6926" t="s">
        <v>19063</v>
      </c>
      <c r="F6926" t="s">
        <v>19064</v>
      </c>
      <c r="G6926" s="1"/>
      <c r="H6926" t="str">
        <f>"3250613217877"</f>
        <v>3250613217877</v>
      </c>
      <c r="J6926" t="s">
        <v>19122</v>
      </c>
    </row>
    <row r="6927" spans="1:10" x14ac:dyDescent="0.25">
      <c r="A6927" t="s">
        <v>8</v>
      </c>
      <c r="B6927" t="s">
        <v>19123</v>
      </c>
      <c r="C6927" t="s">
        <v>19124</v>
      </c>
      <c r="D6927">
        <v>1</v>
      </c>
      <c r="E6927" t="s">
        <v>19063</v>
      </c>
      <c r="F6927" t="s">
        <v>19064</v>
      </c>
      <c r="G6927" s="1"/>
      <c r="H6927" t="str">
        <f>"3250613217884"</f>
        <v>3250613217884</v>
      </c>
      <c r="J6927" t="s">
        <v>19122</v>
      </c>
    </row>
    <row r="6928" spans="1:10" x14ac:dyDescent="0.25">
      <c r="A6928" t="s">
        <v>8</v>
      </c>
      <c r="B6928" t="s">
        <v>19125</v>
      </c>
      <c r="C6928" t="s">
        <v>19126</v>
      </c>
      <c r="D6928">
        <v>1</v>
      </c>
      <c r="E6928" t="s">
        <v>19063</v>
      </c>
      <c r="F6928" t="s">
        <v>19064</v>
      </c>
      <c r="G6928" s="1"/>
      <c r="H6928" t="str">
        <f>"3250613217891"</f>
        <v>3250613217891</v>
      </c>
      <c r="J6928" t="s">
        <v>19127</v>
      </c>
    </row>
    <row r="6929" spans="1:10" x14ac:dyDescent="0.25">
      <c r="A6929" t="s">
        <v>8</v>
      </c>
      <c r="B6929" t="s">
        <v>19128</v>
      </c>
      <c r="C6929" t="s">
        <v>19129</v>
      </c>
      <c r="D6929">
        <v>1</v>
      </c>
      <c r="E6929" t="s">
        <v>19063</v>
      </c>
      <c r="F6929" t="s">
        <v>19064</v>
      </c>
      <c r="G6929" s="1"/>
      <c r="H6929" t="str">
        <f>"3250613217907"</f>
        <v>3250613217907</v>
      </c>
      <c r="J6929" t="s">
        <v>19127</v>
      </c>
    </row>
    <row r="6930" spans="1:10" x14ac:dyDescent="0.25">
      <c r="A6930" t="s">
        <v>8</v>
      </c>
      <c r="B6930" t="s">
        <v>19130</v>
      </c>
      <c r="C6930" t="s">
        <v>19131</v>
      </c>
      <c r="D6930">
        <v>1</v>
      </c>
      <c r="E6930" t="s">
        <v>19063</v>
      </c>
      <c r="F6930" t="s">
        <v>19064</v>
      </c>
      <c r="G6930" s="1"/>
      <c r="H6930" t="str">
        <f>"3250613217914"</f>
        <v>3250613217914</v>
      </c>
      <c r="J6930" t="s">
        <v>19094</v>
      </c>
    </row>
    <row r="6931" spans="1:10" x14ac:dyDescent="0.25">
      <c r="A6931" t="s">
        <v>8</v>
      </c>
      <c r="B6931" t="s">
        <v>19132</v>
      </c>
      <c r="C6931" t="s">
        <v>19133</v>
      </c>
      <c r="D6931">
        <v>1</v>
      </c>
      <c r="E6931" t="s">
        <v>19063</v>
      </c>
      <c r="F6931" t="s">
        <v>19064</v>
      </c>
      <c r="G6931" s="1"/>
      <c r="H6931" t="str">
        <f>"3250613217921"</f>
        <v>3250613217921</v>
      </c>
      <c r="J6931" t="s">
        <v>19094</v>
      </c>
    </row>
    <row r="6932" spans="1:10" x14ac:dyDescent="0.25">
      <c r="A6932" t="s">
        <v>8</v>
      </c>
      <c r="B6932" t="s">
        <v>19134</v>
      </c>
      <c r="C6932" t="s">
        <v>19135</v>
      </c>
      <c r="D6932">
        <v>1</v>
      </c>
      <c r="E6932" t="s">
        <v>19063</v>
      </c>
      <c r="F6932" t="s">
        <v>19064</v>
      </c>
      <c r="G6932" s="1"/>
      <c r="H6932" t="str">
        <f>"3250613218010"</f>
        <v>3250613218010</v>
      </c>
      <c r="J6932" t="s">
        <v>19136</v>
      </c>
    </row>
    <row r="6933" spans="1:10" x14ac:dyDescent="0.25">
      <c r="A6933" t="s">
        <v>8</v>
      </c>
      <c r="B6933" t="s">
        <v>19137</v>
      </c>
      <c r="C6933" t="s">
        <v>19138</v>
      </c>
      <c r="D6933">
        <v>1</v>
      </c>
      <c r="E6933" t="s">
        <v>19063</v>
      </c>
      <c r="F6933" t="s">
        <v>19064</v>
      </c>
      <c r="G6933" s="1"/>
      <c r="H6933" t="str">
        <f>"3250613218027"</f>
        <v>3250613218027</v>
      </c>
      <c r="J6933" t="s">
        <v>19136</v>
      </c>
    </row>
    <row r="6934" spans="1:10" x14ac:dyDescent="0.25">
      <c r="A6934" t="s">
        <v>8</v>
      </c>
      <c r="B6934" t="s">
        <v>19139</v>
      </c>
      <c r="C6934" t="s">
        <v>19140</v>
      </c>
      <c r="D6934">
        <v>1</v>
      </c>
      <c r="E6934" t="s">
        <v>19063</v>
      </c>
      <c r="F6934" t="s">
        <v>19064</v>
      </c>
      <c r="G6934" s="1"/>
      <c r="H6934" t="str">
        <f>"3250613218034"</f>
        <v>3250613218034</v>
      </c>
      <c r="J6934" t="s">
        <v>19094</v>
      </c>
    </row>
    <row r="6935" spans="1:10" x14ac:dyDescent="0.25">
      <c r="A6935" t="s">
        <v>8</v>
      </c>
      <c r="B6935" t="s">
        <v>19141</v>
      </c>
      <c r="C6935" t="s">
        <v>19142</v>
      </c>
      <c r="D6935">
        <v>1</v>
      </c>
      <c r="E6935" t="s">
        <v>19063</v>
      </c>
      <c r="F6935" t="s">
        <v>19064</v>
      </c>
      <c r="G6935" s="1"/>
      <c r="H6935" t="str">
        <f>"3250613218041"</f>
        <v>3250613218041</v>
      </c>
      <c r="J6935" t="s">
        <v>19094</v>
      </c>
    </row>
    <row r="6936" spans="1:10" x14ac:dyDescent="0.25">
      <c r="A6936" t="s">
        <v>8</v>
      </c>
      <c r="B6936" t="s">
        <v>19143</v>
      </c>
      <c r="C6936" t="s">
        <v>19144</v>
      </c>
      <c r="D6936">
        <v>1</v>
      </c>
      <c r="E6936" t="s">
        <v>19063</v>
      </c>
      <c r="F6936" t="s">
        <v>19064</v>
      </c>
      <c r="G6936" s="1"/>
      <c r="H6936" t="str">
        <f>"3250613218058"</f>
        <v>3250613218058</v>
      </c>
      <c r="J6936" t="s">
        <v>19145</v>
      </c>
    </row>
    <row r="6937" spans="1:10" x14ac:dyDescent="0.25">
      <c r="A6937" t="s">
        <v>8</v>
      </c>
      <c r="B6937" t="s">
        <v>19146</v>
      </c>
      <c r="C6937" t="s">
        <v>19147</v>
      </c>
      <c r="D6937">
        <v>1</v>
      </c>
      <c r="E6937" t="s">
        <v>19063</v>
      </c>
      <c r="F6937" t="s">
        <v>19064</v>
      </c>
      <c r="G6937" s="1"/>
      <c r="H6937" t="str">
        <f>"3250613218065"</f>
        <v>3250613218065</v>
      </c>
      <c r="J6937" t="s">
        <v>19145</v>
      </c>
    </row>
    <row r="6938" spans="1:10" x14ac:dyDescent="0.25">
      <c r="A6938" t="s">
        <v>8</v>
      </c>
      <c r="B6938" t="s">
        <v>19148</v>
      </c>
      <c r="C6938" t="s">
        <v>19149</v>
      </c>
      <c r="D6938">
        <v>1</v>
      </c>
      <c r="E6938" t="s">
        <v>19063</v>
      </c>
      <c r="F6938" t="s">
        <v>19064</v>
      </c>
      <c r="G6938" s="1"/>
      <c r="H6938" t="str">
        <f>"3250613216283"</f>
        <v>3250613216283</v>
      </c>
      <c r="J6938" t="s">
        <v>19065</v>
      </c>
    </row>
    <row r="6939" spans="1:10" x14ac:dyDescent="0.25">
      <c r="A6939" t="s">
        <v>8</v>
      </c>
      <c r="B6939" t="s">
        <v>19150</v>
      </c>
      <c r="C6939" t="s">
        <v>19151</v>
      </c>
      <c r="D6939">
        <v>1</v>
      </c>
      <c r="E6939" t="s">
        <v>19063</v>
      </c>
      <c r="F6939" t="s">
        <v>19064</v>
      </c>
      <c r="G6939" s="1"/>
      <c r="H6939" t="str">
        <f>"3250613216306"</f>
        <v>3250613216306</v>
      </c>
      <c r="J6939" t="s">
        <v>19065</v>
      </c>
    </row>
    <row r="6940" spans="1:10" x14ac:dyDescent="0.25">
      <c r="A6940" t="s">
        <v>8</v>
      </c>
      <c r="B6940" t="s">
        <v>19152</v>
      </c>
      <c r="C6940" t="s">
        <v>19153</v>
      </c>
      <c r="D6940">
        <v>1</v>
      </c>
      <c r="E6940" t="s">
        <v>19063</v>
      </c>
      <c r="F6940" t="s">
        <v>19064</v>
      </c>
      <c r="G6940" s="1"/>
      <c r="H6940" t="str">
        <f>"3250613216320"</f>
        <v>3250613216320</v>
      </c>
      <c r="J6940" t="s">
        <v>19070</v>
      </c>
    </row>
    <row r="6941" spans="1:10" x14ac:dyDescent="0.25">
      <c r="A6941" t="s">
        <v>8</v>
      </c>
      <c r="B6941" t="s">
        <v>19154</v>
      </c>
      <c r="C6941" t="s">
        <v>19155</v>
      </c>
      <c r="D6941">
        <v>1</v>
      </c>
      <c r="E6941" t="s">
        <v>19063</v>
      </c>
      <c r="F6941" t="s">
        <v>19064</v>
      </c>
      <c r="G6941" s="1"/>
      <c r="H6941" t="str">
        <f>"3250613216344"</f>
        <v>3250613216344</v>
      </c>
      <c r="J6941" t="s">
        <v>19070</v>
      </c>
    </row>
    <row r="6942" spans="1:10" x14ac:dyDescent="0.25">
      <c r="A6942" t="s">
        <v>8</v>
      </c>
      <c r="B6942" t="s">
        <v>19156</v>
      </c>
      <c r="C6942" t="s">
        <v>19157</v>
      </c>
      <c r="D6942">
        <v>1</v>
      </c>
      <c r="E6942" t="s">
        <v>19063</v>
      </c>
      <c r="F6942" t="s">
        <v>19064</v>
      </c>
      <c r="G6942" s="1"/>
      <c r="H6942" t="str">
        <f>"3250613216368"</f>
        <v>3250613216368</v>
      </c>
      <c r="J6942" t="s">
        <v>19075</v>
      </c>
    </row>
    <row r="6943" spans="1:10" x14ac:dyDescent="0.25">
      <c r="A6943" t="s">
        <v>8</v>
      </c>
      <c r="B6943" t="s">
        <v>19158</v>
      </c>
      <c r="C6943" t="s">
        <v>19159</v>
      </c>
      <c r="D6943">
        <v>1</v>
      </c>
      <c r="E6943" t="s">
        <v>19063</v>
      </c>
      <c r="F6943" t="s">
        <v>19064</v>
      </c>
      <c r="G6943" s="1"/>
      <c r="H6943" t="str">
        <f>"3250613216382"</f>
        <v>3250613216382</v>
      </c>
      <c r="J6943" t="s">
        <v>19075</v>
      </c>
    </row>
    <row r="6944" spans="1:10" x14ac:dyDescent="0.25">
      <c r="A6944" t="s">
        <v>8</v>
      </c>
      <c r="B6944" t="s">
        <v>19160</v>
      </c>
      <c r="C6944" t="s">
        <v>19161</v>
      </c>
      <c r="D6944">
        <v>1</v>
      </c>
      <c r="E6944" t="s">
        <v>19063</v>
      </c>
      <c r="F6944" t="s">
        <v>19064</v>
      </c>
      <c r="G6944" s="1"/>
      <c r="H6944" t="str">
        <f>"3250613216566"</f>
        <v>3250613216566</v>
      </c>
      <c r="J6944" t="s">
        <v>19070</v>
      </c>
    </row>
    <row r="6945" spans="1:10" x14ac:dyDescent="0.25">
      <c r="A6945" t="s">
        <v>8</v>
      </c>
      <c r="B6945" t="s">
        <v>19162</v>
      </c>
      <c r="C6945" t="s">
        <v>19163</v>
      </c>
      <c r="D6945">
        <v>1</v>
      </c>
      <c r="E6945" t="s">
        <v>19063</v>
      </c>
      <c r="F6945" t="s">
        <v>19064</v>
      </c>
      <c r="G6945" s="1"/>
      <c r="H6945" t="str">
        <f>"3250613216580"</f>
        <v>3250613216580</v>
      </c>
      <c r="J6945" t="s">
        <v>19070</v>
      </c>
    </row>
    <row r="6946" spans="1:10" x14ac:dyDescent="0.25">
      <c r="A6946" t="s">
        <v>8</v>
      </c>
      <c r="B6946" t="s">
        <v>19164</v>
      </c>
      <c r="C6946" t="s">
        <v>19165</v>
      </c>
      <c r="D6946">
        <v>1</v>
      </c>
      <c r="E6946" t="s">
        <v>19063</v>
      </c>
      <c r="F6946" t="s">
        <v>19064</v>
      </c>
      <c r="G6946" s="1"/>
      <c r="H6946" t="str">
        <f>"3250613216603"</f>
        <v>3250613216603</v>
      </c>
      <c r="J6946" t="s">
        <v>19084</v>
      </c>
    </row>
    <row r="6947" spans="1:10" x14ac:dyDescent="0.25">
      <c r="A6947" t="s">
        <v>8</v>
      </c>
      <c r="B6947" t="s">
        <v>19166</v>
      </c>
      <c r="C6947" t="s">
        <v>19167</v>
      </c>
      <c r="D6947">
        <v>1</v>
      </c>
      <c r="E6947" t="s">
        <v>19063</v>
      </c>
      <c r="F6947" t="s">
        <v>19064</v>
      </c>
      <c r="G6947" s="1"/>
      <c r="H6947" t="str">
        <f>"3250613216627"</f>
        <v>3250613216627</v>
      </c>
      <c r="J6947" t="s">
        <v>19084</v>
      </c>
    </row>
    <row r="6948" spans="1:10" x14ac:dyDescent="0.25">
      <c r="A6948" t="s">
        <v>8</v>
      </c>
      <c r="B6948" t="s">
        <v>19168</v>
      </c>
      <c r="C6948" t="s">
        <v>19169</v>
      </c>
      <c r="D6948">
        <v>1</v>
      </c>
      <c r="E6948" t="s">
        <v>19063</v>
      </c>
      <c r="F6948" t="s">
        <v>19064</v>
      </c>
      <c r="G6948" s="1"/>
      <c r="H6948" t="str">
        <f>"3250613216641"</f>
        <v>3250613216641</v>
      </c>
      <c r="J6948" t="s">
        <v>19089</v>
      </c>
    </row>
    <row r="6949" spans="1:10" x14ac:dyDescent="0.25">
      <c r="A6949" t="s">
        <v>8</v>
      </c>
      <c r="B6949" t="s">
        <v>19170</v>
      </c>
      <c r="C6949" t="s">
        <v>19171</v>
      </c>
      <c r="D6949">
        <v>1</v>
      </c>
      <c r="E6949" t="s">
        <v>19063</v>
      </c>
      <c r="F6949" t="s">
        <v>19064</v>
      </c>
      <c r="G6949" s="1"/>
      <c r="H6949" t="str">
        <f>"3250613216665"</f>
        <v>3250613216665</v>
      </c>
      <c r="J6949" t="s">
        <v>19089</v>
      </c>
    </row>
    <row r="6950" spans="1:10" x14ac:dyDescent="0.25">
      <c r="A6950" t="s">
        <v>8</v>
      </c>
      <c r="B6950" t="s">
        <v>19172</v>
      </c>
      <c r="C6950" t="s">
        <v>19173</v>
      </c>
      <c r="D6950">
        <v>1</v>
      </c>
      <c r="E6950" t="s">
        <v>19063</v>
      </c>
      <c r="F6950" t="s">
        <v>19064</v>
      </c>
      <c r="G6950" s="1"/>
      <c r="H6950" t="str">
        <f>"3250613217402"</f>
        <v>3250613217402</v>
      </c>
      <c r="J6950" t="s">
        <v>19094</v>
      </c>
    </row>
    <row r="6951" spans="1:10" x14ac:dyDescent="0.25">
      <c r="A6951" t="s">
        <v>8</v>
      </c>
      <c r="B6951" t="s">
        <v>19174</v>
      </c>
      <c r="C6951" t="s">
        <v>19175</v>
      </c>
      <c r="D6951">
        <v>1</v>
      </c>
      <c r="E6951" t="s">
        <v>19063</v>
      </c>
      <c r="F6951" t="s">
        <v>19064</v>
      </c>
      <c r="G6951" s="1"/>
      <c r="H6951" t="str">
        <f>"3250613217426"</f>
        <v>3250613217426</v>
      </c>
      <c r="J6951" t="s">
        <v>19094</v>
      </c>
    </row>
    <row r="6952" spans="1:10" x14ac:dyDescent="0.25">
      <c r="A6952" t="s">
        <v>8</v>
      </c>
      <c r="B6952" t="s">
        <v>19176</v>
      </c>
      <c r="C6952" t="s">
        <v>19177</v>
      </c>
      <c r="D6952">
        <v>1</v>
      </c>
      <c r="E6952" t="s">
        <v>19063</v>
      </c>
      <c r="F6952" t="s">
        <v>19064</v>
      </c>
      <c r="G6952" s="1"/>
      <c r="H6952" t="str">
        <f>"3250613217440"</f>
        <v>3250613217440</v>
      </c>
      <c r="J6952" t="s">
        <v>19099</v>
      </c>
    </row>
    <row r="6953" spans="1:10" x14ac:dyDescent="0.25">
      <c r="A6953" t="s">
        <v>8</v>
      </c>
      <c r="B6953" t="s">
        <v>19178</v>
      </c>
      <c r="C6953" t="s">
        <v>19179</v>
      </c>
      <c r="D6953">
        <v>1</v>
      </c>
      <c r="E6953" t="s">
        <v>19063</v>
      </c>
      <c r="F6953" t="s">
        <v>19064</v>
      </c>
      <c r="G6953" s="1"/>
      <c r="H6953" t="str">
        <f>"3250613217464"</f>
        <v>3250613217464</v>
      </c>
      <c r="J6953" t="s">
        <v>19099</v>
      </c>
    </row>
    <row r="6954" spans="1:10" x14ac:dyDescent="0.25">
      <c r="A6954" t="s">
        <v>8</v>
      </c>
      <c r="B6954" t="s">
        <v>19180</v>
      </c>
      <c r="C6954" t="s">
        <v>19181</v>
      </c>
      <c r="D6954">
        <v>1</v>
      </c>
      <c r="E6954" t="s">
        <v>19063</v>
      </c>
      <c r="F6954" t="s">
        <v>19064</v>
      </c>
      <c r="G6954" s="1"/>
      <c r="H6954" t="str">
        <f>"3250613217488"</f>
        <v>3250613217488</v>
      </c>
      <c r="J6954" t="s">
        <v>19104</v>
      </c>
    </row>
    <row r="6955" spans="1:10" x14ac:dyDescent="0.25">
      <c r="A6955" t="s">
        <v>8</v>
      </c>
      <c r="B6955" t="s">
        <v>19182</v>
      </c>
      <c r="C6955" t="s">
        <v>19183</v>
      </c>
      <c r="D6955">
        <v>1</v>
      </c>
      <c r="E6955" t="s">
        <v>19063</v>
      </c>
      <c r="F6955" t="s">
        <v>19064</v>
      </c>
      <c r="G6955" s="1"/>
      <c r="H6955" t="str">
        <f>"3250613217501"</f>
        <v>3250613217501</v>
      </c>
      <c r="J6955" t="s">
        <v>19104</v>
      </c>
    </row>
    <row r="6956" spans="1:10" x14ac:dyDescent="0.25">
      <c r="A6956" t="s">
        <v>8</v>
      </c>
      <c r="B6956" t="s">
        <v>19184</v>
      </c>
      <c r="C6956" t="s">
        <v>19185</v>
      </c>
      <c r="D6956">
        <v>1</v>
      </c>
      <c r="E6956" t="s">
        <v>19063</v>
      </c>
      <c r="F6956" t="s">
        <v>19064</v>
      </c>
      <c r="G6956" s="1"/>
      <c r="H6956" t="str">
        <f>"3250613217686"</f>
        <v>3250613217686</v>
      </c>
      <c r="J6956" t="s">
        <v>19084</v>
      </c>
    </row>
    <row r="6957" spans="1:10" x14ac:dyDescent="0.25">
      <c r="A6957" t="s">
        <v>8</v>
      </c>
      <c r="B6957" t="s">
        <v>19186</v>
      </c>
      <c r="C6957" t="s">
        <v>19187</v>
      </c>
      <c r="D6957">
        <v>1</v>
      </c>
      <c r="E6957" t="s">
        <v>19063</v>
      </c>
      <c r="F6957" t="s">
        <v>19064</v>
      </c>
      <c r="G6957" s="1"/>
      <c r="H6957" t="str">
        <f>"3250613217709"</f>
        <v>3250613217709</v>
      </c>
      <c r="J6957" t="s">
        <v>19084</v>
      </c>
    </row>
    <row r="6958" spans="1:10" x14ac:dyDescent="0.25">
      <c r="A6958" t="s">
        <v>8</v>
      </c>
      <c r="B6958" t="s">
        <v>19188</v>
      </c>
      <c r="C6958" t="s">
        <v>19189</v>
      </c>
      <c r="D6958">
        <v>1</v>
      </c>
      <c r="E6958" t="s">
        <v>19063</v>
      </c>
      <c r="F6958" t="s">
        <v>19064</v>
      </c>
      <c r="G6958" s="1"/>
      <c r="H6958" t="str">
        <f>"3250613217723"</f>
        <v>3250613217723</v>
      </c>
      <c r="J6958" t="s">
        <v>19075</v>
      </c>
    </row>
    <row r="6959" spans="1:10" x14ac:dyDescent="0.25">
      <c r="A6959" t="s">
        <v>8</v>
      </c>
      <c r="B6959" t="s">
        <v>19190</v>
      </c>
      <c r="C6959" t="s">
        <v>19191</v>
      </c>
      <c r="D6959">
        <v>1</v>
      </c>
      <c r="E6959" t="s">
        <v>19063</v>
      </c>
      <c r="F6959" t="s">
        <v>19064</v>
      </c>
      <c r="G6959" s="1"/>
      <c r="H6959" t="str">
        <f>"3250613217747"</f>
        <v>3250613217747</v>
      </c>
      <c r="J6959" t="s">
        <v>19075</v>
      </c>
    </row>
    <row r="6960" spans="1:10" x14ac:dyDescent="0.25">
      <c r="A6960" t="s">
        <v>8</v>
      </c>
      <c r="B6960" t="s">
        <v>19192</v>
      </c>
      <c r="C6960" t="s">
        <v>19193</v>
      </c>
      <c r="D6960">
        <v>1</v>
      </c>
      <c r="E6960" t="s">
        <v>19063</v>
      </c>
      <c r="F6960" t="s">
        <v>19064</v>
      </c>
      <c r="G6960" s="1"/>
      <c r="H6960" t="str">
        <f>"3250613217761"</f>
        <v>3250613217761</v>
      </c>
      <c r="J6960" t="s">
        <v>19117</v>
      </c>
    </row>
    <row r="6961" spans="1:10" x14ac:dyDescent="0.25">
      <c r="A6961" t="s">
        <v>8</v>
      </c>
      <c r="B6961" t="s">
        <v>19194</v>
      </c>
      <c r="C6961" t="s">
        <v>19195</v>
      </c>
      <c r="D6961">
        <v>1</v>
      </c>
      <c r="E6961" t="s">
        <v>19063</v>
      </c>
      <c r="F6961" t="s">
        <v>19064</v>
      </c>
      <c r="G6961" s="1"/>
      <c r="H6961" t="str">
        <f>"3250613217785"</f>
        <v>3250613217785</v>
      </c>
      <c r="J6961" t="s">
        <v>19117</v>
      </c>
    </row>
    <row r="6962" spans="1:10" x14ac:dyDescent="0.25">
      <c r="A6962" t="s">
        <v>8</v>
      </c>
      <c r="B6962" t="s">
        <v>19196</v>
      </c>
      <c r="C6962" t="s">
        <v>19197</v>
      </c>
      <c r="D6962">
        <v>1</v>
      </c>
      <c r="E6962" t="s">
        <v>19063</v>
      </c>
      <c r="F6962" t="s">
        <v>19064</v>
      </c>
      <c r="G6962" s="1"/>
      <c r="H6962" t="str">
        <f>"3250610031421"</f>
        <v>3250610031421</v>
      </c>
      <c r="J6962" t="s">
        <v>19198</v>
      </c>
    </row>
    <row r="6963" spans="1:10" x14ac:dyDescent="0.25">
      <c r="A6963" t="s">
        <v>8</v>
      </c>
      <c r="B6963" t="s">
        <v>19199</v>
      </c>
      <c r="C6963" t="s">
        <v>19200</v>
      </c>
      <c r="D6963">
        <v>1</v>
      </c>
      <c r="E6963" t="s">
        <v>19063</v>
      </c>
      <c r="F6963" t="s">
        <v>19064</v>
      </c>
      <c r="G6963" s="1"/>
      <c r="H6963" t="str">
        <f>"3250610031438"</f>
        <v>3250610031438</v>
      </c>
      <c r="J6963" t="s">
        <v>19201</v>
      </c>
    </row>
    <row r="6964" spans="1:10" x14ac:dyDescent="0.25">
      <c r="A6964" t="s">
        <v>8</v>
      </c>
      <c r="B6964" t="s">
        <v>19202</v>
      </c>
      <c r="C6964" t="s">
        <v>19203</v>
      </c>
      <c r="D6964">
        <v>1</v>
      </c>
      <c r="E6964" t="s">
        <v>19063</v>
      </c>
      <c r="F6964" t="s">
        <v>19064</v>
      </c>
      <c r="G6964" s="1"/>
      <c r="H6964" t="str">
        <f>"3250610029428"</f>
        <v>3250610029428</v>
      </c>
      <c r="J6964" t="s">
        <v>19204</v>
      </c>
    </row>
    <row r="6965" spans="1:10" x14ac:dyDescent="0.25">
      <c r="A6965" t="s">
        <v>8</v>
      </c>
      <c r="B6965" t="s">
        <v>19205</v>
      </c>
      <c r="C6965" t="s">
        <v>19206</v>
      </c>
      <c r="D6965">
        <v>1</v>
      </c>
      <c r="E6965" t="s">
        <v>19063</v>
      </c>
      <c r="F6965" t="s">
        <v>19064</v>
      </c>
      <c r="G6965" s="1"/>
      <c r="H6965" t="str">
        <f>"3250610029435"</f>
        <v>3250610029435</v>
      </c>
      <c r="J6965" t="s">
        <v>19204</v>
      </c>
    </row>
    <row r="6966" spans="1:10" x14ac:dyDescent="0.25">
      <c r="A6966" t="s">
        <v>8</v>
      </c>
      <c r="B6966" t="s">
        <v>19207</v>
      </c>
      <c r="C6966" t="s">
        <v>19208</v>
      </c>
      <c r="D6966">
        <v>1</v>
      </c>
      <c r="E6966" t="s">
        <v>19063</v>
      </c>
      <c r="F6966" t="s">
        <v>19064</v>
      </c>
      <c r="G6966" s="1"/>
      <c r="H6966" t="str">
        <f>"3250610029442"</f>
        <v>3250610029442</v>
      </c>
      <c r="J6966" t="s">
        <v>19209</v>
      </c>
    </row>
    <row r="6967" spans="1:10" x14ac:dyDescent="0.25">
      <c r="A6967" t="s">
        <v>8</v>
      </c>
      <c r="B6967" t="s">
        <v>19210</v>
      </c>
      <c r="C6967" t="s">
        <v>19211</v>
      </c>
      <c r="D6967">
        <v>1</v>
      </c>
      <c r="E6967" t="s">
        <v>19063</v>
      </c>
      <c r="F6967" t="s">
        <v>19064</v>
      </c>
      <c r="G6967" s="1"/>
      <c r="H6967" t="str">
        <f>"3250610029459"</f>
        <v>3250610029459</v>
      </c>
      <c r="J6967" t="s">
        <v>19209</v>
      </c>
    </row>
    <row r="6968" spans="1:10" x14ac:dyDescent="0.25">
      <c r="A6968" t="s">
        <v>8</v>
      </c>
      <c r="B6968" t="s">
        <v>19212</v>
      </c>
      <c r="C6968" t="s">
        <v>19213</v>
      </c>
      <c r="D6968">
        <v>1</v>
      </c>
      <c r="E6968" t="s">
        <v>19063</v>
      </c>
      <c r="F6968" t="s">
        <v>19064</v>
      </c>
      <c r="G6968" s="1"/>
      <c r="H6968" t="str">
        <f>"3250610029466"</f>
        <v>3250610029466</v>
      </c>
      <c r="J6968" t="s">
        <v>19214</v>
      </c>
    </row>
    <row r="6969" spans="1:10" x14ac:dyDescent="0.25">
      <c r="A6969" t="s">
        <v>8</v>
      </c>
      <c r="B6969" t="s">
        <v>19215</v>
      </c>
      <c r="C6969" t="s">
        <v>19216</v>
      </c>
      <c r="D6969">
        <v>1</v>
      </c>
      <c r="E6969" t="s">
        <v>19063</v>
      </c>
      <c r="F6969" t="s">
        <v>19064</v>
      </c>
      <c r="G6969" s="1"/>
      <c r="H6969" t="str">
        <f>"3250610029473"</f>
        <v>3250610029473</v>
      </c>
      <c r="J6969" t="s">
        <v>19214</v>
      </c>
    </row>
    <row r="6970" spans="1:10" x14ac:dyDescent="0.25">
      <c r="A6970" t="s">
        <v>8</v>
      </c>
      <c r="B6970" t="s">
        <v>19217</v>
      </c>
      <c r="C6970" t="s">
        <v>19218</v>
      </c>
      <c r="D6970">
        <v>1</v>
      </c>
      <c r="E6970" t="s">
        <v>19063</v>
      </c>
      <c r="F6970" t="s">
        <v>19064</v>
      </c>
      <c r="G6970" s="1"/>
      <c r="H6970" t="str">
        <f>"3250610029565"</f>
        <v>3250610029565</v>
      </c>
      <c r="J6970" t="s">
        <v>19209</v>
      </c>
    </row>
    <row r="6971" spans="1:10" x14ac:dyDescent="0.25">
      <c r="A6971" t="s">
        <v>8</v>
      </c>
      <c r="B6971" t="s">
        <v>19219</v>
      </c>
      <c r="C6971" t="s">
        <v>19220</v>
      </c>
      <c r="D6971">
        <v>1</v>
      </c>
      <c r="E6971" t="s">
        <v>19063</v>
      </c>
      <c r="F6971" t="s">
        <v>19064</v>
      </c>
      <c r="G6971" s="1"/>
      <c r="H6971" t="str">
        <f>"3250610029572"</f>
        <v>3250610029572</v>
      </c>
      <c r="J6971" t="s">
        <v>19209</v>
      </c>
    </row>
    <row r="6972" spans="1:10" x14ac:dyDescent="0.25">
      <c r="A6972" t="s">
        <v>8</v>
      </c>
      <c r="B6972" t="s">
        <v>19221</v>
      </c>
      <c r="C6972" t="s">
        <v>19222</v>
      </c>
      <c r="D6972">
        <v>1</v>
      </c>
      <c r="E6972" t="s">
        <v>19063</v>
      </c>
      <c r="F6972" t="s">
        <v>19064</v>
      </c>
      <c r="G6972" s="1"/>
      <c r="H6972" t="str">
        <f>"3250610029589"</f>
        <v>3250610029589</v>
      </c>
      <c r="J6972" t="s">
        <v>19223</v>
      </c>
    </row>
    <row r="6973" spans="1:10" x14ac:dyDescent="0.25">
      <c r="A6973" t="s">
        <v>8</v>
      </c>
      <c r="B6973" t="s">
        <v>19224</v>
      </c>
      <c r="C6973" t="s">
        <v>19225</v>
      </c>
      <c r="D6973">
        <v>1</v>
      </c>
      <c r="E6973" t="s">
        <v>19063</v>
      </c>
      <c r="F6973" t="s">
        <v>19064</v>
      </c>
      <c r="G6973" s="1"/>
      <c r="H6973" t="str">
        <f>"3250610029596"</f>
        <v>3250610029596</v>
      </c>
      <c r="J6973" t="s">
        <v>19223</v>
      </c>
    </row>
    <row r="6974" spans="1:10" x14ac:dyDescent="0.25">
      <c r="A6974" t="s">
        <v>8</v>
      </c>
      <c r="B6974" t="s">
        <v>19226</v>
      </c>
      <c r="C6974" t="s">
        <v>19227</v>
      </c>
      <c r="D6974">
        <v>1</v>
      </c>
      <c r="E6974" t="s">
        <v>19063</v>
      </c>
      <c r="F6974" t="s">
        <v>19064</v>
      </c>
      <c r="G6974" s="1"/>
      <c r="H6974" t="str">
        <f>"3250610029602"</f>
        <v>3250610029602</v>
      </c>
      <c r="J6974" t="s">
        <v>19228</v>
      </c>
    </row>
    <row r="6975" spans="1:10" x14ac:dyDescent="0.25">
      <c r="A6975" t="s">
        <v>8</v>
      </c>
      <c r="B6975" t="s">
        <v>19229</v>
      </c>
      <c r="C6975" t="s">
        <v>19230</v>
      </c>
      <c r="D6975">
        <v>1</v>
      </c>
      <c r="E6975" t="s">
        <v>19063</v>
      </c>
      <c r="F6975" t="s">
        <v>19064</v>
      </c>
      <c r="G6975" s="1"/>
      <c r="H6975" t="str">
        <f>"3250610029619"</f>
        <v>3250610029619</v>
      </c>
      <c r="J6975" t="s">
        <v>19228</v>
      </c>
    </row>
    <row r="6976" spans="1:10" x14ac:dyDescent="0.25">
      <c r="A6976" t="s">
        <v>8</v>
      </c>
      <c r="B6976" t="s">
        <v>19231</v>
      </c>
      <c r="C6976" t="s">
        <v>19232</v>
      </c>
      <c r="D6976">
        <v>1</v>
      </c>
      <c r="E6976" t="s">
        <v>19063</v>
      </c>
      <c r="F6976" t="s">
        <v>19064</v>
      </c>
      <c r="G6976" s="1"/>
      <c r="H6976" t="str">
        <f>"3250610029985"</f>
        <v>3250610029985</v>
      </c>
      <c r="J6976" t="s">
        <v>19233</v>
      </c>
    </row>
    <row r="6977" spans="1:10" x14ac:dyDescent="0.25">
      <c r="A6977" t="s">
        <v>8</v>
      </c>
      <c r="B6977" t="s">
        <v>19234</v>
      </c>
      <c r="C6977" t="s">
        <v>19235</v>
      </c>
      <c r="D6977">
        <v>1</v>
      </c>
      <c r="E6977" t="s">
        <v>19063</v>
      </c>
      <c r="F6977" t="s">
        <v>19064</v>
      </c>
      <c r="G6977" s="1"/>
      <c r="H6977" t="str">
        <f>"3250610029992"</f>
        <v>3250610029992</v>
      </c>
      <c r="J6977" t="s">
        <v>19233</v>
      </c>
    </row>
    <row r="6978" spans="1:10" x14ac:dyDescent="0.25">
      <c r="A6978" t="s">
        <v>8</v>
      </c>
      <c r="B6978" t="s">
        <v>19236</v>
      </c>
      <c r="C6978" t="s">
        <v>19237</v>
      </c>
      <c r="D6978">
        <v>1</v>
      </c>
      <c r="E6978" t="s">
        <v>19063</v>
      </c>
      <c r="F6978" t="s">
        <v>19064</v>
      </c>
      <c r="G6978" s="1"/>
      <c r="H6978" t="str">
        <f>"3250610030004"</f>
        <v>3250610030004</v>
      </c>
      <c r="J6978" t="s">
        <v>19238</v>
      </c>
    </row>
    <row r="6979" spans="1:10" x14ac:dyDescent="0.25">
      <c r="A6979" t="s">
        <v>8</v>
      </c>
      <c r="B6979" t="s">
        <v>19239</v>
      </c>
      <c r="C6979" t="s">
        <v>19240</v>
      </c>
      <c r="D6979">
        <v>1</v>
      </c>
      <c r="E6979" t="s">
        <v>19063</v>
      </c>
      <c r="F6979" t="s">
        <v>19064</v>
      </c>
      <c r="G6979" s="1"/>
      <c r="H6979" t="str">
        <f>"3250610030011"</f>
        <v>3250610030011</v>
      </c>
      <c r="J6979" t="s">
        <v>19238</v>
      </c>
    </row>
    <row r="6980" spans="1:10" x14ac:dyDescent="0.25">
      <c r="A6980" t="s">
        <v>8</v>
      </c>
      <c r="B6980" t="s">
        <v>19241</v>
      </c>
      <c r="C6980" t="s">
        <v>19242</v>
      </c>
      <c r="D6980">
        <v>1</v>
      </c>
      <c r="E6980" t="s">
        <v>19063</v>
      </c>
      <c r="F6980" t="s">
        <v>19064</v>
      </c>
      <c r="G6980" s="1"/>
      <c r="H6980" t="str">
        <f>"3250610030028"</f>
        <v>3250610030028</v>
      </c>
      <c r="J6980" t="s">
        <v>19243</v>
      </c>
    </row>
    <row r="6981" spans="1:10" x14ac:dyDescent="0.25">
      <c r="A6981" t="s">
        <v>8</v>
      </c>
      <c r="B6981" t="s">
        <v>19244</v>
      </c>
      <c r="C6981" t="s">
        <v>19197</v>
      </c>
      <c r="D6981">
        <v>1</v>
      </c>
      <c r="E6981" t="s">
        <v>19063</v>
      </c>
      <c r="F6981" t="s">
        <v>19064</v>
      </c>
      <c r="G6981" s="1"/>
      <c r="H6981" t="str">
        <f>"3250610030035"</f>
        <v>3250610030035</v>
      </c>
      <c r="J6981" t="s">
        <v>19243</v>
      </c>
    </row>
    <row r="6982" spans="1:10" x14ac:dyDescent="0.25">
      <c r="A6982" t="s">
        <v>8</v>
      </c>
      <c r="B6982" t="s">
        <v>19245</v>
      </c>
      <c r="C6982" t="s">
        <v>19246</v>
      </c>
      <c r="D6982">
        <v>1</v>
      </c>
      <c r="E6982" t="s">
        <v>19063</v>
      </c>
      <c r="F6982" t="s">
        <v>19064</v>
      </c>
      <c r="G6982" s="1"/>
      <c r="H6982" t="str">
        <f>"3250610030127"</f>
        <v>3250610030127</v>
      </c>
      <c r="J6982" t="s">
        <v>19223</v>
      </c>
    </row>
    <row r="6983" spans="1:10" x14ac:dyDescent="0.25">
      <c r="A6983" t="s">
        <v>8</v>
      </c>
      <c r="B6983" t="s">
        <v>19247</v>
      </c>
      <c r="C6983" t="s">
        <v>19248</v>
      </c>
      <c r="D6983">
        <v>1</v>
      </c>
      <c r="E6983" t="s">
        <v>19063</v>
      </c>
      <c r="F6983" t="s">
        <v>19064</v>
      </c>
      <c r="G6983" s="1"/>
      <c r="H6983" t="str">
        <f>"3250610030134"</f>
        <v>3250610030134</v>
      </c>
      <c r="J6983" t="s">
        <v>19223</v>
      </c>
    </row>
    <row r="6984" spans="1:10" x14ac:dyDescent="0.25">
      <c r="A6984" t="s">
        <v>8</v>
      </c>
      <c r="B6984" t="s">
        <v>19249</v>
      </c>
      <c r="C6984" t="s">
        <v>19250</v>
      </c>
      <c r="D6984">
        <v>1</v>
      </c>
      <c r="E6984" t="s">
        <v>19063</v>
      </c>
      <c r="F6984" t="s">
        <v>19064</v>
      </c>
      <c r="G6984" s="1"/>
      <c r="H6984" t="str">
        <f>"3250610030141"</f>
        <v>3250610030141</v>
      </c>
      <c r="J6984" t="s">
        <v>19214</v>
      </c>
    </row>
    <row r="6985" spans="1:10" x14ac:dyDescent="0.25">
      <c r="A6985" t="s">
        <v>8</v>
      </c>
      <c r="B6985" t="s">
        <v>19251</v>
      </c>
      <c r="C6985" t="s">
        <v>19252</v>
      </c>
      <c r="D6985">
        <v>1</v>
      </c>
      <c r="E6985" t="s">
        <v>19063</v>
      </c>
      <c r="F6985" t="s">
        <v>19064</v>
      </c>
      <c r="G6985" s="1"/>
      <c r="H6985" t="str">
        <f>"3250610030158"</f>
        <v>3250610030158</v>
      </c>
      <c r="J6985" t="s">
        <v>19214</v>
      </c>
    </row>
    <row r="6986" spans="1:10" x14ac:dyDescent="0.25">
      <c r="A6986" t="s">
        <v>8</v>
      </c>
      <c r="B6986" t="s">
        <v>19253</v>
      </c>
      <c r="C6986" t="s">
        <v>19254</v>
      </c>
      <c r="D6986">
        <v>1</v>
      </c>
      <c r="E6986" t="s">
        <v>19063</v>
      </c>
      <c r="F6986" t="s">
        <v>19064</v>
      </c>
      <c r="G6986" s="1"/>
      <c r="H6986" t="str">
        <f>"3250610030165"</f>
        <v>3250610030165</v>
      </c>
      <c r="J6986" t="s">
        <v>19255</v>
      </c>
    </row>
    <row r="6987" spans="1:10" x14ac:dyDescent="0.25">
      <c r="A6987" t="s">
        <v>8</v>
      </c>
      <c r="B6987" t="s">
        <v>19256</v>
      </c>
      <c r="C6987" t="s">
        <v>19200</v>
      </c>
      <c r="D6987">
        <v>1</v>
      </c>
      <c r="E6987" t="s">
        <v>19063</v>
      </c>
      <c r="F6987" t="s">
        <v>19064</v>
      </c>
      <c r="G6987" s="1"/>
      <c r="H6987" t="str">
        <f>"3250610030172"</f>
        <v>3250610030172</v>
      </c>
      <c r="J6987" t="s">
        <v>19255</v>
      </c>
    </row>
    <row r="6988" spans="1:10" x14ac:dyDescent="0.25">
      <c r="A6988" t="s">
        <v>8</v>
      </c>
      <c r="B6988" t="s">
        <v>19257</v>
      </c>
      <c r="C6988" t="s">
        <v>19258</v>
      </c>
      <c r="D6988">
        <v>1</v>
      </c>
      <c r="E6988" t="s">
        <v>19063</v>
      </c>
      <c r="F6988" t="s">
        <v>19064</v>
      </c>
      <c r="G6988" s="1"/>
      <c r="H6988" t="str">
        <f>"3250610030226"</f>
        <v>3250610030226</v>
      </c>
      <c r="J6988" t="s">
        <v>19259</v>
      </c>
    </row>
    <row r="6989" spans="1:10" x14ac:dyDescent="0.25">
      <c r="A6989" t="s">
        <v>8</v>
      </c>
      <c r="B6989" t="s">
        <v>19260</v>
      </c>
      <c r="C6989" t="s">
        <v>19261</v>
      </c>
      <c r="D6989">
        <v>1</v>
      </c>
      <c r="E6989" t="s">
        <v>19063</v>
      </c>
      <c r="F6989" t="s">
        <v>19064</v>
      </c>
      <c r="G6989" s="1"/>
      <c r="H6989" t="str">
        <f>"3250610030233"</f>
        <v>3250610030233</v>
      </c>
      <c r="J6989" t="s">
        <v>19262</v>
      </c>
    </row>
    <row r="6990" spans="1:10" x14ac:dyDescent="0.25">
      <c r="A6990" t="s">
        <v>8</v>
      </c>
      <c r="B6990" t="s">
        <v>19263</v>
      </c>
      <c r="C6990" t="s">
        <v>19264</v>
      </c>
      <c r="D6990">
        <v>1</v>
      </c>
      <c r="E6990" t="s">
        <v>19063</v>
      </c>
      <c r="F6990" t="s">
        <v>19064</v>
      </c>
      <c r="G6990" s="1"/>
      <c r="H6990" t="str">
        <f>"3250610030240"</f>
        <v>3250610030240</v>
      </c>
      <c r="J6990" t="s">
        <v>19233</v>
      </c>
    </row>
    <row r="6991" spans="1:10" x14ac:dyDescent="0.25">
      <c r="A6991" t="s">
        <v>8</v>
      </c>
      <c r="B6991" t="s">
        <v>19265</v>
      </c>
      <c r="C6991" t="s">
        <v>19266</v>
      </c>
      <c r="D6991">
        <v>1</v>
      </c>
      <c r="E6991" t="s">
        <v>19063</v>
      </c>
      <c r="F6991" t="s">
        <v>19064</v>
      </c>
      <c r="G6991" s="1"/>
      <c r="H6991" t="str">
        <f>"3250610030295"</f>
        <v>3250610030295</v>
      </c>
      <c r="J6991" t="s">
        <v>19267</v>
      </c>
    </row>
    <row r="6992" spans="1:10" x14ac:dyDescent="0.25">
      <c r="A6992" t="s">
        <v>8</v>
      </c>
      <c r="B6992" t="s">
        <v>19268</v>
      </c>
      <c r="C6992" t="s">
        <v>19269</v>
      </c>
      <c r="D6992">
        <v>1</v>
      </c>
      <c r="E6992" t="s">
        <v>19063</v>
      </c>
      <c r="F6992" t="s">
        <v>19064</v>
      </c>
      <c r="G6992" s="1"/>
      <c r="H6992" t="str">
        <f>"3250610030301"</f>
        <v>3250610030301</v>
      </c>
      <c r="J6992" t="s">
        <v>19233</v>
      </c>
    </row>
    <row r="6993" spans="1:10" x14ac:dyDescent="0.25">
      <c r="A6993" t="s">
        <v>8</v>
      </c>
      <c r="B6993" t="s">
        <v>19270</v>
      </c>
      <c r="C6993" t="s">
        <v>19271</v>
      </c>
      <c r="D6993">
        <v>1</v>
      </c>
      <c r="E6993" t="s">
        <v>19063</v>
      </c>
      <c r="F6993" t="s">
        <v>19064</v>
      </c>
      <c r="G6993" s="1"/>
      <c r="H6993" t="str">
        <f>"3250610030318"</f>
        <v>3250610030318</v>
      </c>
      <c r="J6993" t="s">
        <v>19272</v>
      </c>
    </row>
    <row r="6994" spans="1:10" x14ac:dyDescent="0.25">
      <c r="A6994" t="s">
        <v>8</v>
      </c>
      <c r="B6994" t="s">
        <v>19273</v>
      </c>
      <c r="C6994" t="s">
        <v>19274</v>
      </c>
      <c r="D6994">
        <v>1</v>
      </c>
      <c r="E6994" t="s">
        <v>19275</v>
      </c>
      <c r="F6994" t="s">
        <v>19276</v>
      </c>
      <c r="G6994" s="1"/>
      <c r="H6994" t="str">
        <f>"3250617105019"</f>
        <v>3250617105019</v>
      </c>
      <c r="J6994" t="s">
        <v>9871</v>
      </c>
    </row>
    <row r="6995" spans="1:10" x14ac:dyDescent="0.25">
      <c r="A6995" t="s">
        <v>8</v>
      </c>
      <c r="B6995" t="s">
        <v>19277</v>
      </c>
      <c r="C6995" t="s">
        <v>19278</v>
      </c>
      <c r="D6995">
        <v>1</v>
      </c>
      <c r="E6995" t="s">
        <v>19275</v>
      </c>
      <c r="F6995" t="s">
        <v>19276</v>
      </c>
      <c r="G6995" s="1"/>
      <c r="H6995" t="str">
        <f>"3250617105033"</f>
        <v>3250617105033</v>
      </c>
      <c r="J6995" t="s">
        <v>12536</v>
      </c>
    </row>
    <row r="6996" spans="1:10" x14ac:dyDescent="0.25">
      <c r="A6996" t="s">
        <v>8</v>
      </c>
      <c r="B6996" t="s">
        <v>19279</v>
      </c>
      <c r="C6996" t="s">
        <v>19280</v>
      </c>
      <c r="D6996">
        <v>1</v>
      </c>
      <c r="E6996" t="s">
        <v>19275</v>
      </c>
      <c r="F6996" t="s">
        <v>19276</v>
      </c>
      <c r="G6996" s="1"/>
      <c r="H6996" t="str">
        <f>"3250617105040"</f>
        <v>3250617105040</v>
      </c>
      <c r="J6996" t="s">
        <v>19281</v>
      </c>
    </row>
    <row r="6997" spans="1:10" x14ac:dyDescent="0.25">
      <c r="A6997" t="s">
        <v>8</v>
      </c>
      <c r="B6997" t="s">
        <v>19282</v>
      </c>
      <c r="C6997" t="s">
        <v>19283</v>
      </c>
      <c r="D6997">
        <v>1</v>
      </c>
      <c r="E6997" t="s">
        <v>19275</v>
      </c>
      <c r="F6997" t="s">
        <v>19276</v>
      </c>
      <c r="G6997" s="1"/>
      <c r="H6997" t="str">
        <f>"3250617105057"</f>
        <v>3250617105057</v>
      </c>
      <c r="J6997" t="s">
        <v>19284</v>
      </c>
    </row>
    <row r="6998" spans="1:10" x14ac:dyDescent="0.25">
      <c r="A6998" t="s">
        <v>8</v>
      </c>
      <c r="B6998" t="s">
        <v>19285</v>
      </c>
      <c r="C6998" t="s">
        <v>19286</v>
      </c>
      <c r="D6998">
        <v>1</v>
      </c>
      <c r="E6998" t="s">
        <v>19275</v>
      </c>
      <c r="F6998" t="s">
        <v>19276</v>
      </c>
      <c r="G6998" s="1"/>
      <c r="H6998" t="str">
        <f>"3250617105064"</f>
        <v>3250617105064</v>
      </c>
      <c r="J6998" t="s">
        <v>19287</v>
      </c>
    </row>
    <row r="6999" spans="1:10" x14ac:dyDescent="0.25">
      <c r="A6999" t="s">
        <v>8</v>
      </c>
      <c r="B6999" t="s">
        <v>19288</v>
      </c>
      <c r="C6999" t="s">
        <v>19289</v>
      </c>
      <c r="D6999">
        <v>1</v>
      </c>
      <c r="E6999" t="s">
        <v>19275</v>
      </c>
      <c r="F6999" t="s">
        <v>19276</v>
      </c>
      <c r="G6999" s="1"/>
      <c r="H6999" t="str">
        <f>"3250617105071"</f>
        <v>3250617105071</v>
      </c>
      <c r="J6999" t="s">
        <v>19290</v>
      </c>
    </row>
    <row r="7000" spans="1:10" x14ac:dyDescent="0.25">
      <c r="A7000" t="s">
        <v>8</v>
      </c>
      <c r="B7000" t="s">
        <v>19291</v>
      </c>
      <c r="C7000" t="s">
        <v>19292</v>
      </c>
      <c r="D7000">
        <v>1</v>
      </c>
      <c r="E7000" t="s">
        <v>19275</v>
      </c>
      <c r="F7000" t="s">
        <v>19276</v>
      </c>
      <c r="G7000" s="1"/>
      <c r="H7000" t="str">
        <f>"3250617105088"</f>
        <v>3250617105088</v>
      </c>
      <c r="J7000" t="s">
        <v>19293</v>
      </c>
    </row>
    <row r="7001" spans="1:10" x14ac:dyDescent="0.25">
      <c r="A7001" t="s">
        <v>8</v>
      </c>
      <c r="B7001" t="s">
        <v>19294</v>
      </c>
      <c r="C7001" t="s">
        <v>19295</v>
      </c>
      <c r="D7001">
        <v>1</v>
      </c>
      <c r="E7001" t="s">
        <v>19275</v>
      </c>
      <c r="F7001" t="s">
        <v>19276</v>
      </c>
      <c r="G7001" s="1"/>
      <c r="H7001" t="str">
        <f>"3250617105095"</f>
        <v>3250617105095</v>
      </c>
      <c r="J7001" t="s">
        <v>19296</v>
      </c>
    </row>
    <row r="7002" spans="1:10" x14ac:dyDescent="0.25">
      <c r="A7002" t="s">
        <v>8</v>
      </c>
      <c r="B7002" t="s">
        <v>19297</v>
      </c>
      <c r="C7002" t="s">
        <v>19298</v>
      </c>
      <c r="D7002">
        <v>1</v>
      </c>
      <c r="E7002" t="s">
        <v>19275</v>
      </c>
      <c r="F7002" t="s">
        <v>19276</v>
      </c>
      <c r="G7002" s="1"/>
      <c r="H7002" t="str">
        <f>"3250617105286"</f>
        <v>3250617105286</v>
      </c>
      <c r="J7002" t="s">
        <v>19299</v>
      </c>
    </row>
    <row r="7003" spans="1:10" x14ac:dyDescent="0.25">
      <c r="A7003" t="s">
        <v>8</v>
      </c>
      <c r="B7003" t="s">
        <v>19300</v>
      </c>
      <c r="C7003" t="s">
        <v>19301</v>
      </c>
      <c r="D7003">
        <v>1</v>
      </c>
      <c r="E7003" t="s">
        <v>19275</v>
      </c>
      <c r="F7003" t="s">
        <v>19276</v>
      </c>
      <c r="G7003" s="1"/>
      <c r="H7003" t="str">
        <f>"3250617105293"</f>
        <v>3250617105293</v>
      </c>
      <c r="J7003" t="s">
        <v>19302</v>
      </c>
    </row>
    <row r="7004" spans="1:10" x14ac:dyDescent="0.25">
      <c r="A7004" t="s">
        <v>8</v>
      </c>
      <c r="B7004" t="s">
        <v>19303</v>
      </c>
      <c r="C7004" t="s">
        <v>19304</v>
      </c>
      <c r="D7004">
        <v>1</v>
      </c>
      <c r="E7004" t="s">
        <v>19275</v>
      </c>
      <c r="F7004" t="s">
        <v>19276</v>
      </c>
      <c r="G7004" s="1"/>
      <c r="H7004" t="str">
        <f>"3250617105309"</f>
        <v>3250617105309</v>
      </c>
      <c r="J7004" t="s">
        <v>19305</v>
      </c>
    </row>
    <row r="7005" spans="1:10" x14ac:dyDescent="0.25">
      <c r="A7005" t="s">
        <v>8</v>
      </c>
      <c r="B7005" t="s">
        <v>19306</v>
      </c>
      <c r="C7005" t="s">
        <v>19307</v>
      </c>
      <c r="D7005">
        <v>1</v>
      </c>
      <c r="E7005" t="s">
        <v>19275</v>
      </c>
      <c r="F7005" t="s">
        <v>19276</v>
      </c>
      <c r="G7005" s="1"/>
      <c r="H7005" t="str">
        <f>"3250617105262"</f>
        <v>3250617105262</v>
      </c>
      <c r="J7005" t="s">
        <v>16545</v>
      </c>
    </row>
    <row r="7006" spans="1:10" x14ac:dyDescent="0.25">
      <c r="A7006" t="s">
        <v>8</v>
      </c>
      <c r="B7006" t="s">
        <v>19308</v>
      </c>
      <c r="C7006" t="s">
        <v>19309</v>
      </c>
      <c r="D7006">
        <v>1</v>
      </c>
      <c r="E7006" t="s">
        <v>19275</v>
      </c>
      <c r="F7006" t="s">
        <v>19276</v>
      </c>
      <c r="G7006" s="1"/>
      <c r="H7006" t="str">
        <f>"3250617105279"</f>
        <v>3250617105279</v>
      </c>
      <c r="J7006" t="s">
        <v>19310</v>
      </c>
    </row>
    <row r="7007" spans="1:10" x14ac:dyDescent="0.25">
      <c r="A7007" t="s">
        <v>8</v>
      </c>
      <c r="B7007" t="s">
        <v>19311</v>
      </c>
      <c r="C7007" t="s">
        <v>19312</v>
      </c>
      <c r="D7007">
        <v>1</v>
      </c>
      <c r="E7007" t="s">
        <v>19275</v>
      </c>
      <c r="F7007" t="s">
        <v>19276</v>
      </c>
      <c r="G7007" s="1"/>
      <c r="H7007" t="str">
        <f>"3250617105316"</f>
        <v>3250617105316</v>
      </c>
      <c r="J7007" t="s">
        <v>19313</v>
      </c>
    </row>
    <row r="7008" spans="1:10" x14ac:dyDescent="0.25">
      <c r="A7008" t="s">
        <v>8</v>
      </c>
      <c r="B7008" t="s">
        <v>19314</v>
      </c>
      <c r="C7008" t="s">
        <v>19315</v>
      </c>
      <c r="D7008">
        <v>1</v>
      </c>
      <c r="E7008" t="s">
        <v>19275</v>
      </c>
      <c r="F7008" t="s">
        <v>19276</v>
      </c>
      <c r="G7008" s="1"/>
      <c r="H7008" t="str">
        <f>"3250617105323"</f>
        <v>3250617105323</v>
      </c>
      <c r="J7008" t="s">
        <v>19316</v>
      </c>
    </row>
    <row r="7009" spans="1:10" x14ac:dyDescent="0.25">
      <c r="A7009" t="s">
        <v>8</v>
      </c>
      <c r="B7009" t="s">
        <v>19317</v>
      </c>
      <c r="C7009" t="s">
        <v>19318</v>
      </c>
      <c r="D7009">
        <v>1</v>
      </c>
      <c r="E7009" t="s">
        <v>19275</v>
      </c>
      <c r="F7009" t="s">
        <v>19276</v>
      </c>
      <c r="G7009" s="1"/>
      <c r="H7009" t="str">
        <f>"3250617105101"</f>
        <v>3250617105101</v>
      </c>
      <c r="J7009" t="s">
        <v>19319</v>
      </c>
    </row>
    <row r="7010" spans="1:10" x14ac:dyDescent="0.25">
      <c r="A7010" t="s">
        <v>8</v>
      </c>
      <c r="B7010" t="s">
        <v>19320</v>
      </c>
      <c r="C7010" t="s">
        <v>19321</v>
      </c>
      <c r="D7010">
        <v>1</v>
      </c>
      <c r="E7010" t="s">
        <v>19275</v>
      </c>
      <c r="F7010" t="s">
        <v>19276</v>
      </c>
      <c r="G7010" s="1"/>
      <c r="H7010" t="str">
        <f>"3250617105118"</f>
        <v>3250617105118</v>
      </c>
      <c r="J7010" t="s">
        <v>19322</v>
      </c>
    </row>
    <row r="7011" spans="1:10" x14ac:dyDescent="0.25">
      <c r="A7011" t="s">
        <v>8</v>
      </c>
      <c r="B7011" t="s">
        <v>19323</v>
      </c>
      <c r="C7011" t="s">
        <v>19324</v>
      </c>
      <c r="D7011">
        <v>1</v>
      </c>
      <c r="E7011" t="s">
        <v>19275</v>
      </c>
      <c r="F7011" t="s">
        <v>19276</v>
      </c>
      <c r="G7011" s="1"/>
      <c r="H7011" t="str">
        <f>"3250617105125"</f>
        <v>3250617105125</v>
      </c>
      <c r="J7011" t="s">
        <v>19325</v>
      </c>
    </row>
    <row r="7012" spans="1:10" x14ac:dyDescent="0.25">
      <c r="A7012" t="s">
        <v>8</v>
      </c>
      <c r="B7012" t="s">
        <v>19326</v>
      </c>
      <c r="C7012" t="s">
        <v>19327</v>
      </c>
      <c r="D7012">
        <v>1</v>
      </c>
      <c r="E7012" t="s">
        <v>19275</v>
      </c>
      <c r="F7012" t="s">
        <v>19276</v>
      </c>
      <c r="G7012" s="1"/>
      <c r="H7012" t="str">
        <f>"3250617105132"</f>
        <v>3250617105132</v>
      </c>
      <c r="J7012" t="s">
        <v>19328</v>
      </c>
    </row>
    <row r="7013" spans="1:10" x14ac:dyDescent="0.25">
      <c r="A7013" t="s">
        <v>8</v>
      </c>
      <c r="B7013" t="s">
        <v>19329</v>
      </c>
      <c r="C7013" t="s">
        <v>19330</v>
      </c>
      <c r="D7013">
        <v>1</v>
      </c>
      <c r="E7013" t="s">
        <v>19275</v>
      </c>
      <c r="F7013" t="s">
        <v>19276</v>
      </c>
      <c r="G7013" s="1"/>
      <c r="H7013" t="str">
        <f>"3250617105149"</f>
        <v>3250617105149</v>
      </c>
      <c r="J7013" t="s">
        <v>19331</v>
      </c>
    </row>
    <row r="7014" spans="1:10" x14ac:dyDescent="0.25">
      <c r="A7014" t="s">
        <v>8</v>
      </c>
      <c r="B7014" t="s">
        <v>19332</v>
      </c>
      <c r="C7014" t="s">
        <v>19333</v>
      </c>
      <c r="D7014">
        <v>1</v>
      </c>
      <c r="E7014" t="s">
        <v>19275</v>
      </c>
      <c r="F7014" t="s">
        <v>19276</v>
      </c>
      <c r="G7014" s="1"/>
      <c r="H7014" t="str">
        <f>"3250617105156"</f>
        <v>3250617105156</v>
      </c>
      <c r="J7014" t="s">
        <v>13900</v>
      </c>
    </row>
    <row r="7015" spans="1:10" x14ac:dyDescent="0.25">
      <c r="A7015" t="s">
        <v>8</v>
      </c>
      <c r="B7015" t="s">
        <v>19334</v>
      </c>
      <c r="C7015" t="s">
        <v>19335</v>
      </c>
      <c r="D7015">
        <v>1</v>
      </c>
      <c r="E7015" t="s">
        <v>19275</v>
      </c>
      <c r="F7015" t="s">
        <v>19276</v>
      </c>
      <c r="G7015" s="1"/>
      <c r="H7015" t="str">
        <f>"3250617105163"</f>
        <v>3250617105163</v>
      </c>
      <c r="J7015" t="s">
        <v>19336</v>
      </c>
    </row>
    <row r="7016" spans="1:10" x14ac:dyDescent="0.25">
      <c r="A7016" t="s">
        <v>8</v>
      </c>
      <c r="B7016" t="s">
        <v>19337</v>
      </c>
      <c r="C7016" t="s">
        <v>19338</v>
      </c>
      <c r="D7016">
        <v>1</v>
      </c>
      <c r="E7016" t="s">
        <v>19275</v>
      </c>
      <c r="F7016" t="s">
        <v>19276</v>
      </c>
      <c r="G7016" s="1"/>
      <c r="H7016" t="str">
        <f>"3250617105170"</f>
        <v>3250617105170</v>
      </c>
      <c r="J7016" t="s">
        <v>11293</v>
      </c>
    </row>
    <row r="7017" spans="1:10" x14ac:dyDescent="0.25">
      <c r="A7017" t="s">
        <v>8</v>
      </c>
      <c r="B7017" t="s">
        <v>19339</v>
      </c>
      <c r="C7017" t="s">
        <v>19340</v>
      </c>
      <c r="D7017">
        <v>1</v>
      </c>
      <c r="E7017" t="s">
        <v>19275</v>
      </c>
      <c r="F7017" t="s">
        <v>19276</v>
      </c>
      <c r="G7017" s="1"/>
      <c r="H7017" t="str">
        <f>"3250617105187"</f>
        <v>3250617105187</v>
      </c>
      <c r="J7017" t="s">
        <v>19341</v>
      </c>
    </row>
    <row r="7018" spans="1:10" x14ac:dyDescent="0.25">
      <c r="A7018" t="s">
        <v>8</v>
      </c>
      <c r="B7018" t="s">
        <v>19342</v>
      </c>
      <c r="C7018" t="s">
        <v>19343</v>
      </c>
      <c r="D7018">
        <v>1</v>
      </c>
      <c r="E7018" t="s">
        <v>19275</v>
      </c>
      <c r="F7018" t="s">
        <v>19276</v>
      </c>
      <c r="G7018" s="1"/>
      <c r="H7018" t="str">
        <f>"3250617105194"</f>
        <v>3250617105194</v>
      </c>
      <c r="J7018" t="s">
        <v>19344</v>
      </c>
    </row>
    <row r="7019" spans="1:10" x14ac:dyDescent="0.25">
      <c r="A7019" t="s">
        <v>8</v>
      </c>
      <c r="B7019" t="s">
        <v>19345</v>
      </c>
      <c r="C7019" t="s">
        <v>19346</v>
      </c>
      <c r="D7019">
        <v>1</v>
      </c>
      <c r="E7019" t="s">
        <v>19275</v>
      </c>
      <c r="F7019" t="s">
        <v>19276</v>
      </c>
      <c r="G7019" s="1"/>
      <c r="H7019" t="str">
        <f>"3250617105200"</f>
        <v>3250617105200</v>
      </c>
      <c r="J7019" t="s">
        <v>19347</v>
      </c>
    </row>
    <row r="7020" spans="1:10" x14ac:dyDescent="0.25">
      <c r="A7020" t="s">
        <v>8</v>
      </c>
      <c r="B7020" t="s">
        <v>19348</v>
      </c>
      <c r="C7020" t="s">
        <v>19349</v>
      </c>
      <c r="D7020">
        <v>1</v>
      </c>
      <c r="E7020" t="s">
        <v>19275</v>
      </c>
      <c r="F7020" t="s">
        <v>19276</v>
      </c>
      <c r="G7020" s="1"/>
      <c r="H7020" t="str">
        <f>"3250617105217"</f>
        <v>3250617105217</v>
      </c>
      <c r="J7020" t="s">
        <v>19296</v>
      </c>
    </row>
    <row r="7021" spans="1:10" x14ac:dyDescent="0.25">
      <c r="A7021" t="s">
        <v>8</v>
      </c>
      <c r="B7021" t="s">
        <v>19350</v>
      </c>
      <c r="C7021" t="s">
        <v>19351</v>
      </c>
      <c r="D7021">
        <v>1</v>
      </c>
      <c r="E7021" t="s">
        <v>19275</v>
      </c>
      <c r="F7021" t="s">
        <v>19276</v>
      </c>
      <c r="G7021" s="1"/>
      <c r="H7021" t="str">
        <f>"3250617105224"</f>
        <v>3250617105224</v>
      </c>
      <c r="J7021" t="s">
        <v>19352</v>
      </c>
    </row>
    <row r="7022" spans="1:10" x14ac:dyDescent="0.25">
      <c r="A7022" t="s">
        <v>8</v>
      </c>
      <c r="B7022" t="s">
        <v>19353</v>
      </c>
      <c r="C7022" t="s">
        <v>19354</v>
      </c>
      <c r="D7022">
        <v>1</v>
      </c>
      <c r="E7022" t="s">
        <v>19275</v>
      </c>
      <c r="F7022" t="s">
        <v>19276</v>
      </c>
      <c r="G7022" s="1"/>
      <c r="H7022" t="str">
        <f>"3250617105231"</f>
        <v>3250617105231</v>
      </c>
      <c r="J7022" t="s">
        <v>19355</v>
      </c>
    </row>
    <row r="7023" spans="1:10" x14ac:dyDescent="0.25">
      <c r="A7023" t="s">
        <v>8</v>
      </c>
      <c r="B7023" t="s">
        <v>19356</v>
      </c>
      <c r="C7023" t="s">
        <v>19357</v>
      </c>
      <c r="D7023">
        <v>1</v>
      </c>
      <c r="E7023" t="s">
        <v>19275</v>
      </c>
      <c r="F7023" t="s">
        <v>19276</v>
      </c>
      <c r="G7023" s="1"/>
      <c r="H7023" t="str">
        <f>"3250617105248"</f>
        <v>3250617105248</v>
      </c>
      <c r="J7023" t="s">
        <v>19358</v>
      </c>
    </row>
    <row r="7024" spans="1:10" x14ac:dyDescent="0.25">
      <c r="A7024" t="s">
        <v>8</v>
      </c>
      <c r="B7024" t="s">
        <v>19359</v>
      </c>
      <c r="C7024" t="s">
        <v>19360</v>
      </c>
      <c r="D7024">
        <v>1</v>
      </c>
      <c r="E7024" t="s">
        <v>19275</v>
      </c>
      <c r="F7024" t="s">
        <v>19276</v>
      </c>
      <c r="G7024" s="1"/>
      <c r="H7024" t="str">
        <f>"3250617105255"</f>
        <v>3250617105255</v>
      </c>
      <c r="J7024" t="s">
        <v>7840</v>
      </c>
    </row>
    <row r="7025" spans="1:10" x14ac:dyDescent="0.25">
      <c r="A7025" t="s">
        <v>8</v>
      </c>
      <c r="B7025" t="s">
        <v>19361</v>
      </c>
      <c r="C7025" t="s">
        <v>19362</v>
      </c>
      <c r="D7025">
        <v>1</v>
      </c>
      <c r="E7025" t="s">
        <v>19275</v>
      </c>
      <c r="F7025" t="s">
        <v>19276</v>
      </c>
      <c r="G7025" s="1"/>
      <c r="H7025" t="str">
        <f>"3250617105347"</f>
        <v>3250617105347</v>
      </c>
      <c r="J7025" t="s">
        <v>16545</v>
      </c>
    </row>
    <row r="7026" spans="1:10" x14ac:dyDescent="0.25">
      <c r="A7026" t="s">
        <v>8</v>
      </c>
      <c r="B7026" t="s">
        <v>19363</v>
      </c>
      <c r="C7026" t="s">
        <v>19364</v>
      </c>
      <c r="D7026">
        <v>1</v>
      </c>
      <c r="E7026" t="s">
        <v>19275</v>
      </c>
      <c r="F7026" t="s">
        <v>19276</v>
      </c>
      <c r="G7026" s="1"/>
      <c r="H7026" t="str">
        <f>"3250617105330"</f>
        <v>3250617105330</v>
      </c>
      <c r="J7026" t="s">
        <v>19365</v>
      </c>
    </row>
    <row r="7027" spans="1:10" x14ac:dyDescent="0.25">
      <c r="A7027" t="s">
        <v>8</v>
      </c>
      <c r="B7027" t="s">
        <v>19366</v>
      </c>
      <c r="C7027" t="s">
        <v>19367</v>
      </c>
      <c r="D7027">
        <v>1</v>
      </c>
      <c r="E7027" t="s">
        <v>19275</v>
      </c>
      <c r="F7027" t="s">
        <v>19276</v>
      </c>
      <c r="G7027" s="1"/>
      <c r="H7027" t="str">
        <f>"3250610131640"</f>
        <v>3250610131640</v>
      </c>
      <c r="J7027" t="s">
        <v>19368</v>
      </c>
    </row>
    <row r="7028" spans="1:10" x14ac:dyDescent="0.25">
      <c r="A7028" t="s">
        <v>8</v>
      </c>
      <c r="B7028" t="s">
        <v>19369</v>
      </c>
      <c r="C7028" t="s">
        <v>19370</v>
      </c>
      <c r="D7028">
        <v>1</v>
      </c>
      <c r="E7028" t="s">
        <v>19275</v>
      </c>
      <c r="F7028" t="s">
        <v>19276</v>
      </c>
      <c r="G7028" s="1"/>
      <c r="H7028" t="str">
        <f>"3250610131664"</f>
        <v>3250610131664</v>
      </c>
      <c r="J7028" t="s">
        <v>19371</v>
      </c>
    </row>
    <row r="7029" spans="1:10" x14ac:dyDescent="0.25">
      <c r="A7029" t="s">
        <v>8</v>
      </c>
      <c r="B7029" t="s">
        <v>19372</v>
      </c>
      <c r="C7029" t="s">
        <v>19373</v>
      </c>
      <c r="D7029">
        <v>1</v>
      </c>
      <c r="E7029" t="s">
        <v>19374</v>
      </c>
      <c r="F7029" t="s">
        <v>19375</v>
      </c>
      <c r="G7029" s="1"/>
      <c r="H7029" t="str">
        <f>"3250613220877"</f>
        <v>3250613220877</v>
      </c>
      <c r="J7029" t="s">
        <v>19376</v>
      </c>
    </row>
    <row r="7030" spans="1:10" x14ac:dyDescent="0.25">
      <c r="A7030" t="s">
        <v>8</v>
      </c>
      <c r="B7030" t="s">
        <v>19377</v>
      </c>
      <c r="C7030" t="s">
        <v>19378</v>
      </c>
      <c r="D7030">
        <v>1</v>
      </c>
      <c r="E7030" t="s">
        <v>19374</v>
      </c>
      <c r="F7030" t="s">
        <v>19375</v>
      </c>
      <c r="G7030" s="1"/>
      <c r="H7030" t="str">
        <f>"3250613220884"</f>
        <v>3250613220884</v>
      </c>
      <c r="J7030" t="s">
        <v>19376</v>
      </c>
    </row>
    <row r="7031" spans="1:10" x14ac:dyDescent="0.25">
      <c r="A7031" t="s">
        <v>8</v>
      </c>
      <c r="B7031" t="s">
        <v>19379</v>
      </c>
      <c r="C7031" t="s">
        <v>19380</v>
      </c>
      <c r="D7031">
        <v>1</v>
      </c>
      <c r="E7031" t="s">
        <v>19374</v>
      </c>
      <c r="F7031" t="s">
        <v>19375</v>
      </c>
      <c r="G7031" s="1"/>
      <c r="H7031" t="str">
        <f>"3250613220891"</f>
        <v>3250613220891</v>
      </c>
      <c r="J7031" t="s">
        <v>19376</v>
      </c>
    </row>
    <row r="7032" spans="1:10" x14ac:dyDescent="0.25">
      <c r="A7032" t="s">
        <v>8</v>
      </c>
      <c r="B7032" t="s">
        <v>19381</v>
      </c>
      <c r="C7032" t="s">
        <v>19382</v>
      </c>
      <c r="D7032">
        <v>1</v>
      </c>
      <c r="E7032" t="s">
        <v>19374</v>
      </c>
      <c r="F7032" t="s">
        <v>19375</v>
      </c>
      <c r="G7032" s="1"/>
      <c r="H7032" t="str">
        <f>"3250613220907"</f>
        <v>3250613220907</v>
      </c>
      <c r="J7032" t="s">
        <v>19376</v>
      </c>
    </row>
    <row r="7033" spans="1:10" x14ac:dyDescent="0.25">
      <c r="A7033" t="s">
        <v>8</v>
      </c>
      <c r="B7033" t="s">
        <v>19383</v>
      </c>
      <c r="C7033" t="s">
        <v>19384</v>
      </c>
      <c r="D7033">
        <v>1</v>
      </c>
      <c r="E7033" t="s">
        <v>19374</v>
      </c>
      <c r="F7033" t="s">
        <v>19375</v>
      </c>
      <c r="G7033" s="1"/>
      <c r="H7033" t="str">
        <f>"3250613220914"</f>
        <v>3250613220914</v>
      </c>
      <c r="J7033" t="s">
        <v>19385</v>
      </c>
    </row>
    <row r="7034" spans="1:10" x14ac:dyDescent="0.25">
      <c r="A7034" t="s">
        <v>8</v>
      </c>
      <c r="B7034" t="s">
        <v>19386</v>
      </c>
      <c r="C7034" t="s">
        <v>19387</v>
      </c>
      <c r="D7034">
        <v>1</v>
      </c>
      <c r="E7034" t="s">
        <v>19374</v>
      </c>
      <c r="F7034" t="s">
        <v>19375</v>
      </c>
      <c r="G7034" s="1"/>
      <c r="H7034" t="str">
        <f>"3250613220921"</f>
        <v>3250613220921</v>
      </c>
      <c r="J7034" t="s">
        <v>19385</v>
      </c>
    </row>
    <row r="7035" spans="1:10" x14ac:dyDescent="0.25">
      <c r="A7035" t="s">
        <v>8</v>
      </c>
      <c r="B7035" t="s">
        <v>19388</v>
      </c>
      <c r="C7035" t="s">
        <v>19389</v>
      </c>
      <c r="D7035">
        <v>1</v>
      </c>
      <c r="E7035" t="s">
        <v>19374</v>
      </c>
      <c r="F7035" t="s">
        <v>19375</v>
      </c>
      <c r="G7035" s="1"/>
      <c r="H7035" t="str">
        <f>"3250613220938"</f>
        <v>3250613220938</v>
      </c>
      <c r="J7035" t="s">
        <v>19385</v>
      </c>
    </row>
    <row r="7036" spans="1:10" x14ac:dyDescent="0.25">
      <c r="A7036" t="s">
        <v>8</v>
      </c>
      <c r="B7036" t="s">
        <v>19390</v>
      </c>
      <c r="C7036" t="s">
        <v>19391</v>
      </c>
      <c r="D7036">
        <v>1</v>
      </c>
      <c r="E7036" t="s">
        <v>19374</v>
      </c>
      <c r="F7036" t="s">
        <v>19375</v>
      </c>
      <c r="G7036" s="1"/>
      <c r="H7036" t="str">
        <f>"3250613220945"</f>
        <v>3250613220945</v>
      </c>
      <c r="J7036" t="s">
        <v>19385</v>
      </c>
    </row>
    <row r="7037" spans="1:10" x14ac:dyDescent="0.25">
      <c r="A7037" t="s">
        <v>8</v>
      </c>
      <c r="B7037" t="s">
        <v>19392</v>
      </c>
      <c r="C7037" t="s">
        <v>19393</v>
      </c>
      <c r="D7037">
        <v>1</v>
      </c>
      <c r="E7037" t="s">
        <v>19374</v>
      </c>
      <c r="F7037" t="s">
        <v>19375</v>
      </c>
      <c r="G7037" s="1"/>
      <c r="H7037" t="str">
        <f>"3250613220952"</f>
        <v>3250613220952</v>
      </c>
      <c r="J7037" t="s">
        <v>19394</v>
      </c>
    </row>
    <row r="7038" spans="1:10" x14ac:dyDescent="0.25">
      <c r="A7038" t="s">
        <v>8</v>
      </c>
      <c r="B7038" t="s">
        <v>19395</v>
      </c>
      <c r="C7038" t="s">
        <v>19396</v>
      </c>
      <c r="D7038">
        <v>1</v>
      </c>
      <c r="E7038" t="s">
        <v>19374</v>
      </c>
      <c r="F7038" t="s">
        <v>19375</v>
      </c>
      <c r="G7038" s="1"/>
      <c r="H7038" t="str">
        <f>"3250613220969"</f>
        <v>3250613220969</v>
      </c>
      <c r="J7038" t="s">
        <v>19394</v>
      </c>
    </row>
    <row r="7039" spans="1:10" x14ac:dyDescent="0.25">
      <c r="A7039" t="s">
        <v>8</v>
      </c>
      <c r="B7039" t="s">
        <v>19397</v>
      </c>
      <c r="C7039" t="s">
        <v>19398</v>
      </c>
      <c r="D7039">
        <v>1</v>
      </c>
      <c r="E7039" t="s">
        <v>19374</v>
      </c>
      <c r="F7039" t="s">
        <v>19375</v>
      </c>
      <c r="G7039" s="1"/>
      <c r="H7039" t="str">
        <f>"3250613220976"</f>
        <v>3250613220976</v>
      </c>
      <c r="J7039" t="s">
        <v>19394</v>
      </c>
    </row>
    <row r="7040" spans="1:10" x14ac:dyDescent="0.25">
      <c r="A7040" t="s">
        <v>8</v>
      </c>
      <c r="B7040" t="s">
        <v>19399</v>
      </c>
      <c r="C7040" t="s">
        <v>19400</v>
      </c>
      <c r="D7040">
        <v>1</v>
      </c>
      <c r="E7040" t="s">
        <v>19374</v>
      </c>
      <c r="F7040" t="s">
        <v>19375</v>
      </c>
      <c r="G7040" s="1"/>
      <c r="H7040" t="str">
        <f>"3250613220983"</f>
        <v>3250613220983</v>
      </c>
      <c r="J7040" t="s">
        <v>19394</v>
      </c>
    </row>
    <row r="7041" spans="1:10" x14ac:dyDescent="0.25">
      <c r="A7041" t="s">
        <v>8</v>
      </c>
      <c r="B7041" t="s">
        <v>19401</v>
      </c>
      <c r="C7041" t="s">
        <v>19402</v>
      </c>
      <c r="D7041">
        <v>1</v>
      </c>
      <c r="E7041" t="s">
        <v>19374</v>
      </c>
      <c r="F7041" t="s">
        <v>19375</v>
      </c>
      <c r="G7041" s="1"/>
      <c r="H7041" t="str">
        <f>"3250613221157"</f>
        <v>3250613221157</v>
      </c>
      <c r="J7041" t="s">
        <v>19403</v>
      </c>
    </row>
    <row r="7042" spans="1:10" x14ac:dyDescent="0.25">
      <c r="A7042" t="s">
        <v>8</v>
      </c>
      <c r="B7042" t="s">
        <v>19404</v>
      </c>
      <c r="C7042" t="s">
        <v>19405</v>
      </c>
      <c r="D7042">
        <v>1</v>
      </c>
      <c r="E7042" t="s">
        <v>19374</v>
      </c>
      <c r="F7042" t="s">
        <v>19375</v>
      </c>
      <c r="G7042" s="1"/>
      <c r="H7042" t="str">
        <f>"3250613221164"</f>
        <v>3250613221164</v>
      </c>
      <c r="J7042" t="s">
        <v>19403</v>
      </c>
    </row>
    <row r="7043" spans="1:10" x14ac:dyDescent="0.25">
      <c r="A7043" t="s">
        <v>8</v>
      </c>
      <c r="B7043" t="s">
        <v>19406</v>
      </c>
      <c r="C7043" t="s">
        <v>19407</v>
      </c>
      <c r="D7043">
        <v>1</v>
      </c>
      <c r="E7043" t="s">
        <v>19374</v>
      </c>
      <c r="F7043" t="s">
        <v>19375</v>
      </c>
      <c r="G7043" s="1"/>
      <c r="H7043" t="str">
        <f>"3250613221171"</f>
        <v>3250613221171</v>
      </c>
      <c r="J7043" t="s">
        <v>19403</v>
      </c>
    </row>
    <row r="7044" spans="1:10" x14ac:dyDescent="0.25">
      <c r="A7044" t="s">
        <v>8</v>
      </c>
      <c r="B7044" t="s">
        <v>19408</v>
      </c>
      <c r="C7044" t="s">
        <v>19409</v>
      </c>
      <c r="D7044">
        <v>1</v>
      </c>
      <c r="E7044" t="s">
        <v>19374</v>
      </c>
      <c r="F7044" t="s">
        <v>19375</v>
      </c>
      <c r="G7044" s="1"/>
      <c r="H7044" t="str">
        <f>"3250613221188"</f>
        <v>3250613221188</v>
      </c>
      <c r="J7044" t="s">
        <v>19403</v>
      </c>
    </row>
    <row r="7045" spans="1:10" x14ac:dyDescent="0.25">
      <c r="A7045" t="s">
        <v>8</v>
      </c>
      <c r="B7045" t="s">
        <v>19410</v>
      </c>
      <c r="C7045" t="s">
        <v>19411</v>
      </c>
      <c r="D7045">
        <v>1</v>
      </c>
      <c r="E7045" t="s">
        <v>19374</v>
      </c>
      <c r="F7045" t="s">
        <v>19375</v>
      </c>
      <c r="G7045" s="1"/>
      <c r="H7045" t="str">
        <f>"3250613221195"</f>
        <v>3250613221195</v>
      </c>
      <c r="J7045" t="s">
        <v>19412</v>
      </c>
    </row>
    <row r="7046" spans="1:10" x14ac:dyDescent="0.25">
      <c r="A7046" t="s">
        <v>8</v>
      </c>
      <c r="B7046" t="s">
        <v>19413</v>
      </c>
      <c r="C7046" t="s">
        <v>19414</v>
      </c>
      <c r="D7046">
        <v>1</v>
      </c>
      <c r="E7046" t="s">
        <v>19374</v>
      </c>
      <c r="F7046" t="s">
        <v>19375</v>
      </c>
      <c r="G7046" s="1"/>
      <c r="H7046" t="str">
        <f>"3250613221201"</f>
        <v>3250613221201</v>
      </c>
      <c r="J7046" t="s">
        <v>19412</v>
      </c>
    </row>
    <row r="7047" spans="1:10" x14ac:dyDescent="0.25">
      <c r="A7047" t="s">
        <v>8</v>
      </c>
      <c r="B7047" t="s">
        <v>19415</v>
      </c>
      <c r="C7047" t="s">
        <v>19416</v>
      </c>
      <c r="D7047">
        <v>1</v>
      </c>
      <c r="E7047" t="s">
        <v>19374</v>
      </c>
      <c r="F7047" t="s">
        <v>19375</v>
      </c>
      <c r="G7047" s="1"/>
      <c r="H7047" t="str">
        <f>"3250613221218"</f>
        <v>3250613221218</v>
      </c>
      <c r="J7047" t="s">
        <v>19412</v>
      </c>
    </row>
    <row r="7048" spans="1:10" x14ac:dyDescent="0.25">
      <c r="A7048" t="s">
        <v>8</v>
      </c>
      <c r="B7048" t="s">
        <v>19417</v>
      </c>
      <c r="C7048" t="s">
        <v>19418</v>
      </c>
      <c r="D7048">
        <v>1</v>
      </c>
      <c r="E7048" t="s">
        <v>19374</v>
      </c>
      <c r="F7048" t="s">
        <v>19375</v>
      </c>
      <c r="G7048" s="1"/>
      <c r="H7048" t="str">
        <f>"3250613221225"</f>
        <v>3250613221225</v>
      </c>
      <c r="J7048" t="s">
        <v>19412</v>
      </c>
    </row>
    <row r="7049" spans="1:10" x14ac:dyDescent="0.25">
      <c r="A7049" t="s">
        <v>8</v>
      </c>
      <c r="B7049" t="s">
        <v>19419</v>
      </c>
      <c r="C7049" t="s">
        <v>19420</v>
      </c>
      <c r="D7049">
        <v>1</v>
      </c>
      <c r="E7049" t="s">
        <v>19374</v>
      </c>
      <c r="F7049" t="s">
        <v>19375</v>
      </c>
      <c r="G7049" s="1"/>
      <c r="H7049" t="str">
        <f>"3250613221232"</f>
        <v>3250613221232</v>
      </c>
      <c r="J7049" t="s">
        <v>19421</v>
      </c>
    </row>
    <row r="7050" spans="1:10" x14ac:dyDescent="0.25">
      <c r="A7050" t="s">
        <v>8</v>
      </c>
      <c r="B7050" t="s">
        <v>19422</v>
      </c>
      <c r="C7050" t="s">
        <v>19423</v>
      </c>
      <c r="D7050">
        <v>1</v>
      </c>
      <c r="E7050" t="s">
        <v>19374</v>
      </c>
      <c r="F7050" t="s">
        <v>19375</v>
      </c>
      <c r="G7050" s="1"/>
      <c r="H7050" t="str">
        <f>"3250613221249"</f>
        <v>3250613221249</v>
      </c>
      <c r="J7050" t="s">
        <v>19421</v>
      </c>
    </row>
    <row r="7051" spans="1:10" x14ac:dyDescent="0.25">
      <c r="A7051" t="s">
        <v>8</v>
      </c>
      <c r="B7051" t="s">
        <v>19424</v>
      </c>
      <c r="C7051" t="s">
        <v>19425</v>
      </c>
      <c r="D7051">
        <v>1</v>
      </c>
      <c r="E7051" t="s">
        <v>19374</v>
      </c>
      <c r="F7051" t="s">
        <v>19375</v>
      </c>
      <c r="G7051" s="1"/>
      <c r="H7051" t="str">
        <f>"3250613221256"</f>
        <v>3250613221256</v>
      </c>
      <c r="J7051" t="s">
        <v>19421</v>
      </c>
    </row>
    <row r="7052" spans="1:10" x14ac:dyDescent="0.25">
      <c r="A7052" t="s">
        <v>8</v>
      </c>
      <c r="B7052" t="s">
        <v>19426</v>
      </c>
      <c r="C7052" t="s">
        <v>19427</v>
      </c>
      <c r="D7052">
        <v>1</v>
      </c>
      <c r="E7052" t="s">
        <v>19374</v>
      </c>
      <c r="F7052" t="s">
        <v>19375</v>
      </c>
      <c r="G7052" s="1"/>
      <c r="H7052" t="str">
        <f>"3250613221263"</f>
        <v>3250613221263</v>
      </c>
      <c r="J7052" t="s">
        <v>19421</v>
      </c>
    </row>
    <row r="7053" spans="1:10" x14ac:dyDescent="0.25">
      <c r="A7053" t="s">
        <v>8</v>
      </c>
      <c r="B7053" t="s">
        <v>19428</v>
      </c>
      <c r="C7053" t="s">
        <v>19429</v>
      </c>
      <c r="D7053">
        <v>1</v>
      </c>
      <c r="E7053" t="s">
        <v>19374</v>
      </c>
      <c r="F7053" t="s">
        <v>19375</v>
      </c>
      <c r="G7053" s="1"/>
      <c r="H7053" t="str">
        <f>"3250613221430"</f>
        <v>3250613221430</v>
      </c>
      <c r="J7053" t="s">
        <v>19430</v>
      </c>
    </row>
    <row r="7054" spans="1:10" x14ac:dyDescent="0.25">
      <c r="A7054" t="s">
        <v>8</v>
      </c>
      <c r="B7054" t="s">
        <v>19431</v>
      </c>
      <c r="C7054" t="s">
        <v>19432</v>
      </c>
      <c r="D7054">
        <v>1</v>
      </c>
      <c r="E7054" t="s">
        <v>19374</v>
      </c>
      <c r="F7054" t="s">
        <v>19375</v>
      </c>
      <c r="G7054" s="1"/>
      <c r="H7054" t="str">
        <f>"3250613221447"</f>
        <v>3250613221447</v>
      </c>
      <c r="J7054" t="s">
        <v>19430</v>
      </c>
    </row>
    <row r="7055" spans="1:10" x14ac:dyDescent="0.25">
      <c r="A7055" t="s">
        <v>8</v>
      </c>
      <c r="B7055" t="s">
        <v>19433</v>
      </c>
      <c r="C7055" t="s">
        <v>19434</v>
      </c>
      <c r="D7055">
        <v>1</v>
      </c>
      <c r="E7055" t="s">
        <v>19374</v>
      </c>
      <c r="F7055" t="s">
        <v>19375</v>
      </c>
      <c r="G7055" s="1"/>
      <c r="H7055" t="str">
        <f>"3250613221454"</f>
        <v>3250613221454</v>
      </c>
      <c r="J7055" t="s">
        <v>19430</v>
      </c>
    </row>
    <row r="7056" spans="1:10" x14ac:dyDescent="0.25">
      <c r="A7056" t="s">
        <v>8</v>
      </c>
      <c r="B7056" t="s">
        <v>19435</v>
      </c>
      <c r="C7056" t="s">
        <v>19436</v>
      </c>
      <c r="D7056">
        <v>1</v>
      </c>
      <c r="E7056" t="s">
        <v>19374</v>
      </c>
      <c r="F7056" t="s">
        <v>19375</v>
      </c>
      <c r="G7056" s="1"/>
      <c r="H7056" t="str">
        <f>"3250613221461"</f>
        <v>3250613221461</v>
      </c>
      <c r="J7056" t="s">
        <v>19430</v>
      </c>
    </row>
    <row r="7057" spans="1:10" x14ac:dyDescent="0.25">
      <c r="A7057" t="s">
        <v>8</v>
      </c>
      <c r="B7057" t="s">
        <v>19437</v>
      </c>
      <c r="C7057" t="s">
        <v>19438</v>
      </c>
      <c r="D7057">
        <v>1</v>
      </c>
      <c r="E7057" t="s">
        <v>19374</v>
      </c>
      <c r="F7057" t="s">
        <v>19375</v>
      </c>
      <c r="G7057" s="1"/>
      <c r="H7057" t="str">
        <f>"3250613221478"</f>
        <v>3250613221478</v>
      </c>
      <c r="J7057" t="s">
        <v>19439</v>
      </c>
    </row>
    <row r="7058" spans="1:10" x14ac:dyDescent="0.25">
      <c r="A7058" t="s">
        <v>8</v>
      </c>
      <c r="B7058" t="s">
        <v>19440</v>
      </c>
      <c r="C7058" t="s">
        <v>19441</v>
      </c>
      <c r="D7058">
        <v>1</v>
      </c>
      <c r="E7058" t="s">
        <v>19374</v>
      </c>
      <c r="F7058" t="s">
        <v>19375</v>
      </c>
      <c r="G7058" s="1"/>
      <c r="H7058" t="str">
        <f>"3250613221485"</f>
        <v>3250613221485</v>
      </c>
      <c r="J7058" t="s">
        <v>19439</v>
      </c>
    </row>
    <row r="7059" spans="1:10" x14ac:dyDescent="0.25">
      <c r="A7059" t="s">
        <v>8</v>
      </c>
      <c r="B7059" t="s">
        <v>19442</v>
      </c>
      <c r="C7059" t="s">
        <v>19443</v>
      </c>
      <c r="D7059">
        <v>1</v>
      </c>
      <c r="E7059" t="s">
        <v>19374</v>
      </c>
      <c r="F7059" t="s">
        <v>19375</v>
      </c>
      <c r="G7059" s="1"/>
      <c r="H7059" t="str">
        <f>"3250613221492"</f>
        <v>3250613221492</v>
      </c>
      <c r="J7059" t="s">
        <v>19439</v>
      </c>
    </row>
    <row r="7060" spans="1:10" x14ac:dyDescent="0.25">
      <c r="A7060" t="s">
        <v>8</v>
      </c>
      <c r="B7060" t="s">
        <v>19444</v>
      </c>
      <c r="C7060" t="s">
        <v>19445</v>
      </c>
      <c r="D7060">
        <v>1</v>
      </c>
      <c r="E7060" t="s">
        <v>19374</v>
      </c>
      <c r="F7060" t="s">
        <v>19375</v>
      </c>
      <c r="G7060" s="1"/>
      <c r="H7060" t="str">
        <f>"3250613221508"</f>
        <v>3250613221508</v>
      </c>
      <c r="J7060" t="s">
        <v>19439</v>
      </c>
    </row>
    <row r="7061" spans="1:10" x14ac:dyDescent="0.25">
      <c r="A7061" t="s">
        <v>8</v>
      </c>
      <c r="B7061" t="s">
        <v>19446</v>
      </c>
      <c r="C7061" t="s">
        <v>19447</v>
      </c>
      <c r="D7061">
        <v>1</v>
      </c>
      <c r="E7061" t="s">
        <v>19374</v>
      </c>
      <c r="F7061" t="s">
        <v>19375</v>
      </c>
      <c r="G7061" s="1"/>
      <c r="H7061" t="str">
        <f>"3250613221515"</f>
        <v>3250613221515</v>
      </c>
      <c r="J7061" t="s">
        <v>19448</v>
      </c>
    </row>
    <row r="7062" spans="1:10" x14ac:dyDescent="0.25">
      <c r="A7062" t="s">
        <v>8</v>
      </c>
      <c r="B7062" t="s">
        <v>19449</v>
      </c>
      <c r="C7062" t="s">
        <v>19450</v>
      </c>
      <c r="D7062">
        <v>1</v>
      </c>
      <c r="E7062" t="s">
        <v>19374</v>
      </c>
      <c r="F7062" t="s">
        <v>19375</v>
      </c>
      <c r="G7062" s="1"/>
      <c r="H7062" t="str">
        <f>"3250613221522"</f>
        <v>3250613221522</v>
      </c>
      <c r="J7062" t="s">
        <v>19448</v>
      </c>
    </row>
    <row r="7063" spans="1:10" x14ac:dyDescent="0.25">
      <c r="A7063" t="s">
        <v>8</v>
      </c>
      <c r="B7063" t="s">
        <v>19451</v>
      </c>
      <c r="C7063" t="s">
        <v>19452</v>
      </c>
      <c r="D7063">
        <v>1</v>
      </c>
      <c r="E7063" t="s">
        <v>19374</v>
      </c>
      <c r="F7063" t="s">
        <v>19375</v>
      </c>
      <c r="G7063" s="1"/>
      <c r="H7063" t="str">
        <f>"3250613221539"</f>
        <v>3250613221539</v>
      </c>
      <c r="J7063" t="s">
        <v>19448</v>
      </c>
    </row>
    <row r="7064" spans="1:10" x14ac:dyDescent="0.25">
      <c r="A7064" t="s">
        <v>8</v>
      </c>
      <c r="B7064" t="s">
        <v>19453</v>
      </c>
      <c r="C7064" t="s">
        <v>19454</v>
      </c>
      <c r="D7064">
        <v>1</v>
      </c>
      <c r="E7064" t="s">
        <v>19374</v>
      </c>
      <c r="F7064" t="s">
        <v>19375</v>
      </c>
      <c r="G7064" s="1"/>
      <c r="H7064" t="str">
        <f>"3250613221546"</f>
        <v>3250613221546</v>
      </c>
      <c r="J7064" t="s">
        <v>19448</v>
      </c>
    </row>
    <row r="7065" spans="1:10" x14ac:dyDescent="0.25">
      <c r="A7065" t="s">
        <v>8</v>
      </c>
      <c r="B7065" t="s">
        <v>19455</v>
      </c>
      <c r="C7065" t="s">
        <v>19456</v>
      </c>
      <c r="D7065">
        <v>1</v>
      </c>
      <c r="E7065" t="s">
        <v>19374</v>
      </c>
      <c r="F7065" t="s">
        <v>19375</v>
      </c>
      <c r="G7065" s="1"/>
      <c r="H7065" t="str">
        <f>"3250613221713"</f>
        <v>3250613221713</v>
      </c>
      <c r="J7065" t="s">
        <v>19457</v>
      </c>
    </row>
    <row r="7066" spans="1:10" x14ac:dyDescent="0.25">
      <c r="A7066" t="s">
        <v>8</v>
      </c>
      <c r="B7066" t="s">
        <v>19458</v>
      </c>
      <c r="C7066" t="s">
        <v>19459</v>
      </c>
      <c r="D7066">
        <v>1</v>
      </c>
      <c r="E7066" t="s">
        <v>19374</v>
      </c>
      <c r="F7066" t="s">
        <v>19375</v>
      </c>
      <c r="G7066" s="1"/>
      <c r="H7066" t="str">
        <f>"3250613221720"</f>
        <v>3250613221720</v>
      </c>
      <c r="J7066" t="s">
        <v>19457</v>
      </c>
    </row>
    <row r="7067" spans="1:10" x14ac:dyDescent="0.25">
      <c r="A7067" t="s">
        <v>8</v>
      </c>
      <c r="B7067" t="s">
        <v>19460</v>
      </c>
      <c r="C7067" t="s">
        <v>19461</v>
      </c>
      <c r="D7067">
        <v>1</v>
      </c>
      <c r="E7067" t="s">
        <v>19374</v>
      </c>
      <c r="F7067" t="s">
        <v>19375</v>
      </c>
      <c r="G7067" s="1"/>
      <c r="H7067" t="str">
        <f>"3250613221737"</f>
        <v>3250613221737</v>
      </c>
      <c r="J7067" t="s">
        <v>19457</v>
      </c>
    </row>
    <row r="7068" spans="1:10" x14ac:dyDescent="0.25">
      <c r="A7068" t="s">
        <v>8</v>
      </c>
      <c r="B7068" t="s">
        <v>19462</v>
      </c>
      <c r="C7068" t="s">
        <v>19463</v>
      </c>
      <c r="D7068">
        <v>1</v>
      </c>
      <c r="E7068" t="s">
        <v>19374</v>
      </c>
      <c r="F7068" t="s">
        <v>19375</v>
      </c>
      <c r="G7068" s="1"/>
      <c r="H7068" t="str">
        <f>"3250613221744"</f>
        <v>3250613221744</v>
      </c>
      <c r="J7068" t="s">
        <v>19457</v>
      </c>
    </row>
    <row r="7069" spans="1:10" x14ac:dyDescent="0.25">
      <c r="A7069" t="s">
        <v>8</v>
      </c>
      <c r="B7069" t="s">
        <v>19464</v>
      </c>
      <c r="C7069" t="s">
        <v>19465</v>
      </c>
      <c r="D7069">
        <v>1</v>
      </c>
      <c r="E7069" t="s">
        <v>19374</v>
      </c>
      <c r="F7069" t="s">
        <v>19375</v>
      </c>
      <c r="G7069" s="1"/>
      <c r="H7069" t="str">
        <f>"3250613221751"</f>
        <v>3250613221751</v>
      </c>
      <c r="J7069" t="s">
        <v>19466</v>
      </c>
    </row>
    <row r="7070" spans="1:10" x14ac:dyDescent="0.25">
      <c r="A7070" t="s">
        <v>8</v>
      </c>
      <c r="B7070" t="s">
        <v>19467</v>
      </c>
      <c r="C7070" t="s">
        <v>19468</v>
      </c>
      <c r="D7070">
        <v>1</v>
      </c>
      <c r="E7070" t="s">
        <v>19374</v>
      </c>
      <c r="F7070" t="s">
        <v>19375</v>
      </c>
      <c r="G7070" s="1"/>
      <c r="H7070" t="str">
        <f>"3250613221768"</f>
        <v>3250613221768</v>
      </c>
      <c r="J7070" t="s">
        <v>19466</v>
      </c>
    </row>
    <row r="7071" spans="1:10" x14ac:dyDescent="0.25">
      <c r="A7071" t="s">
        <v>8</v>
      </c>
      <c r="B7071" t="s">
        <v>19469</v>
      </c>
      <c r="C7071" t="s">
        <v>19470</v>
      </c>
      <c r="D7071">
        <v>1</v>
      </c>
      <c r="E7071" t="s">
        <v>19374</v>
      </c>
      <c r="F7071" t="s">
        <v>19375</v>
      </c>
      <c r="G7071" s="1"/>
      <c r="H7071" t="str">
        <f>"3250613221775"</f>
        <v>3250613221775</v>
      </c>
      <c r="J7071" t="s">
        <v>19466</v>
      </c>
    </row>
    <row r="7072" spans="1:10" x14ac:dyDescent="0.25">
      <c r="A7072" t="s">
        <v>8</v>
      </c>
      <c r="B7072" t="s">
        <v>19471</v>
      </c>
      <c r="C7072" t="s">
        <v>19472</v>
      </c>
      <c r="D7072">
        <v>1</v>
      </c>
      <c r="E7072" t="s">
        <v>19374</v>
      </c>
      <c r="F7072" t="s">
        <v>19375</v>
      </c>
      <c r="G7072" s="1"/>
      <c r="H7072" t="str">
        <f>"3250613221782"</f>
        <v>3250613221782</v>
      </c>
      <c r="J7072" t="s">
        <v>19466</v>
      </c>
    </row>
    <row r="7073" spans="1:10" x14ac:dyDescent="0.25">
      <c r="A7073" t="s">
        <v>8</v>
      </c>
      <c r="B7073" t="s">
        <v>19473</v>
      </c>
      <c r="C7073" t="s">
        <v>19474</v>
      </c>
      <c r="D7073">
        <v>1</v>
      </c>
      <c r="E7073" t="s">
        <v>19374</v>
      </c>
      <c r="F7073" t="s">
        <v>19375</v>
      </c>
      <c r="G7073" s="1"/>
      <c r="H7073" t="str">
        <f>"3250613221799"</f>
        <v>3250613221799</v>
      </c>
      <c r="J7073" t="s">
        <v>19475</v>
      </c>
    </row>
    <row r="7074" spans="1:10" x14ac:dyDescent="0.25">
      <c r="A7074" t="s">
        <v>8</v>
      </c>
      <c r="B7074" t="s">
        <v>19476</v>
      </c>
      <c r="C7074" t="s">
        <v>19477</v>
      </c>
      <c r="D7074">
        <v>1</v>
      </c>
      <c r="E7074" t="s">
        <v>19374</v>
      </c>
      <c r="F7074" t="s">
        <v>19375</v>
      </c>
      <c r="G7074" s="1"/>
      <c r="H7074" t="str">
        <f>"3250613221805"</f>
        <v>3250613221805</v>
      </c>
      <c r="J7074" t="s">
        <v>19475</v>
      </c>
    </row>
    <row r="7075" spans="1:10" x14ac:dyDescent="0.25">
      <c r="A7075" t="s">
        <v>8</v>
      </c>
      <c r="B7075" t="s">
        <v>19478</v>
      </c>
      <c r="C7075" t="s">
        <v>19479</v>
      </c>
      <c r="D7075">
        <v>1</v>
      </c>
      <c r="E7075" t="s">
        <v>19374</v>
      </c>
      <c r="F7075" t="s">
        <v>19375</v>
      </c>
      <c r="G7075" s="1"/>
      <c r="H7075" t="str">
        <f>"3250613221812"</f>
        <v>3250613221812</v>
      </c>
      <c r="J7075" t="s">
        <v>19475</v>
      </c>
    </row>
    <row r="7076" spans="1:10" x14ac:dyDescent="0.25">
      <c r="A7076" t="s">
        <v>8</v>
      </c>
      <c r="B7076" t="s">
        <v>19480</v>
      </c>
      <c r="C7076" t="s">
        <v>19481</v>
      </c>
      <c r="D7076">
        <v>1</v>
      </c>
      <c r="E7076" t="s">
        <v>19374</v>
      </c>
      <c r="F7076" t="s">
        <v>19375</v>
      </c>
      <c r="G7076" s="1"/>
      <c r="H7076" t="str">
        <f>"3250613221829"</f>
        <v>3250613221829</v>
      </c>
      <c r="J7076" t="s">
        <v>19475</v>
      </c>
    </row>
    <row r="7077" spans="1:10" x14ac:dyDescent="0.25">
      <c r="A7077" t="s">
        <v>8</v>
      </c>
      <c r="B7077" t="s">
        <v>19482</v>
      </c>
      <c r="C7077" t="s">
        <v>19483</v>
      </c>
      <c r="D7077">
        <v>1</v>
      </c>
      <c r="E7077" t="s">
        <v>19374</v>
      </c>
      <c r="F7077" t="s">
        <v>19375</v>
      </c>
      <c r="G7077" s="1"/>
      <c r="H7077" t="str">
        <f>"3250613221911"</f>
        <v>3250613221911</v>
      </c>
      <c r="J7077" t="s">
        <v>19484</v>
      </c>
    </row>
    <row r="7078" spans="1:10" x14ac:dyDescent="0.25">
      <c r="A7078" t="s">
        <v>8</v>
      </c>
      <c r="B7078" t="s">
        <v>19485</v>
      </c>
      <c r="C7078" t="s">
        <v>19486</v>
      </c>
      <c r="D7078">
        <v>1</v>
      </c>
      <c r="E7078" t="s">
        <v>19374</v>
      </c>
      <c r="F7078" t="s">
        <v>19375</v>
      </c>
      <c r="G7078" s="1"/>
      <c r="H7078" t="str">
        <f>"3250613221928"</f>
        <v>3250613221928</v>
      </c>
      <c r="J7078" t="s">
        <v>19484</v>
      </c>
    </row>
    <row r="7079" spans="1:10" x14ac:dyDescent="0.25">
      <c r="A7079" t="s">
        <v>8</v>
      </c>
      <c r="B7079" t="s">
        <v>19487</v>
      </c>
      <c r="C7079" t="s">
        <v>19488</v>
      </c>
      <c r="D7079">
        <v>1</v>
      </c>
      <c r="E7079" t="s">
        <v>19374</v>
      </c>
      <c r="F7079" t="s">
        <v>19375</v>
      </c>
      <c r="G7079" s="1"/>
      <c r="H7079" t="str">
        <f>"3250613221935"</f>
        <v>3250613221935</v>
      </c>
      <c r="J7079" t="s">
        <v>19489</v>
      </c>
    </row>
    <row r="7080" spans="1:10" x14ac:dyDescent="0.25">
      <c r="A7080" t="s">
        <v>8</v>
      </c>
      <c r="B7080" t="s">
        <v>19490</v>
      </c>
      <c r="C7080" t="s">
        <v>19491</v>
      </c>
      <c r="D7080">
        <v>1</v>
      </c>
      <c r="E7080" t="s">
        <v>19374</v>
      </c>
      <c r="F7080" t="s">
        <v>19375</v>
      </c>
      <c r="G7080" s="1"/>
      <c r="H7080" t="str">
        <f>"3250613221942"</f>
        <v>3250613221942</v>
      </c>
      <c r="J7080" t="s">
        <v>19489</v>
      </c>
    </row>
    <row r="7081" spans="1:10" x14ac:dyDescent="0.25">
      <c r="A7081" t="s">
        <v>8</v>
      </c>
      <c r="B7081" t="s">
        <v>19492</v>
      </c>
      <c r="C7081" t="s">
        <v>19493</v>
      </c>
      <c r="D7081">
        <v>1</v>
      </c>
      <c r="E7081" t="s">
        <v>19374</v>
      </c>
      <c r="F7081" t="s">
        <v>19375</v>
      </c>
      <c r="G7081" s="1"/>
      <c r="H7081" t="str">
        <f>"3250613221959"</f>
        <v>3250613221959</v>
      </c>
      <c r="J7081" t="s">
        <v>19494</v>
      </c>
    </row>
    <row r="7082" spans="1:10" x14ac:dyDescent="0.25">
      <c r="A7082" t="s">
        <v>8</v>
      </c>
      <c r="B7082" t="s">
        <v>19495</v>
      </c>
      <c r="C7082" t="s">
        <v>19496</v>
      </c>
      <c r="D7082">
        <v>1</v>
      </c>
      <c r="E7082" t="s">
        <v>19374</v>
      </c>
      <c r="F7082" t="s">
        <v>19375</v>
      </c>
      <c r="G7082" s="1"/>
      <c r="H7082" t="str">
        <f>"3250613221966"</f>
        <v>3250613221966</v>
      </c>
      <c r="J7082" t="s">
        <v>19494</v>
      </c>
    </row>
    <row r="7083" spans="1:10" x14ac:dyDescent="0.25">
      <c r="A7083" t="s">
        <v>8</v>
      </c>
      <c r="B7083" t="s">
        <v>19497</v>
      </c>
      <c r="C7083" t="s">
        <v>19498</v>
      </c>
      <c r="D7083">
        <v>1</v>
      </c>
      <c r="E7083" t="s">
        <v>19374</v>
      </c>
      <c r="F7083" t="s">
        <v>19375</v>
      </c>
      <c r="G7083" s="1"/>
      <c r="H7083" t="str">
        <f>"3250613222055"</f>
        <v>3250613222055</v>
      </c>
      <c r="J7083" t="s">
        <v>19430</v>
      </c>
    </row>
    <row r="7084" spans="1:10" x14ac:dyDescent="0.25">
      <c r="A7084" t="s">
        <v>8</v>
      </c>
      <c r="B7084" t="s">
        <v>19499</v>
      </c>
      <c r="C7084" t="s">
        <v>19500</v>
      </c>
      <c r="D7084">
        <v>1</v>
      </c>
      <c r="E7084" t="s">
        <v>19374</v>
      </c>
      <c r="F7084" t="s">
        <v>19375</v>
      </c>
      <c r="G7084" s="1"/>
      <c r="H7084" t="str">
        <f>"3250613222062"</f>
        <v>3250613222062</v>
      </c>
      <c r="J7084" t="s">
        <v>19430</v>
      </c>
    </row>
    <row r="7085" spans="1:10" x14ac:dyDescent="0.25">
      <c r="A7085" t="s">
        <v>8</v>
      </c>
      <c r="B7085" t="s">
        <v>19501</v>
      </c>
      <c r="C7085" t="s">
        <v>19502</v>
      </c>
      <c r="D7085">
        <v>1</v>
      </c>
      <c r="E7085" t="s">
        <v>19374</v>
      </c>
      <c r="F7085" t="s">
        <v>19375</v>
      </c>
      <c r="G7085" s="1"/>
      <c r="H7085" t="str">
        <f>"3250613222079"</f>
        <v>3250613222079</v>
      </c>
      <c r="J7085" t="s">
        <v>19439</v>
      </c>
    </row>
    <row r="7086" spans="1:10" x14ac:dyDescent="0.25">
      <c r="A7086" t="s">
        <v>8</v>
      </c>
      <c r="B7086" t="s">
        <v>19503</v>
      </c>
      <c r="C7086" t="s">
        <v>19504</v>
      </c>
      <c r="D7086">
        <v>1</v>
      </c>
      <c r="E7086" t="s">
        <v>19374</v>
      </c>
      <c r="F7086" t="s">
        <v>19375</v>
      </c>
      <c r="G7086" s="1"/>
      <c r="H7086" t="str">
        <f>"3250613222086"</f>
        <v>3250613222086</v>
      </c>
      <c r="J7086" t="s">
        <v>19439</v>
      </c>
    </row>
    <row r="7087" spans="1:10" x14ac:dyDescent="0.25">
      <c r="A7087" t="s">
        <v>8</v>
      </c>
      <c r="B7087" t="s">
        <v>19505</v>
      </c>
      <c r="C7087" t="s">
        <v>19506</v>
      </c>
      <c r="D7087">
        <v>1</v>
      </c>
      <c r="E7087" t="s">
        <v>19374</v>
      </c>
      <c r="F7087" t="s">
        <v>19375</v>
      </c>
      <c r="G7087" s="1"/>
      <c r="H7087" t="str">
        <f>"3250613222093"</f>
        <v>3250613222093</v>
      </c>
      <c r="J7087" t="s">
        <v>19448</v>
      </c>
    </row>
    <row r="7088" spans="1:10" x14ac:dyDescent="0.25">
      <c r="A7088" t="s">
        <v>8</v>
      </c>
      <c r="B7088" t="s">
        <v>19507</v>
      </c>
      <c r="C7088" t="s">
        <v>19508</v>
      </c>
      <c r="D7088">
        <v>1</v>
      </c>
      <c r="E7088" t="s">
        <v>19374</v>
      </c>
      <c r="F7088" t="s">
        <v>19375</v>
      </c>
      <c r="G7088" s="1"/>
      <c r="H7088" t="str">
        <f>"3250613222109"</f>
        <v>3250613222109</v>
      </c>
      <c r="J7088" t="s">
        <v>19448</v>
      </c>
    </row>
    <row r="7089" spans="1:10" x14ac:dyDescent="0.25">
      <c r="A7089" t="s">
        <v>8</v>
      </c>
      <c r="B7089" t="s">
        <v>19509</v>
      </c>
      <c r="C7089" t="s">
        <v>19510</v>
      </c>
      <c r="D7089">
        <v>1</v>
      </c>
      <c r="E7089" t="s">
        <v>19374</v>
      </c>
      <c r="F7089" t="s">
        <v>19375</v>
      </c>
      <c r="G7089" s="1"/>
      <c r="H7089" t="str">
        <f>"3250610031445"</f>
        <v>3250610031445</v>
      </c>
      <c r="J7089" t="s">
        <v>19511</v>
      </c>
    </row>
    <row r="7090" spans="1:10" x14ac:dyDescent="0.25">
      <c r="A7090" t="s">
        <v>8</v>
      </c>
      <c r="B7090" t="s">
        <v>19512</v>
      </c>
      <c r="C7090" t="s">
        <v>19513</v>
      </c>
      <c r="D7090">
        <v>1</v>
      </c>
      <c r="E7090" t="s">
        <v>19374</v>
      </c>
      <c r="F7090" t="s">
        <v>19375</v>
      </c>
      <c r="G7090" s="1"/>
      <c r="H7090" t="str">
        <f>"3250610031452"</f>
        <v>3250610031452</v>
      </c>
      <c r="J7090" t="s">
        <v>19514</v>
      </c>
    </row>
    <row r="7091" spans="1:10" x14ac:dyDescent="0.25">
      <c r="A7091" t="s">
        <v>8</v>
      </c>
      <c r="B7091" t="s">
        <v>19515</v>
      </c>
      <c r="C7091" t="s">
        <v>19516</v>
      </c>
      <c r="D7091">
        <v>1</v>
      </c>
      <c r="E7091" t="s">
        <v>19374</v>
      </c>
      <c r="F7091" t="s">
        <v>19375</v>
      </c>
      <c r="G7091" s="1"/>
      <c r="H7091" t="str">
        <f>"3250610030684"</f>
        <v>3250610030684</v>
      </c>
      <c r="J7091" t="s">
        <v>19517</v>
      </c>
    </row>
    <row r="7092" spans="1:10" x14ac:dyDescent="0.25">
      <c r="A7092" t="s">
        <v>8</v>
      </c>
      <c r="B7092" t="s">
        <v>19518</v>
      </c>
      <c r="C7092" t="s">
        <v>19519</v>
      </c>
      <c r="D7092">
        <v>1</v>
      </c>
      <c r="E7092" t="s">
        <v>19374</v>
      </c>
      <c r="F7092" t="s">
        <v>19375</v>
      </c>
      <c r="G7092" s="1"/>
      <c r="H7092" t="str">
        <f>"3250610030691"</f>
        <v>3250610030691</v>
      </c>
      <c r="J7092" t="s">
        <v>19517</v>
      </c>
    </row>
    <row r="7093" spans="1:10" x14ac:dyDescent="0.25">
      <c r="A7093" t="s">
        <v>8</v>
      </c>
      <c r="B7093" t="s">
        <v>19520</v>
      </c>
      <c r="C7093" t="s">
        <v>19521</v>
      </c>
      <c r="D7093">
        <v>1</v>
      </c>
      <c r="E7093" t="s">
        <v>19374</v>
      </c>
      <c r="F7093" t="s">
        <v>19375</v>
      </c>
      <c r="G7093" s="1"/>
      <c r="H7093" t="str">
        <f>"3250610030707"</f>
        <v>3250610030707</v>
      </c>
      <c r="J7093" t="s">
        <v>19522</v>
      </c>
    </row>
    <row r="7094" spans="1:10" x14ac:dyDescent="0.25">
      <c r="A7094" t="s">
        <v>8</v>
      </c>
      <c r="B7094" t="s">
        <v>19523</v>
      </c>
      <c r="C7094" t="s">
        <v>19524</v>
      </c>
      <c r="D7094">
        <v>1</v>
      </c>
      <c r="E7094" t="s">
        <v>19374</v>
      </c>
      <c r="F7094" t="s">
        <v>19375</v>
      </c>
      <c r="G7094" s="1"/>
      <c r="H7094" t="str">
        <f>"3250610030714"</f>
        <v>3250610030714</v>
      </c>
      <c r="J7094" t="s">
        <v>19522</v>
      </c>
    </row>
    <row r="7095" spans="1:10" x14ac:dyDescent="0.25">
      <c r="A7095" t="s">
        <v>8</v>
      </c>
      <c r="B7095" t="s">
        <v>19525</v>
      </c>
      <c r="C7095" t="s">
        <v>19526</v>
      </c>
      <c r="D7095">
        <v>1</v>
      </c>
      <c r="E7095" t="s">
        <v>19374</v>
      </c>
      <c r="F7095" t="s">
        <v>19375</v>
      </c>
      <c r="G7095" s="1"/>
      <c r="H7095" t="str">
        <f>"3250610030721"</f>
        <v>3250610030721</v>
      </c>
      <c r="J7095" t="s">
        <v>19527</v>
      </c>
    </row>
    <row r="7096" spans="1:10" x14ac:dyDescent="0.25">
      <c r="A7096" t="s">
        <v>8</v>
      </c>
      <c r="B7096" t="s">
        <v>19528</v>
      </c>
      <c r="C7096" t="s">
        <v>19510</v>
      </c>
      <c r="D7096">
        <v>1</v>
      </c>
      <c r="E7096" t="s">
        <v>19374</v>
      </c>
      <c r="F7096" t="s">
        <v>19375</v>
      </c>
      <c r="G7096" s="1"/>
      <c r="H7096" t="str">
        <f>"3250610030738"</f>
        <v>3250610030738</v>
      </c>
      <c r="J7096" t="s">
        <v>19527</v>
      </c>
    </row>
    <row r="7097" spans="1:10" x14ac:dyDescent="0.25">
      <c r="A7097" t="s">
        <v>8</v>
      </c>
      <c r="B7097" t="s">
        <v>19529</v>
      </c>
      <c r="C7097" t="s">
        <v>19530</v>
      </c>
      <c r="D7097">
        <v>1</v>
      </c>
      <c r="E7097" t="s">
        <v>19374</v>
      </c>
      <c r="F7097" t="s">
        <v>19375</v>
      </c>
      <c r="G7097" s="1"/>
      <c r="H7097" t="str">
        <f>"3250610030820"</f>
        <v>3250610030820</v>
      </c>
      <c r="J7097" t="s">
        <v>19531</v>
      </c>
    </row>
    <row r="7098" spans="1:10" x14ac:dyDescent="0.25">
      <c r="A7098" t="s">
        <v>8</v>
      </c>
      <c r="B7098" t="s">
        <v>19532</v>
      </c>
      <c r="C7098" t="s">
        <v>19533</v>
      </c>
      <c r="D7098">
        <v>1</v>
      </c>
      <c r="E7098" t="s">
        <v>19374</v>
      </c>
      <c r="F7098" t="s">
        <v>19375</v>
      </c>
      <c r="G7098" s="1"/>
      <c r="H7098" t="str">
        <f>"3250610030837"</f>
        <v>3250610030837</v>
      </c>
      <c r="J7098" t="s">
        <v>19531</v>
      </c>
    </row>
    <row r="7099" spans="1:10" x14ac:dyDescent="0.25">
      <c r="A7099" t="s">
        <v>8</v>
      </c>
      <c r="B7099" t="s">
        <v>19534</v>
      </c>
      <c r="C7099" t="s">
        <v>19535</v>
      </c>
      <c r="D7099">
        <v>1</v>
      </c>
      <c r="E7099" t="s">
        <v>19374</v>
      </c>
      <c r="F7099" t="s">
        <v>19375</v>
      </c>
      <c r="G7099" s="1"/>
      <c r="H7099" t="str">
        <f>"3250610030844"</f>
        <v>3250610030844</v>
      </c>
      <c r="J7099" t="s">
        <v>19536</v>
      </c>
    </row>
    <row r="7100" spans="1:10" x14ac:dyDescent="0.25">
      <c r="A7100" t="s">
        <v>8</v>
      </c>
      <c r="B7100" t="s">
        <v>19537</v>
      </c>
      <c r="C7100" t="s">
        <v>19538</v>
      </c>
      <c r="D7100">
        <v>1</v>
      </c>
      <c r="E7100" t="s">
        <v>19374</v>
      </c>
      <c r="F7100" t="s">
        <v>19375</v>
      </c>
      <c r="G7100" s="1"/>
      <c r="H7100" t="str">
        <f>"3250610030851"</f>
        <v>3250610030851</v>
      </c>
      <c r="J7100" t="s">
        <v>19536</v>
      </c>
    </row>
    <row r="7101" spans="1:10" x14ac:dyDescent="0.25">
      <c r="A7101" t="s">
        <v>8</v>
      </c>
      <c r="B7101" t="s">
        <v>19539</v>
      </c>
      <c r="C7101" t="s">
        <v>19540</v>
      </c>
      <c r="D7101">
        <v>1</v>
      </c>
      <c r="E7101" t="s">
        <v>19374</v>
      </c>
      <c r="F7101" t="s">
        <v>19375</v>
      </c>
      <c r="G7101" s="1"/>
      <c r="H7101" t="str">
        <f>"3250610030868"</f>
        <v>3250610030868</v>
      </c>
      <c r="J7101" t="s">
        <v>19541</v>
      </c>
    </row>
    <row r="7102" spans="1:10" x14ac:dyDescent="0.25">
      <c r="A7102" t="s">
        <v>8</v>
      </c>
      <c r="B7102" t="s">
        <v>19542</v>
      </c>
      <c r="C7102" t="s">
        <v>19513</v>
      </c>
      <c r="D7102">
        <v>1</v>
      </c>
      <c r="E7102" t="s">
        <v>19374</v>
      </c>
      <c r="F7102" t="s">
        <v>19375</v>
      </c>
      <c r="G7102" s="1"/>
      <c r="H7102" t="str">
        <f>"3250610030875"</f>
        <v>3250610030875</v>
      </c>
      <c r="J7102" t="s">
        <v>19541</v>
      </c>
    </row>
    <row r="7103" spans="1:10" x14ac:dyDescent="0.25">
      <c r="A7103" t="s">
        <v>8</v>
      </c>
      <c r="B7103" t="s">
        <v>19543</v>
      </c>
      <c r="C7103" t="s">
        <v>19544</v>
      </c>
      <c r="D7103">
        <v>1</v>
      </c>
      <c r="E7103" t="s">
        <v>19374</v>
      </c>
      <c r="F7103" t="s">
        <v>19375</v>
      </c>
      <c r="G7103" s="1"/>
      <c r="H7103" t="str">
        <f>"3250610030967"</f>
        <v>3250610030967</v>
      </c>
      <c r="J7103" t="s">
        <v>19545</v>
      </c>
    </row>
    <row r="7104" spans="1:10" x14ac:dyDescent="0.25">
      <c r="A7104" t="s">
        <v>8</v>
      </c>
      <c r="B7104" t="s">
        <v>19546</v>
      </c>
      <c r="C7104" t="s">
        <v>19547</v>
      </c>
      <c r="D7104">
        <v>1</v>
      </c>
      <c r="E7104" t="s">
        <v>19374</v>
      </c>
      <c r="F7104" t="s">
        <v>19375</v>
      </c>
      <c r="G7104" s="1"/>
      <c r="H7104" t="str">
        <f>"3250610030974"</f>
        <v>3250610030974</v>
      </c>
      <c r="J7104" t="s">
        <v>19545</v>
      </c>
    </row>
    <row r="7105" spans="1:10" x14ac:dyDescent="0.25">
      <c r="A7105" t="s">
        <v>8</v>
      </c>
      <c r="B7105" t="s">
        <v>19548</v>
      </c>
      <c r="C7105" t="s">
        <v>19549</v>
      </c>
      <c r="D7105">
        <v>1</v>
      </c>
      <c r="E7105" t="s">
        <v>19374</v>
      </c>
      <c r="F7105" t="s">
        <v>19375</v>
      </c>
      <c r="G7105" s="1"/>
      <c r="H7105" t="str">
        <f>"3250610030981"</f>
        <v>3250610030981</v>
      </c>
      <c r="J7105" t="s">
        <v>19550</v>
      </c>
    </row>
    <row r="7106" spans="1:10" x14ac:dyDescent="0.25">
      <c r="A7106" t="s">
        <v>8</v>
      </c>
      <c r="B7106" t="s">
        <v>19551</v>
      </c>
      <c r="C7106" t="s">
        <v>19552</v>
      </c>
      <c r="D7106">
        <v>1</v>
      </c>
      <c r="E7106" t="s">
        <v>19374</v>
      </c>
      <c r="F7106" t="s">
        <v>19375</v>
      </c>
      <c r="G7106" s="1"/>
      <c r="H7106" t="str">
        <f>"3250610030998"</f>
        <v>3250610030998</v>
      </c>
      <c r="J7106" t="s">
        <v>19550</v>
      </c>
    </row>
    <row r="7107" spans="1:10" x14ac:dyDescent="0.25">
      <c r="A7107" t="s">
        <v>8</v>
      </c>
      <c r="B7107" t="s">
        <v>19553</v>
      </c>
      <c r="C7107" t="s">
        <v>19554</v>
      </c>
      <c r="D7107">
        <v>1</v>
      </c>
      <c r="E7107" t="s">
        <v>19374</v>
      </c>
      <c r="F7107" t="s">
        <v>19375</v>
      </c>
      <c r="G7107" s="1"/>
      <c r="H7107" t="str">
        <f>"3250610031001"</f>
        <v>3250610031001</v>
      </c>
      <c r="J7107" t="s">
        <v>19555</v>
      </c>
    </row>
    <row r="7108" spans="1:10" x14ac:dyDescent="0.25">
      <c r="A7108" t="s">
        <v>8</v>
      </c>
      <c r="B7108" t="s">
        <v>19556</v>
      </c>
      <c r="C7108" t="s">
        <v>19557</v>
      </c>
      <c r="D7108">
        <v>1</v>
      </c>
      <c r="E7108" t="s">
        <v>19374</v>
      </c>
      <c r="F7108" t="s">
        <v>19375</v>
      </c>
      <c r="G7108" s="1"/>
      <c r="H7108" t="str">
        <f>"3250610031018"</f>
        <v>3250610031018</v>
      </c>
      <c r="J7108" t="s">
        <v>19555</v>
      </c>
    </row>
    <row r="7109" spans="1:10" x14ac:dyDescent="0.25">
      <c r="A7109" t="s">
        <v>8</v>
      </c>
      <c r="B7109" t="s">
        <v>19558</v>
      </c>
      <c r="C7109" t="s">
        <v>19559</v>
      </c>
      <c r="D7109">
        <v>1</v>
      </c>
      <c r="E7109" t="s">
        <v>19374</v>
      </c>
      <c r="F7109" t="s">
        <v>19375</v>
      </c>
      <c r="G7109" s="1"/>
      <c r="H7109" t="str">
        <f>"3250610031100"</f>
        <v>3250610031100</v>
      </c>
      <c r="J7109" t="s">
        <v>19560</v>
      </c>
    </row>
    <row r="7110" spans="1:10" x14ac:dyDescent="0.25">
      <c r="A7110" t="s">
        <v>8</v>
      </c>
      <c r="B7110" t="s">
        <v>19561</v>
      </c>
      <c r="C7110" t="s">
        <v>19562</v>
      </c>
      <c r="D7110">
        <v>1</v>
      </c>
      <c r="E7110" t="s">
        <v>19374</v>
      </c>
      <c r="F7110" t="s">
        <v>19375</v>
      </c>
      <c r="G7110" s="1"/>
      <c r="H7110" t="str">
        <f>"3250610031117"</f>
        <v>3250610031117</v>
      </c>
      <c r="J7110" t="s">
        <v>19560</v>
      </c>
    </row>
    <row r="7111" spans="1:10" x14ac:dyDescent="0.25">
      <c r="A7111" t="s">
        <v>8</v>
      </c>
      <c r="B7111" t="s">
        <v>19563</v>
      </c>
      <c r="C7111" t="s">
        <v>19564</v>
      </c>
      <c r="D7111">
        <v>1</v>
      </c>
      <c r="E7111" t="s">
        <v>19374</v>
      </c>
      <c r="F7111" t="s">
        <v>19375</v>
      </c>
      <c r="G7111" s="1"/>
      <c r="H7111" t="str">
        <f>"3250610031124"</f>
        <v>3250610031124</v>
      </c>
      <c r="J7111" t="s">
        <v>19565</v>
      </c>
    </row>
    <row r="7112" spans="1:10" x14ac:dyDescent="0.25">
      <c r="A7112" t="s">
        <v>8</v>
      </c>
      <c r="B7112" t="s">
        <v>19566</v>
      </c>
      <c r="C7112" t="s">
        <v>19567</v>
      </c>
      <c r="D7112">
        <v>1</v>
      </c>
      <c r="E7112" t="s">
        <v>19374</v>
      </c>
      <c r="F7112" t="s">
        <v>19375</v>
      </c>
      <c r="G7112" s="1"/>
      <c r="H7112" t="str">
        <f>"3250610031131"</f>
        <v>3250610031131</v>
      </c>
      <c r="J7112" t="s">
        <v>19565</v>
      </c>
    </row>
    <row r="7113" spans="1:10" x14ac:dyDescent="0.25">
      <c r="A7113" t="s">
        <v>8</v>
      </c>
      <c r="B7113" t="s">
        <v>19568</v>
      </c>
      <c r="C7113" t="s">
        <v>19569</v>
      </c>
      <c r="D7113">
        <v>1</v>
      </c>
      <c r="E7113" t="s">
        <v>19374</v>
      </c>
      <c r="F7113" t="s">
        <v>19375</v>
      </c>
      <c r="G7113" s="1"/>
      <c r="H7113" t="str">
        <f>"3250610031148"</f>
        <v>3250610031148</v>
      </c>
      <c r="J7113" t="s">
        <v>19570</v>
      </c>
    </row>
    <row r="7114" spans="1:10" x14ac:dyDescent="0.25">
      <c r="A7114" t="s">
        <v>8</v>
      </c>
      <c r="B7114" t="s">
        <v>19571</v>
      </c>
      <c r="C7114" t="s">
        <v>19572</v>
      </c>
      <c r="D7114">
        <v>1</v>
      </c>
      <c r="E7114" t="s">
        <v>19374</v>
      </c>
      <c r="F7114" t="s">
        <v>19375</v>
      </c>
      <c r="G7114" s="1"/>
      <c r="H7114" t="str">
        <f>"3250610031155"</f>
        <v>3250610031155</v>
      </c>
      <c r="J7114" t="s">
        <v>19570</v>
      </c>
    </row>
    <row r="7115" spans="1:10" x14ac:dyDescent="0.25">
      <c r="A7115" t="s">
        <v>8</v>
      </c>
      <c r="B7115" t="s">
        <v>19573</v>
      </c>
      <c r="C7115" t="s">
        <v>19574</v>
      </c>
      <c r="D7115">
        <v>1</v>
      </c>
      <c r="E7115" t="s">
        <v>19374</v>
      </c>
      <c r="F7115" t="s">
        <v>19375</v>
      </c>
      <c r="G7115" s="1"/>
      <c r="H7115" t="str">
        <f>"3250610031209"</f>
        <v>3250610031209</v>
      </c>
      <c r="J7115" t="s">
        <v>19575</v>
      </c>
    </row>
    <row r="7116" spans="1:10" x14ac:dyDescent="0.25">
      <c r="A7116" t="s">
        <v>8</v>
      </c>
      <c r="B7116" t="s">
        <v>19576</v>
      </c>
      <c r="C7116" t="s">
        <v>19577</v>
      </c>
      <c r="D7116">
        <v>1</v>
      </c>
      <c r="E7116" t="s">
        <v>19374</v>
      </c>
      <c r="F7116" t="s">
        <v>19375</v>
      </c>
      <c r="G7116" s="1"/>
      <c r="H7116" t="str">
        <f>"3250610031216"</f>
        <v>3250610031216</v>
      </c>
      <c r="J7116" t="s">
        <v>19578</v>
      </c>
    </row>
    <row r="7117" spans="1:10" x14ac:dyDescent="0.25">
      <c r="A7117" t="s">
        <v>8</v>
      </c>
      <c r="B7117" t="s">
        <v>19579</v>
      </c>
      <c r="C7117" t="s">
        <v>19580</v>
      </c>
      <c r="D7117">
        <v>1</v>
      </c>
      <c r="E7117" t="s">
        <v>19374</v>
      </c>
      <c r="F7117" t="s">
        <v>19375</v>
      </c>
      <c r="G7117" s="1"/>
      <c r="H7117" t="str">
        <f>"3250610031223"</f>
        <v>3250610031223</v>
      </c>
      <c r="J7117" t="s">
        <v>19581</v>
      </c>
    </row>
    <row r="7118" spans="1:10" x14ac:dyDescent="0.25">
      <c r="A7118" t="s">
        <v>8</v>
      </c>
      <c r="B7118" t="s">
        <v>19582</v>
      </c>
      <c r="C7118" t="s">
        <v>19583</v>
      </c>
      <c r="D7118">
        <v>1</v>
      </c>
      <c r="E7118" t="s">
        <v>19374</v>
      </c>
      <c r="F7118" t="s">
        <v>19375</v>
      </c>
      <c r="G7118" s="1"/>
      <c r="H7118" t="str">
        <f>"3250610031278"</f>
        <v>3250610031278</v>
      </c>
      <c r="J7118" t="s">
        <v>19545</v>
      </c>
    </row>
    <row r="7119" spans="1:10" x14ac:dyDescent="0.25">
      <c r="A7119" t="s">
        <v>8</v>
      </c>
      <c r="B7119" t="s">
        <v>19584</v>
      </c>
      <c r="C7119" t="s">
        <v>19585</v>
      </c>
      <c r="D7119">
        <v>1</v>
      </c>
      <c r="E7119" t="s">
        <v>19374</v>
      </c>
      <c r="F7119" t="s">
        <v>19375</v>
      </c>
      <c r="G7119" s="1"/>
      <c r="H7119" t="str">
        <f>"3250610031285"</f>
        <v>3250610031285</v>
      </c>
      <c r="J7119" t="s">
        <v>19550</v>
      </c>
    </row>
    <row r="7120" spans="1:10" x14ac:dyDescent="0.25">
      <c r="A7120" t="s">
        <v>8</v>
      </c>
      <c r="B7120" t="s">
        <v>19586</v>
      </c>
      <c r="C7120" t="s">
        <v>19587</v>
      </c>
      <c r="D7120">
        <v>1</v>
      </c>
      <c r="E7120" t="s">
        <v>19374</v>
      </c>
      <c r="F7120" t="s">
        <v>19375</v>
      </c>
      <c r="G7120" s="1"/>
      <c r="H7120" t="str">
        <f>"3250610031292"</f>
        <v>3250610031292</v>
      </c>
      <c r="J7120" t="s">
        <v>19555</v>
      </c>
    </row>
    <row r="7121" spans="1:10" x14ac:dyDescent="0.25">
      <c r="A7121" t="s">
        <v>8</v>
      </c>
      <c r="B7121" t="s">
        <v>19588</v>
      </c>
      <c r="C7121" t="s">
        <v>19589</v>
      </c>
      <c r="D7121">
        <v>1</v>
      </c>
      <c r="E7121" t="s">
        <v>19590</v>
      </c>
      <c r="F7121" t="s">
        <v>19591</v>
      </c>
      <c r="G7121" s="1"/>
      <c r="H7121" t="str">
        <f>"3250617201353"</f>
        <v>3250617201353</v>
      </c>
      <c r="J7121" t="s">
        <v>11407</v>
      </c>
    </row>
    <row r="7122" spans="1:10" x14ac:dyDescent="0.25">
      <c r="A7122" t="s">
        <v>8</v>
      </c>
      <c r="B7122" t="s">
        <v>19592</v>
      </c>
      <c r="C7122" t="s">
        <v>19593</v>
      </c>
      <c r="D7122">
        <v>1</v>
      </c>
      <c r="E7122" t="s">
        <v>19590</v>
      </c>
      <c r="F7122" t="s">
        <v>19591</v>
      </c>
      <c r="G7122" s="1"/>
      <c r="H7122" t="str">
        <f>"3250617201360"</f>
        <v>3250617201360</v>
      </c>
      <c r="J7122" t="s">
        <v>19594</v>
      </c>
    </row>
    <row r="7123" spans="1:10" x14ac:dyDescent="0.25">
      <c r="A7123" t="s">
        <v>8</v>
      </c>
      <c r="B7123" t="s">
        <v>19595</v>
      </c>
      <c r="C7123" t="s">
        <v>19596</v>
      </c>
      <c r="D7123">
        <v>1</v>
      </c>
      <c r="E7123" t="s">
        <v>19590</v>
      </c>
      <c r="F7123" t="s">
        <v>19591</v>
      </c>
      <c r="G7123" s="1"/>
      <c r="H7123" t="str">
        <f>"3250617201377"</f>
        <v>3250617201377</v>
      </c>
      <c r="J7123" t="s">
        <v>15532</v>
      </c>
    </row>
    <row r="7124" spans="1:10" x14ac:dyDescent="0.25">
      <c r="A7124" t="s">
        <v>8</v>
      </c>
      <c r="B7124" t="s">
        <v>19597</v>
      </c>
      <c r="C7124" t="s">
        <v>19598</v>
      </c>
      <c r="D7124">
        <v>1</v>
      </c>
      <c r="E7124" t="s">
        <v>19590</v>
      </c>
      <c r="F7124" t="s">
        <v>19591</v>
      </c>
      <c r="G7124" s="1"/>
      <c r="H7124" t="str">
        <f>"3250617201384"</f>
        <v>3250617201384</v>
      </c>
      <c r="J7124" t="s">
        <v>19599</v>
      </c>
    </row>
    <row r="7125" spans="1:10" x14ac:dyDescent="0.25">
      <c r="A7125" t="s">
        <v>8</v>
      </c>
      <c r="B7125" t="s">
        <v>19600</v>
      </c>
      <c r="C7125" t="s">
        <v>19601</v>
      </c>
      <c r="D7125">
        <v>1</v>
      </c>
      <c r="E7125" t="s">
        <v>19590</v>
      </c>
      <c r="F7125" t="s">
        <v>19591</v>
      </c>
      <c r="G7125" s="1"/>
      <c r="H7125" t="str">
        <f>"3250617201391"</f>
        <v>3250617201391</v>
      </c>
      <c r="J7125" t="s">
        <v>19602</v>
      </c>
    </row>
    <row r="7126" spans="1:10" x14ac:dyDescent="0.25">
      <c r="A7126" t="s">
        <v>8</v>
      </c>
      <c r="B7126" t="s">
        <v>19603</v>
      </c>
      <c r="C7126" t="s">
        <v>19604</v>
      </c>
      <c r="D7126">
        <v>1</v>
      </c>
      <c r="E7126" t="s">
        <v>19605</v>
      </c>
      <c r="F7126" t="s">
        <v>19606</v>
      </c>
      <c r="G7126" s="1"/>
      <c r="H7126" t="str">
        <f>"3250610002285"</f>
        <v>3250610002285</v>
      </c>
      <c r="J7126" t="s">
        <v>19607</v>
      </c>
    </row>
    <row r="7127" spans="1:10" x14ac:dyDescent="0.25">
      <c r="A7127" t="s">
        <v>8</v>
      </c>
      <c r="B7127" t="s">
        <v>19608</v>
      </c>
      <c r="C7127" t="s">
        <v>19609</v>
      </c>
      <c r="D7127">
        <v>1</v>
      </c>
      <c r="E7127" t="s">
        <v>19605</v>
      </c>
      <c r="F7127" t="s">
        <v>19606</v>
      </c>
      <c r="G7127" s="1"/>
      <c r="H7127" t="str">
        <f>"3250610002292"</f>
        <v>3250610002292</v>
      </c>
      <c r="J7127" t="s">
        <v>19610</v>
      </c>
    </row>
    <row r="7128" spans="1:10" x14ac:dyDescent="0.25">
      <c r="A7128" t="s">
        <v>8</v>
      </c>
      <c r="B7128" t="s">
        <v>19611</v>
      </c>
      <c r="C7128" t="s">
        <v>19612</v>
      </c>
      <c r="D7128">
        <v>1</v>
      </c>
      <c r="E7128" t="s">
        <v>19613</v>
      </c>
      <c r="F7128" t="s">
        <v>19606</v>
      </c>
      <c r="G7128" s="1"/>
      <c r="H7128" t="str">
        <f>"3250610002216"</f>
        <v>3250610002216</v>
      </c>
      <c r="J7128" t="s">
        <v>19614</v>
      </c>
    </row>
    <row r="7129" spans="1:10" x14ac:dyDescent="0.25">
      <c r="A7129" t="s">
        <v>8</v>
      </c>
      <c r="B7129" t="s">
        <v>19615</v>
      </c>
      <c r="C7129" t="s">
        <v>19616</v>
      </c>
      <c r="D7129">
        <v>1</v>
      </c>
      <c r="E7129" t="s">
        <v>19613</v>
      </c>
      <c r="F7129" t="s">
        <v>19606</v>
      </c>
      <c r="G7129" s="1"/>
      <c r="H7129" t="str">
        <f>"3250610002223"</f>
        <v>3250610002223</v>
      </c>
      <c r="J7129" t="s">
        <v>19617</v>
      </c>
    </row>
    <row r="7130" spans="1:10" x14ac:dyDescent="0.25">
      <c r="A7130" t="s">
        <v>8</v>
      </c>
      <c r="B7130" t="s">
        <v>19618</v>
      </c>
      <c r="C7130" t="s">
        <v>19619</v>
      </c>
      <c r="D7130">
        <v>1</v>
      </c>
      <c r="E7130" t="s">
        <v>19613</v>
      </c>
      <c r="F7130" t="s">
        <v>19606</v>
      </c>
      <c r="G7130" s="1"/>
      <c r="H7130" t="str">
        <f>"3250610002230"</f>
        <v>3250610002230</v>
      </c>
      <c r="J7130" t="s">
        <v>19617</v>
      </c>
    </row>
    <row r="7131" spans="1:10" x14ac:dyDescent="0.25">
      <c r="A7131" t="s">
        <v>8</v>
      </c>
      <c r="B7131" t="s">
        <v>19620</v>
      </c>
      <c r="C7131" t="s">
        <v>19621</v>
      </c>
      <c r="D7131">
        <v>1</v>
      </c>
      <c r="E7131" t="s">
        <v>19613</v>
      </c>
      <c r="F7131" t="s">
        <v>19606</v>
      </c>
      <c r="G7131" s="1"/>
      <c r="H7131" t="str">
        <f>"3250610002247"</f>
        <v>3250610002247</v>
      </c>
      <c r="J7131" t="s">
        <v>19617</v>
      </c>
    </row>
    <row r="7132" spans="1:10" x14ac:dyDescent="0.25">
      <c r="A7132" t="s">
        <v>8</v>
      </c>
      <c r="B7132" t="s">
        <v>19622</v>
      </c>
      <c r="C7132" t="s">
        <v>19623</v>
      </c>
      <c r="D7132">
        <v>1</v>
      </c>
      <c r="E7132" t="s">
        <v>19613</v>
      </c>
      <c r="F7132" t="s">
        <v>19606</v>
      </c>
      <c r="G7132" s="1"/>
      <c r="H7132" t="str">
        <f>"3250610002254"</f>
        <v>3250610002254</v>
      </c>
      <c r="J7132" t="s">
        <v>19624</v>
      </c>
    </row>
    <row r="7133" spans="1:10" x14ac:dyDescent="0.25">
      <c r="A7133" t="s">
        <v>8</v>
      </c>
      <c r="B7133" t="s">
        <v>19625</v>
      </c>
      <c r="C7133" t="s">
        <v>19626</v>
      </c>
      <c r="D7133">
        <v>1</v>
      </c>
      <c r="E7133" t="s">
        <v>19613</v>
      </c>
      <c r="F7133" t="s">
        <v>19606</v>
      </c>
      <c r="G7133" s="1"/>
      <c r="H7133" t="str">
        <f>"3250610002261"</f>
        <v>3250610002261</v>
      </c>
      <c r="J7133" t="s">
        <v>19627</v>
      </c>
    </row>
    <row r="7134" spans="1:10" x14ac:dyDescent="0.25">
      <c r="A7134" t="s">
        <v>8</v>
      </c>
      <c r="B7134" t="s">
        <v>19628</v>
      </c>
      <c r="C7134" t="s">
        <v>19629</v>
      </c>
      <c r="D7134">
        <v>1</v>
      </c>
      <c r="E7134" t="s">
        <v>19630</v>
      </c>
      <c r="F7134" t="s">
        <v>19606</v>
      </c>
      <c r="G7134" s="1"/>
      <c r="H7134" t="str">
        <f>"3250610002308"</f>
        <v>3250610002308</v>
      </c>
      <c r="J7134" t="s">
        <v>19631</v>
      </c>
    </row>
    <row r="7135" spans="1:10" x14ac:dyDescent="0.25">
      <c r="A7135" t="s">
        <v>8</v>
      </c>
      <c r="B7135" t="s">
        <v>19632</v>
      </c>
      <c r="C7135" t="s">
        <v>19633</v>
      </c>
      <c r="D7135">
        <v>1</v>
      </c>
      <c r="E7135" t="s">
        <v>19630</v>
      </c>
      <c r="F7135" t="s">
        <v>19606</v>
      </c>
      <c r="G7135" s="1"/>
      <c r="H7135" t="str">
        <f>"3250610002315"</f>
        <v>3250610002315</v>
      </c>
      <c r="J7135" t="s">
        <v>19634</v>
      </c>
    </row>
    <row r="7136" spans="1:10" x14ac:dyDescent="0.25">
      <c r="A7136" t="s">
        <v>8</v>
      </c>
      <c r="B7136" t="s">
        <v>19635</v>
      </c>
      <c r="C7136" t="s">
        <v>19636</v>
      </c>
      <c r="D7136">
        <v>1</v>
      </c>
      <c r="E7136" t="s">
        <v>19630</v>
      </c>
      <c r="F7136" t="s">
        <v>19606</v>
      </c>
      <c r="G7136" s="1"/>
      <c r="H7136" t="str">
        <f>"3250610002322"</f>
        <v>3250610002322</v>
      </c>
      <c r="J7136" t="s">
        <v>19637</v>
      </c>
    </row>
    <row r="7137" spans="1:10" x14ac:dyDescent="0.25">
      <c r="A7137" t="s">
        <v>8</v>
      </c>
      <c r="B7137" t="s">
        <v>19638</v>
      </c>
      <c r="C7137" t="s">
        <v>19639</v>
      </c>
      <c r="D7137">
        <v>1</v>
      </c>
      <c r="E7137" t="s">
        <v>19630</v>
      </c>
      <c r="F7137" t="s">
        <v>19606</v>
      </c>
      <c r="G7137" s="1"/>
      <c r="H7137" t="str">
        <f>"3250610002339"</f>
        <v>3250610002339</v>
      </c>
      <c r="J7137" t="s">
        <v>19640</v>
      </c>
    </row>
    <row r="7138" spans="1:10" x14ac:dyDescent="0.25">
      <c r="A7138" t="s">
        <v>8</v>
      </c>
      <c r="B7138" t="s">
        <v>19641</v>
      </c>
      <c r="C7138" t="s">
        <v>19642</v>
      </c>
      <c r="D7138">
        <v>1</v>
      </c>
      <c r="E7138" t="s">
        <v>19643</v>
      </c>
      <c r="F7138" t="s">
        <v>19644</v>
      </c>
      <c r="G7138" s="1"/>
      <c r="H7138" t="str">
        <f>"3250610001424"</f>
        <v>3250610001424</v>
      </c>
      <c r="J7138" t="s">
        <v>19645</v>
      </c>
    </row>
    <row r="7139" spans="1:10" x14ac:dyDescent="0.25">
      <c r="A7139" t="s">
        <v>8</v>
      </c>
      <c r="B7139" t="s">
        <v>19646</v>
      </c>
      <c r="C7139" t="s">
        <v>19647</v>
      </c>
      <c r="D7139">
        <v>1</v>
      </c>
      <c r="E7139" t="s">
        <v>19643</v>
      </c>
      <c r="F7139" t="s">
        <v>19644</v>
      </c>
      <c r="G7139" s="1"/>
      <c r="H7139" t="str">
        <f>"3250610001394"</f>
        <v>3250610001394</v>
      </c>
      <c r="J7139" t="s">
        <v>19648</v>
      </c>
    </row>
    <row r="7140" spans="1:10" x14ac:dyDescent="0.25">
      <c r="A7140" t="s">
        <v>8</v>
      </c>
      <c r="B7140" t="s">
        <v>19649</v>
      </c>
      <c r="C7140" t="s">
        <v>19650</v>
      </c>
      <c r="D7140">
        <v>1</v>
      </c>
      <c r="E7140" t="s">
        <v>19643</v>
      </c>
      <c r="F7140" t="s">
        <v>19644</v>
      </c>
      <c r="G7140" s="1"/>
      <c r="H7140" t="str">
        <f>"3250610015247"</f>
        <v>3250610015247</v>
      </c>
      <c r="J7140" t="s">
        <v>19651</v>
      </c>
    </row>
    <row r="7141" spans="1:10" x14ac:dyDescent="0.25">
      <c r="A7141" t="s">
        <v>8</v>
      </c>
      <c r="B7141" t="s">
        <v>19652</v>
      </c>
      <c r="C7141" t="s">
        <v>19653</v>
      </c>
      <c r="D7141">
        <v>1</v>
      </c>
      <c r="E7141" t="s">
        <v>19643</v>
      </c>
      <c r="F7141" t="s">
        <v>19644</v>
      </c>
      <c r="G7141" s="1"/>
      <c r="H7141" t="str">
        <f>"3250610001417"</f>
        <v>3250610001417</v>
      </c>
      <c r="J7141" t="s">
        <v>19654</v>
      </c>
    </row>
    <row r="7142" spans="1:10" x14ac:dyDescent="0.25">
      <c r="A7142" t="s">
        <v>8</v>
      </c>
      <c r="B7142" t="s">
        <v>19655</v>
      </c>
      <c r="C7142" t="s">
        <v>19656</v>
      </c>
      <c r="D7142">
        <v>1</v>
      </c>
      <c r="E7142" t="s">
        <v>19643</v>
      </c>
      <c r="F7142" t="s">
        <v>19644</v>
      </c>
      <c r="G7142" s="1"/>
      <c r="H7142" t="str">
        <f>"3250610001400"</f>
        <v>3250610001400</v>
      </c>
      <c r="J7142" t="s">
        <v>19657</v>
      </c>
    </row>
    <row r="7143" spans="1:10" x14ac:dyDescent="0.25">
      <c r="A7143" t="s">
        <v>8</v>
      </c>
      <c r="B7143" t="s">
        <v>19658</v>
      </c>
      <c r="C7143" t="s">
        <v>19659</v>
      </c>
      <c r="D7143">
        <v>1</v>
      </c>
      <c r="E7143" t="s">
        <v>19643</v>
      </c>
      <c r="F7143" t="s">
        <v>19644</v>
      </c>
      <c r="G7143" s="1"/>
      <c r="H7143" t="str">
        <f>"3250610103463"</f>
        <v>3250610103463</v>
      </c>
      <c r="J7143" t="s">
        <v>19660</v>
      </c>
    </row>
    <row r="7144" spans="1:10" x14ac:dyDescent="0.25">
      <c r="A7144" t="s">
        <v>8</v>
      </c>
      <c r="B7144" t="s">
        <v>19661</v>
      </c>
      <c r="C7144" t="s">
        <v>19662</v>
      </c>
      <c r="D7144">
        <v>1</v>
      </c>
      <c r="E7144" t="s">
        <v>19663</v>
      </c>
      <c r="F7144" t="s">
        <v>19664</v>
      </c>
      <c r="G7144" s="1"/>
      <c r="H7144" t="str">
        <f>"3250610018309"</f>
        <v>3250610018309</v>
      </c>
      <c r="J7144" t="s">
        <v>19665</v>
      </c>
    </row>
    <row r="7145" spans="1:10" x14ac:dyDescent="0.25">
      <c r="A7145" t="s">
        <v>8</v>
      </c>
      <c r="B7145" t="s">
        <v>19666</v>
      </c>
      <c r="C7145" t="s">
        <v>19667</v>
      </c>
      <c r="D7145">
        <v>1</v>
      </c>
      <c r="E7145" t="s">
        <v>19663</v>
      </c>
      <c r="F7145" t="s">
        <v>19664</v>
      </c>
      <c r="G7145" s="1"/>
      <c r="H7145" t="str">
        <f>"3250610018316"</f>
        <v>3250610018316</v>
      </c>
      <c r="J7145" t="s">
        <v>19668</v>
      </c>
    </row>
    <row r="7146" spans="1:10" x14ac:dyDescent="0.25">
      <c r="A7146" t="s">
        <v>8</v>
      </c>
      <c r="B7146" t="s">
        <v>19669</v>
      </c>
      <c r="C7146" t="s">
        <v>19670</v>
      </c>
      <c r="D7146">
        <v>1</v>
      </c>
      <c r="E7146" t="s">
        <v>19663</v>
      </c>
      <c r="F7146" t="s">
        <v>19664</v>
      </c>
      <c r="G7146" s="1"/>
      <c r="H7146" t="str">
        <f>"3250610018323"</f>
        <v>3250610018323</v>
      </c>
      <c r="J7146" t="s">
        <v>19671</v>
      </c>
    </row>
    <row r="7147" spans="1:10" x14ac:dyDescent="0.25">
      <c r="A7147" t="s">
        <v>8</v>
      </c>
      <c r="B7147" t="s">
        <v>19672</v>
      </c>
      <c r="C7147" t="s">
        <v>19673</v>
      </c>
      <c r="D7147">
        <v>1</v>
      </c>
      <c r="E7147" t="s">
        <v>19663</v>
      </c>
      <c r="F7147" t="s">
        <v>19664</v>
      </c>
      <c r="G7147" s="1"/>
      <c r="H7147" t="str">
        <f>"3250610018330"</f>
        <v>3250610018330</v>
      </c>
      <c r="J7147" t="s">
        <v>19671</v>
      </c>
    </row>
    <row r="7148" spans="1:10" x14ac:dyDescent="0.25">
      <c r="A7148" t="s">
        <v>8</v>
      </c>
      <c r="B7148" t="s">
        <v>19674</v>
      </c>
      <c r="C7148" t="s">
        <v>19675</v>
      </c>
      <c r="D7148">
        <v>1</v>
      </c>
      <c r="E7148" t="s">
        <v>19663</v>
      </c>
      <c r="F7148" t="s">
        <v>19664</v>
      </c>
      <c r="G7148" s="1"/>
      <c r="H7148" t="str">
        <f>"3250610022412"</f>
        <v>3250610022412</v>
      </c>
      <c r="J7148" t="s">
        <v>19671</v>
      </c>
    </row>
    <row r="7149" spans="1:10" x14ac:dyDescent="0.25">
      <c r="A7149" t="s">
        <v>8</v>
      </c>
      <c r="B7149" t="s">
        <v>19676</v>
      </c>
      <c r="C7149" t="s">
        <v>19677</v>
      </c>
      <c r="D7149">
        <v>1</v>
      </c>
      <c r="E7149" t="s">
        <v>19663</v>
      </c>
      <c r="F7149" t="s">
        <v>19664</v>
      </c>
      <c r="G7149" s="1"/>
      <c r="H7149" t="str">
        <f>"3250610018354"</f>
        <v>3250610018354</v>
      </c>
      <c r="J7149" t="s">
        <v>19671</v>
      </c>
    </row>
    <row r="7150" spans="1:10" x14ac:dyDescent="0.25">
      <c r="A7150" t="s">
        <v>8</v>
      </c>
      <c r="B7150" t="s">
        <v>19678</v>
      </c>
      <c r="C7150" t="s">
        <v>19679</v>
      </c>
      <c r="D7150">
        <v>1</v>
      </c>
      <c r="E7150" t="s">
        <v>19663</v>
      </c>
      <c r="F7150" t="s">
        <v>19664</v>
      </c>
      <c r="G7150" s="1"/>
      <c r="H7150" t="str">
        <f>"3250610018361"</f>
        <v>3250610018361</v>
      </c>
      <c r="J7150" t="s">
        <v>19671</v>
      </c>
    </row>
    <row r="7151" spans="1:10" x14ac:dyDescent="0.25">
      <c r="A7151" t="s">
        <v>8</v>
      </c>
      <c r="B7151" t="s">
        <v>19680</v>
      </c>
      <c r="C7151" t="s">
        <v>19681</v>
      </c>
      <c r="D7151">
        <v>1</v>
      </c>
      <c r="E7151" t="s">
        <v>19663</v>
      </c>
      <c r="F7151" t="s">
        <v>19664</v>
      </c>
      <c r="G7151" s="1"/>
      <c r="H7151" t="str">
        <f>"3250610018378"</f>
        <v>3250610018378</v>
      </c>
      <c r="J7151" t="s">
        <v>19671</v>
      </c>
    </row>
    <row r="7152" spans="1:10" x14ac:dyDescent="0.25">
      <c r="A7152" t="s">
        <v>8</v>
      </c>
      <c r="B7152" t="s">
        <v>19682</v>
      </c>
      <c r="C7152" t="s">
        <v>19683</v>
      </c>
      <c r="D7152">
        <v>1</v>
      </c>
      <c r="E7152" t="s">
        <v>19663</v>
      </c>
      <c r="F7152" t="s">
        <v>19664</v>
      </c>
      <c r="G7152" s="1"/>
      <c r="H7152" t="str">
        <f>"3250610018385"</f>
        <v>3250610018385</v>
      </c>
      <c r="J7152" t="s">
        <v>19684</v>
      </c>
    </row>
    <row r="7153" spans="1:10" x14ac:dyDescent="0.25">
      <c r="A7153" t="s">
        <v>8</v>
      </c>
      <c r="B7153" t="s">
        <v>19685</v>
      </c>
      <c r="C7153" t="s">
        <v>19686</v>
      </c>
      <c r="D7153">
        <v>1</v>
      </c>
      <c r="E7153" t="s">
        <v>19687</v>
      </c>
      <c r="F7153" t="s">
        <v>19688</v>
      </c>
      <c r="G7153" s="1"/>
      <c r="H7153" t="str">
        <f>"3250611073369"</f>
        <v>3250611073369</v>
      </c>
      <c r="J7153" t="s">
        <v>19689</v>
      </c>
    </row>
    <row r="7154" spans="1:10" x14ac:dyDescent="0.25">
      <c r="A7154" t="s">
        <v>8</v>
      </c>
      <c r="B7154" t="s">
        <v>19690</v>
      </c>
      <c r="C7154" t="s">
        <v>19691</v>
      </c>
      <c r="D7154">
        <v>1</v>
      </c>
      <c r="E7154" t="s">
        <v>19687</v>
      </c>
      <c r="F7154" t="s">
        <v>19688</v>
      </c>
      <c r="G7154" s="1"/>
      <c r="H7154" t="str">
        <f>"3250611072973"</f>
        <v>3250611072973</v>
      </c>
      <c r="J7154" t="s">
        <v>19692</v>
      </c>
    </row>
    <row r="7155" spans="1:10" x14ac:dyDescent="0.25">
      <c r="A7155" t="s">
        <v>8</v>
      </c>
      <c r="B7155" t="s">
        <v>19693</v>
      </c>
      <c r="C7155" t="s">
        <v>19694</v>
      </c>
      <c r="D7155">
        <v>1</v>
      </c>
      <c r="E7155" t="s">
        <v>19687</v>
      </c>
      <c r="F7155" t="s">
        <v>19688</v>
      </c>
      <c r="G7155" s="1"/>
      <c r="H7155" t="str">
        <f>"3250611073185"</f>
        <v>3250611073185</v>
      </c>
      <c r="J7155" t="s">
        <v>19695</v>
      </c>
    </row>
    <row r="7156" spans="1:10" x14ac:dyDescent="0.25">
      <c r="A7156" t="s">
        <v>8</v>
      </c>
      <c r="B7156" t="s">
        <v>19696</v>
      </c>
      <c r="C7156" t="s">
        <v>19697</v>
      </c>
      <c r="D7156">
        <v>1</v>
      </c>
      <c r="E7156" t="s">
        <v>19687</v>
      </c>
      <c r="F7156" t="s">
        <v>19688</v>
      </c>
      <c r="G7156" s="1"/>
      <c r="H7156" t="str">
        <f>"3250611073192"</f>
        <v>3250611073192</v>
      </c>
      <c r="J7156" t="s">
        <v>19698</v>
      </c>
    </row>
    <row r="7157" spans="1:10" x14ac:dyDescent="0.25">
      <c r="A7157" t="s">
        <v>8</v>
      </c>
      <c r="B7157" t="s">
        <v>19699</v>
      </c>
      <c r="C7157" t="s">
        <v>19700</v>
      </c>
      <c r="D7157">
        <v>1</v>
      </c>
      <c r="E7157" t="s">
        <v>19687</v>
      </c>
      <c r="F7157" t="s">
        <v>19688</v>
      </c>
      <c r="G7157" s="1"/>
      <c r="H7157" t="str">
        <f>"3250610017302"</f>
        <v>3250610017302</v>
      </c>
      <c r="J7157" t="s">
        <v>19701</v>
      </c>
    </row>
    <row r="7158" spans="1:10" x14ac:dyDescent="0.25">
      <c r="A7158" t="s">
        <v>8</v>
      </c>
      <c r="B7158" t="s">
        <v>19702</v>
      </c>
      <c r="C7158" t="s">
        <v>19703</v>
      </c>
      <c r="D7158">
        <v>1</v>
      </c>
      <c r="E7158" t="s">
        <v>19687</v>
      </c>
      <c r="F7158" t="s">
        <v>19688</v>
      </c>
      <c r="G7158" s="1"/>
      <c r="H7158" t="str">
        <f>"3250611072058"</f>
        <v>3250611072058</v>
      </c>
      <c r="J7158" t="s">
        <v>19704</v>
      </c>
    </row>
    <row r="7159" spans="1:10" x14ac:dyDescent="0.25">
      <c r="A7159" t="s">
        <v>8</v>
      </c>
      <c r="B7159" t="s">
        <v>19705</v>
      </c>
      <c r="C7159" t="s">
        <v>19706</v>
      </c>
      <c r="D7159">
        <v>1</v>
      </c>
      <c r="E7159" t="s">
        <v>19687</v>
      </c>
      <c r="F7159" t="s">
        <v>19688</v>
      </c>
      <c r="G7159" s="1"/>
      <c r="H7159" t="str">
        <f>"3250611072065"</f>
        <v>3250611072065</v>
      </c>
      <c r="J7159" t="s">
        <v>19707</v>
      </c>
    </row>
    <row r="7160" spans="1:10" x14ac:dyDescent="0.25">
      <c r="A7160" t="s">
        <v>8</v>
      </c>
      <c r="B7160" t="s">
        <v>19708</v>
      </c>
      <c r="C7160" t="s">
        <v>19709</v>
      </c>
      <c r="D7160">
        <v>1</v>
      </c>
      <c r="E7160" t="s">
        <v>19687</v>
      </c>
      <c r="F7160" t="s">
        <v>19688</v>
      </c>
      <c r="G7160" s="1"/>
      <c r="H7160" t="str">
        <f>"3250611072119"</f>
        <v>3250611072119</v>
      </c>
      <c r="J7160" t="s">
        <v>19710</v>
      </c>
    </row>
    <row r="7161" spans="1:10" x14ac:dyDescent="0.25">
      <c r="A7161" t="s">
        <v>8</v>
      </c>
      <c r="B7161" t="s">
        <v>19711</v>
      </c>
      <c r="C7161" t="s">
        <v>19712</v>
      </c>
      <c r="D7161">
        <v>1</v>
      </c>
      <c r="E7161" t="s">
        <v>19687</v>
      </c>
      <c r="F7161" t="s">
        <v>19688</v>
      </c>
      <c r="G7161" s="1"/>
      <c r="H7161" t="str">
        <f>"3250611072126"</f>
        <v>3250611072126</v>
      </c>
      <c r="J7161" t="s">
        <v>19713</v>
      </c>
    </row>
    <row r="7162" spans="1:10" x14ac:dyDescent="0.25">
      <c r="A7162" t="s">
        <v>8</v>
      </c>
      <c r="B7162" t="s">
        <v>19714</v>
      </c>
      <c r="C7162" t="s">
        <v>19715</v>
      </c>
      <c r="D7162">
        <v>1</v>
      </c>
      <c r="E7162" t="s">
        <v>19687</v>
      </c>
      <c r="F7162" t="s">
        <v>19688</v>
      </c>
      <c r="G7162" s="1"/>
      <c r="H7162" t="str">
        <f>"3250611072140"</f>
        <v>3250611072140</v>
      </c>
      <c r="J7162" t="s">
        <v>19716</v>
      </c>
    </row>
    <row r="7163" spans="1:10" x14ac:dyDescent="0.25">
      <c r="A7163" t="s">
        <v>8</v>
      </c>
      <c r="B7163" t="s">
        <v>19717</v>
      </c>
      <c r="C7163" t="s">
        <v>19718</v>
      </c>
      <c r="D7163">
        <v>1</v>
      </c>
      <c r="E7163" t="s">
        <v>19687</v>
      </c>
      <c r="F7163" t="s">
        <v>19688</v>
      </c>
      <c r="G7163" s="1"/>
      <c r="H7163" t="str">
        <f>"3250611072157"</f>
        <v>3250611072157</v>
      </c>
      <c r="J7163" t="s">
        <v>19719</v>
      </c>
    </row>
    <row r="7164" spans="1:10" x14ac:dyDescent="0.25">
      <c r="A7164" t="s">
        <v>8</v>
      </c>
      <c r="B7164" t="s">
        <v>19720</v>
      </c>
      <c r="C7164" t="s">
        <v>19721</v>
      </c>
      <c r="D7164">
        <v>1</v>
      </c>
      <c r="E7164" t="s">
        <v>19687</v>
      </c>
      <c r="F7164" t="s">
        <v>19688</v>
      </c>
      <c r="G7164" s="1"/>
      <c r="H7164" t="str">
        <f>"3250610017333"</f>
        <v>3250610017333</v>
      </c>
      <c r="J7164" t="s">
        <v>19722</v>
      </c>
    </row>
    <row r="7165" spans="1:10" x14ac:dyDescent="0.25">
      <c r="A7165" t="s">
        <v>8</v>
      </c>
      <c r="B7165" t="s">
        <v>19723</v>
      </c>
      <c r="C7165" t="s">
        <v>19724</v>
      </c>
      <c r="D7165">
        <v>1</v>
      </c>
      <c r="E7165" t="s">
        <v>19687</v>
      </c>
      <c r="F7165" t="s">
        <v>19688</v>
      </c>
      <c r="G7165" s="1"/>
      <c r="H7165" t="str">
        <f>"3250611073796"</f>
        <v>3250611073796</v>
      </c>
      <c r="J7165" t="s">
        <v>19725</v>
      </c>
    </row>
    <row r="7166" spans="1:10" x14ac:dyDescent="0.25">
      <c r="A7166" t="s">
        <v>8</v>
      </c>
      <c r="B7166" t="s">
        <v>19726</v>
      </c>
      <c r="C7166" t="s">
        <v>19727</v>
      </c>
      <c r="D7166">
        <v>1</v>
      </c>
      <c r="E7166" t="s">
        <v>19687</v>
      </c>
      <c r="F7166" t="s">
        <v>19688</v>
      </c>
      <c r="G7166" s="1"/>
      <c r="H7166" t="str">
        <f>"3250611073765"</f>
        <v>3250611073765</v>
      </c>
      <c r="J7166" t="s">
        <v>19728</v>
      </c>
    </row>
    <row r="7167" spans="1:10" x14ac:dyDescent="0.25">
      <c r="A7167" t="s">
        <v>8</v>
      </c>
      <c r="B7167" t="s">
        <v>19729</v>
      </c>
      <c r="C7167" t="s">
        <v>19730</v>
      </c>
      <c r="D7167">
        <v>1</v>
      </c>
      <c r="E7167" t="s">
        <v>19687</v>
      </c>
      <c r="F7167" t="s">
        <v>19688</v>
      </c>
      <c r="G7167" s="1"/>
      <c r="H7167" t="str">
        <f>"3250611074755"</f>
        <v>3250611074755</v>
      </c>
      <c r="J7167" t="s">
        <v>19731</v>
      </c>
    </row>
    <row r="7168" spans="1:10" x14ac:dyDescent="0.25">
      <c r="A7168" t="s">
        <v>8</v>
      </c>
      <c r="B7168" t="s">
        <v>19732</v>
      </c>
      <c r="C7168" t="s">
        <v>19733</v>
      </c>
      <c r="D7168">
        <v>1</v>
      </c>
      <c r="E7168" t="s">
        <v>19687</v>
      </c>
      <c r="F7168" t="s">
        <v>19688</v>
      </c>
      <c r="G7168" s="1"/>
      <c r="H7168" t="str">
        <f>"3250611072409"</f>
        <v>3250611072409</v>
      </c>
      <c r="J7168" t="s">
        <v>19734</v>
      </c>
    </row>
    <row r="7169" spans="1:10" x14ac:dyDescent="0.25">
      <c r="A7169" t="s">
        <v>8</v>
      </c>
      <c r="B7169" t="s">
        <v>19735</v>
      </c>
      <c r="C7169" t="s">
        <v>19736</v>
      </c>
      <c r="D7169">
        <v>1</v>
      </c>
      <c r="E7169" t="s">
        <v>19687</v>
      </c>
      <c r="F7169" t="s">
        <v>19688</v>
      </c>
      <c r="G7169" s="1"/>
      <c r="H7169" t="str">
        <f>"3250611072416"</f>
        <v>3250611072416</v>
      </c>
      <c r="J7169" t="s">
        <v>19737</v>
      </c>
    </row>
    <row r="7170" spans="1:10" x14ac:dyDescent="0.25">
      <c r="A7170" t="s">
        <v>8</v>
      </c>
      <c r="B7170" t="s">
        <v>19738</v>
      </c>
      <c r="C7170" t="s">
        <v>19739</v>
      </c>
      <c r="D7170">
        <v>1</v>
      </c>
      <c r="E7170" t="s">
        <v>19687</v>
      </c>
      <c r="F7170" t="s">
        <v>19688</v>
      </c>
      <c r="G7170" s="1"/>
      <c r="H7170" t="str">
        <f>"3250611073833"</f>
        <v>3250611073833</v>
      </c>
      <c r="J7170" t="s">
        <v>19740</v>
      </c>
    </row>
    <row r="7171" spans="1:10" x14ac:dyDescent="0.25">
      <c r="A7171" t="s">
        <v>8</v>
      </c>
      <c r="B7171" t="s">
        <v>19741</v>
      </c>
      <c r="C7171" t="s">
        <v>19742</v>
      </c>
      <c r="D7171">
        <v>1</v>
      </c>
      <c r="E7171" t="s">
        <v>19687</v>
      </c>
      <c r="F7171" t="s">
        <v>19688</v>
      </c>
      <c r="G7171" s="1"/>
      <c r="H7171" t="str">
        <f>"3250611072461"</f>
        <v>3250611072461</v>
      </c>
      <c r="J7171" t="s">
        <v>19743</v>
      </c>
    </row>
    <row r="7172" spans="1:10" x14ac:dyDescent="0.25">
      <c r="A7172" t="s">
        <v>8</v>
      </c>
      <c r="B7172" t="s">
        <v>19744</v>
      </c>
      <c r="C7172" t="s">
        <v>19745</v>
      </c>
      <c r="D7172">
        <v>1</v>
      </c>
      <c r="E7172" t="s">
        <v>19687</v>
      </c>
      <c r="F7172" t="s">
        <v>19688</v>
      </c>
      <c r="G7172" s="1"/>
      <c r="H7172" t="str">
        <f>"3250611073840"</f>
        <v>3250611073840</v>
      </c>
      <c r="J7172" t="s">
        <v>19746</v>
      </c>
    </row>
    <row r="7173" spans="1:10" x14ac:dyDescent="0.25">
      <c r="A7173" t="s">
        <v>8</v>
      </c>
      <c r="B7173" t="s">
        <v>19747</v>
      </c>
      <c r="C7173" t="s">
        <v>19748</v>
      </c>
      <c r="D7173">
        <v>1</v>
      </c>
      <c r="E7173" t="s">
        <v>19687</v>
      </c>
      <c r="F7173" t="s">
        <v>19688</v>
      </c>
      <c r="G7173" s="1"/>
      <c r="H7173" t="str">
        <f>"3250611072515"</f>
        <v>3250611072515</v>
      </c>
      <c r="J7173" t="s">
        <v>19749</v>
      </c>
    </row>
    <row r="7174" spans="1:10" x14ac:dyDescent="0.25">
      <c r="A7174" t="s">
        <v>8</v>
      </c>
      <c r="B7174" t="s">
        <v>19750</v>
      </c>
      <c r="C7174" t="s">
        <v>19751</v>
      </c>
      <c r="D7174">
        <v>1</v>
      </c>
      <c r="E7174" t="s">
        <v>19687</v>
      </c>
      <c r="F7174" t="s">
        <v>19688</v>
      </c>
      <c r="G7174" s="1"/>
      <c r="H7174" t="str">
        <f>"3250611073918"</f>
        <v>3250611073918</v>
      </c>
      <c r="J7174" t="s">
        <v>19752</v>
      </c>
    </row>
    <row r="7175" spans="1:10" x14ac:dyDescent="0.25">
      <c r="A7175" t="s">
        <v>8</v>
      </c>
      <c r="B7175" t="s">
        <v>19753</v>
      </c>
      <c r="C7175" t="s">
        <v>19754</v>
      </c>
      <c r="D7175">
        <v>1</v>
      </c>
      <c r="E7175" t="s">
        <v>19687</v>
      </c>
      <c r="F7175" t="s">
        <v>19688</v>
      </c>
      <c r="G7175" s="1"/>
      <c r="H7175" t="str">
        <f>"3250611073925"</f>
        <v>3250611073925</v>
      </c>
      <c r="J7175" t="s">
        <v>19755</v>
      </c>
    </row>
    <row r="7176" spans="1:10" x14ac:dyDescent="0.25">
      <c r="A7176" t="s">
        <v>8</v>
      </c>
      <c r="B7176" t="s">
        <v>19756</v>
      </c>
      <c r="C7176" t="s">
        <v>19757</v>
      </c>
      <c r="D7176">
        <v>1</v>
      </c>
      <c r="E7176" t="s">
        <v>19687</v>
      </c>
      <c r="F7176" t="s">
        <v>19688</v>
      </c>
      <c r="G7176" s="1"/>
      <c r="H7176" t="str">
        <f>"3250611073932"</f>
        <v>3250611073932</v>
      </c>
      <c r="J7176" t="s">
        <v>19758</v>
      </c>
    </row>
    <row r="7177" spans="1:10" x14ac:dyDescent="0.25">
      <c r="A7177" t="s">
        <v>8</v>
      </c>
      <c r="B7177" t="s">
        <v>19759</v>
      </c>
      <c r="C7177" t="s">
        <v>19760</v>
      </c>
      <c r="D7177">
        <v>1</v>
      </c>
      <c r="E7177" t="s">
        <v>19687</v>
      </c>
      <c r="F7177" t="s">
        <v>19688</v>
      </c>
      <c r="G7177" s="1"/>
      <c r="H7177" t="str">
        <f>"3250611073949"</f>
        <v>3250611073949</v>
      </c>
      <c r="J7177" t="s">
        <v>19761</v>
      </c>
    </row>
    <row r="7178" spans="1:10" x14ac:dyDescent="0.25">
      <c r="A7178" t="s">
        <v>8</v>
      </c>
      <c r="B7178" t="s">
        <v>19762</v>
      </c>
      <c r="C7178" t="s">
        <v>19763</v>
      </c>
      <c r="D7178">
        <v>1</v>
      </c>
      <c r="E7178" t="s">
        <v>19687</v>
      </c>
      <c r="F7178" t="s">
        <v>19688</v>
      </c>
      <c r="G7178" s="1"/>
      <c r="H7178" t="str">
        <f>"3250611073963"</f>
        <v>3250611073963</v>
      </c>
      <c r="J7178" t="s">
        <v>19764</v>
      </c>
    </row>
    <row r="7179" spans="1:10" x14ac:dyDescent="0.25">
      <c r="A7179" t="s">
        <v>8</v>
      </c>
      <c r="B7179" t="s">
        <v>19765</v>
      </c>
      <c r="C7179" t="s">
        <v>19766</v>
      </c>
      <c r="D7179">
        <v>1</v>
      </c>
      <c r="E7179" t="s">
        <v>19687</v>
      </c>
      <c r="F7179" t="s">
        <v>19688</v>
      </c>
      <c r="G7179" s="1"/>
      <c r="H7179" t="str">
        <f>"3250611073987"</f>
        <v>3250611073987</v>
      </c>
      <c r="J7179" t="s">
        <v>19767</v>
      </c>
    </row>
    <row r="7180" spans="1:10" x14ac:dyDescent="0.25">
      <c r="A7180" t="s">
        <v>8</v>
      </c>
      <c r="B7180" t="s">
        <v>19768</v>
      </c>
      <c r="C7180" t="s">
        <v>19769</v>
      </c>
      <c r="D7180">
        <v>1</v>
      </c>
      <c r="E7180" t="s">
        <v>19687</v>
      </c>
      <c r="F7180" t="s">
        <v>19688</v>
      </c>
      <c r="G7180" s="1"/>
      <c r="H7180" t="str">
        <f>"3250611074120"</f>
        <v>3250611074120</v>
      </c>
      <c r="J7180" t="s">
        <v>19770</v>
      </c>
    </row>
    <row r="7181" spans="1:10" x14ac:dyDescent="0.25">
      <c r="A7181" t="s">
        <v>8</v>
      </c>
      <c r="B7181" t="s">
        <v>19771</v>
      </c>
      <c r="C7181" t="s">
        <v>19772</v>
      </c>
      <c r="D7181">
        <v>1</v>
      </c>
      <c r="E7181" t="s">
        <v>19687</v>
      </c>
      <c r="F7181" t="s">
        <v>19688</v>
      </c>
      <c r="G7181" s="1"/>
      <c r="H7181" t="str">
        <f>"3250611074137"</f>
        <v>3250611074137</v>
      </c>
      <c r="J7181" t="s">
        <v>19773</v>
      </c>
    </row>
    <row r="7182" spans="1:10" x14ac:dyDescent="0.25">
      <c r="A7182" t="s">
        <v>8</v>
      </c>
      <c r="B7182" t="s">
        <v>19774</v>
      </c>
      <c r="C7182" t="s">
        <v>19775</v>
      </c>
      <c r="D7182">
        <v>1</v>
      </c>
      <c r="E7182" t="s">
        <v>19687</v>
      </c>
      <c r="F7182" t="s">
        <v>19688</v>
      </c>
      <c r="G7182" s="1"/>
      <c r="H7182" t="str">
        <f>"3250611074168"</f>
        <v>3250611074168</v>
      </c>
      <c r="J7182" t="s">
        <v>19776</v>
      </c>
    </row>
    <row r="7183" spans="1:10" x14ac:dyDescent="0.25">
      <c r="A7183" t="s">
        <v>8</v>
      </c>
      <c r="B7183" t="s">
        <v>19777</v>
      </c>
      <c r="C7183" t="s">
        <v>19778</v>
      </c>
      <c r="D7183">
        <v>1</v>
      </c>
      <c r="E7183" t="s">
        <v>19687</v>
      </c>
      <c r="F7183" t="s">
        <v>19688</v>
      </c>
      <c r="G7183" s="1"/>
      <c r="H7183" t="str">
        <f>"3250611074175"</f>
        <v>3250611074175</v>
      </c>
      <c r="J7183" t="s">
        <v>19779</v>
      </c>
    </row>
    <row r="7184" spans="1:10" x14ac:dyDescent="0.25">
      <c r="A7184" t="s">
        <v>8</v>
      </c>
      <c r="B7184" t="s">
        <v>19780</v>
      </c>
      <c r="C7184" t="s">
        <v>19781</v>
      </c>
      <c r="D7184">
        <v>1</v>
      </c>
      <c r="E7184" t="s">
        <v>19687</v>
      </c>
      <c r="F7184" t="s">
        <v>19688</v>
      </c>
      <c r="G7184" s="1"/>
      <c r="H7184" t="str">
        <f>"3250611072546"</f>
        <v>3250611072546</v>
      </c>
      <c r="J7184" t="s">
        <v>1488</v>
      </c>
    </row>
    <row r="7185" spans="1:10" x14ac:dyDescent="0.25">
      <c r="A7185" t="s">
        <v>8</v>
      </c>
      <c r="B7185" t="s">
        <v>19782</v>
      </c>
      <c r="C7185" t="s">
        <v>19783</v>
      </c>
      <c r="D7185">
        <v>1</v>
      </c>
      <c r="E7185" t="s">
        <v>19687</v>
      </c>
      <c r="F7185" t="s">
        <v>19688</v>
      </c>
      <c r="G7185" s="1"/>
      <c r="H7185" t="str">
        <f>"3250611072669"</f>
        <v>3250611072669</v>
      </c>
      <c r="J7185" t="s">
        <v>19784</v>
      </c>
    </row>
    <row r="7186" spans="1:10" x14ac:dyDescent="0.25">
      <c r="A7186" t="s">
        <v>8</v>
      </c>
      <c r="B7186" t="s">
        <v>19785</v>
      </c>
      <c r="C7186" t="s">
        <v>19786</v>
      </c>
      <c r="D7186">
        <v>1</v>
      </c>
      <c r="E7186" t="s">
        <v>19687</v>
      </c>
      <c r="F7186" t="s">
        <v>19688</v>
      </c>
      <c r="G7186" s="1"/>
      <c r="H7186" t="str">
        <f>"3250611072676"</f>
        <v>3250611072676</v>
      </c>
      <c r="J7186" t="s">
        <v>19787</v>
      </c>
    </row>
    <row r="7187" spans="1:10" x14ac:dyDescent="0.25">
      <c r="A7187" t="s">
        <v>8</v>
      </c>
      <c r="B7187" t="s">
        <v>19788</v>
      </c>
      <c r="C7187" t="s">
        <v>19789</v>
      </c>
      <c r="D7187">
        <v>1</v>
      </c>
      <c r="E7187" t="s">
        <v>19687</v>
      </c>
      <c r="F7187" t="s">
        <v>19688</v>
      </c>
      <c r="G7187" s="1"/>
      <c r="H7187" t="str">
        <f>"3250611072713"</f>
        <v>3250611072713</v>
      </c>
      <c r="J7187" t="s">
        <v>19790</v>
      </c>
    </row>
    <row r="7188" spans="1:10" x14ac:dyDescent="0.25">
      <c r="A7188" t="s">
        <v>8</v>
      </c>
      <c r="B7188" t="s">
        <v>19791</v>
      </c>
      <c r="C7188" t="s">
        <v>19792</v>
      </c>
      <c r="D7188">
        <v>1</v>
      </c>
      <c r="E7188" t="s">
        <v>19687</v>
      </c>
      <c r="F7188" t="s">
        <v>19688</v>
      </c>
      <c r="G7188" s="1"/>
      <c r="H7188" t="str">
        <f>"3250611074434"</f>
        <v>3250611074434</v>
      </c>
      <c r="J7188" t="s">
        <v>19793</v>
      </c>
    </row>
    <row r="7189" spans="1:10" x14ac:dyDescent="0.25">
      <c r="A7189" t="s">
        <v>8</v>
      </c>
      <c r="B7189" t="s">
        <v>19794</v>
      </c>
      <c r="C7189" t="s">
        <v>19795</v>
      </c>
      <c r="D7189">
        <v>1</v>
      </c>
      <c r="E7189" t="s">
        <v>19687</v>
      </c>
      <c r="F7189" t="s">
        <v>19688</v>
      </c>
      <c r="G7189" s="1"/>
      <c r="H7189" t="str">
        <f>"3250612768189"</f>
        <v>3250612768189</v>
      </c>
      <c r="J7189" t="s">
        <v>19796</v>
      </c>
    </row>
    <row r="7190" spans="1:10" x14ac:dyDescent="0.25">
      <c r="A7190" t="s">
        <v>8</v>
      </c>
      <c r="B7190" t="s">
        <v>19797</v>
      </c>
      <c r="C7190" t="s">
        <v>19798</v>
      </c>
      <c r="D7190">
        <v>1</v>
      </c>
      <c r="E7190" t="s">
        <v>19687</v>
      </c>
      <c r="F7190" t="s">
        <v>19688</v>
      </c>
      <c r="G7190" s="1"/>
      <c r="H7190" t="str">
        <f>"3250610017364"</f>
        <v>3250610017364</v>
      </c>
      <c r="J7190" t="s">
        <v>19799</v>
      </c>
    </row>
    <row r="7191" spans="1:10" x14ac:dyDescent="0.25">
      <c r="A7191" t="s">
        <v>8</v>
      </c>
      <c r="B7191" t="s">
        <v>19800</v>
      </c>
      <c r="C7191" t="s">
        <v>19801</v>
      </c>
      <c r="D7191">
        <v>1</v>
      </c>
      <c r="E7191" t="s">
        <v>19802</v>
      </c>
      <c r="F7191" t="s">
        <v>19803</v>
      </c>
      <c r="G7191" s="1"/>
      <c r="H7191" t="str">
        <f>"3250613250638"</f>
        <v>3250613250638</v>
      </c>
      <c r="J7191" t="s">
        <v>19804</v>
      </c>
    </row>
    <row r="7192" spans="1:10" x14ac:dyDescent="0.25">
      <c r="A7192" t="s">
        <v>8</v>
      </c>
      <c r="B7192" t="s">
        <v>19805</v>
      </c>
      <c r="C7192" t="s">
        <v>19806</v>
      </c>
      <c r="D7192">
        <v>1</v>
      </c>
      <c r="E7192" t="s">
        <v>19802</v>
      </c>
      <c r="F7192" t="s">
        <v>19803</v>
      </c>
      <c r="G7192" s="1"/>
      <c r="H7192" t="str">
        <f>"3250613250652"</f>
        <v>3250613250652</v>
      </c>
      <c r="J7192" t="s">
        <v>19807</v>
      </c>
    </row>
    <row r="7193" spans="1:10" x14ac:dyDescent="0.25">
      <c r="A7193" t="s">
        <v>8</v>
      </c>
      <c r="B7193" t="s">
        <v>19808</v>
      </c>
      <c r="C7193" t="s">
        <v>19809</v>
      </c>
      <c r="D7193">
        <v>1</v>
      </c>
      <c r="E7193" t="s">
        <v>19802</v>
      </c>
      <c r="F7193" t="s">
        <v>19803</v>
      </c>
      <c r="G7193" s="1"/>
      <c r="H7193" t="str">
        <f>"3250613250676"</f>
        <v>3250613250676</v>
      </c>
      <c r="J7193" t="s">
        <v>19810</v>
      </c>
    </row>
    <row r="7194" spans="1:10" x14ac:dyDescent="0.25">
      <c r="A7194" t="s">
        <v>8</v>
      </c>
      <c r="B7194" t="s">
        <v>19811</v>
      </c>
      <c r="C7194" t="s">
        <v>19812</v>
      </c>
      <c r="D7194">
        <v>1</v>
      </c>
      <c r="E7194" t="s">
        <v>19802</v>
      </c>
      <c r="F7194" t="s">
        <v>19803</v>
      </c>
      <c r="G7194" s="1"/>
      <c r="H7194" t="str">
        <f>"3250613250690"</f>
        <v>3250613250690</v>
      </c>
      <c r="J7194" t="s">
        <v>19813</v>
      </c>
    </row>
    <row r="7195" spans="1:10" x14ac:dyDescent="0.25">
      <c r="A7195" t="s">
        <v>8</v>
      </c>
      <c r="B7195" t="s">
        <v>19814</v>
      </c>
      <c r="C7195" t="s">
        <v>19815</v>
      </c>
      <c r="D7195">
        <v>1</v>
      </c>
      <c r="E7195" t="s">
        <v>19802</v>
      </c>
      <c r="F7195" t="s">
        <v>19803</v>
      </c>
      <c r="G7195" s="1"/>
      <c r="H7195" t="str">
        <f>"3250613250713"</f>
        <v>3250613250713</v>
      </c>
      <c r="J7195" t="s">
        <v>19816</v>
      </c>
    </row>
    <row r="7196" spans="1:10" x14ac:dyDescent="0.25">
      <c r="A7196" t="s">
        <v>8</v>
      </c>
      <c r="B7196" t="s">
        <v>19817</v>
      </c>
      <c r="C7196" t="s">
        <v>19818</v>
      </c>
      <c r="D7196">
        <v>1</v>
      </c>
      <c r="E7196" t="s">
        <v>19802</v>
      </c>
      <c r="F7196" t="s">
        <v>19803</v>
      </c>
      <c r="G7196" s="1"/>
      <c r="H7196" t="str">
        <f>"3250613250737"</f>
        <v>3250613250737</v>
      </c>
      <c r="J7196" t="s">
        <v>19819</v>
      </c>
    </row>
    <row r="7197" spans="1:10" x14ac:dyDescent="0.25">
      <c r="A7197" t="s">
        <v>8</v>
      </c>
      <c r="B7197" t="s">
        <v>19820</v>
      </c>
      <c r="C7197" t="s">
        <v>19821</v>
      </c>
      <c r="D7197">
        <v>1</v>
      </c>
      <c r="E7197" t="s">
        <v>19802</v>
      </c>
      <c r="F7197" t="s">
        <v>19803</v>
      </c>
      <c r="G7197" s="1"/>
      <c r="H7197" t="str">
        <f>"3250613250751"</f>
        <v>3250613250751</v>
      </c>
      <c r="J7197" t="s">
        <v>19822</v>
      </c>
    </row>
    <row r="7198" spans="1:10" x14ac:dyDescent="0.25">
      <c r="A7198" t="s">
        <v>8</v>
      </c>
      <c r="B7198" t="s">
        <v>19823</v>
      </c>
      <c r="C7198" t="s">
        <v>19824</v>
      </c>
      <c r="D7198">
        <v>1</v>
      </c>
      <c r="E7198" t="s">
        <v>19802</v>
      </c>
      <c r="F7198" t="s">
        <v>19803</v>
      </c>
      <c r="G7198" s="1"/>
      <c r="H7198" t="str">
        <f>"3250613250775"</f>
        <v>3250613250775</v>
      </c>
      <c r="J7198" t="s">
        <v>19825</v>
      </c>
    </row>
    <row r="7199" spans="1:10" x14ac:dyDescent="0.25">
      <c r="A7199" t="s">
        <v>8</v>
      </c>
      <c r="B7199" t="s">
        <v>19826</v>
      </c>
      <c r="C7199" t="s">
        <v>19827</v>
      </c>
      <c r="D7199">
        <v>1</v>
      </c>
      <c r="E7199" t="s">
        <v>19802</v>
      </c>
      <c r="F7199" t="s">
        <v>19803</v>
      </c>
      <c r="G7199" s="1"/>
      <c r="H7199" t="str">
        <f>"3250613250799"</f>
        <v>3250613250799</v>
      </c>
      <c r="J7199" t="s">
        <v>19807</v>
      </c>
    </row>
    <row r="7200" spans="1:10" x14ac:dyDescent="0.25">
      <c r="A7200" t="s">
        <v>8</v>
      </c>
      <c r="B7200" t="s">
        <v>19828</v>
      </c>
      <c r="C7200" t="s">
        <v>19829</v>
      </c>
      <c r="D7200">
        <v>1</v>
      </c>
      <c r="E7200" t="s">
        <v>19802</v>
      </c>
      <c r="F7200" t="s">
        <v>19803</v>
      </c>
      <c r="G7200" s="1"/>
      <c r="H7200" t="str">
        <f>"3250613250812"</f>
        <v>3250613250812</v>
      </c>
      <c r="J7200" t="s">
        <v>19830</v>
      </c>
    </row>
    <row r="7201" spans="1:10" x14ac:dyDescent="0.25">
      <c r="A7201" t="s">
        <v>8</v>
      </c>
      <c r="B7201" t="s">
        <v>19831</v>
      </c>
      <c r="C7201" t="s">
        <v>19832</v>
      </c>
      <c r="D7201">
        <v>1</v>
      </c>
      <c r="E7201" t="s">
        <v>19802</v>
      </c>
      <c r="F7201" t="s">
        <v>19803</v>
      </c>
      <c r="G7201" s="1"/>
      <c r="H7201" t="str">
        <f>"3250613250836"</f>
        <v>3250613250836</v>
      </c>
      <c r="J7201" t="s">
        <v>19833</v>
      </c>
    </row>
    <row r="7202" spans="1:10" x14ac:dyDescent="0.25">
      <c r="A7202" t="s">
        <v>8</v>
      </c>
      <c r="B7202" t="s">
        <v>19834</v>
      </c>
      <c r="C7202" t="s">
        <v>19835</v>
      </c>
      <c r="D7202">
        <v>1</v>
      </c>
      <c r="E7202" t="s">
        <v>19802</v>
      </c>
      <c r="F7202" t="s">
        <v>19803</v>
      </c>
      <c r="G7202" s="1"/>
      <c r="H7202" t="str">
        <f>"3250613250850"</f>
        <v>3250613250850</v>
      </c>
      <c r="J7202" t="s">
        <v>19836</v>
      </c>
    </row>
    <row r="7203" spans="1:10" x14ac:dyDescent="0.25">
      <c r="A7203" t="s">
        <v>8</v>
      </c>
      <c r="B7203" t="s">
        <v>19837</v>
      </c>
      <c r="C7203" t="s">
        <v>19838</v>
      </c>
      <c r="D7203">
        <v>1</v>
      </c>
      <c r="E7203" t="s">
        <v>19802</v>
      </c>
      <c r="F7203" t="s">
        <v>19803</v>
      </c>
      <c r="G7203" s="1"/>
      <c r="H7203" t="str">
        <f>"3250613250874"</f>
        <v>3250613250874</v>
      </c>
      <c r="J7203" t="s">
        <v>19839</v>
      </c>
    </row>
    <row r="7204" spans="1:10" x14ac:dyDescent="0.25">
      <c r="A7204" t="s">
        <v>8</v>
      </c>
      <c r="B7204" t="s">
        <v>19840</v>
      </c>
      <c r="C7204" t="s">
        <v>19841</v>
      </c>
      <c r="D7204">
        <v>1</v>
      </c>
      <c r="E7204" t="s">
        <v>19802</v>
      </c>
      <c r="F7204" t="s">
        <v>19803</v>
      </c>
      <c r="G7204" s="1"/>
      <c r="H7204" t="str">
        <f>"3250613250898"</f>
        <v>3250613250898</v>
      </c>
      <c r="J7204" t="s">
        <v>19842</v>
      </c>
    </row>
    <row r="7205" spans="1:10" x14ac:dyDescent="0.25">
      <c r="A7205" t="s">
        <v>8</v>
      </c>
      <c r="B7205" t="s">
        <v>19843</v>
      </c>
      <c r="C7205" t="s">
        <v>19844</v>
      </c>
      <c r="D7205">
        <v>1</v>
      </c>
      <c r="E7205" t="s">
        <v>19802</v>
      </c>
      <c r="F7205" t="s">
        <v>19803</v>
      </c>
      <c r="G7205" s="1"/>
      <c r="H7205" t="str">
        <f>"3250613250911"</f>
        <v>3250613250911</v>
      </c>
      <c r="J7205" t="s">
        <v>19830</v>
      </c>
    </row>
    <row r="7206" spans="1:10" x14ac:dyDescent="0.25">
      <c r="A7206" t="s">
        <v>8</v>
      </c>
      <c r="B7206" t="s">
        <v>19845</v>
      </c>
      <c r="C7206" t="s">
        <v>19846</v>
      </c>
      <c r="D7206">
        <v>1</v>
      </c>
      <c r="E7206" t="s">
        <v>19802</v>
      </c>
      <c r="F7206" t="s">
        <v>19803</v>
      </c>
      <c r="G7206" s="1"/>
      <c r="H7206" t="str">
        <f>"3250613250935"</f>
        <v>3250613250935</v>
      </c>
      <c r="J7206" t="s">
        <v>19847</v>
      </c>
    </row>
    <row r="7207" spans="1:10" x14ac:dyDescent="0.25">
      <c r="A7207" t="s">
        <v>8</v>
      </c>
      <c r="B7207" t="s">
        <v>19848</v>
      </c>
      <c r="C7207" t="s">
        <v>19849</v>
      </c>
      <c r="D7207">
        <v>1</v>
      </c>
      <c r="E7207" t="s">
        <v>19802</v>
      </c>
      <c r="F7207" t="s">
        <v>19803</v>
      </c>
      <c r="G7207" s="1"/>
      <c r="H7207" t="str">
        <f>"3250613250959"</f>
        <v>3250613250959</v>
      </c>
      <c r="J7207" t="s">
        <v>19819</v>
      </c>
    </row>
    <row r="7208" spans="1:10" x14ac:dyDescent="0.25">
      <c r="A7208" t="s">
        <v>8</v>
      </c>
      <c r="B7208" t="s">
        <v>19850</v>
      </c>
      <c r="C7208" t="s">
        <v>19851</v>
      </c>
      <c r="D7208">
        <v>1</v>
      </c>
      <c r="E7208" t="s">
        <v>19802</v>
      </c>
      <c r="F7208" t="s">
        <v>19803</v>
      </c>
      <c r="G7208" s="1"/>
      <c r="H7208" t="str">
        <f>"3250613250973"</f>
        <v>3250613250973</v>
      </c>
      <c r="J7208" t="s">
        <v>19852</v>
      </c>
    </row>
    <row r="7209" spans="1:10" x14ac:dyDescent="0.25">
      <c r="A7209" t="s">
        <v>8</v>
      </c>
      <c r="B7209" t="s">
        <v>19853</v>
      </c>
      <c r="C7209" t="s">
        <v>19854</v>
      </c>
      <c r="D7209">
        <v>1</v>
      </c>
      <c r="E7209" t="s">
        <v>19802</v>
      </c>
      <c r="F7209" t="s">
        <v>19803</v>
      </c>
      <c r="G7209" s="1"/>
      <c r="H7209" t="str">
        <f>"3250613250997"</f>
        <v>3250613250997</v>
      </c>
      <c r="J7209" t="s">
        <v>19855</v>
      </c>
    </row>
    <row r="7210" spans="1:10" x14ac:dyDescent="0.25">
      <c r="A7210" t="s">
        <v>8</v>
      </c>
      <c r="B7210" t="s">
        <v>19856</v>
      </c>
      <c r="C7210" t="s">
        <v>19857</v>
      </c>
      <c r="D7210">
        <v>1</v>
      </c>
      <c r="E7210" t="s">
        <v>19802</v>
      </c>
      <c r="F7210" t="s">
        <v>19803</v>
      </c>
      <c r="G7210" s="1"/>
      <c r="H7210" t="str">
        <f>"3250613251017"</f>
        <v>3250613251017</v>
      </c>
      <c r="J7210" t="s">
        <v>19858</v>
      </c>
    </row>
    <row r="7211" spans="1:10" x14ac:dyDescent="0.25">
      <c r="A7211" t="s">
        <v>8</v>
      </c>
      <c r="B7211" t="s">
        <v>19859</v>
      </c>
      <c r="C7211" t="s">
        <v>19860</v>
      </c>
      <c r="D7211">
        <v>1</v>
      </c>
      <c r="E7211" t="s">
        <v>19802</v>
      </c>
      <c r="F7211" t="s">
        <v>19803</v>
      </c>
      <c r="G7211" s="1"/>
      <c r="H7211" t="str">
        <f>"3250613251024"</f>
        <v>3250613251024</v>
      </c>
      <c r="J7211" t="s">
        <v>19861</v>
      </c>
    </row>
    <row r="7212" spans="1:10" x14ac:dyDescent="0.25">
      <c r="A7212" t="s">
        <v>8</v>
      </c>
      <c r="B7212" t="s">
        <v>19862</v>
      </c>
      <c r="C7212" t="s">
        <v>19863</v>
      </c>
      <c r="D7212">
        <v>1</v>
      </c>
      <c r="E7212" t="s">
        <v>19802</v>
      </c>
      <c r="F7212" t="s">
        <v>19803</v>
      </c>
      <c r="G7212" s="1"/>
      <c r="H7212" t="str">
        <f>"3250613251048"</f>
        <v>3250613251048</v>
      </c>
      <c r="J7212" t="s">
        <v>19864</v>
      </c>
    </row>
    <row r="7213" spans="1:10" x14ac:dyDescent="0.25">
      <c r="A7213" t="s">
        <v>8</v>
      </c>
      <c r="B7213" t="s">
        <v>19865</v>
      </c>
      <c r="C7213" t="s">
        <v>19866</v>
      </c>
      <c r="D7213">
        <v>1</v>
      </c>
      <c r="E7213" t="s">
        <v>19802</v>
      </c>
      <c r="F7213" t="s">
        <v>19803</v>
      </c>
      <c r="G7213" s="1"/>
      <c r="H7213" t="str">
        <f>"3250613251062"</f>
        <v>3250613251062</v>
      </c>
      <c r="J7213" t="s">
        <v>19867</v>
      </c>
    </row>
    <row r="7214" spans="1:10" x14ac:dyDescent="0.25">
      <c r="A7214" t="s">
        <v>8</v>
      </c>
      <c r="B7214" t="s">
        <v>19868</v>
      </c>
      <c r="C7214" t="s">
        <v>19869</v>
      </c>
      <c r="D7214">
        <v>1</v>
      </c>
      <c r="E7214" t="s">
        <v>19802</v>
      </c>
      <c r="F7214" t="s">
        <v>19803</v>
      </c>
      <c r="G7214" s="1"/>
      <c r="H7214" t="str">
        <f>"3250613251079"</f>
        <v>3250613251079</v>
      </c>
      <c r="J7214" t="s">
        <v>19870</v>
      </c>
    </row>
    <row r="7215" spans="1:10" x14ac:dyDescent="0.25">
      <c r="A7215" t="s">
        <v>8</v>
      </c>
      <c r="B7215" t="s">
        <v>19871</v>
      </c>
      <c r="C7215" t="s">
        <v>19872</v>
      </c>
      <c r="D7215">
        <v>1</v>
      </c>
      <c r="E7215" t="s">
        <v>19802</v>
      </c>
      <c r="F7215" t="s">
        <v>19803</v>
      </c>
      <c r="G7215" s="1"/>
      <c r="H7215" t="str">
        <f>"3250613251093"</f>
        <v>3250613251093</v>
      </c>
      <c r="I7215" s="1"/>
      <c r="J7215" t="s">
        <v>19873</v>
      </c>
    </row>
    <row r="7216" spans="1:10" x14ac:dyDescent="0.25">
      <c r="A7216" t="s">
        <v>8</v>
      </c>
      <c r="B7216" t="s">
        <v>19874</v>
      </c>
      <c r="C7216" t="s">
        <v>19875</v>
      </c>
      <c r="D7216">
        <v>1</v>
      </c>
      <c r="E7216" t="s">
        <v>19802</v>
      </c>
      <c r="F7216" t="s">
        <v>19803</v>
      </c>
      <c r="G7216" s="1"/>
      <c r="H7216" t="str">
        <f>"3250613251116"</f>
        <v>3250613251116</v>
      </c>
      <c r="J7216" t="s">
        <v>19813</v>
      </c>
    </row>
    <row r="7217" spans="1:10" x14ac:dyDescent="0.25">
      <c r="A7217" t="s">
        <v>8</v>
      </c>
      <c r="B7217" t="s">
        <v>19876</v>
      </c>
      <c r="C7217" t="s">
        <v>19877</v>
      </c>
      <c r="D7217">
        <v>1</v>
      </c>
      <c r="E7217" t="s">
        <v>19802</v>
      </c>
      <c r="F7217" t="s">
        <v>19803</v>
      </c>
      <c r="G7217" s="1"/>
      <c r="H7217" t="str">
        <f>"3250613251123"</f>
        <v>3250613251123</v>
      </c>
      <c r="J7217" t="s">
        <v>19878</v>
      </c>
    </row>
    <row r="7218" spans="1:10" x14ac:dyDescent="0.25">
      <c r="A7218" t="s">
        <v>8</v>
      </c>
      <c r="B7218" t="s">
        <v>19879</v>
      </c>
      <c r="C7218" t="s">
        <v>19880</v>
      </c>
      <c r="D7218">
        <v>1</v>
      </c>
      <c r="E7218" t="s">
        <v>19802</v>
      </c>
      <c r="F7218" t="s">
        <v>19803</v>
      </c>
      <c r="G7218" s="1"/>
      <c r="H7218" t="str">
        <f>"3250613251147"</f>
        <v>3250613251147</v>
      </c>
      <c r="J7218" t="s">
        <v>19881</v>
      </c>
    </row>
    <row r="7219" spans="1:10" x14ac:dyDescent="0.25">
      <c r="A7219" t="s">
        <v>8</v>
      </c>
      <c r="B7219" t="s">
        <v>19882</v>
      </c>
      <c r="C7219" t="s">
        <v>19883</v>
      </c>
      <c r="D7219">
        <v>1</v>
      </c>
      <c r="E7219" t="s">
        <v>19802</v>
      </c>
      <c r="F7219" t="s">
        <v>19803</v>
      </c>
      <c r="G7219" s="1"/>
      <c r="H7219" t="str">
        <f>"3250613251161"</f>
        <v>3250613251161</v>
      </c>
      <c r="J7219" t="s">
        <v>19884</v>
      </c>
    </row>
    <row r="7220" spans="1:10" x14ac:dyDescent="0.25">
      <c r="A7220" t="s">
        <v>8</v>
      </c>
      <c r="B7220" t="s">
        <v>19885</v>
      </c>
      <c r="C7220" t="s">
        <v>19886</v>
      </c>
      <c r="D7220">
        <v>1</v>
      </c>
      <c r="E7220" t="s">
        <v>19802</v>
      </c>
      <c r="F7220" t="s">
        <v>19803</v>
      </c>
      <c r="G7220" s="1"/>
      <c r="H7220" t="str">
        <f>"3250613251178"</f>
        <v>3250613251178</v>
      </c>
      <c r="J7220" t="s">
        <v>19887</v>
      </c>
    </row>
    <row r="7221" spans="1:10" x14ac:dyDescent="0.25">
      <c r="A7221" t="s">
        <v>8</v>
      </c>
      <c r="B7221" t="s">
        <v>19888</v>
      </c>
      <c r="C7221" t="s">
        <v>19889</v>
      </c>
      <c r="D7221">
        <v>1</v>
      </c>
      <c r="E7221" t="s">
        <v>19802</v>
      </c>
      <c r="F7221" t="s">
        <v>19803</v>
      </c>
      <c r="G7221" s="1"/>
      <c r="H7221" t="str">
        <f>"3250613251192"</f>
        <v>3250613251192</v>
      </c>
      <c r="J7221" t="s">
        <v>19890</v>
      </c>
    </row>
    <row r="7222" spans="1:10" x14ac:dyDescent="0.25">
      <c r="A7222" t="s">
        <v>8</v>
      </c>
      <c r="B7222" t="s">
        <v>19891</v>
      </c>
      <c r="C7222" t="s">
        <v>19892</v>
      </c>
      <c r="D7222">
        <v>1</v>
      </c>
      <c r="E7222" t="s">
        <v>19802</v>
      </c>
      <c r="F7222" t="s">
        <v>19803</v>
      </c>
      <c r="G7222" s="1"/>
      <c r="H7222" t="str">
        <f>"3250613251215"</f>
        <v>3250613251215</v>
      </c>
      <c r="J7222" t="s">
        <v>19819</v>
      </c>
    </row>
    <row r="7223" spans="1:10" x14ac:dyDescent="0.25">
      <c r="A7223" t="s">
        <v>8</v>
      </c>
      <c r="B7223" t="s">
        <v>19893</v>
      </c>
      <c r="C7223" t="s">
        <v>19894</v>
      </c>
      <c r="D7223">
        <v>1</v>
      </c>
      <c r="E7223" t="s">
        <v>19802</v>
      </c>
      <c r="F7223" t="s">
        <v>19803</v>
      </c>
      <c r="G7223" s="1"/>
      <c r="H7223" t="str">
        <f>"3250613251222"</f>
        <v>3250613251222</v>
      </c>
      <c r="J7223" t="s">
        <v>19895</v>
      </c>
    </row>
    <row r="7224" spans="1:10" x14ac:dyDescent="0.25">
      <c r="A7224" t="s">
        <v>8</v>
      </c>
      <c r="B7224" t="s">
        <v>19896</v>
      </c>
      <c r="C7224" t="s">
        <v>19897</v>
      </c>
      <c r="D7224">
        <v>1</v>
      </c>
      <c r="E7224" t="s">
        <v>19802</v>
      </c>
      <c r="F7224" t="s">
        <v>19803</v>
      </c>
      <c r="G7224" s="1"/>
      <c r="H7224" t="str">
        <f>"3250613251246"</f>
        <v>3250613251246</v>
      </c>
      <c r="J7224" t="s">
        <v>19898</v>
      </c>
    </row>
    <row r="7225" spans="1:10" x14ac:dyDescent="0.25">
      <c r="A7225" t="s">
        <v>8</v>
      </c>
      <c r="B7225" t="s">
        <v>19899</v>
      </c>
      <c r="C7225" t="s">
        <v>19900</v>
      </c>
      <c r="D7225">
        <v>1</v>
      </c>
      <c r="E7225" t="s">
        <v>19802</v>
      </c>
      <c r="F7225" t="s">
        <v>19803</v>
      </c>
      <c r="G7225" s="1"/>
      <c r="H7225" t="str">
        <f>"3250613251260"</f>
        <v>3250613251260</v>
      </c>
      <c r="J7225" t="s">
        <v>19901</v>
      </c>
    </row>
    <row r="7226" spans="1:10" x14ac:dyDescent="0.25">
      <c r="A7226" t="s">
        <v>8</v>
      </c>
      <c r="B7226" t="s">
        <v>19902</v>
      </c>
      <c r="C7226" t="s">
        <v>19903</v>
      </c>
      <c r="D7226">
        <v>1</v>
      </c>
      <c r="E7226" t="s">
        <v>19802</v>
      </c>
      <c r="F7226" t="s">
        <v>19803</v>
      </c>
      <c r="G7226" s="1"/>
      <c r="H7226" t="str">
        <f>"3250613251277"</f>
        <v>3250613251277</v>
      </c>
      <c r="J7226" t="s">
        <v>19904</v>
      </c>
    </row>
    <row r="7227" spans="1:10" x14ac:dyDescent="0.25">
      <c r="A7227" t="s">
        <v>8</v>
      </c>
      <c r="B7227" t="s">
        <v>19905</v>
      </c>
      <c r="C7227" t="s">
        <v>19906</v>
      </c>
      <c r="D7227">
        <v>1</v>
      </c>
      <c r="E7227" t="s">
        <v>19802</v>
      </c>
      <c r="F7227" t="s">
        <v>19803</v>
      </c>
      <c r="G7227" s="1"/>
      <c r="H7227" t="str">
        <f>"3250613251291"</f>
        <v>3250613251291</v>
      </c>
      <c r="J7227" t="s">
        <v>19907</v>
      </c>
    </row>
    <row r="7228" spans="1:10" x14ac:dyDescent="0.25">
      <c r="A7228" t="s">
        <v>8</v>
      </c>
      <c r="B7228" t="s">
        <v>19908</v>
      </c>
      <c r="C7228" t="s">
        <v>19909</v>
      </c>
      <c r="D7228">
        <v>1</v>
      </c>
      <c r="E7228" t="s">
        <v>19802</v>
      </c>
      <c r="F7228" t="s">
        <v>19803</v>
      </c>
      <c r="G7228" s="1"/>
      <c r="H7228" t="str">
        <f>"3250613251314"</f>
        <v>3250613251314</v>
      </c>
      <c r="J7228" t="s">
        <v>19910</v>
      </c>
    </row>
    <row r="7229" spans="1:10" x14ac:dyDescent="0.25">
      <c r="A7229" t="s">
        <v>8</v>
      </c>
      <c r="B7229" t="s">
        <v>19911</v>
      </c>
      <c r="C7229" t="s">
        <v>19912</v>
      </c>
      <c r="D7229">
        <v>1</v>
      </c>
      <c r="E7229" t="s">
        <v>19802</v>
      </c>
      <c r="F7229" t="s">
        <v>19803</v>
      </c>
      <c r="G7229" s="1"/>
      <c r="H7229" t="str">
        <f>"3250613251321"</f>
        <v>3250613251321</v>
      </c>
      <c r="J7229" t="s">
        <v>19913</v>
      </c>
    </row>
    <row r="7230" spans="1:10" x14ac:dyDescent="0.25">
      <c r="A7230" t="s">
        <v>8</v>
      </c>
      <c r="B7230" t="s">
        <v>19914</v>
      </c>
      <c r="C7230" t="s">
        <v>19915</v>
      </c>
      <c r="D7230">
        <v>1</v>
      </c>
      <c r="E7230" t="s">
        <v>19802</v>
      </c>
      <c r="F7230" t="s">
        <v>19803</v>
      </c>
      <c r="G7230" s="1"/>
      <c r="H7230" t="str">
        <f>"3250613251345"</f>
        <v>3250613251345</v>
      </c>
      <c r="J7230" t="s">
        <v>19916</v>
      </c>
    </row>
    <row r="7231" spans="1:10" x14ac:dyDescent="0.25">
      <c r="A7231" t="s">
        <v>8</v>
      </c>
      <c r="B7231" t="s">
        <v>19917</v>
      </c>
      <c r="C7231" t="s">
        <v>19918</v>
      </c>
      <c r="D7231">
        <v>1</v>
      </c>
      <c r="E7231" t="s">
        <v>19802</v>
      </c>
      <c r="F7231" t="s">
        <v>19803</v>
      </c>
      <c r="G7231" s="1"/>
      <c r="H7231" t="str">
        <f>"3250613251369"</f>
        <v>3250613251369</v>
      </c>
      <c r="J7231" t="s">
        <v>19919</v>
      </c>
    </row>
    <row r="7232" spans="1:10" x14ac:dyDescent="0.25">
      <c r="A7232" t="s">
        <v>8</v>
      </c>
      <c r="B7232" t="s">
        <v>19920</v>
      </c>
      <c r="C7232" t="s">
        <v>19921</v>
      </c>
      <c r="D7232">
        <v>1</v>
      </c>
      <c r="E7232" t="s">
        <v>19802</v>
      </c>
      <c r="F7232" t="s">
        <v>19803</v>
      </c>
      <c r="G7232" s="1"/>
      <c r="H7232" t="str">
        <f>"3250613251376"</f>
        <v>3250613251376</v>
      </c>
      <c r="J7232" t="s">
        <v>19922</v>
      </c>
    </row>
    <row r="7233" spans="1:10" x14ac:dyDescent="0.25">
      <c r="A7233" t="s">
        <v>8</v>
      </c>
      <c r="B7233" t="s">
        <v>19923</v>
      </c>
      <c r="C7233" t="s">
        <v>19924</v>
      </c>
      <c r="D7233">
        <v>1</v>
      </c>
      <c r="E7233" t="s">
        <v>19802</v>
      </c>
      <c r="F7233" t="s">
        <v>19803</v>
      </c>
      <c r="G7233" s="1"/>
      <c r="H7233" t="str">
        <f>"3250613251390"</f>
        <v>3250613251390</v>
      </c>
      <c r="J7233" t="s">
        <v>19925</v>
      </c>
    </row>
    <row r="7234" spans="1:10" x14ac:dyDescent="0.25">
      <c r="A7234" t="s">
        <v>8</v>
      </c>
      <c r="B7234" t="s">
        <v>19926</v>
      </c>
      <c r="C7234" t="s">
        <v>19927</v>
      </c>
      <c r="D7234">
        <v>1</v>
      </c>
      <c r="E7234" t="s">
        <v>19802</v>
      </c>
      <c r="F7234" t="s">
        <v>19803</v>
      </c>
      <c r="G7234" s="1"/>
      <c r="H7234" t="str">
        <f>"3250613251413"</f>
        <v>3250613251413</v>
      </c>
      <c r="J7234" t="s">
        <v>19928</v>
      </c>
    </row>
    <row r="7235" spans="1:10" x14ac:dyDescent="0.25">
      <c r="A7235" t="s">
        <v>8</v>
      </c>
      <c r="B7235" t="s">
        <v>19929</v>
      </c>
      <c r="C7235" t="s">
        <v>19930</v>
      </c>
      <c r="D7235">
        <v>1</v>
      </c>
      <c r="E7235" t="s">
        <v>19802</v>
      </c>
      <c r="F7235" t="s">
        <v>19803</v>
      </c>
      <c r="G7235" s="1"/>
      <c r="H7235" t="str">
        <f>"3250613251420"</f>
        <v>3250613251420</v>
      </c>
      <c r="J7235" t="s">
        <v>19887</v>
      </c>
    </row>
    <row r="7236" spans="1:10" x14ac:dyDescent="0.25">
      <c r="A7236" t="s">
        <v>8</v>
      </c>
      <c r="B7236" t="s">
        <v>19931</v>
      </c>
      <c r="C7236" t="s">
        <v>19932</v>
      </c>
      <c r="D7236">
        <v>1</v>
      </c>
      <c r="E7236" t="s">
        <v>19802</v>
      </c>
      <c r="F7236" t="s">
        <v>19803</v>
      </c>
      <c r="G7236" s="1"/>
      <c r="H7236" t="str">
        <f>"3250613251444"</f>
        <v>3250613251444</v>
      </c>
      <c r="J7236" t="s">
        <v>19933</v>
      </c>
    </row>
    <row r="7237" spans="1:10" x14ac:dyDescent="0.25">
      <c r="A7237" t="s">
        <v>8</v>
      </c>
      <c r="B7237" t="s">
        <v>19934</v>
      </c>
      <c r="C7237" t="s">
        <v>19935</v>
      </c>
      <c r="D7237">
        <v>1</v>
      </c>
      <c r="E7237" t="s">
        <v>19802</v>
      </c>
      <c r="F7237" t="s">
        <v>19803</v>
      </c>
      <c r="G7237" s="1"/>
      <c r="H7237" t="str">
        <f>"3250613251468"</f>
        <v>3250613251468</v>
      </c>
      <c r="J7237" t="s">
        <v>19936</v>
      </c>
    </row>
    <row r="7238" spans="1:10" x14ac:dyDescent="0.25">
      <c r="A7238" t="s">
        <v>8</v>
      </c>
      <c r="B7238" t="s">
        <v>19937</v>
      </c>
      <c r="C7238" t="s">
        <v>19938</v>
      </c>
      <c r="D7238">
        <v>1</v>
      </c>
      <c r="E7238" t="s">
        <v>19802</v>
      </c>
      <c r="F7238" t="s">
        <v>19803</v>
      </c>
      <c r="G7238" s="1"/>
      <c r="H7238" t="str">
        <f>"3250613251475"</f>
        <v>3250613251475</v>
      </c>
      <c r="J7238" t="s">
        <v>19939</v>
      </c>
    </row>
    <row r="7239" spans="1:10" x14ac:dyDescent="0.25">
      <c r="A7239" t="s">
        <v>8</v>
      </c>
      <c r="B7239" t="s">
        <v>19940</v>
      </c>
      <c r="C7239" t="s">
        <v>19941</v>
      </c>
      <c r="D7239">
        <v>1</v>
      </c>
      <c r="E7239" t="s">
        <v>19802</v>
      </c>
      <c r="F7239" t="s">
        <v>19803</v>
      </c>
      <c r="G7239" s="1"/>
      <c r="H7239" t="str">
        <f>"3250613251499"</f>
        <v>3250613251499</v>
      </c>
      <c r="J7239" t="s">
        <v>19839</v>
      </c>
    </row>
    <row r="7240" spans="1:10" x14ac:dyDescent="0.25">
      <c r="A7240" t="s">
        <v>8</v>
      </c>
      <c r="B7240" t="s">
        <v>19942</v>
      </c>
      <c r="C7240" t="s">
        <v>19943</v>
      </c>
      <c r="D7240">
        <v>1</v>
      </c>
      <c r="E7240" t="s">
        <v>19802</v>
      </c>
      <c r="F7240" t="s">
        <v>19803</v>
      </c>
      <c r="G7240" s="1"/>
      <c r="H7240" t="str">
        <f>"3250613251512"</f>
        <v>3250613251512</v>
      </c>
      <c r="J7240" t="s">
        <v>19842</v>
      </c>
    </row>
    <row r="7241" spans="1:10" x14ac:dyDescent="0.25">
      <c r="A7241" t="s">
        <v>8</v>
      </c>
      <c r="B7241" t="s">
        <v>19944</v>
      </c>
      <c r="C7241" t="s">
        <v>19945</v>
      </c>
      <c r="D7241">
        <v>1</v>
      </c>
      <c r="E7241" t="s">
        <v>19802</v>
      </c>
      <c r="F7241" t="s">
        <v>19803</v>
      </c>
      <c r="G7241" s="1"/>
      <c r="H7241" t="str">
        <f>"3250610139547"</f>
        <v>3250610139547</v>
      </c>
      <c r="J7241" t="s">
        <v>19804</v>
      </c>
    </row>
    <row r="7242" spans="1:10" x14ac:dyDescent="0.25">
      <c r="A7242" t="s">
        <v>8</v>
      </c>
      <c r="B7242" t="s">
        <v>19946</v>
      </c>
      <c r="C7242" t="s">
        <v>19947</v>
      </c>
      <c r="D7242">
        <v>1</v>
      </c>
      <c r="E7242" t="s">
        <v>19802</v>
      </c>
      <c r="F7242" t="s">
        <v>19803</v>
      </c>
      <c r="G7242" s="1"/>
      <c r="H7242" t="str">
        <f>"3250610139554"</f>
        <v>3250610139554</v>
      </c>
      <c r="J7242" t="s">
        <v>19807</v>
      </c>
    </row>
    <row r="7243" spans="1:10" x14ac:dyDescent="0.25">
      <c r="A7243" t="s">
        <v>8</v>
      </c>
      <c r="B7243" t="s">
        <v>19948</v>
      </c>
      <c r="C7243" t="s">
        <v>19949</v>
      </c>
      <c r="D7243">
        <v>1</v>
      </c>
      <c r="E7243" t="s">
        <v>19802</v>
      </c>
      <c r="F7243" t="s">
        <v>19803</v>
      </c>
      <c r="G7243" s="1"/>
      <c r="H7243" t="str">
        <f>"3250610139561"</f>
        <v>3250610139561</v>
      </c>
      <c r="J7243" t="s">
        <v>19804</v>
      </c>
    </row>
    <row r="7244" spans="1:10" x14ac:dyDescent="0.25">
      <c r="A7244" t="s">
        <v>8</v>
      </c>
      <c r="B7244" t="s">
        <v>19950</v>
      </c>
      <c r="C7244" t="s">
        <v>19951</v>
      </c>
      <c r="D7244">
        <v>1</v>
      </c>
      <c r="E7244" t="s">
        <v>19802</v>
      </c>
      <c r="F7244" t="s">
        <v>19803</v>
      </c>
      <c r="G7244" s="1"/>
      <c r="H7244" t="str">
        <f>"3250610139578"</f>
        <v>3250610139578</v>
      </c>
      <c r="J7244" t="s">
        <v>19807</v>
      </c>
    </row>
    <row r="7245" spans="1:10" x14ac:dyDescent="0.25">
      <c r="A7245" t="s">
        <v>8</v>
      </c>
      <c r="B7245" t="s">
        <v>19952</v>
      </c>
      <c r="C7245" t="s">
        <v>19953</v>
      </c>
      <c r="D7245">
        <v>1</v>
      </c>
      <c r="E7245" t="s">
        <v>19802</v>
      </c>
      <c r="F7245" t="s">
        <v>19803</v>
      </c>
      <c r="G7245" s="1"/>
      <c r="H7245" t="str">
        <f>"3250610139585"</f>
        <v>3250610139585</v>
      </c>
      <c r="J7245" t="s">
        <v>19816</v>
      </c>
    </row>
    <row r="7246" spans="1:10" x14ac:dyDescent="0.25">
      <c r="A7246" t="s">
        <v>8</v>
      </c>
      <c r="B7246" t="s">
        <v>19954</v>
      </c>
      <c r="C7246" t="s">
        <v>19955</v>
      </c>
      <c r="D7246">
        <v>1</v>
      </c>
      <c r="E7246" t="s">
        <v>19802</v>
      </c>
      <c r="F7246" t="s">
        <v>19803</v>
      </c>
      <c r="G7246" s="1"/>
      <c r="H7246" t="str">
        <f>"3250610139592"</f>
        <v>3250610139592</v>
      </c>
      <c r="J7246" t="s">
        <v>19819</v>
      </c>
    </row>
    <row r="7247" spans="1:10" x14ac:dyDescent="0.25">
      <c r="A7247" t="s">
        <v>8</v>
      </c>
      <c r="B7247" t="s">
        <v>19956</v>
      </c>
      <c r="C7247" t="s">
        <v>19957</v>
      </c>
      <c r="D7247">
        <v>1</v>
      </c>
      <c r="E7247" t="s">
        <v>19802</v>
      </c>
      <c r="F7247" t="s">
        <v>19803</v>
      </c>
      <c r="G7247" s="1"/>
      <c r="H7247" t="str">
        <f>"3250610139608"</f>
        <v>3250610139608</v>
      </c>
      <c r="J7247" t="s">
        <v>19816</v>
      </c>
    </row>
    <row r="7248" spans="1:10" x14ac:dyDescent="0.25">
      <c r="A7248" t="s">
        <v>8</v>
      </c>
      <c r="B7248" t="s">
        <v>19958</v>
      </c>
      <c r="C7248" t="s">
        <v>19959</v>
      </c>
      <c r="D7248">
        <v>1</v>
      </c>
      <c r="E7248" t="s">
        <v>19802</v>
      </c>
      <c r="F7248" t="s">
        <v>19803</v>
      </c>
      <c r="G7248" s="1"/>
      <c r="H7248" t="str">
        <f>"3250610139615"</f>
        <v>3250610139615</v>
      </c>
      <c r="J7248" t="s">
        <v>19819</v>
      </c>
    </row>
    <row r="7249" spans="1:10" x14ac:dyDescent="0.25">
      <c r="A7249" t="s">
        <v>8</v>
      </c>
      <c r="B7249" t="s">
        <v>19960</v>
      </c>
      <c r="C7249" t="s">
        <v>19961</v>
      </c>
      <c r="D7249">
        <v>1</v>
      </c>
      <c r="E7249" t="s">
        <v>19802</v>
      </c>
      <c r="F7249" t="s">
        <v>19803</v>
      </c>
      <c r="G7249" s="1"/>
      <c r="H7249" t="str">
        <f>"3250610139622"</f>
        <v>3250610139622</v>
      </c>
      <c r="J7249" t="s">
        <v>19807</v>
      </c>
    </row>
    <row r="7250" spans="1:10" x14ac:dyDescent="0.25">
      <c r="A7250" t="s">
        <v>8</v>
      </c>
      <c r="B7250" t="s">
        <v>19962</v>
      </c>
      <c r="C7250" t="s">
        <v>19963</v>
      </c>
      <c r="D7250">
        <v>1</v>
      </c>
      <c r="E7250" t="s">
        <v>19802</v>
      </c>
      <c r="F7250" t="s">
        <v>19803</v>
      </c>
      <c r="G7250" s="1"/>
      <c r="H7250" t="str">
        <f>"3250610139639"</f>
        <v>3250610139639</v>
      </c>
      <c r="J7250" t="s">
        <v>19830</v>
      </c>
    </row>
    <row r="7251" spans="1:10" x14ac:dyDescent="0.25">
      <c r="A7251" t="s">
        <v>8</v>
      </c>
      <c r="B7251" t="s">
        <v>19964</v>
      </c>
      <c r="C7251" t="s">
        <v>19965</v>
      </c>
      <c r="D7251">
        <v>1</v>
      </c>
      <c r="E7251" t="s">
        <v>19802</v>
      </c>
      <c r="F7251" t="s">
        <v>19803</v>
      </c>
      <c r="G7251" s="1"/>
      <c r="H7251" t="str">
        <f>"3250610139646"</f>
        <v>3250610139646</v>
      </c>
      <c r="J7251" t="s">
        <v>19807</v>
      </c>
    </row>
    <row r="7252" spans="1:10" x14ac:dyDescent="0.25">
      <c r="A7252" t="s">
        <v>8</v>
      </c>
      <c r="B7252" t="s">
        <v>19966</v>
      </c>
      <c r="C7252" t="s">
        <v>19967</v>
      </c>
      <c r="D7252">
        <v>1</v>
      </c>
      <c r="E7252" t="s">
        <v>19802</v>
      </c>
      <c r="F7252" t="s">
        <v>19803</v>
      </c>
      <c r="G7252" s="1"/>
      <c r="H7252" t="str">
        <f>"3250610139653"</f>
        <v>3250610139653</v>
      </c>
      <c r="J7252" t="s">
        <v>19830</v>
      </c>
    </row>
    <row r="7253" spans="1:10" x14ac:dyDescent="0.25">
      <c r="A7253" t="s">
        <v>8</v>
      </c>
      <c r="B7253" t="s">
        <v>19968</v>
      </c>
      <c r="C7253" t="s">
        <v>19969</v>
      </c>
      <c r="D7253">
        <v>1</v>
      </c>
      <c r="E7253" t="s">
        <v>19802</v>
      </c>
      <c r="F7253" t="s">
        <v>19803</v>
      </c>
      <c r="G7253" s="1"/>
      <c r="H7253" t="str">
        <f>"3250610139660"</f>
        <v>3250610139660</v>
      </c>
      <c r="J7253" t="s">
        <v>19839</v>
      </c>
    </row>
    <row r="7254" spans="1:10" x14ac:dyDescent="0.25">
      <c r="A7254" t="s">
        <v>8</v>
      </c>
      <c r="B7254" t="s">
        <v>19970</v>
      </c>
      <c r="C7254" t="s">
        <v>19971</v>
      </c>
      <c r="D7254">
        <v>1</v>
      </c>
      <c r="E7254" t="s">
        <v>19802</v>
      </c>
      <c r="F7254" t="s">
        <v>19803</v>
      </c>
      <c r="G7254" s="1"/>
      <c r="H7254" t="str">
        <f>"3250610139677"</f>
        <v>3250610139677</v>
      </c>
      <c r="J7254" t="s">
        <v>19842</v>
      </c>
    </row>
    <row r="7255" spans="1:10" x14ac:dyDescent="0.25">
      <c r="A7255" t="s">
        <v>8</v>
      </c>
      <c r="B7255" t="s">
        <v>19972</v>
      </c>
      <c r="C7255" t="s">
        <v>19973</v>
      </c>
      <c r="D7255">
        <v>1</v>
      </c>
      <c r="E7255" t="s">
        <v>19802</v>
      </c>
      <c r="F7255" t="s">
        <v>19803</v>
      </c>
      <c r="G7255" s="1"/>
      <c r="H7255" t="str">
        <f>"3250610139684"</f>
        <v>3250610139684</v>
      </c>
      <c r="J7255" t="s">
        <v>19839</v>
      </c>
    </row>
    <row r="7256" spans="1:10" x14ac:dyDescent="0.25">
      <c r="A7256" t="s">
        <v>8</v>
      </c>
      <c r="B7256" t="s">
        <v>19974</v>
      </c>
      <c r="C7256" t="s">
        <v>19975</v>
      </c>
      <c r="D7256">
        <v>1</v>
      </c>
      <c r="E7256" t="s">
        <v>19802</v>
      </c>
      <c r="F7256" t="s">
        <v>19803</v>
      </c>
      <c r="G7256" s="1"/>
      <c r="H7256" t="str">
        <f>"3250610139691"</f>
        <v>3250610139691</v>
      </c>
      <c r="J7256" t="s">
        <v>19842</v>
      </c>
    </row>
    <row r="7257" spans="1:10" x14ac:dyDescent="0.25">
      <c r="A7257" t="s">
        <v>8</v>
      </c>
      <c r="B7257" t="s">
        <v>19976</v>
      </c>
      <c r="C7257" t="s">
        <v>19977</v>
      </c>
      <c r="D7257">
        <v>1</v>
      </c>
      <c r="E7257" t="s">
        <v>19802</v>
      </c>
      <c r="F7257" t="s">
        <v>19803</v>
      </c>
      <c r="G7257" s="1"/>
      <c r="H7257" t="str">
        <f>"3250610139707"</f>
        <v>3250610139707</v>
      </c>
      <c r="J7257" t="s">
        <v>19819</v>
      </c>
    </row>
    <row r="7258" spans="1:10" x14ac:dyDescent="0.25">
      <c r="A7258" t="s">
        <v>8</v>
      </c>
      <c r="B7258" t="s">
        <v>19978</v>
      </c>
      <c r="C7258" t="s">
        <v>19979</v>
      </c>
      <c r="D7258">
        <v>1</v>
      </c>
      <c r="E7258" t="s">
        <v>19802</v>
      </c>
      <c r="F7258" t="s">
        <v>19803</v>
      </c>
      <c r="G7258" s="1"/>
      <c r="H7258" t="str">
        <f>"3250610139714"</f>
        <v>3250610139714</v>
      </c>
      <c r="J7258" t="s">
        <v>19852</v>
      </c>
    </row>
    <row r="7259" spans="1:10" x14ac:dyDescent="0.25">
      <c r="A7259" t="s">
        <v>8</v>
      </c>
      <c r="B7259" t="s">
        <v>19980</v>
      </c>
      <c r="C7259" t="s">
        <v>19981</v>
      </c>
      <c r="D7259">
        <v>1</v>
      </c>
      <c r="E7259" t="s">
        <v>19802</v>
      </c>
      <c r="F7259" t="s">
        <v>19803</v>
      </c>
      <c r="G7259" s="1"/>
      <c r="H7259" t="str">
        <f>"3250610139721"</f>
        <v>3250610139721</v>
      </c>
      <c r="J7259" t="s">
        <v>19819</v>
      </c>
    </row>
    <row r="7260" spans="1:10" x14ac:dyDescent="0.25">
      <c r="A7260" t="s">
        <v>8</v>
      </c>
      <c r="B7260" t="s">
        <v>19982</v>
      </c>
      <c r="C7260" t="s">
        <v>19983</v>
      </c>
      <c r="D7260">
        <v>1</v>
      </c>
      <c r="E7260" t="s">
        <v>19802</v>
      </c>
      <c r="F7260" t="s">
        <v>19803</v>
      </c>
      <c r="G7260" s="1"/>
      <c r="H7260" t="str">
        <f>"3250610139738"</f>
        <v>3250610139738</v>
      </c>
      <c r="J7260" t="s">
        <v>19852</v>
      </c>
    </row>
    <row r="7261" spans="1:10" x14ac:dyDescent="0.25">
      <c r="A7261" t="s">
        <v>8</v>
      </c>
      <c r="B7261" t="s">
        <v>19984</v>
      </c>
      <c r="C7261" t="s">
        <v>19985</v>
      </c>
      <c r="D7261">
        <v>1</v>
      </c>
      <c r="E7261" t="s">
        <v>19802</v>
      </c>
      <c r="F7261" t="s">
        <v>19803</v>
      </c>
      <c r="G7261" s="1"/>
      <c r="H7261" t="str">
        <f>"3250610139783"</f>
        <v>3250610139783</v>
      </c>
      <c r="J7261" t="s">
        <v>19810</v>
      </c>
    </row>
    <row r="7262" spans="1:10" x14ac:dyDescent="0.25">
      <c r="A7262" t="s">
        <v>8</v>
      </c>
      <c r="B7262" t="s">
        <v>19986</v>
      </c>
      <c r="C7262" t="s">
        <v>19987</v>
      </c>
      <c r="D7262">
        <v>1</v>
      </c>
      <c r="E7262" t="s">
        <v>19802</v>
      </c>
      <c r="F7262" t="s">
        <v>19803</v>
      </c>
      <c r="G7262" s="1"/>
      <c r="H7262" t="str">
        <f>"3250610139790"</f>
        <v>3250610139790</v>
      </c>
      <c r="J7262" t="s">
        <v>19813</v>
      </c>
    </row>
    <row r="7263" spans="1:10" x14ac:dyDescent="0.25">
      <c r="A7263" t="s">
        <v>8</v>
      </c>
      <c r="B7263" t="s">
        <v>19988</v>
      </c>
      <c r="C7263" t="s">
        <v>19989</v>
      </c>
      <c r="D7263">
        <v>1</v>
      </c>
      <c r="E7263" t="s">
        <v>19802</v>
      </c>
      <c r="F7263" t="s">
        <v>19803</v>
      </c>
      <c r="G7263" s="1"/>
      <c r="H7263" t="str">
        <f>"3250610139806"</f>
        <v>3250610139806</v>
      </c>
      <c r="J7263" t="s">
        <v>19810</v>
      </c>
    </row>
    <row r="7264" spans="1:10" x14ac:dyDescent="0.25">
      <c r="A7264" t="s">
        <v>8</v>
      </c>
      <c r="B7264" t="s">
        <v>19990</v>
      </c>
      <c r="C7264" t="s">
        <v>19991</v>
      </c>
      <c r="D7264">
        <v>1</v>
      </c>
      <c r="E7264" t="s">
        <v>19802</v>
      </c>
      <c r="F7264" t="s">
        <v>19803</v>
      </c>
      <c r="G7264" s="1"/>
      <c r="H7264" t="str">
        <f>"3250610139813"</f>
        <v>3250610139813</v>
      </c>
      <c r="J7264" t="s">
        <v>19813</v>
      </c>
    </row>
    <row r="7265" spans="1:10" x14ac:dyDescent="0.25">
      <c r="A7265" t="s">
        <v>8</v>
      </c>
      <c r="B7265" t="s">
        <v>19992</v>
      </c>
      <c r="C7265" t="s">
        <v>19993</v>
      </c>
      <c r="D7265">
        <v>1</v>
      </c>
      <c r="E7265" t="s">
        <v>19802</v>
      </c>
      <c r="F7265" t="s">
        <v>19803</v>
      </c>
      <c r="G7265" s="1"/>
      <c r="H7265" t="str">
        <f>"3250610139820"</f>
        <v>3250610139820</v>
      </c>
      <c r="J7265" t="s">
        <v>19822</v>
      </c>
    </row>
    <row r="7266" spans="1:10" x14ac:dyDescent="0.25">
      <c r="A7266" t="s">
        <v>8</v>
      </c>
      <c r="B7266" t="s">
        <v>19994</v>
      </c>
      <c r="C7266" t="s">
        <v>19995</v>
      </c>
      <c r="D7266">
        <v>1</v>
      </c>
      <c r="E7266" t="s">
        <v>19802</v>
      </c>
      <c r="F7266" t="s">
        <v>19803</v>
      </c>
      <c r="G7266" s="1"/>
      <c r="H7266" t="str">
        <f>"3250610139837"</f>
        <v>3250610139837</v>
      </c>
      <c r="J7266" t="s">
        <v>19825</v>
      </c>
    </row>
    <row r="7267" spans="1:10" x14ac:dyDescent="0.25">
      <c r="A7267" t="s">
        <v>8</v>
      </c>
      <c r="B7267" t="s">
        <v>19996</v>
      </c>
      <c r="C7267" t="s">
        <v>19997</v>
      </c>
      <c r="D7267">
        <v>1</v>
      </c>
      <c r="E7267" t="s">
        <v>19802</v>
      </c>
      <c r="F7267" t="s">
        <v>19803</v>
      </c>
      <c r="G7267" s="1"/>
      <c r="H7267" t="str">
        <f>"3250610139844"</f>
        <v>3250610139844</v>
      </c>
      <c r="J7267" t="s">
        <v>19822</v>
      </c>
    </row>
    <row r="7268" spans="1:10" x14ac:dyDescent="0.25">
      <c r="A7268" t="s">
        <v>8</v>
      </c>
      <c r="B7268" t="s">
        <v>19998</v>
      </c>
      <c r="C7268" t="s">
        <v>19999</v>
      </c>
      <c r="D7268">
        <v>1</v>
      </c>
      <c r="E7268" t="s">
        <v>19802</v>
      </c>
      <c r="F7268" t="s">
        <v>19803</v>
      </c>
      <c r="G7268" s="1"/>
      <c r="H7268" t="str">
        <f>"3250610139851"</f>
        <v>3250610139851</v>
      </c>
      <c r="J7268" t="s">
        <v>19825</v>
      </c>
    </row>
    <row r="7269" spans="1:10" x14ac:dyDescent="0.25">
      <c r="A7269" t="s">
        <v>8</v>
      </c>
      <c r="B7269" t="s">
        <v>20000</v>
      </c>
      <c r="C7269" t="s">
        <v>20001</v>
      </c>
      <c r="D7269">
        <v>1</v>
      </c>
      <c r="E7269" t="s">
        <v>19802</v>
      </c>
      <c r="F7269" t="s">
        <v>19803</v>
      </c>
      <c r="G7269" s="1"/>
      <c r="H7269" t="str">
        <f>"3250610139868"</f>
        <v>3250610139868</v>
      </c>
      <c r="J7269" t="s">
        <v>19833</v>
      </c>
    </row>
    <row r="7270" spans="1:10" x14ac:dyDescent="0.25">
      <c r="A7270" t="s">
        <v>8</v>
      </c>
      <c r="B7270" t="s">
        <v>20002</v>
      </c>
      <c r="C7270" t="s">
        <v>20003</v>
      </c>
      <c r="D7270">
        <v>1</v>
      </c>
      <c r="E7270" t="s">
        <v>19802</v>
      </c>
      <c r="F7270" t="s">
        <v>19803</v>
      </c>
      <c r="G7270" s="1"/>
      <c r="H7270" t="str">
        <f>"3250610139875"</f>
        <v>3250610139875</v>
      </c>
      <c r="J7270" t="s">
        <v>19836</v>
      </c>
    </row>
    <row r="7271" spans="1:10" x14ac:dyDescent="0.25">
      <c r="A7271" t="s">
        <v>8</v>
      </c>
      <c r="B7271" t="s">
        <v>20004</v>
      </c>
      <c r="C7271" t="s">
        <v>20005</v>
      </c>
      <c r="D7271">
        <v>1</v>
      </c>
      <c r="E7271" t="s">
        <v>19802</v>
      </c>
      <c r="F7271" t="s">
        <v>19803</v>
      </c>
      <c r="G7271" s="1"/>
      <c r="H7271" t="str">
        <f>"3250610139882"</f>
        <v>3250610139882</v>
      </c>
      <c r="J7271" t="s">
        <v>19833</v>
      </c>
    </row>
    <row r="7272" spans="1:10" x14ac:dyDescent="0.25">
      <c r="A7272" t="s">
        <v>8</v>
      </c>
      <c r="B7272" t="s">
        <v>20006</v>
      </c>
      <c r="C7272" t="s">
        <v>20007</v>
      </c>
      <c r="D7272">
        <v>1</v>
      </c>
      <c r="E7272" t="s">
        <v>19802</v>
      </c>
      <c r="F7272" t="s">
        <v>19803</v>
      </c>
      <c r="G7272" s="1"/>
      <c r="H7272" t="str">
        <f>"3250610139899"</f>
        <v>3250610139899</v>
      </c>
      <c r="J7272" t="s">
        <v>19836</v>
      </c>
    </row>
    <row r="7273" spans="1:10" x14ac:dyDescent="0.25">
      <c r="A7273" t="s">
        <v>8</v>
      </c>
      <c r="B7273" t="s">
        <v>20008</v>
      </c>
      <c r="C7273" t="s">
        <v>20009</v>
      </c>
      <c r="D7273">
        <v>1</v>
      </c>
      <c r="E7273" t="s">
        <v>19802</v>
      </c>
      <c r="F7273" t="s">
        <v>19803</v>
      </c>
      <c r="G7273" s="1"/>
      <c r="H7273" t="str">
        <f>"3250610139905"</f>
        <v>3250610139905</v>
      </c>
      <c r="J7273" t="s">
        <v>19830</v>
      </c>
    </row>
    <row r="7274" spans="1:10" x14ac:dyDescent="0.25">
      <c r="A7274" t="s">
        <v>8</v>
      </c>
      <c r="B7274" t="s">
        <v>20010</v>
      </c>
      <c r="C7274" t="s">
        <v>20011</v>
      </c>
      <c r="D7274">
        <v>1</v>
      </c>
      <c r="E7274" t="s">
        <v>19802</v>
      </c>
      <c r="F7274" t="s">
        <v>19803</v>
      </c>
      <c r="G7274" s="1"/>
      <c r="H7274" t="str">
        <f>"3250610139912"</f>
        <v>3250610139912</v>
      </c>
      <c r="J7274" t="s">
        <v>19847</v>
      </c>
    </row>
    <row r="7275" spans="1:10" x14ac:dyDescent="0.25">
      <c r="A7275" t="s">
        <v>8</v>
      </c>
      <c r="B7275" t="s">
        <v>20012</v>
      </c>
      <c r="C7275" t="s">
        <v>20013</v>
      </c>
      <c r="D7275">
        <v>1</v>
      </c>
      <c r="E7275" t="s">
        <v>19802</v>
      </c>
      <c r="F7275" t="s">
        <v>19803</v>
      </c>
      <c r="G7275" s="1"/>
      <c r="H7275" t="str">
        <f>"3250610139929"</f>
        <v>3250610139929</v>
      </c>
      <c r="J7275" t="s">
        <v>19830</v>
      </c>
    </row>
    <row r="7276" spans="1:10" x14ac:dyDescent="0.25">
      <c r="A7276" t="s">
        <v>8</v>
      </c>
      <c r="B7276" t="s">
        <v>20014</v>
      </c>
      <c r="C7276" t="s">
        <v>20015</v>
      </c>
      <c r="D7276">
        <v>1</v>
      </c>
      <c r="E7276" t="s">
        <v>19802</v>
      </c>
      <c r="F7276" t="s">
        <v>19803</v>
      </c>
      <c r="G7276" s="1"/>
      <c r="H7276" t="str">
        <f>"3250610139936"</f>
        <v>3250610139936</v>
      </c>
      <c r="J7276" t="s">
        <v>19847</v>
      </c>
    </row>
    <row r="7277" spans="1:10" x14ac:dyDescent="0.25">
      <c r="A7277" t="s">
        <v>8</v>
      </c>
      <c r="B7277" t="s">
        <v>20016</v>
      </c>
      <c r="C7277" t="s">
        <v>20017</v>
      </c>
      <c r="D7277">
        <v>1</v>
      </c>
      <c r="E7277" t="s">
        <v>19802</v>
      </c>
      <c r="F7277" t="s">
        <v>19803</v>
      </c>
      <c r="G7277" s="1"/>
      <c r="H7277" t="str">
        <f>"3250610139943"</f>
        <v>3250610139943</v>
      </c>
      <c r="J7277" t="s">
        <v>19855</v>
      </c>
    </row>
    <row r="7278" spans="1:10" x14ac:dyDescent="0.25">
      <c r="A7278" t="s">
        <v>8</v>
      </c>
      <c r="B7278" t="s">
        <v>20018</v>
      </c>
      <c r="C7278" t="s">
        <v>20019</v>
      </c>
      <c r="D7278">
        <v>1</v>
      </c>
      <c r="E7278" t="s">
        <v>19802</v>
      </c>
      <c r="F7278" t="s">
        <v>19803</v>
      </c>
      <c r="G7278" s="1"/>
      <c r="H7278" t="str">
        <f>"3250610139950"</f>
        <v>3250610139950</v>
      </c>
      <c r="J7278" t="s">
        <v>19858</v>
      </c>
    </row>
    <row r="7279" spans="1:10" x14ac:dyDescent="0.25">
      <c r="A7279" t="s">
        <v>8</v>
      </c>
      <c r="B7279" t="s">
        <v>20020</v>
      </c>
      <c r="C7279" t="s">
        <v>20021</v>
      </c>
      <c r="D7279">
        <v>1</v>
      </c>
      <c r="E7279" t="s">
        <v>19802</v>
      </c>
      <c r="F7279" t="s">
        <v>19803</v>
      </c>
      <c r="G7279" s="1"/>
      <c r="H7279" t="str">
        <f>"3250610139967"</f>
        <v>3250610139967</v>
      </c>
      <c r="J7279" t="s">
        <v>19855</v>
      </c>
    </row>
    <row r="7280" spans="1:10" x14ac:dyDescent="0.25">
      <c r="A7280" t="s">
        <v>8</v>
      </c>
      <c r="B7280" t="s">
        <v>20022</v>
      </c>
      <c r="C7280" t="s">
        <v>20023</v>
      </c>
      <c r="D7280">
        <v>1</v>
      </c>
      <c r="E7280" t="s">
        <v>19802</v>
      </c>
      <c r="F7280" t="s">
        <v>19803</v>
      </c>
      <c r="G7280" s="1"/>
      <c r="H7280" t="str">
        <f>"3250610139974"</f>
        <v>3250610139974</v>
      </c>
      <c r="J7280" t="s">
        <v>19858</v>
      </c>
    </row>
    <row r="7281" spans="1:10" x14ac:dyDescent="0.25">
      <c r="A7281" t="s">
        <v>8</v>
      </c>
      <c r="B7281" t="s">
        <v>20024</v>
      </c>
      <c r="C7281" t="s">
        <v>20025</v>
      </c>
      <c r="D7281">
        <v>1</v>
      </c>
      <c r="E7281" t="s">
        <v>19802</v>
      </c>
      <c r="F7281" t="s">
        <v>19803</v>
      </c>
      <c r="G7281" s="1"/>
      <c r="H7281" t="str">
        <f>"3250610140024"</f>
        <v>3250610140024</v>
      </c>
      <c r="J7281" t="s">
        <v>19864</v>
      </c>
    </row>
    <row r="7282" spans="1:10" x14ac:dyDescent="0.25">
      <c r="A7282" t="s">
        <v>8</v>
      </c>
      <c r="B7282" t="s">
        <v>20026</v>
      </c>
      <c r="C7282" t="s">
        <v>20027</v>
      </c>
      <c r="D7282">
        <v>1</v>
      </c>
      <c r="E7282" t="s">
        <v>19802</v>
      </c>
      <c r="F7282" t="s">
        <v>19803</v>
      </c>
      <c r="G7282" s="1"/>
      <c r="H7282" t="str">
        <f>"3250610140031"</f>
        <v>3250610140031</v>
      </c>
      <c r="J7282" t="s">
        <v>19867</v>
      </c>
    </row>
    <row r="7283" spans="1:10" x14ac:dyDescent="0.25">
      <c r="A7283" t="s">
        <v>8</v>
      </c>
      <c r="B7283" t="s">
        <v>20028</v>
      </c>
      <c r="C7283" t="s">
        <v>20029</v>
      </c>
      <c r="D7283">
        <v>1</v>
      </c>
      <c r="E7283" t="s">
        <v>19802</v>
      </c>
      <c r="F7283" t="s">
        <v>19803</v>
      </c>
      <c r="G7283" s="1"/>
      <c r="H7283" t="str">
        <f>"3250610140048"</f>
        <v>3250610140048</v>
      </c>
      <c r="J7283" t="s">
        <v>19864</v>
      </c>
    </row>
    <row r="7284" spans="1:10" x14ac:dyDescent="0.25">
      <c r="A7284" t="s">
        <v>8</v>
      </c>
      <c r="B7284" t="s">
        <v>20030</v>
      </c>
      <c r="C7284" t="s">
        <v>20031</v>
      </c>
      <c r="D7284">
        <v>1</v>
      </c>
      <c r="E7284" t="s">
        <v>19802</v>
      </c>
      <c r="F7284" t="s">
        <v>19803</v>
      </c>
      <c r="G7284" s="1"/>
      <c r="H7284" t="str">
        <f>"3250610140055"</f>
        <v>3250610140055</v>
      </c>
      <c r="J7284" t="s">
        <v>19867</v>
      </c>
    </row>
    <row r="7285" spans="1:10" x14ac:dyDescent="0.25">
      <c r="A7285" t="s">
        <v>8</v>
      </c>
      <c r="B7285" t="s">
        <v>20032</v>
      </c>
      <c r="C7285" t="s">
        <v>20033</v>
      </c>
      <c r="D7285">
        <v>1</v>
      </c>
      <c r="E7285" t="s">
        <v>19802</v>
      </c>
      <c r="F7285" t="s">
        <v>19803</v>
      </c>
      <c r="G7285" s="1"/>
      <c r="H7285" t="str">
        <f>"3250610140062"</f>
        <v>3250610140062</v>
      </c>
      <c r="J7285" t="s">
        <v>19881</v>
      </c>
    </row>
    <row r="7286" spans="1:10" x14ac:dyDescent="0.25">
      <c r="A7286" t="s">
        <v>8</v>
      </c>
      <c r="B7286" t="s">
        <v>20034</v>
      </c>
      <c r="C7286" t="s">
        <v>20035</v>
      </c>
      <c r="D7286">
        <v>1</v>
      </c>
      <c r="E7286" t="s">
        <v>19802</v>
      </c>
      <c r="F7286" t="s">
        <v>19803</v>
      </c>
      <c r="G7286" s="1"/>
      <c r="H7286" t="str">
        <f>"3250610140079"</f>
        <v>3250610140079</v>
      </c>
      <c r="J7286" t="s">
        <v>19884</v>
      </c>
    </row>
    <row r="7287" spans="1:10" x14ac:dyDescent="0.25">
      <c r="A7287" t="s">
        <v>8</v>
      </c>
      <c r="B7287" t="s">
        <v>20036</v>
      </c>
      <c r="C7287" t="s">
        <v>20037</v>
      </c>
      <c r="D7287">
        <v>1</v>
      </c>
      <c r="E7287" t="s">
        <v>19802</v>
      </c>
      <c r="F7287" t="s">
        <v>19803</v>
      </c>
      <c r="G7287" s="1"/>
      <c r="H7287" t="str">
        <f>"3250610140086"</f>
        <v>3250610140086</v>
      </c>
      <c r="J7287" t="s">
        <v>19881</v>
      </c>
    </row>
    <row r="7288" spans="1:10" x14ac:dyDescent="0.25">
      <c r="A7288" t="s">
        <v>8</v>
      </c>
      <c r="B7288" t="s">
        <v>20038</v>
      </c>
      <c r="C7288" t="s">
        <v>20039</v>
      </c>
      <c r="D7288">
        <v>1</v>
      </c>
      <c r="E7288" t="s">
        <v>19802</v>
      </c>
      <c r="F7288" t="s">
        <v>19803</v>
      </c>
      <c r="G7288" s="1"/>
      <c r="H7288" t="str">
        <f>"3250610140093"</f>
        <v>3250610140093</v>
      </c>
      <c r="J7288" t="s">
        <v>19884</v>
      </c>
    </row>
    <row r="7289" spans="1:10" x14ac:dyDescent="0.25">
      <c r="A7289" t="s">
        <v>8</v>
      </c>
      <c r="B7289" t="s">
        <v>20040</v>
      </c>
      <c r="C7289" t="s">
        <v>20041</v>
      </c>
      <c r="D7289">
        <v>1</v>
      </c>
      <c r="E7289" t="s">
        <v>19802</v>
      </c>
      <c r="F7289" t="s">
        <v>19803</v>
      </c>
      <c r="G7289" s="1"/>
      <c r="H7289" t="str">
        <f>"3250610140109"</f>
        <v>3250610140109</v>
      </c>
      <c r="J7289" t="s">
        <v>19898</v>
      </c>
    </row>
    <row r="7290" spans="1:10" x14ac:dyDescent="0.25">
      <c r="A7290" t="s">
        <v>8</v>
      </c>
      <c r="B7290" t="s">
        <v>20042</v>
      </c>
      <c r="C7290" t="s">
        <v>20043</v>
      </c>
      <c r="D7290">
        <v>1</v>
      </c>
      <c r="E7290" t="s">
        <v>19802</v>
      </c>
      <c r="F7290" t="s">
        <v>19803</v>
      </c>
      <c r="G7290" s="1"/>
      <c r="H7290" t="str">
        <f>"3250610140116"</f>
        <v>3250610140116</v>
      </c>
      <c r="J7290" t="s">
        <v>19901</v>
      </c>
    </row>
    <row r="7291" spans="1:10" x14ac:dyDescent="0.25">
      <c r="A7291" t="s">
        <v>8</v>
      </c>
      <c r="B7291" t="s">
        <v>20044</v>
      </c>
      <c r="C7291" t="s">
        <v>20045</v>
      </c>
      <c r="D7291">
        <v>1</v>
      </c>
      <c r="E7291" t="s">
        <v>19802</v>
      </c>
      <c r="F7291" t="s">
        <v>19803</v>
      </c>
      <c r="G7291" s="1"/>
      <c r="H7291" t="str">
        <f>"3250610140123"</f>
        <v>3250610140123</v>
      </c>
      <c r="J7291" t="s">
        <v>19898</v>
      </c>
    </row>
    <row r="7292" spans="1:10" x14ac:dyDescent="0.25">
      <c r="A7292" t="s">
        <v>8</v>
      </c>
      <c r="B7292" t="s">
        <v>20046</v>
      </c>
      <c r="C7292" t="s">
        <v>20047</v>
      </c>
      <c r="D7292">
        <v>1</v>
      </c>
      <c r="E7292" t="s">
        <v>19802</v>
      </c>
      <c r="F7292" t="s">
        <v>19803</v>
      </c>
      <c r="G7292" s="1"/>
      <c r="H7292" t="str">
        <f>"3250610140130"</f>
        <v>3250610140130</v>
      </c>
      <c r="J7292" t="s">
        <v>19901</v>
      </c>
    </row>
    <row r="7293" spans="1:10" x14ac:dyDescent="0.25">
      <c r="A7293" t="s">
        <v>8</v>
      </c>
      <c r="B7293" t="s">
        <v>20048</v>
      </c>
      <c r="C7293" t="s">
        <v>20049</v>
      </c>
      <c r="D7293">
        <v>1</v>
      </c>
      <c r="E7293" t="s">
        <v>19802</v>
      </c>
      <c r="F7293" t="s">
        <v>19803</v>
      </c>
      <c r="G7293" s="1"/>
      <c r="H7293" t="str">
        <f>"3250610140147"</f>
        <v>3250610140147</v>
      </c>
      <c r="J7293" t="s">
        <v>19916</v>
      </c>
    </row>
    <row r="7294" spans="1:10" x14ac:dyDescent="0.25">
      <c r="A7294" t="s">
        <v>8</v>
      </c>
      <c r="B7294" t="s">
        <v>20050</v>
      </c>
      <c r="C7294" t="s">
        <v>20051</v>
      </c>
      <c r="D7294">
        <v>1</v>
      </c>
      <c r="E7294" t="s">
        <v>19802</v>
      </c>
      <c r="F7294" t="s">
        <v>19803</v>
      </c>
      <c r="G7294" s="1"/>
      <c r="H7294" t="str">
        <f>"3250610140154"</f>
        <v>3250610140154</v>
      </c>
      <c r="J7294" t="s">
        <v>19919</v>
      </c>
    </row>
    <row r="7295" spans="1:10" x14ac:dyDescent="0.25">
      <c r="A7295" t="s">
        <v>8</v>
      </c>
      <c r="B7295" t="s">
        <v>20052</v>
      </c>
      <c r="C7295" t="s">
        <v>20053</v>
      </c>
      <c r="D7295">
        <v>1</v>
      </c>
      <c r="E7295" t="s">
        <v>19802</v>
      </c>
      <c r="F7295" t="s">
        <v>19803</v>
      </c>
      <c r="G7295" s="1"/>
      <c r="H7295" t="str">
        <f>"3250610140161"</f>
        <v>3250610140161</v>
      </c>
      <c r="J7295" t="s">
        <v>19916</v>
      </c>
    </row>
    <row r="7296" spans="1:10" x14ac:dyDescent="0.25">
      <c r="A7296" t="s">
        <v>8</v>
      </c>
      <c r="B7296" t="s">
        <v>20054</v>
      </c>
      <c r="C7296" t="s">
        <v>20055</v>
      </c>
      <c r="D7296">
        <v>1</v>
      </c>
      <c r="E7296" t="s">
        <v>19802</v>
      </c>
      <c r="F7296" t="s">
        <v>19803</v>
      </c>
      <c r="G7296" s="1"/>
      <c r="H7296" t="str">
        <f>"3250610140178"</f>
        <v>3250610140178</v>
      </c>
      <c r="J7296" t="s">
        <v>19919</v>
      </c>
    </row>
    <row r="7297" spans="1:10" x14ac:dyDescent="0.25">
      <c r="A7297" t="s">
        <v>8</v>
      </c>
      <c r="B7297" t="s">
        <v>20056</v>
      </c>
      <c r="C7297" t="s">
        <v>20057</v>
      </c>
      <c r="D7297">
        <v>1</v>
      </c>
      <c r="E7297" t="s">
        <v>19802</v>
      </c>
      <c r="F7297" t="s">
        <v>19803</v>
      </c>
      <c r="G7297" s="1"/>
      <c r="H7297" t="str">
        <f>"3250610140185"</f>
        <v>3250610140185</v>
      </c>
      <c r="J7297" t="s">
        <v>19933</v>
      </c>
    </row>
    <row r="7298" spans="1:10" x14ac:dyDescent="0.25">
      <c r="A7298" t="s">
        <v>8</v>
      </c>
      <c r="B7298" t="s">
        <v>20058</v>
      </c>
      <c r="C7298" t="s">
        <v>20059</v>
      </c>
      <c r="D7298">
        <v>1</v>
      </c>
      <c r="E7298" t="s">
        <v>19802</v>
      </c>
      <c r="F7298" t="s">
        <v>19803</v>
      </c>
      <c r="G7298" s="1"/>
      <c r="H7298" t="str">
        <f>"3250610140192"</f>
        <v>3250610140192</v>
      </c>
      <c r="J7298" t="s">
        <v>19936</v>
      </c>
    </row>
    <row r="7299" spans="1:10" x14ac:dyDescent="0.25">
      <c r="A7299" t="s">
        <v>8</v>
      </c>
      <c r="B7299" t="s">
        <v>20060</v>
      </c>
      <c r="C7299" t="s">
        <v>20061</v>
      </c>
      <c r="D7299">
        <v>1</v>
      </c>
      <c r="E7299" t="s">
        <v>19802</v>
      </c>
      <c r="F7299" t="s">
        <v>19803</v>
      </c>
      <c r="G7299" s="1"/>
      <c r="H7299" t="str">
        <f>"3250610140208"</f>
        <v>3250610140208</v>
      </c>
      <c r="J7299" t="s">
        <v>19933</v>
      </c>
    </row>
    <row r="7300" spans="1:10" x14ac:dyDescent="0.25">
      <c r="A7300" t="s">
        <v>8</v>
      </c>
      <c r="B7300" t="s">
        <v>20062</v>
      </c>
      <c r="C7300" t="s">
        <v>20063</v>
      </c>
      <c r="D7300">
        <v>1</v>
      </c>
      <c r="E7300" t="s">
        <v>19802</v>
      </c>
      <c r="F7300" t="s">
        <v>19803</v>
      </c>
      <c r="G7300" s="1"/>
      <c r="H7300" t="str">
        <f>"3250610140215"</f>
        <v>3250610140215</v>
      </c>
      <c r="J7300" t="s">
        <v>19936</v>
      </c>
    </row>
    <row r="7301" spans="1:10" x14ac:dyDescent="0.25">
      <c r="A7301" t="s">
        <v>8</v>
      </c>
      <c r="B7301" t="s">
        <v>20064</v>
      </c>
      <c r="C7301" t="s">
        <v>20065</v>
      </c>
      <c r="D7301">
        <v>1</v>
      </c>
      <c r="E7301" t="s">
        <v>19802</v>
      </c>
      <c r="F7301" t="s">
        <v>19803</v>
      </c>
      <c r="G7301" s="1"/>
      <c r="H7301" t="str">
        <f>"3250610140260"</f>
        <v>3250610140260</v>
      </c>
      <c r="I7301" s="1"/>
      <c r="J7301" t="s">
        <v>19873</v>
      </c>
    </row>
    <row r="7302" spans="1:10" x14ac:dyDescent="0.25">
      <c r="A7302" t="s">
        <v>8</v>
      </c>
      <c r="B7302" t="s">
        <v>20066</v>
      </c>
      <c r="C7302" t="s">
        <v>20067</v>
      </c>
      <c r="D7302">
        <v>1</v>
      </c>
      <c r="E7302" t="s">
        <v>19802</v>
      </c>
      <c r="F7302" t="s">
        <v>19803</v>
      </c>
      <c r="G7302" s="1"/>
      <c r="H7302" t="str">
        <f>"3250610140277"</f>
        <v>3250610140277</v>
      </c>
      <c r="J7302" t="s">
        <v>19813</v>
      </c>
    </row>
    <row r="7303" spans="1:10" x14ac:dyDescent="0.25">
      <c r="A7303" t="s">
        <v>8</v>
      </c>
      <c r="B7303" t="s">
        <v>20068</v>
      </c>
      <c r="C7303" t="s">
        <v>20069</v>
      </c>
      <c r="D7303">
        <v>1</v>
      </c>
      <c r="E7303" t="s">
        <v>19802</v>
      </c>
      <c r="F7303" t="s">
        <v>19803</v>
      </c>
      <c r="G7303" s="1"/>
      <c r="H7303" t="str">
        <f>"3250610140284"</f>
        <v>3250610140284</v>
      </c>
      <c r="I7303" s="1"/>
      <c r="J7303" t="s">
        <v>19873</v>
      </c>
    </row>
    <row r="7304" spans="1:10" x14ac:dyDescent="0.25">
      <c r="A7304" t="s">
        <v>8</v>
      </c>
      <c r="B7304" t="s">
        <v>20070</v>
      </c>
      <c r="C7304" t="s">
        <v>20071</v>
      </c>
      <c r="D7304">
        <v>1</v>
      </c>
      <c r="E7304" t="s">
        <v>19802</v>
      </c>
      <c r="F7304" t="s">
        <v>19803</v>
      </c>
      <c r="G7304" s="1"/>
      <c r="H7304" t="str">
        <f>"3250610140291"</f>
        <v>3250610140291</v>
      </c>
      <c r="J7304" t="s">
        <v>19813</v>
      </c>
    </row>
    <row r="7305" spans="1:10" x14ac:dyDescent="0.25">
      <c r="A7305" t="s">
        <v>8</v>
      </c>
      <c r="B7305" t="s">
        <v>20072</v>
      </c>
      <c r="C7305" t="s">
        <v>20073</v>
      </c>
      <c r="D7305">
        <v>1</v>
      </c>
      <c r="E7305" t="s">
        <v>19802</v>
      </c>
      <c r="F7305" t="s">
        <v>19803</v>
      </c>
      <c r="G7305" s="1"/>
      <c r="H7305" t="str">
        <f>"3250610140307"</f>
        <v>3250610140307</v>
      </c>
      <c r="J7305" t="s">
        <v>19890</v>
      </c>
    </row>
    <row r="7306" spans="1:10" x14ac:dyDescent="0.25">
      <c r="A7306" t="s">
        <v>8</v>
      </c>
      <c r="B7306" t="s">
        <v>20074</v>
      </c>
      <c r="C7306" t="s">
        <v>20075</v>
      </c>
      <c r="D7306">
        <v>1</v>
      </c>
      <c r="E7306" t="s">
        <v>19802</v>
      </c>
      <c r="F7306" t="s">
        <v>19803</v>
      </c>
      <c r="G7306" s="1"/>
      <c r="H7306" t="str">
        <f>"3250610140314"</f>
        <v>3250610140314</v>
      </c>
      <c r="J7306" t="s">
        <v>19819</v>
      </c>
    </row>
    <row r="7307" spans="1:10" x14ac:dyDescent="0.25">
      <c r="A7307" t="s">
        <v>8</v>
      </c>
      <c r="B7307" t="s">
        <v>20076</v>
      </c>
      <c r="C7307" t="s">
        <v>20077</v>
      </c>
      <c r="D7307">
        <v>1</v>
      </c>
      <c r="E7307" t="s">
        <v>19802</v>
      </c>
      <c r="F7307" t="s">
        <v>19803</v>
      </c>
      <c r="G7307" s="1"/>
      <c r="H7307" t="str">
        <f>"3250610140321"</f>
        <v>3250610140321</v>
      </c>
      <c r="J7307" t="s">
        <v>19890</v>
      </c>
    </row>
    <row r="7308" spans="1:10" x14ac:dyDescent="0.25">
      <c r="A7308" t="s">
        <v>8</v>
      </c>
      <c r="B7308" t="s">
        <v>20078</v>
      </c>
      <c r="C7308" t="s">
        <v>20079</v>
      </c>
      <c r="D7308">
        <v>1</v>
      </c>
      <c r="E7308" t="s">
        <v>19802</v>
      </c>
      <c r="F7308" t="s">
        <v>19803</v>
      </c>
      <c r="G7308" s="1"/>
      <c r="H7308" t="str">
        <f>"3250610140338"</f>
        <v>3250610140338</v>
      </c>
      <c r="J7308" t="s">
        <v>19819</v>
      </c>
    </row>
    <row r="7309" spans="1:10" x14ac:dyDescent="0.25">
      <c r="A7309" t="s">
        <v>8</v>
      </c>
      <c r="B7309" t="s">
        <v>20080</v>
      </c>
      <c r="C7309" t="s">
        <v>20081</v>
      </c>
      <c r="D7309">
        <v>1</v>
      </c>
      <c r="E7309" t="s">
        <v>19802</v>
      </c>
      <c r="F7309" t="s">
        <v>19803</v>
      </c>
      <c r="G7309" s="1"/>
      <c r="H7309" t="str">
        <f>"3250610140345"</f>
        <v>3250610140345</v>
      </c>
      <c r="J7309" t="s">
        <v>19907</v>
      </c>
    </row>
    <row r="7310" spans="1:10" x14ac:dyDescent="0.25">
      <c r="A7310" t="s">
        <v>8</v>
      </c>
      <c r="B7310" t="s">
        <v>20082</v>
      </c>
      <c r="C7310" t="s">
        <v>20083</v>
      </c>
      <c r="D7310">
        <v>1</v>
      </c>
      <c r="E7310" t="s">
        <v>19802</v>
      </c>
      <c r="F7310" t="s">
        <v>19803</v>
      </c>
      <c r="G7310" s="1"/>
      <c r="H7310" t="str">
        <f>"3250610140352"</f>
        <v>3250610140352</v>
      </c>
      <c r="J7310" t="s">
        <v>19910</v>
      </c>
    </row>
    <row r="7311" spans="1:10" x14ac:dyDescent="0.25">
      <c r="A7311" t="s">
        <v>8</v>
      </c>
      <c r="B7311" t="s">
        <v>20084</v>
      </c>
      <c r="C7311" t="s">
        <v>20085</v>
      </c>
      <c r="D7311">
        <v>1</v>
      </c>
      <c r="E7311" t="s">
        <v>19802</v>
      </c>
      <c r="F7311" t="s">
        <v>19803</v>
      </c>
      <c r="G7311" s="1"/>
      <c r="H7311" t="str">
        <f>"3250610140369"</f>
        <v>3250610140369</v>
      </c>
      <c r="J7311" t="s">
        <v>19907</v>
      </c>
    </row>
    <row r="7312" spans="1:10" x14ac:dyDescent="0.25">
      <c r="A7312" t="s">
        <v>8</v>
      </c>
      <c r="B7312" t="s">
        <v>20086</v>
      </c>
      <c r="C7312" t="s">
        <v>20087</v>
      </c>
      <c r="D7312">
        <v>1</v>
      </c>
      <c r="E7312" t="s">
        <v>19802</v>
      </c>
      <c r="F7312" t="s">
        <v>19803</v>
      </c>
      <c r="G7312" s="1"/>
      <c r="H7312" t="str">
        <f>"3250610140376"</f>
        <v>3250610140376</v>
      </c>
      <c r="J7312" t="s">
        <v>19910</v>
      </c>
    </row>
    <row r="7313" spans="1:10" x14ac:dyDescent="0.25">
      <c r="A7313" t="s">
        <v>8</v>
      </c>
      <c r="B7313" t="s">
        <v>20088</v>
      </c>
      <c r="C7313" t="s">
        <v>20089</v>
      </c>
      <c r="D7313">
        <v>1</v>
      </c>
      <c r="E7313" t="s">
        <v>19802</v>
      </c>
      <c r="F7313" t="s">
        <v>19803</v>
      </c>
      <c r="G7313" s="1"/>
      <c r="H7313" t="str">
        <f>"3250610140383"</f>
        <v>3250610140383</v>
      </c>
      <c r="J7313" t="s">
        <v>19925</v>
      </c>
    </row>
    <row r="7314" spans="1:10" x14ac:dyDescent="0.25">
      <c r="A7314" t="s">
        <v>8</v>
      </c>
      <c r="B7314" t="s">
        <v>20090</v>
      </c>
      <c r="C7314" t="s">
        <v>20091</v>
      </c>
      <c r="D7314">
        <v>1</v>
      </c>
      <c r="E7314" t="s">
        <v>19802</v>
      </c>
      <c r="F7314" t="s">
        <v>19803</v>
      </c>
      <c r="G7314" s="1"/>
      <c r="H7314" t="str">
        <f>"3250610140390"</f>
        <v>3250610140390</v>
      </c>
      <c r="J7314" t="s">
        <v>19928</v>
      </c>
    </row>
    <row r="7315" spans="1:10" x14ac:dyDescent="0.25">
      <c r="A7315" t="s">
        <v>8</v>
      </c>
      <c r="B7315" t="s">
        <v>20092</v>
      </c>
      <c r="C7315" t="s">
        <v>20093</v>
      </c>
      <c r="D7315">
        <v>1</v>
      </c>
      <c r="E7315" t="s">
        <v>19802</v>
      </c>
      <c r="F7315" t="s">
        <v>19803</v>
      </c>
      <c r="G7315" s="1"/>
      <c r="H7315" t="str">
        <f>"3250610140406"</f>
        <v>3250610140406</v>
      </c>
      <c r="J7315" t="s">
        <v>19925</v>
      </c>
    </row>
    <row r="7316" spans="1:10" x14ac:dyDescent="0.25">
      <c r="A7316" t="s">
        <v>8</v>
      </c>
      <c r="B7316" t="s">
        <v>20094</v>
      </c>
      <c r="C7316" t="s">
        <v>20095</v>
      </c>
      <c r="D7316">
        <v>1</v>
      </c>
      <c r="E7316" t="s">
        <v>19802</v>
      </c>
      <c r="F7316" t="s">
        <v>19803</v>
      </c>
      <c r="G7316" s="1"/>
      <c r="H7316" t="str">
        <f>"3250610140413"</f>
        <v>3250610140413</v>
      </c>
      <c r="J7316" t="s">
        <v>19928</v>
      </c>
    </row>
    <row r="7317" spans="1:10" x14ac:dyDescent="0.25">
      <c r="A7317" t="s">
        <v>8</v>
      </c>
      <c r="B7317" t="s">
        <v>20096</v>
      </c>
      <c r="C7317" t="s">
        <v>20097</v>
      </c>
      <c r="D7317">
        <v>1</v>
      </c>
      <c r="E7317" t="s">
        <v>19802</v>
      </c>
      <c r="F7317" t="s">
        <v>19803</v>
      </c>
      <c r="G7317" s="1"/>
      <c r="H7317" t="str">
        <f>"3250610140420"</f>
        <v>3250610140420</v>
      </c>
      <c r="J7317" t="s">
        <v>19839</v>
      </c>
    </row>
    <row r="7318" spans="1:10" x14ac:dyDescent="0.25">
      <c r="A7318" t="s">
        <v>8</v>
      </c>
      <c r="B7318" t="s">
        <v>20098</v>
      </c>
      <c r="C7318" t="s">
        <v>20099</v>
      </c>
      <c r="D7318">
        <v>1</v>
      </c>
      <c r="E7318" t="s">
        <v>19802</v>
      </c>
      <c r="F7318" t="s">
        <v>19803</v>
      </c>
      <c r="G7318" s="1"/>
      <c r="H7318" t="str">
        <f>"3250610140437"</f>
        <v>3250610140437</v>
      </c>
      <c r="J7318" t="s">
        <v>19842</v>
      </c>
    </row>
    <row r="7319" spans="1:10" x14ac:dyDescent="0.25">
      <c r="A7319" t="s">
        <v>8</v>
      </c>
      <c r="B7319" t="s">
        <v>20100</v>
      </c>
      <c r="C7319" t="s">
        <v>20101</v>
      </c>
      <c r="D7319">
        <v>1</v>
      </c>
      <c r="E7319" t="s">
        <v>19802</v>
      </c>
      <c r="F7319" t="s">
        <v>19803</v>
      </c>
      <c r="G7319" s="1"/>
      <c r="H7319" t="str">
        <f>"3250610140444"</f>
        <v>3250610140444</v>
      </c>
      <c r="J7319" t="s">
        <v>19839</v>
      </c>
    </row>
    <row r="7320" spans="1:10" x14ac:dyDescent="0.25">
      <c r="A7320" t="s">
        <v>8</v>
      </c>
      <c r="B7320" t="s">
        <v>20102</v>
      </c>
      <c r="C7320" t="s">
        <v>20103</v>
      </c>
      <c r="D7320">
        <v>1</v>
      </c>
      <c r="E7320" t="s">
        <v>19802</v>
      </c>
      <c r="F7320" t="s">
        <v>19803</v>
      </c>
      <c r="G7320" s="1"/>
      <c r="H7320" t="str">
        <f>"3250610140451"</f>
        <v>3250610140451</v>
      </c>
      <c r="J7320" t="s">
        <v>19842</v>
      </c>
    </row>
    <row r="7321" spans="1:10" x14ac:dyDescent="0.25">
      <c r="A7321" t="s">
        <v>8</v>
      </c>
      <c r="B7321" t="s">
        <v>20104</v>
      </c>
      <c r="C7321" t="s">
        <v>20105</v>
      </c>
      <c r="D7321">
        <v>1</v>
      </c>
      <c r="E7321" t="s">
        <v>19802</v>
      </c>
      <c r="F7321" t="s">
        <v>19803</v>
      </c>
      <c r="G7321" s="1"/>
      <c r="H7321" t="str">
        <f>"3250610140482"</f>
        <v>3250610140482</v>
      </c>
      <c r="J7321" t="s">
        <v>19861</v>
      </c>
    </row>
    <row r="7322" spans="1:10" x14ac:dyDescent="0.25">
      <c r="A7322" t="s">
        <v>8</v>
      </c>
      <c r="B7322" t="s">
        <v>20106</v>
      </c>
      <c r="C7322" t="s">
        <v>20107</v>
      </c>
      <c r="D7322">
        <v>1</v>
      </c>
      <c r="E7322" t="s">
        <v>19802</v>
      </c>
      <c r="F7322" t="s">
        <v>19803</v>
      </c>
      <c r="G7322" s="1"/>
      <c r="H7322" t="str">
        <f>"3250610140499"</f>
        <v>3250610140499</v>
      </c>
      <c r="J7322" t="s">
        <v>19861</v>
      </c>
    </row>
    <row r="7323" spans="1:10" x14ac:dyDescent="0.25">
      <c r="A7323" t="s">
        <v>8</v>
      </c>
      <c r="B7323" t="s">
        <v>20108</v>
      </c>
      <c r="C7323" t="s">
        <v>20109</v>
      </c>
      <c r="D7323">
        <v>1</v>
      </c>
      <c r="E7323" t="s">
        <v>19802</v>
      </c>
      <c r="F7323" t="s">
        <v>19803</v>
      </c>
      <c r="G7323" s="1"/>
      <c r="H7323" t="str">
        <f>"3250610140505"</f>
        <v>3250610140505</v>
      </c>
      <c r="J7323" t="s">
        <v>19878</v>
      </c>
    </row>
    <row r="7324" spans="1:10" x14ac:dyDescent="0.25">
      <c r="A7324" t="s">
        <v>8</v>
      </c>
      <c r="B7324" t="s">
        <v>20110</v>
      </c>
      <c r="C7324" t="s">
        <v>20111</v>
      </c>
      <c r="D7324">
        <v>1</v>
      </c>
      <c r="E7324" t="s">
        <v>19802</v>
      </c>
      <c r="F7324" t="s">
        <v>19803</v>
      </c>
      <c r="G7324" s="1"/>
      <c r="H7324" t="str">
        <f>"3250610140512"</f>
        <v>3250610140512</v>
      </c>
      <c r="J7324" t="s">
        <v>19878</v>
      </c>
    </row>
    <row r="7325" spans="1:10" x14ac:dyDescent="0.25">
      <c r="A7325" t="s">
        <v>8</v>
      </c>
      <c r="B7325" t="s">
        <v>20112</v>
      </c>
      <c r="C7325" t="s">
        <v>20113</v>
      </c>
      <c r="D7325">
        <v>1</v>
      </c>
      <c r="E7325" t="s">
        <v>19802</v>
      </c>
      <c r="F7325" t="s">
        <v>19803</v>
      </c>
      <c r="G7325" s="1"/>
      <c r="H7325" t="str">
        <f>"3250610140529"</f>
        <v>3250610140529</v>
      </c>
      <c r="J7325" t="s">
        <v>19895</v>
      </c>
    </row>
    <row r="7326" spans="1:10" x14ac:dyDescent="0.25">
      <c r="A7326" t="s">
        <v>8</v>
      </c>
      <c r="B7326" t="s">
        <v>20114</v>
      </c>
      <c r="C7326" t="s">
        <v>20115</v>
      </c>
      <c r="D7326">
        <v>1</v>
      </c>
      <c r="E7326" t="s">
        <v>19802</v>
      </c>
      <c r="F7326" t="s">
        <v>19803</v>
      </c>
      <c r="G7326" s="1"/>
      <c r="H7326" t="str">
        <f>"3250610140536"</f>
        <v>3250610140536</v>
      </c>
      <c r="J7326" t="s">
        <v>19895</v>
      </c>
    </row>
    <row r="7327" spans="1:10" x14ac:dyDescent="0.25">
      <c r="A7327" t="s">
        <v>8</v>
      </c>
      <c r="B7327" t="s">
        <v>20116</v>
      </c>
      <c r="C7327" t="s">
        <v>20117</v>
      </c>
      <c r="D7327">
        <v>1</v>
      </c>
      <c r="E7327" t="s">
        <v>19802</v>
      </c>
      <c r="F7327" t="s">
        <v>19803</v>
      </c>
      <c r="G7327" s="1"/>
      <c r="H7327" t="str">
        <f>"3250610140543"</f>
        <v>3250610140543</v>
      </c>
      <c r="J7327" t="s">
        <v>19913</v>
      </c>
    </row>
    <row r="7328" spans="1:10" x14ac:dyDescent="0.25">
      <c r="A7328" t="s">
        <v>8</v>
      </c>
      <c r="B7328" t="s">
        <v>20118</v>
      </c>
      <c r="C7328" t="s">
        <v>20119</v>
      </c>
      <c r="D7328">
        <v>1</v>
      </c>
      <c r="E7328" t="s">
        <v>19802</v>
      </c>
      <c r="F7328" t="s">
        <v>19803</v>
      </c>
      <c r="G7328" s="1"/>
      <c r="H7328" t="str">
        <f>"3250610140550"</f>
        <v>3250610140550</v>
      </c>
      <c r="J7328" t="s">
        <v>19913</v>
      </c>
    </row>
    <row r="7329" spans="1:10" x14ac:dyDescent="0.25">
      <c r="A7329" t="s">
        <v>8</v>
      </c>
      <c r="B7329" t="s">
        <v>20120</v>
      </c>
      <c r="C7329" t="s">
        <v>20121</v>
      </c>
      <c r="D7329">
        <v>1</v>
      </c>
      <c r="E7329" t="s">
        <v>19802</v>
      </c>
      <c r="F7329" t="s">
        <v>19803</v>
      </c>
      <c r="G7329" s="1"/>
      <c r="H7329" t="str">
        <f>"3250610140567"</f>
        <v>3250610140567</v>
      </c>
      <c r="J7329" t="s">
        <v>19887</v>
      </c>
    </row>
    <row r="7330" spans="1:10" x14ac:dyDescent="0.25">
      <c r="A7330" t="s">
        <v>8</v>
      </c>
      <c r="B7330" t="s">
        <v>20122</v>
      </c>
      <c r="C7330" t="s">
        <v>20123</v>
      </c>
      <c r="D7330">
        <v>1</v>
      </c>
      <c r="E7330" t="s">
        <v>19802</v>
      </c>
      <c r="F7330" t="s">
        <v>19803</v>
      </c>
      <c r="G7330" s="1"/>
      <c r="H7330" t="str">
        <f>"3250610140574"</f>
        <v>3250610140574</v>
      </c>
      <c r="J7330" t="s">
        <v>19887</v>
      </c>
    </row>
    <row r="7331" spans="1:10" x14ac:dyDescent="0.25">
      <c r="A7331" t="s">
        <v>8</v>
      </c>
      <c r="B7331" t="s">
        <v>20124</v>
      </c>
      <c r="C7331" t="s">
        <v>20125</v>
      </c>
      <c r="D7331">
        <v>1</v>
      </c>
      <c r="E7331" t="s">
        <v>19802</v>
      </c>
      <c r="F7331" t="s">
        <v>19803</v>
      </c>
      <c r="G7331" s="1"/>
      <c r="H7331" t="str">
        <f>"3250610140604"</f>
        <v>3250610140604</v>
      </c>
      <c r="J7331" t="s">
        <v>19870</v>
      </c>
    </row>
    <row r="7332" spans="1:10" x14ac:dyDescent="0.25">
      <c r="A7332" t="s">
        <v>8</v>
      </c>
      <c r="B7332" t="s">
        <v>20126</v>
      </c>
      <c r="C7332" t="s">
        <v>20127</v>
      </c>
      <c r="D7332">
        <v>1</v>
      </c>
      <c r="E7332" t="s">
        <v>19802</v>
      </c>
      <c r="F7332" t="s">
        <v>19803</v>
      </c>
      <c r="G7332" s="1"/>
      <c r="H7332" t="str">
        <f>"3250610140611"</f>
        <v>3250610140611</v>
      </c>
      <c r="J7332" t="s">
        <v>19870</v>
      </c>
    </row>
    <row r="7333" spans="1:10" x14ac:dyDescent="0.25">
      <c r="A7333" t="s">
        <v>8</v>
      </c>
      <c r="B7333" t="s">
        <v>20128</v>
      </c>
      <c r="C7333" t="s">
        <v>20129</v>
      </c>
      <c r="D7333">
        <v>1</v>
      </c>
      <c r="E7333" t="s">
        <v>19802</v>
      </c>
      <c r="F7333" t="s">
        <v>19803</v>
      </c>
      <c r="G7333" s="1"/>
      <c r="H7333" t="str">
        <f>"3250610140628"</f>
        <v>3250610140628</v>
      </c>
      <c r="J7333" t="s">
        <v>19887</v>
      </c>
    </row>
    <row r="7334" spans="1:10" x14ac:dyDescent="0.25">
      <c r="A7334" t="s">
        <v>8</v>
      </c>
      <c r="B7334" t="s">
        <v>20130</v>
      </c>
      <c r="C7334" t="s">
        <v>20131</v>
      </c>
      <c r="D7334">
        <v>1</v>
      </c>
      <c r="E7334" t="s">
        <v>19802</v>
      </c>
      <c r="F7334" t="s">
        <v>19803</v>
      </c>
      <c r="G7334" s="1"/>
      <c r="H7334" t="str">
        <f>"3250610140635"</f>
        <v>3250610140635</v>
      </c>
      <c r="J7334" t="s">
        <v>19887</v>
      </c>
    </row>
    <row r="7335" spans="1:10" x14ac:dyDescent="0.25">
      <c r="A7335" t="s">
        <v>8</v>
      </c>
      <c r="B7335" t="s">
        <v>20132</v>
      </c>
      <c r="C7335" t="s">
        <v>20133</v>
      </c>
      <c r="D7335">
        <v>1</v>
      </c>
      <c r="E7335" t="s">
        <v>19802</v>
      </c>
      <c r="F7335" t="s">
        <v>19803</v>
      </c>
      <c r="G7335" s="1"/>
      <c r="H7335" t="str">
        <f>"3250610140642"</f>
        <v>3250610140642</v>
      </c>
      <c r="J7335" t="s">
        <v>19904</v>
      </c>
    </row>
    <row r="7336" spans="1:10" x14ac:dyDescent="0.25">
      <c r="A7336" t="s">
        <v>8</v>
      </c>
      <c r="B7336" t="s">
        <v>20134</v>
      </c>
      <c r="C7336" t="s">
        <v>20135</v>
      </c>
      <c r="D7336">
        <v>1</v>
      </c>
      <c r="E7336" t="s">
        <v>19802</v>
      </c>
      <c r="F7336" t="s">
        <v>19803</v>
      </c>
      <c r="G7336" s="1"/>
      <c r="H7336" t="str">
        <f>"3250610140659"</f>
        <v>3250610140659</v>
      </c>
      <c r="J7336" t="s">
        <v>19904</v>
      </c>
    </row>
    <row r="7337" spans="1:10" x14ac:dyDescent="0.25">
      <c r="A7337" t="s">
        <v>8</v>
      </c>
      <c r="B7337" t="s">
        <v>20136</v>
      </c>
      <c r="C7337" t="s">
        <v>20137</v>
      </c>
      <c r="D7337">
        <v>1</v>
      </c>
      <c r="E7337" t="s">
        <v>19802</v>
      </c>
      <c r="F7337" t="s">
        <v>19803</v>
      </c>
      <c r="G7337" s="1"/>
      <c r="H7337" t="str">
        <f>"3250610140666"</f>
        <v>3250610140666</v>
      </c>
      <c r="J7337" t="s">
        <v>19922</v>
      </c>
    </row>
    <row r="7338" spans="1:10" x14ac:dyDescent="0.25">
      <c r="A7338" t="s">
        <v>8</v>
      </c>
      <c r="B7338" t="s">
        <v>20138</v>
      </c>
      <c r="C7338" t="s">
        <v>20139</v>
      </c>
      <c r="D7338">
        <v>1</v>
      </c>
      <c r="E7338" t="s">
        <v>19802</v>
      </c>
      <c r="F7338" t="s">
        <v>19803</v>
      </c>
      <c r="G7338" s="1"/>
      <c r="H7338" t="str">
        <f>"3250610140673"</f>
        <v>3250610140673</v>
      </c>
      <c r="J7338" t="s">
        <v>19922</v>
      </c>
    </row>
    <row r="7339" spans="1:10" x14ac:dyDescent="0.25">
      <c r="A7339" t="s">
        <v>8</v>
      </c>
      <c r="B7339" t="s">
        <v>20140</v>
      </c>
      <c r="C7339" t="s">
        <v>20141</v>
      </c>
      <c r="D7339">
        <v>1</v>
      </c>
      <c r="E7339" t="s">
        <v>19802</v>
      </c>
      <c r="F7339" t="s">
        <v>19803</v>
      </c>
      <c r="G7339" s="1"/>
      <c r="H7339" t="str">
        <f>"3250610140680"</f>
        <v>3250610140680</v>
      </c>
      <c r="J7339" t="s">
        <v>19939</v>
      </c>
    </row>
    <row r="7340" spans="1:10" x14ac:dyDescent="0.25">
      <c r="A7340" t="s">
        <v>8</v>
      </c>
      <c r="B7340" t="s">
        <v>20142</v>
      </c>
      <c r="C7340" t="s">
        <v>20143</v>
      </c>
      <c r="D7340">
        <v>1</v>
      </c>
      <c r="E7340" t="s">
        <v>19802</v>
      </c>
      <c r="F7340" t="s">
        <v>19803</v>
      </c>
      <c r="G7340" s="1"/>
      <c r="H7340" t="str">
        <f>"3250610140697"</f>
        <v>3250610140697</v>
      </c>
      <c r="J7340" t="s">
        <v>19939</v>
      </c>
    </row>
    <row r="7341" spans="1:10" x14ac:dyDescent="0.25">
      <c r="A7341" t="s">
        <v>8</v>
      </c>
      <c r="B7341" t="s">
        <v>20144</v>
      </c>
      <c r="C7341" t="s">
        <v>20145</v>
      </c>
      <c r="D7341">
        <v>1</v>
      </c>
      <c r="E7341" t="s">
        <v>20146</v>
      </c>
      <c r="F7341" t="s">
        <v>20147</v>
      </c>
      <c r="G7341" s="1"/>
      <c r="H7341" t="str">
        <f>"3250610087794"</f>
        <v>3250610087794</v>
      </c>
      <c r="J7341" t="s">
        <v>20148</v>
      </c>
    </row>
    <row r="7342" spans="1:10" x14ac:dyDescent="0.25">
      <c r="A7342" t="s">
        <v>8</v>
      </c>
      <c r="B7342" t="s">
        <v>20149</v>
      </c>
      <c r="C7342" t="s">
        <v>20150</v>
      </c>
      <c r="D7342">
        <v>1</v>
      </c>
      <c r="E7342" t="s">
        <v>20146</v>
      </c>
      <c r="F7342" t="s">
        <v>20147</v>
      </c>
      <c r="G7342" s="1"/>
      <c r="H7342" t="str">
        <f>"3250610087770"</f>
        <v>3250610087770</v>
      </c>
      <c r="J7342" t="s">
        <v>20151</v>
      </c>
    </row>
    <row r="7343" spans="1:10" x14ac:dyDescent="0.25">
      <c r="A7343" t="s">
        <v>8</v>
      </c>
      <c r="B7343" t="s">
        <v>20152</v>
      </c>
      <c r="C7343" t="s">
        <v>20153</v>
      </c>
      <c r="D7343">
        <v>1</v>
      </c>
      <c r="E7343" t="s">
        <v>20154</v>
      </c>
      <c r="F7343" t="s">
        <v>20155</v>
      </c>
      <c r="G7343" s="1"/>
      <c r="H7343" t="str">
        <f>"3250613251635"</f>
        <v>3250613251635</v>
      </c>
      <c r="J7343" t="s">
        <v>20156</v>
      </c>
    </row>
    <row r="7344" spans="1:10" x14ac:dyDescent="0.25">
      <c r="A7344" t="s">
        <v>8</v>
      </c>
      <c r="B7344" t="s">
        <v>20157</v>
      </c>
      <c r="C7344" t="s">
        <v>20158</v>
      </c>
      <c r="D7344">
        <v>1</v>
      </c>
      <c r="E7344" t="s">
        <v>20154</v>
      </c>
      <c r="F7344" t="s">
        <v>20155</v>
      </c>
      <c r="G7344" s="1"/>
      <c r="H7344" t="str">
        <f>"3250610017951"</f>
        <v>3250610017951</v>
      </c>
      <c r="J7344" t="s">
        <v>20159</v>
      </c>
    </row>
    <row r="7345" spans="1:10" x14ac:dyDescent="0.25">
      <c r="A7345" t="s">
        <v>8</v>
      </c>
      <c r="B7345" t="s">
        <v>20160</v>
      </c>
      <c r="C7345" t="s">
        <v>20161</v>
      </c>
      <c r="D7345">
        <v>1</v>
      </c>
      <c r="E7345" t="s">
        <v>20154</v>
      </c>
      <c r="F7345" t="s">
        <v>20155</v>
      </c>
      <c r="G7345" s="1"/>
      <c r="H7345" t="str">
        <f>"3250610017968"</f>
        <v>3250610017968</v>
      </c>
      <c r="J7345" t="s">
        <v>20159</v>
      </c>
    </row>
    <row r="7346" spans="1:10" x14ac:dyDescent="0.25">
      <c r="A7346" t="s">
        <v>8</v>
      </c>
      <c r="B7346" t="s">
        <v>20162</v>
      </c>
      <c r="C7346" t="s">
        <v>20163</v>
      </c>
      <c r="D7346">
        <v>1</v>
      </c>
      <c r="E7346" t="s">
        <v>20154</v>
      </c>
      <c r="F7346" t="s">
        <v>20155</v>
      </c>
      <c r="G7346" s="1"/>
      <c r="H7346" t="str">
        <f>"3250610017975"</f>
        <v>3250610017975</v>
      </c>
      <c r="J7346" t="s">
        <v>20159</v>
      </c>
    </row>
    <row r="7347" spans="1:10" x14ac:dyDescent="0.25">
      <c r="A7347" t="s">
        <v>8</v>
      </c>
      <c r="B7347" t="s">
        <v>20164</v>
      </c>
      <c r="C7347" t="s">
        <v>20165</v>
      </c>
      <c r="D7347">
        <v>1</v>
      </c>
      <c r="E7347" t="s">
        <v>20154</v>
      </c>
      <c r="F7347" t="s">
        <v>20155</v>
      </c>
      <c r="G7347" s="1"/>
      <c r="H7347" t="str">
        <f>"3250610017982"</f>
        <v>3250610017982</v>
      </c>
      <c r="J7347" t="s">
        <v>20159</v>
      </c>
    </row>
    <row r="7348" spans="1:10" x14ac:dyDescent="0.25">
      <c r="A7348" t="s">
        <v>8</v>
      </c>
      <c r="B7348" t="s">
        <v>20166</v>
      </c>
      <c r="C7348" t="s">
        <v>20167</v>
      </c>
      <c r="D7348">
        <v>1</v>
      </c>
      <c r="E7348" t="s">
        <v>20154</v>
      </c>
      <c r="F7348" t="s">
        <v>20155</v>
      </c>
      <c r="G7348" s="1"/>
      <c r="H7348" t="str">
        <f>"3250613156442"</f>
        <v>3250613156442</v>
      </c>
      <c r="J7348" t="s">
        <v>20168</v>
      </c>
    </row>
    <row r="7349" spans="1:10" x14ac:dyDescent="0.25">
      <c r="A7349" t="s">
        <v>8</v>
      </c>
      <c r="B7349" t="s">
        <v>20169</v>
      </c>
      <c r="C7349" t="s">
        <v>20170</v>
      </c>
      <c r="D7349">
        <v>1</v>
      </c>
      <c r="E7349" t="s">
        <v>20154</v>
      </c>
      <c r="F7349" t="s">
        <v>20155</v>
      </c>
      <c r="G7349" s="1"/>
      <c r="H7349" t="str">
        <f>"3250613156466"</f>
        <v>3250613156466</v>
      </c>
      <c r="J7349" t="s">
        <v>20171</v>
      </c>
    </row>
    <row r="7350" spans="1:10" x14ac:dyDescent="0.25">
      <c r="A7350" t="s">
        <v>8</v>
      </c>
      <c r="B7350" t="s">
        <v>20172</v>
      </c>
      <c r="C7350" t="s">
        <v>20173</v>
      </c>
      <c r="D7350">
        <v>1</v>
      </c>
      <c r="E7350" t="s">
        <v>20154</v>
      </c>
      <c r="F7350" t="s">
        <v>20155</v>
      </c>
      <c r="G7350" s="1"/>
      <c r="H7350" t="str">
        <f>"3250613251529"</f>
        <v>3250613251529</v>
      </c>
      <c r="J7350" t="s">
        <v>20174</v>
      </c>
    </row>
    <row r="7351" spans="1:10" x14ac:dyDescent="0.25">
      <c r="A7351" t="s">
        <v>8</v>
      </c>
      <c r="B7351" t="s">
        <v>20175</v>
      </c>
      <c r="C7351" t="s">
        <v>20176</v>
      </c>
      <c r="D7351">
        <v>1</v>
      </c>
      <c r="E7351" t="s">
        <v>20154</v>
      </c>
      <c r="F7351" t="s">
        <v>20155</v>
      </c>
      <c r="G7351" s="1"/>
      <c r="H7351" t="str">
        <f>"3250613251536"</f>
        <v>3250613251536</v>
      </c>
      <c r="J7351" t="s">
        <v>20174</v>
      </c>
    </row>
    <row r="7352" spans="1:10" x14ac:dyDescent="0.25">
      <c r="A7352" t="s">
        <v>8</v>
      </c>
      <c r="B7352" t="s">
        <v>20177</v>
      </c>
      <c r="C7352" t="s">
        <v>20178</v>
      </c>
      <c r="D7352">
        <v>1</v>
      </c>
      <c r="E7352" t="s">
        <v>20154</v>
      </c>
      <c r="F7352" t="s">
        <v>20155</v>
      </c>
      <c r="G7352" s="1"/>
      <c r="H7352" t="str">
        <f>"3250613251543"</f>
        <v>3250613251543</v>
      </c>
      <c r="J7352" t="s">
        <v>20179</v>
      </c>
    </row>
    <row r="7353" spans="1:10" x14ac:dyDescent="0.25">
      <c r="A7353" t="s">
        <v>8</v>
      </c>
      <c r="B7353" t="s">
        <v>20180</v>
      </c>
      <c r="C7353" t="s">
        <v>20181</v>
      </c>
      <c r="D7353">
        <v>1</v>
      </c>
      <c r="E7353" t="s">
        <v>20154</v>
      </c>
      <c r="F7353" t="s">
        <v>20155</v>
      </c>
      <c r="G7353" s="1"/>
      <c r="H7353" t="str">
        <f>"3250613251550"</f>
        <v>3250613251550</v>
      </c>
      <c r="J7353" t="s">
        <v>20182</v>
      </c>
    </row>
    <row r="7354" spans="1:10" x14ac:dyDescent="0.25">
      <c r="A7354" t="s">
        <v>8</v>
      </c>
      <c r="B7354" t="s">
        <v>20183</v>
      </c>
      <c r="C7354" t="s">
        <v>20184</v>
      </c>
      <c r="D7354">
        <v>1</v>
      </c>
      <c r="E7354" t="s">
        <v>20154</v>
      </c>
      <c r="F7354" t="s">
        <v>20155</v>
      </c>
      <c r="G7354" s="1"/>
      <c r="H7354" t="str">
        <f>"3250613251642"</f>
        <v>3250613251642</v>
      </c>
      <c r="J7354" t="s">
        <v>20185</v>
      </c>
    </row>
    <row r="7355" spans="1:10" x14ac:dyDescent="0.25">
      <c r="A7355" t="s">
        <v>8</v>
      </c>
      <c r="B7355" t="s">
        <v>20186</v>
      </c>
      <c r="C7355" t="s">
        <v>20187</v>
      </c>
      <c r="D7355">
        <v>1</v>
      </c>
      <c r="E7355" t="s">
        <v>20154</v>
      </c>
      <c r="F7355" t="s">
        <v>20155</v>
      </c>
      <c r="G7355" s="1"/>
      <c r="H7355" t="str">
        <f>"3250613251659"</f>
        <v>3250613251659</v>
      </c>
      <c r="J7355" t="s">
        <v>20188</v>
      </c>
    </row>
    <row r="7356" spans="1:10" x14ac:dyDescent="0.25">
      <c r="A7356" t="s">
        <v>8</v>
      </c>
      <c r="B7356" t="s">
        <v>20189</v>
      </c>
      <c r="C7356" t="s">
        <v>20190</v>
      </c>
      <c r="D7356">
        <v>1</v>
      </c>
      <c r="E7356" t="s">
        <v>20154</v>
      </c>
      <c r="F7356" t="s">
        <v>20155</v>
      </c>
      <c r="G7356" s="1"/>
      <c r="H7356" t="str">
        <f>"3250610017999"</f>
        <v>3250610017999</v>
      </c>
      <c r="J7356" t="s">
        <v>20191</v>
      </c>
    </row>
    <row r="7357" spans="1:10" x14ac:dyDescent="0.25">
      <c r="A7357" t="s">
        <v>8</v>
      </c>
      <c r="B7357" t="s">
        <v>20192</v>
      </c>
      <c r="C7357" t="s">
        <v>20193</v>
      </c>
      <c r="D7357">
        <v>1</v>
      </c>
      <c r="E7357" t="s">
        <v>20154</v>
      </c>
      <c r="F7357" t="s">
        <v>20155</v>
      </c>
      <c r="G7357" s="1"/>
      <c r="H7357" t="str">
        <f>"3250610018002"</f>
        <v>3250610018002</v>
      </c>
      <c r="J7357" t="s">
        <v>20191</v>
      </c>
    </row>
    <row r="7358" spans="1:10" x14ac:dyDescent="0.25">
      <c r="A7358" t="s">
        <v>8</v>
      </c>
      <c r="B7358" t="s">
        <v>20194</v>
      </c>
      <c r="C7358" t="s">
        <v>20195</v>
      </c>
      <c r="D7358">
        <v>1</v>
      </c>
      <c r="E7358" t="s">
        <v>20154</v>
      </c>
      <c r="F7358" t="s">
        <v>20155</v>
      </c>
      <c r="G7358" s="1"/>
      <c r="H7358" t="str">
        <f>"3250610018019"</f>
        <v>3250610018019</v>
      </c>
      <c r="J7358" t="s">
        <v>20196</v>
      </c>
    </row>
    <row r="7359" spans="1:10" x14ac:dyDescent="0.25">
      <c r="A7359" t="s">
        <v>8</v>
      </c>
      <c r="B7359" t="s">
        <v>20197</v>
      </c>
      <c r="C7359" t="s">
        <v>20198</v>
      </c>
      <c r="D7359">
        <v>1</v>
      </c>
      <c r="E7359" t="s">
        <v>20154</v>
      </c>
      <c r="F7359" t="s">
        <v>20155</v>
      </c>
      <c r="G7359" s="1"/>
      <c r="H7359" t="str">
        <f>"3250610018026"</f>
        <v>3250610018026</v>
      </c>
      <c r="J7359" t="s">
        <v>20199</v>
      </c>
    </row>
    <row r="7360" spans="1:10" x14ac:dyDescent="0.25">
      <c r="A7360" t="s">
        <v>8</v>
      </c>
      <c r="B7360" t="s">
        <v>20200</v>
      </c>
      <c r="C7360" t="s">
        <v>20201</v>
      </c>
      <c r="D7360">
        <v>1</v>
      </c>
      <c r="E7360" t="s">
        <v>20154</v>
      </c>
      <c r="F7360" t="s">
        <v>20155</v>
      </c>
      <c r="G7360" s="1"/>
      <c r="H7360" t="str">
        <f>"3250610018033"</f>
        <v>3250610018033</v>
      </c>
      <c r="J7360" t="s">
        <v>20202</v>
      </c>
    </row>
    <row r="7361" spans="1:10" x14ac:dyDescent="0.25">
      <c r="A7361" t="s">
        <v>8</v>
      </c>
      <c r="B7361" t="s">
        <v>20203</v>
      </c>
      <c r="C7361" t="s">
        <v>20204</v>
      </c>
      <c r="D7361">
        <v>1</v>
      </c>
      <c r="E7361" t="s">
        <v>20154</v>
      </c>
      <c r="F7361" t="s">
        <v>20155</v>
      </c>
      <c r="G7361" s="1"/>
      <c r="H7361" t="str">
        <f>"3250610018057"</f>
        <v>3250610018057</v>
      </c>
      <c r="J7361" t="s">
        <v>20205</v>
      </c>
    </row>
    <row r="7362" spans="1:10" x14ac:dyDescent="0.25">
      <c r="A7362" t="s">
        <v>8</v>
      </c>
      <c r="B7362" t="s">
        <v>20206</v>
      </c>
      <c r="C7362" t="s">
        <v>20207</v>
      </c>
      <c r="D7362">
        <v>1</v>
      </c>
      <c r="E7362" t="s">
        <v>20154</v>
      </c>
      <c r="F7362" t="s">
        <v>20155</v>
      </c>
      <c r="G7362" s="1"/>
      <c r="H7362" t="str">
        <f>"3250613251567"</f>
        <v>3250613251567</v>
      </c>
      <c r="J7362" t="s">
        <v>20208</v>
      </c>
    </row>
    <row r="7363" spans="1:10" x14ac:dyDescent="0.25">
      <c r="A7363" t="s">
        <v>8</v>
      </c>
      <c r="B7363" t="s">
        <v>20209</v>
      </c>
      <c r="C7363" t="s">
        <v>20210</v>
      </c>
      <c r="D7363">
        <v>1</v>
      </c>
      <c r="E7363" t="s">
        <v>20154</v>
      </c>
      <c r="F7363" t="s">
        <v>20155</v>
      </c>
      <c r="G7363" s="1"/>
      <c r="H7363" t="str">
        <f>"3250610018064"</f>
        <v>3250610018064</v>
      </c>
      <c r="J7363" t="s">
        <v>20211</v>
      </c>
    </row>
    <row r="7364" spans="1:10" x14ac:dyDescent="0.25">
      <c r="A7364" t="s">
        <v>8</v>
      </c>
      <c r="B7364" t="s">
        <v>20212</v>
      </c>
      <c r="C7364" t="s">
        <v>20213</v>
      </c>
      <c r="D7364">
        <v>1</v>
      </c>
      <c r="E7364" t="s">
        <v>20154</v>
      </c>
      <c r="F7364" t="s">
        <v>20155</v>
      </c>
      <c r="G7364" s="1"/>
      <c r="H7364" t="str">
        <f>"3250613251673"</f>
        <v>3250613251673</v>
      </c>
      <c r="J7364" t="s">
        <v>20185</v>
      </c>
    </row>
    <row r="7365" spans="1:10" x14ac:dyDescent="0.25">
      <c r="A7365" t="s">
        <v>8</v>
      </c>
      <c r="B7365" t="s">
        <v>20214</v>
      </c>
      <c r="C7365" t="s">
        <v>20215</v>
      </c>
      <c r="D7365">
        <v>1</v>
      </c>
      <c r="E7365" t="s">
        <v>20154</v>
      </c>
      <c r="F7365" t="s">
        <v>20155</v>
      </c>
      <c r="G7365" s="1"/>
      <c r="H7365" t="str">
        <f>"3250610018071"</f>
        <v>3250610018071</v>
      </c>
      <c r="J7365" t="s">
        <v>20211</v>
      </c>
    </row>
    <row r="7366" spans="1:10" x14ac:dyDescent="0.25">
      <c r="A7366" t="s">
        <v>8</v>
      </c>
      <c r="B7366" t="s">
        <v>20216</v>
      </c>
      <c r="C7366" t="s">
        <v>20217</v>
      </c>
      <c r="D7366">
        <v>1</v>
      </c>
      <c r="E7366" t="s">
        <v>20154</v>
      </c>
      <c r="F7366" t="s">
        <v>20155</v>
      </c>
      <c r="G7366" s="1"/>
      <c r="H7366" t="str">
        <f>"3250613251574"</f>
        <v>3250613251574</v>
      </c>
      <c r="J7366" t="s">
        <v>20174</v>
      </c>
    </row>
    <row r="7367" spans="1:10" x14ac:dyDescent="0.25">
      <c r="A7367" t="s">
        <v>8</v>
      </c>
      <c r="B7367" t="s">
        <v>20218</v>
      </c>
      <c r="C7367" t="s">
        <v>20219</v>
      </c>
      <c r="D7367">
        <v>1</v>
      </c>
      <c r="E7367" t="s">
        <v>20154</v>
      </c>
      <c r="F7367" t="s">
        <v>20155</v>
      </c>
      <c r="G7367" s="1"/>
      <c r="H7367" t="str">
        <f>"3250610018088"</f>
        <v>3250610018088</v>
      </c>
      <c r="J7367" t="s">
        <v>20220</v>
      </c>
    </row>
    <row r="7368" spans="1:10" x14ac:dyDescent="0.25">
      <c r="A7368" t="s">
        <v>8</v>
      </c>
      <c r="B7368" t="s">
        <v>20221</v>
      </c>
      <c r="C7368" t="s">
        <v>20222</v>
      </c>
      <c r="D7368">
        <v>1</v>
      </c>
      <c r="E7368" t="s">
        <v>20154</v>
      </c>
      <c r="F7368" t="s">
        <v>20155</v>
      </c>
      <c r="G7368" s="1"/>
      <c r="H7368" t="str">
        <f>"3250610018095"</f>
        <v>3250610018095</v>
      </c>
      <c r="J7368" t="s">
        <v>20223</v>
      </c>
    </row>
    <row r="7369" spans="1:10" x14ac:dyDescent="0.25">
      <c r="A7369" t="s">
        <v>8</v>
      </c>
      <c r="B7369" t="s">
        <v>20224</v>
      </c>
      <c r="C7369" t="s">
        <v>20225</v>
      </c>
      <c r="D7369">
        <v>1</v>
      </c>
      <c r="E7369" t="s">
        <v>20154</v>
      </c>
      <c r="F7369" t="s">
        <v>20155</v>
      </c>
      <c r="G7369" s="1"/>
      <c r="H7369" t="str">
        <f>"3250610018118"</f>
        <v>3250610018118</v>
      </c>
      <c r="J7369" t="s">
        <v>20188</v>
      </c>
    </row>
    <row r="7370" spans="1:10" x14ac:dyDescent="0.25">
      <c r="A7370" t="s">
        <v>8</v>
      </c>
      <c r="B7370" t="s">
        <v>20226</v>
      </c>
      <c r="C7370" t="s">
        <v>20227</v>
      </c>
      <c r="D7370">
        <v>1</v>
      </c>
      <c r="E7370" t="s">
        <v>20154</v>
      </c>
      <c r="F7370" t="s">
        <v>20155</v>
      </c>
      <c r="G7370" s="1"/>
      <c r="H7370" t="str">
        <f>"3250613251680"</f>
        <v>3250613251680</v>
      </c>
      <c r="J7370" t="s">
        <v>20228</v>
      </c>
    </row>
    <row r="7371" spans="1:10" x14ac:dyDescent="0.25">
      <c r="A7371" t="s">
        <v>8</v>
      </c>
      <c r="B7371" t="s">
        <v>20229</v>
      </c>
      <c r="C7371" t="s">
        <v>20230</v>
      </c>
      <c r="D7371">
        <v>1</v>
      </c>
      <c r="E7371" t="s">
        <v>20154</v>
      </c>
      <c r="F7371" t="s">
        <v>20155</v>
      </c>
      <c r="G7371" s="1"/>
      <c r="H7371" t="str">
        <f>"3250610018125"</f>
        <v>3250610018125</v>
      </c>
      <c r="J7371" t="s">
        <v>20231</v>
      </c>
    </row>
    <row r="7372" spans="1:10" x14ac:dyDescent="0.25">
      <c r="A7372" t="s">
        <v>8</v>
      </c>
      <c r="B7372" t="s">
        <v>20232</v>
      </c>
      <c r="C7372" t="s">
        <v>20233</v>
      </c>
      <c r="D7372">
        <v>1</v>
      </c>
      <c r="E7372" t="s">
        <v>20154</v>
      </c>
      <c r="F7372" t="s">
        <v>20155</v>
      </c>
      <c r="G7372" s="1"/>
      <c r="H7372" t="str">
        <f>"3250613251581"</f>
        <v>3250613251581</v>
      </c>
      <c r="J7372" t="s">
        <v>20234</v>
      </c>
    </row>
    <row r="7373" spans="1:10" x14ac:dyDescent="0.25">
      <c r="A7373" t="s">
        <v>8</v>
      </c>
      <c r="B7373" t="s">
        <v>20235</v>
      </c>
      <c r="C7373" t="s">
        <v>20236</v>
      </c>
      <c r="D7373">
        <v>1</v>
      </c>
      <c r="E7373" t="s">
        <v>20154</v>
      </c>
      <c r="F7373" t="s">
        <v>20155</v>
      </c>
      <c r="G7373" s="1"/>
      <c r="H7373" t="str">
        <f>"3250613251697"</f>
        <v>3250613251697</v>
      </c>
      <c r="J7373" t="s">
        <v>20234</v>
      </c>
    </row>
    <row r="7374" spans="1:10" x14ac:dyDescent="0.25">
      <c r="A7374" t="s">
        <v>8</v>
      </c>
      <c r="B7374" t="s">
        <v>20237</v>
      </c>
      <c r="C7374" t="s">
        <v>20238</v>
      </c>
      <c r="D7374">
        <v>1</v>
      </c>
      <c r="E7374" t="s">
        <v>20154</v>
      </c>
      <c r="F7374" t="s">
        <v>20155</v>
      </c>
      <c r="G7374" s="1"/>
      <c r="H7374" t="str">
        <f>"3250613251703"</f>
        <v>3250613251703</v>
      </c>
      <c r="I7374" s="1"/>
      <c r="J7374" t="s">
        <v>20239</v>
      </c>
    </row>
    <row r="7375" spans="1:10" x14ac:dyDescent="0.25">
      <c r="A7375" t="s">
        <v>8</v>
      </c>
      <c r="B7375" t="s">
        <v>20240</v>
      </c>
      <c r="C7375" t="s">
        <v>20241</v>
      </c>
      <c r="D7375">
        <v>1</v>
      </c>
      <c r="E7375" t="s">
        <v>20154</v>
      </c>
      <c r="F7375" t="s">
        <v>20155</v>
      </c>
      <c r="G7375" s="1"/>
      <c r="H7375" t="str">
        <f>"3250613251710"</f>
        <v>3250613251710</v>
      </c>
      <c r="J7375" t="s">
        <v>20228</v>
      </c>
    </row>
    <row r="7376" spans="1:10" x14ac:dyDescent="0.25">
      <c r="A7376" t="s">
        <v>8</v>
      </c>
      <c r="B7376" t="s">
        <v>20242</v>
      </c>
      <c r="C7376" t="s">
        <v>20243</v>
      </c>
      <c r="D7376">
        <v>1</v>
      </c>
      <c r="E7376" t="s">
        <v>20154</v>
      </c>
      <c r="F7376" t="s">
        <v>20155</v>
      </c>
      <c r="G7376" s="1"/>
      <c r="H7376" t="str">
        <f>"3250613251598"</f>
        <v>3250613251598</v>
      </c>
      <c r="J7376" t="s">
        <v>20244</v>
      </c>
    </row>
    <row r="7377" spans="1:10" x14ac:dyDescent="0.25">
      <c r="A7377" t="s">
        <v>8</v>
      </c>
      <c r="B7377" t="s">
        <v>20245</v>
      </c>
      <c r="C7377" t="s">
        <v>20246</v>
      </c>
      <c r="D7377">
        <v>1</v>
      </c>
      <c r="E7377" t="s">
        <v>20154</v>
      </c>
      <c r="F7377" t="s">
        <v>20155</v>
      </c>
      <c r="G7377" s="1"/>
      <c r="H7377" t="str">
        <f>"3250613251604"</f>
        <v>3250613251604</v>
      </c>
      <c r="J7377" t="s">
        <v>20247</v>
      </c>
    </row>
    <row r="7378" spans="1:10" x14ac:dyDescent="0.25">
      <c r="A7378" t="s">
        <v>8</v>
      </c>
      <c r="B7378" t="s">
        <v>20248</v>
      </c>
      <c r="C7378" t="s">
        <v>20249</v>
      </c>
      <c r="D7378">
        <v>1</v>
      </c>
      <c r="E7378" t="s">
        <v>20154</v>
      </c>
      <c r="F7378" t="s">
        <v>20155</v>
      </c>
      <c r="G7378" s="1"/>
      <c r="H7378" t="str">
        <f>"3250610018132"</f>
        <v>3250610018132</v>
      </c>
      <c r="J7378" t="s">
        <v>20223</v>
      </c>
    </row>
    <row r="7379" spans="1:10" x14ac:dyDescent="0.25">
      <c r="A7379" t="s">
        <v>8</v>
      </c>
      <c r="B7379" t="s">
        <v>20250</v>
      </c>
      <c r="C7379" t="s">
        <v>20251</v>
      </c>
      <c r="D7379">
        <v>1</v>
      </c>
      <c r="E7379" t="s">
        <v>20154</v>
      </c>
      <c r="F7379" t="s">
        <v>20155</v>
      </c>
      <c r="G7379" s="1"/>
      <c r="H7379" t="str">
        <f>"3250610018149"</f>
        <v>3250610018149</v>
      </c>
      <c r="J7379" t="s">
        <v>20252</v>
      </c>
    </row>
    <row r="7380" spans="1:10" x14ac:dyDescent="0.25">
      <c r="A7380" t="s">
        <v>8</v>
      </c>
      <c r="B7380" t="s">
        <v>20253</v>
      </c>
      <c r="C7380" t="s">
        <v>20254</v>
      </c>
      <c r="D7380">
        <v>1</v>
      </c>
      <c r="E7380" t="s">
        <v>20154</v>
      </c>
      <c r="F7380" t="s">
        <v>20155</v>
      </c>
      <c r="G7380" s="1"/>
      <c r="H7380" t="str">
        <f>"3250610018156"</f>
        <v>3250610018156</v>
      </c>
      <c r="J7380" t="s">
        <v>20255</v>
      </c>
    </row>
    <row r="7381" spans="1:10" x14ac:dyDescent="0.25">
      <c r="A7381" t="s">
        <v>8</v>
      </c>
      <c r="B7381" t="s">
        <v>20256</v>
      </c>
      <c r="C7381" t="s">
        <v>20257</v>
      </c>
      <c r="D7381">
        <v>1</v>
      </c>
      <c r="E7381" t="s">
        <v>20154</v>
      </c>
      <c r="F7381" t="s">
        <v>20155</v>
      </c>
      <c r="G7381" s="1"/>
      <c r="H7381" t="str">
        <f>"3250610018170"</f>
        <v>3250610018170</v>
      </c>
      <c r="J7381" t="s">
        <v>20258</v>
      </c>
    </row>
    <row r="7382" spans="1:10" x14ac:dyDescent="0.25">
      <c r="A7382" t="s">
        <v>8</v>
      </c>
      <c r="B7382" t="s">
        <v>20259</v>
      </c>
      <c r="C7382" t="s">
        <v>20260</v>
      </c>
      <c r="D7382">
        <v>1</v>
      </c>
      <c r="E7382" t="s">
        <v>20154</v>
      </c>
      <c r="F7382" t="s">
        <v>20155</v>
      </c>
      <c r="G7382" s="1"/>
      <c r="H7382" t="str">
        <f>"3250610018187"</f>
        <v>3250610018187</v>
      </c>
      <c r="J7382" t="s">
        <v>20261</v>
      </c>
    </row>
    <row r="7383" spans="1:10" x14ac:dyDescent="0.25">
      <c r="A7383" t="s">
        <v>8</v>
      </c>
      <c r="B7383" t="s">
        <v>20262</v>
      </c>
      <c r="C7383" t="s">
        <v>20263</v>
      </c>
      <c r="D7383">
        <v>1</v>
      </c>
      <c r="E7383" t="s">
        <v>20154</v>
      </c>
      <c r="F7383" t="s">
        <v>20155</v>
      </c>
      <c r="G7383" s="1"/>
      <c r="H7383" t="str">
        <f>"3250610018194"</f>
        <v>3250610018194</v>
      </c>
      <c r="J7383" t="s">
        <v>20168</v>
      </c>
    </row>
    <row r="7384" spans="1:10" x14ac:dyDescent="0.25">
      <c r="A7384" t="s">
        <v>8</v>
      </c>
      <c r="B7384" t="s">
        <v>20264</v>
      </c>
      <c r="C7384" t="s">
        <v>20265</v>
      </c>
      <c r="D7384">
        <v>1</v>
      </c>
      <c r="E7384" t="s">
        <v>20154</v>
      </c>
      <c r="F7384" t="s">
        <v>20155</v>
      </c>
      <c r="G7384" s="1"/>
      <c r="H7384" t="str">
        <f>"3250610018200"</f>
        <v>3250610018200</v>
      </c>
      <c r="J7384" t="s">
        <v>20156</v>
      </c>
    </row>
    <row r="7385" spans="1:10" x14ac:dyDescent="0.25">
      <c r="A7385" t="s">
        <v>8</v>
      </c>
      <c r="B7385" t="s">
        <v>20266</v>
      </c>
      <c r="C7385" t="s">
        <v>20267</v>
      </c>
      <c r="D7385">
        <v>1</v>
      </c>
      <c r="E7385" t="s">
        <v>20154</v>
      </c>
      <c r="F7385" t="s">
        <v>20155</v>
      </c>
      <c r="G7385" s="1"/>
      <c r="H7385" t="str">
        <f>"3250613251611"</f>
        <v>3250613251611</v>
      </c>
      <c r="J7385" t="s">
        <v>20268</v>
      </c>
    </row>
    <row r="7386" spans="1:10" x14ac:dyDescent="0.25">
      <c r="A7386" t="s">
        <v>8</v>
      </c>
      <c r="B7386" t="s">
        <v>20269</v>
      </c>
      <c r="C7386" t="s">
        <v>20270</v>
      </c>
      <c r="D7386">
        <v>1</v>
      </c>
      <c r="E7386" t="s">
        <v>20154</v>
      </c>
      <c r="F7386" t="s">
        <v>20155</v>
      </c>
      <c r="G7386" s="1"/>
      <c r="H7386" t="str">
        <f>"3250610018217"</f>
        <v>3250610018217</v>
      </c>
      <c r="J7386" t="s">
        <v>20271</v>
      </c>
    </row>
    <row r="7387" spans="1:10" x14ac:dyDescent="0.25">
      <c r="A7387" t="s">
        <v>8</v>
      </c>
      <c r="B7387" t="s">
        <v>20272</v>
      </c>
      <c r="C7387" t="s">
        <v>20273</v>
      </c>
      <c r="D7387">
        <v>1</v>
      </c>
      <c r="E7387" t="s">
        <v>20154</v>
      </c>
      <c r="F7387" t="s">
        <v>20155</v>
      </c>
      <c r="G7387" s="1"/>
      <c r="H7387" t="str">
        <f>"3250610018224"</f>
        <v>3250610018224</v>
      </c>
      <c r="J7387" t="s">
        <v>20274</v>
      </c>
    </row>
    <row r="7388" spans="1:10" x14ac:dyDescent="0.25">
      <c r="A7388" t="s">
        <v>8</v>
      </c>
      <c r="B7388" t="s">
        <v>20275</v>
      </c>
      <c r="C7388" t="s">
        <v>20276</v>
      </c>
      <c r="D7388">
        <v>1</v>
      </c>
      <c r="E7388" t="s">
        <v>20154</v>
      </c>
      <c r="F7388" t="s">
        <v>20155</v>
      </c>
      <c r="G7388" s="1"/>
      <c r="H7388" t="str">
        <f>"3250610018231"</f>
        <v>3250610018231</v>
      </c>
      <c r="J7388" t="s">
        <v>20277</v>
      </c>
    </row>
    <row r="7389" spans="1:10" x14ac:dyDescent="0.25">
      <c r="A7389" t="s">
        <v>8</v>
      </c>
      <c r="B7389" t="s">
        <v>20278</v>
      </c>
      <c r="C7389" t="s">
        <v>20279</v>
      </c>
      <c r="D7389">
        <v>1</v>
      </c>
      <c r="E7389" t="s">
        <v>20154</v>
      </c>
      <c r="F7389" t="s">
        <v>20155</v>
      </c>
      <c r="G7389" s="1"/>
      <c r="H7389" t="str">
        <f>"3250613251727"</f>
        <v>3250613251727</v>
      </c>
      <c r="J7389" t="s">
        <v>20247</v>
      </c>
    </row>
    <row r="7390" spans="1:10" x14ac:dyDescent="0.25">
      <c r="A7390" t="s">
        <v>8</v>
      </c>
      <c r="B7390" t="s">
        <v>20280</v>
      </c>
      <c r="C7390" t="s">
        <v>20281</v>
      </c>
      <c r="D7390">
        <v>1</v>
      </c>
      <c r="E7390" t="s">
        <v>20154</v>
      </c>
      <c r="F7390" t="s">
        <v>20155</v>
      </c>
      <c r="G7390" s="1"/>
      <c r="H7390" t="str">
        <f>"3250610018248"</f>
        <v>3250610018248</v>
      </c>
      <c r="J7390" t="s">
        <v>20282</v>
      </c>
    </row>
    <row r="7391" spans="1:10" x14ac:dyDescent="0.25">
      <c r="A7391" t="s">
        <v>8</v>
      </c>
      <c r="B7391" t="s">
        <v>20283</v>
      </c>
      <c r="C7391" t="s">
        <v>20284</v>
      </c>
      <c r="D7391">
        <v>1</v>
      </c>
      <c r="E7391" t="s">
        <v>20154</v>
      </c>
      <c r="F7391" t="s">
        <v>20155</v>
      </c>
      <c r="G7391" s="1"/>
      <c r="H7391" t="str">
        <f>"3250610018262"</f>
        <v>3250610018262</v>
      </c>
      <c r="J7391" t="s">
        <v>20285</v>
      </c>
    </row>
    <row r="7392" spans="1:10" x14ac:dyDescent="0.25">
      <c r="A7392" t="s">
        <v>8</v>
      </c>
      <c r="B7392" t="s">
        <v>20286</v>
      </c>
      <c r="C7392" t="s">
        <v>20287</v>
      </c>
      <c r="D7392">
        <v>1</v>
      </c>
      <c r="E7392" t="s">
        <v>20154</v>
      </c>
      <c r="F7392" t="s">
        <v>20155</v>
      </c>
      <c r="G7392" s="1"/>
      <c r="H7392" t="str">
        <f>"3250610025215"</f>
        <v>3250610025215</v>
      </c>
      <c r="J7392" t="s">
        <v>20288</v>
      </c>
    </row>
    <row r="7393" spans="1:10" x14ac:dyDescent="0.25">
      <c r="A7393" t="s">
        <v>8</v>
      </c>
      <c r="B7393" t="s">
        <v>20289</v>
      </c>
      <c r="C7393" t="s">
        <v>20290</v>
      </c>
      <c r="D7393">
        <v>1</v>
      </c>
      <c r="E7393" t="s">
        <v>20154</v>
      </c>
      <c r="F7393" t="s">
        <v>20155</v>
      </c>
      <c r="G7393" s="1"/>
      <c r="H7393" t="str">
        <f>"3250613251734"</f>
        <v>3250613251734</v>
      </c>
      <c r="J7393" t="s">
        <v>20291</v>
      </c>
    </row>
    <row r="7394" spans="1:10" x14ac:dyDescent="0.25">
      <c r="A7394" t="s">
        <v>8</v>
      </c>
      <c r="B7394" t="s">
        <v>20292</v>
      </c>
      <c r="C7394" t="s">
        <v>20293</v>
      </c>
      <c r="D7394">
        <v>1</v>
      </c>
      <c r="E7394" t="s">
        <v>20154</v>
      </c>
      <c r="F7394" t="s">
        <v>20155</v>
      </c>
      <c r="G7394" s="1"/>
      <c r="H7394" t="str">
        <f>"3250613251741"</f>
        <v>3250613251741</v>
      </c>
      <c r="J7394" t="s">
        <v>20294</v>
      </c>
    </row>
    <row r="7395" spans="1:10" x14ac:dyDescent="0.25">
      <c r="A7395" t="s">
        <v>8</v>
      </c>
      <c r="B7395" t="s">
        <v>20295</v>
      </c>
      <c r="C7395" t="s">
        <v>20296</v>
      </c>
      <c r="D7395">
        <v>1</v>
      </c>
      <c r="E7395" t="s">
        <v>20154</v>
      </c>
      <c r="F7395" t="s">
        <v>20155</v>
      </c>
      <c r="G7395" s="1"/>
      <c r="H7395" t="str">
        <f>"3250610018286"</f>
        <v>3250610018286</v>
      </c>
      <c r="J7395" t="s">
        <v>20297</v>
      </c>
    </row>
    <row r="7396" spans="1:10" x14ac:dyDescent="0.25">
      <c r="A7396" t="s">
        <v>8</v>
      </c>
      <c r="B7396" t="s">
        <v>20298</v>
      </c>
      <c r="C7396" t="s">
        <v>20299</v>
      </c>
      <c r="D7396">
        <v>1</v>
      </c>
      <c r="E7396" t="s">
        <v>20154</v>
      </c>
      <c r="F7396" t="s">
        <v>20155</v>
      </c>
      <c r="G7396" s="1"/>
      <c r="H7396" t="str">
        <f>"3250610018293"</f>
        <v>3250610018293</v>
      </c>
      <c r="J7396" t="s">
        <v>20300</v>
      </c>
    </row>
    <row r="7397" spans="1:10" x14ac:dyDescent="0.25">
      <c r="A7397" t="s">
        <v>8</v>
      </c>
      <c r="B7397" t="s">
        <v>20301</v>
      </c>
      <c r="C7397" t="s">
        <v>20302</v>
      </c>
      <c r="D7397">
        <v>1</v>
      </c>
      <c r="E7397" t="s">
        <v>20154</v>
      </c>
      <c r="F7397" t="s">
        <v>20155</v>
      </c>
      <c r="G7397" s="1"/>
      <c r="H7397" t="str">
        <f>"3250610018392"</f>
        <v>3250610018392</v>
      </c>
      <c r="J7397" t="s">
        <v>20303</v>
      </c>
    </row>
    <row r="7398" spans="1:10" x14ac:dyDescent="0.25">
      <c r="A7398" t="s">
        <v>8</v>
      </c>
      <c r="B7398" t="s">
        <v>20304</v>
      </c>
      <c r="C7398" t="s">
        <v>20305</v>
      </c>
      <c r="D7398">
        <v>1</v>
      </c>
      <c r="E7398" t="s">
        <v>20154</v>
      </c>
      <c r="F7398" t="s">
        <v>20155</v>
      </c>
      <c r="G7398" s="1"/>
      <c r="H7398" t="str">
        <f>"3250610018408"</f>
        <v>3250610018408</v>
      </c>
      <c r="J7398" t="s">
        <v>20306</v>
      </c>
    </row>
    <row r="7399" spans="1:10" x14ac:dyDescent="0.25">
      <c r="A7399" t="s">
        <v>8</v>
      </c>
      <c r="B7399" t="s">
        <v>20307</v>
      </c>
      <c r="C7399" t="s">
        <v>20308</v>
      </c>
      <c r="D7399">
        <v>1</v>
      </c>
      <c r="E7399" t="s">
        <v>20154</v>
      </c>
      <c r="F7399" t="s">
        <v>20155</v>
      </c>
      <c r="G7399" s="1"/>
      <c r="H7399" t="str">
        <f>"3250610018415"</f>
        <v>3250610018415</v>
      </c>
      <c r="J7399" t="s">
        <v>20205</v>
      </c>
    </row>
    <row r="7400" spans="1:10" x14ac:dyDescent="0.25">
      <c r="A7400" t="s">
        <v>8</v>
      </c>
      <c r="B7400" t="s">
        <v>20309</v>
      </c>
      <c r="C7400" t="s">
        <v>20310</v>
      </c>
      <c r="D7400">
        <v>1</v>
      </c>
      <c r="E7400" t="s">
        <v>20154</v>
      </c>
      <c r="F7400" t="s">
        <v>20155</v>
      </c>
      <c r="G7400" s="1"/>
      <c r="H7400" t="str">
        <f>"3250610018422"</f>
        <v>3250610018422</v>
      </c>
      <c r="J7400" t="s">
        <v>20311</v>
      </c>
    </row>
    <row r="7401" spans="1:10" x14ac:dyDescent="0.25">
      <c r="A7401" t="s">
        <v>8</v>
      </c>
      <c r="B7401" t="s">
        <v>20312</v>
      </c>
      <c r="C7401" t="s">
        <v>20313</v>
      </c>
      <c r="D7401">
        <v>1</v>
      </c>
      <c r="E7401" t="s">
        <v>20154</v>
      </c>
      <c r="F7401" t="s">
        <v>20155</v>
      </c>
      <c r="G7401" s="1"/>
      <c r="H7401" t="str">
        <f>"3250610018439"</f>
        <v>3250610018439</v>
      </c>
      <c r="J7401" t="s">
        <v>20314</v>
      </c>
    </row>
    <row r="7402" spans="1:10" x14ac:dyDescent="0.25">
      <c r="A7402" t="s">
        <v>8</v>
      </c>
      <c r="B7402" t="s">
        <v>20315</v>
      </c>
      <c r="C7402" t="s">
        <v>20316</v>
      </c>
      <c r="D7402">
        <v>1</v>
      </c>
      <c r="E7402" t="s">
        <v>20154</v>
      </c>
      <c r="F7402" t="s">
        <v>20155</v>
      </c>
      <c r="G7402" s="1"/>
      <c r="H7402" t="str">
        <f>"3250610018446"</f>
        <v>3250610018446</v>
      </c>
      <c r="J7402" t="s">
        <v>20317</v>
      </c>
    </row>
    <row r="7403" spans="1:10" x14ac:dyDescent="0.25">
      <c r="A7403" t="s">
        <v>8</v>
      </c>
      <c r="B7403" t="s">
        <v>20318</v>
      </c>
      <c r="C7403" t="s">
        <v>20319</v>
      </c>
      <c r="D7403">
        <v>1</v>
      </c>
      <c r="E7403" t="s">
        <v>20154</v>
      </c>
      <c r="F7403" t="s">
        <v>20155</v>
      </c>
      <c r="G7403" s="1"/>
      <c r="H7403" t="str">
        <f>"3250610018460"</f>
        <v>3250610018460</v>
      </c>
      <c r="J7403" t="s">
        <v>20320</v>
      </c>
    </row>
    <row r="7404" spans="1:10" x14ac:dyDescent="0.25">
      <c r="A7404" t="s">
        <v>8</v>
      </c>
      <c r="B7404" t="s">
        <v>20321</v>
      </c>
      <c r="C7404" t="s">
        <v>20322</v>
      </c>
      <c r="D7404">
        <v>1</v>
      </c>
      <c r="E7404" t="s">
        <v>20154</v>
      </c>
      <c r="F7404" t="s">
        <v>20155</v>
      </c>
      <c r="G7404" s="1"/>
      <c r="H7404" t="str">
        <f>"3250610018477"</f>
        <v>3250610018477</v>
      </c>
      <c r="J7404" t="s">
        <v>20323</v>
      </c>
    </row>
    <row r="7405" spans="1:10" x14ac:dyDescent="0.25">
      <c r="A7405" t="s">
        <v>8</v>
      </c>
      <c r="B7405" t="s">
        <v>20324</v>
      </c>
      <c r="C7405" t="s">
        <v>20325</v>
      </c>
      <c r="D7405">
        <v>1</v>
      </c>
      <c r="E7405" t="s">
        <v>20154</v>
      </c>
      <c r="F7405" t="s">
        <v>20155</v>
      </c>
      <c r="G7405" s="1"/>
      <c r="H7405" t="str">
        <f>"3250610018484"</f>
        <v>3250610018484</v>
      </c>
      <c r="J7405" t="s">
        <v>20326</v>
      </c>
    </row>
    <row r="7406" spans="1:10" x14ac:dyDescent="0.25">
      <c r="A7406" t="s">
        <v>8</v>
      </c>
      <c r="B7406" t="s">
        <v>20327</v>
      </c>
      <c r="C7406" t="s">
        <v>20328</v>
      </c>
      <c r="D7406">
        <v>1</v>
      </c>
      <c r="E7406" t="s">
        <v>20154</v>
      </c>
      <c r="F7406" t="s">
        <v>20155</v>
      </c>
      <c r="G7406" s="1"/>
      <c r="H7406" t="str">
        <f>"3250610018491"</f>
        <v>3250610018491</v>
      </c>
      <c r="J7406" t="s">
        <v>20311</v>
      </c>
    </row>
    <row r="7407" spans="1:10" x14ac:dyDescent="0.25">
      <c r="A7407" t="s">
        <v>8</v>
      </c>
      <c r="B7407" t="s">
        <v>20329</v>
      </c>
      <c r="C7407" t="s">
        <v>20330</v>
      </c>
      <c r="D7407">
        <v>1</v>
      </c>
      <c r="E7407" t="s">
        <v>20154</v>
      </c>
      <c r="F7407" t="s">
        <v>20155</v>
      </c>
      <c r="G7407" s="1"/>
      <c r="H7407" t="str">
        <f>"3250610018507"</f>
        <v>3250610018507</v>
      </c>
      <c r="J7407" t="s">
        <v>20331</v>
      </c>
    </row>
    <row r="7408" spans="1:10" x14ac:dyDescent="0.25">
      <c r="A7408" t="s">
        <v>8</v>
      </c>
      <c r="B7408" t="s">
        <v>20332</v>
      </c>
      <c r="C7408" t="s">
        <v>20333</v>
      </c>
      <c r="D7408">
        <v>1</v>
      </c>
      <c r="E7408" t="s">
        <v>20154</v>
      </c>
      <c r="F7408" t="s">
        <v>20155</v>
      </c>
      <c r="G7408" s="1"/>
      <c r="H7408" t="str">
        <f>"3250610018514"</f>
        <v>3250610018514</v>
      </c>
      <c r="J7408" t="s">
        <v>20188</v>
      </c>
    </row>
    <row r="7409" spans="1:10" x14ac:dyDescent="0.25">
      <c r="A7409" t="s">
        <v>8</v>
      </c>
      <c r="B7409" t="s">
        <v>20334</v>
      </c>
      <c r="C7409" t="s">
        <v>20335</v>
      </c>
      <c r="D7409">
        <v>1</v>
      </c>
      <c r="E7409" t="s">
        <v>20154</v>
      </c>
      <c r="F7409" t="s">
        <v>20155</v>
      </c>
      <c r="G7409" s="1"/>
      <c r="H7409" t="str">
        <f>"3250610019399"</f>
        <v>3250610019399</v>
      </c>
      <c r="J7409" t="s">
        <v>20188</v>
      </c>
    </row>
    <row r="7410" spans="1:10" x14ac:dyDescent="0.25">
      <c r="A7410" t="s">
        <v>8</v>
      </c>
      <c r="B7410" t="s">
        <v>20336</v>
      </c>
      <c r="C7410" t="s">
        <v>20337</v>
      </c>
      <c r="D7410">
        <v>1</v>
      </c>
      <c r="E7410" t="s">
        <v>20154</v>
      </c>
      <c r="F7410" t="s">
        <v>20155</v>
      </c>
      <c r="G7410" s="1"/>
      <c r="H7410" t="str">
        <f>"3250610019405"</f>
        <v>3250610019405</v>
      </c>
      <c r="J7410" t="s">
        <v>20338</v>
      </c>
    </row>
    <row r="7411" spans="1:10" x14ac:dyDescent="0.25">
      <c r="A7411" t="s">
        <v>8</v>
      </c>
      <c r="B7411" t="s">
        <v>20339</v>
      </c>
      <c r="C7411" t="s">
        <v>20340</v>
      </c>
      <c r="D7411">
        <v>1</v>
      </c>
      <c r="E7411" t="s">
        <v>20154</v>
      </c>
      <c r="F7411" t="s">
        <v>20155</v>
      </c>
      <c r="G7411" s="1"/>
      <c r="H7411" t="str">
        <f>"3250610019412"</f>
        <v>3250610019412</v>
      </c>
      <c r="J7411" t="s">
        <v>20341</v>
      </c>
    </row>
    <row r="7412" spans="1:10" x14ac:dyDescent="0.25">
      <c r="A7412" t="s">
        <v>8</v>
      </c>
      <c r="B7412" t="s">
        <v>20342</v>
      </c>
      <c r="C7412" t="s">
        <v>20343</v>
      </c>
      <c r="D7412">
        <v>1</v>
      </c>
      <c r="E7412" t="s">
        <v>20154</v>
      </c>
      <c r="F7412" t="s">
        <v>20155</v>
      </c>
      <c r="G7412" s="1"/>
      <c r="H7412" t="str">
        <f>"3250613251758"</f>
        <v>3250613251758</v>
      </c>
      <c r="J7412" t="s">
        <v>20344</v>
      </c>
    </row>
    <row r="7413" spans="1:10" x14ac:dyDescent="0.25">
      <c r="A7413" t="s">
        <v>8</v>
      </c>
      <c r="B7413" t="s">
        <v>20345</v>
      </c>
      <c r="C7413" t="s">
        <v>20346</v>
      </c>
      <c r="D7413">
        <v>1</v>
      </c>
      <c r="E7413" t="s">
        <v>20154</v>
      </c>
      <c r="F7413" t="s">
        <v>20155</v>
      </c>
      <c r="G7413" s="1"/>
      <c r="H7413" t="str">
        <f>"3250613251765"</f>
        <v>3250613251765</v>
      </c>
      <c r="J7413" t="s">
        <v>20168</v>
      </c>
    </row>
    <row r="7414" spans="1:10" x14ac:dyDescent="0.25">
      <c r="A7414" t="s">
        <v>8</v>
      </c>
      <c r="B7414" t="s">
        <v>20347</v>
      </c>
      <c r="C7414" t="s">
        <v>20348</v>
      </c>
      <c r="D7414">
        <v>1</v>
      </c>
      <c r="E7414" t="s">
        <v>20154</v>
      </c>
      <c r="F7414" t="s">
        <v>20155</v>
      </c>
      <c r="G7414" s="1"/>
      <c r="H7414" t="str">
        <f>"3250610019429"</f>
        <v>3250610019429</v>
      </c>
      <c r="J7414" t="s">
        <v>20349</v>
      </c>
    </row>
    <row r="7415" spans="1:10" x14ac:dyDescent="0.25">
      <c r="A7415" t="s">
        <v>8</v>
      </c>
      <c r="B7415" t="s">
        <v>20350</v>
      </c>
      <c r="C7415" t="s">
        <v>20351</v>
      </c>
      <c r="D7415">
        <v>1</v>
      </c>
      <c r="E7415" t="s">
        <v>20154</v>
      </c>
      <c r="F7415" t="s">
        <v>20155</v>
      </c>
      <c r="G7415" s="1"/>
      <c r="H7415" t="str">
        <f>"3250610019436"</f>
        <v>3250610019436</v>
      </c>
      <c r="J7415" t="s">
        <v>20352</v>
      </c>
    </row>
    <row r="7416" spans="1:10" x14ac:dyDescent="0.25">
      <c r="A7416" t="s">
        <v>8</v>
      </c>
      <c r="B7416" t="s">
        <v>20353</v>
      </c>
      <c r="C7416" t="s">
        <v>20354</v>
      </c>
      <c r="D7416">
        <v>1</v>
      </c>
      <c r="E7416" t="s">
        <v>20154</v>
      </c>
      <c r="F7416" t="s">
        <v>20155</v>
      </c>
      <c r="G7416" s="1"/>
      <c r="H7416" t="str">
        <f>"3250613251772"</f>
        <v>3250613251772</v>
      </c>
      <c r="J7416" t="s">
        <v>20174</v>
      </c>
    </row>
    <row r="7417" spans="1:10" x14ac:dyDescent="0.25">
      <c r="A7417" t="s">
        <v>8</v>
      </c>
      <c r="B7417" t="s">
        <v>20355</v>
      </c>
      <c r="C7417" t="s">
        <v>20356</v>
      </c>
      <c r="D7417">
        <v>1</v>
      </c>
      <c r="E7417" t="s">
        <v>20154</v>
      </c>
      <c r="F7417" t="s">
        <v>20155</v>
      </c>
      <c r="G7417" s="1"/>
      <c r="H7417" t="str">
        <f>"3250610019023"</f>
        <v>3250610019023</v>
      </c>
      <c r="J7417" t="s">
        <v>20191</v>
      </c>
    </row>
    <row r="7418" spans="1:10" x14ac:dyDescent="0.25">
      <c r="A7418" t="s">
        <v>8</v>
      </c>
      <c r="B7418" t="s">
        <v>20357</v>
      </c>
      <c r="C7418" t="s">
        <v>20358</v>
      </c>
      <c r="D7418">
        <v>1</v>
      </c>
      <c r="E7418" t="s">
        <v>20154</v>
      </c>
      <c r="F7418" t="s">
        <v>20155</v>
      </c>
      <c r="G7418" s="1"/>
      <c r="H7418" t="str">
        <f>"3250610019443"</f>
        <v>3250610019443</v>
      </c>
      <c r="J7418" t="s">
        <v>20288</v>
      </c>
    </row>
    <row r="7419" spans="1:10" x14ac:dyDescent="0.25">
      <c r="A7419" t="s">
        <v>8</v>
      </c>
      <c r="B7419" t="s">
        <v>20359</v>
      </c>
      <c r="C7419" t="s">
        <v>20360</v>
      </c>
      <c r="D7419">
        <v>1</v>
      </c>
      <c r="E7419" t="s">
        <v>20154</v>
      </c>
      <c r="F7419" t="s">
        <v>20155</v>
      </c>
      <c r="G7419" s="1"/>
      <c r="H7419" t="str">
        <f>"3250613251789"</f>
        <v>3250613251789</v>
      </c>
      <c r="J7419" t="s">
        <v>20156</v>
      </c>
    </row>
    <row r="7420" spans="1:10" x14ac:dyDescent="0.25">
      <c r="A7420" t="s">
        <v>8</v>
      </c>
      <c r="B7420" t="s">
        <v>20361</v>
      </c>
      <c r="C7420" t="s">
        <v>20362</v>
      </c>
      <c r="D7420">
        <v>1</v>
      </c>
      <c r="E7420" t="s">
        <v>20154</v>
      </c>
      <c r="F7420" t="s">
        <v>20155</v>
      </c>
      <c r="G7420" s="1"/>
      <c r="H7420" t="str">
        <f>"3250610019450"</f>
        <v>3250610019450</v>
      </c>
      <c r="J7420" t="s">
        <v>20156</v>
      </c>
    </row>
    <row r="7421" spans="1:10" x14ac:dyDescent="0.25">
      <c r="A7421" t="s">
        <v>8</v>
      </c>
      <c r="B7421" t="s">
        <v>20363</v>
      </c>
      <c r="C7421" t="s">
        <v>20364</v>
      </c>
      <c r="D7421">
        <v>1</v>
      </c>
      <c r="E7421" t="s">
        <v>20154</v>
      </c>
      <c r="F7421" t="s">
        <v>20155</v>
      </c>
      <c r="G7421" s="1"/>
      <c r="H7421" t="str">
        <f>"3250610019467"</f>
        <v>3250610019467</v>
      </c>
      <c r="J7421" t="s">
        <v>20156</v>
      </c>
    </row>
    <row r="7422" spans="1:10" x14ac:dyDescent="0.25">
      <c r="A7422" t="s">
        <v>8</v>
      </c>
      <c r="B7422" t="s">
        <v>20365</v>
      </c>
      <c r="C7422" t="s">
        <v>20366</v>
      </c>
      <c r="D7422">
        <v>1</v>
      </c>
      <c r="E7422" t="s">
        <v>20154</v>
      </c>
      <c r="F7422" t="s">
        <v>20155</v>
      </c>
      <c r="G7422" s="1"/>
      <c r="H7422" t="str">
        <f>"3250613251796"</f>
        <v>3250613251796</v>
      </c>
      <c r="J7422" t="s">
        <v>20367</v>
      </c>
    </row>
    <row r="7423" spans="1:10" x14ac:dyDescent="0.25">
      <c r="A7423" t="s">
        <v>8</v>
      </c>
      <c r="B7423" t="s">
        <v>20368</v>
      </c>
      <c r="C7423" t="s">
        <v>20369</v>
      </c>
      <c r="D7423">
        <v>1</v>
      </c>
      <c r="E7423" t="s">
        <v>20154</v>
      </c>
      <c r="F7423" t="s">
        <v>20155</v>
      </c>
      <c r="G7423" s="1"/>
      <c r="H7423" t="str">
        <f>"3250610019474"</f>
        <v>3250610019474</v>
      </c>
      <c r="J7423" t="s">
        <v>20331</v>
      </c>
    </row>
    <row r="7424" spans="1:10" x14ac:dyDescent="0.25">
      <c r="A7424" t="s">
        <v>8</v>
      </c>
      <c r="B7424" t="s">
        <v>20370</v>
      </c>
      <c r="C7424" t="s">
        <v>20371</v>
      </c>
      <c r="D7424">
        <v>1</v>
      </c>
      <c r="E7424" t="s">
        <v>20154</v>
      </c>
      <c r="F7424" t="s">
        <v>20155</v>
      </c>
      <c r="G7424" s="1"/>
      <c r="H7424" t="str">
        <f>"3250610019061"</f>
        <v>3250610019061</v>
      </c>
      <c r="J7424" t="s">
        <v>20331</v>
      </c>
    </row>
    <row r="7425" spans="1:10" x14ac:dyDescent="0.25">
      <c r="A7425" t="s">
        <v>8</v>
      </c>
      <c r="B7425" t="s">
        <v>20372</v>
      </c>
      <c r="C7425" t="s">
        <v>20373</v>
      </c>
      <c r="D7425">
        <v>1</v>
      </c>
      <c r="E7425" t="s">
        <v>20154</v>
      </c>
      <c r="F7425" t="s">
        <v>20155</v>
      </c>
      <c r="G7425" s="1"/>
      <c r="H7425" t="str">
        <f>"3250610023761"</f>
        <v>3250610023761</v>
      </c>
      <c r="J7425" t="s">
        <v>20374</v>
      </c>
    </row>
    <row r="7426" spans="1:10" x14ac:dyDescent="0.25">
      <c r="A7426" t="s">
        <v>8</v>
      </c>
      <c r="B7426" t="s">
        <v>20375</v>
      </c>
      <c r="C7426" t="s">
        <v>20376</v>
      </c>
      <c r="D7426">
        <v>1</v>
      </c>
      <c r="E7426" t="s">
        <v>20154</v>
      </c>
      <c r="F7426" t="s">
        <v>20155</v>
      </c>
      <c r="G7426" s="1"/>
      <c r="H7426" t="str">
        <f>"3250613251802"</f>
        <v>3250613251802</v>
      </c>
      <c r="J7426" t="s">
        <v>20208</v>
      </c>
    </row>
    <row r="7427" spans="1:10" x14ac:dyDescent="0.25">
      <c r="A7427" t="s">
        <v>8</v>
      </c>
      <c r="B7427" t="s">
        <v>20377</v>
      </c>
      <c r="C7427" t="s">
        <v>20378</v>
      </c>
      <c r="D7427">
        <v>1</v>
      </c>
      <c r="E7427" t="s">
        <v>20154</v>
      </c>
      <c r="F7427" t="s">
        <v>20155</v>
      </c>
      <c r="G7427" s="1"/>
      <c r="H7427" t="str">
        <f>"3250610019481"</f>
        <v>3250610019481</v>
      </c>
      <c r="J7427" t="s">
        <v>20247</v>
      </c>
    </row>
    <row r="7428" spans="1:10" x14ac:dyDescent="0.25">
      <c r="A7428" t="s">
        <v>8</v>
      </c>
      <c r="B7428" t="s">
        <v>20379</v>
      </c>
      <c r="C7428" t="s">
        <v>20380</v>
      </c>
      <c r="D7428">
        <v>1</v>
      </c>
      <c r="E7428" t="s">
        <v>20154</v>
      </c>
      <c r="F7428" t="s">
        <v>20155</v>
      </c>
      <c r="G7428" s="1"/>
      <c r="H7428" t="str">
        <f>"3250610019498"</f>
        <v>3250610019498</v>
      </c>
      <c r="J7428" t="s">
        <v>20247</v>
      </c>
    </row>
    <row r="7429" spans="1:10" x14ac:dyDescent="0.25">
      <c r="A7429" t="s">
        <v>8</v>
      </c>
      <c r="B7429" t="s">
        <v>20381</v>
      </c>
      <c r="C7429" t="s">
        <v>20382</v>
      </c>
      <c r="D7429">
        <v>1</v>
      </c>
      <c r="E7429" t="s">
        <v>20154</v>
      </c>
      <c r="F7429" t="s">
        <v>20155</v>
      </c>
      <c r="G7429" s="1"/>
      <c r="H7429" t="str">
        <f>"3250613251819"</f>
        <v>3250613251819</v>
      </c>
      <c r="J7429" t="s">
        <v>20174</v>
      </c>
    </row>
    <row r="7430" spans="1:10" x14ac:dyDescent="0.25">
      <c r="A7430" t="s">
        <v>8</v>
      </c>
      <c r="B7430" t="s">
        <v>20383</v>
      </c>
      <c r="C7430" t="s">
        <v>20384</v>
      </c>
      <c r="D7430">
        <v>1</v>
      </c>
      <c r="E7430" t="s">
        <v>20154</v>
      </c>
      <c r="F7430" t="s">
        <v>20155</v>
      </c>
      <c r="G7430" s="1"/>
      <c r="H7430" t="str">
        <f>"3250610025277"</f>
        <v>3250610025277</v>
      </c>
      <c r="J7430" t="s">
        <v>20385</v>
      </c>
    </row>
    <row r="7431" spans="1:10" x14ac:dyDescent="0.25">
      <c r="A7431" t="s">
        <v>8</v>
      </c>
      <c r="B7431" t="s">
        <v>20386</v>
      </c>
      <c r="C7431" t="s">
        <v>20387</v>
      </c>
      <c r="D7431">
        <v>1</v>
      </c>
      <c r="E7431" t="s">
        <v>20154</v>
      </c>
      <c r="F7431" t="s">
        <v>20155</v>
      </c>
      <c r="G7431" s="1"/>
      <c r="H7431" t="str">
        <f>"3250613251826"</f>
        <v>3250613251826</v>
      </c>
      <c r="J7431" t="s">
        <v>20208</v>
      </c>
    </row>
    <row r="7432" spans="1:10" x14ac:dyDescent="0.25">
      <c r="A7432" t="s">
        <v>8</v>
      </c>
      <c r="B7432" t="s">
        <v>20388</v>
      </c>
      <c r="C7432" t="s">
        <v>20389</v>
      </c>
      <c r="D7432">
        <v>1</v>
      </c>
      <c r="E7432" t="s">
        <v>20154</v>
      </c>
      <c r="F7432" t="s">
        <v>20155</v>
      </c>
      <c r="G7432" s="1"/>
      <c r="H7432" t="str">
        <f>"3250610019504"</f>
        <v>3250610019504</v>
      </c>
      <c r="J7432" t="s">
        <v>20390</v>
      </c>
    </row>
    <row r="7433" spans="1:10" x14ac:dyDescent="0.25">
      <c r="A7433" t="s">
        <v>8</v>
      </c>
      <c r="B7433" t="s">
        <v>20391</v>
      </c>
      <c r="C7433" t="s">
        <v>20392</v>
      </c>
      <c r="D7433">
        <v>1</v>
      </c>
      <c r="E7433" t="s">
        <v>20154</v>
      </c>
      <c r="F7433" t="s">
        <v>20155</v>
      </c>
      <c r="G7433" s="1"/>
      <c r="H7433" t="str">
        <f>"3250610019511"</f>
        <v>3250610019511</v>
      </c>
      <c r="J7433" t="s">
        <v>20247</v>
      </c>
    </row>
    <row r="7434" spans="1:10" x14ac:dyDescent="0.25">
      <c r="A7434" t="s">
        <v>8</v>
      </c>
      <c r="B7434" t="s">
        <v>20393</v>
      </c>
      <c r="C7434" t="s">
        <v>20394</v>
      </c>
      <c r="D7434">
        <v>1</v>
      </c>
      <c r="E7434" t="s">
        <v>20154</v>
      </c>
      <c r="F7434" t="s">
        <v>20155</v>
      </c>
      <c r="G7434" s="1"/>
      <c r="H7434" t="str">
        <f>"3250610019528"</f>
        <v>3250610019528</v>
      </c>
      <c r="J7434" t="s">
        <v>20395</v>
      </c>
    </row>
    <row r="7435" spans="1:10" x14ac:dyDescent="0.25">
      <c r="A7435" t="s">
        <v>8</v>
      </c>
      <c r="B7435" t="s">
        <v>20396</v>
      </c>
      <c r="C7435" t="s">
        <v>20397</v>
      </c>
      <c r="D7435">
        <v>1</v>
      </c>
      <c r="E7435" t="s">
        <v>20154</v>
      </c>
      <c r="F7435" t="s">
        <v>20155</v>
      </c>
      <c r="G7435" s="1"/>
      <c r="H7435" t="str">
        <f>"3250613251833"</f>
        <v>3250613251833</v>
      </c>
      <c r="J7435" t="s">
        <v>20208</v>
      </c>
    </row>
    <row r="7436" spans="1:10" x14ac:dyDescent="0.25">
      <c r="A7436" t="s">
        <v>8</v>
      </c>
      <c r="B7436" t="s">
        <v>20398</v>
      </c>
      <c r="C7436" t="s">
        <v>20399</v>
      </c>
      <c r="D7436">
        <v>1</v>
      </c>
      <c r="E7436" t="s">
        <v>20154</v>
      </c>
      <c r="F7436" t="s">
        <v>20155</v>
      </c>
      <c r="G7436" s="1"/>
      <c r="H7436" t="str">
        <f>"3250610019535"</f>
        <v>3250610019535</v>
      </c>
      <c r="J7436" t="s">
        <v>20390</v>
      </c>
    </row>
    <row r="7437" spans="1:10" x14ac:dyDescent="0.25">
      <c r="A7437" t="s">
        <v>8</v>
      </c>
      <c r="B7437" t="s">
        <v>20400</v>
      </c>
      <c r="C7437" t="s">
        <v>20401</v>
      </c>
      <c r="D7437">
        <v>1</v>
      </c>
      <c r="E7437" t="s">
        <v>20154</v>
      </c>
      <c r="F7437" t="s">
        <v>20155</v>
      </c>
      <c r="G7437" s="1"/>
      <c r="H7437" t="str">
        <f>"3250610019542"</f>
        <v>3250610019542</v>
      </c>
      <c r="J7437" t="s">
        <v>20402</v>
      </c>
    </row>
    <row r="7438" spans="1:10" x14ac:dyDescent="0.25">
      <c r="A7438" t="s">
        <v>8</v>
      </c>
      <c r="B7438" t="s">
        <v>20403</v>
      </c>
      <c r="C7438" t="s">
        <v>20404</v>
      </c>
      <c r="D7438">
        <v>1</v>
      </c>
      <c r="E7438" t="s">
        <v>20154</v>
      </c>
      <c r="F7438" t="s">
        <v>20155</v>
      </c>
      <c r="G7438" s="1"/>
      <c r="H7438" t="str">
        <f>"3250610019559"</f>
        <v>3250610019559</v>
      </c>
      <c r="J7438" t="s">
        <v>20208</v>
      </c>
    </row>
    <row r="7439" spans="1:10" x14ac:dyDescent="0.25">
      <c r="A7439" t="s">
        <v>8</v>
      </c>
      <c r="B7439" t="s">
        <v>20405</v>
      </c>
      <c r="C7439" t="s">
        <v>20406</v>
      </c>
      <c r="D7439">
        <v>1</v>
      </c>
      <c r="E7439" t="s">
        <v>20154</v>
      </c>
      <c r="F7439" t="s">
        <v>20155</v>
      </c>
      <c r="G7439" s="1"/>
      <c r="H7439" t="str">
        <f>"3250613251840"</f>
        <v>3250613251840</v>
      </c>
      <c r="J7439" t="s">
        <v>20196</v>
      </c>
    </row>
    <row r="7440" spans="1:10" x14ac:dyDescent="0.25">
      <c r="A7440" t="s">
        <v>8</v>
      </c>
      <c r="B7440" t="s">
        <v>20407</v>
      </c>
      <c r="C7440" t="s">
        <v>20408</v>
      </c>
      <c r="D7440">
        <v>1</v>
      </c>
      <c r="E7440" t="s">
        <v>20154</v>
      </c>
      <c r="F7440" t="s">
        <v>20155</v>
      </c>
      <c r="G7440" s="1"/>
      <c r="H7440" t="str">
        <f>"3250610019566"</f>
        <v>3250610019566</v>
      </c>
      <c r="J7440" t="s">
        <v>20409</v>
      </c>
    </row>
    <row r="7441" spans="1:10" x14ac:dyDescent="0.25">
      <c r="A7441" t="s">
        <v>8</v>
      </c>
      <c r="B7441" t="s">
        <v>20410</v>
      </c>
      <c r="C7441" t="s">
        <v>20411</v>
      </c>
      <c r="D7441">
        <v>1</v>
      </c>
      <c r="E7441" t="s">
        <v>20154</v>
      </c>
      <c r="F7441" t="s">
        <v>20155</v>
      </c>
      <c r="G7441" s="1"/>
      <c r="H7441" t="str">
        <f>"3250610019573"</f>
        <v>3250610019573</v>
      </c>
      <c r="J7441" t="s">
        <v>20409</v>
      </c>
    </row>
    <row r="7442" spans="1:10" x14ac:dyDescent="0.25">
      <c r="A7442" t="s">
        <v>8</v>
      </c>
      <c r="B7442" t="s">
        <v>20412</v>
      </c>
      <c r="C7442" t="s">
        <v>20413</v>
      </c>
      <c r="D7442">
        <v>1</v>
      </c>
      <c r="E7442" t="s">
        <v>20154</v>
      </c>
      <c r="F7442" t="s">
        <v>20155</v>
      </c>
      <c r="G7442" s="1"/>
      <c r="H7442" t="str">
        <f>"3250610023778"</f>
        <v>3250610023778</v>
      </c>
      <c r="J7442" t="s">
        <v>20414</v>
      </c>
    </row>
    <row r="7443" spans="1:10" x14ac:dyDescent="0.25">
      <c r="A7443" t="s">
        <v>8</v>
      </c>
      <c r="B7443" t="s">
        <v>20415</v>
      </c>
      <c r="C7443" t="s">
        <v>20416</v>
      </c>
      <c r="D7443">
        <v>1</v>
      </c>
      <c r="E7443" t="s">
        <v>20154</v>
      </c>
      <c r="F7443" t="s">
        <v>20155</v>
      </c>
      <c r="G7443" s="1"/>
      <c r="H7443" t="str">
        <f>"3250610023792"</f>
        <v>3250610023792</v>
      </c>
      <c r="J7443" t="s">
        <v>20417</v>
      </c>
    </row>
    <row r="7444" spans="1:10" x14ac:dyDescent="0.25">
      <c r="A7444" t="s">
        <v>8</v>
      </c>
      <c r="B7444" t="s">
        <v>20418</v>
      </c>
      <c r="C7444" t="s">
        <v>20419</v>
      </c>
      <c r="D7444">
        <v>1</v>
      </c>
      <c r="E7444" t="s">
        <v>20154</v>
      </c>
      <c r="F7444" t="s">
        <v>20155</v>
      </c>
      <c r="G7444" s="1"/>
      <c r="H7444" t="str">
        <f>"3250610019665"</f>
        <v>3250610019665</v>
      </c>
      <c r="J7444" t="s">
        <v>20331</v>
      </c>
    </row>
    <row r="7445" spans="1:10" x14ac:dyDescent="0.25">
      <c r="A7445" t="s">
        <v>8</v>
      </c>
      <c r="B7445" t="s">
        <v>20420</v>
      </c>
      <c r="C7445" t="s">
        <v>20421</v>
      </c>
      <c r="D7445">
        <v>1</v>
      </c>
      <c r="E7445" t="s">
        <v>20154</v>
      </c>
      <c r="F7445" t="s">
        <v>20155</v>
      </c>
      <c r="G7445" s="1"/>
      <c r="H7445" t="str">
        <f>"3250610024430"</f>
        <v>3250610024430</v>
      </c>
      <c r="J7445" t="s">
        <v>20188</v>
      </c>
    </row>
    <row r="7446" spans="1:10" x14ac:dyDescent="0.25">
      <c r="A7446" t="s">
        <v>8</v>
      </c>
      <c r="B7446" t="s">
        <v>20422</v>
      </c>
      <c r="C7446" t="s">
        <v>20423</v>
      </c>
      <c r="D7446">
        <v>1</v>
      </c>
      <c r="E7446" t="s">
        <v>20154</v>
      </c>
      <c r="F7446" t="s">
        <v>20155</v>
      </c>
      <c r="G7446" s="1"/>
      <c r="H7446" t="str">
        <f>"3250610024454"</f>
        <v>3250610024454</v>
      </c>
      <c r="J7446" t="s">
        <v>20188</v>
      </c>
    </row>
    <row r="7447" spans="1:10" x14ac:dyDescent="0.25">
      <c r="A7447" t="s">
        <v>8</v>
      </c>
      <c r="B7447" t="s">
        <v>20424</v>
      </c>
      <c r="C7447" t="s">
        <v>20425</v>
      </c>
      <c r="D7447">
        <v>1</v>
      </c>
      <c r="E7447" t="s">
        <v>20154</v>
      </c>
      <c r="F7447" t="s">
        <v>20155</v>
      </c>
      <c r="G7447" s="1"/>
      <c r="H7447" t="str">
        <f>"3250610019672"</f>
        <v>3250610019672</v>
      </c>
      <c r="J7447" t="s">
        <v>20188</v>
      </c>
    </row>
    <row r="7448" spans="1:10" x14ac:dyDescent="0.25">
      <c r="A7448" t="s">
        <v>8</v>
      </c>
      <c r="B7448" t="s">
        <v>20426</v>
      </c>
      <c r="C7448" t="s">
        <v>20427</v>
      </c>
      <c r="D7448">
        <v>1</v>
      </c>
      <c r="E7448" t="s">
        <v>20154</v>
      </c>
      <c r="F7448" t="s">
        <v>20155</v>
      </c>
      <c r="G7448" s="1"/>
      <c r="H7448" t="str">
        <f>"3250610019689"</f>
        <v>3250610019689</v>
      </c>
      <c r="J7448" t="s">
        <v>20428</v>
      </c>
    </row>
    <row r="7449" spans="1:10" x14ac:dyDescent="0.25">
      <c r="A7449" t="s">
        <v>8</v>
      </c>
      <c r="B7449" t="s">
        <v>20429</v>
      </c>
      <c r="C7449" t="s">
        <v>20430</v>
      </c>
      <c r="D7449">
        <v>1</v>
      </c>
      <c r="E7449" t="s">
        <v>20154</v>
      </c>
      <c r="F7449" t="s">
        <v>20155</v>
      </c>
      <c r="G7449" s="1"/>
      <c r="H7449" t="str">
        <f>"3250610019696"</f>
        <v>3250610019696</v>
      </c>
      <c r="J7449" t="s">
        <v>20431</v>
      </c>
    </row>
    <row r="7450" spans="1:10" x14ac:dyDescent="0.25">
      <c r="A7450" t="s">
        <v>8</v>
      </c>
      <c r="B7450" t="s">
        <v>20432</v>
      </c>
      <c r="C7450" t="s">
        <v>20433</v>
      </c>
      <c r="D7450">
        <v>1</v>
      </c>
      <c r="E7450" t="s">
        <v>20154</v>
      </c>
      <c r="F7450" t="s">
        <v>20155</v>
      </c>
      <c r="G7450" s="1"/>
      <c r="H7450" t="str">
        <f>"3250610019702"</f>
        <v>3250610019702</v>
      </c>
      <c r="J7450" t="s">
        <v>20431</v>
      </c>
    </row>
    <row r="7451" spans="1:10" x14ac:dyDescent="0.25">
      <c r="A7451" t="s">
        <v>8</v>
      </c>
      <c r="B7451" t="s">
        <v>20434</v>
      </c>
      <c r="C7451" t="s">
        <v>20435</v>
      </c>
      <c r="D7451">
        <v>1</v>
      </c>
      <c r="E7451" t="s">
        <v>20154</v>
      </c>
      <c r="F7451" t="s">
        <v>20155</v>
      </c>
      <c r="G7451" s="1"/>
      <c r="H7451" t="str">
        <f>"3250610019719"</f>
        <v>3250610019719</v>
      </c>
      <c r="J7451" t="s">
        <v>20436</v>
      </c>
    </row>
    <row r="7452" spans="1:10" x14ac:dyDescent="0.25">
      <c r="A7452" t="s">
        <v>8</v>
      </c>
      <c r="B7452" t="s">
        <v>20437</v>
      </c>
      <c r="C7452" t="s">
        <v>20438</v>
      </c>
      <c r="D7452">
        <v>1</v>
      </c>
      <c r="E7452" t="s">
        <v>20154</v>
      </c>
      <c r="F7452" t="s">
        <v>20155</v>
      </c>
      <c r="G7452" s="1"/>
      <c r="H7452" t="str">
        <f>"3250610019726"</f>
        <v>3250610019726</v>
      </c>
      <c r="J7452" t="s">
        <v>20436</v>
      </c>
    </row>
    <row r="7453" spans="1:10" x14ac:dyDescent="0.25">
      <c r="A7453" t="s">
        <v>8</v>
      </c>
      <c r="B7453" t="s">
        <v>20439</v>
      </c>
      <c r="C7453" t="s">
        <v>20440</v>
      </c>
      <c r="D7453">
        <v>1</v>
      </c>
      <c r="E7453" t="s">
        <v>20154</v>
      </c>
      <c r="F7453" t="s">
        <v>20155</v>
      </c>
      <c r="G7453" s="1"/>
      <c r="H7453" t="str">
        <f>"3250610019733"</f>
        <v>3250610019733</v>
      </c>
      <c r="J7453" t="s">
        <v>20441</v>
      </c>
    </row>
    <row r="7454" spans="1:10" x14ac:dyDescent="0.25">
      <c r="A7454" t="s">
        <v>8</v>
      </c>
      <c r="B7454" t="s">
        <v>20442</v>
      </c>
      <c r="C7454" t="s">
        <v>20443</v>
      </c>
      <c r="D7454">
        <v>1</v>
      </c>
      <c r="E7454" t="s">
        <v>20154</v>
      </c>
      <c r="F7454" t="s">
        <v>20155</v>
      </c>
      <c r="G7454" s="1"/>
      <c r="H7454" t="str">
        <f>"3250610019740"</f>
        <v>3250610019740</v>
      </c>
      <c r="J7454" t="s">
        <v>20441</v>
      </c>
    </row>
    <row r="7455" spans="1:10" x14ac:dyDescent="0.25">
      <c r="A7455" t="s">
        <v>8</v>
      </c>
      <c r="B7455" t="s">
        <v>20444</v>
      </c>
      <c r="C7455" t="s">
        <v>20445</v>
      </c>
      <c r="D7455">
        <v>1</v>
      </c>
      <c r="E7455" t="s">
        <v>20154</v>
      </c>
      <c r="F7455" t="s">
        <v>20155</v>
      </c>
      <c r="G7455" s="1"/>
      <c r="H7455" t="str">
        <f>"3250610019795"</f>
        <v>3250610019795</v>
      </c>
      <c r="J7455" t="s">
        <v>20446</v>
      </c>
    </row>
    <row r="7456" spans="1:10" x14ac:dyDescent="0.25">
      <c r="A7456" t="s">
        <v>8</v>
      </c>
      <c r="B7456" t="s">
        <v>20447</v>
      </c>
      <c r="C7456" t="s">
        <v>20448</v>
      </c>
      <c r="D7456">
        <v>1</v>
      </c>
      <c r="E7456" t="s">
        <v>20154</v>
      </c>
      <c r="F7456" t="s">
        <v>20155</v>
      </c>
      <c r="G7456" s="1"/>
      <c r="H7456" t="str">
        <f>"3250610019801"</f>
        <v>3250610019801</v>
      </c>
      <c r="J7456" t="s">
        <v>20446</v>
      </c>
    </row>
    <row r="7457" spans="1:10" x14ac:dyDescent="0.25">
      <c r="A7457" t="s">
        <v>8</v>
      </c>
      <c r="B7457" t="s">
        <v>20449</v>
      </c>
      <c r="C7457" t="s">
        <v>20450</v>
      </c>
      <c r="D7457">
        <v>1</v>
      </c>
      <c r="E7457" t="s">
        <v>20154</v>
      </c>
      <c r="F7457" t="s">
        <v>20155</v>
      </c>
      <c r="G7457" s="1"/>
      <c r="H7457" t="str">
        <f>"3250610019818"</f>
        <v>3250610019818</v>
      </c>
      <c r="J7457" t="s">
        <v>20211</v>
      </c>
    </row>
    <row r="7458" spans="1:10" x14ac:dyDescent="0.25">
      <c r="A7458" t="s">
        <v>8</v>
      </c>
      <c r="B7458" t="s">
        <v>20451</v>
      </c>
      <c r="C7458" t="s">
        <v>20452</v>
      </c>
      <c r="D7458">
        <v>1</v>
      </c>
      <c r="E7458" t="s">
        <v>20154</v>
      </c>
      <c r="F7458" t="s">
        <v>20155</v>
      </c>
      <c r="G7458" s="1"/>
      <c r="H7458" t="str">
        <f>"3250610019825"</f>
        <v>3250610019825</v>
      </c>
      <c r="J7458" t="s">
        <v>20446</v>
      </c>
    </row>
    <row r="7459" spans="1:10" x14ac:dyDescent="0.25">
      <c r="A7459" t="s">
        <v>8</v>
      </c>
      <c r="B7459" t="s">
        <v>20453</v>
      </c>
      <c r="C7459" t="s">
        <v>20454</v>
      </c>
      <c r="D7459">
        <v>1</v>
      </c>
      <c r="E7459" t="s">
        <v>20154</v>
      </c>
      <c r="F7459" t="s">
        <v>20155</v>
      </c>
      <c r="G7459" s="1"/>
      <c r="H7459" t="str">
        <f>"3250613131500"</f>
        <v>3250613131500</v>
      </c>
      <c r="J7459" t="s">
        <v>20196</v>
      </c>
    </row>
    <row r="7460" spans="1:10" x14ac:dyDescent="0.25">
      <c r="A7460" t="s">
        <v>8</v>
      </c>
      <c r="B7460" t="s">
        <v>20455</v>
      </c>
      <c r="C7460" t="s">
        <v>20456</v>
      </c>
      <c r="D7460">
        <v>1</v>
      </c>
      <c r="E7460" t="s">
        <v>20154</v>
      </c>
      <c r="F7460" t="s">
        <v>20155</v>
      </c>
      <c r="G7460" s="1"/>
      <c r="H7460" t="str">
        <f>"3250610025284"</f>
        <v>3250610025284</v>
      </c>
      <c r="J7460" t="s">
        <v>20338</v>
      </c>
    </row>
    <row r="7461" spans="1:10" x14ac:dyDescent="0.25">
      <c r="A7461" t="s">
        <v>8</v>
      </c>
      <c r="B7461" t="s">
        <v>20457</v>
      </c>
      <c r="C7461" t="s">
        <v>20458</v>
      </c>
      <c r="D7461">
        <v>1</v>
      </c>
      <c r="E7461" t="s">
        <v>20154</v>
      </c>
      <c r="F7461" t="s">
        <v>20155</v>
      </c>
      <c r="G7461" s="1"/>
      <c r="H7461" t="str">
        <f>"3250613251628"</f>
        <v>3250613251628</v>
      </c>
      <c r="J7461" t="s">
        <v>20338</v>
      </c>
    </row>
    <row r="7462" spans="1:10" x14ac:dyDescent="0.25">
      <c r="A7462" t="s">
        <v>8</v>
      </c>
      <c r="B7462" t="s">
        <v>20459</v>
      </c>
      <c r="C7462" t="s">
        <v>20460</v>
      </c>
      <c r="D7462">
        <v>1</v>
      </c>
      <c r="E7462" t="s">
        <v>20154</v>
      </c>
      <c r="F7462" t="s">
        <v>20155</v>
      </c>
      <c r="G7462" s="1"/>
      <c r="H7462" t="str">
        <f>"3250610023785"</f>
        <v>3250610023785</v>
      </c>
      <c r="J7462" t="s">
        <v>20234</v>
      </c>
    </row>
    <row r="7463" spans="1:10" x14ac:dyDescent="0.25">
      <c r="A7463" t="s">
        <v>8</v>
      </c>
      <c r="B7463" t="s">
        <v>20461</v>
      </c>
      <c r="C7463" t="s">
        <v>20462</v>
      </c>
      <c r="D7463">
        <v>1</v>
      </c>
      <c r="E7463" t="s">
        <v>20463</v>
      </c>
      <c r="F7463" t="s">
        <v>20464</v>
      </c>
      <c r="G7463" s="1"/>
      <c r="H7463" t="str">
        <f>"3250610105061"</f>
        <v>3250610105061</v>
      </c>
      <c r="J7463" t="s">
        <v>20465</v>
      </c>
    </row>
    <row r="7464" spans="1:10" x14ac:dyDescent="0.25">
      <c r="A7464" t="s">
        <v>8</v>
      </c>
      <c r="B7464" t="s">
        <v>20466</v>
      </c>
      <c r="C7464" t="s">
        <v>20467</v>
      </c>
      <c r="D7464">
        <v>1</v>
      </c>
      <c r="E7464" t="s">
        <v>20463</v>
      </c>
      <c r="F7464" t="s">
        <v>20464</v>
      </c>
      <c r="G7464" s="1"/>
      <c r="H7464" t="str">
        <f>"3250610089491"</f>
        <v>3250610089491</v>
      </c>
      <c r="J7464" t="s">
        <v>20468</v>
      </c>
    </row>
    <row r="7465" spans="1:10" x14ac:dyDescent="0.25">
      <c r="A7465" t="s">
        <v>8</v>
      </c>
      <c r="B7465" t="s">
        <v>20469</v>
      </c>
      <c r="C7465" t="s">
        <v>20470</v>
      </c>
      <c r="D7465">
        <v>1</v>
      </c>
      <c r="E7465" t="s">
        <v>20463</v>
      </c>
      <c r="F7465" t="s">
        <v>20464</v>
      </c>
      <c r="G7465" s="1"/>
      <c r="H7465" t="str">
        <f>"3250610089514"</f>
        <v>3250610089514</v>
      </c>
      <c r="J7465" t="s">
        <v>20471</v>
      </c>
    </row>
    <row r="7466" spans="1:10" x14ac:dyDescent="0.25">
      <c r="A7466" t="s">
        <v>8</v>
      </c>
      <c r="B7466" t="s">
        <v>20472</v>
      </c>
      <c r="C7466" t="s">
        <v>20473</v>
      </c>
      <c r="D7466">
        <v>1</v>
      </c>
      <c r="E7466" t="s">
        <v>20463</v>
      </c>
      <c r="F7466" t="s">
        <v>20464</v>
      </c>
      <c r="G7466" s="1"/>
      <c r="H7466" t="str">
        <f>"3250610105054"</f>
        <v>3250610105054</v>
      </c>
      <c r="J7466" t="s">
        <v>20474</v>
      </c>
    </row>
    <row r="7467" spans="1:10" x14ac:dyDescent="0.25">
      <c r="A7467" t="s">
        <v>8</v>
      </c>
      <c r="B7467" t="s">
        <v>20475</v>
      </c>
      <c r="C7467" t="s">
        <v>20476</v>
      </c>
      <c r="D7467">
        <v>1</v>
      </c>
      <c r="E7467" t="s">
        <v>20463</v>
      </c>
      <c r="F7467" t="s">
        <v>20464</v>
      </c>
      <c r="G7467" s="1"/>
      <c r="H7467" t="str">
        <f>"3250610089484"</f>
        <v>3250610089484</v>
      </c>
      <c r="J7467" t="s">
        <v>20477</v>
      </c>
    </row>
    <row r="7468" spans="1:10" x14ac:dyDescent="0.25">
      <c r="A7468" t="s">
        <v>8</v>
      </c>
      <c r="B7468" t="s">
        <v>20478</v>
      </c>
      <c r="C7468" t="s">
        <v>20479</v>
      </c>
      <c r="D7468">
        <v>1</v>
      </c>
      <c r="E7468" t="s">
        <v>20463</v>
      </c>
      <c r="F7468" t="s">
        <v>20464</v>
      </c>
      <c r="G7468" s="1"/>
      <c r="H7468" t="str">
        <f>"3250610089507"</f>
        <v>3250610089507</v>
      </c>
      <c r="J7468" t="s">
        <v>20480</v>
      </c>
    </row>
    <row r="7469" spans="1:10" x14ac:dyDescent="0.25">
      <c r="A7469" t="s">
        <v>8</v>
      </c>
      <c r="B7469" t="s">
        <v>20481</v>
      </c>
      <c r="C7469" t="s">
        <v>20482</v>
      </c>
      <c r="D7469">
        <v>1</v>
      </c>
      <c r="E7469" t="s">
        <v>20463</v>
      </c>
      <c r="F7469" t="s">
        <v>20464</v>
      </c>
      <c r="G7469" s="1"/>
      <c r="H7469" t="str">
        <f>"3250610089613"</f>
        <v>3250610089613</v>
      </c>
      <c r="J7469" s="1">
        <v>5610</v>
      </c>
    </row>
    <row r="7470" spans="1:10" x14ac:dyDescent="0.25">
      <c r="A7470" t="s">
        <v>8</v>
      </c>
      <c r="B7470" t="s">
        <v>20483</v>
      </c>
      <c r="C7470" t="s">
        <v>20484</v>
      </c>
      <c r="D7470">
        <v>1</v>
      </c>
      <c r="E7470" t="s">
        <v>20463</v>
      </c>
      <c r="F7470" t="s">
        <v>20464</v>
      </c>
      <c r="G7470" s="1"/>
      <c r="H7470" t="str">
        <f>"3250610089606"</f>
        <v>3250610089606</v>
      </c>
      <c r="J7470" s="1">
        <v>5310</v>
      </c>
    </row>
    <row r="7471" spans="1:10" x14ac:dyDescent="0.25">
      <c r="A7471" t="s">
        <v>8</v>
      </c>
      <c r="B7471" t="s">
        <v>20485</v>
      </c>
      <c r="C7471" t="s">
        <v>20486</v>
      </c>
      <c r="D7471">
        <v>1</v>
      </c>
      <c r="E7471" t="s">
        <v>20463</v>
      </c>
      <c r="F7471" t="s">
        <v>20464</v>
      </c>
      <c r="G7471" s="1"/>
      <c r="H7471" t="str">
        <f>"3250610089637"</f>
        <v>3250610089637</v>
      </c>
      <c r="J7471" s="1">
        <v>5400</v>
      </c>
    </row>
    <row r="7472" spans="1:10" x14ac:dyDescent="0.25">
      <c r="A7472" t="s">
        <v>8</v>
      </c>
      <c r="B7472" t="s">
        <v>20487</v>
      </c>
      <c r="C7472" t="s">
        <v>20488</v>
      </c>
      <c r="D7472">
        <v>1</v>
      </c>
      <c r="E7472" t="s">
        <v>20463</v>
      </c>
      <c r="F7472" t="s">
        <v>20464</v>
      </c>
      <c r="G7472" s="1"/>
      <c r="H7472" t="str">
        <f>"3250610089620"</f>
        <v>3250610089620</v>
      </c>
      <c r="J7472" s="1">
        <v>5100</v>
      </c>
    </row>
    <row r="7473" spans="1:10" x14ac:dyDescent="0.25">
      <c r="A7473" t="s">
        <v>8</v>
      </c>
      <c r="B7473" t="s">
        <v>20489</v>
      </c>
      <c r="C7473" t="s">
        <v>20490</v>
      </c>
      <c r="D7473">
        <v>1</v>
      </c>
      <c r="E7473" t="s">
        <v>20491</v>
      </c>
      <c r="F7473" t="s">
        <v>20492</v>
      </c>
      <c r="G7473" s="1"/>
      <c r="H7473" t="str">
        <f>"3250610087855"</f>
        <v>3250610087855</v>
      </c>
      <c r="J7473" t="s">
        <v>20493</v>
      </c>
    </row>
    <row r="7474" spans="1:10" x14ac:dyDescent="0.25">
      <c r="A7474" t="s">
        <v>8</v>
      </c>
      <c r="B7474" t="s">
        <v>20494</v>
      </c>
      <c r="C7474" t="s">
        <v>20495</v>
      </c>
      <c r="D7474">
        <v>1</v>
      </c>
      <c r="E7474" t="s">
        <v>20496</v>
      </c>
      <c r="F7474" t="s">
        <v>20497</v>
      </c>
      <c r="G7474" s="1"/>
      <c r="H7474" t="str">
        <f>"3250610085776"</f>
        <v>3250610085776</v>
      </c>
      <c r="J7474" t="s">
        <v>20498</v>
      </c>
    </row>
    <row r="7475" spans="1:10" x14ac:dyDescent="0.25">
      <c r="A7475" t="s">
        <v>8</v>
      </c>
      <c r="B7475" t="s">
        <v>20499</v>
      </c>
      <c r="C7475" t="s">
        <v>20500</v>
      </c>
      <c r="D7475">
        <v>1</v>
      </c>
      <c r="E7475" t="s">
        <v>20496</v>
      </c>
      <c r="F7475" t="s">
        <v>20497</v>
      </c>
      <c r="G7475" s="1"/>
      <c r="H7475" t="str">
        <f>"3250610085783"</f>
        <v>3250610085783</v>
      </c>
      <c r="J7475" t="s">
        <v>20501</v>
      </c>
    </row>
    <row r="7476" spans="1:10" x14ac:dyDescent="0.25">
      <c r="A7476" t="s">
        <v>8</v>
      </c>
      <c r="B7476" t="s">
        <v>20502</v>
      </c>
      <c r="C7476" t="s">
        <v>20503</v>
      </c>
      <c r="D7476">
        <v>1</v>
      </c>
      <c r="E7476" t="s">
        <v>20504</v>
      </c>
      <c r="F7476" t="s">
        <v>20505</v>
      </c>
      <c r="G7476" s="1"/>
      <c r="H7476" t="str">
        <f>"3250610154137"</f>
        <v>3250610154137</v>
      </c>
      <c r="J7476" t="s">
        <v>20506</v>
      </c>
    </row>
    <row r="7477" spans="1:10" x14ac:dyDescent="0.25">
      <c r="A7477" t="s">
        <v>8</v>
      </c>
      <c r="B7477" t="s">
        <v>20507</v>
      </c>
      <c r="C7477" t="s">
        <v>20508</v>
      </c>
      <c r="D7477">
        <v>1</v>
      </c>
      <c r="E7477" t="s">
        <v>20504</v>
      </c>
      <c r="F7477" t="s">
        <v>20505</v>
      </c>
      <c r="G7477" s="1"/>
      <c r="H7477" t="str">
        <f>"3250610154144"</f>
        <v>3250610154144</v>
      </c>
      <c r="J7477" t="s">
        <v>20509</v>
      </c>
    </row>
    <row r="7478" spans="1:10" x14ac:dyDescent="0.25">
      <c r="A7478" t="s">
        <v>8</v>
      </c>
      <c r="B7478" t="s">
        <v>20510</v>
      </c>
      <c r="C7478" t="s">
        <v>20511</v>
      </c>
      <c r="D7478">
        <v>1</v>
      </c>
      <c r="E7478" t="s">
        <v>20504</v>
      </c>
      <c r="F7478" t="s">
        <v>20505</v>
      </c>
      <c r="G7478" s="1"/>
      <c r="H7478" t="str">
        <f>"3250610154151"</f>
        <v>3250610154151</v>
      </c>
      <c r="J7478" t="s">
        <v>20512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Export_Tarifs_YESSS_15-30-20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quentin martinez</dc:creator>
  <cp:lastModifiedBy>quentin martinez</cp:lastModifiedBy>
  <dcterms:created xsi:type="dcterms:W3CDTF">2026-10-22T13:32:50Z</dcterms:created>
  <dcterms:modified xsi:type="dcterms:W3CDTF">2026-10-22T13:44:00Z</dcterms:modified>
</cp:coreProperties>
</file>