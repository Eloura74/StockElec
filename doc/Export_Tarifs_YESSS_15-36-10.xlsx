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8_{6A0C20E2-61DC-4190-B5D4-87F4B289A83C}" xr6:coauthVersionLast="47" xr6:coauthVersionMax="47" xr10:uidLastSave="{00000000-0000-0000-0000-000000000000}"/>
  <bookViews>
    <workbookView xWindow="-45195" yWindow="4365" windowWidth="30960" windowHeight="9690" xr2:uid="{C7D1DA07-42EC-4815-B7E6-EC61EEE9BF27}"/>
  </bookViews>
  <sheets>
    <sheet name="Export_Tarifs_YESSS_15-36-10" sheetId="1" r:id="rId1"/>
  </sheets>
  <calcPr calcId="0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</calcChain>
</file>

<file path=xl/sharedStrings.xml><?xml version="1.0" encoding="utf-8"?>
<sst xmlns="http://schemas.openxmlformats.org/spreadsheetml/2006/main" count="7864" uniqueCount="2187">
  <si>
    <t>fournisseur</t>
  </si>
  <si>
    <t>reference</t>
  </si>
  <si>
    <t>libelle</t>
  </si>
  <si>
    <t>unite_de_vente</t>
  </si>
  <si>
    <t>fam_code</t>
  </si>
  <si>
    <t>fam_libelle</t>
  </si>
  <si>
    <t>pdt_code_ean</t>
  </si>
  <si>
    <t>prix_client</t>
  </si>
  <si>
    <t>OGGILUCE SAS</t>
  </si>
  <si>
    <t>COLLERETTE INNOVLED (Noir structuré)</t>
  </si>
  <si>
    <t xml:space="preserve">OG71M10 </t>
  </si>
  <si>
    <t>Toutes familles OGGILUCE</t>
  </si>
  <si>
    <t>1.8€</t>
  </si>
  <si>
    <t>COLLERETTE INNOVLED (Alu brossé)</t>
  </si>
  <si>
    <t>COLLERETTE INNOVLED (Blanc structuré)</t>
  </si>
  <si>
    <t>WATTO (Blanc structuré, Fixati</t>
  </si>
  <si>
    <t>WATTO (Noir structuré, Fixatio</t>
  </si>
  <si>
    <t>WATTO (Alu brossé, Fixation re</t>
  </si>
  <si>
    <t>WATTO (Alu brossé, Fixation la</t>
  </si>
  <si>
    <t>NEWTA (Blanc structuré, Fixati</t>
  </si>
  <si>
    <t>11.4€</t>
  </si>
  <si>
    <t>NEWTA (Noir structuré, Fixatio</t>
  </si>
  <si>
    <t>NEWTA (Bronze, Fixation ressor</t>
  </si>
  <si>
    <t>12.9€</t>
  </si>
  <si>
    <t>NEWTA (Bronze, Fixation lamell</t>
  </si>
  <si>
    <t>TIJANO (Blanc structuré, Ø58x1</t>
  </si>
  <si>
    <t>16.2€</t>
  </si>
  <si>
    <t>TIJANO (Noir structuré, Ø58x10</t>
  </si>
  <si>
    <t>TIJANO (Blanc structuré, Ø58x2</t>
  </si>
  <si>
    <t>TIJANO (Noir structuré, Ø58x20</t>
  </si>
  <si>
    <t>33.6€</t>
  </si>
  <si>
    <t>TIJANO (Noir structuré, Ø58x28</t>
  </si>
  <si>
    <t>INNOVLED (Non dimmable, 2700 Kelvin, 40°</t>
  </si>
  <si>
    <t>20.94€</t>
  </si>
  <si>
    <t>INNOVLED (Non dimmable, 3000 Kelvin, 40°</t>
  </si>
  <si>
    <t>INNOVLED (Non dimmable, 4000 Kelvin, 40°</t>
  </si>
  <si>
    <t>INNOVLED (Non dimmable, 2700 Kelvin, 24°</t>
  </si>
  <si>
    <t>INNOVLED (Non dimmable, 3000 Kelvin, 24°</t>
  </si>
  <si>
    <t>INNOVLED (Non dimmable, 4000 Kelvin, 24°</t>
  </si>
  <si>
    <t>INNOVLED (Non dimmable, 2700 Kelvin, 60°</t>
  </si>
  <si>
    <t>INNOVLED (Non dimmable, 3000 Kelvin, 60°</t>
  </si>
  <si>
    <t>INNOVLED (Non dimmable, 4000 Kelvin, 60°</t>
  </si>
  <si>
    <t>INNOVLED (Dimmable TRIAC, 2700 Kelvin, 4</t>
  </si>
  <si>
    <t>29.4€</t>
  </si>
  <si>
    <t>INNOVLED (Dimmable TRIAC, 3000 Kelvin, 4</t>
  </si>
  <si>
    <t>INNOVLED (Dimmable TRIAC, 4000 Kelvin, 4</t>
  </si>
  <si>
    <t>INNOVLED (Dimmable TRIAC, DTW 2700-4000</t>
  </si>
  <si>
    <t>INNOVLED (Dimmable TRIAC, 2700 Kelvin, 2</t>
  </si>
  <si>
    <t>INNOVLED (Dimmable TRIAC, 3000 Kelvin, 2</t>
  </si>
  <si>
    <t>INNOVLED (Dimmable TRIAC, 4000 Kelvin, 2</t>
  </si>
  <si>
    <t>INNOVLED (Dimmable TRIAC, 2700 Kelvin, 6</t>
  </si>
  <si>
    <t>INNOVLED (Dimmable TRIAC, 3000 Kelvin, 6</t>
  </si>
  <si>
    <t>INNOVLED (Dimmable TRIAC, 4000 Kelvin, 6</t>
  </si>
  <si>
    <t>ALIMENTATION 350mA (Non dimmab</t>
  </si>
  <si>
    <t>10.32€</t>
  </si>
  <si>
    <t>ALIMENTATION 350mA (Dimmable T</t>
  </si>
  <si>
    <t>19.32€</t>
  </si>
  <si>
    <t>BOXEO (Blanc structuré)</t>
  </si>
  <si>
    <t>50.4€</t>
  </si>
  <si>
    <t>BOXEO (Noir structuré)</t>
  </si>
  <si>
    <t>WALO PLAQUE FINITION (Blanc st</t>
  </si>
  <si>
    <t>7.56€</t>
  </si>
  <si>
    <t>WALO PLAQUE FINITION (Noir str</t>
  </si>
  <si>
    <t>WALO PLAQUE FINITION (Noir bro</t>
  </si>
  <si>
    <t>WALO PLAQUE FINITION (Titane,</t>
  </si>
  <si>
    <t>WALO PLAQUE FINITION (Bronze,</t>
  </si>
  <si>
    <t>8.4€</t>
  </si>
  <si>
    <t>WALO PLAQUE FINITION (Blanc, 8</t>
  </si>
  <si>
    <t>WALO PLAQUE FINITION (Noir, 80</t>
  </si>
  <si>
    <t>WALO MODULE MURAL</t>
  </si>
  <si>
    <t>19.5€</t>
  </si>
  <si>
    <t>WALO MODULE MURAL (IP20, Détec</t>
  </si>
  <si>
    <t>29.7€</t>
  </si>
  <si>
    <t>WALO MODULE MURAL (IP65, Stand</t>
  </si>
  <si>
    <t>24.6€</t>
  </si>
  <si>
    <t>WALO MODULE MURAL (IP65, PIR)</t>
  </si>
  <si>
    <t>34.8€</t>
  </si>
  <si>
    <t>BIDI borne (Noir structuré, Dimmable TRI</t>
  </si>
  <si>
    <t>376.8€</t>
  </si>
  <si>
    <t>BIDI borne (Rouille structuré, Dimmable</t>
  </si>
  <si>
    <t>BIDI borne (Noir structuré, Non dimmable</t>
  </si>
  <si>
    <t>412.2€</t>
  </si>
  <si>
    <t>BIDI borne (Rouille structuré, Non dimma</t>
  </si>
  <si>
    <t>BIDI applique (Noir structuré, Dimmable</t>
  </si>
  <si>
    <t>295.68€</t>
  </si>
  <si>
    <t>BIDI applique (Blanc structuré, Dimmable</t>
  </si>
  <si>
    <t>BIDI applique (Rouille structuré, Dimmab</t>
  </si>
  <si>
    <t>BIDI applique (Noir structuré, Non dimma</t>
  </si>
  <si>
    <t>320.7€</t>
  </si>
  <si>
    <t>BIDI applique (Blanc structuré, Non dimm</t>
  </si>
  <si>
    <t>BIDI applique (Rouille structuré, Non di</t>
  </si>
  <si>
    <t>NOLA (Câble extrémité, 3000 Kelvin, 1 mé</t>
  </si>
  <si>
    <t>82.8€</t>
  </si>
  <si>
    <t>NOLA (Câble extrémité, 3000 Kelvin, 2,5</t>
  </si>
  <si>
    <t>200.4€</t>
  </si>
  <si>
    <t>NOLA (Câble extrémité, 3000 Kelvin, 5 mé</t>
  </si>
  <si>
    <t>400.8€</t>
  </si>
  <si>
    <t>NOLA (Câble extrémité, DTW 2300-4000K, 5</t>
  </si>
  <si>
    <t>419.4€</t>
  </si>
  <si>
    <t>NOLA (Câble extrémité, RGB, 5 métres)</t>
  </si>
  <si>
    <t>BOITE DE 10 CLIPS - NOLA</t>
  </si>
  <si>
    <t>19.8€</t>
  </si>
  <si>
    <t>ACCESSOIRE POUR SUSPENSION VER</t>
  </si>
  <si>
    <t>72.6€</t>
  </si>
  <si>
    <t>ACCESSOIRE POUR PLAFONNIER VER</t>
  </si>
  <si>
    <t>ACCESSOIRE POUR SUPSENSION HOR</t>
  </si>
  <si>
    <t>ACCESSOIRE POUR PLAFONNIER HOR</t>
  </si>
  <si>
    <t>19.2€</t>
  </si>
  <si>
    <t>ACCESSOIRE POUR CREATION DE ST</t>
  </si>
  <si>
    <t>4.5€</t>
  </si>
  <si>
    <t>ACCESSOIRE POUR CONNECTION EN ALU - NOLA</t>
  </si>
  <si>
    <t>15.06€</t>
  </si>
  <si>
    <t>EMBOUT pour NOLA</t>
  </si>
  <si>
    <t>3.78€</t>
  </si>
  <si>
    <t>2.04€</t>
  </si>
  <si>
    <t>62.4€</t>
  </si>
  <si>
    <t>27.6€</t>
  </si>
  <si>
    <t>55.8€</t>
  </si>
  <si>
    <t>60.6€</t>
  </si>
  <si>
    <t>Embout NOLA câble latéral</t>
  </si>
  <si>
    <t>ACCESSOIRE POUR JONCTION NOLA</t>
  </si>
  <si>
    <t>18.18€</t>
  </si>
  <si>
    <t>85.2€</t>
  </si>
  <si>
    <t>84.6€</t>
  </si>
  <si>
    <t>46.2€</t>
  </si>
  <si>
    <t>73.2€</t>
  </si>
  <si>
    <t>REFLECTEUR OPTIQUE 55/60/65 °</t>
  </si>
  <si>
    <t>1.11€</t>
  </si>
  <si>
    <t>0.6€</t>
  </si>
  <si>
    <t>REFLECTEUR OPTIQUE S</t>
  </si>
  <si>
    <t>16.86€</t>
  </si>
  <si>
    <t>REFLECTEUR OPTIQUE 70</t>
  </si>
  <si>
    <t>REFLECTEUR OPTIQUE 30/40°</t>
  </si>
  <si>
    <t>REFLECTREUR OPTIQUE S</t>
  </si>
  <si>
    <t>9.06€</t>
  </si>
  <si>
    <t>OPTIQUE PROFESSIONELLE XW</t>
  </si>
  <si>
    <t>REFLECTREUR OPTIQUE L</t>
  </si>
  <si>
    <t>ECRAN ANTI-EBLOUISANT SNOOT</t>
  </si>
  <si>
    <t>7.44€</t>
  </si>
  <si>
    <t>VERRE TRENPE TRANSPARENT</t>
  </si>
  <si>
    <t>GRILLE NID D'ABEILLE</t>
  </si>
  <si>
    <t>14.88€</t>
  </si>
  <si>
    <t>REFLECTEUR CYLINDRIQUE DORE</t>
  </si>
  <si>
    <t>15.9€</t>
  </si>
  <si>
    <t>LENTILLE EN VERRE SABLE</t>
  </si>
  <si>
    <t>8.28€</t>
  </si>
  <si>
    <t>CYLINDRE OR SATINE</t>
  </si>
  <si>
    <t>14.52€</t>
  </si>
  <si>
    <t>10.38€</t>
  </si>
  <si>
    <t>8.82€</t>
  </si>
  <si>
    <t>OPTIQUE POUR ACHILLE 190 15°</t>
  </si>
  <si>
    <t>8.802€</t>
  </si>
  <si>
    <t>OPTIQUE POUR ACHILLE 190 45°</t>
  </si>
  <si>
    <t>28902251S</t>
  </si>
  <si>
    <t>OPTIQUE PROFESSIONNELLE S INTENSIF</t>
  </si>
  <si>
    <t>28902251W</t>
  </si>
  <si>
    <t>OPTIQUE PROFESSIONNELLE W EXTENSIF</t>
  </si>
  <si>
    <t>PRAVE (Alu/diffuseur opale)</t>
  </si>
  <si>
    <t>AFITO (Alu/diffuseur opale)</t>
  </si>
  <si>
    <t>AFITO (Blanc/diffuseur Opale)</t>
  </si>
  <si>
    <t>AFITO (Noir/diffuseur Opale)</t>
  </si>
  <si>
    <t>AFITO KIT DE FINITION (Aluminium)</t>
  </si>
  <si>
    <t>2.4€</t>
  </si>
  <si>
    <t>AFITO KIT DE FINITION (Blanc)</t>
  </si>
  <si>
    <t>AFITO KIT DE FINITION (Noir)</t>
  </si>
  <si>
    <t>PLATA</t>
  </si>
  <si>
    <t>6.9€</t>
  </si>
  <si>
    <t>CAMI</t>
  </si>
  <si>
    <t>VERLI</t>
  </si>
  <si>
    <t>VERLI DIFFUSEUR 2M OPALE</t>
  </si>
  <si>
    <t>40.8€</t>
  </si>
  <si>
    <t>GIANA (Alu/diffuseur opale)</t>
  </si>
  <si>
    <t>GIANA (Blanc/diffuseur Opale)</t>
  </si>
  <si>
    <t>GIANA (Noir/diffuseur Opale)</t>
  </si>
  <si>
    <t>GIANA (Noir/diffuseur Noir)</t>
  </si>
  <si>
    <t>76.8€</t>
  </si>
  <si>
    <t>GIANO (Alu/diffuseur opale, 2</t>
  </si>
  <si>
    <t>74.4€</t>
  </si>
  <si>
    <t>GIANO (Blanc/diffuseur Opale,</t>
  </si>
  <si>
    <t>GIANO (Noir/diffuseur Opale, 2</t>
  </si>
  <si>
    <t>GIANO (Noir/diffuseur Noir, 2</t>
  </si>
  <si>
    <t>80.4€</t>
  </si>
  <si>
    <t>GIANO / GIANA DIFFUSEUR 2M OPALE POUR</t>
  </si>
  <si>
    <t>20.82€</t>
  </si>
  <si>
    <t>PRAVE clips</t>
  </si>
  <si>
    <t>2.64€</t>
  </si>
  <si>
    <t>VERLI clips de fixation</t>
  </si>
  <si>
    <t>1.32€</t>
  </si>
  <si>
    <t>GIANA Clips</t>
  </si>
  <si>
    <t>1.38€</t>
  </si>
  <si>
    <t>GIANO ressort</t>
  </si>
  <si>
    <t>PRAVE embout de finition</t>
  </si>
  <si>
    <t>3.36€</t>
  </si>
  <si>
    <t>VERLI embout de finition</t>
  </si>
  <si>
    <t>GIANA embout (Aluminium)</t>
  </si>
  <si>
    <t>GIANA embout (Blanc)</t>
  </si>
  <si>
    <t>GIANA embout (Noir)</t>
  </si>
  <si>
    <t>GIANO embout (Aluminium)</t>
  </si>
  <si>
    <t>GIANO embout (Blanc)</t>
  </si>
  <si>
    <t>GIANO embout (Noir)</t>
  </si>
  <si>
    <t>CAMI embout</t>
  </si>
  <si>
    <t>VERLI connexion 180°</t>
  </si>
  <si>
    <t>VERLI connexion 135° UP</t>
  </si>
  <si>
    <t>VERLI connexion 90° UP</t>
  </si>
  <si>
    <t>VERLI connexion 135° PLAT</t>
  </si>
  <si>
    <t>VERLI connexion 120° PLAT</t>
  </si>
  <si>
    <t>VERLI connexion 90° PLAT</t>
  </si>
  <si>
    <t>VERLI suspension 4306</t>
  </si>
  <si>
    <t>6.6€</t>
  </si>
  <si>
    <t>GIANA structure</t>
  </si>
  <si>
    <t>38.4€</t>
  </si>
  <si>
    <t>BORIO</t>
  </si>
  <si>
    <t>56.4€</t>
  </si>
  <si>
    <t>BORIO DIFFUSEUR PC 1M</t>
  </si>
  <si>
    <t>5.1€</t>
  </si>
  <si>
    <t>BORIO embout</t>
  </si>
  <si>
    <t>BORIO connecteur en ligne</t>
  </si>
  <si>
    <t>COSTA (Alu/diffuseur opale)</t>
  </si>
  <si>
    <t>20.4€</t>
  </si>
  <si>
    <t>CLIP DE FIXATION ORIENTABLE</t>
  </si>
  <si>
    <t>4.02€</t>
  </si>
  <si>
    <t>COSTA (Noir/diffuseur Opale)</t>
  </si>
  <si>
    <t>26.4€</t>
  </si>
  <si>
    <t>COSTA (Blanc/diffuseur Opale)</t>
  </si>
  <si>
    <t>COSTA (Noir/diffuseur Noir)</t>
  </si>
  <si>
    <t>COSTA accessoire sup. (Aluminium)</t>
  </si>
  <si>
    <t>COSTA accessoire sup. (Noir)</t>
  </si>
  <si>
    <t>COSTA accessoire sup. (Blanc)</t>
  </si>
  <si>
    <t>DIFFUSEUR POUR COSTA (Diffuseur noir)</t>
  </si>
  <si>
    <t>5.4€</t>
  </si>
  <si>
    <t>TONGA (Alu/diffuseur opale, 18</t>
  </si>
  <si>
    <t>TONGA (Noir/diffuseur Opale, 1</t>
  </si>
  <si>
    <t>28.8€</t>
  </si>
  <si>
    <t>TONGA (Blanc/diffuseur Opale,</t>
  </si>
  <si>
    <t>TONGA (Noir/diffuseur Noir, 18</t>
  </si>
  <si>
    <t>31.2€</t>
  </si>
  <si>
    <t>TONGA ACCESSOIRES (2 EMBOUTS + 4 CLIPS)</t>
  </si>
  <si>
    <t>TAIGA</t>
  </si>
  <si>
    <t>TAIGA (Noir/diffuseur Opale)</t>
  </si>
  <si>
    <t>TAIGA (Noir/diffuseur Noir)</t>
  </si>
  <si>
    <t>TAIGA ACCESSOIRES (2 EMBOUTS + 4 CLIPS)</t>
  </si>
  <si>
    <t>DIFFUSEUR POUR COSTA (Diffuseur opalin)</t>
  </si>
  <si>
    <t>CERI (2700 Kelvin)</t>
  </si>
  <si>
    <t>8.7€</t>
  </si>
  <si>
    <t>CERI (3000 Kelvin)</t>
  </si>
  <si>
    <t>CERA (Blanc, 4,9W, 2700 Kelvin</t>
  </si>
  <si>
    <t>10.2€</t>
  </si>
  <si>
    <t>CERA (Blanc, 4,9W, 3000 Kelvin</t>
  </si>
  <si>
    <t>CERA (Noir, 4,9W, 2700 Kelvin)</t>
  </si>
  <si>
    <t>10.5€</t>
  </si>
  <si>
    <t>CERA (Noir, 4,9W, 3000 Kelvin)</t>
  </si>
  <si>
    <t>CERA (Blanc, 2700 Kelvin)</t>
  </si>
  <si>
    <t>CERA (Blanc, 3000 Kelvin)</t>
  </si>
  <si>
    <t>CERA (Blanc, 8W, DTW 1800K-300</t>
  </si>
  <si>
    <t>14.7€</t>
  </si>
  <si>
    <t>CERA (Noir, 2700 Kelvin)</t>
  </si>
  <si>
    <t>CERA (Noir, 3000 Kelvin)</t>
  </si>
  <si>
    <t>VERO (Blanc structuré, Fixatio</t>
  </si>
  <si>
    <t>7.8€</t>
  </si>
  <si>
    <t>VERO (Noir structuré, Fixation</t>
  </si>
  <si>
    <t>CERA (Noir/Noir, 8W, 2700 Kelv</t>
  </si>
  <si>
    <t>11.7€</t>
  </si>
  <si>
    <t>CERA (Noir/Noir, 8W, 3000 Kelv</t>
  </si>
  <si>
    <t>CERA (Noir/Noir, 8W, DTW 1800K</t>
  </si>
  <si>
    <t>15.6€</t>
  </si>
  <si>
    <t>VENTURO Ampoule (Verre transparent)</t>
  </si>
  <si>
    <t>VENTURO Ampoule (Verre Opalin)</t>
  </si>
  <si>
    <t>COSI (Noir structuré, 2700 Kel</t>
  </si>
  <si>
    <t>12.6€</t>
  </si>
  <si>
    <t>COSI (Blanc structuré, 2700 Ke</t>
  </si>
  <si>
    <t>COSI (Titane satiné, 2700 Kelv</t>
  </si>
  <si>
    <t>13.8€</t>
  </si>
  <si>
    <t>COSI (Cognac brossé, 2700 Kelv</t>
  </si>
  <si>
    <t>COSI (Noir structuré, 3000 Kel</t>
  </si>
  <si>
    <t>COSI (Blanc structuré, 3000 Ke</t>
  </si>
  <si>
    <t>COSI (Titane satiné, 3000 Kelv</t>
  </si>
  <si>
    <t>COSI (Cognac brossé, 3000 Kelv</t>
  </si>
  <si>
    <t>FIRO  (Noir structuré, 2700 Ke</t>
  </si>
  <si>
    <t>35.4€</t>
  </si>
  <si>
    <t>FIRO  (Blanc structuré, 2700 K</t>
  </si>
  <si>
    <t>FIRO  (Titane satiné, 2700 Kel</t>
  </si>
  <si>
    <t>FIRO  (Cognac brossé, 2700 Kel</t>
  </si>
  <si>
    <t>FIRO  (Noir structuré, 3000 Ke</t>
  </si>
  <si>
    <t>FIRO  (Blanc structuré, 3000 K</t>
  </si>
  <si>
    <t>FIRO  (Titane satiné, 3000 Kel</t>
  </si>
  <si>
    <t>FIRO  (Cognac brossé, 3000 Kel</t>
  </si>
  <si>
    <t>FARO (Noir structuré, 2700 Kel</t>
  </si>
  <si>
    <t>46.8€</t>
  </si>
  <si>
    <t>FARO (Blanc structuré, 2700 Ke</t>
  </si>
  <si>
    <t>FARO (Titane satiné, 2700 Kelv</t>
  </si>
  <si>
    <t>FARO (Cognac brossé, 2700 Kelv</t>
  </si>
  <si>
    <t>FARO (Noir structuré, 3000 Kel</t>
  </si>
  <si>
    <t>FARO (Blanc structuré, 3000 Ke</t>
  </si>
  <si>
    <t>FARO (Titane satiné, 3000 Kelv</t>
  </si>
  <si>
    <t>FARO (Cognac brossé, 3000 Kelv</t>
  </si>
  <si>
    <t>VENTURO BASE (Blanc structuré)</t>
  </si>
  <si>
    <t>VENTURO BASE (Noir structuré)</t>
  </si>
  <si>
    <t>VENTURO BASE (Chrome mat)</t>
  </si>
  <si>
    <t>VENTURO  (Blanc structuré, S14d 50 trans</t>
  </si>
  <si>
    <t>VENTURO  (Noir structuré, S14d 50 transp</t>
  </si>
  <si>
    <t>VENTURO  (Chrome mat, S14d 50 transparen</t>
  </si>
  <si>
    <t>VENTURO  (Blanc structuré, S14d 50 opali</t>
  </si>
  <si>
    <t>VENTURO  (Noir structuré, S14d 50 opalin</t>
  </si>
  <si>
    <t>VENTURO  (Chrome mat, S14d 50 opalin)</t>
  </si>
  <si>
    <t>COLLERETTES POUR CERA GU10 AMPOULE (Doré</t>
  </si>
  <si>
    <t>HONEYCOMB POUR CERA GU10 AMPOU</t>
  </si>
  <si>
    <t>2.1€</t>
  </si>
  <si>
    <t>HONEYCOMB CERI</t>
  </si>
  <si>
    <t>LINEA 900 48VDC 8W 3000K 1040LM</t>
  </si>
  <si>
    <t>142.08€</t>
  </si>
  <si>
    <t>LINEA 1900 48VDC 18W 3000K 2340LM</t>
  </si>
  <si>
    <t>203.82€</t>
  </si>
  <si>
    <t>FINAO (Alu/diffuseur opale)</t>
  </si>
  <si>
    <t>18.9€</t>
  </si>
  <si>
    <t>FINAO (Blanc/diffuseur Opale)</t>
  </si>
  <si>
    <t>FINAO (Noir/diffuseur Opale)</t>
  </si>
  <si>
    <t>FINAO (Noir/diffuseur Noir)</t>
  </si>
  <si>
    <t>22.2€</t>
  </si>
  <si>
    <t>FINAO KIT DE FINITION (Aluminium)</t>
  </si>
  <si>
    <t>FINAO KIT DE FINITION (Blanc)</t>
  </si>
  <si>
    <t>FINAO KIT DE FINITION (Noir)</t>
  </si>
  <si>
    <t>LUNGO (Alu/diffuseur opale, 17</t>
  </si>
  <si>
    <t>28.2€</t>
  </si>
  <si>
    <t>LUNGO (Blanc/diffuseur Opale,</t>
  </si>
  <si>
    <t>LUNGO (Noir/diffuseur Opale, 1</t>
  </si>
  <si>
    <t>LUNGO (Noir/diffuseur Noir, 17</t>
  </si>
  <si>
    <t>30.6€</t>
  </si>
  <si>
    <t>SAPPIO (Blanc structuré, 3000</t>
  </si>
  <si>
    <t>SAPPIO (Noir structuré, 3000 K</t>
  </si>
  <si>
    <t>LUNGO KIT DE FINITION (Aluminium)</t>
  </si>
  <si>
    <t>LUNGO KIT DE FINITION (Blanc)</t>
  </si>
  <si>
    <t>LUNGO KIT DE FINITION (Noir)</t>
  </si>
  <si>
    <t>SAPPIO CAVALIER D'INSTALLATION</t>
  </si>
  <si>
    <t>4.2€</t>
  </si>
  <si>
    <t>MONIA (Alu/diffuseur opale)</t>
  </si>
  <si>
    <t>MONIA (Blanc/diffuseur Opale)</t>
  </si>
  <si>
    <t>34.2€</t>
  </si>
  <si>
    <t>MONIA (Noir/diffuseur Opale)</t>
  </si>
  <si>
    <t>MONIA (Noir/diffuseur Noir)</t>
  </si>
  <si>
    <t>36.6€</t>
  </si>
  <si>
    <t>LARGO (Alu/diffuseur opale)</t>
  </si>
  <si>
    <t>LARGO (Blanc/diffuseur Opale)</t>
  </si>
  <si>
    <t>LARGO (Noir/diffuseur Opale)</t>
  </si>
  <si>
    <t>LARGO (Noir/diffuseur Noir)</t>
  </si>
  <si>
    <t>MONIA KIT DE FINITION (Aluminium)</t>
  </si>
  <si>
    <t>MONIA KIT DE FINITION (Blanc)</t>
  </si>
  <si>
    <t>MONIA KIT DE FINITION (Noir)</t>
  </si>
  <si>
    <t>LARGO KIT DE FINITION (Aluminium)</t>
  </si>
  <si>
    <t>LARGO KIT DE FINITION (Blanc)</t>
  </si>
  <si>
    <t>LARGO KIT DE FINITION (Noir)</t>
  </si>
  <si>
    <t>MILLA</t>
  </si>
  <si>
    <t>75.6€</t>
  </si>
  <si>
    <t>MILLA KIT DE FINITION</t>
  </si>
  <si>
    <t>VANIA (Alu/diffuseur opale)</t>
  </si>
  <si>
    <t>VANIA (Blanc/diffuseur Opale)</t>
  </si>
  <si>
    <t>22.8€</t>
  </si>
  <si>
    <t>VANIA (Noir/diffuseur Opale)</t>
  </si>
  <si>
    <t>VANIA (Noir/diffuseur Noir)</t>
  </si>
  <si>
    <t>PIADO (Alu/diffuseur opale, 22</t>
  </si>
  <si>
    <t>17.4€</t>
  </si>
  <si>
    <t>PIADO (Blanc/diffuseur Opale,</t>
  </si>
  <si>
    <t>PIADO (Noir/diffuseur Opale, 2</t>
  </si>
  <si>
    <t>PIADO (Noir/diffuseur Noir, 22</t>
  </si>
  <si>
    <t>VANIA KIT DE FINITION (Aluminium)</t>
  </si>
  <si>
    <t>VANIA KIT DE FINITION (Blanc)</t>
  </si>
  <si>
    <t>VANIA KIT DE FINITION (Noir)</t>
  </si>
  <si>
    <t>PIADO KIT DE FINITION (Aluminium)</t>
  </si>
  <si>
    <t>PIADO KIT DE FINITION (Blanc)</t>
  </si>
  <si>
    <t>PIADO KIT DE FINITION (Noir)</t>
  </si>
  <si>
    <t>PIADO KIT DE FIXATION (2 pieces)</t>
  </si>
  <si>
    <t>3.6€</t>
  </si>
  <si>
    <t>GIPRO</t>
  </si>
  <si>
    <t>43.8€</t>
  </si>
  <si>
    <t>GIPRO Diffuseur polycarbonate (Dépoli)</t>
  </si>
  <si>
    <t>7.5€</t>
  </si>
  <si>
    <t>GIPRO Diffuseur polycarbonate (Noir)</t>
  </si>
  <si>
    <t>9.3€</t>
  </si>
  <si>
    <t>GIPRO DIFFUSEUR PC 1m (Opalin)</t>
  </si>
  <si>
    <t>4.62€</t>
  </si>
  <si>
    <t>GIPRO DIFFUSEUR PC 1m (Noir)</t>
  </si>
  <si>
    <t>5.28€</t>
  </si>
  <si>
    <t>IRENO</t>
  </si>
  <si>
    <t>52.8€</t>
  </si>
  <si>
    <t>IRENO Diffuseur (Dépoli)</t>
  </si>
  <si>
    <t>IRENO Diffuseur (Noir)</t>
  </si>
  <si>
    <t>IRENO DIFFUSEUR PC 1m (Opalin)</t>
  </si>
  <si>
    <t>5.58€</t>
  </si>
  <si>
    <t>IRENO DIFFUSEUR PC 1m (Noir)</t>
  </si>
  <si>
    <t>6.18€</t>
  </si>
  <si>
    <t>GIPRO - Accessoires (180°)</t>
  </si>
  <si>
    <t>GIPRO - Accessoires (90° mur-plafond)</t>
  </si>
  <si>
    <t>6.78€</t>
  </si>
  <si>
    <t>GIPRO - Accessoires (90° plafond-plafond</t>
  </si>
  <si>
    <t>IRENO - Accessoires (180°)</t>
  </si>
  <si>
    <t>GIPRO KIT DE FINITION</t>
  </si>
  <si>
    <t>IRENO KIT DE FINITION</t>
  </si>
  <si>
    <t>MICO</t>
  </si>
  <si>
    <t>DETO (PIR)</t>
  </si>
  <si>
    <t>DETO (PIR + Light Sensor)</t>
  </si>
  <si>
    <t>MANIO (Alu/diffuseur opale)</t>
  </si>
  <si>
    <t>MANIO (Blanc/diffuseur Opale)</t>
  </si>
  <si>
    <t>MANIO (Noir/diffuseur Opale)</t>
  </si>
  <si>
    <t>MANIO (Noir/diffuseur Noir)</t>
  </si>
  <si>
    <t>37.2€</t>
  </si>
  <si>
    <t>MANIO KIT DE FINITION (Aluminium)</t>
  </si>
  <si>
    <t>MANIO KIT DE FINITION (Blanc)</t>
  </si>
  <si>
    <t>MANIO KIT DE FINITION (Noir)</t>
  </si>
  <si>
    <t>DIFFUSEUR OPAL POUR MANIO</t>
  </si>
  <si>
    <t>DIFFUSEUR pour profiles MANIO/VANIA/LUNG</t>
  </si>
  <si>
    <t>4.8€</t>
  </si>
  <si>
    <t>LIGNO (Anthracite, 3W, Rond)</t>
  </si>
  <si>
    <t>47.4€</t>
  </si>
  <si>
    <t>LIGNO (Corten, 3W, Rond)</t>
  </si>
  <si>
    <t>LIGNO (Anthracite, 3W, Carré)</t>
  </si>
  <si>
    <t>LIGNO (Corten, 3W, Carré)</t>
  </si>
  <si>
    <t>JERO  (Down, Blanc)</t>
  </si>
  <si>
    <t>JERO  (Down, Noir)</t>
  </si>
  <si>
    <t>JERO  (Down, Anthracite)</t>
  </si>
  <si>
    <t>JERO  (Down, Corten)</t>
  </si>
  <si>
    <t>JERO  (Down, Sable)</t>
  </si>
  <si>
    <t>JERO  (Up&amp;Down, Blanc)</t>
  </si>
  <si>
    <t>68.4€</t>
  </si>
  <si>
    <t>JERO  (Up&amp;Down, Noir)</t>
  </si>
  <si>
    <t>JERO  (Up&amp;Down, Anthracite)</t>
  </si>
  <si>
    <t>JERO  (Up&amp;Down, Corten)</t>
  </si>
  <si>
    <t>JERO  (Up&amp;Down, Sable)</t>
  </si>
  <si>
    <t>LIGNO (Anthracite, 6W, Rectang</t>
  </si>
  <si>
    <t>LIGNO (Corten, 6W, Rectangle)</t>
  </si>
  <si>
    <t>ALDO (Blanc structuré)</t>
  </si>
  <si>
    <t>53.4€</t>
  </si>
  <si>
    <t>ALDO (Noir structuré)</t>
  </si>
  <si>
    <t>ALDO (Titane)</t>
  </si>
  <si>
    <t>SANIRI</t>
  </si>
  <si>
    <t>ALDO Lentille (15°)</t>
  </si>
  <si>
    <t>3.72€</t>
  </si>
  <si>
    <t>ALDO Lentille (30°)</t>
  </si>
  <si>
    <t>ALDO Lentille (50°)</t>
  </si>
  <si>
    <t>ALDO Bague (Argent)</t>
  </si>
  <si>
    <t>4.92€</t>
  </si>
  <si>
    <t>ALDO Bague (Or)</t>
  </si>
  <si>
    <t>6.0006E+11</t>
  </si>
  <si>
    <t>BALI 2835 5M 4.8W/M 12VDC 60LE</t>
  </si>
  <si>
    <t>58.8€</t>
  </si>
  <si>
    <t>CURIO (3W, 2700 Kelvin, IP20, 5 mètres)</t>
  </si>
  <si>
    <t>32.4€</t>
  </si>
  <si>
    <t>CURIO (3W, 3000 Kelvin, IP20, 5 mètres)</t>
  </si>
  <si>
    <t>CURIO (3W, 4000 Kelvin, IP20, 5 mètres)</t>
  </si>
  <si>
    <t>CURIO (4,8W, 2700 Kelvin, 20, 5 métres)</t>
  </si>
  <si>
    <t>CURIO (4,8W, 3000 Kelvin, 20, 5 métres)</t>
  </si>
  <si>
    <t>CURIO (4,8W, 4000 Kelvin, 20, 5 métres)</t>
  </si>
  <si>
    <t>CURIO (4,8W, 2700 Kelvin, 67, 5 métres)</t>
  </si>
  <si>
    <t>CURIO (4,8W, 3000 Kelvin, 67, 5 métres)</t>
  </si>
  <si>
    <t>CURIO (4,8W, 4000 Kelvin, 67, 5 métres)</t>
  </si>
  <si>
    <t>60006015BI65</t>
  </si>
  <si>
    <t>RUBAN 5050 5M 13W/M 24VDC 60LEDS BI-COL IP65</t>
  </si>
  <si>
    <t>60006015RGB24</t>
  </si>
  <si>
    <t>RUBAN 5050 5M 14.4W/M 24VDC 60LEDS/M RGB IP65</t>
  </si>
  <si>
    <t>103.2€</t>
  </si>
  <si>
    <t>60006025RGBWC</t>
  </si>
  <si>
    <t>ARCHI RGB+WC</t>
  </si>
  <si>
    <t>169.8€</t>
  </si>
  <si>
    <t>CURIO (7,2W, 2700 Kelvin, 20, 5 métres)</t>
  </si>
  <si>
    <t>CURIO (7,2W, 3000 Kelvin, 20, 5 métres)</t>
  </si>
  <si>
    <t>CURIO (7,2W, 4000 Kelvin, 20, 5 métres)</t>
  </si>
  <si>
    <t>60007515RGBW3</t>
  </si>
  <si>
    <t>ARCHI RGB+W 3000K 5050 5M 17.3W/M 24VDC</t>
  </si>
  <si>
    <t>137.4€</t>
  </si>
  <si>
    <t>60007515RGBW4</t>
  </si>
  <si>
    <t>ARCHI RGB+W 4000K 5050 5M 17.3W/M 24VDC</t>
  </si>
  <si>
    <t>CURIO (7,2W, 2700 Kelvin, 67, 5 métres)</t>
  </si>
  <si>
    <t>CURIO (7,2W, 3000 Kelvin, 67, 5 métres)</t>
  </si>
  <si>
    <t>CURIO (7,2W, 4000 Kelvin, 67, 5 métres)</t>
  </si>
  <si>
    <t>BIMIO</t>
  </si>
  <si>
    <t>77.4€</t>
  </si>
  <si>
    <t>KEPLY Ruban 2110  5 M 9,6W IP20 (2700 Ke</t>
  </si>
  <si>
    <t>KEPLY Ruban 2110  5 M 9,6W IP20 (3000 Ke</t>
  </si>
  <si>
    <t>KEPLY Ruban 2110  5 M 9,6W IP20 (4000 Ke</t>
  </si>
  <si>
    <t>CURIO (9,6W, 2700 Kelvin, 20,</t>
  </si>
  <si>
    <t>51.6€</t>
  </si>
  <si>
    <t>CURIO (9,6W, 3000 Kelvin, 20, 5 métres)</t>
  </si>
  <si>
    <t>CURIO (9,6W, 4000 Kelvin, 20, 5 métres)</t>
  </si>
  <si>
    <t>KEPLY Ruban 5 M 2110  9.6W IP67 (2700 Ke</t>
  </si>
  <si>
    <t>70.2€</t>
  </si>
  <si>
    <t>KEPLY Ruban 5 M 2110  9.6W IP67 (3000 Ke</t>
  </si>
  <si>
    <t>KEPLY Ruban 5 M 2110  9.6W IP67 (4000 Ke</t>
  </si>
  <si>
    <t>CURIO (9,6W, 2700 Kelvin, 67, 5 métres)</t>
  </si>
  <si>
    <t>CURIO (9,6W, 3000 Kelvin, 67, 5 métres)</t>
  </si>
  <si>
    <t>CURIO (9,6W, 4000 Kelvin, 67, 5 métres)</t>
  </si>
  <si>
    <t>CAMBI (9,6W, 2700 Kelvin, 20,</t>
  </si>
  <si>
    <t>CAMBI (9,6W, 3000 Kelvin, 20,</t>
  </si>
  <si>
    <t>CAMBI (9,6W, 4000 Kelvin, 20,</t>
  </si>
  <si>
    <t>CAMBI (2700 Kelvin, 68)</t>
  </si>
  <si>
    <t>CAMBI (3000 Kelvin, 68)</t>
  </si>
  <si>
    <t>CAMBI (4000 Kelvin, 68)</t>
  </si>
  <si>
    <t>60012015RGB66</t>
  </si>
  <si>
    <t>ARCHI RGB 3838 5M 14.4W/M 24VDC 120LEDS/</t>
  </si>
  <si>
    <t>172.8€</t>
  </si>
  <si>
    <t>60012030BI65</t>
  </si>
  <si>
    <t>RUBAN DUAL 5050 5M 26W/M 24VDC 120LEDS BI-COL IP65</t>
  </si>
  <si>
    <t>220.2€</t>
  </si>
  <si>
    <t>60012030RGB65</t>
  </si>
  <si>
    <t>RUBAN DUAL 5050 5M 28.8W/M 24VDC 120LEDS RGB IP65</t>
  </si>
  <si>
    <t>206.4€</t>
  </si>
  <si>
    <t>CURIO (12W, 2700 Kelvin, 20, 5 métres)</t>
  </si>
  <si>
    <t>CURIO (12W, 3000 Kelvin, 20, 5 métres)</t>
  </si>
  <si>
    <t>CURIO (12W, 4000 Kelvin, 20, 5 métres)</t>
  </si>
  <si>
    <t>CURIO (12W, 2700 Kelvin, IP20, 30 métres</t>
  </si>
  <si>
    <t>CURIO (12W, 3000 Kelvin, IP20, 30 métres</t>
  </si>
  <si>
    <t>CURIO (12W, 4000 Kelvin, IP20, 30 métres</t>
  </si>
  <si>
    <t>CURIO (12W, 2700 Kelvin, 67, 5 métres)</t>
  </si>
  <si>
    <t>CURIO (12W, 3000 Kelvin, 67, 5 métres)</t>
  </si>
  <si>
    <t>CURIO (12W, 4000 Kelvin, 67, 5 métres)</t>
  </si>
  <si>
    <t>KEPLY Ruban 2110 14,4W IP20 (2700 Kelvin</t>
  </si>
  <si>
    <t>KEPLY Ruban 2110 14,4W IP20 (3000 Kelvin</t>
  </si>
  <si>
    <t>72.36€</t>
  </si>
  <si>
    <t>KEPLY Ruban 2110 14,4W IP20 (4000 Kelvin</t>
  </si>
  <si>
    <t>KEPLY Ruban 5 M 2110 14,4W IP67 (2700 Ke</t>
  </si>
  <si>
    <t>89.64€</t>
  </si>
  <si>
    <t>KEPLY Ruban 5 M 2110 14,4W IP67 (3000 Ke</t>
  </si>
  <si>
    <t>KEPLY Ruban 5 M 2110 14,4W IP67 (4000 Ke</t>
  </si>
  <si>
    <t>CAMBI (14,4W, 2700 Kelvin, 20,</t>
  </si>
  <si>
    <t>65.4€</t>
  </si>
  <si>
    <t>CAMBI (14,4W, 3000 Kelvin, 20,</t>
  </si>
  <si>
    <t>CAMBI (14,4W, 4000 Kelvin, 20,</t>
  </si>
  <si>
    <t>CAMBI (14,4W, 2700 Kelvin, 68,</t>
  </si>
  <si>
    <t>CAMBI (14,4W, 3000 Kelvin, 68,</t>
  </si>
  <si>
    <t>CAMBI (14,4W, 4000 Kelvin, 68,</t>
  </si>
  <si>
    <t>60018015BL</t>
  </si>
  <si>
    <t>FOOD BOULANGERIE 180LEDS 24VDC 14.4W 240</t>
  </si>
  <si>
    <t>110.4€</t>
  </si>
  <si>
    <t>60018015BU</t>
  </si>
  <si>
    <t>FOOD BOUCHERIE 180LEDS 24VDC 14.4W IRC90</t>
  </si>
  <si>
    <t>60018015CH</t>
  </si>
  <si>
    <t>FOOD CHARCUTERIE 180LEDS 24VDC 14.4W 400</t>
  </si>
  <si>
    <t>60018015FL</t>
  </si>
  <si>
    <t>FOOD FRUITS &amp; LEGUMES 180LEDS 24VDC 14.4</t>
  </si>
  <si>
    <t>60018015LT</t>
  </si>
  <si>
    <t>FOOD PRODUITS LAITIERS 180LEDS 24VDC 14.</t>
  </si>
  <si>
    <t>60018015PS</t>
  </si>
  <si>
    <t>FOOD POISSONERIE 180LEDS 24VDC 14.4W 400</t>
  </si>
  <si>
    <t>KEPLY Ruban 2110 18W IP20 (2700 Kelvin)</t>
  </si>
  <si>
    <t>82.56€</t>
  </si>
  <si>
    <t>KEPLY Ruban 2110 18W IP20 (3000 Kelvin)</t>
  </si>
  <si>
    <t>KEPLY Ruban 2110 18W IP20 (4000 Kelvin)</t>
  </si>
  <si>
    <t>CURIO (18W, 2700 Kelvin, 20, 5 métres)</t>
  </si>
  <si>
    <t>CURIO (18W, 3000 Kelvin, 20, 5 métres)</t>
  </si>
  <si>
    <t>CURIO (18W, 4000 Kelvin, 20, 5 métres)</t>
  </si>
  <si>
    <t>KEPLY Ruban 2110 18W IP67 (2700 Kelvin)</t>
  </si>
  <si>
    <t>103.26€</t>
  </si>
  <si>
    <t>KEPLY Ruban 2110 18W IP67 (3000 Kelvin)</t>
  </si>
  <si>
    <t>KEPLY Ruban 2110 18W IP67 (4000 Kelvin)</t>
  </si>
  <si>
    <t>CURIO (18W, 2700 Kelvin, 67, 5 métres)</t>
  </si>
  <si>
    <t>CURIO (18W, 3000 Kelvin, 67, 5 métres)</t>
  </si>
  <si>
    <t>CURIO (18W, 4000 Kelvin, 67, 5 métres)</t>
  </si>
  <si>
    <t>LIBBA 2835 (9,6W, 2700 Kelvin, 20)</t>
  </si>
  <si>
    <t>LIBBA 2835 (9,6W, 3000 Kelvin, 20)</t>
  </si>
  <si>
    <t>LIBBA 2835 (9,6W, 4000 Kelvin, 20)</t>
  </si>
  <si>
    <t>BOJA (4,8W, 2700 Kelvin)</t>
  </si>
  <si>
    <t>BOJA (4,8W, 3000 Kelvin)</t>
  </si>
  <si>
    <t>BOJA (4,8W, 4000 Kelvin)</t>
  </si>
  <si>
    <t>LIBBA 2835 (9,6W, 2700 Kelvin, 67)</t>
  </si>
  <si>
    <t>LIBBA 2835 (9,6W, 3000 Kelvin, 67)</t>
  </si>
  <si>
    <t>LIBBA 2835 (9,6W, 4000 Kelvin, 67)</t>
  </si>
  <si>
    <t>BOJA (9,6W, 2700 Kelvin)</t>
  </si>
  <si>
    <t>BOJA (9,6W, 3000 Kelvin)</t>
  </si>
  <si>
    <t>BOJA (9,6W, 4000 Kelvin)</t>
  </si>
  <si>
    <t>LIBBA 2835 14.4W 210LEDS/M 5M (2700 Kelv</t>
  </si>
  <si>
    <t>LIBBA 2835 14.4W 210LEDS/M 5M (3000 Kelv</t>
  </si>
  <si>
    <t>LIBBA 2835 14.4W 210LEDS/M 5M (4000 Kelv</t>
  </si>
  <si>
    <t>CURIO (24W, 2700 Kelvin, IP20, 5 mètres)</t>
  </si>
  <si>
    <t>CURIO (24W, 3000 Kelvin, IP20, 5 mètres)</t>
  </si>
  <si>
    <t>CURIO (24W, 4000 Kelvin, IP20, 5 mètres)</t>
  </si>
  <si>
    <t>LIBBA 2835 (19,2W, 2700 Kelvin, 20)</t>
  </si>
  <si>
    <t>79.2€</t>
  </si>
  <si>
    <t>LIBBA 2835 (19,2W, 3000 Kelvin, 20)</t>
  </si>
  <si>
    <t>LIBBA 2835 (19,2W, 4000 Kelvin, 20)</t>
  </si>
  <si>
    <t>LIBBA 2835 (19,2W, 2700 Kelvin, 67)</t>
  </si>
  <si>
    <t>101.4€</t>
  </si>
  <si>
    <t>LIBBA 2835 (19,2W, 3000 Kelvin, 67)</t>
  </si>
  <si>
    <t>LIBBA 2835 (19,2W, 4000 Kelvin, 67)</t>
  </si>
  <si>
    <t>LAZER 3D (2700 Kelvin, 5 métres)</t>
  </si>
  <si>
    <t>LAZER 3D (3000 Kelvin, 5 métres)</t>
  </si>
  <si>
    <t>LAZER 3D (4000 Kelvin, 5 métres)</t>
  </si>
  <si>
    <t>SPI - ANIMA (3000 Kelvin, 10W)</t>
  </si>
  <si>
    <t>SPI - ANIMA (4000 Kelvin, 10W)</t>
  </si>
  <si>
    <t>SPI - ANIMA (3000 Kelvin, 24W)</t>
  </si>
  <si>
    <t>SPI - ANIMA (4000 Kelvin, 24W)</t>
  </si>
  <si>
    <t>LAZER RGB + W 3000K 5 métres</t>
  </si>
  <si>
    <t>LAZER RGB + W 3000K 10 métres</t>
  </si>
  <si>
    <t>415.2€</t>
  </si>
  <si>
    <t>LIBBA gold</t>
  </si>
  <si>
    <t>ASIC (15W, 2200 Kelvin, 5 métres)</t>
  </si>
  <si>
    <t>ASIC (15W, 2700 Kelvin, 5 métres)</t>
  </si>
  <si>
    <t>ASIC (15W, 3000 Kelvin, 5 métres)</t>
  </si>
  <si>
    <t>ASIC (15W, 4000 Kelvin, 5 métres)</t>
  </si>
  <si>
    <t>ASIC EXTRA FIN (2200 Kelvin)</t>
  </si>
  <si>
    <t>ASIC EXTRA FIN (2700 Kelvin)</t>
  </si>
  <si>
    <t>ASIC EXTRA FIN (3000 Kelvin)</t>
  </si>
  <si>
    <t>ASIC EXTRA FIN (4000 Kelvin)</t>
  </si>
  <si>
    <t>ULPRA (dim to warm) (IP20)</t>
  </si>
  <si>
    <t>70.8€</t>
  </si>
  <si>
    <t>ULPRA (dim to warm) (IP67)</t>
  </si>
  <si>
    <t>106.8€</t>
  </si>
  <si>
    <t>ASIC (8W, 2200 Kelvin, 5 métres)</t>
  </si>
  <si>
    <t>49.2€</t>
  </si>
  <si>
    <t>ASIC (8W, 2700 Kelvin, 5 métres)</t>
  </si>
  <si>
    <t>ASIC (8W, 3000 Kelvin, 5 métres)</t>
  </si>
  <si>
    <t>ASIC (8W, 4000 Kelvin, 5 métres)</t>
  </si>
  <si>
    <t>ASIC COB RGB (20, 5 métres)</t>
  </si>
  <si>
    <t>114.36€</t>
  </si>
  <si>
    <t>ASIC COB RGB (67, 5 métres)</t>
  </si>
  <si>
    <t>127.98€</t>
  </si>
  <si>
    <t>COLOR CCT (IP20)</t>
  </si>
  <si>
    <t>71.4€</t>
  </si>
  <si>
    <t>COLOR CCT (IP67)</t>
  </si>
  <si>
    <t>83.4€</t>
  </si>
  <si>
    <t>COLOR RGB (IP20)</t>
  </si>
  <si>
    <t>COLOR RGB (IP67)</t>
  </si>
  <si>
    <t>COLOR RGB+B (RGB + 3000 Kelvin, IP20)</t>
  </si>
  <si>
    <t>COLOR RGB+B (RGB + 3000 Kelvin, IP67)</t>
  </si>
  <si>
    <t>95.4€</t>
  </si>
  <si>
    <t>COLOR RGB+B (RGB + 4000 Kelvin, IP20)</t>
  </si>
  <si>
    <t>COLOR RGB+B (RGB + 4000 Kelvin, IP67)</t>
  </si>
  <si>
    <t>COLOR RGB+CCT (IP20)</t>
  </si>
  <si>
    <t>89.4€</t>
  </si>
  <si>
    <t>COLOR RGB+CCT (IP67)</t>
  </si>
  <si>
    <t>FERLO (2700 Kelvin, IP20, 5 mè</t>
  </si>
  <si>
    <t>FERLO (3000 Kelvin, IP20, 5 mè</t>
  </si>
  <si>
    <t>FERLO (4000 Kelvin, IP20, 5 mè</t>
  </si>
  <si>
    <t>FERLO (2700 Kelvin, IP67, 5 mè</t>
  </si>
  <si>
    <t>FERLO (3000 Kelvin, IP67, 5 mè</t>
  </si>
  <si>
    <t>FERLO (4000 Kelvin, IP67, 5 mè</t>
  </si>
  <si>
    <t>ASIC (8W, 2200 Kelvin, IP65, 5 mètres)</t>
  </si>
  <si>
    <t>ASIC (8W, 2700 Kelvin, IP65, 5 mètres)</t>
  </si>
  <si>
    <t>ASIC (8W, 3000 Kelvin, IP65, 5 mètres)</t>
  </si>
  <si>
    <t>ASIC (8W, 4000 Kelvin, IP65, 5 mètres)</t>
  </si>
  <si>
    <t>ASIC (15W, 2200 Kelvin, IP65, 5 mètres)</t>
  </si>
  <si>
    <t>ASIC (15W, 2700 Kelvin, IP65, 5 mètres)</t>
  </si>
  <si>
    <t>ASIC (15W, 3000 Kelvin, IP65, 5 mètres)</t>
  </si>
  <si>
    <t>ASIC (15W, 4000 Kelvin, IP65, 5 mètres)</t>
  </si>
  <si>
    <t>ASIC (7W, 2200 Kelvin, 20 métres)</t>
  </si>
  <si>
    <t>ASIC (7W, 2700 Kelvin, 20 métres)</t>
  </si>
  <si>
    <t>ASIC (7W, 3000 Kelvin, 20 métres)</t>
  </si>
  <si>
    <t>ASIC (7W, 4000 Kelvin, 20 métres)</t>
  </si>
  <si>
    <t>LIBBA extra long (2700 Kelvin, 20)</t>
  </si>
  <si>
    <t>205.2€</t>
  </si>
  <si>
    <t>LIBBA extra long (3000 Kelvin, 20)</t>
  </si>
  <si>
    <t>LIBBA extra long (4000 Kelvin, 20)</t>
  </si>
  <si>
    <t>LIBBA extra long (2700 Kelvin, 68)</t>
  </si>
  <si>
    <t>274.2€</t>
  </si>
  <si>
    <t>LIBBA extra long (3000 Kelvin, 68)</t>
  </si>
  <si>
    <t>LIBBA extra long (4000 Kelvin, 68)</t>
  </si>
  <si>
    <t>CONNECTEUR POUR RUBAN (RUBAN-R</t>
  </si>
  <si>
    <t>1.08€</t>
  </si>
  <si>
    <t>0.9€</t>
  </si>
  <si>
    <t>CONNECTEUR POUR RUBAN (CABLE-R</t>
  </si>
  <si>
    <t>1.68€</t>
  </si>
  <si>
    <t>1.56€</t>
  </si>
  <si>
    <t>CONNECTEUR POUR RUBAN (RUBAN-1</t>
  </si>
  <si>
    <t>1.44€</t>
  </si>
  <si>
    <t>0.78€</t>
  </si>
  <si>
    <t>CONNECTEUR POUR FERLO (CABLE-R</t>
  </si>
  <si>
    <t>PROGRAMMATION CONTROLEUR 61500</t>
  </si>
  <si>
    <t>PROFIL COURBE INOX 2M pour LAZ</t>
  </si>
  <si>
    <t>PROFIL DROIT ALU 2M pour LAZER</t>
  </si>
  <si>
    <t>KIT Lazer 3D</t>
  </si>
  <si>
    <t>COUPE/SOUDURE RUBAN 230V</t>
  </si>
  <si>
    <t>17.7€</t>
  </si>
  <si>
    <t>600APV1624</t>
  </si>
  <si>
    <t>DRIVER 24VDC 16W IP42</t>
  </si>
  <si>
    <t>10.68€</t>
  </si>
  <si>
    <t>600APV2524</t>
  </si>
  <si>
    <t>DRIVER 24VDC 25W IP42</t>
  </si>
  <si>
    <t>600APV3524</t>
  </si>
  <si>
    <t>DRIVER 24VDC 35W IP42</t>
  </si>
  <si>
    <t>18.84€</t>
  </si>
  <si>
    <t>600CABLE</t>
  </si>
  <si>
    <t>CABLE HP 2X1MM RED/BLACK AU METRE</t>
  </si>
  <si>
    <t>5.22€</t>
  </si>
  <si>
    <t>2.82€</t>
  </si>
  <si>
    <t>600CABLELZ</t>
  </si>
  <si>
    <t>CABLE POUR LAZER 1M00</t>
  </si>
  <si>
    <t>4.98€</t>
  </si>
  <si>
    <t>600COUPE</t>
  </si>
  <si>
    <t>COUPE ET/OU SOUDURE</t>
  </si>
  <si>
    <t>9.6€</t>
  </si>
  <si>
    <t>600COUPELZ</t>
  </si>
  <si>
    <t>COUPE ET/OU SOUDURE LAZER ou IP65/66/67</t>
  </si>
  <si>
    <t>600DIM150H12B</t>
  </si>
  <si>
    <t>ALIMENTATION MEANWELL 150W 12VDC IP65 DIM</t>
  </si>
  <si>
    <t>69.54€</t>
  </si>
  <si>
    <t>600DIM150H24B</t>
  </si>
  <si>
    <t>ALIMENTATION MEANWELL 150W 24VDC IP65 DIM</t>
  </si>
  <si>
    <t>66.96€</t>
  </si>
  <si>
    <t>600DIM240H12B</t>
  </si>
  <si>
    <t>ALIMENTATION MEANWELL 240W 12VDC IP65 DIM</t>
  </si>
  <si>
    <t>112.38€</t>
  </si>
  <si>
    <t>600DIM240H24B</t>
  </si>
  <si>
    <t>ALIMENTATION MEANWELL 240W 24VDC IP65 DIM</t>
  </si>
  <si>
    <t>86.58€</t>
  </si>
  <si>
    <t>600DIM320H12B</t>
  </si>
  <si>
    <t>ALIMENTATION MEANWELL 320W 24VDC IP65 DIM</t>
  </si>
  <si>
    <t>160.08€</t>
  </si>
  <si>
    <t>600DIM320H24B</t>
  </si>
  <si>
    <t>166.5€</t>
  </si>
  <si>
    <t>600DIM480H24B</t>
  </si>
  <si>
    <t>ALIMENTATION MEANWELL 600W 24 VDC DIM</t>
  </si>
  <si>
    <t>265.8€</t>
  </si>
  <si>
    <t>600DIM600H24B</t>
  </si>
  <si>
    <t>600ELG10024A</t>
  </si>
  <si>
    <t>ALIMENTATION MEANWELL 100W 24VDC 4A IP65</t>
  </si>
  <si>
    <t>57.42€</t>
  </si>
  <si>
    <t>600ELG10024DA</t>
  </si>
  <si>
    <t>DRIVER 24VDC 100W DALI</t>
  </si>
  <si>
    <t>66.9€</t>
  </si>
  <si>
    <t>600ELG15012A</t>
  </si>
  <si>
    <t>ALIMENTATION MEANWELL 150W 12VDC 11A IP65</t>
  </si>
  <si>
    <t>63.72€</t>
  </si>
  <si>
    <t>600ELG15024A</t>
  </si>
  <si>
    <t>ALIMENTATION MEANWELL 150W 24VDC 6.3A IP65</t>
  </si>
  <si>
    <t>61.8€</t>
  </si>
  <si>
    <t>600ELG15024DA</t>
  </si>
  <si>
    <t>DRIVER 24VDC 150W DALI</t>
  </si>
  <si>
    <t>71.88€</t>
  </si>
  <si>
    <t>600ELG15048DA</t>
  </si>
  <si>
    <t>DRIVER MEANWELL 200W 48VDC</t>
  </si>
  <si>
    <t>62.04€</t>
  </si>
  <si>
    <t>600ELG20024A</t>
  </si>
  <si>
    <t>ALIMENTATION MEANWELL 200W 24V</t>
  </si>
  <si>
    <t>81.24€</t>
  </si>
  <si>
    <t>600ELG20024DA</t>
  </si>
  <si>
    <t>DRIVER 24VDC 200W DALI IP67</t>
  </si>
  <si>
    <t>85.92€</t>
  </si>
  <si>
    <t>600ELG20048</t>
  </si>
  <si>
    <t>76.56€</t>
  </si>
  <si>
    <t>600ELG24024A</t>
  </si>
  <si>
    <t>ALIMENTATION MEANWELL 240W 24V</t>
  </si>
  <si>
    <t>86.22€</t>
  </si>
  <si>
    <t>600ELG24024DA</t>
  </si>
  <si>
    <t>DRIVER 24VDC 240W DALI IP67</t>
  </si>
  <si>
    <t>94.5€</t>
  </si>
  <si>
    <t>600ELG30024A</t>
  </si>
  <si>
    <t>ALIMENTATION MEANWELL 300W 24V</t>
  </si>
  <si>
    <t>140.4€</t>
  </si>
  <si>
    <t>600ELG7512A</t>
  </si>
  <si>
    <t>DRIVER MEANWELL 75W 12VDC IP65</t>
  </si>
  <si>
    <t>53.16€</t>
  </si>
  <si>
    <t>600ELG7524DA</t>
  </si>
  <si>
    <t>DRIVER 24VDC 75W DALI IP67</t>
  </si>
  <si>
    <t>60.54€</t>
  </si>
  <si>
    <t>600HDR10024</t>
  </si>
  <si>
    <t>ALIMENTATION RAIL DIN 100W 24V</t>
  </si>
  <si>
    <t>53.1€</t>
  </si>
  <si>
    <t>600HDR15024</t>
  </si>
  <si>
    <t>ALIMENTATION RAIL DIN 150W 24V</t>
  </si>
  <si>
    <t>67.14€</t>
  </si>
  <si>
    <t>600HDR6024</t>
  </si>
  <si>
    <t>ALIMENTATION RAIL DIN 60W 24VD</t>
  </si>
  <si>
    <t>37.02€</t>
  </si>
  <si>
    <t>600HLG320H12A</t>
  </si>
  <si>
    <t>ALIMENTATION MEANWELL 320W 12VDC IP65</t>
  </si>
  <si>
    <t>154.86€</t>
  </si>
  <si>
    <t>600HLG320H24A</t>
  </si>
  <si>
    <t>ALIMENTATION MEANWELL 320W 24VDC IP65</t>
  </si>
  <si>
    <t>158.28€</t>
  </si>
  <si>
    <t>600HLG480H24A</t>
  </si>
  <si>
    <t>ALIMENTATION MEANWELL 480W 24VDC IP65</t>
  </si>
  <si>
    <t>231.9€</t>
  </si>
  <si>
    <t>600LPV10024</t>
  </si>
  <si>
    <t>ALIMENTATION MEANWELL 100W 24VDC IP67</t>
  </si>
  <si>
    <t>31.08€</t>
  </si>
  <si>
    <t>600LPV15024</t>
  </si>
  <si>
    <t>ALIMENTATION MEANWELL 150W 24VDC IP67</t>
  </si>
  <si>
    <t>42.72€</t>
  </si>
  <si>
    <t>600LPV2024</t>
  </si>
  <si>
    <t>ALIMENTATION MEANWELL 20W 24VDC IP67</t>
  </si>
  <si>
    <t>600LPV3524</t>
  </si>
  <si>
    <t>ALIMENTATION MEANWELL 35W 24VDC IP67</t>
  </si>
  <si>
    <t>600LPV6024</t>
  </si>
  <si>
    <t>ALIMENTATION MEANWELL 60W 24VDC IP67</t>
  </si>
  <si>
    <t>19.38€</t>
  </si>
  <si>
    <t>600N13067</t>
  </si>
  <si>
    <t>LAZER THIN (3000 Kelvin, 10 métres)</t>
  </si>
  <si>
    <t>600N13567</t>
  </si>
  <si>
    <t>LAZER THIN (3000 Kelvin, 5 métres)</t>
  </si>
  <si>
    <t>600N14067</t>
  </si>
  <si>
    <t>LAZER THIN (4000 Kelvin, 10 métres)</t>
  </si>
  <si>
    <t>600N14567</t>
  </si>
  <si>
    <t>LAZER THIN (4000 Kelvin, 5 métres)</t>
  </si>
  <si>
    <t>600N1KIT</t>
  </si>
  <si>
    <t>KIT 20 CLIPS + 5 ALIMS + 5 END + 2 T SIL</t>
  </si>
  <si>
    <t>600N23067</t>
  </si>
  <si>
    <t>LAZER (3000 Kelvin, 10 métres)</t>
  </si>
  <si>
    <t>320.4€</t>
  </si>
  <si>
    <t>600N23567</t>
  </si>
  <si>
    <t>LAZER (3000 Kelvin, 5 métres)</t>
  </si>
  <si>
    <t>163.2€</t>
  </si>
  <si>
    <t>600N24067</t>
  </si>
  <si>
    <t>LAZER (4000 Kelvin, 10 métres)</t>
  </si>
  <si>
    <t>600N24567</t>
  </si>
  <si>
    <t>LAZER (4000 Kelvin, 5 métres)</t>
  </si>
  <si>
    <t>600N2KIT</t>
  </si>
  <si>
    <t>600N33067</t>
  </si>
  <si>
    <t>LAZER NEON DEMI ROND 10M 24VDC 3000K 18W</t>
  </si>
  <si>
    <t>277.2€</t>
  </si>
  <si>
    <t>600N33567</t>
  </si>
  <si>
    <t>LAZER NEON DEMI ROND 5M 24VDC 3000K 18W/</t>
  </si>
  <si>
    <t>142.8€</t>
  </si>
  <si>
    <t>600N34067</t>
  </si>
  <si>
    <t>LAZER NEON DEMI ROND 10M 24VDC 4000K 18W</t>
  </si>
  <si>
    <t>600N34567</t>
  </si>
  <si>
    <t>LAZER NEON DEMI ROND 5M 24VDC 4000K 18W/</t>
  </si>
  <si>
    <t>600N3KIT</t>
  </si>
  <si>
    <t>600N40RGB</t>
  </si>
  <si>
    <t>LAZER THIN (RGB, 10 métres)</t>
  </si>
  <si>
    <t>345.6€</t>
  </si>
  <si>
    <t>600N45RGB</t>
  </si>
  <si>
    <t>LAZER THIN (RGB, 5 métres)</t>
  </si>
  <si>
    <t>600NP102</t>
  </si>
  <si>
    <t>PROFIL ALU 2M pour LAZER THIN</t>
  </si>
  <si>
    <t>600NP202</t>
  </si>
  <si>
    <t>PROFIL ALU 2M pour LAZER</t>
  </si>
  <si>
    <t>600NPRGB</t>
  </si>
  <si>
    <t>PROFIL ALU 2M pour LAZER rgb</t>
  </si>
  <si>
    <t>25.2€</t>
  </si>
  <si>
    <t>600NRGB567</t>
  </si>
  <si>
    <t>LAZER RGB (RGB, 5 métres)</t>
  </si>
  <si>
    <t>196.2€</t>
  </si>
  <si>
    <t>600NRGB67</t>
  </si>
  <si>
    <t>LAZER RGB (RGB, 10 métres)</t>
  </si>
  <si>
    <t>370.8€</t>
  </si>
  <si>
    <t>600NRGBKIT</t>
  </si>
  <si>
    <t>600W001</t>
  </si>
  <si>
    <t>WALL WASHER CLIP DE FIXATION METAL</t>
  </si>
  <si>
    <t>600W002</t>
  </si>
  <si>
    <t>WALL WASHER EMBOUT DE FINITION</t>
  </si>
  <si>
    <t>0.48€</t>
  </si>
  <si>
    <t>600W003</t>
  </si>
  <si>
    <t>WALL WASHER ALIMENTATION</t>
  </si>
  <si>
    <t>6.24€</t>
  </si>
  <si>
    <t>600W004</t>
  </si>
  <si>
    <t>WALL WASHER CLIP ORIENTABLE</t>
  </si>
  <si>
    <t>6.3€</t>
  </si>
  <si>
    <t>600W005</t>
  </si>
  <si>
    <t>WALL WASHER PROFIL 1 METRE</t>
  </si>
  <si>
    <t>17.82€</t>
  </si>
  <si>
    <t>600W1524</t>
  </si>
  <si>
    <t>WALL WASHER 16W (2400 Kelvin, 15°)</t>
  </si>
  <si>
    <t>586.2€</t>
  </si>
  <si>
    <t>600W1530</t>
  </si>
  <si>
    <t>WALL WASHER 16W (3000 Kelvin, 15°)</t>
  </si>
  <si>
    <t>600W1540</t>
  </si>
  <si>
    <t>WALL WASHER 16W (4000 Kelvin, 15°)</t>
  </si>
  <si>
    <t>600W4524</t>
  </si>
  <si>
    <t>WALL WASHER 16W (2400 Kelvin, 45°)</t>
  </si>
  <si>
    <t>600W4530</t>
  </si>
  <si>
    <t>WALL WASHER 16W (3000 Kelvin, 45°)</t>
  </si>
  <si>
    <t>600W4540</t>
  </si>
  <si>
    <t>WALL WASHER 16W (4000 Kelvin, 45°)</t>
  </si>
  <si>
    <t>600XLG7524A</t>
  </si>
  <si>
    <t>DRIVER 75W 24VDC IP67</t>
  </si>
  <si>
    <t>42.96€</t>
  </si>
  <si>
    <t>TELIA</t>
  </si>
  <si>
    <t>134.4€</t>
  </si>
  <si>
    <t>LIVO</t>
  </si>
  <si>
    <t>117.9€</t>
  </si>
  <si>
    <t>IOA</t>
  </si>
  <si>
    <t>LENA Lampadaire Up&amp;Down (Noir)</t>
  </si>
  <si>
    <t>389.4€</t>
  </si>
  <si>
    <t>LENA Lampadaire Up&amp;Down (Noir/Cognac bro</t>
  </si>
  <si>
    <t>LENA Lampadaire Up&amp;Down (Noir/Astral bro</t>
  </si>
  <si>
    <t>AVINA (Noir)</t>
  </si>
  <si>
    <t>AVINA (Cognac brossé)</t>
  </si>
  <si>
    <t>AVINA (Astral brossé)</t>
  </si>
  <si>
    <t>AVINA PLAFONNIER LED (DUO) (Noir/Cognac</t>
  </si>
  <si>
    <t>AVINA PLAFONNIER LED (DUO) (Noir/Astral</t>
  </si>
  <si>
    <t>HUMA (Blanc structuré)</t>
  </si>
  <si>
    <t>106.2€</t>
  </si>
  <si>
    <t>HUMA (Noir)</t>
  </si>
  <si>
    <t>HUMA (Cognac brossé)</t>
  </si>
  <si>
    <t>112.8€</t>
  </si>
  <si>
    <t>HUMA (Champage)</t>
  </si>
  <si>
    <t>HUMA (Astral brossé)</t>
  </si>
  <si>
    <t>HUMAX (Blanc structuré)</t>
  </si>
  <si>
    <t>141.6€</t>
  </si>
  <si>
    <t>HUMAX (Noir)</t>
  </si>
  <si>
    <t>HUMAX (Cognac brossé)</t>
  </si>
  <si>
    <t>HUMAX (Champage)</t>
  </si>
  <si>
    <t>HUMAX (Astral brossé)</t>
  </si>
  <si>
    <t>ELIGA  (Noir structuré)</t>
  </si>
  <si>
    <t>214.2€</t>
  </si>
  <si>
    <t>ADUNO (Noir)</t>
  </si>
  <si>
    <t>178.8€</t>
  </si>
  <si>
    <t>ADUNO (Cognac brossé)</t>
  </si>
  <si>
    <t>197.4€</t>
  </si>
  <si>
    <t>ADUNO (Astral brossé)</t>
  </si>
  <si>
    <t>601400B</t>
  </si>
  <si>
    <t>LAK (Blanc structuré)</t>
  </si>
  <si>
    <t>59.94€</t>
  </si>
  <si>
    <t>601401B</t>
  </si>
  <si>
    <t>LAK (Noir structuré)</t>
  </si>
  <si>
    <t>LIMINI APPLIQUE LED (Noir)</t>
  </si>
  <si>
    <t>ALITO SUSPENSION LED (Noir)</t>
  </si>
  <si>
    <t>113.4€</t>
  </si>
  <si>
    <t>ALITO SUSPENSION LED (Cognac brossé)</t>
  </si>
  <si>
    <t>121.2€</t>
  </si>
  <si>
    <t>ALITO SUSPENSION LED (Astral brossé)</t>
  </si>
  <si>
    <t>ALITO SUSPENSION LED (DUO) (Noir/Cognac</t>
  </si>
  <si>
    <t>ALITO SUSPENSION LED (DUO) (Noir/Astral</t>
  </si>
  <si>
    <t>TARAGO (Noir structuré)</t>
  </si>
  <si>
    <t>149.4€</t>
  </si>
  <si>
    <t>TARAGO (Blanc structuré)</t>
  </si>
  <si>
    <t>605D004</t>
  </si>
  <si>
    <t>DRIVER 31-53W ONE4ALL PUSH/0-1</t>
  </si>
  <si>
    <t>42.24€</t>
  </si>
  <si>
    <t>605D005</t>
  </si>
  <si>
    <t>DRIVER 13-29W ONE4ALL PUSH/0-1</t>
  </si>
  <si>
    <t>34.32€</t>
  </si>
  <si>
    <t>GANG (Blanc structuré, 15/20/2</t>
  </si>
  <si>
    <t>58.2€</t>
  </si>
  <si>
    <t>GANG (Noir structuré, 15/20/25</t>
  </si>
  <si>
    <t>GANG (Blanc structuré, 30/35/4</t>
  </si>
  <si>
    <t>GANG (Noir structuré, 30/35/40</t>
  </si>
  <si>
    <t>LUGI (Blanc structuré)</t>
  </si>
  <si>
    <t>57.6€</t>
  </si>
  <si>
    <t>LUGI (Noir structuré)</t>
  </si>
  <si>
    <t>REFLECTEUR POUR GANG (15°)</t>
  </si>
  <si>
    <t>REFLECTEUR POUR GANG (24°)</t>
  </si>
  <si>
    <t>REFLECTEUR POUR GANG (60°)</t>
  </si>
  <si>
    <t>LENTILLE POUR LUGI 8W (15°)</t>
  </si>
  <si>
    <t>LENTILLE POUR LUGI 8W (24°)</t>
  </si>
  <si>
    <t>LENTILLE POUR LUGI 8W (60°)</t>
  </si>
  <si>
    <t>VOLET POUR GANG (Blanc structu</t>
  </si>
  <si>
    <t>10.92€</t>
  </si>
  <si>
    <t>VOLET POUR GANG (Noir structur</t>
  </si>
  <si>
    <t>GRILLE NID D'ABEILLE POUR GANG</t>
  </si>
  <si>
    <t>5.16€</t>
  </si>
  <si>
    <t>BAGUE DE FINITION LUGI (Blanc</t>
  </si>
  <si>
    <t>3.42€</t>
  </si>
  <si>
    <t>BAGUE DE FINITION LUGI (Noir s</t>
  </si>
  <si>
    <t>BAGUE DE FINITION LUGI (Doré)</t>
  </si>
  <si>
    <t>BAGUE DE FINITION LUGI (Aluminium)</t>
  </si>
  <si>
    <t>3.12€</t>
  </si>
  <si>
    <t>GRILLE NID D'ABEILLE POUR LUGI</t>
  </si>
  <si>
    <t>4.56€</t>
  </si>
  <si>
    <t>DIMO (Blanc structuré, 15W)</t>
  </si>
  <si>
    <t>DIMO (Noir structuré, 15W)</t>
  </si>
  <si>
    <t>DIMO (Blanc structuré, 30W)</t>
  </si>
  <si>
    <t>DIMO (Noir structuré, 30W)</t>
  </si>
  <si>
    <t>REFLECTEUR POUR DIMO (15°)</t>
  </si>
  <si>
    <t>REFLECTEUR POUR DIMO (24°)</t>
  </si>
  <si>
    <t>GRILLE NID D'ABEILLE POUR DIMO</t>
  </si>
  <si>
    <t>FASIO (Blanc structuré)</t>
  </si>
  <si>
    <t>FASIO (Noir structuré)</t>
  </si>
  <si>
    <t>ADA (Blanc, 230 VAC, 12W)</t>
  </si>
  <si>
    <t>ADA (Noir, 230 VAC, 12W)</t>
  </si>
  <si>
    <t>ADA (Blanc, 230 VAC, 18W)</t>
  </si>
  <si>
    <t>ADA (Noir, 230 VAC, 18W)</t>
  </si>
  <si>
    <t>ADA (Blanc, 230 VAC, 24W)</t>
  </si>
  <si>
    <t>ADA (Noir, 230 VAC, 24W)</t>
  </si>
  <si>
    <t>ADA (Blanc, 230 VAC avec détec</t>
  </si>
  <si>
    <t>39.6€</t>
  </si>
  <si>
    <t>ADA (Noir, 230 VAC avec détect</t>
  </si>
  <si>
    <t>MOREA (Blanc, 3 Steps Dimmable</t>
  </si>
  <si>
    <t>MOREA (Noir, 3 Steps Dimmable)</t>
  </si>
  <si>
    <t>MOREA (Noir/diffuseur Noir, 3</t>
  </si>
  <si>
    <t>64.2€</t>
  </si>
  <si>
    <t>MOREA (Blanc, Détecteur MW)</t>
  </si>
  <si>
    <t>67.8€</t>
  </si>
  <si>
    <t>MOREA (Noir, Détecteur MW)</t>
  </si>
  <si>
    <t>MOREA (Noir/diffuseur Noir, Dé</t>
  </si>
  <si>
    <t>88.2€</t>
  </si>
  <si>
    <t>MOREA (Blanc, Détecteur MW + s</t>
  </si>
  <si>
    <t>MOREA (Noir, Détecteur MW + se</t>
  </si>
  <si>
    <t>119.4€</t>
  </si>
  <si>
    <t>127.2€</t>
  </si>
  <si>
    <t>MOREA Cover (Noir)</t>
  </si>
  <si>
    <t>MOREA Cover (Noir/diffuseur No</t>
  </si>
  <si>
    <t>LUMEO (Blanc)</t>
  </si>
  <si>
    <t>61.2€</t>
  </si>
  <si>
    <t>LUMEO (Noir)</t>
  </si>
  <si>
    <t>LUMEO (Blanc, détecteur)</t>
  </si>
  <si>
    <t>LUMEO (Noir, détecteur)</t>
  </si>
  <si>
    <t>LUMEO (Blanc, détecteur, secou</t>
  </si>
  <si>
    <t>LUMEO (Noir, détecteur, secour</t>
  </si>
  <si>
    <t>LUMEO Colerette (Blanc)</t>
  </si>
  <si>
    <t>LUMEO Colerette (Noir)</t>
  </si>
  <si>
    <t>CALEO (Blanc)</t>
  </si>
  <si>
    <t>CALEO (Noir)</t>
  </si>
  <si>
    <t>RIVEO (Blanc, 3/5/7/9W, Standard)</t>
  </si>
  <si>
    <t>31.8€</t>
  </si>
  <si>
    <t>RIVEO (Blanc, 3/5/7/9W, Détecteur PIR)</t>
  </si>
  <si>
    <t>41.4€</t>
  </si>
  <si>
    <t>RIVEO (Blanc, 14/16/18/20W, Standard)</t>
  </si>
  <si>
    <t>RIVEO (Blanc, 14/16/18/20W, Détecteur PI</t>
  </si>
  <si>
    <t>RIVEO (Blanc, 14/16/18/20W, Secours)</t>
  </si>
  <si>
    <t>99.6€</t>
  </si>
  <si>
    <t>KIT EMETTEUR - RECEPTEUR RGB E</t>
  </si>
  <si>
    <t>KIT EMETTEUR - RECEPTEUR MONOC</t>
  </si>
  <si>
    <t>IRO (bluethoot)</t>
  </si>
  <si>
    <t>59.4€</t>
  </si>
  <si>
    <t>IRO (zigbee)</t>
  </si>
  <si>
    <t>ONI MICRO ZIGBEE</t>
  </si>
  <si>
    <t>Siko SENSOR ZIGBEE (AAA batter</t>
  </si>
  <si>
    <t>Cache IRO</t>
  </si>
  <si>
    <t>1.74€</t>
  </si>
  <si>
    <t>BP PUSH TO DALI 2 canaux - NFC</t>
  </si>
  <si>
    <t>AZOULA HUB (pont) AZ220614A</t>
  </si>
  <si>
    <t>DRIVER 65W CC500-1500MA ZIGBEE</t>
  </si>
  <si>
    <t>MYLA DRIVER 24VDC 4IN1 IP20 (3</t>
  </si>
  <si>
    <t>41.16€</t>
  </si>
  <si>
    <t>MYLA DRIVER 24VDC 4IN1 IP20 (1</t>
  </si>
  <si>
    <t>133.74€</t>
  </si>
  <si>
    <t>MYLA DRIVER 24VDC 4IN1 IP20 (2</t>
  </si>
  <si>
    <t>182.58€</t>
  </si>
  <si>
    <t>MODULE DALI RECEPTEUR AC230V 4</t>
  </si>
  <si>
    <t>CONTROLEUR MONO RF 1 ZONE</t>
  </si>
  <si>
    <t>RECEPTEUR RF DIM</t>
  </si>
  <si>
    <t>25.8€</t>
  </si>
  <si>
    <t>CONTROLEUR RF MURAL RGB+B</t>
  </si>
  <si>
    <t>96.6€</t>
  </si>
  <si>
    <t>INTERFACE VARIATEUR (4 EN 1)</t>
  </si>
  <si>
    <t>ENO</t>
  </si>
  <si>
    <t>610SR1009AC</t>
  </si>
  <si>
    <t>AC TRIAC RF DIMMER 2X1,2A 240-576W</t>
  </si>
  <si>
    <t>610SR1009CS</t>
  </si>
  <si>
    <t>RECEPTEUR MONO 12/24VDC 96W/192W</t>
  </si>
  <si>
    <t>610SR1009EA</t>
  </si>
  <si>
    <t>RECEPTEUR 4 CANAUX 4X8A 12/24V 4x(96-192)W</t>
  </si>
  <si>
    <t>109.8€</t>
  </si>
  <si>
    <t>610SR1009FA</t>
  </si>
  <si>
    <t>RECEPTEUR 4 CANAUX 4X5A 12/24V 4x(60-120)W</t>
  </si>
  <si>
    <t>610SR1009FAWP</t>
  </si>
  <si>
    <t>RECEPTEUR 4 CANALS 5A MAX 12V/24V - 240/480W IP67</t>
  </si>
  <si>
    <t>610SR1009PD</t>
  </si>
  <si>
    <t>RECEPTEUR RF 12/24VDC 240/480W SYNCHRO (WAGO)</t>
  </si>
  <si>
    <t>610SR1009SACHP</t>
  </si>
  <si>
    <t>RECEPTEUR RF AC230V 400W + PUSH DIM</t>
  </si>
  <si>
    <t>610SR1029</t>
  </si>
  <si>
    <t>RECEPTEUR RGB+W RF 12/24VDC 180/360W</t>
  </si>
  <si>
    <t>610SR2819</t>
  </si>
  <si>
    <t>CONTROLEUR RGB+W 6ZONES RF NOIR</t>
  </si>
  <si>
    <t>109.2€</t>
  </si>
  <si>
    <t>610SR2819CCT</t>
  </si>
  <si>
    <t>CONTROLEUR BI-COLOR TELEC RF NOIR</t>
  </si>
  <si>
    <t>81.6€</t>
  </si>
  <si>
    <t>610SR2819DIM</t>
  </si>
  <si>
    <t>CONTROLEUR MONO 6 ZONES 4,5VDC RF NOIR</t>
  </si>
  <si>
    <t>610SR2833Z4</t>
  </si>
  <si>
    <t>CONTROLEUR MONO 4 ZONES 3VDC RF NOIR</t>
  </si>
  <si>
    <t>610SR2836CCT</t>
  </si>
  <si>
    <t>CONTROLEUR MONO RF 3VDC NOIR A POSER</t>
  </si>
  <si>
    <t>610SR2836DCCT</t>
  </si>
  <si>
    <t>CONTROLEUR BI-COLOR FR A POSER NOIR</t>
  </si>
  <si>
    <t>610SR2836DDIM</t>
  </si>
  <si>
    <t>610SR2836DRGB</t>
  </si>
  <si>
    <t>CONTROLEUR RGB 1 ZONE A POSER NOIR RF</t>
  </si>
  <si>
    <t>610SR2836RGB</t>
  </si>
  <si>
    <t>CONTROLEUR RGB 1 ZONE FIXATION MUR BLANC</t>
  </si>
  <si>
    <t>610SR2837K1</t>
  </si>
  <si>
    <t>CONTROLEUR MONO RF FIXER AU MUR SIMPLE</t>
  </si>
  <si>
    <t>610SR2837K2</t>
  </si>
  <si>
    <t>CONTROLEUR MONO RF FIXER AU MUR DOUBLE</t>
  </si>
  <si>
    <t>610SR2839</t>
  </si>
  <si>
    <t>CONTROLEUR RGB+W 1 ZONE</t>
  </si>
  <si>
    <t>610SR2858Z4</t>
  </si>
  <si>
    <t>TELECOMANDE 4 ZONES RGBW</t>
  </si>
  <si>
    <t>610SRP100924050</t>
  </si>
  <si>
    <t>RECEPTEUR 1X2.8A 230Vac/24Vdc 1x50W - (RF &amp; Push dim)</t>
  </si>
  <si>
    <t>610SRP100924100</t>
  </si>
  <si>
    <t>RECEPTEUR 1X4.16A 230Vac/24Vdc 1x100W</t>
  </si>
  <si>
    <t>610SRPC100924200</t>
  </si>
  <si>
    <t>DRIVER 200W 24VDC BP PUSH +RF</t>
  </si>
  <si>
    <t>CONTROLEUR DYNAMIQUE SPI LED</t>
  </si>
  <si>
    <t>CONTROLEUR DYNAMIQUE SPI LED +</t>
  </si>
  <si>
    <t>ZIGBEE RGB/RGBW SPI Contolleur</t>
  </si>
  <si>
    <t>TELECOMMANDE SPI</t>
  </si>
  <si>
    <t>ASIC COB 24VDC 9W/M IP68 (2700 Kelvin, 5</t>
  </si>
  <si>
    <t>85.8€</t>
  </si>
  <si>
    <t>ASIC COB 24VDC 9W/M IP68 (3000 Kelvin, 5</t>
  </si>
  <si>
    <t>ASIC COB 24VDC 9W/M IP68 (4000 Kelvin, 5</t>
  </si>
  <si>
    <t>ASIC COB 24VDC 9W/M IP68 (2700 Kelvin, 1</t>
  </si>
  <si>
    <t>171.6€</t>
  </si>
  <si>
    <t>ASIC COB 24VDC 9W/M IP68 (3000 Kelvin, 1</t>
  </si>
  <si>
    <t>ASIC COB 24VDC 9W/M IP68 (4000 Kelvin, 1</t>
  </si>
  <si>
    <t>MINO (Blanc)</t>
  </si>
  <si>
    <t>MINO (Blanc/Noir)</t>
  </si>
  <si>
    <t>MINO (Blanc/Doré)</t>
  </si>
  <si>
    <t>MINO (Noir)</t>
  </si>
  <si>
    <t>MINO (Noir/Doré)</t>
  </si>
  <si>
    <t>PIDO (Blanc, 2700 Kelvin)</t>
  </si>
  <si>
    <t>PIDO (Blanc, 3000 Kelvin)</t>
  </si>
  <si>
    <t>PIDO (Noir, 2700 Kelvin)</t>
  </si>
  <si>
    <t>PIDO (Noir, 3000 Kelvin)</t>
  </si>
  <si>
    <t>DOPO (Blanc structuré)</t>
  </si>
  <si>
    <t>DOPO (Noir structuré)</t>
  </si>
  <si>
    <t>REVO (Blanc structuré)</t>
  </si>
  <si>
    <t>REVO (Noir structuré)</t>
  </si>
  <si>
    <t>DIDO (Blanc structuré)</t>
  </si>
  <si>
    <t>DIDO (Noir structuré)</t>
  </si>
  <si>
    <t>DIVO (Blanc)</t>
  </si>
  <si>
    <t>DIVO (Noir)</t>
  </si>
  <si>
    <t>TOGO (Blanc structuré)</t>
  </si>
  <si>
    <t>TOGO (Noir structuré)</t>
  </si>
  <si>
    <t>BANO (Blanc)</t>
  </si>
  <si>
    <t>BANO (Noir)</t>
  </si>
  <si>
    <t>BANO (Chrome brossé)</t>
  </si>
  <si>
    <t>LUMO (Blanc)</t>
  </si>
  <si>
    <t>LUMO (Noir)</t>
  </si>
  <si>
    <t>LUMO (Blanc/Noir)</t>
  </si>
  <si>
    <t>LUMO (Blanc/Doré)</t>
  </si>
  <si>
    <t>21.6€</t>
  </si>
  <si>
    <t>LUMO (Noir/Doré)</t>
  </si>
  <si>
    <t>SANO (Blanc)</t>
  </si>
  <si>
    <t>SANO (Noir)</t>
  </si>
  <si>
    <t>SANO (Blanc/Noir)</t>
  </si>
  <si>
    <t>SANO (Blanc/Doré)</t>
  </si>
  <si>
    <t>SANO (Noir/Doré)</t>
  </si>
  <si>
    <t>TIVO (Blanc)</t>
  </si>
  <si>
    <t>TIVO (Noir)</t>
  </si>
  <si>
    <t>TIVO (Blanc/Noir)</t>
  </si>
  <si>
    <t>TIVO (Blanc/Doré)</t>
  </si>
  <si>
    <t>TIVO (Noir/Doré)</t>
  </si>
  <si>
    <t>NIVO (Blanc structuré)</t>
  </si>
  <si>
    <t>NIVO (Noir structuré)</t>
  </si>
  <si>
    <t>DIVO REFLECTOR (Blanc)</t>
  </si>
  <si>
    <t>DIVO REFLECTOR (Noir)</t>
  </si>
  <si>
    <t>DIVO REFLECTOR (GOLD)</t>
  </si>
  <si>
    <t>DIVO REFLECTOR (SILVER)</t>
  </si>
  <si>
    <t>BANO Cable de 5 Mètres</t>
  </si>
  <si>
    <t>MOVO Collerette (Blanc)</t>
  </si>
  <si>
    <t>2.52€</t>
  </si>
  <si>
    <t>MOVO Collerette (Noir)</t>
  </si>
  <si>
    <t>LUMO COLERRETTE (Blanc/Noir)</t>
  </si>
  <si>
    <t>2.7€</t>
  </si>
  <si>
    <t>LUMO COLERRETTE (Blanc/Doré)</t>
  </si>
  <si>
    <t>LUMO COLERRETTE (Noir/Doré)</t>
  </si>
  <si>
    <t>MINO Collerette (Blanc)</t>
  </si>
  <si>
    <t>MINO Collerette (Blanc/Noir)</t>
  </si>
  <si>
    <t>2.76€</t>
  </si>
  <si>
    <t>MINO Collerette (Blanc/Doré)</t>
  </si>
  <si>
    <t>MINO Collerette (Noir)</t>
  </si>
  <si>
    <t>MINO Collerette (Noir/Doré)</t>
  </si>
  <si>
    <t>NIVO Réflecteur (Doré)</t>
  </si>
  <si>
    <t>SERENI (Blanc)</t>
  </si>
  <si>
    <t>23.4€</t>
  </si>
  <si>
    <t>SERENI (Noir)</t>
  </si>
  <si>
    <t>SERENI 2.0 (Blanc)</t>
  </si>
  <si>
    <t>SERENI 2.0 (Noir)</t>
  </si>
  <si>
    <t>IXO pack 10 (Blanc structuré)</t>
  </si>
  <si>
    <t>156.6€</t>
  </si>
  <si>
    <t>IXO pack 10 (Noir structuré)</t>
  </si>
  <si>
    <t>MOVO</t>
  </si>
  <si>
    <t>REFLECTEUR SERENI (Blanc)</t>
  </si>
  <si>
    <t>REFLECTEUR SERENI (Noir)</t>
  </si>
  <si>
    <t>REFLECTEUR SERENI (Champage)</t>
  </si>
  <si>
    <t>3.48€</t>
  </si>
  <si>
    <t>REFLECTEUR SERENI (Bronze)</t>
  </si>
  <si>
    <t>LUMO/TIVO/SANO/NIVO DRIVER DAL</t>
  </si>
  <si>
    <t>620T05BK</t>
  </si>
  <si>
    <t>IXO (Noir structuré)</t>
  </si>
  <si>
    <t>620T05WH</t>
  </si>
  <si>
    <t>IXO (Blanc structuré)</t>
  </si>
  <si>
    <t>62201030BK</t>
  </si>
  <si>
    <t>NEWLOOP III (Noir structuré, 10W, 3000 K</t>
  </si>
  <si>
    <t>62201030WH</t>
  </si>
  <si>
    <t>NEWLOOP III (Blanc structuré, 10W, 3000</t>
  </si>
  <si>
    <t>62201040BK</t>
  </si>
  <si>
    <t>NEWLOOP III (Noir structuré, 10W, 4000 K</t>
  </si>
  <si>
    <t>62201040WH</t>
  </si>
  <si>
    <t>NEWLOOP III (Blanc structuré, 10W, 4000</t>
  </si>
  <si>
    <t>62203030BK</t>
  </si>
  <si>
    <t>NEWLOOP III (Noir structuré, 30W, 3000 K</t>
  </si>
  <si>
    <t>61.74€</t>
  </si>
  <si>
    <t>62203030WH</t>
  </si>
  <si>
    <t>NEWLOOP III (Blanc structuré, 30W, 3000</t>
  </si>
  <si>
    <t>62203040BK</t>
  </si>
  <si>
    <t>NEWLOOP III (Noir structuré, 30W, 4000 K</t>
  </si>
  <si>
    <t>62203040WH</t>
  </si>
  <si>
    <t>NEWLOOP III (Blanc structuré, 30W, 4000</t>
  </si>
  <si>
    <t>62205030BK</t>
  </si>
  <si>
    <t>NEWLOOP III (Noir structuré, 50W, 3000 K</t>
  </si>
  <si>
    <t>77.94€</t>
  </si>
  <si>
    <t>62205030WH</t>
  </si>
  <si>
    <t>NEWLOOP III (Blanc structuré, 50W, 3000</t>
  </si>
  <si>
    <t>62205040BK</t>
  </si>
  <si>
    <t>NEWLOOP III (Noir structuré, 50W, 4000 K</t>
  </si>
  <si>
    <t>62205040WH</t>
  </si>
  <si>
    <t>NEWLOOP III (Blanc structuré, 50W, 4000</t>
  </si>
  <si>
    <t>62207030BK</t>
  </si>
  <si>
    <t>NEWLOOP III (Noir structuré, 70W, 3000 K</t>
  </si>
  <si>
    <t>110.76€</t>
  </si>
  <si>
    <t>62207030WH</t>
  </si>
  <si>
    <t>NEWLOOP III (Blanc structuré, 70W, 3000</t>
  </si>
  <si>
    <t>62207040BK</t>
  </si>
  <si>
    <t>NEWLOOP III (Noir structuré, 70W, 4000 K</t>
  </si>
  <si>
    <t>62207040WH</t>
  </si>
  <si>
    <t>NEWLOOP III (Blanc structuré, 70W, 4000</t>
  </si>
  <si>
    <t>622120N</t>
  </si>
  <si>
    <t>NEWLOOP II 120W 4000K 11400LM IP66 METAL 230V IRC85 SMD</t>
  </si>
  <si>
    <t>324.9€</t>
  </si>
  <si>
    <t>62212N</t>
  </si>
  <si>
    <t>NEWLOOP II 13W 4250K 1250LM IP66 METAL 230V IRC85 SMD</t>
  </si>
  <si>
    <t>48.72€</t>
  </si>
  <si>
    <t>62212NBK</t>
  </si>
  <si>
    <t>NEWLOOP II 13W 4250K 1250LM IP66 NOIR 230V IRC85 SMD</t>
  </si>
  <si>
    <t>62212NWH</t>
  </si>
  <si>
    <t>NEWLOOP II 13W 4250K 1250LM IP66 BLANC 230V IRC85 SMD</t>
  </si>
  <si>
    <t>62212W</t>
  </si>
  <si>
    <t>NEWLOOP II 13W 3000K 1050LM IP66 METAL 230V IRC85 SMD</t>
  </si>
  <si>
    <t>62212WBK</t>
  </si>
  <si>
    <t>NEWLOOP II 13W 3000K 1050LM IP66 NOIR 230V IRC85 SMD</t>
  </si>
  <si>
    <t>62212WWH</t>
  </si>
  <si>
    <t>NEWLOOP II 13W 3000K 1050LM IP66 BLANC 230V IRC85 SMD</t>
  </si>
  <si>
    <t>622200N</t>
  </si>
  <si>
    <t>NEWLOOP II 200W 4000K 22000LM IP66 METAL 230V IRC85 SMD</t>
  </si>
  <si>
    <t>383.52€</t>
  </si>
  <si>
    <t>62224N</t>
  </si>
  <si>
    <t>NEWLOOP II 25W 4250K 2250LM IP66 METAL 230V IRC85 SMD</t>
  </si>
  <si>
    <t>98.52€</t>
  </si>
  <si>
    <t>62224NBK</t>
  </si>
  <si>
    <t>NEWLOOP II 25W 4250K 2250LM IP66 NOIR 230V IRC85 SMD</t>
  </si>
  <si>
    <t>62224NWH</t>
  </si>
  <si>
    <t>NEWLOOP II 25W 4250K 2250LM IP66 BLANC 230V IRC85 SMD</t>
  </si>
  <si>
    <t>62224W</t>
  </si>
  <si>
    <t>NEWLOOP II 25W 3000K 2000LM IP66 METAL 230V IRC85 SMD</t>
  </si>
  <si>
    <t>62224WBK</t>
  </si>
  <si>
    <t>NEWLOOP II 25W 3000K 2000LM IP66 NOIR 230V IRC85 SMD</t>
  </si>
  <si>
    <t>62224WWH</t>
  </si>
  <si>
    <t>NEWLOOP II 25W 3000K 2000LM IP66 BLANC 230V IRC85 SMD</t>
  </si>
  <si>
    <t>KINGCITY (230 VAC)</t>
  </si>
  <si>
    <t>187.2€</t>
  </si>
  <si>
    <t>KINGCITY (230 VAC avec crépusculaire)</t>
  </si>
  <si>
    <t>203.4€</t>
  </si>
  <si>
    <t>62248N</t>
  </si>
  <si>
    <t>NEWLOOP II 50W 4250K 4500LM IP66 METAL 230V IRC85 SMD</t>
  </si>
  <si>
    <t>138.3€</t>
  </si>
  <si>
    <t>62248NBK</t>
  </si>
  <si>
    <t>NEWLOOP II 50W 4250K 4500LM IP66 NOIR 230V IRC85 SMD</t>
  </si>
  <si>
    <t>62248NWH</t>
  </si>
  <si>
    <t>NEWLOOP II 50W 4250K 4500LM IP66 BLANC 230V IRC85 SMD</t>
  </si>
  <si>
    <t>62248W</t>
  </si>
  <si>
    <t>NEWLOOP II 50W 3000K 4250LM IP66 METAL 230V IRC85 SMD</t>
  </si>
  <si>
    <t>62248WBK</t>
  </si>
  <si>
    <t>NEWLOOP II 50W 3000K 4250LM IP66 NOIR 230V IRC85 SMD</t>
  </si>
  <si>
    <t>62248WWH</t>
  </si>
  <si>
    <t>NEWLOOP II 50W 3000K 4250LM IP66 BLANC 230V IRC85 SMD</t>
  </si>
  <si>
    <t>LEVANTO (Mur, 3000 Kelvin)</t>
  </si>
  <si>
    <t>LEVANTO (Mur, 4000 Kelvin)</t>
  </si>
  <si>
    <t>LEVANTO (Piquet, 3000 Kelvin)</t>
  </si>
  <si>
    <t>LEVANTO (Piquet, 4000 Kelvin)</t>
  </si>
  <si>
    <t>62272N</t>
  </si>
  <si>
    <t>NEWLOOP II 72W 4250K 6500LM IP66 METAL 230V IRC85 SMD</t>
  </si>
  <si>
    <t>179.58€</t>
  </si>
  <si>
    <t>62272NBK</t>
  </si>
  <si>
    <t>NEWLOOP II 72W 4250K 6500LM IP66 NOIR 230V IRC85 SMD</t>
  </si>
  <si>
    <t>62272NWH</t>
  </si>
  <si>
    <t>NEWLOOP II 72W 4250K 6500LM IP66 BLANC 230V IRC85 SMD</t>
  </si>
  <si>
    <t>62272W</t>
  </si>
  <si>
    <t>NEWLOOP II 72W 3000K 6000LM IP66 METAL 230V IRC85 SMD</t>
  </si>
  <si>
    <t>62272WBK</t>
  </si>
  <si>
    <t>NEWLOOP II 72W 3000K 6000LM IP66 NOIR 230V IRC85 SMD</t>
  </si>
  <si>
    <t>62272WWH</t>
  </si>
  <si>
    <t>NEWLOOP II 72W 3000K 6000LM IP66 BLANC 230V IRC85 SMD</t>
  </si>
  <si>
    <t>NEWLOOP III PIR (Noir structuré, 10W, 30</t>
  </si>
  <si>
    <t>62.16€</t>
  </si>
  <si>
    <t>NEWLOOP III PIR (Blanc structuré, 10W, 3</t>
  </si>
  <si>
    <t>NEWLOOP III PIR (Noir structuré, 30W, 30</t>
  </si>
  <si>
    <t>76.14€</t>
  </si>
  <si>
    <t>NEWLOOP III PIR (Blanc structuré, 30W, 3</t>
  </si>
  <si>
    <t>NEWLOOP III PIR (Noir structuré, 50W, 30</t>
  </si>
  <si>
    <t>115.26€</t>
  </si>
  <si>
    <t>NEWLOOP III PIR (Blanc structuré, 50W, 3</t>
  </si>
  <si>
    <t>62290199BK</t>
  </si>
  <si>
    <t>ADAPTATEUR DE MAT GALVANISE 38-62 NOIR</t>
  </si>
  <si>
    <t>30.24€</t>
  </si>
  <si>
    <t>62290299BK</t>
  </si>
  <si>
    <t>MAT GALVANISE 3 TETES 24/48/72/120/150/2</t>
  </si>
  <si>
    <t>42.54€</t>
  </si>
  <si>
    <t>62290399BK</t>
  </si>
  <si>
    <t>VOLET COUPE FLUX NEWLOOP II 24W</t>
  </si>
  <si>
    <t>18.78€</t>
  </si>
  <si>
    <t>62290499BK</t>
  </si>
  <si>
    <t>VOLET COUPE FLUX NEWLOOP II 48W</t>
  </si>
  <si>
    <t>24.48€</t>
  </si>
  <si>
    <t>62290599BK</t>
  </si>
  <si>
    <t>VOLET COUPE FLUX NEWLOOP II 72W</t>
  </si>
  <si>
    <t>62290699BK</t>
  </si>
  <si>
    <t>VOLET COUPE FLUX NEWLOOP II 120W</t>
  </si>
  <si>
    <t>35.34€</t>
  </si>
  <si>
    <t>622A150N2</t>
  </si>
  <si>
    <t>NEWLOOP II ASY (150W, 4000 Kelvin)</t>
  </si>
  <si>
    <t>401.82€</t>
  </si>
  <si>
    <t>622A150W2</t>
  </si>
  <si>
    <t>NEWLOOP II ASY (150W, 3000 Kelvin)</t>
  </si>
  <si>
    <t>622A48N2</t>
  </si>
  <si>
    <t>NEWLOOP II ASY (50W, 4000 Kelvin)</t>
  </si>
  <si>
    <t>205.08€</t>
  </si>
  <si>
    <t>622A48W2</t>
  </si>
  <si>
    <t>NEWLOOP II ASY (50W, 3000 Kelvin)</t>
  </si>
  <si>
    <t>622A72N2</t>
  </si>
  <si>
    <t>NEWLOOP II ASY (72W, 4000 Kelvin)</t>
  </si>
  <si>
    <t>251.88€</t>
  </si>
  <si>
    <t>622A72W2</t>
  </si>
  <si>
    <t>NEWLOOP II ASY (72W, 3000 Kelvin)</t>
  </si>
  <si>
    <t>622BRAS50</t>
  </si>
  <si>
    <t>BRAS 50CM METAL</t>
  </si>
  <si>
    <t>43.2€</t>
  </si>
  <si>
    <t>622BRAS50BK</t>
  </si>
  <si>
    <t>BRAS 50CM NOIR</t>
  </si>
  <si>
    <t>622BRAS50WH</t>
  </si>
  <si>
    <t>BRAS 50CM BLANC</t>
  </si>
  <si>
    <t>622PIQUET16</t>
  </si>
  <si>
    <t>PIQUET 16 CM</t>
  </si>
  <si>
    <t>5.76€</t>
  </si>
  <si>
    <t>622PIQUET25</t>
  </si>
  <si>
    <t>PIQUET 25 CM</t>
  </si>
  <si>
    <t>6.54€</t>
  </si>
  <si>
    <t>622PIR10NBK</t>
  </si>
  <si>
    <t>NEWLOOP III PIR (Noir structuré, 10W, 40</t>
  </si>
  <si>
    <t>64.08€</t>
  </si>
  <si>
    <t>622PIR10NWH</t>
  </si>
  <si>
    <t>NEWLOOP III PIR (Blanc structuré, 10W, 4</t>
  </si>
  <si>
    <t>622PIR30NBK</t>
  </si>
  <si>
    <t>NEWLOOP III PIR (Noir structuré, 30W, 40</t>
  </si>
  <si>
    <t>78.48€</t>
  </si>
  <si>
    <t>622PIR30NWH</t>
  </si>
  <si>
    <t>NEWLOOP III PIR (Blanc structuré, 30W, 4</t>
  </si>
  <si>
    <t>622PIR50NBK</t>
  </si>
  <si>
    <t>NEWLOOP III PIR (Noir structuré, 50W, 40</t>
  </si>
  <si>
    <t>118.74€</t>
  </si>
  <si>
    <t>622PIR50NWH</t>
  </si>
  <si>
    <t>NEWLOOP III PIR (Blanc structuré, 50W, 4</t>
  </si>
  <si>
    <t>622TETE</t>
  </si>
  <si>
    <t>TETE DE MAT POUR PROJECTEUR 24/48/72 METAL</t>
  </si>
  <si>
    <t>53.28€</t>
  </si>
  <si>
    <t>622TETEBK</t>
  </si>
  <si>
    <t>TETE DE MAT POUR PROJECTEUR 24/48/72 NOIR</t>
  </si>
  <si>
    <t>VOLTA (2700 Kelvin)</t>
  </si>
  <si>
    <t>VOLTA (3000 Kelvin)</t>
  </si>
  <si>
    <t>VOLTA (4000 Kelvin)</t>
  </si>
  <si>
    <t>VECTRA (2700 Kelvin)</t>
  </si>
  <si>
    <t>VECTRA (3000 Kelvin)</t>
  </si>
  <si>
    <t>VECTRA (4000 Kelvin)</t>
  </si>
  <si>
    <t>KIT A VISSER RUBAN 230V</t>
  </si>
  <si>
    <t>Mounting clips RUBAN 230V 10pcs</t>
  </si>
  <si>
    <t>Profil ALU 2M VOLTA/VECTRA</t>
  </si>
  <si>
    <t>18.54€</t>
  </si>
  <si>
    <t>LIANA (Noir, 5 métres)</t>
  </si>
  <si>
    <t>179.4€</t>
  </si>
  <si>
    <t>LIANA (Noir, 10 métres)</t>
  </si>
  <si>
    <t>DOOBI</t>
  </si>
  <si>
    <t>GOTAM</t>
  </si>
  <si>
    <t>SOLIA</t>
  </si>
  <si>
    <t>MIVINO</t>
  </si>
  <si>
    <t>LINARO</t>
  </si>
  <si>
    <t>CILIO applique</t>
  </si>
  <si>
    <t>93.6€</t>
  </si>
  <si>
    <t>CILIO borne</t>
  </si>
  <si>
    <t>135.6€</t>
  </si>
  <si>
    <t>TENTO applique</t>
  </si>
  <si>
    <t>TENTO borne</t>
  </si>
  <si>
    <t>APPLIQUE TERAZO (5/10W)</t>
  </si>
  <si>
    <t>TERAZO (Blanc structuré, 5/10W</t>
  </si>
  <si>
    <t>APPLIQUE TERAZO (15/30W)</t>
  </si>
  <si>
    <t>TERAZO (Blanc structuré, 15/30</t>
  </si>
  <si>
    <t>APPLIQUE TERAZO (20/40W)</t>
  </si>
  <si>
    <t>181.8€</t>
  </si>
  <si>
    <t>TERAZO (Blanc structuré, 20/40</t>
  </si>
  <si>
    <t>TERAZO (Graphite, 5/10W, Up&amp;Do</t>
  </si>
  <si>
    <t>105.6€</t>
  </si>
  <si>
    <t>TERAZO (Graphite, 15/30W, Up&amp;D</t>
  </si>
  <si>
    <t>160.8€</t>
  </si>
  <si>
    <t>TERAZO (Blanc structuré, 15</t>
  </si>
  <si>
    <t>TERAZO (Graphite, 20/40W, Up&amp;D</t>
  </si>
  <si>
    <t>CENTO (22W)</t>
  </si>
  <si>
    <t>CENTO (36W)</t>
  </si>
  <si>
    <t>VATIO</t>
  </si>
  <si>
    <t>VATIO (Sans détecteur)</t>
  </si>
  <si>
    <t>ARCO (Noir)</t>
  </si>
  <si>
    <t>ARCO (Blanc)</t>
  </si>
  <si>
    <t>MAJO (Blanc)</t>
  </si>
  <si>
    <t>MAJO (Noir)</t>
  </si>
  <si>
    <t>CATANO (Graphite)</t>
  </si>
  <si>
    <t>CATANO (Blanc structuré)</t>
  </si>
  <si>
    <t>CATANO (Corten)</t>
  </si>
  <si>
    <t>FONDO (Blanc structuré)</t>
  </si>
  <si>
    <t>FONDO (Noir structuré)</t>
  </si>
  <si>
    <t>LENTILLE POUR FONDO (15°)</t>
  </si>
  <si>
    <t>11.28€</t>
  </si>
  <si>
    <t>LENTILLE POUR FONDO (24°)</t>
  </si>
  <si>
    <t>VIGO (Blanc)</t>
  </si>
  <si>
    <t>VIGO (Noir)</t>
  </si>
  <si>
    <t>DRIVER 24VDC TRIAC (24 VDC, 15</t>
  </si>
  <si>
    <t>51.9€</t>
  </si>
  <si>
    <t>DRIVER 24VDC TRIAC (24 VDC, 30</t>
  </si>
  <si>
    <t>56.88€</t>
  </si>
  <si>
    <t>DRIVER 24VDC TRIAC (24 VDC, 75</t>
  </si>
  <si>
    <t>103.56€</t>
  </si>
  <si>
    <t>DRIVER 24VDC TRIAC (24 VDC, 12</t>
  </si>
  <si>
    <t>DRIVER 24VDC TRIAC (24 VDC, 20</t>
  </si>
  <si>
    <t>164.52€</t>
  </si>
  <si>
    <t>TENO (Noir structuré, 1 mètre)</t>
  </si>
  <si>
    <t>TENO (Blanc structuré, 1 mètre</t>
  </si>
  <si>
    <t>TENO CIRCLE (Noir structuré, 5</t>
  </si>
  <si>
    <t>TENO CIRCLE (Blanc structuré,</t>
  </si>
  <si>
    <t>TENO CIRCLE (Noir structuré, 1</t>
  </si>
  <si>
    <t>TENO (Noir structuré, 2 mètres</t>
  </si>
  <si>
    <t>TENO (Blanc structuré, 2 mètre</t>
  </si>
  <si>
    <t>TENO (Noir structuré, 3 mètres</t>
  </si>
  <si>
    <t>64.8€</t>
  </si>
  <si>
    <t>TENO (Blanc structuré, 3 mètre</t>
  </si>
  <si>
    <t>LOKO (Noir structuré)</t>
  </si>
  <si>
    <t>LOKO  (Blanc structuré)</t>
  </si>
  <si>
    <t>KIRA (Noir structure, 2700K,12</t>
  </si>
  <si>
    <t>KIRA  (Blanc structuré, 2700 K</t>
  </si>
  <si>
    <t>KIRA (Noir structure, 2700K, 2</t>
  </si>
  <si>
    <t>KIRA (Noir structure, 3000K,12</t>
  </si>
  <si>
    <t>KIRA  (Blanc structuré, 3000 K</t>
  </si>
  <si>
    <t>KIRA (Noir structure, 3000K, 2</t>
  </si>
  <si>
    <t>FILIO (Noir, 2700 Kelvin)</t>
  </si>
  <si>
    <t>FILIO (Blanc, 2700 Kelvin)</t>
  </si>
  <si>
    <t>FILIO (Noir, 3000 Kelvin)</t>
  </si>
  <si>
    <t>FILIO (Blanc, 3000 Kelvin)</t>
  </si>
  <si>
    <t>TENO ALIMENTATION  (Noir, Droi</t>
  </si>
  <si>
    <t>9.12€</t>
  </si>
  <si>
    <t>TENO ALIMENTATION  (Blanc, Dro</t>
  </si>
  <si>
    <t>TENO ALIMENTATION  (Noir, Gauc</t>
  </si>
  <si>
    <t>TENO ALIMENTATION  (Blanc, Gau</t>
  </si>
  <si>
    <t>TENO ALIM CENTRALE (Noir)</t>
  </si>
  <si>
    <t>15.12€</t>
  </si>
  <si>
    <t>TENO ALIM CENTRALE (Blanc)</t>
  </si>
  <si>
    <t>TENO ANGLE 90° (Noir, Interne)</t>
  </si>
  <si>
    <t>TENO ANGLE 90° (Blanc, Interne</t>
  </si>
  <si>
    <t>TENO ANGLE 90° (Noir, Externe)</t>
  </si>
  <si>
    <t>TENO ANGLE 90° (Blanc, Externe</t>
  </si>
  <si>
    <t>TENO CONNECTION T (externe-dro</t>
  </si>
  <si>
    <t>21.42€</t>
  </si>
  <si>
    <t>TENO CONNECTION T (Blanc, Droi</t>
  </si>
  <si>
    <t>TENO CONNECTION T (interne-dro</t>
  </si>
  <si>
    <t>TENO CONNECTION T (externe-gau</t>
  </si>
  <si>
    <t>TENO CONNECTION T (Blanc, Gauc</t>
  </si>
  <si>
    <t>TENO CONNECTION T (interne-gau</t>
  </si>
  <si>
    <t>TENO CONNEXION EN CROIX (Noir)</t>
  </si>
  <si>
    <t>TENO CONNEXION EN CROIX (Blanc</t>
  </si>
  <si>
    <t>TENO CONNEXION LINEAIRE AVEC C</t>
  </si>
  <si>
    <t>5.04€</t>
  </si>
  <si>
    <t>TENO KIT SUSP MT.2 AVEC FIXATI</t>
  </si>
  <si>
    <t>TENO KIT SUSP MT.3 AVEC FIXATI</t>
  </si>
  <si>
    <t>TENO KIT PLAFOND (Noir structu</t>
  </si>
  <si>
    <t>TENO KIT PLAFOND (Blanc struct</t>
  </si>
  <si>
    <t>TENO ADAPTATEUR ELETR/MECC  (N</t>
  </si>
  <si>
    <t>TENO ADAPTATEUR ELETR/MECC  (B</t>
  </si>
  <si>
    <t>TENO CACHE PVC 1 MT.  (Noir)</t>
  </si>
  <si>
    <t>TENO CACHE PVC 1 MT.  (Blanc)</t>
  </si>
  <si>
    <t>TENO EMBOUT DE FINITION (Noir)</t>
  </si>
  <si>
    <t>1.26€</t>
  </si>
  <si>
    <t>TENO EMBOUT DE FINITION (Blanc</t>
  </si>
  <si>
    <t>BOBO (Noir structuré, 4W, 2700</t>
  </si>
  <si>
    <t>BOBO (Blanc structuré, 4W, 270</t>
  </si>
  <si>
    <t>BOBO (Noir structuré, 4W, 3000</t>
  </si>
  <si>
    <t>BOBO (Blanc structuré, 4W, 300</t>
  </si>
  <si>
    <t>ZENO (Noir structuré, 5W)</t>
  </si>
  <si>
    <t>ZENO (Blanc structuré, 5W)</t>
  </si>
  <si>
    <t>BOBO (Noir structuré, 8W, 2700</t>
  </si>
  <si>
    <t>BOBO (Blanc structuré, 8W, 270</t>
  </si>
  <si>
    <t>BOBO (Noir structuré, 8W, 3000</t>
  </si>
  <si>
    <t>BOBO (Blanc structuré, 8W, 300</t>
  </si>
  <si>
    <t>ZENO (Noir structuré, 11W)</t>
  </si>
  <si>
    <t>ZENO (Blanc structuré, 11W)</t>
  </si>
  <si>
    <t>PERLO (Noir structuré, 2700 Ke</t>
  </si>
  <si>
    <t>PERLO (Blanc structuré, 2700 K</t>
  </si>
  <si>
    <t>PERLO (Noir structuré, 3000 Ke</t>
  </si>
  <si>
    <t>PERLO (Blanc structuré, 3000 K</t>
  </si>
  <si>
    <t>CONI (Noir structuré, 2700 Kel</t>
  </si>
  <si>
    <t>CONI (Blanc structuré, 2700 Ke</t>
  </si>
  <si>
    <t>CONI (Noir structuré, 3000 Kel</t>
  </si>
  <si>
    <t>CONI (Blanc structuré, 3000 Ke</t>
  </si>
  <si>
    <t>ELVO (Noir/Transparent, Convex</t>
  </si>
  <si>
    <t>100.8€</t>
  </si>
  <si>
    <t>ELVO (Noir/Transparent, Wave)</t>
  </si>
  <si>
    <t>ELVO (Noir/Ambre, Convex)</t>
  </si>
  <si>
    <t>ELVO (Noir/Ambre, Wave)</t>
  </si>
  <si>
    <t>TUNA (Noir structuré)</t>
  </si>
  <si>
    <t>107.4€</t>
  </si>
  <si>
    <t>TUNA (Blanc structuré)</t>
  </si>
  <si>
    <t>ELVO BAGUE FINITION (Blanc str</t>
  </si>
  <si>
    <t>7.2€</t>
  </si>
  <si>
    <t>ELVO BAGUE FINITION (Noir stru</t>
  </si>
  <si>
    <t>ELVO BAGUE FINITION (Doré)</t>
  </si>
  <si>
    <t>ELVO BAGUE FINITION (Bronze)</t>
  </si>
  <si>
    <t>14.4€</t>
  </si>
  <si>
    <t>ELVO BAGUE FINITION (Chrome sa</t>
  </si>
  <si>
    <t>LENTILLE POUR ZENO (15°, 5w)</t>
  </si>
  <si>
    <t>LENTILLE POUR ZENO (50°, 5w)</t>
  </si>
  <si>
    <t>LENTILLE POUR ZENO (15°, 11w)</t>
  </si>
  <si>
    <t>LENTILLE POUR ZENO (50°, 11w)</t>
  </si>
  <si>
    <t>BAGUE POUR ZENO (5w)</t>
  </si>
  <si>
    <t>BAGUE POUR ZENO (11w)</t>
  </si>
  <si>
    <t>HONEYCOMB POUR ZENO/TUNA (5W)</t>
  </si>
  <si>
    <t>4.26€</t>
  </si>
  <si>
    <t>HONEYCOMB POUR ZENO/TUNA (1W)</t>
  </si>
  <si>
    <t>CANOPY  (Blanc structuré)</t>
  </si>
  <si>
    <t>CANOPY  (Noir structuré)</t>
  </si>
  <si>
    <t>BINARIO 48 VDC CARRE</t>
  </si>
  <si>
    <t>21.96€</t>
  </si>
  <si>
    <t>41.94€</t>
  </si>
  <si>
    <t>BINARIO 48 VDC ENCASTRE</t>
  </si>
  <si>
    <t>29.94€</t>
  </si>
  <si>
    <t>83.88€</t>
  </si>
  <si>
    <t>BINARIO CONNECTEUR D'ALIMENTATION DROITE</t>
  </si>
  <si>
    <t>BINARIO CONNECTEUR D'ALIMENTATION GAUCHE</t>
  </si>
  <si>
    <t>BINARIO CONNECTEUR D'ALIMENTATION CENTRA</t>
  </si>
  <si>
    <t>15.84€</t>
  </si>
  <si>
    <t>BINARIO CONNECTEUR LINEAIRE ELECTRIQUE N</t>
  </si>
  <si>
    <t>8.58€</t>
  </si>
  <si>
    <t>BINARIO CONNECTEUR LINEAIRE NON-ELECTRIQ</t>
  </si>
  <si>
    <t>BINARIO COUDE 90 INTERIEUR NOIR</t>
  </si>
  <si>
    <t>16.98€</t>
  </si>
  <si>
    <t>BINARIO COUDE 90 EXTERIEUR NOIR</t>
  </si>
  <si>
    <t>BINARIO KIT DE SUSPENSION AVEC FIL D'ACI</t>
  </si>
  <si>
    <t>BINARIO KIT PLAFOND/MUR PAR PAIRES</t>
  </si>
  <si>
    <t>BINARIO EMBOUT DE FINITION NOIR</t>
  </si>
  <si>
    <t>1.14€</t>
  </si>
  <si>
    <t>BINARIO CONNECTEUR D'ALIMENTATION ENCAST</t>
  </si>
  <si>
    <t>15.66€</t>
  </si>
  <si>
    <t>BINARIO EMBOUT DE FINITION ENCASTRE NOIR</t>
  </si>
  <si>
    <t>BINARIO COUDE 90 RAIL ENCASTRE 48VDC INT</t>
  </si>
  <si>
    <t>19.02€</t>
  </si>
  <si>
    <t>BINARIO COUDE 90 RAIL ENCASTRE 48VDC EXT</t>
  </si>
  <si>
    <t>DRIVER DC24V PWM DALI PUSH DIM</t>
  </si>
  <si>
    <t>95.46€</t>
  </si>
  <si>
    <t>96.72€</t>
  </si>
  <si>
    <t>ALIM CASAMBI MW (60W)</t>
  </si>
  <si>
    <t>151.38€</t>
  </si>
  <si>
    <t>ALIM CASAMBI MW (120W)</t>
  </si>
  <si>
    <t>215.34€</t>
  </si>
  <si>
    <t>ALIM CASAMBI MW (200W)</t>
  </si>
  <si>
    <t>219.84€</t>
  </si>
  <si>
    <t>ZOM (Noir structuré, 3000 Kelvin)</t>
  </si>
  <si>
    <t>202.8€</t>
  </si>
  <si>
    <t>ZOM (Blanc structuré, 3000 Kelvin)</t>
  </si>
  <si>
    <t>ZOM (Noir structuré, 4000 Kelvin)</t>
  </si>
  <si>
    <t>ZOM (Blanc structuré, 4000 Kelvin)</t>
  </si>
  <si>
    <t>ZOM - GRILLE NID D'ABEILLE</t>
  </si>
  <si>
    <t>8.76€</t>
  </si>
  <si>
    <t>ZOM - VOLET (Noir structuré)</t>
  </si>
  <si>
    <t>17.76€</t>
  </si>
  <si>
    <t>ZOM - VOLET (Blanc structuré)</t>
  </si>
  <si>
    <t>VELTO (Noir, 20W, 60cm)</t>
  </si>
  <si>
    <t>VELTO (Blanc, 20W, 60cm)</t>
  </si>
  <si>
    <t>VISIANO</t>
  </si>
  <si>
    <t>VELTO (Noir, 35W, 120 cm)</t>
  </si>
  <si>
    <t>VELTO (Blanc, 35W, 120 cm)</t>
  </si>
  <si>
    <t>ACE (150W)</t>
  </si>
  <si>
    <t>268.2€</t>
  </si>
  <si>
    <t>ACE (300W)</t>
  </si>
  <si>
    <t>424.8€</t>
  </si>
  <si>
    <t>ALPO (150W, 3000 Kelvin)</t>
  </si>
  <si>
    <t>103.8€</t>
  </si>
  <si>
    <t>ALPO (150W, 4000 Kelvin)</t>
  </si>
  <si>
    <t>ALPO (300W, 3000 Kelvin)</t>
  </si>
  <si>
    <t>217.2€</t>
  </si>
  <si>
    <t>ALPO (300W, 4000 Kelvin)</t>
  </si>
  <si>
    <t>PADO (20/30/50W)</t>
  </si>
  <si>
    <t>PADO (Blanc, 20/30/50W)</t>
  </si>
  <si>
    <t>PADO (Rouille, 20/30/50W)</t>
  </si>
  <si>
    <t>CORSO (Noir structuré, 20/30/5</t>
  </si>
  <si>
    <t>CORSO (Blanc structuré, 20/30/</t>
  </si>
  <si>
    <t>PADO (50/70/100W)</t>
  </si>
  <si>
    <t>PADO (Blanc, 50/70/100W)</t>
  </si>
  <si>
    <t>PADO (Rouille, 50/70/100W)</t>
  </si>
  <si>
    <t>CORSO (Noir structuré, 50/70/1</t>
  </si>
  <si>
    <t>CORSO (Blanc structuré, 50/70/</t>
  </si>
  <si>
    <t>CORSO (Noir structuré, 120/150</t>
  </si>
  <si>
    <t>CORSO (Blanc structuré, 120/15</t>
  </si>
  <si>
    <t>LUMAX</t>
  </si>
  <si>
    <t>145.2€</t>
  </si>
  <si>
    <t>PADO Module de détection (Blanc)</t>
  </si>
  <si>
    <t>13.2€</t>
  </si>
  <si>
    <t>PADO Module de détection (Noir)</t>
  </si>
  <si>
    <t>PIQUET pour PADO - CORSO (15cm</t>
  </si>
  <si>
    <t>PIQUET pour PADO - CORSO (26cm</t>
  </si>
  <si>
    <t>BRAS pour PADO - CORSO (50cm,</t>
  </si>
  <si>
    <t>BRAS pour PADO - CORSO (100cm,</t>
  </si>
  <si>
    <t>PATERE ANGLE pour PADO - CORSO</t>
  </si>
  <si>
    <t>CORSO Module de détection (Noir</t>
  </si>
  <si>
    <t>CORSO Module de détection (Blanc</t>
  </si>
  <si>
    <t>TETE DE MAT</t>
  </si>
  <si>
    <t>49.44€</t>
  </si>
  <si>
    <t>SNAKE (10W)</t>
  </si>
  <si>
    <t>SNAKE (7W)</t>
  </si>
  <si>
    <t>SNAKE (base à visser)</t>
  </si>
  <si>
    <t>SIGANO (3W, 2700 Kelvin, 30°)</t>
  </si>
  <si>
    <t>SIGANO (3W, 3000 Kelvin, 30°)</t>
  </si>
  <si>
    <t>SIGANO (7W, 2700 Kelvin, Régla</t>
  </si>
  <si>
    <t>44.4€</t>
  </si>
  <si>
    <t>SIGANO (7W, 3000 Kelvin, Régla</t>
  </si>
  <si>
    <t>SIGANO (10W, CCT 2700K/3300K/4</t>
  </si>
  <si>
    <t>INDIO (Blanc structuré, 40W)</t>
  </si>
  <si>
    <t>INDIO (Noir structuré, 40W)</t>
  </si>
  <si>
    <t>INDIO (Café brossé, 40W)</t>
  </si>
  <si>
    <t>INDIO (Blanc structuré, 60W)</t>
  </si>
  <si>
    <t>INDIO (Noir structuré, 60W)</t>
  </si>
  <si>
    <t>INDIO (Café brossé, 60W)</t>
  </si>
  <si>
    <t>INDIO (Blanc structuré, 100W)</t>
  </si>
  <si>
    <t>INDIO (Noir structuré, 100W)</t>
  </si>
  <si>
    <t>INDIO (Café brossé, 100W)</t>
  </si>
  <si>
    <t>INDIO double (Blanc structuré)</t>
  </si>
  <si>
    <t>451.2€</t>
  </si>
  <si>
    <t>INDIO double (Noir structuré)</t>
  </si>
  <si>
    <t>INDIO double (Café brossé)</t>
  </si>
  <si>
    <t>INDIANA plafonnier ou applique (Blanc st</t>
  </si>
  <si>
    <t>INDIANA plafonnier ou applique (Noir str</t>
  </si>
  <si>
    <t>INDIANA plafonnier ou applique (Café bro</t>
  </si>
  <si>
    <t>173.4€</t>
  </si>
  <si>
    <t>235.2€</t>
  </si>
  <si>
    <t>247.2€</t>
  </si>
  <si>
    <t>INAO (Blanc structuré, 36W)</t>
  </si>
  <si>
    <t>INAO (Noir structuré, 36W)</t>
  </si>
  <si>
    <t>INAO (Café brossé, 36W)</t>
  </si>
  <si>
    <t>INAO (Blanc structuré, 48W)</t>
  </si>
  <si>
    <t>377.4€</t>
  </si>
  <si>
    <t>INAO (Noir structuré, 48W)</t>
  </si>
  <si>
    <t>INAO (Café brossé, 48W)</t>
  </si>
  <si>
    <t>PLAQUE DE FINITION A PEINDRE INDIANA (40</t>
  </si>
  <si>
    <t>PLAQUE DE FINITION A PEINDRE INDIANA (60</t>
  </si>
  <si>
    <t>8.94€</t>
  </si>
  <si>
    <t>LITAO (Noir structuré, 2700 Ke</t>
  </si>
  <si>
    <t>LITAO (Blanc structuré, 2700 K</t>
  </si>
  <si>
    <t>LITAO (Noir structuré, 3000 Ke</t>
  </si>
  <si>
    <t>LITAO (Blanc structuré, 3000 K</t>
  </si>
  <si>
    <t>NOVARO (?114x83mm, 14W)</t>
  </si>
  <si>
    <t>NOVARO (?174x103mm, 20W)</t>
  </si>
  <si>
    <t>NOVARO (?200x113mm, 28W)</t>
  </si>
  <si>
    <t>NOVARO (?232x127mm, 35W)</t>
  </si>
  <si>
    <t>COLLERETTES NOVARO (?114x83mm,</t>
  </si>
  <si>
    <t>1.5€</t>
  </si>
  <si>
    <t>COLLERETTES NOVARO (?174x103mm</t>
  </si>
  <si>
    <t>2.16€</t>
  </si>
  <si>
    <t>COLLERETTES NOVARO (?200x113mm</t>
  </si>
  <si>
    <t>42.6€</t>
  </si>
  <si>
    <t>COLLERETTES NOVARO (?232x127mm</t>
  </si>
  <si>
    <t>3.3€</t>
  </si>
  <si>
    <t>10.8€</t>
  </si>
  <si>
    <t>43.32€</t>
  </si>
  <si>
    <t>DRIVER NOVARO (14W, Non dimmab</t>
  </si>
  <si>
    <t>8.16€</t>
  </si>
  <si>
    <t>DRIVER NOVARO (14W/20W/28W, Da</t>
  </si>
  <si>
    <t>22.68€</t>
  </si>
  <si>
    <t>KIT SECOURS NOVARO</t>
  </si>
  <si>
    <t>DRIVER NOVARO (20W, Non dimmab</t>
  </si>
  <si>
    <t>DRIVER NOVARO (28W, Non dimmab</t>
  </si>
  <si>
    <t>DRIVER NOVARO (35W, Non dimmab</t>
  </si>
  <si>
    <t>DRIVER NOVARO (35W, Dali)</t>
  </si>
  <si>
    <t>MINI PERFETTO S</t>
  </si>
  <si>
    <t>182.64€</t>
  </si>
  <si>
    <t>TRIO (Noir structuré, 1 métre)</t>
  </si>
  <si>
    <t>TRIO (Blanc structuré, 1 métre</t>
  </si>
  <si>
    <t>TRIO (Noir structuré, 2 métres</t>
  </si>
  <si>
    <t>TRIO (Blanc structuré, 2 métre</t>
  </si>
  <si>
    <t>TRIO (Noir structuré, 3 métres</t>
  </si>
  <si>
    <t>TRIO (Blanc structuré, 3 métre</t>
  </si>
  <si>
    <t>TRIO ALIMENTATION (Noir, Droite)</t>
  </si>
  <si>
    <t>TRIO ALIMENTATION (Blanc, Droite)</t>
  </si>
  <si>
    <t>TRIO ALIMENTATION (Noir, Gauche)</t>
  </si>
  <si>
    <t>TRIO ALIMENTATION (Blanc, Gauche)</t>
  </si>
  <si>
    <t>TRIO ALIM CENTRALE (Noir)</t>
  </si>
  <si>
    <t>TRIO ALIM CENTRALE (Blanc)</t>
  </si>
  <si>
    <t>TRIO ANGLE 90 (Noir, Interne)</t>
  </si>
  <si>
    <t>TRIO ANGLE 90 (Blanc, Interne)</t>
  </si>
  <si>
    <t>TRIO ANGLE 90 (Noir, Externe)</t>
  </si>
  <si>
    <t>TRIO ANGLE 90 (Blanc, Externe)</t>
  </si>
  <si>
    <t>TRIO CONNECTION T (Noir, Droite)</t>
  </si>
  <si>
    <t>TRIO CONNECTION T (Blanc, Droite)</t>
  </si>
  <si>
    <t>TRIO CONNECTION T (Noir, Gauche)</t>
  </si>
  <si>
    <t>TRIO CONNECTION T (Blanc, Gauche)</t>
  </si>
  <si>
    <t>TRIO CONNEXION EN CROIX (Noir)</t>
  </si>
  <si>
    <t>TRIO CONNEXION EN CROIX (Blanc)</t>
  </si>
  <si>
    <t>TRIO CONNEXION ARTICULEE (Noir)</t>
  </si>
  <si>
    <t>TRIO CONNEXION ARTICULEE (Blanc)</t>
  </si>
  <si>
    <t>TRIO ANGLE 90° (Noir, Adaptabl</t>
  </si>
  <si>
    <t>TRIO ANGLE 90° (Blanc, Adaptab</t>
  </si>
  <si>
    <t>TRIO CONNEXION FLEX (Noir)</t>
  </si>
  <si>
    <t>TRIO CONNEXION FLEX (Blanc)</t>
  </si>
  <si>
    <t>TRIO CONNEXION LINEAIRE AVEC CONTACTS (N</t>
  </si>
  <si>
    <t>TRIO CONNEXION LINEAIRE AVEC CONTACTS (B</t>
  </si>
  <si>
    <t>TRIO KIT SUSP MT.3 AVEC FIXATION AUTOM (</t>
  </si>
  <si>
    <t>TRIO KIT PLAFOND (Noir structuré)</t>
  </si>
  <si>
    <t>TRIO KIT PLAFOND (Blanc structuré)</t>
  </si>
  <si>
    <t>PATTE DE FIXATION TRIO L=120 (Noir struc</t>
  </si>
  <si>
    <t>PATTE DE FIXATION TRIO L=120 (Blanc stru</t>
  </si>
  <si>
    <t>TRIO ADAPTATEUR ELETR/MECC 10KG 6A (Noir</t>
  </si>
  <si>
    <t>TRIO ADAPTATEUR ELETR/MECC 10KG 6A (Blan</t>
  </si>
  <si>
    <t>TRIO CACHE PVC 1 MT. (Noir)</t>
  </si>
  <si>
    <t>TRIO CACHE PVC 1 MT. (Blanc)</t>
  </si>
  <si>
    <t>TRIO EMBOUT DE FINITION (Noir)</t>
  </si>
  <si>
    <t>1.2€</t>
  </si>
  <si>
    <t>TRIO EMBOUT DE FINITION (Blanc)</t>
  </si>
  <si>
    <t>NANO PERFETTO 650LM 6.5W 3000K 34° NOIR</t>
  </si>
  <si>
    <t>136.68€</t>
  </si>
  <si>
    <t>NANO PERFETTO 520LM6W30K C/LENTE DALI 14</t>
  </si>
  <si>
    <t>190.92€</t>
  </si>
  <si>
    <t>MICRO PERFETTO LOW 2050LM 18W 3000K NOIR</t>
  </si>
  <si>
    <t>157.8€</t>
  </si>
  <si>
    <t>MICRO PERFETTO LOW 2051LM18W30K DALI 30</t>
  </si>
  <si>
    <t>195.12€</t>
  </si>
  <si>
    <t>MICRO PERFETTO 2230LM 26W 3000K NOIR</t>
  </si>
  <si>
    <t>162.06€</t>
  </si>
  <si>
    <t>MICRO PERFETTO  2740LM 26W 30K DALI 30 N</t>
  </si>
  <si>
    <t>214.8€</t>
  </si>
  <si>
    <t>PERFETTO PURO 32W (Noir structuré, 3000</t>
  </si>
  <si>
    <t>PERFETTO PURO 32W (Blanc structuré, 3000</t>
  </si>
  <si>
    <t>770061A16</t>
  </si>
  <si>
    <t>PERFETTO PURO (Noir structuré, 4000 Kelv</t>
  </si>
  <si>
    <t>770061A21</t>
  </si>
  <si>
    <t>PERFETTO PURO (Blanc structuré, 4000 Kel</t>
  </si>
  <si>
    <t>PUJO (Blanc structuré)</t>
  </si>
  <si>
    <t>92.4€</t>
  </si>
  <si>
    <t>PUJO (Noir structuré)</t>
  </si>
  <si>
    <t>PUJO (Blanc structuré, Dimmable TRIAC)</t>
  </si>
  <si>
    <t>115.8€</t>
  </si>
  <si>
    <t>PUJO (Noir structuré, Dimmable TRIAC)</t>
  </si>
  <si>
    <t>AMIO (Blanc structuré)</t>
  </si>
  <si>
    <t>191.4€</t>
  </si>
  <si>
    <t>AMIO (Noir structuré)</t>
  </si>
  <si>
    <t>VILLI (Blanc structuré)</t>
  </si>
  <si>
    <t>VILLI (Noir structuré)</t>
  </si>
  <si>
    <t>TUBIO (Blanc structuré)</t>
  </si>
  <si>
    <t>TUBIO (Noir structuré)</t>
  </si>
  <si>
    <t>BAGUE DE FINITION PUJO/AMIO/VI</t>
  </si>
  <si>
    <t>BAGUE DE FINITION TUBIO (Blanc</t>
  </si>
  <si>
    <t>BAGUE DE FINITION TUBIO (Noir</t>
  </si>
  <si>
    <t>BAGUE DE FINITION TUBIO (Doré)</t>
  </si>
  <si>
    <t>MIPLUG TRACK (Noir, 80x20x250)</t>
  </si>
  <si>
    <t>MIPLUG TRACK (Blanc, 80x20x250</t>
  </si>
  <si>
    <t>MIPLUG TRACK (Noir, 80x20x500)</t>
  </si>
  <si>
    <t>MIPLUG TRACK (Blanc, 80x20x500</t>
  </si>
  <si>
    <t>MIPLUG TRACK (Noir, 80x20x750)</t>
  </si>
  <si>
    <t>55.2€</t>
  </si>
  <si>
    <t>MIPLUG TRACK (Blanc, 80x20x750</t>
  </si>
  <si>
    <t>MIPLUG TRACK (Noir, 80x20x1000</t>
  </si>
  <si>
    <t>MIPLUG TRACK (Blanc, 80x20x100</t>
  </si>
  <si>
    <t>MIPLUG TRACK (Noir, 80x20x1500</t>
  </si>
  <si>
    <t>MIPLUG TRACK (Blanc, 80x20x150</t>
  </si>
  <si>
    <t>MIPLUG PRISES (Noir, Fr/Be)</t>
  </si>
  <si>
    <t>MIPLUG PRISES (Blanc, Fr/Be)</t>
  </si>
  <si>
    <t>MIPLUG PRISES (Noir, De/Lu)</t>
  </si>
  <si>
    <t>MIPLUG PRISES (Blanc, De/Lu)</t>
  </si>
  <si>
    <t>MIPLUG PRISES (Noir, Usb)</t>
  </si>
  <si>
    <t>MIPLUG PRISES (Blanc, Usb)</t>
  </si>
  <si>
    <t>DEMO STARTER KIT MIPLUG BLANC</t>
  </si>
  <si>
    <t>ARTELINE (Noir, 20W, 4000 Kelv</t>
  </si>
  <si>
    <t>ARTELINE (Blanc, 20W, 4000 Kel</t>
  </si>
  <si>
    <t>ARTELINE (Noir, 20W, 3000 Kelv</t>
  </si>
  <si>
    <t>ARTELINE (Blanc, 20W, 3000 Kel</t>
  </si>
  <si>
    <t>ARTELINE (Noir, 30W, 4000 Kelv</t>
  </si>
  <si>
    <t>ARTELINE (Blanc, 30W, 4000 Kel</t>
  </si>
  <si>
    <t>ARTELINE (Noir, 30W, 3000 Kelv</t>
  </si>
  <si>
    <t>ARTELINE (Blanc, 30W, 3000 Kel</t>
  </si>
  <si>
    <t>FIXATION DIN IRO</t>
  </si>
  <si>
    <t>?471019BW30</t>
  </si>
  <si>
    <t>MINI ROLLER</t>
  </si>
  <si>
    <t>169.56€</t>
  </si>
  <si>
    <t>C6000412</t>
  </si>
  <si>
    <t>CURIO 48W 2700 Kelvin IP20</t>
  </si>
  <si>
    <t>0.282€</t>
  </si>
  <si>
    <t>C6000413</t>
  </si>
  <si>
    <t>CURIO 48W 3000 Kelvin IP20</t>
  </si>
  <si>
    <t>C6000414</t>
  </si>
  <si>
    <t>CURIO 48W 4000 Kelvin IP20</t>
  </si>
  <si>
    <t>C6000482</t>
  </si>
  <si>
    <t>CURIO 48W 2700 Kelvin IP67</t>
  </si>
  <si>
    <t>0.468€</t>
  </si>
  <si>
    <t>C6000483</t>
  </si>
  <si>
    <t>CURIO 48W 3000 Kelvin IP67</t>
  </si>
  <si>
    <t>C6000484</t>
  </si>
  <si>
    <t>CURIO 48W 4000 Kelvin IP67</t>
  </si>
  <si>
    <t>C6000702</t>
  </si>
  <si>
    <t>KEPLY EXTRA FIN 2700 Kelvin</t>
  </si>
  <si>
    <t>0.432€</t>
  </si>
  <si>
    <t>C6000703</t>
  </si>
  <si>
    <t>KEPLY EXTRA FIN 3000 Kelvin</t>
  </si>
  <si>
    <t>C6000704</t>
  </si>
  <si>
    <t>KEPLY EXTRA FIN 4000 Kelvin</t>
  </si>
  <si>
    <t>C6000712</t>
  </si>
  <si>
    <t>CURIO 72W 2700 Kelvin IP20</t>
  </si>
  <si>
    <t>0.42€</t>
  </si>
  <si>
    <t>C6000713</t>
  </si>
  <si>
    <t>CURIO 72W 3000 Kelvin IP20</t>
  </si>
  <si>
    <t>C6000714</t>
  </si>
  <si>
    <t>CURIO 72W 4000 Kelvin IP20</t>
  </si>
  <si>
    <t>C6000782</t>
  </si>
  <si>
    <t>CURIO 72W 2700 Kelvin IP67</t>
  </si>
  <si>
    <t>0.588€</t>
  </si>
  <si>
    <t>C6000783</t>
  </si>
  <si>
    <t>CURIO 72W 3000 Kelvin IP67</t>
  </si>
  <si>
    <t>C6000784</t>
  </si>
  <si>
    <t>CURIO 72W 4000 Kelvin IP67</t>
  </si>
  <si>
    <t>C6000823</t>
  </si>
  <si>
    <t>0.966€</t>
  </si>
  <si>
    <t>C6000902</t>
  </si>
  <si>
    <t>KEPLY 96W 2700 Kelvin IP20</t>
  </si>
  <si>
    <t>0.378€</t>
  </si>
  <si>
    <t>C6000903</t>
  </si>
  <si>
    <t>KEPLY 96W 3000 Kelvin IP20</t>
  </si>
  <si>
    <t>C6000904</t>
  </si>
  <si>
    <t>KEPLY 96W 4000 Kelvin IP20</t>
  </si>
  <si>
    <t>C6000912</t>
  </si>
  <si>
    <t>CURIO 96W 2700 Kelvin IP20</t>
  </si>
  <si>
    <t>0.57€</t>
  </si>
  <si>
    <t>0.306€</t>
  </si>
  <si>
    <t>C6000913</t>
  </si>
  <si>
    <t>CURIO 96W 3000 Kelvin IP20</t>
  </si>
  <si>
    <t>C6000914</t>
  </si>
  <si>
    <t>CURIO 96W 4000 Kelvin IP20</t>
  </si>
  <si>
    <t>C6000972</t>
  </si>
  <si>
    <t>KEPLY 96W 2700 Kelvin IP67</t>
  </si>
  <si>
    <t>C6000973</t>
  </si>
  <si>
    <t>KEPLY 96W 3000 Kelvin IP67</t>
  </si>
  <si>
    <t>C6000974</t>
  </si>
  <si>
    <t>KEPLY 96W 4000 Kelvin IP67</t>
  </si>
  <si>
    <t>C6000982</t>
  </si>
  <si>
    <t>CURIO 96W 2700 Kelvin IP67</t>
  </si>
  <si>
    <t>0.408€</t>
  </si>
  <si>
    <t>C6000983</t>
  </si>
  <si>
    <t>CURIO 96W 3000 Kelvin IP67</t>
  </si>
  <si>
    <t>C6000984</t>
  </si>
  <si>
    <t>CURIO 96W 4000 Kelvin IP67</t>
  </si>
  <si>
    <t>C6001002</t>
  </si>
  <si>
    <t>CAMBI CSP 10W 2700 Kelvin IP20</t>
  </si>
  <si>
    <t>0.594€</t>
  </si>
  <si>
    <t>C6001003</t>
  </si>
  <si>
    <t>CAMBI CSP 10W 3000 Kelvin IP20</t>
  </si>
  <si>
    <t>C6001004</t>
  </si>
  <si>
    <t>CAMBI CSP 10W 4000 Kelvin IP20</t>
  </si>
  <si>
    <t>C6001062</t>
  </si>
  <si>
    <t>CAMBI CSP 10W 2700 Kelvin IP68</t>
  </si>
  <si>
    <t>0.756€</t>
  </si>
  <si>
    <t>C6001063</t>
  </si>
  <si>
    <t>CAMBI CSP 10W 3000 Kelvin IP68</t>
  </si>
  <si>
    <t>C6001064</t>
  </si>
  <si>
    <t>CAMBI CSP 10W 4000 Kelvin IP68</t>
  </si>
  <si>
    <t>C6001212</t>
  </si>
  <si>
    <t>CURIO 12W 2700 Kelvin IP20</t>
  </si>
  <si>
    <t>0.24€</t>
  </si>
  <si>
    <t>C6001213</t>
  </si>
  <si>
    <t>CURIO 12W 3000 Kelvin IP20</t>
  </si>
  <si>
    <t>C6001214</t>
  </si>
  <si>
    <t>CURIO 12W 4000 Kelvin IP20</t>
  </si>
  <si>
    <t>C6001282</t>
  </si>
  <si>
    <t>CURIO 12W 2700 Kelvin IP67</t>
  </si>
  <si>
    <t>0.3€</t>
  </si>
  <si>
    <t>C6001283</t>
  </si>
  <si>
    <t>CURIO 12W 3000 Kelvin IP67</t>
  </si>
  <si>
    <t>C6001284</t>
  </si>
  <si>
    <t>CURIO 12W 4000 Kelvin IP67</t>
  </si>
  <si>
    <t>C6001402</t>
  </si>
  <si>
    <t>KEPLY 1440W 2700 Kelvin IP20</t>
  </si>
  <si>
    <t>0.66€</t>
  </si>
  <si>
    <t>0.354€</t>
  </si>
  <si>
    <t>C6001403</t>
  </si>
  <si>
    <t>KEPLY 1440W 3000 Kelvin IP20</t>
  </si>
  <si>
    <t>C6001404</t>
  </si>
  <si>
    <t>KEPLY 1440W 4000 Kelvin IP20</t>
  </si>
  <si>
    <t>C6001472</t>
  </si>
  <si>
    <t>KEPLY 1440W 2700 Kelvin IP67</t>
  </si>
  <si>
    <t>0.438€</t>
  </si>
  <si>
    <t>C6001473</t>
  </si>
  <si>
    <t>KEPLY 1440W 3000 Kelvin IP67</t>
  </si>
  <si>
    <t>C6001474</t>
  </si>
  <si>
    <t>KEPLY 1440W 4000 Kelvin IP67</t>
  </si>
  <si>
    <t>C6001502</t>
  </si>
  <si>
    <t>CAMBI CSP 144W 2700 Kelvin IP20</t>
  </si>
  <si>
    <t>C6001503</t>
  </si>
  <si>
    <t>CAMBI CSP 144W 3000 Kelvin IP20</t>
  </si>
  <si>
    <t>C6001504</t>
  </si>
  <si>
    <t>CAMBI CSP 144W 4000 Kelvin IP20</t>
  </si>
  <si>
    <t>C6001511</t>
  </si>
  <si>
    <t>ASIC (15W, 2200 Kelvin, IP20)</t>
  </si>
  <si>
    <t>C6001512</t>
  </si>
  <si>
    <t>ASIC (15W, 2700 Kelvin, IP20)</t>
  </si>
  <si>
    <t>C6001513</t>
  </si>
  <si>
    <t>ASIC (15W, 3000 Kelvin, IP20)</t>
  </si>
  <si>
    <t>C6001514</t>
  </si>
  <si>
    <t>ASIC (15W, 4000 Kelvin, IP20)</t>
  </si>
  <si>
    <t>C6001562</t>
  </si>
  <si>
    <t>CAMBI CSP 144W 2700 Kelvin IP68</t>
  </si>
  <si>
    <t>1.05€</t>
  </si>
  <si>
    <t>C6001563</t>
  </si>
  <si>
    <t>CAMBI CSP 144W 3000 Kelvin IP68</t>
  </si>
  <si>
    <t>C6001564</t>
  </si>
  <si>
    <t>CAMBI CSP 144W 4000 Kelvin IP68</t>
  </si>
  <si>
    <t>C6001802</t>
  </si>
  <si>
    <t>KEPLY 18W 2700 Kelvin IP20</t>
  </si>
  <si>
    <t>0.318€</t>
  </si>
  <si>
    <t>C6001803</t>
  </si>
  <si>
    <t>KEPLY 18W 3000 Kelvin IP20</t>
  </si>
  <si>
    <t>C6001804</t>
  </si>
  <si>
    <t>KEPLY 18W 4000 Kelvin IP20</t>
  </si>
  <si>
    <t>C6001812</t>
  </si>
  <si>
    <t>CURIO 18W 2700 Kelvin IP20</t>
  </si>
  <si>
    <t>0.312€</t>
  </si>
  <si>
    <t>C6001813</t>
  </si>
  <si>
    <t>CURIO 18W 3000 Kelvin IP20</t>
  </si>
  <si>
    <t>C6001814</t>
  </si>
  <si>
    <t>CURIO 18W 4000 Kelvin IP20</t>
  </si>
  <si>
    <t>C6001872</t>
  </si>
  <si>
    <t>KEPLY 18W 2700 Kelvin IP67</t>
  </si>
  <si>
    <t>0.402€</t>
  </si>
  <si>
    <t>C6001873</t>
  </si>
  <si>
    <t>KEPLY 18W 3000 Kelvin IP67</t>
  </si>
  <si>
    <t>C6001874</t>
  </si>
  <si>
    <t>KEPLY 18W 4000 Kelvin IP67</t>
  </si>
  <si>
    <t>C6001882</t>
  </si>
  <si>
    <t>CURIO 18W 2700 Kelvin IP67</t>
  </si>
  <si>
    <t>0.384€</t>
  </si>
  <si>
    <t>C6001883</t>
  </si>
  <si>
    <t>CURIO 18W 3000 Kelvin IP67</t>
  </si>
  <si>
    <t>C6001884</t>
  </si>
  <si>
    <t>CURIO 18W 4000 Kelvin IP67</t>
  </si>
  <si>
    <t>C6002002</t>
  </si>
  <si>
    <t>LIBBA 96W 2700 Kelvin IP20</t>
  </si>
  <si>
    <t>C6002003</t>
  </si>
  <si>
    <t>LIBBA 96W 3000 Kelvin IP20</t>
  </si>
  <si>
    <t>C6002004</t>
  </si>
  <si>
    <t>LIBBA 96W 4000 Kelvin IP20</t>
  </si>
  <si>
    <t>C6002052</t>
  </si>
  <si>
    <t>BOJA 48W 2700 Kelvin</t>
  </si>
  <si>
    <t>C6002053</t>
  </si>
  <si>
    <t>BOJA 48W 3000 Kelvin</t>
  </si>
  <si>
    <t>C6002054</t>
  </si>
  <si>
    <t>BOJA 48W 4000 Kelvin</t>
  </si>
  <si>
    <t>C6002072</t>
  </si>
  <si>
    <t>LIBBA 96W 2700 Kelvin IP67</t>
  </si>
  <si>
    <t>0.876€</t>
  </si>
  <si>
    <t>C6002073</t>
  </si>
  <si>
    <t>LIBBA 96W 3000 Kelvin IP67</t>
  </si>
  <si>
    <t>C6002074</t>
  </si>
  <si>
    <t>LIBBA 96W 4000 Kelvin IP67</t>
  </si>
  <si>
    <t>C6002092</t>
  </si>
  <si>
    <t>BOJA 96W 2700 Kelvin</t>
  </si>
  <si>
    <t>1.698€</t>
  </si>
  <si>
    <t>C6002093</t>
  </si>
  <si>
    <t>BOJA 96W 3000 Kelvin</t>
  </si>
  <si>
    <t>C6002094</t>
  </si>
  <si>
    <t>BOJA 96W 4000 Kelvin</t>
  </si>
  <si>
    <t>C6002102</t>
  </si>
  <si>
    <t>LIBBA 1440W 2700 Kelvin IP20</t>
  </si>
  <si>
    <t>C6002103</t>
  </si>
  <si>
    <t>LIBBA 1440W 3000 Kelvin IP20</t>
  </si>
  <si>
    <t>C6002104</t>
  </si>
  <si>
    <t>LIBBA 1440W 4000 Kelvin IP20</t>
  </si>
  <si>
    <t>C6002142</t>
  </si>
  <si>
    <t>LIBBA 144W 2700 Kelvin IP20</t>
  </si>
  <si>
    <t>C6002143</t>
  </si>
  <si>
    <t>LIBBA 144W 3000 Kelvin IP20</t>
  </si>
  <si>
    <t>C6002144</t>
  </si>
  <si>
    <t>LIBBA 144W 4000 Kelvin IP20</t>
  </si>
  <si>
    <t>C6002172</t>
  </si>
  <si>
    <t>LIBBA 1440W 2700 Kelvin IP67</t>
  </si>
  <si>
    <t>0.738€</t>
  </si>
  <si>
    <t>C6002173</t>
  </si>
  <si>
    <t>LIBBA 1440W 3000 Kelvin IP67</t>
  </si>
  <si>
    <t>C6002174</t>
  </si>
  <si>
    <t>LIBBA 1440W 4000 Kelvin IP67</t>
  </si>
  <si>
    <t>C6002282</t>
  </si>
  <si>
    <t>LIBBA 2880 2700 Kelvin IP20</t>
  </si>
  <si>
    <t>0.816€</t>
  </si>
  <si>
    <t>C6002283</t>
  </si>
  <si>
    <t>LIBBA 2880 3000 Kelvin IP20</t>
  </si>
  <si>
    <t>C6002284</t>
  </si>
  <si>
    <t>LIBBA 2880 4000 Kelvin IP20</t>
  </si>
  <si>
    <t>C6002362</t>
  </si>
  <si>
    <t>LIBBA 132 W 2700 Kelvin IP65</t>
  </si>
  <si>
    <t>1.608€</t>
  </si>
  <si>
    <t>C6002363</t>
  </si>
  <si>
    <t>LIBBA 132 W 3000 Kelvin IP65</t>
  </si>
  <si>
    <t>C6002364</t>
  </si>
  <si>
    <t>LIBBA 132 W 4000 Kelvin IP65</t>
  </si>
  <si>
    <t>C6002502</t>
  </si>
  <si>
    <t>LIBBA 192W 2700 Kelvin IP20</t>
  </si>
  <si>
    <t>0.792€</t>
  </si>
  <si>
    <t>C6002503</t>
  </si>
  <si>
    <t>LIBBA 192W 3000 Kelvin IP20</t>
  </si>
  <si>
    <t>C6002504</t>
  </si>
  <si>
    <t>LIBBA 192W 4000 Kelvin IP20</t>
  </si>
  <si>
    <t>C6002572</t>
  </si>
  <si>
    <t>LIBBA 192W 2700 Kelvin IP67</t>
  </si>
  <si>
    <t>1.266€</t>
  </si>
  <si>
    <t>C6002573</t>
  </si>
  <si>
    <t>LIBBA 192W 3000 Kelvin IP67</t>
  </si>
  <si>
    <t>C6002574</t>
  </si>
  <si>
    <t>LIBBA 192W 4000 Kelvin IP67</t>
  </si>
  <si>
    <t>C6002662</t>
  </si>
  <si>
    <t>LIBBA 264W 2700 Kelvin IP65</t>
  </si>
  <si>
    <t>1.23€</t>
  </si>
  <si>
    <t>C6002663</t>
  </si>
  <si>
    <t>LIBBA 264W 3000 Kelvin IP65</t>
  </si>
  <si>
    <t>C6002664</t>
  </si>
  <si>
    <t>LIBBA 264W 4000 Kelvin IP65</t>
  </si>
  <si>
    <t>C6005017</t>
  </si>
  <si>
    <t>LIBBA 5W 1700 Kelvin IP67</t>
  </si>
  <si>
    <t>1.212€</t>
  </si>
  <si>
    <t>C6006001</t>
  </si>
  <si>
    <t>ASIC EXTRA FIN 2200 Kelvin</t>
  </si>
  <si>
    <t>C6006002</t>
  </si>
  <si>
    <t>ASIC EXTRA FIN 2700 Kelvin</t>
  </si>
  <si>
    <t>C6006003</t>
  </si>
  <si>
    <t>ASIC EXTRA FIN 3000 Kelvin</t>
  </si>
  <si>
    <t>C6006004</t>
  </si>
  <si>
    <t>ASIC EXTRA FIN 4000 Kelvin</t>
  </si>
  <si>
    <t>C6007203</t>
  </si>
  <si>
    <t>CURIA 192W 3000 Kelvin IP20</t>
  </si>
  <si>
    <t>0.486€</t>
  </si>
  <si>
    <t>C6007204</t>
  </si>
  <si>
    <t>CURIA 192W 4000 Kelvin IP20</t>
  </si>
  <si>
    <t>C6007263</t>
  </si>
  <si>
    <t>CURIA 192W 3000 Kelvin IP66</t>
  </si>
  <si>
    <t>C6007264</t>
  </si>
  <si>
    <t>CURIA 192W 4000 Kelvin IP66</t>
  </si>
  <si>
    <t>C6007502</t>
  </si>
  <si>
    <t>CURIA 48W 2700 Kelvin IP20</t>
  </si>
  <si>
    <t>0.69€</t>
  </si>
  <si>
    <t>C6007503</t>
  </si>
  <si>
    <t>CURIA 48W 3000 Kelvin IP20</t>
  </si>
  <si>
    <t>C6007504</t>
  </si>
  <si>
    <t>CURIA 48W 4000 Kelvin IP20</t>
  </si>
  <si>
    <t>C6007562</t>
  </si>
  <si>
    <t>CURIA 48W 2700 Kelvin IP66</t>
  </si>
  <si>
    <t>0.96€</t>
  </si>
  <si>
    <t>C6007563</t>
  </si>
  <si>
    <t>CURIA 48W 3000 Kelvin IP66</t>
  </si>
  <si>
    <t>C6007564</t>
  </si>
  <si>
    <t>CURIA 48W 4000 Kelvin IP66</t>
  </si>
  <si>
    <t>C6007902</t>
  </si>
  <si>
    <t>CURIA 96W 2700 Kelvin IP20</t>
  </si>
  <si>
    <t>0.534€</t>
  </si>
  <si>
    <t>C6007903</t>
  </si>
  <si>
    <t>CURIA 96W 3000 Kelvin IP20</t>
  </si>
  <si>
    <t>C6007904</t>
  </si>
  <si>
    <t>CURIA 96W 4000 Kelvin IP20</t>
  </si>
  <si>
    <t>C6007962</t>
  </si>
  <si>
    <t>CURIA 96W 2700 Kelvin IP66</t>
  </si>
  <si>
    <t>0.72€</t>
  </si>
  <si>
    <t>C6007963</t>
  </si>
  <si>
    <t>CURIA 96W 3000 Kelvin IP66</t>
  </si>
  <si>
    <t>C6007964</t>
  </si>
  <si>
    <t>CURIA 96W 4000 Kelvin IP66</t>
  </si>
  <si>
    <t>C6008001</t>
  </si>
  <si>
    <t>ASIC 8W 2200 Kelvin IP20</t>
  </si>
  <si>
    <t>0.984€</t>
  </si>
  <si>
    <t>C6008002</t>
  </si>
  <si>
    <t>ASIC 8W 2700 Kelvin IP20</t>
  </si>
  <si>
    <t>C6008003</t>
  </si>
  <si>
    <t>ASIC 8W 3000 Kelvin IP20</t>
  </si>
  <si>
    <t>C6008004</t>
  </si>
  <si>
    <t>ASIC 8W 4000 Kelvin IP20</t>
  </si>
  <si>
    <t>C6008030</t>
  </si>
  <si>
    <t>CAMBI RGB IP20</t>
  </si>
  <si>
    <t>C6008037</t>
  </si>
  <si>
    <t>CAMBI RGB IP67</t>
  </si>
  <si>
    <t>1.242€</t>
  </si>
  <si>
    <t>C6008136</t>
  </si>
  <si>
    <t>ARCHI 13W 2700-4000 Kelvin IP65</t>
  </si>
  <si>
    <t>1.488€</t>
  </si>
  <si>
    <t>C6008147</t>
  </si>
  <si>
    <t>ARCHI 1440W RGB IP65</t>
  </si>
  <si>
    <t>2.064€</t>
  </si>
  <si>
    <t>C6008167</t>
  </si>
  <si>
    <t>ARCHI 1440W RGB IP66</t>
  </si>
  <si>
    <t>1.728€</t>
  </si>
  <si>
    <t>C6008178</t>
  </si>
  <si>
    <t>ARCHI 1730W RGB + 3000 Kelvin IP65</t>
  </si>
  <si>
    <t>2.748€</t>
  </si>
  <si>
    <t>C6008188</t>
  </si>
  <si>
    <t>ARCHI 1730W RGB + 4000 Kelvin IP65</t>
  </si>
  <si>
    <t>C6008249</t>
  </si>
  <si>
    <t>ARCHI RGB+CCT</t>
  </si>
  <si>
    <t>3.396€</t>
  </si>
  <si>
    <t>C6008266</t>
  </si>
  <si>
    <t>ARCHI 26W 2700-4000 Kelvin IP65</t>
  </si>
  <si>
    <t>2.202€</t>
  </si>
  <si>
    <t>C6008287</t>
  </si>
  <si>
    <t>ARCHI 2880W RGB IP65</t>
  </si>
  <si>
    <t>C6008901</t>
  </si>
  <si>
    <t>ASIC 7W 2200 Kelvin IP20</t>
  </si>
  <si>
    <t>C6008902</t>
  </si>
  <si>
    <t>ASIC 7W 2700 Kelvin IP20</t>
  </si>
  <si>
    <t>C6008903</t>
  </si>
  <si>
    <t>ASIC 7W 3000 Kelvin IP20</t>
  </si>
  <si>
    <t>C6008904</t>
  </si>
  <si>
    <t>ASIC 7W 4000 Kelvin IP20</t>
  </si>
  <si>
    <t>C6009002</t>
  </si>
  <si>
    <t>LIBBA 85W 2700 Kelvin IP20</t>
  </si>
  <si>
    <t>0.516€</t>
  </si>
  <si>
    <t>C6009003</t>
  </si>
  <si>
    <t>LIBBA 85W 3000 Kelvin IP20</t>
  </si>
  <si>
    <t>C6009004</t>
  </si>
  <si>
    <t>LIBBA 85W 4000 Kelvin IP20</t>
  </si>
  <si>
    <t>C6009062</t>
  </si>
  <si>
    <t>LIBBA 85W 2700 Kelvin IP68</t>
  </si>
  <si>
    <t>0.684€</t>
  </si>
  <si>
    <t>C6009063</t>
  </si>
  <si>
    <t>LIBBA 85W 3000 Kelvin IP68</t>
  </si>
  <si>
    <t>C6009064</t>
  </si>
  <si>
    <t>LIBBA 85W 4000 Kelvin IP68</t>
  </si>
  <si>
    <t>C6181027</t>
  </si>
  <si>
    <t>ASIC 9W 2700 Kelvin IP68</t>
  </si>
  <si>
    <t>C6181030</t>
  </si>
  <si>
    <t>ASIC 9W 3000 Kelvin IP68</t>
  </si>
  <si>
    <t>C6181040</t>
  </si>
  <si>
    <t>ASIC 9W 4000 Kelvin IP68</t>
  </si>
  <si>
    <t>C6230002</t>
  </si>
  <si>
    <t>VOLTA 2700 Kelvin</t>
  </si>
  <si>
    <t>1.98€</t>
  </si>
  <si>
    <t>C6230003</t>
  </si>
  <si>
    <t>VOLTA 3000 Kelvin</t>
  </si>
  <si>
    <t>C6230004</t>
  </si>
  <si>
    <t>VOLTA 4000 Kelvin</t>
  </si>
  <si>
    <t>C6230012</t>
  </si>
  <si>
    <t>VECTRA 2700 Kelvin</t>
  </si>
  <si>
    <t>C6230013</t>
  </si>
  <si>
    <t>VECTRA 3000 Kelvin</t>
  </si>
  <si>
    <t>C6230014</t>
  </si>
  <si>
    <t>VECTRA 4000 Kelvin</t>
  </si>
  <si>
    <t>DAP04S01</t>
  </si>
  <si>
    <t>Convertiseur Push - PWM (1-10v</t>
  </si>
  <si>
    <t>GA70-2</t>
  </si>
  <si>
    <t>FIX-POINT GA70 NOIR PATERE DE FIXATION 3 ALLUMAGES</t>
  </si>
  <si>
    <t>GA70-3</t>
  </si>
  <si>
    <t>FIX-POINT GA70 BLANC PATERE DE FIXATION 3 ALLUMAGES</t>
  </si>
  <si>
    <t>SB2819</t>
  </si>
  <si>
    <t>BLEUTOOTH TELECOM rgb+cct 4 Zo</t>
  </si>
  <si>
    <t>SB9000</t>
  </si>
  <si>
    <t>BLUETOOTH RECEPTEUR 4 EN 1</t>
  </si>
  <si>
    <t>SB9001</t>
  </si>
  <si>
    <t>BLUETOOTH COMMANDE DIM 4 ZONES</t>
  </si>
  <si>
    <t>SB9010</t>
  </si>
  <si>
    <t>BLUETOOTH RECEPTEUR (Dimmable Bluetooth/</t>
  </si>
  <si>
    <t>SB9040</t>
  </si>
  <si>
    <t>BLUETOOTH RECEPTEUR (Dimmable Bleutooth/</t>
  </si>
  <si>
    <t>SB9100</t>
  </si>
  <si>
    <t>RECEPTEUR MONO 12/24VDC 96W/19</t>
  </si>
  <si>
    <t>STL3024VGF</t>
  </si>
  <si>
    <t>ALIMENTATION SUPERTHIN 230VAC/</t>
  </si>
  <si>
    <t>39.06€</t>
  </si>
  <si>
    <t>ZG2819SCCT</t>
  </si>
  <si>
    <t>ZIGBEE CONTROLEUR CCT 4 ZONES</t>
  </si>
  <si>
    <t>ZG2819SDIM</t>
  </si>
  <si>
    <t>ZIGBEE CONTROLEUR MONO 4 ZONES</t>
  </si>
  <si>
    <t>ZG2819SRGB</t>
  </si>
  <si>
    <t>ZIGBEE CONTROLEUR RGB/RGB+W 4</t>
  </si>
  <si>
    <t>ZG9001K12</t>
  </si>
  <si>
    <t>ZG9001K2DIM</t>
  </si>
  <si>
    <t>ZIGBEE CONTROLEUR MURAL MONO 1</t>
  </si>
  <si>
    <t>ZG9001K4CCT</t>
  </si>
  <si>
    <t>ZIGBEE CONTROLEUR MURAL CCT 1</t>
  </si>
  <si>
    <t>ZG9001K4DIM</t>
  </si>
  <si>
    <t>ZIGBEE CONTROLEUR MURAL MONO 2</t>
  </si>
  <si>
    <t>ZG9001K4RGBW</t>
  </si>
  <si>
    <t>ZIGBEE CONTROLEUR MURAL RGB-W</t>
  </si>
  <si>
    <t>ZG9001K8DIM</t>
  </si>
  <si>
    <t>ZIGBEE CONTROLEUR MURAL MONO 4</t>
  </si>
  <si>
    <t>ZG9001T4CCT</t>
  </si>
  <si>
    <t>ZIGBEE CONTROLEUR MURAL CCT 4</t>
  </si>
  <si>
    <t>ZG9001T4DIM</t>
  </si>
  <si>
    <t>ZG9001T4RGBW</t>
  </si>
  <si>
    <t>ZIGBEE CONTROLEUR MURAL RGB/RG</t>
  </si>
  <si>
    <t>ZG9040A</t>
  </si>
  <si>
    <t>ZIGBEE RECEPTEUR SANS NEUTRE AC230V 200W</t>
  </si>
  <si>
    <t>ZG9101CS</t>
  </si>
  <si>
    <t>ZIGBEE RECEPTEUR MONO 12-24VDC</t>
  </si>
  <si>
    <t>ZG9101FACCT</t>
  </si>
  <si>
    <t>ZIGBEE RECEPTEUR BI-COLOR 12-2</t>
  </si>
  <si>
    <t>82.2€</t>
  </si>
  <si>
    <t>ZG9101FADIM</t>
  </si>
  <si>
    <t>ZG9101FARGBW</t>
  </si>
  <si>
    <t>ZIGBEE RECEPTEUR RGB+W 12-24VD</t>
  </si>
  <si>
    <t>ZG9101SAC</t>
  </si>
  <si>
    <t>ZIGBEE RECEPTEUR AC230V 400W TRIAC + PUS</t>
  </si>
  <si>
    <t>ZG9101SACSW</t>
  </si>
  <si>
    <t>ZIGBEE RECEPTEUR AC230V 400W ON/OFF NO-D</t>
  </si>
  <si>
    <t>ZG910524050</t>
  </si>
  <si>
    <t>ZIGBEE ALIMENTATION 230VAC/24V</t>
  </si>
  <si>
    <t>ZG910524100</t>
  </si>
  <si>
    <t>124.8€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</si>
</sst>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4E83-D989-4FBD-8D92-3C1CFFE870D6}">
  <dimension ref="A1:J1563"/>
  <sheetViews>
    <sheetView tabSelected="1" topLeftCell="B474" workbookViewId="0">
      <selection activeCell="G474" sqref="G1:G1048576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</row>
    <row r="2" spans="1:10" x14ac:dyDescent="0.25">
      <c r="A2" t="s">
        <v>8</v>
      </c>
      <c r="B2">
        <v>1400001</v>
      </c>
      <c r="C2" t="s">
        <v>9</v>
      </c>
      <c r="D2">
        <v>1</v>
      </c>
      <c r="E2" t="s">
        <v>10</v>
      </c>
      <c r="F2" t="s">
        <v>11</v>
      </c>
      <c r="G2" s="1"/>
      <c r="H2" t="str">
        <f>"3700920140356"</f>
        <v>3700920140356</v>
      </c>
      <c r="J2" t="s">
        <v>12</v>
      </c>
    </row>
    <row r="3" spans="1:10" x14ac:dyDescent="0.25">
      <c r="A3" t="s">
        <v>8</v>
      </c>
      <c r="B3">
        <v>1400002</v>
      </c>
      <c r="C3" t="s">
        <v>13</v>
      </c>
      <c r="D3">
        <v>1</v>
      </c>
      <c r="E3" t="s">
        <v>10</v>
      </c>
      <c r="F3" t="s">
        <v>11</v>
      </c>
      <c r="G3" s="1"/>
      <c r="H3" t="str">
        <f>"3700920140363"</f>
        <v>3700920140363</v>
      </c>
      <c r="J3" t="s">
        <v>12</v>
      </c>
    </row>
    <row r="4" spans="1:10" x14ac:dyDescent="0.25">
      <c r="A4" t="s">
        <v>8</v>
      </c>
      <c r="B4">
        <v>1400003</v>
      </c>
      <c r="C4" t="s">
        <v>14</v>
      </c>
      <c r="D4">
        <v>1</v>
      </c>
      <c r="E4" t="s">
        <v>10</v>
      </c>
      <c r="F4" t="s">
        <v>11</v>
      </c>
      <c r="G4" s="1"/>
      <c r="H4" t="str">
        <f>"3700920114104"</f>
        <v>3700920114104</v>
      </c>
      <c r="J4" t="s">
        <v>12</v>
      </c>
    </row>
    <row r="5" spans="1:10" x14ac:dyDescent="0.25">
      <c r="A5" t="s">
        <v>8</v>
      </c>
      <c r="B5">
        <v>1401001</v>
      </c>
      <c r="C5" t="s">
        <v>15</v>
      </c>
      <c r="D5">
        <v>1</v>
      </c>
      <c r="E5" t="s">
        <v>10</v>
      </c>
      <c r="F5" t="s">
        <v>11</v>
      </c>
      <c r="G5" s="1"/>
      <c r="H5" t="str">
        <f>"3700920140004"</f>
        <v>3700920140004</v>
      </c>
      <c r="J5" s="1">
        <v>12</v>
      </c>
    </row>
    <row r="6" spans="1:10" x14ac:dyDescent="0.25">
      <c r="A6" t="s">
        <v>8</v>
      </c>
      <c r="B6">
        <v>1401002</v>
      </c>
      <c r="C6" t="s">
        <v>15</v>
      </c>
      <c r="D6">
        <v>1</v>
      </c>
      <c r="E6" t="s">
        <v>10</v>
      </c>
      <c r="F6" t="s">
        <v>11</v>
      </c>
      <c r="G6" s="1"/>
      <c r="H6" t="str">
        <f>"3700920140011"</f>
        <v>3700920140011</v>
      </c>
      <c r="J6" s="1">
        <v>12</v>
      </c>
    </row>
    <row r="7" spans="1:10" x14ac:dyDescent="0.25">
      <c r="A7" t="s">
        <v>8</v>
      </c>
      <c r="B7">
        <v>1401003</v>
      </c>
      <c r="C7" t="s">
        <v>16</v>
      </c>
      <c r="D7">
        <v>1</v>
      </c>
      <c r="E7" t="s">
        <v>10</v>
      </c>
      <c r="F7" t="s">
        <v>11</v>
      </c>
      <c r="G7" s="1"/>
      <c r="H7" t="str">
        <f>"3700920140028"</f>
        <v>3700920140028</v>
      </c>
      <c r="J7" s="1">
        <v>12</v>
      </c>
    </row>
    <row r="8" spans="1:10" x14ac:dyDescent="0.25">
      <c r="A8" t="s">
        <v>8</v>
      </c>
      <c r="B8">
        <v>1401004</v>
      </c>
      <c r="C8" t="s">
        <v>16</v>
      </c>
      <c r="D8">
        <v>1</v>
      </c>
      <c r="E8" t="s">
        <v>10</v>
      </c>
      <c r="F8" t="s">
        <v>11</v>
      </c>
      <c r="G8" s="1"/>
      <c r="H8" t="str">
        <f>"3700920140035"</f>
        <v>3700920140035</v>
      </c>
      <c r="J8" s="1">
        <v>12</v>
      </c>
    </row>
    <row r="9" spans="1:10" x14ac:dyDescent="0.25">
      <c r="A9" t="s">
        <v>8</v>
      </c>
      <c r="B9">
        <v>1401005</v>
      </c>
      <c r="C9" t="s">
        <v>17</v>
      </c>
      <c r="D9">
        <v>1</v>
      </c>
      <c r="E9" t="s">
        <v>10</v>
      </c>
      <c r="F9" t="s">
        <v>11</v>
      </c>
      <c r="G9" s="1"/>
      <c r="H9" t="str">
        <f>"3700920140042"</f>
        <v>3700920140042</v>
      </c>
      <c r="J9" s="1">
        <v>12</v>
      </c>
    </row>
    <row r="10" spans="1:10" x14ac:dyDescent="0.25">
      <c r="A10" t="s">
        <v>8</v>
      </c>
      <c r="B10">
        <v>1401006</v>
      </c>
      <c r="C10" t="s">
        <v>18</v>
      </c>
      <c r="D10">
        <v>1</v>
      </c>
      <c r="E10" t="s">
        <v>10</v>
      </c>
      <c r="F10" t="s">
        <v>11</v>
      </c>
      <c r="G10" s="1"/>
      <c r="H10" t="str">
        <f>"3700920140059"</f>
        <v>3700920140059</v>
      </c>
      <c r="J10" s="1">
        <v>12</v>
      </c>
    </row>
    <row r="11" spans="1:10" x14ac:dyDescent="0.25">
      <c r="A11" t="s">
        <v>8</v>
      </c>
      <c r="B11">
        <v>1401021</v>
      </c>
      <c r="C11" t="s">
        <v>15</v>
      </c>
      <c r="D11">
        <v>1</v>
      </c>
      <c r="E11" t="s">
        <v>10</v>
      </c>
      <c r="F11" t="s">
        <v>11</v>
      </c>
      <c r="G11" s="1"/>
      <c r="H11" t="str">
        <f>"3700920140066"</f>
        <v>3700920140066</v>
      </c>
      <c r="J11" s="1">
        <v>12</v>
      </c>
    </row>
    <row r="12" spans="1:10" x14ac:dyDescent="0.25">
      <c r="A12" t="s">
        <v>8</v>
      </c>
      <c r="B12">
        <v>1401022</v>
      </c>
      <c r="C12" t="s">
        <v>15</v>
      </c>
      <c r="D12">
        <v>1</v>
      </c>
      <c r="E12" t="s">
        <v>10</v>
      </c>
      <c r="F12" t="s">
        <v>11</v>
      </c>
      <c r="G12" s="1"/>
      <c r="H12" t="str">
        <f>"3700920140073"</f>
        <v>3700920140073</v>
      </c>
      <c r="J12" s="1">
        <v>12</v>
      </c>
    </row>
    <row r="13" spans="1:10" x14ac:dyDescent="0.25">
      <c r="A13" t="s">
        <v>8</v>
      </c>
      <c r="B13">
        <v>1401023</v>
      </c>
      <c r="C13" t="s">
        <v>16</v>
      </c>
      <c r="D13">
        <v>1</v>
      </c>
      <c r="E13" t="s">
        <v>10</v>
      </c>
      <c r="F13" t="s">
        <v>11</v>
      </c>
      <c r="G13" s="1"/>
      <c r="H13" t="str">
        <f>"3700920140080"</f>
        <v>3700920140080</v>
      </c>
      <c r="J13" s="1">
        <v>12</v>
      </c>
    </row>
    <row r="14" spans="1:10" x14ac:dyDescent="0.25">
      <c r="A14" t="s">
        <v>8</v>
      </c>
      <c r="B14">
        <v>1401024</v>
      </c>
      <c r="C14" t="s">
        <v>16</v>
      </c>
      <c r="D14">
        <v>1</v>
      </c>
      <c r="E14" t="s">
        <v>10</v>
      </c>
      <c r="F14" t="s">
        <v>11</v>
      </c>
      <c r="G14" s="1"/>
      <c r="H14" t="str">
        <f>"3700920140097"</f>
        <v>3700920140097</v>
      </c>
      <c r="J14" s="1">
        <v>12</v>
      </c>
    </row>
    <row r="15" spans="1:10" x14ac:dyDescent="0.25">
      <c r="A15" t="s">
        <v>8</v>
      </c>
      <c r="B15">
        <v>1401025</v>
      </c>
      <c r="C15" t="s">
        <v>17</v>
      </c>
      <c r="D15">
        <v>1</v>
      </c>
      <c r="E15" t="s">
        <v>10</v>
      </c>
      <c r="F15" t="s">
        <v>11</v>
      </c>
      <c r="G15" s="1"/>
      <c r="H15" t="str">
        <f>"3700920140103"</f>
        <v>3700920140103</v>
      </c>
      <c r="J15" s="1">
        <v>12</v>
      </c>
    </row>
    <row r="16" spans="1:10" x14ac:dyDescent="0.25">
      <c r="A16" t="s">
        <v>8</v>
      </c>
      <c r="B16">
        <v>1401026</v>
      </c>
      <c r="C16" t="s">
        <v>18</v>
      </c>
      <c r="D16">
        <v>1</v>
      </c>
      <c r="E16" t="s">
        <v>10</v>
      </c>
      <c r="F16" t="s">
        <v>11</v>
      </c>
      <c r="G16" s="1"/>
      <c r="H16" t="str">
        <f>"3700920140110"</f>
        <v>3700920140110</v>
      </c>
      <c r="J16" s="1">
        <v>12</v>
      </c>
    </row>
    <row r="17" spans="1:10" x14ac:dyDescent="0.25">
      <c r="A17" t="s">
        <v>8</v>
      </c>
      <c r="B17">
        <v>1401051</v>
      </c>
      <c r="C17" t="s">
        <v>19</v>
      </c>
      <c r="D17">
        <v>1</v>
      </c>
      <c r="E17" t="s">
        <v>10</v>
      </c>
      <c r="F17" t="s">
        <v>11</v>
      </c>
      <c r="G17" s="1"/>
      <c r="H17" t="str">
        <f>"3700920140127"</f>
        <v>3700920140127</v>
      </c>
      <c r="J17" t="s">
        <v>20</v>
      </c>
    </row>
    <row r="18" spans="1:10" x14ac:dyDescent="0.25">
      <c r="A18" t="s">
        <v>8</v>
      </c>
      <c r="B18">
        <v>1401052</v>
      </c>
      <c r="C18" t="s">
        <v>19</v>
      </c>
      <c r="D18">
        <v>1</v>
      </c>
      <c r="E18" t="s">
        <v>10</v>
      </c>
      <c r="F18" t="s">
        <v>11</v>
      </c>
      <c r="G18" s="1"/>
      <c r="H18" t="str">
        <f>"3700920110236"</f>
        <v>3700920110236</v>
      </c>
      <c r="J18" t="s">
        <v>20</v>
      </c>
    </row>
    <row r="19" spans="1:10" x14ac:dyDescent="0.25">
      <c r="A19" t="s">
        <v>8</v>
      </c>
      <c r="B19">
        <v>1401053</v>
      </c>
      <c r="C19" t="s">
        <v>21</v>
      </c>
      <c r="D19">
        <v>1</v>
      </c>
      <c r="E19" t="s">
        <v>10</v>
      </c>
      <c r="F19" t="s">
        <v>11</v>
      </c>
      <c r="G19" s="1"/>
      <c r="H19" t="str">
        <f>"3700920140134"</f>
        <v>3700920140134</v>
      </c>
      <c r="J19" t="s">
        <v>20</v>
      </c>
    </row>
    <row r="20" spans="1:10" x14ac:dyDescent="0.25">
      <c r="A20" t="s">
        <v>8</v>
      </c>
      <c r="B20">
        <v>1401054</v>
      </c>
      <c r="C20" t="s">
        <v>21</v>
      </c>
      <c r="D20">
        <v>1</v>
      </c>
      <c r="E20" t="s">
        <v>10</v>
      </c>
      <c r="F20" t="s">
        <v>11</v>
      </c>
      <c r="G20" s="1"/>
      <c r="H20" t="str">
        <f>"3700920110243"</f>
        <v>3700920110243</v>
      </c>
      <c r="J20" t="s">
        <v>20</v>
      </c>
    </row>
    <row r="21" spans="1:10" x14ac:dyDescent="0.25">
      <c r="A21" t="s">
        <v>8</v>
      </c>
      <c r="B21">
        <v>1401057</v>
      </c>
      <c r="C21" t="s">
        <v>22</v>
      </c>
      <c r="D21">
        <v>1</v>
      </c>
      <c r="E21" t="s">
        <v>10</v>
      </c>
      <c r="F21" t="s">
        <v>11</v>
      </c>
      <c r="G21" s="1"/>
      <c r="H21" t="str">
        <f>"3700920144095"</f>
        <v>3700920144095</v>
      </c>
      <c r="J21" t="s">
        <v>23</v>
      </c>
    </row>
    <row r="22" spans="1:10" x14ac:dyDescent="0.25">
      <c r="A22" t="s">
        <v>8</v>
      </c>
      <c r="B22">
        <v>1401058</v>
      </c>
      <c r="C22" t="s">
        <v>24</v>
      </c>
      <c r="D22">
        <v>1</v>
      </c>
      <c r="E22" t="s">
        <v>10</v>
      </c>
      <c r="F22" t="s">
        <v>11</v>
      </c>
      <c r="G22" s="1"/>
      <c r="H22" t="str">
        <f>"3700920144101"</f>
        <v>3700920144101</v>
      </c>
      <c r="J22" t="s">
        <v>23</v>
      </c>
    </row>
    <row r="23" spans="1:10" x14ac:dyDescent="0.25">
      <c r="A23" t="s">
        <v>8</v>
      </c>
      <c r="B23">
        <v>1401061</v>
      </c>
      <c r="C23" t="s">
        <v>19</v>
      </c>
      <c r="D23">
        <v>1</v>
      </c>
      <c r="E23" t="s">
        <v>10</v>
      </c>
      <c r="F23" t="s">
        <v>11</v>
      </c>
      <c r="G23" s="1"/>
      <c r="H23" t="str">
        <f>"3700920140141"</f>
        <v>3700920140141</v>
      </c>
      <c r="J23" t="s">
        <v>20</v>
      </c>
    </row>
    <row r="24" spans="1:10" x14ac:dyDescent="0.25">
      <c r="A24" t="s">
        <v>8</v>
      </c>
      <c r="B24">
        <v>1401063</v>
      </c>
      <c r="C24" t="s">
        <v>21</v>
      </c>
      <c r="D24">
        <v>1</v>
      </c>
      <c r="E24" t="s">
        <v>10</v>
      </c>
      <c r="F24" t="s">
        <v>11</v>
      </c>
      <c r="G24" s="1"/>
      <c r="H24" t="str">
        <f>"3700920140158"</f>
        <v>3700920140158</v>
      </c>
      <c r="J24" t="s">
        <v>20</v>
      </c>
    </row>
    <row r="25" spans="1:10" x14ac:dyDescent="0.25">
      <c r="A25" t="s">
        <v>8</v>
      </c>
      <c r="B25">
        <v>1402111</v>
      </c>
      <c r="C25" t="s">
        <v>25</v>
      </c>
      <c r="D25">
        <v>1</v>
      </c>
      <c r="E25" t="s">
        <v>10</v>
      </c>
      <c r="F25" t="s">
        <v>11</v>
      </c>
      <c r="G25" s="1"/>
      <c r="H25" t="str">
        <f>"3700920147171"</f>
        <v>3700920147171</v>
      </c>
      <c r="I25" s="1"/>
      <c r="J25" t="s">
        <v>26</v>
      </c>
    </row>
    <row r="26" spans="1:10" x14ac:dyDescent="0.25">
      <c r="A26" t="s">
        <v>8</v>
      </c>
      <c r="B26">
        <v>1402113</v>
      </c>
      <c r="C26" t="s">
        <v>27</v>
      </c>
      <c r="D26">
        <v>1</v>
      </c>
      <c r="E26" t="s">
        <v>10</v>
      </c>
      <c r="F26" t="s">
        <v>11</v>
      </c>
      <c r="G26" s="1"/>
      <c r="H26" t="str">
        <f>"3700920147195"</f>
        <v>3700920147195</v>
      </c>
      <c r="I26" s="1"/>
      <c r="J26" t="s">
        <v>26</v>
      </c>
    </row>
    <row r="27" spans="1:10" x14ac:dyDescent="0.25">
      <c r="A27" t="s">
        <v>8</v>
      </c>
      <c r="B27">
        <v>1402121</v>
      </c>
      <c r="C27" t="s">
        <v>28</v>
      </c>
      <c r="D27">
        <v>1</v>
      </c>
      <c r="E27" t="s">
        <v>10</v>
      </c>
      <c r="F27" t="s">
        <v>11</v>
      </c>
      <c r="G27" s="1"/>
      <c r="H27" t="str">
        <f>"3700920147201"</f>
        <v>3700920147201</v>
      </c>
      <c r="J27" s="1">
        <v>24</v>
      </c>
    </row>
    <row r="28" spans="1:10" x14ac:dyDescent="0.25">
      <c r="A28" t="s">
        <v>8</v>
      </c>
      <c r="B28">
        <v>1402123</v>
      </c>
      <c r="C28" t="s">
        <v>29</v>
      </c>
      <c r="D28">
        <v>1</v>
      </c>
      <c r="E28" t="s">
        <v>10</v>
      </c>
      <c r="F28" t="s">
        <v>11</v>
      </c>
      <c r="G28" s="1"/>
      <c r="H28" t="str">
        <f>"3700920147218"</f>
        <v>3700920147218</v>
      </c>
      <c r="J28" s="1">
        <v>24</v>
      </c>
    </row>
    <row r="29" spans="1:10" x14ac:dyDescent="0.25">
      <c r="A29" t="s">
        <v>8</v>
      </c>
      <c r="B29">
        <v>1402131</v>
      </c>
      <c r="C29" t="s">
        <v>28</v>
      </c>
      <c r="D29">
        <v>1</v>
      </c>
      <c r="E29" t="s">
        <v>10</v>
      </c>
      <c r="F29" t="s">
        <v>11</v>
      </c>
      <c r="G29" s="1"/>
      <c r="H29" t="str">
        <f>"3700920147225"</f>
        <v>3700920147225</v>
      </c>
      <c r="J29" t="s">
        <v>30</v>
      </c>
    </row>
    <row r="30" spans="1:10" x14ac:dyDescent="0.25">
      <c r="A30" t="s">
        <v>8</v>
      </c>
      <c r="B30">
        <v>1402133</v>
      </c>
      <c r="C30" t="s">
        <v>31</v>
      </c>
      <c r="D30">
        <v>1</v>
      </c>
      <c r="E30" t="s">
        <v>10</v>
      </c>
      <c r="F30" t="s">
        <v>11</v>
      </c>
      <c r="G30" s="1"/>
      <c r="H30" t="str">
        <f>"3700920147232"</f>
        <v>3700920147232</v>
      </c>
      <c r="J30" t="s">
        <v>30</v>
      </c>
    </row>
    <row r="31" spans="1:10" x14ac:dyDescent="0.25">
      <c r="A31" t="s">
        <v>8</v>
      </c>
      <c r="B31">
        <v>1403001</v>
      </c>
      <c r="C31" t="s">
        <v>32</v>
      </c>
      <c r="D31">
        <v>1</v>
      </c>
      <c r="E31" t="s">
        <v>10</v>
      </c>
      <c r="F31" t="s">
        <v>11</v>
      </c>
      <c r="G31" s="1"/>
      <c r="H31" t="str">
        <f>"3700920140165"</f>
        <v>3700920140165</v>
      </c>
      <c r="J31" t="s">
        <v>33</v>
      </c>
    </row>
    <row r="32" spans="1:10" x14ac:dyDescent="0.25">
      <c r="A32" t="s">
        <v>8</v>
      </c>
      <c r="B32">
        <v>1403002</v>
      </c>
      <c r="C32" t="s">
        <v>34</v>
      </c>
      <c r="D32">
        <v>1</v>
      </c>
      <c r="E32" t="s">
        <v>10</v>
      </c>
      <c r="F32" t="s">
        <v>11</v>
      </c>
      <c r="G32" s="1"/>
      <c r="H32" t="str">
        <f>"3700920140172"</f>
        <v>3700920140172</v>
      </c>
      <c r="J32" t="s">
        <v>33</v>
      </c>
    </row>
    <row r="33" spans="1:10" x14ac:dyDescent="0.25">
      <c r="A33" t="s">
        <v>8</v>
      </c>
      <c r="B33">
        <v>1403003</v>
      </c>
      <c r="C33" t="s">
        <v>35</v>
      </c>
      <c r="D33">
        <v>1</v>
      </c>
      <c r="E33" t="s">
        <v>10</v>
      </c>
      <c r="F33" t="s">
        <v>11</v>
      </c>
      <c r="G33" s="1"/>
      <c r="H33" t="str">
        <f>"3700920140189"</f>
        <v>3700920140189</v>
      </c>
      <c r="J33" t="s">
        <v>33</v>
      </c>
    </row>
    <row r="34" spans="1:10" x14ac:dyDescent="0.25">
      <c r="A34" t="s">
        <v>8</v>
      </c>
      <c r="B34">
        <v>1403011</v>
      </c>
      <c r="C34" t="s">
        <v>36</v>
      </c>
      <c r="D34">
        <v>1</v>
      </c>
      <c r="E34" t="s">
        <v>10</v>
      </c>
      <c r="F34" t="s">
        <v>11</v>
      </c>
      <c r="G34" s="1"/>
      <c r="H34" t="str">
        <f>"3700920140196"</f>
        <v>3700920140196</v>
      </c>
      <c r="J34" t="s">
        <v>33</v>
      </c>
    </row>
    <row r="35" spans="1:10" x14ac:dyDescent="0.25">
      <c r="A35" t="s">
        <v>8</v>
      </c>
      <c r="B35">
        <v>1403012</v>
      </c>
      <c r="C35" t="s">
        <v>37</v>
      </c>
      <c r="D35">
        <v>1</v>
      </c>
      <c r="E35" t="s">
        <v>10</v>
      </c>
      <c r="F35" t="s">
        <v>11</v>
      </c>
      <c r="G35" s="1"/>
      <c r="H35" t="str">
        <f>"3700920140202"</f>
        <v>3700920140202</v>
      </c>
      <c r="J35" t="s">
        <v>33</v>
      </c>
    </row>
    <row r="36" spans="1:10" x14ac:dyDescent="0.25">
      <c r="A36" t="s">
        <v>8</v>
      </c>
      <c r="B36">
        <v>1403013</v>
      </c>
      <c r="C36" t="s">
        <v>38</v>
      </c>
      <c r="D36">
        <v>1</v>
      </c>
      <c r="E36" t="s">
        <v>10</v>
      </c>
      <c r="F36" t="s">
        <v>11</v>
      </c>
      <c r="G36" s="1"/>
      <c r="H36" t="str">
        <f>"3700920140219"</f>
        <v>3700920140219</v>
      </c>
      <c r="J36" t="s">
        <v>33</v>
      </c>
    </row>
    <row r="37" spans="1:10" x14ac:dyDescent="0.25">
      <c r="A37" t="s">
        <v>8</v>
      </c>
      <c r="B37">
        <v>1403021</v>
      </c>
      <c r="C37" t="s">
        <v>39</v>
      </c>
      <c r="D37">
        <v>1</v>
      </c>
      <c r="E37" t="s">
        <v>10</v>
      </c>
      <c r="F37" t="s">
        <v>11</v>
      </c>
      <c r="G37" s="1"/>
      <c r="H37" t="str">
        <f>"3700920140226"</f>
        <v>3700920140226</v>
      </c>
      <c r="J37" t="s">
        <v>33</v>
      </c>
    </row>
    <row r="38" spans="1:10" x14ac:dyDescent="0.25">
      <c r="A38" t="s">
        <v>8</v>
      </c>
      <c r="B38">
        <v>1403022</v>
      </c>
      <c r="C38" t="s">
        <v>40</v>
      </c>
      <c r="D38">
        <v>1</v>
      </c>
      <c r="E38" t="s">
        <v>10</v>
      </c>
      <c r="F38" t="s">
        <v>11</v>
      </c>
      <c r="G38" s="1"/>
      <c r="H38" t="str">
        <f>"3700920140233"</f>
        <v>3700920140233</v>
      </c>
      <c r="J38" t="s">
        <v>33</v>
      </c>
    </row>
    <row r="39" spans="1:10" x14ac:dyDescent="0.25">
      <c r="A39" t="s">
        <v>8</v>
      </c>
      <c r="B39">
        <v>1403023</v>
      </c>
      <c r="C39" t="s">
        <v>41</v>
      </c>
      <c r="D39">
        <v>1</v>
      </c>
      <c r="E39" t="s">
        <v>10</v>
      </c>
      <c r="F39" t="s">
        <v>11</v>
      </c>
      <c r="G39" s="1"/>
      <c r="H39" t="str">
        <f>"3700920140240"</f>
        <v>3700920140240</v>
      </c>
      <c r="J39" t="s">
        <v>33</v>
      </c>
    </row>
    <row r="40" spans="1:10" x14ac:dyDescent="0.25">
      <c r="A40" t="s">
        <v>8</v>
      </c>
      <c r="B40">
        <v>1403101</v>
      </c>
      <c r="C40" t="s">
        <v>42</v>
      </c>
      <c r="D40">
        <v>1</v>
      </c>
      <c r="E40" t="s">
        <v>10</v>
      </c>
      <c r="F40" t="s">
        <v>11</v>
      </c>
      <c r="G40" s="1"/>
      <c r="H40" t="str">
        <f>"3700920140257"</f>
        <v>3700920140257</v>
      </c>
      <c r="J40" t="s">
        <v>43</v>
      </c>
    </row>
    <row r="41" spans="1:10" x14ac:dyDescent="0.25">
      <c r="A41" t="s">
        <v>8</v>
      </c>
      <c r="B41">
        <v>1403102</v>
      </c>
      <c r="C41" t="s">
        <v>44</v>
      </c>
      <c r="D41">
        <v>1</v>
      </c>
      <c r="E41" t="s">
        <v>10</v>
      </c>
      <c r="F41" t="s">
        <v>11</v>
      </c>
      <c r="G41" s="1"/>
      <c r="H41" t="str">
        <f>"3700920140264"</f>
        <v>3700920140264</v>
      </c>
      <c r="J41" t="s">
        <v>43</v>
      </c>
    </row>
    <row r="42" spans="1:10" x14ac:dyDescent="0.25">
      <c r="A42" t="s">
        <v>8</v>
      </c>
      <c r="B42">
        <v>1403103</v>
      </c>
      <c r="C42" t="s">
        <v>45</v>
      </c>
      <c r="D42">
        <v>1</v>
      </c>
      <c r="E42" t="s">
        <v>10</v>
      </c>
      <c r="F42" t="s">
        <v>11</v>
      </c>
      <c r="G42" s="1"/>
      <c r="H42" t="str">
        <f>"3700920140271"</f>
        <v>3700920140271</v>
      </c>
      <c r="J42" t="s">
        <v>43</v>
      </c>
    </row>
    <row r="43" spans="1:10" x14ac:dyDescent="0.25">
      <c r="A43" t="s">
        <v>8</v>
      </c>
      <c r="B43">
        <v>1403108</v>
      </c>
      <c r="C43" t="s">
        <v>46</v>
      </c>
      <c r="D43">
        <v>1</v>
      </c>
      <c r="E43" t="s">
        <v>10</v>
      </c>
      <c r="F43" t="s">
        <v>11</v>
      </c>
      <c r="G43" s="1"/>
      <c r="H43" t="str">
        <f>"3700920140288"</f>
        <v>3700920140288</v>
      </c>
      <c r="J43" s="1">
        <v>33</v>
      </c>
    </row>
    <row r="44" spans="1:10" x14ac:dyDescent="0.25">
      <c r="A44" t="s">
        <v>8</v>
      </c>
      <c r="B44">
        <v>1403111</v>
      </c>
      <c r="C44" t="s">
        <v>47</v>
      </c>
      <c r="D44">
        <v>1</v>
      </c>
      <c r="E44" t="s">
        <v>10</v>
      </c>
      <c r="F44" t="s">
        <v>11</v>
      </c>
      <c r="G44" s="1"/>
      <c r="H44" t="str">
        <f>"3700920140295"</f>
        <v>3700920140295</v>
      </c>
      <c r="J44" t="s">
        <v>43</v>
      </c>
    </row>
    <row r="45" spans="1:10" x14ac:dyDescent="0.25">
      <c r="A45" t="s">
        <v>8</v>
      </c>
      <c r="B45">
        <v>1403112</v>
      </c>
      <c r="C45" t="s">
        <v>48</v>
      </c>
      <c r="D45">
        <v>1</v>
      </c>
      <c r="E45" t="s">
        <v>10</v>
      </c>
      <c r="F45" t="s">
        <v>11</v>
      </c>
      <c r="G45" s="1"/>
      <c r="H45" t="str">
        <f>"3700920140301"</f>
        <v>3700920140301</v>
      </c>
      <c r="J45" t="s">
        <v>43</v>
      </c>
    </row>
    <row r="46" spans="1:10" x14ac:dyDescent="0.25">
      <c r="A46" t="s">
        <v>8</v>
      </c>
      <c r="B46">
        <v>1403113</v>
      </c>
      <c r="C46" t="s">
        <v>49</v>
      </c>
      <c r="D46">
        <v>1</v>
      </c>
      <c r="E46" t="s">
        <v>10</v>
      </c>
      <c r="F46" t="s">
        <v>11</v>
      </c>
      <c r="G46" s="1"/>
      <c r="H46" t="str">
        <f>"3700920140318"</f>
        <v>3700920140318</v>
      </c>
      <c r="J46" t="s">
        <v>43</v>
      </c>
    </row>
    <row r="47" spans="1:10" x14ac:dyDescent="0.25">
      <c r="A47" t="s">
        <v>8</v>
      </c>
      <c r="B47">
        <v>1403121</v>
      </c>
      <c r="C47" t="s">
        <v>50</v>
      </c>
      <c r="D47">
        <v>1</v>
      </c>
      <c r="E47" t="s">
        <v>10</v>
      </c>
      <c r="F47" t="s">
        <v>11</v>
      </c>
      <c r="G47" s="1"/>
      <c r="H47" t="str">
        <f>"3700920140325"</f>
        <v>3700920140325</v>
      </c>
      <c r="J47" t="s">
        <v>43</v>
      </c>
    </row>
    <row r="48" spans="1:10" x14ac:dyDescent="0.25">
      <c r="A48" t="s">
        <v>8</v>
      </c>
      <c r="B48">
        <v>1403122</v>
      </c>
      <c r="C48" t="s">
        <v>51</v>
      </c>
      <c r="D48">
        <v>1</v>
      </c>
      <c r="E48" t="s">
        <v>10</v>
      </c>
      <c r="F48" t="s">
        <v>11</v>
      </c>
      <c r="G48" s="1"/>
      <c r="H48" t="str">
        <f>"3700920140332"</f>
        <v>3700920140332</v>
      </c>
      <c r="J48" t="s">
        <v>43</v>
      </c>
    </row>
    <row r="49" spans="1:10" x14ac:dyDescent="0.25">
      <c r="A49" t="s">
        <v>8</v>
      </c>
      <c r="B49">
        <v>1403123</v>
      </c>
      <c r="C49" t="s">
        <v>52</v>
      </c>
      <c r="D49">
        <v>1</v>
      </c>
      <c r="E49" t="s">
        <v>10</v>
      </c>
      <c r="F49" t="s">
        <v>11</v>
      </c>
      <c r="G49" s="1"/>
      <c r="H49" t="str">
        <f>"3700920140349"</f>
        <v>3700920140349</v>
      </c>
      <c r="J49" t="s">
        <v>43</v>
      </c>
    </row>
    <row r="50" spans="1:10" x14ac:dyDescent="0.25">
      <c r="A50" t="s">
        <v>8</v>
      </c>
      <c r="B50">
        <v>1409001</v>
      </c>
      <c r="C50" t="s">
        <v>53</v>
      </c>
      <c r="D50">
        <v>1</v>
      </c>
      <c r="E50" t="s">
        <v>10</v>
      </c>
      <c r="F50" t="s">
        <v>11</v>
      </c>
      <c r="G50" s="1"/>
      <c r="H50" t="str">
        <f>"3700920140370"</f>
        <v>3700920140370</v>
      </c>
      <c r="J50" t="s">
        <v>54</v>
      </c>
    </row>
    <row r="51" spans="1:10" x14ac:dyDescent="0.25">
      <c r="A51" t="s">
        <v>8</v>
      </c>
      <c r="B51">
        <v>1409002</v>
      </c>
      <c r="C51" t="s">
        <v>55</v>
      </c>
      <c r="D51">
        <v>1</v>
      </c>
      <c r="E51" t="s">
        <v>10</v>
      </c>
      <c r="F51" t="s">
        <v>11</v>
      </c>
      <c r="G51" s="1"/>
      <c r="H51" t="str">
        <f>"3700920140387"</f>
        <v>3700920140387</v>
      </c>
      <c r="J51" t="s">
        <v>56</v>
      </c>
    </row>
    <row r="52" spans="1:10" x14ac:dyDescent="0.25">
      <c r="A52" t="s">
        <v>8</v>
      </c>
      <c r="B52">
        <v>1409301</v>
      </c>
      <c r="C52" t="s">
        <v>57</v>
      </c>
      <c r="D52">
        <v>1</v>
      </c>
      <c r="E52" t="s">
        <v>10</v>
      </c>
      <c r="F52" t="s">
        <v>11</v>
      </c>
      <c r="G52" s="1"/>
      <c r="H52" t="str">
        <f>"3700920145665"</f>
        <v>3700920145665</v>
      </c>
      <c r="J52" t="s">
        <v>58</v>
      </c>
    </row>
    <row r="53" spans="1:10" x14ac:dyDescent="0.25">
      <c r="A53" t="s">
        <v>8</v>
      </c>
      <c r="B53">
        <v>1409303</v>
      </c>
      <c r="C53" t="s">
        <v>59</v>
      </c>
      <c r="D53">
        <v>1</v>
      </c>
      <c r="E53" t="s">
        <v>10</v>
      </c>
      <c r="F53" t="s">
        <v>11</v>
      </c>
      <c r="G53" s="1"/>
      <c r="H53" t="str">
        <f>"3700920145672"</f>
        <v>3700920145672</v>
      </c>
      <c r="J53" t="s">
        <v>58</v>
      </c>
    </row>
    <row r="54" spans="1:10" x14ac:dyDescent="0.25">
      <c r="A54" t="s">
        <v>8</v>
      </c>
      <c r="B54">
        <v>1411001</v>
      </c>
      <c r="C54" t="s">
        <v>60</v>
      </c>
      <c r="D54">
        <v>1</v>
      </c>
      <c r="E54" t="s">
        <v>10</v>
      </c>
      <c r="F54" t="s">
        <v>11</v>
      </c>
      <c r="G54" s="1"/>
      <c r="H54" t="str">
        <f>"3700920144118"</f>
        <v>3700920144118</v>
      </c>
      <c r="I54" s="1"/>
      <c r="J54" t="s">
        <v>61</v>
      </c>
    </row>
    <row r="55" spans="1:10" x14ac:dyDescent="0.25">
      <c r="A55" t="s">
        <v>8</v>
      </c>
      <c r="B55">
        <v>1411002</v>
      </c>
      <c r="C55" t="s">
        <v>62</v>
      </c>
      <c r="D55">
        <v>1</v>
      </c>
      <c r="E55" t="s">
        <v>10</v>
      </c>
      <c r="F55" t="s">
        <v>11</v>
      </c>
      <c r="G55" s="1"/>
      <c r="H55" t="str">
        <f>"3700920144125"</f>
        <v>3700920144125</v>
      </c>
      <c r="I55" s="1"/>
      <c r="J55" t="s">
        <v>61</v>
      </c>
    </row>
    <row r="56" spans="1:10" x14ac:dyDescent="0.25">
      <c r="A56" t="s">
        <v>8</v>
      </c>
      <c r="B56">
        <v>1411005</v>
      </c>
      <c r="C56" t="s">
        <v>63</v>
      </c>
      <c r="D56">
        <v>1</v>
      </c>
      <c r="E56" t="s">
        <v>10</v>
      </c>
      <c r="F56" t="s">
        <v>11</v>
      </c>
      <c r="G56" s="1"/>
      <c r="H56" t="str">
        <f>"3700920115743"</f>
        <v>3700920115743</v>
      </c>
      <c r="I56" s="1"/>
      <c r="J56" t="s">
        <v>61</v>
      </c>
    </row>
    <row r="57" spans="1:10" x14ac:dyDescent="0.25">
      <c r="A57" t="s">
        <v>8</v>
      </c>
      <c r="B57">
        <v>1411006</v>
      </c>
      <c r="C57" t="s">
        <v>64</v>
      </c>
      <c r="D57">
        <v>1</v>
      </c>
      <c r="E57" t="s">
        <v>10</v>
      </c>
      <c r="F57" t="s">
        <v>11</v>
      </c>
      <c r="G57" s="1"/>
      <c r="H57" t="str">
        <f>"3700920144132"</f>
        <v>3700920144132</v>
      </c>
      <c r="I57" s="1"/>
      <c r="J57" t="s">
        <v>61</v>
      </c>
    </row>
    <row r="58" spans="1:10" x14ac:dyDescent="0.25">
      <c r="A58" t="s">
        <v>8</v>
      </c>
      <c r="B58">
        <v>1411007</v>
      </c>
      <c r="C58" t="s">
        <v>65</v>
      </c>
      <c r="D58">
        <v>1</v>
      </c>
      <c r="E58" t="s">
        <v>10</v>
      </c>
      <c r="F58" t="s">
        <v>11</v>
      </c>
      <c r="G58" s="1"/>
      <c r="H58" t="str">
        <f>"3700920144149"</f>
        <v>3700920144149</v>
      </c>
      <c r="I58" s="1"/>
      <c r="J58" t="s">
        <v>61</v>
      </c>
    </row>
    <row r="59" spans="1:10" x14ac:dyDescent="0.25">
      <c r="A59" t="s">
        <v>8</v>
      </c>
      <c r="B59">
        <v>1411011</v>
      </c>
      <c r="C59" t="s">
        <v>60</v>
      </c>
      <c r="D59">
        <v>1</v>
      </c>
      <c r="E59" t="s">
        <v>10</v>
      </c>
      <c r="F59" t="s">
        <v>11</v>
      </c>
      <c r="G59" s="1"/>
      <c r="H59" t="str">
        <f>"3700920116771"</f>
        <v>3700920116771</v>
      </c>
      <c r="J59" t="s">
        <v>66</v>
      </c>
    </row>
    <row r="60" spans="1:10" x14ac:dyDescent="0.25">
      <c r="A60" t="s">
        <v>8</v>
      </c>
      <c r="B60">
        <v>1411012</v>
      </c>
      <c r="C60" t="s">
        <v>62</v>
      </c>
      <c r="D60">
        <v>1</v>
      </c>
      <c r="E60" t="s">
        <v>10</v>
      </c>
      <c r="F60" t="s">
        <v>11</v>
      </c>
      <c r="G60" s="1"/>
      <c r="H60" t="str">
        <f>"3700920145689"</f>
        <v>3700920145689</v>
      </c>
      <c r="J60" t="s">
        <v>66</v>
      </c>
    </row>
    <row r="61" spans="1:10" x14ac:dyDescent="0.25">
      <c r="A61" t="s">
        <v>8</v>
      </c>
      <c r="B61">
        <v>1411091</v>
      </c>
      <c r="C61" t="s">
        <v>60</v>
      </c>
      <c r="D61">
        <v>1</v>
      </c>
      <c r="E61" t="s">
        <v>10</v>
      </c>
      <c r="F61" t="s">
        <v>11</v>
      </c>
      <c r="G61" s="1"/>
      <c r="H61" t="str">
        <f>"3700920115835"</f>
        <v>3700920115835</v>
      </c>
      <c r="I61" s="1"/>
      <c r="J61" t="s">
        <v>61</v>
      </c>
    </row>
    <row r="62" spans="1:10" x14ac:dyDescent="0.25">
      <c r="A62" t="s">
        <v>8</v>
      </c>
      <c r="B62">
        <v>1411092</v>
      </c>
      <c r="C62" t="s">
        <v>62</v>
      </c>
      <c r="D62">
        <v>1</v>
      </c>
      <c r="E62" t="s">
        <v>10</v>
      </c>
      <c r="F62" t="s">
        <v>11</v>
      </c>
      <c r="G62" s="1"/>
      <c r="H62" t="str">
        <f>"3700920115828"</f>
        <v>3700920115828</v>
      </c>
      <c r="I62" s="1"/>
      <c r="J62" t="s">
        <v>61</v>
      </c>
    </row>
    <row r="63" spans="1:10" x14ac:dyDescent="0.25">
      <c r="A63" t="s">
        <v>8</v>
      </c>
      <c r="B63">
        <v>1411095</v>
      </c>
      <c r="C63" t="s">
        <v>63</v>
      </c>
      <c r="D63">
        <v>1</v>
      </c>
      <c r="E63" t="s">
        <v>10</v>
      </c>
      <c r="F63" t="s">
        <v>11</v>
      </c>
      <c r="G63" s="1"/>
      <c r="H63" t="str">
        <f>"3700920115798"</f>
        <v>3700920115798</v>
      </c>
      <c r="I63" s="1"/>
      <c r="J63" t="s">
        <v>61</v>
      </c>
    </row>
    <row r="64" spans="1:10" x14ac:dyDescent="0.25">
      <c r="A64" t="s">
        <v>8</v>
      </c>
      <c r="B64">
        <v>1411096</v>
      </c>
      <c r="C64" t="s">
        <v>64</v>
      </c>
      <c r="D64">
        <v>1</v>
      </c>
      <c r="E64" t="s">
        <v>10</v>
      </c>
      <c r="F64" t="s">
        <v>11</v>
      </c>
      <c r="G64" s="1"/>
      <c r="H64" t="str">
        <f>"3700920115811"</f>
        <v>3700920115811</v>
      </c>
      <c r="I64" s="1"/>
      <c r="J64" t="s">
        <v>61</v>
      </c>
    </row>
    <row r="65" spans="1:10" x14ac:dyDescent="0.25">
      <c r="A65" t="s">
        <v>8</v>
      </c>
      <c r="B65">
        <v>1411097</v>
      </c>
      <c r="C65" t="s">
        <v>65</v>
      </c>
      <c r="D65">
        <v>1</v>
      </c>
      <c r="E65" t="s">
        <v>10</v>
      </c>
      <c r="F65" t="s">
        <v>11</v>
      </c>
      <c r="G65" s="1"/>
      <c r="H65" t="str">
        <f>"3700920115804"</f>
        <v>3700920115804</v>
      </c>
      <c r="I65" s="1"/>
      <c r="J65" t="s">
        <v>61</v>
      </c>
    </row>
    <row r="66" spans="1:10" x14ac:dyDescent="0.25">
      <c r="A66" t="s">
        <v>8</v>
      </c>
      <c r="B66">
        <v>1411121</v>
      </c>
      <c r="C66" t="s">
        <v>67</v>
      </c>
      <c r="D66">
        <v>1</v>
      </c>
      <c r="E66" t="s">
        <v>10</v>
      </c>
      <c r="F66" t="s">
        <v>11</v>
      </c>
      <c r="G66" s="1"/>
      <c r="H66" t="str">
        <f>"3700920141049"</f>
        <v>3700920141049</v>
      </c>
      <c r="J66" s="1">
        <v>9</v>
      </c>
    </row>
    <row r="67" spans="1:10" x14ac:dyDescent="0.25">
      <c r="A67" t="s">
        <v>8</v>
      </c>
      <c r="B67">
        <v>1411124</v>
      </c>
      <c r="C67" t="s">
        <v>68</v>
      </c>
      <c r="D67">
        <v>1</v>
      </c>
      <c r="E67" t="s">
        <v>10</v>
      </c>
      <c r="F67" t="s">
        <v>11</v>
      </c>
      <c r="G67" s="1"/>
      <c r="H67" t="str">
        <f>"3700920141056"</f>
        <v>3700920141056</v>
      </c>
      <c r="J67" s="1">
        <v>9</v>
      </c>
    </row>
    <row r="68" spans="1:10" x14ac:dyDescent="0.25">
      <c r="A68" t="s">
        <v>8</v>
      </c>
      <c r="B68">
        <v>1411141</v>
      </c>
      <c r="C68" t="s">
        <v>67</v>
      </c>
      <c r="D68">
        <v>1</v>
      </c>
      <c r="E68" t="s">
        <v>10</v>
      </c>
      <c r="F68" t="s">
        <v>11</v>
      </c>
      <c r="G68" s="1"/>
      <c r="H68" t="str">
        <f>"3700920141063"</f>
        <v>3700920141063</v>
      </c>
      <c r="J68" s="1">
        <v>9</v>
      </c>
    </row>
    <row r="69" spans="1:10" x14ac:dyDescent="0.25">
      <c r="A69" t="s">
        <v>8</v>
      </c>
      <c r="B69">
        <v>1411144</v>
      </c>
      <c r="C69" t="s">
        <v>68</v>
      </c>
      <c r="D69">
        <v>1</v>
      </c>
      <c r="E69" t="s">
        <v>10</v>
      </c>
      <c r="F69" t="s">
        <v>11</v>
      </c>
      <c r="G69" s="1"/>
      <c r="H69" t="str">
        <f>"3700920141070"</f>
        <v>3700920141070</v>
      </c>
      <c r="J69" s="1">
        <v>9</v>
      </c>
    </row>
    <row r="70" spans="1:10" x14ac:dyDescent="0.25">
      <c r="A70" t="s">
        <v>8</v>
      </c>
      <c r="B70">
        <v>1411151</v>
      </c>
      <c r="C70" t="s">
        <v>67</v>
      </c>
      <c r="D70">
        <v>1</v>
      </c>
      <c r="E70" t="s">
        <v>10</v>
      </c>
      <c r="F70" t="s">
        <v>11</v>
      </c>
      <c r="G70" s="1"/>
      <c r="H70" t="str">
        <f>"3700920141087"</f>
        <v>3700920141087</v>
      </c>
      <c r="J70" s="1">
        <v>9</v>
      </c>
    </row>
    <row r="71" spans="1:10" x14ac:dyDescent="0.25">
      <c r="A71" t="s">
        <v>8</v>
      </c>
      <c r="B71">
        <v>1411154</v>
      </c>
      <c r="C71" t="s">
        <v>68</v>
      </c>
      <c r="D71">
        <v>1</v>
      </c>
      <c r="E71" t="s">
        <v>10</v>
      </c>
      <c r="F71" t="s">
        <v>11</v>
      </c>
      <c r="G71" s="1"/>
      <c r="H71" t="str">
        <f>"3700920141094"</f>
        <v>3700920141094</v>
      </c>
      <c r="J71" s="1">
        <v>9</v>
      </c>
    </row>
    <row r="72" spans="1:10" x14ac:dyDescent="0.25">
      <c r="A72" t="s">
        <v>8</v>
      </c>
      <c r="B72">
        <v>1411301</v>
      </c>
      <c r="C72" t="s">
        <v>60</v>
      </c>
      <c r="D72">
        <v>1</v>
      </c>
      <c r="E72" t="s">
        <v>10</v>
      </c>
      <c r="F72" t="s">
        <v>11</v>
      </c>
      <c r="G72" s="1"/>
      <c r="H72" t="str">
        <f>"3700920145696"</f>
        <v>3700920145696</v>
      </c>
      <c r="I72" s="1"/>
      <c r="J72" t="s">
        <v>61</v>
      </c>
    </row>
    <row r="73" spans="1:10" x14ac:dyDescent="0.25">
      <c r="A73" t="s">
        <v>8</v>
      </c>
      <c r="B73">
        <v>1411302</v>
      </c>
      <c r="C73" t="s">
        <v>62</v>
      </c>
      <c r="D73">
        <v>1</v>
      </c>
      <c r="E73" t="s">
        <v>10</v>
      </c>
      <c r="F73" t="s">
        <v>11</v>
      </c>
      <c r="G73" s="1"/>
      <c r="H73" t="str">
        <f>"3700920145702"</f>
        <v>3700920145702</v>
      </c>
      <c r="I73" s="1"/>
      <c r="J73" t="s">
        <v>61</v>
      </c>
    </row>
    <row r="74" spans="1:10" x14ac:dyDescent="0.25">
      <c r="A74" t="s">
        <v>8</v>
      </c>
      <c r="B74">
        <v>1411305</v>
      </c>
      <c r="C74" t="s">
        <v>63</v>
      </c>
      <c r="D74">
        <v>1</v>
      </c>
      <c r="E74" t="s">
        <v>10</v>
      </c>
      <c r="F74" t="s">
        <v>11</v>
      </c>
      <c r="G74" s="1"/>
      <c r="H74" t="str">
        <f>"3700920145719"</f>
        <v>3700920145719</v>
      </c>
      <c r="I74" s="1"/>
      <c r="J74" t="s">
        <v>61</v>
      </c>
    </row>
    <row r="75" spans="1:10" x14ac:dyDescent="0.25">
      <c r="A75" t="s">
        <v>8</v>
      </c>
      <c r="B75">
        <v>1411306</v>
      </c>
      <c r="C75" t="s">
        <v>64</v>
      </c>
      <c r="D75">
        <v>1</v>
      </c>
      <c r="E75" t="s">
        <v>10</v>
      </c>
      <c r="F75" t="s">
        <v>11</v>
      </c>
      <c r="G75" s="1"/>
      <c r="H75" t="str">
        <f>"3700920145726"</f>
        <v>3700920145726</v>
      </c>
      <c r="I75" s="1"/>
      <c r="J75" t="s">
        <v>61</v>
      </c>
    </row>
    <row r="76" spans="1:10" x14ac:dyDescent="0.25">
      <c r="A76" t="s">
        <v>8</v>
      </c>
      <c r="B76">
        <v>1411307</v>
      </c>
      <c r="C76" t="s">
        <v>65</v>
      </c>
      <c r="D76">
        <v>1</v>
      </c>
      <c r="E76" t="s">
        <v>10</v>
      </c>
      <c r="F76" t="s">
        <v>11</v>
      </c>
      <c r="G76" s="1"/>
      <c r="H76" t="str">
        <f>"3700920145733"</f>
        <v>3700920145733</v>
      </c>
      <c r="I76" s="1"/>
      <c r="J76" t="s">
        <v>61</v>
      </c>
    </row>
    <row r="77" spans="1:10" x14ac:dyDescent="0.25">
      <c r="A77" t="s">
        <v>8</v>
      </c>
      <c r="B77">
        <v>1411501</v>
      </c>
      <c r="C77" t="s">
        <v>60</v>
      </c>
      <c r="D77">
        <v>1</v>
      </c>
      <c r="E77" t="s">
        <v>10</v>
      </c>
      <c r="F77" t="s">
        <v>11</v>
      </c>
      <c r="G77" s="1"/>
      <c r="H77" t="str">
        <f>"3700920144156"</f>
        <v>3700920144156</v>
      </c>
      <c r="I77" s="1"/>
      <c r="J77" t="s">
        <v>61</v>
      </c>
    </row>
    <row r="78" spans="1:10" x14ac:dyDescent="0.25">
      <c r="A78" t="s">
        <v>8</v>
      </c>
      <c r="B78">
        <v>1411502</v>
      </c>
      <c r="C78" t="s">
        <v>62</v>
      </c>
      <c r="D78">
        <v>1</v>
      </c>
      <c r="E78" t="s">
        <v>10</v>
      </c>
      <c r="F78" t="s">
        <v>11</v>
      </c>
      <c r="G78" s="1"/>
      <c r="H78" t="str">
        <f>"3700920144163"</f>
        <v>3700920144163</v>
      </c>
      <c r="I78" s="1"/>
      <c r="J78" t="s">
        <v>61</v>
      </c>
    </row>
    <row r="79" spans="1:10" x14ac:dyDescent="0.25">
      <c r="A79" t="s">
        <v>8</v>
      </c>
      <c r="B79">
        <v>1411505</v>
      </c>
      <c r="C79" t="s">
        <v>63</v>
      </c>
      <c r="D79">
        <v>1</v>
      </c>
      <c r="E79" t="s">
        <v>10</v>
      </c>
      <c r="F79" t="s">
        <v>11</v>
      </c>
      <c r="G79" s="1"/>
      <c r="H79" t="str">
        <f>"3700920115750"</f>
        <v>3700920115750</v>
      </c>
      <c r="I79" s="1"/>
      <c r="J79" t="s">
        <v>61</v>
      </c>
    </row>
    <row r="80" spans="1:10" x14ac:dyDescent="0.25">
      <c r="A80" t="s">
        <v>8</v>
      </c>
      <c r="B80">
        <v>1411506</v>
      </c>
      <c r="C80" t="s">
        <v>64</v>
      </c>
      <c r="D80">
        <v>1</v>
      </c>
      <c r="E80" t="s">
        <v>10</v>
      </c>
      <c r="F80" t="s">
        <v>11</v>
      </c>
      <c r="G80" s="1"/>
      <c r="H80" t="str">
        <f>"3700920144170"</f>
        <v>3700920144170</v>
      </c>
      <c r="I80" s="1"/>
      <c r="J80" t="s">
        <v>61</v>
      </c>
    </row>
    <row r="81" spans="1:10" x14ac:dyDescent="0.25">
      <c r="A81" t="s">
        <v>8</v>
      </c>
      <c r="B81">
        <v>1411507</v>
      </c>
      <c r="C81" t="s">
        <v>65</v>
      </c>
      <c r="D81">
        <v>1</v>
      </c>
      <c r="E81" t="s">
        <v>10</v>
      </c>
      <c r="F81" t="s">
        <v>11</v>
      </c>
      <c r="G81" s="1"/>
      <c r="H81" t="str">
        <f>"3700920144187"</f>
        <v>3700920144187</v>
      </c>
      <c r="I81" s="1"/>
      <c r="J81" t="s">
        <v>61</v>
      </c>
    </row>
    <row r="82" spans="1:10" x14ac:dyDescent="0.25">
      <c r="A82" t="s">
        <v>8</v>
      </c>
      <c r="B82">
        <v>1411521</v>
      </c>
      <c r="C82" t="s">
        <v>60</v>
      </c>
      <c r="D82">
        <v>1</v>
      </c>
      <c r="E82" t="s">
        <v>10</v>
      </c>
      <c r="F82" t="s">
        <v>11</v>
      </c>
      <c r="G82" s="1"/>
      <c r="H82" t="str">
        <f>"3700920116085"</f>
        <v>3700920116085</v>
      </c>
      <c r="I82" s="1"/>
      <c r="J82" t="s">
        <v>61</v>
      </c>
    </row>
    <row r="83" spans="1:10" x14ac:dyDescent="0.25">
      <c r="A83" t="s">
        <v>8</v>
      </c>
      <c r="B83">
        <v>1411522</v>
      </c>
      <c r="C83" t="s">
        <v>62</v>
      </c>
      <c r="D83">
        <v>1</v>
      </c>
      <c r="E83" t="s">
        <v>10</v>
      </c>
      <c r="F83" t="s">
        <v>11</v>
      </c>
      <c r="G83" s="1"/>
      <c r="H83" t="str">
        <f>"3700920116092"</f>
        <v>3700920116092</v>
      </c>
      <c r="I83" s="1"/>
      <c r="J83" t="s">
        <v>61</v>
      </c>
    </row>
    <row r="84" spans="1:10" x14ac:dyDescent="0.25">
      <c r="A84" t="s">
        <v>8</v>
      </c>
      <c r="B84">
        <v>1411526</v>
      </c>
      <c r="C84" t="s">
        <v>64</v>
      </c>
      <c r="D84">
        <v>1</v>
      </c>
      <c r="E84" t="s">
        <v>10</v>
      </c>
      <c r="F84" t="s">
        <v>11</v>
      </c>
      <c r="G84" s="1"/>
      <c r="H84" t="str">
        <f>"3700920116108"</f>
        <v>3700920116108</v>
      </c>
      <c r="I84" s="1"/>
      <c r="J84" t="s">
        <v>61</v>
      </c>
    </row>
    <row r="85" spans="1:10" x14ac:dyDescent="0.25">
      <c r="A85" t="s">
        <v>8</v>
      </c>
      <c r="B85">
        <v>1411527</v>
      </c>
      <c r="C85" t="s">
        <v>65</v>
      </c>
      <c r="D85">
        <v>1</v>
      </c>
      <c r="E85" t="s">
        <v>10</v>
      </c>
      <c r="F85" t="s">
        <v>11</v>
      </c>
      <c r="G85" s="1"/>
      <c r="H85" t="str">
        <f>"3700920116115"</f>
        <v>3700920116115</v>
      </c>
      <c r="I85" s="1"/>
      <c r="J85" t="s">
        <v>61</v>
      </c>
    </row>
    <row r="86" spans="1:10" x14ac:dyDescent="0.25">
      <c r="A86" t="s">
        <v>8</v>
      </c>
      <c r="B86">
        <v>1411571</v>
      </c>
      <c r="C86" t="s">
        <v>60</v>
      </c>
      <c r="D86">
        <v>1</v>
      </c>
      <c r="E86" t="s">
        <v>10</v>
      </c>
      <c r="F86" t="s">
        <v>11</v>
      </c>
      <c r="G86" s="1"/>
      <c r="H86" t="str">
        <f>"3700920145740"</f>
        <v>3700920145740</v>
      </c>
      <c r="I86" s="1"/>
      <c r="J86" t="s">
        <v>61</v>
      </c>
    </row>
    <row r="87" spans="1:10" x14ac:dyDescent="0.25">
      <c r="A87" t="s">
        <v>8</v>
      </c>
      <c r="B87">
        <v>1411572</v>
      </c>
      <c r="C87" t="s">
        <v>62</v>
      </c>
      <c r="D87">
        <v>1</v>
      </c>
      <c r="E87" t="s">
        <v>10</v>
      </c>
      <c r="F87" t="s">
        <v>11</v>
      </c>
      <c r="G87" s="1"/>
      <c r="H87" t="str">
        <f>"3700920145757"</f>
        <v>3700920145757</v>
      </c>
      <c r="I87" s="1"/>
      <c r="J87" t="s">
        <v>61</v>
      </c>
    </row>
    <row r="88" spans="1:10" x14ac:dyDescent="0.25">
      <c r="A88" t="s">
        <v>8</v>
      </c>
      <c r="B88">
        <v>1411575</v>
      </c>
      <c r="C88" t="s">
        <v>63</v>
      </c>
      <c r="D88">
        <v>1</v>
      </c>
      <c r="E88" t="s">
        <v>10</v>
      </c>
      <c r="F88" t="s">
        <v>11</v>
      </c>
      <c r="G88" s="1"/>
      <c r="H88" t="str">
        <f>"3700920145764"</f>
        <v>3700920145764</v>
      </c>
      <c r="I88" s="1"/>
      <c r="J88" t="s">
        <v>61</v>
      </c>
    </row>
    <row r="89" spans="1:10" x14ac:dyDescent="0.25">
      <c r="A89" t="s">
        <v>8</v>
      </c>
      <c r="B89">
        <v>1411576</v>
      </c>
      <c r="C89" t="s">
        <v>64</v>
      </c>
      <c r="D89">
        <v>1</v>
      </c>
      <c r="E89" t="s">
        <v>10</v>
      </c>
      <c r="F89" t="s">
        <v>11</v>
      </c>
      <c r="G89" s="1"/>
      <c r="H89" t="str">
        <f>"3700920145771"</f>
        <v>3700920145771</v>
      </c>
      <c r="I89" s="1"/>
      <c r="J89" t="s">
        <v>61</v>
      </c>
    </row>
    <row r="90" spans="1:10" x14ac:dyDescent="0.25">
      <c r="A90" t="s">
        <v>8</v>
      </c>
      <c r="B90">
        <v>1411577</v>
      </c>
      <c r="C90" t="s">
        <v>65</v>
      </c>
      <c r="D90">
        <v>1</v>
      </c>
      <c r="E90" t="s">
        <v>10</v>
      </c>
      <c r="F90" t="s">
        <v>11</v>
      </c>
      <c r="G90" s="1"/>
      <c r="H90" t="str">
        <f>"3700920145788"</f>
        <v>3700920145788</v>
      </c>
      <c r="I90" s="1"/>
      <c r="J90" t="s">
        <v>61</v>
      </c>
    </row>
    <row r="91" spans="1:10" x14ac:dyDescent="0.25">
      <c r="A91" t="s">
        <v>8</v>
      </c>
      <c r="B91">
        <v>1411581</v>
      </c>
      <c r="C91" t="s">
        <v>60</v>
      </c>
      <c r="D91">
        <v>1</v>
      </c>
      <c r="E91" t="s">
        <v>10</v>
      </c>
      <c r="F91" t="s">
        <v>11</v>
      </c>
      <c r="G91" s="1"/>
      <c r="H91" t="str">
        <f>"3700920145795"</f>
        <v>3700920145795</v>
      </c>
      <c r="I91" s="1"/>
      <c r="J91" t="s">
        <v>61</v>
      </c>
    </row>
    <row r="92" spans="1:10" x14ac:dyDescent="0.25">
      <c r="A92" t="s">
        <v>8</v>
      </c>
      <c r="B92">
        <v>1411582</v>
      </c>
      <c r="C92" t="s">
        <v>62</v>
      </c>
      <c r="D92">
        <v>1</v>
      </c>
      <c r="E92" t="s">
        <v>10</v>
      </c>
      <c r="F92" t="s">
        <v>11</v>
      </c>
      <c r="G92" s="1"/>
      <c r="H92" t="str">
        <f>"3700920145801"</f>
        <v>3700920145801</v>
      </c>
      <c r="I92" s="1"/>
      <c r="J92" t="s">
        <v>61</v>
      </c>
    </row>
    <row r="93" spans="1:10" x14ac:dyDescent="0.25">
      <c r="A93" t="s">
        <v>8</v>
      </c>
      <c r="B93">
        <v>1411586</v>
      </c>
      <c r="C93" t="s">
        <v>64</v>
      </c>
      <c r="D93">
        <v>1</v>
      </c>
      <c r="E93" t="s">
        <v>10</v>
      </c>
      <c r="F93" t="s">
        <v>11</v>
      </c>
      <c r="G93" s="1"/>
      <c r="H93" t="str">
        <f>"3700920145818"</f>
        <v>3700920145818</v>
      </c>
      <c r="I93" s="1"/>
      <c r="J93" t="s">
        <v>61</v>
      </c>
    </row>
    <row r="94" spans="1:10" x14ac:dyDescent="0.25">
      <c r="A94" t="s">
        <v>8</v>
      </c>
      <c r="B94">
        <v>1411587</v>
      </c>
      <c r="C94" t="s">
        <v>65</v>
      </c>
      <c r="D94">
        <v>1</v>
      </c>
      <c r="E94" t="s">
        <v>10</v>
      </c>
      <c r="F94" t="s">
        <v>11</v>
      </c>
      <c r="G94" s="1"/>
      <c r="H94" t="str">
        <f>"3700920145825"</f>
        <v>3700920145825</v>
      </c>
      <c r="I94" s="1"/>
      <c r="J94" t="s">
        <v>61</v>
      </c>
    </row>
    <row r="95" spans="1:10" x14ac:dyDescent="0.25">
      <c r="A95" t="s">
        <v>8</v>
      </c>
      <c r="B95">
        <v>1418001</v>
      </c>
      <c r="C95" t="s">
        <v>69</v>
      </c>
      <c r="D95">
        <v>1</v>
      </c>
      <c r="E95" t="s">
        <v>10</v>
      </c>
      <c r="F95" t="s">
        <v>11</v>
      </c>
      <c r="G95" s="1"/>
      <c r="H95" t="str">
        <f>"3700920144194"</f>
        <v>3700920144194</v>
      </c>
      <c r="J95" t="s">
        <v>70</v>
      </c>
    </row>
    <row r="96" spans="1:10" x14ac:dyDescent="0.25">
      <c r="A96" t="s">
        <v>8</v>
      </c>
      <c r="B96">
        <v>1418031</v>
      </c>
      <c r="C96" t="s">
        <v>71</v>
      </c>
      <c r="D96">
        <v>1</v>
      </c>
      <c r="E96" t="s">
        <v>10</v>
      </c>
      <c r="F96" t="s">
        <v>11</v>
      </c>
      <c r="G96" s="1"/>
      <c r="H96" t="str">
        <f>"3700920145832"</f>
        <v>3700920145832</v>
      </c>
      <c r="I96" s="1"/>
      <c r="J96" t="s">
        <v>72</v>
      </c>
    </row>
    <row r="97" spans="1:10" x14ac:dyDescent="0.25">
      <c r="A97" t="s">
        <v>8</v>
      </c>
      <c r="B97">
        <v>1418065</v>
      </c>
      <c r="C97" t="s">
        <v>73</v>
      </c>
      <c r="D97">
        <v>1</v>
      </c>
      <c r="E97" t="s">
        <v>10</v>
      </c>
      <c r="F97" t="s">
        <v>11</v>
      </c>
      <c r="G97" s="1"/>
      <c r="H97" t="str">
        <f>"3700920145849"</f>
        <v>3700920145849</v>
      </c>
      <c r="J97" t="s">
        <v>74</v>
      </c>
    </row>
    <row r="98" spans="1:10" x14ac:dyDescent="0.25">
      <c r="A98" t="s">
        <v>8</v>
      </c>
      <c r="B98">
        <v>1418066</v>
      </c>
      <c r="C98" t="s">
        <v>75</v>
      </c>
      <c r="D98">
        <v>1</v>
      </c>
      <c r="E98" t="s">
        <v>10</v>
      </c>
      <c r="F98" t="s">
        <v>11</v>
      </c>
      <c r="G98" s="1"/>
      <c r="H98" t="str">
        <f>"3700920143128"</f>
        <v>3700920143128</v>
      </c>
      <c r="J98" t="s">
        <v>76</v>
      </c>
    </row>
    <row r="99" spans="1:10" x14ac:dyDescent="0.25">
      <c r="A99" t="s">
        <v>8</v>
      </c>
      <c r="B99">
        <v>2005001</v>
      </c>
      <c r="C99" t="s">
        <v>77</v>
      </c>
      <c r="D99">
        <v>1</v>
      </c>
      <c r="E99" t="s">
        <v>10</v>
      </c>
      <c r="F99" t="s">
        <v>11</v>
      </c>
      <c r="G99" s="1"/>
      <c r="H99" t="str">
        <f>"3700920114111"</f>
        <v>3700920114111</v>
      </c>
      <c r="J99" t="s">
        <v>78</v>
      </c>
    </row>
    <row r="100" spans="1:10" x14ac:dyDescent="0.25">
      <c r="A100" t="s">
        <v>8</v>
      </c>
      <c r="B100">
        <v>2005002</v>
      </c>
      <c r="C100" t="s">
        <v>79</v>
      </c>
      <c r="D100">
        <v>1</v>
      </c>
      <c r="E100" t="s">
        <v>10</v>
      </c>
      <c r="F100" t="s">
        <v>11</v>
      </c>
      <c r="G100" s="1"/>
      <c r="H100" t="str">
        <f>"3700920112551"</f>
        <v>3700920112551</v>
      </c>
      <c r="J100" t="s">
        <v>78</v>
      </c>
    </row>
    <row r="101" spans="1:10" x14ac:dyDescent="0.25">
      <c r="A101" t="s">
        <v>8</v>
      </c>
      <c r="B101">
        <v>2005003</v>
      </c>
      <c r="C101" t="s">
        <v>80</v>
      </c>
      <c r="D101">
        <v>1</v>
      </c>
      <c r="E101" t="s">
        <v>10</v>
      </c>
      <c r="F101" t="s">
        <v>11</v>
      </c>
      <c r="G101" s="1"/>
      <c r="H101" t="str">
        <f>"3700920114128"</f>
        <v>3700920114128</v>
      </c>
      <c r="J101" t="s">
        <v>81</v>
      </c>
    </row>
    <row r="102" spans="1:10" x14ac:dyDescent="0.25">
      <c r="A102" t="s">
        <v>8</v>
      </c>
      <c r="B102">
        <v>2005004</v>
      </c>
      <c r="C102" t="s">
        <v>82</v>
      </c>
      <c r="D102">
        <v>1</v>
      </c>
      <c r="E102" t="s">
        <v>10</v>
      </c>
      <c r="F102" t="s">
        <v>11</v>
      </c>
      <c r="G102" s="1"/>
      <c r="H102" t="str">
        <f>"3700920114135"</f>
        <v>3700920114135</v>
      </c>
      <c r="J102" t="s">
        <v>81</v>
      </c>
    </row>
    <row r="103" spans="1:10" x14ac:dyDescent="0.25">
      <c r="A103" t="s">
        <v>8</v>
      </c>
      <c r="B103">
        <v>2005101</v>
      </c>
      <c r="C103" t="s">
        <v>83</v>
      </c>
      <c r="D103">
        <v>1</v>
      </c>
      <c r="E103" t="s">
        <v>10</v>
      </c>
      <c r="F103" t="s">
        <v>11</v>
      </c>
      <c r="G103" s="1"/>
      <c r="H103" t="str">
        <f>"3700920112568"</f>
        <v>3700920112568</v>
      </c>
      <c r="J103" t="s">
        <v>84</v>
      </c>
    </row>
    <row r="104" spans="1:10" x14ac:dyDescent="0.25">
      <c r="A104" t="s">
        <v>8</v>
      </c>
      <c r="B104">
        <v>2005102</v>
      </c>
      <c r="C104" t="s">
        <v>85</v>
      </c>
      <c r="D104">
        <v>1</v>
      </c>
      <c r="E104" t="s">
        <v>10</v>
      </c>
      <c r="F104" t="s">
        <v>11</v>
      </c>
      <c r="G104" s="1"/>
      <c r="H104" t="str">
        <f>"3700920112575"</f>
        <v>3700920112575</v>
      </c>
      <c r="J104" t="s">
        <v>84</v>
      </c>
    </row>
    <row r="105" spans="1:10" x14ac:dyDescent="0.25">
      <c r="A105" t="s">
        <v>8</v>
      </c>
      <c r="B105">
        <v>2005103</v>
      </c>
      <c r="C105" t="s">
        <v>86</v>
      </c>
      <c r="D105">
        <v>1</v>
      </c>
      <c r="E105" t="s">
        <v>10</v>
      </c>
      <c r="F105" t="s">
        <v>11</v>
      </c>
      <c r="G105" s="1"/>
      <c r="H105" t="str">
        <f>"3700920112582"</f>
        <v>3700920112582</v>
      </c>
      <c r="J105" t="s">
        <v>84</v>
      </c>
    </row>
    <row r="106" spans="1:10" x14ac:dyDescent="0.25">
      <c r="A106" t="s">
        <v>8</v>
      </c>
      <c r="B106">
        <v>2005104</v>
      </c>
      <c r="C106" t="s">
        <v>87</v>
      </c>
      <c r="D106">
        <v>1</v>
      </c>
      <c r="E106" t="s">
        <v>10</v>
      </c>
      <c r="F106" t="s">
        <v>11</v>
      </c>
      <c r="G106" s="1"/>
      <c r="H106" t="str">
        <f>"3700920112599"</f>
        <v>3700920112599</v>
      </c>
      <c r="J106" t="s">
        <v>88</v>
      </c>
    </row>
    <row r="107" spans="1:10" x14ac:dyDescent="0.25">
      <c r="A107" t="s">
        <v>8</v>
      </c>
      <c r="B107">
        <v>2005105</v>
      </c>
      <c r="C107" t="s">
        <v>89</v>
      </c>
      <c r="D107">
        <v>1</v>
      </c>
      <c r="E107" t="s">
        <v>10</v>
      </c>
      <c r="F107" t="s">
        <v>11</v>
      </c>
      <c r="G107" s="1"/>
      <c r="H107" t="str">
        <f>"3700920112605"</f>
        <v>3700920112605</v>
      </c>
      <c r="J107" t="s">
        <v>88</v>
      </c>
    </row>
    <row r="108" spans="1:10" x14ac:dyDescent="0.25">
      <c r="A108" t="s">
        <v>8</v>
      </c>
      <c r="B108">
        <v>2005106</v>
      </c>
      <c r="C108" t="s">
        <v>90</v>
      </c>
      <c r="D108">
        <v>1</v>
      </c>
      <c r="E108" t="s">
        <v>10</v>
      </c>
      <c r="F108" t="s">
        <v>11</v>
      </c>
      <c r="G108" s="1"/>
      <c r="H108" t="str">
        <f>"3700920112612"</f>
        <v>3700920112612</v>
      </c>
      <c r="J108" t="s">
        <v>88</v>
      </c>
    </row>
    <row r="109" spans="1:10" x14ac:dyDescent="0.25">
      <c r="A109" t="s">
        <v>8</v>
      </c>
      <c r="B109">
        <v>2500031</v>
      </c>
      <c r="C109" t="s">
        <v>91</v>
      </c>
      <c r="D109">
        <v>1</v>
      </c>
      <c r="E109" t="s">
        <v>10</v>
      </c>
      <c r="F109" t="s">
        <v>11</v>
      </c>
      <c r="G109" s="1"/>
      <c r="H109" t="str">
        <f>"3700920109773"</f>
        <v>3700920109773</v>
      </c>
      <c r="J109" t="s">
        <v>92</v>
      </c>
    </row>
    <row r="110" spans="1:10" x14ac:dyDescent="0.25">
      <c r="A110" t="s">
        <v>8</v>
      </c>
      <c r="B110">
        <v>2500032</v>
      </c>
      <c r="C110" t="s">
        <v>93</v>
      </c>
      <c r="D110">
        <v>1</v>
      </c>
      <c r="E110" t="s">
        <v>10</v>
      </c>
      <c r="F110" t="s">
        <v>11</v>
      </c>
      <c r="G110" s="1"/>
      <c r="H110" t="str">
        <f>"3700920109193"</f>
        <v>3700920109193</v>
      </c>
      <c r="J110" t="s">
        <v>94</v>
      </c>
    </row>
    <row r="111" spans="1:10" x14ac:dyDescent="0.25">
      <c r="A111" t="s">
        <v>8</v>
      </c>
      <c r="B111">
        <v>2500035</v>
      </c>
      <c r="C111" t="s">
        <v>95</v>
      </c>
      <c r="D111">
        <v>1</v>
      </c>
      <c r="E111" t="s">
        <v>10</v>
      </c>
      <c r="F111" t="s">
        <v>11</v>
      </c>
      <c r="G111" s="1"/>
      <c r="H111" t="str">
        <f>"3700920109209"</f>
        <v>3700920109209</v>
      </c>
      <c r="J111" t="s">
        <v>96</v>
      </c>
    </row>
    <row r="112" spans="1:10" x14ac:dyDescent="0.25">
      <c r="A112" t="s">
        <v>8</v>
      </c>
      <c r="B112">
        <v>2500040</v>
      </c>
      <c r="C112" t="s">
        <v>97</v>
      </c>
      <c r="D112">
        <v>1</v>
      </c>
      <c r="E112" t="s">
        <v>10</v>
      </c>
      <c r="F112" t="s">
        <v>11</v>
      </c>
      <c r="G112" s="1"/>
      <c r="H112" t="str">
        <f>"3700920144064"</f>
        <v>3700920144064</v>
      </c>
      <c r="J112" t="s">
        <v>98</v>
      </c>
    </row>
    <row r="113" spans="1:10" x14ac:dyDescent="0.25">
      <c r="A113" t="s">
        <v>8</v>
      </c>
      <c r="B113">
        <v>2500045</v>
      </c>
      <c r="C113" t="s">
        <v>99</v>
      </c>
      <c r="D113">
        <v>1</v>
      </c>
      <c r="E113" t="s">
        <v>10</v>
      </c>
      <c r="F113" t="s">
        <v>11</v>
      </c>
      <c r="G113" s="1"/>
      <c r="H113" t="str">
        <f>"3700920144071"</f>
        <v>3700920144071</v>
      </c>
      <c r="J113" s="1">
        <v>444</v>
      </c>
    </row>
    <row r="114" spans="1:10" x14ac:dyDescent="0.25">
      <c r="A114" t="s">
        <v>8</v>
      </c>
      <c r="B114">
        <v>2501000</v>
      </c>
      <c r="C114" t="s">
        <v>100</v>
      </c>
      <c r="D114">
        <v>1</v>
      </c>
      <c r="E114" t="s">
        <v>10</v>
      </c>
      <c r="F114" t="s">
        <v>11</v>
      </c>
      <c r="G114" s="1"/>
      <c r="H114" t="str">
        <f>"3700920109223"</f>
        <v>3700920109223</v>
      </c>
      <c r="J114" t="s">
        <v>101</v>
      </c>
    </row>
    <row r="115" spans="1:10" x14ac:dyDescent="0.25">
      <c r="A115" t="s">
        <v>8</v>
      </c>
      <c r="B115">
        <v>2501001</v>
      </c>
      <c r="C115" t="s">
        <v>102</v>
      </c>
      <c r="D115">
        <v>1</v>
      </c>
      <c r="E115" t="s">
        <v>10</v>
      </c>
      <c r="F115" t="s">
        <v>11</v>
      </c>
      <c r="G115" s="1"/>
      <c r="H115" t="str">
        <f>"3700920109230"</f>
        <v>3700920109230</v>
      </c>
      <c r="J115" t="s">
        <v>103</v>
      </c>
    </row>
    <row r="116" spans="1:10" x14ac:dyDescent="0.25">
      <c r="A116" t="s">
        <v>8</v>
      </c>
      <c r="B116">
        <v>2501002</v>
      </c>
      <c r="C116" t="s">
        <v>104</v>
      </c>
      <c r="D116">
        <v>1</v>
      </c>
      <c r="E116" t="s">
        <v>10</v>
      </c>
      <c r="F116" t="s">
        <v>11</v>
      </c>
      <c r="G116" s="1"/>
      <c r="H116" t="str">
        <f>"3700920109827"</f>
        <v>3700920109827</v>
      </c>
      <c r="J116" s="1">
        <v>72</v>
      </c>
    </row>
    <row r="117" spans="1:10" x14ac:dyDescent="0.25">
      <c r="A117" t="s">
        <v>8</v>
      </c>
      <c r="B117">
        <v>2501003</v>
      </c>
      <c r="C117" t="s">
        <v>105</v>
      </c>
      <c r="D117">
        <v>1</v>
      </c>
      <c r="E117" t="s">
        <v>10</v>
      </c>
      <c r="F117" t="s">
        <v>11</v>
      </c>
      <c r="G117" s="1"/>
      <c r="H117" t="str">
        <f>"3700920109254"</f>
        <v>3700920109254</v>
      </c>
      <c r="J117" t="s">
        <v>101</v>
      </c>
    </row>
    <row r="118" spans="1:10" x14ac:dyDescent="0.25">
      <c r="A118" t="s">
        <v>8</v>
      </c>
      <c r="B118">
        <v>2501004</v>
      </c>
      <c r="C118" t="s">
        <v>104</v>
      </c>
      <c r="D118">
        <v>1</v>
      </c>
      <c r="E118" t="s">
        <v>10</v>
      </c>
      <c r="F118" t="s">
        <v>11</v>
      </c>
      <c r="G118" s="1"/>
      <c r="H118" t="str">
        <f>"3700920109261"</f>
        <v>3700920109261</v>
      </c>
      <c r="J118" t="s">
        <v>30</v>
      </c>
    </row>
    <row r="119" spans="1:10" x14ac:dyDescent="0.25">
      <c r="A119" t="s">
        <v>8</v>
      </c>
      <c r="B119">
        <v>2501005</v>
      </c>
      <c r="C119" t="s">
        <v>106</v>
      </c>
      <c r="D119">
        <v>1</v>
      </c>
      <c r="E119" t="s">
        <v>10</v>
      </c>
      <c r="F119" t="s">
        <v>11</v>
      </c>
      <c r="G119" s="1"/>
      <c r="H119" t="str">
        <f>"3700920109278"</f>
        <v>3700920109278</v>
      </c>
      <c r="J119" t="s">
        <v>107</v>
      </c>
    </row>
    <row r="120" spans="1:10" x14ac:dyDescent="0.25">
      <c r="A120" t="s">
        <v>8</v>
      </c>
      <c r="B120">
        <v>2501006</v>
      </c>
      <c r="C120" t="s">
        <v>108</v>
      </c>
      <c r="D120">
        <v>1</v>
      </c>
      <c r="E120" t="s">
        <v>10</v>
      </c>
      <c r="F120" t="s">
        <v>11</v>
      </c>
      <c r="G120" s="1"/>
      <c r="H120" t="str">
        <f>"3700920109285"</f>
        <v>3700920109285</v>
      </c>
      <c r="J120" t="s">
        <v>109</v>
      </c>
    </row>
    <row r="121" spans="1:10" x14ac:dyDescent="0.25">
      <c r="A121" t="s">
        <v>8</v>
      </c>
      <c r="B121">
        <v>2501008</v>
      </c>
      <c r="C121" t="s">
        <v>110</v>
      </c>
      <c r="D121">
        <v>1</v>
      </c>
      <c r="E121" t="s">
        <v>10</v>
      </c>
      <c r="F121" t="s">
        <v>11</v>
      </c>
      <c r="G121" s="1"/>
      <c r="H121" t="str">
        <f>"3700920109308"</f>
        <v>3700920109308</v>
      </c>
      <c r="J121" t="s">
        <v>111</v>
      </c>
    </row>
    <row r="122" spans="1:10" x14ac:dyDescent="0.25">
      <c r="A122" t="s">
        <v>8</v>
      </c>
      <c r="B122">
        <v>2501009</v>
      </c>
      <c r="C122" t="s">
        <v>112</v>
      </c>
      <c r="D122">
        <v>1</v>
      </c>
      <c r="E122" t="s">
        <v>10</v>
      </c>
      <c r="F122" t="s">
        <v>11</v>
      </c>
      <c r="G122" s="1"/>
      <c r="H122" t="str">
        <f>"3700920109186"</f>
        <v>3700920109186</v>
      </c>
      <c r="J122" t="s">
        <v>114</v>
      </c>
    </row>
    <row r="123" spans="1:10" x14ac:dyDescent="0.25">
      <c r="A123" t="s">
        <v>8</v>
      </c>
      <c r="B123">
        <v>2501010</v>
      </c>
      <c r="C123" t="s">
        <v>102</v>
      </c>
      <c r="D123">
        <v>1</v>
      </c>
      <c r="E123" t="s">
        <v>10</v>
      </c>
      <c r="F123" t="s">
        <v>11</v>
      </c>
      <c r="G123" s="1"/>
      <c r="H123" t="str">
        <f>"3700920109810"</f>
        <v>3700920109810</v>
      </c>
      <c r="J123" t="s">
        <v>115</v>
      </c>
    </row>
    <row r="124" spans="1:10" x14ac:dyDescent="0.25">
      <c r="A124" t="s">
        <v>8</v>
      </c>
      <c r="B124">
        <v>2501013</v>
      </c>
      <c r="C124" t="s">
        <v>105</v>
      </c>
      <c r="D124">
        <v>1</v>
      </c>
      <c r="E124" t="s">
        <v>10</v>
      </c>
      <c r="F124" t="s">
        <v>11</v>
      </c>
      <c r="G124" s="1"/>
      <c r="H124" t="str">
        <f>"3700920109834"</f>
        <v>3700920109834</v>
      </c>
      <c r="J124" t="s">
        <v>116</v>
      </c>
    </row>
    <row r="125" spans="1:10" x14ac:dyDescent="0.25">
      <c r="A125" t="s">
        <v>8</v>
      </c>
      <c r="B125">
        <v>2501014</v>
      </c>
      <c r="C125" t="s">
        <v>105</v>
      </c>
      <c r="D125">
        <v>1</v>
      </c>
      <c r="E125" t="s">
        <v>10</v>
      </c>
      <c r="F125" t="s">
        <v>11</v>
      </c>
      <c r="G125" s="1"/>
      <c r="H125" t="str">
        <f>"3700920109841"</f>
        <v>3700920109841</v>
      </c>
      <c r="J125" t="s">
        <v>117</v>
      </c>
    </row>
    <row r="126" spans="1:10" x14ac:dyDescent="0.25">
      <c r="A126" t="s">
        <v>8</v>
      </c>
      <c r="B126">
        <v>2501015</v>
      </c>
      <c r="C126" t="s">
        <v>104</v>
      </c>
      <c r="D126">
        <v>1</v>
      </c>
      <c r="E126" t="s">
        <v>10</v>
      </c>
      <c r="F126" t="s">
        <v>11</v>
      </c>
      <c r="G126" s="1"/>
      <c r="H126" t="str">
        <f>"3700920109247"</f>
        <v>3700920109247</v>
      </c>
      <c r="J126" t="s">
        <v>118</v>
      </c>
    </row>
    <row r="127" spans="1:10" x14ac:dyDescent="0.25">
      <c r="A127" t="s">
        <v>8</v>
      </c>
      <c r="B127">
        <v>2501016</v>
      </c>
      <c r="C127" t="s">
        <v>119</v>
      </c>
      <c r="D127">
        <v>1</v>
      </c>
      <c r="E127" t="s">
        <v>10</v>
      </c>
      <c r="F127" t="s">
        <v>11</v>
      </c>
      <c r="G127" s="1"/>
      <c r="H127" t="str">
        <f>"3700920109858"</f>
        <v>3700920109858</v>
      </c>
      <c r="J127" t="s">
        <v>12</v>
      </c>
    </row>
    <row r="128" spans="1:10" x14ac:dyDescent="0.25">
      <c r="A128" t="s">
        <v>8</v>
      </c>
      <c r="B128">
        <v>2501090</v>
      </c>
      <c r="C128" t="s">
        <v>120</v>
      </c>
      <c r="D128">
        <v>1</v>
      </c>
      <c r="E128" t="s">
        <v>10</v>
      </c>
      <c r="F128" t="s">
        <v>11</v>
      </c>
      <c r="G128" s="1"/>
      <c r="H128" t="str">
        <f>"3700920144200"</f>
        <v>3700920144200</v>
      </c>
      <c r="J128" t="s">
        <v>121</v>
      </c>
    </row>
    <row r="129" spans="1:10" x14ac:dyDescent="0.25">
      <c r="A129" t="s">
        <v>8</v>
      </c>
      <c r="B129">
        <v>2501201</v>
      </c>
      <c r="C129" t="s">
        <v>102</v>
      </c>
      <c r="D129">
        <v>1</v>
      </c>
      <c r="E129" t="s">
        <v>10</v>
      </c>
      <c r="F129" t="s">
        <v>11</v>
      </c>
      <c r="G129" s="1"/>
      <c r="H129" t="str">
        <f>"3700920144217"</f>
        <v>3700920144217</v>
      </c>
      <c r="J129" t="s">
        <v>122</v>
      </c>
    </row>
    <row r="130" spans="1:10" x14ac:dyDescent="0.25">
      <c r="A130" t="s">
        <v>8</v>
      </c>
      <c r="B130">
        <v>2501202</v>
      </c>
      <c r="C130" t="s">
        <v>104</v>
      </c>
      <c r="D130">
        <v>1</v>
      </c>
      <c r="E130" t="s">
        <v>10</v>
      </c>
      <c r="F130" t="s">
        <v>11</v>
      </c>
      <c r="G130" s="1"/>
      <c r="H130" t="str">
        <f>"3700920144224"</f>
        <v>3700920144224</v>
      </c>
      <c r="J130" t="s">
        <v>123</v>
      </c>
    </row>
    <row r="131" spans="1:10" x14ac:dyDescent="0.25">
      <c r="A131" t="s">
        <v>8</v>
      </c>
      <c r="B131">
        <v>2501204</v>
      </c>
      <c r="C131" t="s">
        <v>104</v>
      </c>
      <c r="D131">
        <v>1</v>
      </c>
      <c r="E131" t="s">
        <v>10</v>
      </c>
      <c r="F131" t="s">
        <v>11</v>
      </c>
      <c r="G131" s="1"/>
      <c r="H131" t="str">
        <f>"3700920144231"</f>
        <v>3700920144231</v>
      </c>
      <c r="J131" t="s">
        <v>124</v>
      </c>
    </row>
    <row r="132" spans="1:10" x14ac:dyDescent="0.25">
      <c r="A132" t="s">
        <v>8</v>
      </c>
      <c r="B132">
        <v>2501210</v>
      </c>
      <c r="C132" t="s">
        <v>102</v>
      </c>
      <c r="D132">
        <v>1</v>
      </c>
      <c r="E132" t="s">
        <v>10</v>
      </c>
      <c r="F132" t="s">
        <v>11</v>
      </c>
      <c r="G132" s="1"/>
      <c r="H132" t="str">
        <f>"3700920144248"</f>
        <v>3700920144248</v>
      </c>
      <c r="J132" s="1">
        <v>75</v>
      </c>
    </row>
    <row r="133" spans="1:10" x14ac:dyDescent="0.25">
      <c r="A133" t="s">
        <v>8</v>
      </c>
      <c r="B133">
        <v>2501215</v>
      </c>
      <c r="C133" t="s">
        <v>104</v>
      </c>
      <c r="D133">
        <v>1</v>
      </c>
      <c r="E133" t="s">
        <v>10</v>
      </c>
      <c r="F133" t="s">
        <v>11</v>
      </c>
      <c r="G133" s="1"/>
      <c r="H133" t="str">
        <f>"3700920144255"</f>
        <v>3700920144255</v>
      </c>
      <c r="J133" t="s">
        <v>125</v>
      </c>
    </row>
    <row r="134" spans="1:10" x14ac:dyDescent="0.25">
      <c r="A134" t="s">
        <v>8</v>
      </c>
      <c r="B134">
        <v>2501301</v>
      </c>
      <c r="C134" t="s">
        <v>102</v>
      </c>
      <c r="D134">
        <v>1</v>
      </c>
      <c r="E134" t="s">
        <v>10</v>
      </c>
      <c r="F134" t="s">
        <v>11</v>
      </c>
      <c r="G134" s="1"/>
      <c r="H134" t="str">
        <f>"3700920144262"</f>
        <v>3700920144262</v>
      </c>
      <c r="J134" t="s">
        <v>122</v>
      </c>
    </row>
    <row r="135" spans="1:10" x14ac:dyDescent="0.25">
      <c r="A135" t="s">
        <v>8</v>
      </c>
      <c r="B135">
        <v>2501302</v>
      </c>
      <c r="C135" t="s">
        <v>104</v>
      </c>
      <c r="D135">
        <v>1</v>
      </c>
      <c r="E135" t="s">
        <v>10</v>
      </c>
      <c r="F135" t="s">
        <v>11</v>
      </c>
      <c r="G135" s="1"/>
      <c r="H135" t="str">
        <f>"3700920144279"</f>
        <v>3700920144279</v>
      </c>
      <c r="J135" t="s">
        <v>123</v>
      </c>
    </row>
    <row r="136" spans="1:10" x14ac:dyDescent="0.25">
      <c r="A136" t="s">
        <v>8</v>
      </c>
      <c r="B136">
        <v>2501304</v>
      </c>
      <c r="C136" t="s">
        <v>104</v>
      </c>
      <c r="D136">
        <v>1</v>
      </c>
      <c r="E136" t="s">
        <v>10</v>
      </c>
      <c r="F136" t="s">
        <v>11</v>
      </c>
      <c r="G136" s="1"/>
      <c r="H136" t="str">
        <f>"3700920144286"</f>
        <v>3700920144286</v>
      </c>
      <c r="J136" t="s">
        <v>124</v>
      </c>
    </row>
    <row r="137" spans="1:10" x14ac:dyDescent="0.25">
      <c r="A137" t="s">
        <v>8</v>
      </c>
      <c r="B137">
        <v>2501310</v>
      </c>
      <c r="C137" t="s">
        <v>102</v>
      </c>
      <c r="D137">
        <v>1</v>
      </c>
      <c r="E137" t="s">
        <v>10</v>
      </c>
      <c r="F137" t="s">
        <v>11</v>
      </c>
      <c r="G137" s="1"/>
      <c r="H137" t="str">
        <f>"3700920144293"</f>
        <v>3700920144293</v>
      </c>
      <c r="J137" s="1">
        <v>75</v>
      </c>
    </row>
    <row r="138" spans="1:10" x14ac:dyDescent="0.25">
      <c r="A138" t="s">
        <v>8</v>
      </c>
      <c r="B138">
        <v>2501315</v>
      </c>
      <c r="C138" t="s">
        <v>104</v>
      </c>
      <c r="D138">
        <v>1</v>
      </c>
      <c r="E138" t="s">
        <v>10</v>
      </c>
      <c r="F138" t="s">
        <v>11</v>
      </c>
      <c r="G138" s="1"/>
      <c r="H138" t="str">
        <f>"3700920144309"</f>
        <v>3700920144309</v>
      </c>
      <c r="J138" t="s">
        <v>125</v>
      </c>
    </row>
    <row r="139" spans="1:10" x14ac:dyDescent="0.25">
      <c r="A139" t="s">
        <v>8</v>
      </c>
      <c r="B139">
        <v>28313851</v>
      </c>
      <c r="C139" t="s">
        <v>126</v>
      </c>
      <c r="D139">
        <v>1</v>
      </c>
      <c r="E139" t="s">
        <v>10</v>
      </c>
      <c r="F139" t="s">
        <v>11</v>
      </c>
      <c r="G139" s="1"/>
      <c r="H139" t="str">
        <f>"8019163143129"</f>
        <v>8019163143129</v>
      </c>
      <c r="J139" t="s">
        <v>128</v>
      </c>
    </row>
    <row r="140" spans="1:10" x14ac:dyDescent="0.25">
      <c r="A140" t="s">
        <v>8</v>
      </c>
      <c r="B140">
        <v>28314051</v>
      </c>
      <c r="C140" t="s">
        <v>129</v>
      </c>
      <c r="D140">
        <v>1</v>
      </c>
      <c r="E140" t="s">
        <v>10</v>
      </c>
      <c r="F140" t="s">
        <v>11</v>
      </c>
      <c r="G140" s="1"/>
      <c r="H140" t="str">
        <f>"8019163136497"</f>
        <v>8019163136497</v>
      </c>
      <c r="J140" t="s">
        <v>130</v>
      </c>
    </row>
    <row r="141" spans="1:10" x14ac:dyDescent="0.25">
      <c r="A141" t="s">
        <v>8</v>
      </c>
      <c r="B141">
        <v>28314131</v>
      </c>
      <c r="C141" t="s">
        <v>131</v>
      </c>
      <c r="D141">
        <v>1</v>
      </c>
      <c r="E141" t="s">
        <v>10</v>
      </c>
      <c r="F141" t="s">
        <v>11</v>
      </c>
      <c r="G141" s="1"/>
      <c r="H141" t="str">
        <f>"8019163179593"</f>
        <v>8019163179593</v>
      </c>
      <c r="J141" t="s">
        <v>130</v>
      </c>
    </row>
    <row r="142" spans="1:10" x14ac:dyDescent="0.25">
      <c r="A142" t="s">
        <v>8</v>
      </c>
      <c r="B142">
        <v>28314251</v>
      </c>
      <c r="C142" t="s">
        <v>132</v>
      </c>
      <c r="D142">
        <v>1</v>
      </c>
      <c r="E142" t="s">
        <v>10</v>
      </c>
      <c r="F142" t="s">
        <v>11</v>
      </c>
      <c r="G142" s="1"/>
      <c r="H142" t="str">
        <f>"8019163150943"</f>
        <v>8019163150943</v>
      </c>
      <c r="J142" t="s">
        <v>130</v>
      </c>
    </row>
    <row r="143" spans="1:10" x14ac:dyDescent="0.25">
      <c r="A143" t="s">
        <v>8</v>
      </c>
      <c r="B143">
        <v>28390151</v>
      </c>
      <c r="C143" t="s">
        <v>133</v>
      </c>
      <c r="D143">
        <v>1</v>
      </c>
      <c r="E143" t="s">
        <v>10</v>
      </c>
      <c r="F143" t="s">
        <v>11</v>
      </c>
      <c r="G143" s="1"/>
      <c r="H143" t="str">
        <f>"8019163180704"</f>
        <v>8019163180704</v>
      </c>
      <c r="J143" t="s">
        <v>134</v>
      </c>
    </row>
    <row r="144" spans="1:10" x14ac:dyDescent="0.25">
      <c r="A144" t="s">
        <v>8</v>
      </c>
      <c r="B144">
        <v>28390331</v>
      </c>
      <c r="C144" t="s">
        <v>135</v>
      </c>
      <c r="D144">
        <v>1</v>
      </c>
      <c r="E144" t="s">
        <v>10</v>
      </c>
      <c r="F144" t="s">
        <v>11</v>
      </c>
      <c r="G144" s="1"/>
      <c r="H144" t="str">
        <f>"8019163179760"</f>
        <v>8019163179760</v>
      </c>
      <c r="J144" t="s">
        <v>134</v>
      </c>
    </row>
    <row r="145" spans="1:10" x14ac:dyDescent="0.25">
      <c r="A145" t="s">
        <v>8</v>
      </c>
      <c r="B145">
        <v>28390351</v>
      </c>
      <c r="C145" t="s">
        <v>136</v>
      </c>
      <c r="D145">
        <v>1</v>
      </c>
      <c r="E145" t="s">
        <v>10</v>
      </c>
      <c r="F145" t="s">
        <v>11</v>
      </c>
      <c r="G145" s="1"/>
      <c r="H145" t="str">
        <f>"8019163179753"</f>
        <v>8019163179753</v>
      </c>
      <c r="J145" t="s">
        <v>134</v>
      </c>
    </row>
    <row r="146" spans="1:10" x14ac:dyDescent="0.25">
      <c r="A146" t="s">
        <v>8</v>
      </c>
      <c r="B146">
        <v>28395730</v>
      </c>
      <c r="C146" t="s">
        <v>137</v>
      </c>
      <c r="D146">
        <v>1</v>
      </c>
      <c r="E146" t="s">
        <v>10</v>
      </c>
      <c r="F146" t="s">
        <v>11</v>
      </c>
      <c r="G146" s="1"/>
      <c r="H146" t="str">
        <f>"8019163171795"</f>
        <v>8019163171795</v>
      </c>
      <c r="J146" t="s">
        <v>138</v>
      </c>
    </row>
    <row r="147" spans="1:10" x14ac:dyDescent="0.25">
      <c r="A147" t="s">
        <v>8</v>
      </c>
      <c r="B147">
        <v>28395858</v>
      </c>
      <c r="C147" t="s">
        <v>139</v>
      </c>
      <c r="D147">
        <v>1</v>
      </c>
      <c r="E147" t="s">
        <v>10</v>
      </c>
      <c r="F147" t="s">
        <v>11</v>
      </c>
      <c r="G147" s="1"/>
      <c r="H147" t="str">
        <f>"8019163171788"</f>
        <v>8019163171788</v>
      </c>
      <c r="J147" t="s">
        <v>138</v>
      </c>
    </row>
    <row r="148" spans="1:10" x14ac:dyDescent="0.25">
      <c r="A148" t="s">
        <v>8</v>
      </c>
      <c r="B148">
        <v>28395930</v>
      </c>
      <c r="C148" t="s">
        <v>140</v>
      </c>
      <c r="D148">
        <v>1</v>
      </c>
      <c r="E148" t="s">
        <v>10</v>
      </c>
      <c r="F148" t="s">
        <v>11</v>
      </c>
      <c r="G148" s="1"/>
      <c r="H148" t="str">
        <f>"8019163171764"</f>
        <v>8019163171764</v>
      </c>
      <c r="J148" t="s">
        <v>141</v>
      </c>
    </row>
    <row r="149" spans="1:10" x14ac:dyDescent="0.25">
      <c r="A149" t="s">
        <v>8</v>
      </c>
      <c r="B149">
        <v>283979100</v>
      </c>
      <c r="C149" t="s">
        <v>142</v>
      </c>
      <c r="D149">
        <v>1</v>
      </c>
      <c r="E149" t="s">
        <v>10</v>
      </c>
      <c r="F149" t="s">
        <v>11</v>
      </c>
      <c r="G149" s="1"/>
      <c r="H149" t="str">
        <f>"8019163180728"</f>
        <v>8019163180728</v>
      </c>
      <c r="J149" t="s">
        <v>143</v>
      </c>
    </row>
    <row r="150" spans="1:10" x14ac:dyDescent="0.25">
      <c r="A150" t="s">
        <v>8</v>
      </c>
      <c r="B150">
        <v>28407361</v>
      </c>
      <c r="C150" t="s">
        <v>144</v>
      </c>
      <c r="D150">
        <v>1</v>
      </c>
      <c r="E150" t="s">
        <v>10</v>
      </c>
      <c r="F150" t="s">
        <v>11</v>
      </c>
      <c r="G150" s="1"/>
      <c r="H150" t="str">
        <f>"8019163193605"</f>
        <v>8019163193605</v>
      </c>
      <c r="J150" t="s">
        <v>145</v>
      </c>
    </row>
    <row r="151" spans="1:10" x14ac:dyDescent="0.25">
      <c r="A151" t="s">
        <v>8</v>
      </c>
      <c r="B151">
        <v>284139100</v>
      </c>
      <c r="C151" t="s">
        <v>146</v>
      </c>
      <c r="D151">
        <v>1</v>
      </c>
      <c r="E151" t="s">
        <v>10</v>
      </c>
      <c r="F151" t="s">
        <v>11</v>
      </c>
      <c r="G151" s="1"/>
      <c r="H151" t="str">
        <f>"8019163200655"</f>
        <v>8019163200655</v>
      </c>
      <c r="J151" t="s">
        <v>147</v>
      </c>
    </row>
    <row r="152" spans="1:10" x14ac:dyDescent="0.25">
      <c r="A152" t="s">
        <v>8</v>
      </c>
      <c r="B152">
        <v>28416330</v>
      </c>
      <c r="C152" t="s">
        <v>140</v>
      </c>
      <c r="D152">
        <v>1</v>
      </c>
      <c r="E152" t="s">
        <v>10</v>
      </c>
      <c r="F152" t="s">
        <v>11</v>
      </c>
      <c r="G152" s="1"/>
      <c r="H152" t="str">
        <f>"8019163202253"</f>
        <v>8019163202253</v>
      </c>
      <c r="J152" t="s">
        <v>148</v>
      </c>
    </row>
    <row r="153" spans="1:10" x14ac:dyDescent="0.25">
      <c r="A153" t="s">
        <v>8</v>
      </c>
      <c r="B153">
        <v>284175100</v>
      </c>
      <c r="C153" t="s">
        <v>146</v>
      </c>
      <c r="D153">
        <v>1</v>
      </c>
      <c r="E153" t="s">
        <v>10</v>
      </c>
      <c r="F153" t="s">
        <v>11</v>
      </c>
      <c r="G153" s="1"/>
      <c r="H153" t="str">
        <f>"8019163203410"</f>
        <v>8019163203410</v>
      </c>
      <c r="J153" t="s">
        <v>145</v>
      </c>
    </row>
    <row r="154" spans="1:10" x14ac:dyDescent="0.25">
      <c r="A154" t="s">
        <v>8</v>
      </c>
      <c r="B154">
        <v>28420030</v>
      </c>
      <c r="C154" t="s">
        <v>140</v>
      </c>
      <c r="D154">
        <v>1</v>
      </c>
      <c r="E154" t="s">
        <v>10</v>
      </c>
      <c r="F154" t="s">
        <v>11</v>
      </c>
      <c r="G154" s="1"/>
      <c r="H154" t="str">
        <f>"8019163203427"</f>
        <v>8019163203427</v>
      </c>
      <c r="J154" t="s">
        <v>149</v>
      </c>
    </row>
    <row r="155" spans="1:10" x14ac:dyDescent="0.25">
      <c r="A155" t="s">
        <v>8</v>
      </c>
      <c r="B155">
        <v>28900151</v>
      </c>
      <c r="C155" t="s">
        <v>150</v>
      </c>
      <c r="D155">
        <v>1</v>
      </c>
      <c r="E155" t="s">
        <v>10</v>
      </c>
      <c r="F155" t="s">
        <v>11</v>
      </c>
      <c r="G155" s="1"/>
      <c r="H155" t="str">
        <f>"8019163180667"</f>
        <v>8019163180667</v>
      </c>
      <c r="J155" t="s">
        <v>151</v>
      </c>
    </row>
    <row r="156" spans="1:10" x14ac:dyDescent="0.25">
      <c r="A156" t="s">
        <v>8</v>
      </c>
      <c r="B156">
        <v>28900351</v>
      </c>
      <c r="C156" t="s">
        <v>152</v>
      </c>
      <c r="D156">
        <v>1</v>
      </c>
      <c r="E156" t="s">
        <v>10</v>
      </c>
      <c r="F156" t="s">
        <v>11</v>
      </c>
      <c r="G156" s="1"/>
      <c r="H156" t="str">
        <f>"8019163180698"</f>
        <v>8019163180698</v>
      </c>
      <c r="J156" t="s">
        <v>151</v>
      </c>
    </row>
    <row r="157" spans="1:10" x14ac:dyDescent="0.25">
      <c r="A157" t="s">
        <v>8</v>
      </c>
      <c r="B157" t="s">
        <v>153</v>
      </c>
      <c r="C157" t="s">
        <v>154</v>
      </c>
      <c r="D157">
        <v>1</v>
      </c>
      <c r="E157" t="s">
        <v>10</v>
      </c>
      <c r="F157" t="s">
        <v>11</v>
      </c>
      <c r="G157" s="1"/>
      <c r="H157" t="str">
        <f>"8019163194008"</f>
        <v>8019163194008</v>
      </c>
      <c r="J157" t="s">
        <v>145</v>
      </c>
    </row>
    <row r="158" spans="1:10" x14ac:dyDescent="0.25">
      <c r="A158" t="s">
        <v>8</v>
      </c>
      <c r="B158" t="s">
        <v>155</v>
      </c>
      <c r="C158" t="s">
        <v>156</v>
      </c>
      <c r="D158">
        <v>1</v>
      </c>
      <c r="E158" t="s">
        <v>10</v>
      </c>
      <c r="F158" t="s">
        <v>11</v>
      </c>
      <c r="G158" s="1"/>
      <c r="H158" t="str">
        <f>"8019163194015"</f>
        <v>8019163194015</v>
      </c>
      <c r="J158" t="s">
        <v>145</v>
      </c>
    </row>
    <row r="159" spans="1:10" x14ac:dyDescent="0.25">
      <c r="A159" t="s">
        <v>8</v>
      </c>
      <c r="B159">
        <v>4301002</v>
      </c>
      <c r="C159" t="s">
        <v>157</v>
      </c>
      <c r="D159">
        <v>1</v>
      </c>
      <c r="E159" t="s">
        <v>10</v>
      </c>
      <c r="F159" t="s">
        <v>11</v>
      </c>
      <c r="G159" s="1"/>
      <c r="H159" t="str">
        <f>"3700920112728"</f>
        <v>3700920112728</v>
      </c>
      <c r="J159" s="1">
        <v>36</v>
      </c>
    </row>
    <row r="160" spans="1:10" x14ac:dyDescent="0.25">
      <c r="A160" t="s">
        <v>8</v>
      </c>
      <c r="B160">
        <v>4301030</v>
      </c>
      <c r="C160" t="s">
        <v>158</v>
      </c>
      <c r="D160">
        <v>1</v>
      </c>
      <c r="E160" t="s">
        <v>10</v>
      </c>
      <c r="F160" t="s">
        <v>11</v>
      </c>
      <c r="G160" s="1"/>
      <c r="H160" t="str">
        <f>"3700920145597"</f>
        <v>3700920145597</v>
      </c>
      <c r="J160" s="1">
        <v>21</v>
      </c>
    </row>
    <row r="161" spans="1:10" x14ac:dyDescent="0.25">
      <c r="A161" t="s">
        <v>8</v>
      </c>
      <c r="B161">
        <v>4301031</v>
      </c>
      <c r="C161" t="s">
        <v>159</v>
      </c>
      <c r="D161">
        <v>1</v>
      </c>
      <c r="E161" t="s">
        <v>10</v>
      </c>
      <c r="F161" t="s">
        <v>11</v>
      </c>
      <c r="G161" s="1"/>
      <c r="H161" t="str">
        <f>"3700920145603"</f>
        <v>3700920145603</v>
      </c>
      <c r="J161" t="s">
        <v>43</v>
      </c>
    </row>
    <row r="162" spans="1:10" x14ac:dyDescent="0.25">
      <c r="A162" t="s">
        <v>8</v>
      </c>
      <c r="B162">
        <v>4301032</v>
      </c>
      <c r="C162" t="s">
        <v>160</v>
      </c>
      <c r="D162">
        <v>1</v>
      </c>
      <c r="E162" t="s">
        <v>10</v>
      </c>
      <c r="F162" t="s">
        <v>11</v>
      </c>
      <c r="G162" s="1"/>
      <c r="H162" t="str">
        <f>"3700920145610"</f>
        <v>3700920145610</v>
      </c>
      <c r="J162" t="s">
        <v>43</v>
      </c>
    </row>
    <row r="163" spans="1:10" x14ac:dyDescent="0.25">
      <c r="A163" t="s">
        <v>8</v>
      </c>
      <c r="B163">
        <v>4301820</v>
      </c>
      <c r="C163" t="s">
        <v>161</v>
      </c>
      <c r="D163">
        <v>1</v>
      </c>
      <c r="E163" t="s">
        <v>10</v>
      </c>
      <c r="F163" t="s">
        <v>11</v>
      </c>
      <c r="G163" s="1"/>
      <c r="H163" t="str">
        <f>"3700920145856"</f>
        <v>3700920145856</v>
      </c>
      <c r="J163" t="s">
        <v>162</v>
      </c>
    </row>
    <row r="164" spans="1:10" x14ac:dyDescent="0.25">
      <c r="A164" t="s">
        <v>8</v>
      </c>
      <c r="B164">
        <v>4301821</v>
      </c>
      <c r="C164" t="s">
        <v>163</v>
      </c>
      <c r="D164">
        <v>1</v>
      </c>
      <c r="E164" t="s">
        <v>10</v>
      </c>
      <c r="F164" t="s">
        <v>11</v>
      </c>
      <c r="G164" s="1"/>
      <c r="H164" t="str">
        <f>"3700920145863"</f>
        <v>3700920145863</v>
      </c>
      <c r="J164" t="s">
        <v>162</v>
      </c>
    </row>
    <row r="165" spans="1:10" x14ac:dyDescent="0.25">
      <c r="A165" t="s">
        <v>8</v>
      </c>
      <c r="B165">
        <v>4301822</v>
      </c>
      <c r="C165" t="s">
        <v>164</v>
      </c>
      <c r="D165">
        <v>1</v>
      </c>
      <c r="E165" t="s">
        <v>10</v>
      </c>
      <c r="F165" t="s">
        <v>11</v>
      </c>
      <c r="G165" s="1"/>
      <c r="H165" t="str">
        <f>"3700920145870"</f>
        <v>3700920145870</v>
      </c>
      <c r="J165" t="s">
        <v>162</v>
      </c>
    </row>
    <row r="166" spans="1:10" x14ac:dyDescent="0.25">
      <c r="A166" t="s">
        <v>8</v>
      </c>
      <c r="B166">
        <v>4302002</v>
      </c>
      <c r="C166" t="s">
        <v>165</v>
      </c>
      <c r="D166">
        <v>1</v>
      </c>
      <c r="E166" t="s">
        <v>10</v>
      </c>
      <c r="F166" t="s">
        <v>11</v>
      </c>
      <c r="G166" s="1"/>
      <c r="H166" t="str">
        <f>"3700920108776"</f>
        <v>3700920108776</v>
      </c>
      <c r="J166" t="s">
        <v>166</v>
      </c>
    </row>
    <row r="167" spans="1:10" x14ac:dyDescent="0.25">
      <c r="A167" t="s">
        <v>8</v>
      </c>
      <c r="B167">
        <v>4304020</v>
      </c>
      <c r="C167" t="s">
        <v>167</v>
      </c>
      <c r="D167">
        <v>1</v>
      </c>
      <c r="E167" t="s">
        <v>10</v>
      </c>
      <c r="F167" t="s">
        <v>11</v>
      </c>
      <c r="G167" s="1"/>
      <c r="H167" t="str">
        <f>"3700920100077"</f>
        <v>3700920100077</v>
      </c>
      <c r="J167" t="s">
        <v>124</v>
      </c>
    </row>
    <row r="168" spans="1:10" x14ac:dyDescent="0.25">
      <c r="A168" t="s">
        <v>8</v>
      </c>
      <c r="B168">
        <v>4306020</v>
      </c>
      <c r="C168" t="s">
        <v>168</v>
      </c>
      <c r="D168">
        <v>1</v>
      </c>
      <c r="E168" t="s">
        <v>10</v>
      </c>
      <c r="F168" t="s">
        <v>11</v>
      </c>
      <c r="G168" s="1"/>
      <c r="H168" t="str">
        <f>"3700920100114"</f>
        <v>3700920100114</v>
      </c>
      <c r="J168" s="1">
        <v>69</v>
      </c>
    </row>
    <row r="169" spans="1:10" x14ac:dyDescent="0.25">
      <c r="A169" t="s">
        <v>8</v>
      </c>
      <c r="B169">
        <v>4306240</v>
      </c>
      <c r="C169" t="s">
        <v>169</v>
      </c>
      <c r="D169">
        <v>1</v>
      </c>
      <c r="E169" t="s">
        <v>10</v>
      </c>
      <c r="F169" t="s">
        <v>11</v>
      </c>
      <c r="G169" s="1"/>
      <c r="H169" t="str">
        <f>"3700920144316"</f>
        <v>3700920144316</v>
      </c>
      <c r="J169" t="s">
        <v>170</v>
      </c>
    </row>
    <row r="170" spans="1:10" x14ac:dyDescent="0.25">
      <c r="A170" t="s">
        <v>8</v>
      </c>
      <c r="B170">
        <v>4309020</v>
      </c>
      <c r="C170" t="s">
        <v>171</v>
      </c>
      <c r="D170">
        <v>1</v>
      </c>
      <c r="E170" t="s">
        <v>10</v>
      </c>
      <c r="F170" t="s">
        <v>11</v>
      </c>
      <c r="G170" s="1"/>
      <c r="H170" t="str">
        <f>"3700920100152"</f>
        <v>3700920100152</v>
      </c>
      <c r="J170" t="s">
        <v>125</v>
      </c>
    </row>
    <row r="171" spans="1:10" x14ac:dyDescent="0.25">
      <c r="A171" t="s">
        <v>8</v>
      </c>
      <c r="B171">
        <v>4309021</v>
      </c>
      <c r="C171" t="s">
        <v>172</v>
      </c>
      <c r="D171">
        <v>1</v>
      </c>
      <c r="E171" t="s">
        <v>10</v>
      </c>
      <c r="F171" t="s">
        <v>11</v>
      </c>
      <c r="G171" s="1"/>
      <c r="H171" t="str">
        <f>"3700920112735"</f>
        <v>3700920112735</v>
      </c>
      <c r="J171" t="s">
        <v>125</v>
      </c>
    </row>
    <row r="172" spans="1:10" x14ac:dyDescent="0.25">
      <c r="A172" t="s">
        <v>8</v>
      </c>
      <c r="B172">
        <v>4309022</v>
      </c>
      <c r="C172" t="s">
        <v>173</v>
      </c>
      <c r="D172">
        <v>1</v>
      </c>
      <c r="E172" t="s">
        <v>10</v>
      </c>
      <c r="F172" t="s">
        <v>11</v>
      </c>
      <c r="G172" s="1"/>
      <c r="H172" t="str">
        <f>"3700920112742"</f>
        <v>3700920112742</v>
      </c>
      <c r="J172" t="s">
        <v>125</v>
      </c>
    </row>
    <row r="173" spans="1:10" x14ac:dyDescent="0.25">
      <c r="A173" t="s">
        <v>8</v>
      </c>
      <c r="B173">
        <v>4309023</v>
      </c>
      <c r="C173" t="s">
        <v>174</v>
      </c>
      <c r="D173">
        <v>1</v>
      </c>
      <c r="E173" t="s">
        <v>10</v>
      </c>
      <c r="F173" t="s">
        <v>11</v>
      </c>
      <c r="G173" s="1"/>
      <c r="H173" t="str">
        <f>"3700920112759"</f>
        <v>3700920112759</v>
      </c>
      <c r="J173" t="s">
        <v>175</v>
      </c>
    </row>
    <row r="174" spans="1:10" x14ac:dyDescent="0.25">
      <c r="A174" t="s">
        <v>8</v>
      </c>
      <c r="B174">
        <v>4309040</v>
      </c>
      <c r="C174" t="s">
        <v>176</v>
      </c>
      <c r="D174">
        <v>1</v>
      </c>
      <c r="E174" t="s">
        <v>10</v>
      </c>
      <c r="F174" t="s">
        <v>11</v>
      </c>
      <c r="G174" s="1"/>
      <c r="H174" t="str">
        <f>"3700920112766"</f>
        <v>3700920112766</v>
      </c>
      <c r="J174" t="s">
        <v>177</v>
      </c>
    </row>
    <row r="175" spans="1:10" x14ac:dyDescent="0.25">
      <c r="A175" t="s">
        <v>8</v>
      </c>
      <c r="B175">
        <v>4309041</v>
      </c>
      <c r="C175" t="s">
        <v>178</v>
      </c>
      <c r="D175">
        <v>1</v>
      </c>
      <c r="E175" t="s">
        <v>10</v>
      </c>
      <c r="F175" t="s">
        <v>11</v>
      </c>
      <c r="G175" s="1"/>
      <c r="H175" t="str">
        <f>"3700920112773"</f>
        <v>3700920112773</v>
      </c>
      <c r="J175" t="s">
        <v>177</v>
      </c>
    </row>
    <row r="176" spans="1:10" x14ac:dyDescent="0.25">
      <c r="A176" t="s">
        <v>8</v>
      </c>
      <c r="B176">
        <v>4309042</v>
      </c>
      <c r="C176" t="s">
        <v>179</v>
      </c>
      <c r="D176">
        <v>1</v>
      </c>
      <c r="E176" t="s">
        <v>10</v>
      </c>
      <c r="F176" t="s">
        <v>11</v>
      </c>
      <c r="G176" s="1"/>
      <c r="H176" t="str">
        <f>"3700920112780"</f>
        <v>3700920112780</v>
      </c>
      <c r="J176" t="s">
        <v>177</v>
      </c>
    </row>
    <row r="177" spans="1:10" x14ac:dyDescent="0.25">
      <c r="A177" t="s">
        <v>8</v>
      </c>
      <c r="B177">
        <v>4309043</v>
      </c>
      <c r="C177" t="s">
        <v>180</v>
      </c>
      <c r="D177">
        <v>1</v>
      </c>
      <c r="E177" t="s">
        <v>10</v>
      </c>
      <c r="F177" t="s">
        <v>11</v>
      </c>
      <c r="G177" s="1"/>
      <c r="H177" t="str">
        <f>"3700920112797"</f>
        <v>3700920112797</v>
      </c>
      <c r="J177" t="s">
        <v>181</v>
      </c>
    </row>
    <row r="178" spans="1:10" x14ac:dyDescent="0.25">
      <c r="A178" t="s">
        <v>8</v>
      </c>
      <c r="B178">
        <v>4309240</v>
      </c>
      <c r="C178" t="s">
        <v>182</v>
      </c>
      <c r="D178">
        <v>1</v>
      </c>
      <c r="E178" t="s">
        <v>10</v>
      </c>
      <c r="F178" t="s">
        <v>11</v>
      </c>
      <c r="G178" s="1"/>
      <c r="H178" t="str">
        <f>"3700920144323"</f>
        <v>3700920144323</v>
      </c>
      <c r="J178" t="s">
        <v>183</v>
      </c>
    </row>
    <row r="179" spans="1:10" x14ac:dyDescent="0.25">
      <c r="A179" t="s">
        <v>8</v>
      </c>
      <c r="B179">
        <v>4309911</v>
      </c>
      <c r="C179" t="s">
        <v>184</v>
      </c>
      <c r="D179">
        <v>1</v>
      </c>
      <c r="E179" t="s">
        <v>10</v>
      </c>
      <c r="F179" t="s">
        <v>11</v>
      </c>
      <c r="G179" s="1"/>
      <c r="H179" t="str">
        <f>"3700920112803"</f>
        <v>3700920112803</v>
      </c>
      <c r="J179" t="s">
        <v>185</v>
      </c>
    </row>
    <row r="180" spans="1:10" x14ac:dyDescent="0.25">
      <c r="A180" t="s">
        <v>8</v>
      </c>
      <c r="B180">
        <v>4309916</v>
      </c>
      <c r="C180" t="s">
        <v>186</v>
      </c>
      <c r="D180">
        <v>1</v>
      </c>
      <c r="E180" t="s">
        <v>10</v>
      </c>
      <c r="F180" t="s">
        <v>11</v>
      </c>
      <c r="G180" s="1"/>
      <c r="H180" t="str">
        <f>"3700920100220"</f>
        <v>3700920100220</v>
      </c>
      <c r="J180" t="s">
        <v>187</v>
      </c>
    </row>
    <row r="181" spans="1:10" x14ac:dyDescent="0.25">
      <c r="A181" t="s">
        <v>8</v>
      </c>
      <c r="B181">
        <v>4309921</v>
      </c>
      <c r="C181" t="s">
        <v>188</v>
      </c>
      <c r="D181">
        <v>1</v>
      </c>
      <c r="E181" t="s">
        <v>10</v>
      </c>
      <c r="F181" t="s">
        <v>11</v>
      </c>
      <c r="G181" s="1"/>
      <c r="H181" t="str">
        <f>"3700920100237"</f>
        <v>3700920100237</v>
      </c>
      <c r="J181" t="s">
        <v>189</v>
      </c>
    </row>
    <row r="182" spans="1:10" x14ac:dyDescent="0.25">
      <c r="A182" t="s">
        <v>8</v>
      </c>
      <c r="B182">
        <v>4309925</v>
      </c>
      <c r="C182" t="s">
        <v>190</v>
      </c>
      <c r="D182">
        <v>1</v>
      </c>
      <c r="E182" t="s">
        <v>10</v>
      </c>
      <c r="F182" t="s">
        <v>11</v>
      </c>
      <c r="G182" s="1"/>
      <c r="H182" t="str">
        <f>"3700920112810"</f>
        <v>3700920112810</v>
      </c>
      <c r="J182" t="s">
        <v>189</v>
      </c>
    </row>
    <row r="183" spans="1:10" x14ac:dyDescent="0.25">
      <c r="A183" t="s">
        <v>8</v>
      </c>
      <c r="B183">
        <v>4309961</v>
      </c>
      <c r="C183" t="s">
        <v>191</v>
      </c>
      <c r="D183">
        <v>1</v>
      </c>
      <c r="E183" t="s">
        <v>10</v>
      </c>
      <c r="F183" t="s">
        <v>11</v>
      </c>
      <c r="G183" s="1"/>
      <c r="H183" t="str">
        <f>"3700920112827"</f>
        <v>3700920112827</v>
      </c>
      <c r="J183" t="s">
        <v>192</v>
      </c>
    </row>
    <row r="184" spans="1:10" x14ac:dyDescent="0.25">
      <c r="A184" t="s">
        <v>8</v>
      </c>
      <c r="B184">
        <v>4309966</v>
      </c>
      <c r="C184" t="s">
        <v>193</v>
      </c>
      <c r="D184">
        <v>1</v>
      </c>
      <c r="E184" t="s">
        <v>10</v>
      </c>
      <c r="F184" t="s">
        <v>11</v>
      </c>
      <c r="G184" s="1"/>
      <c r="H184" t="str">
        <f>"3700920100299"</f>
        <v>3700920100299</v>
      </c>
      <c r="J184" t="s">
        <v>185</v>
      </c>
    </row>
    <row r="185" spans="1:10" x14ac:dyDescent="0.25">
      <c r="A185" t="s">
        <v>8</v>
      </c>
      <c r="B185">
        <v>4309970</v>
      </c>
      <c r="C185" t="s">
        <v>194</v>
      </c>
      <c r="D185">
        <v>1</v>
      </c>
      <c r="E185" t="s">
        <v>10</v>
      </c>
      <c r="F185" t="s">
        <v>11</v>
      </c>
      <c r="G185" s="1"/>
      <c r="H185" t="str">
        <f>"3700920112834"</f>
        <v>3700920112834</v>
      </c>
      <c r="J185" t="s">
        <v>185</v>
      </c>
    </row>
    <row r="186" spans="1:10" x14ac:dyDescent="0.25">
      <c r="A186" t="s">
        <v>8</v>
      </c>
      <c r="B186">
        <v>4309971</v>
      </c>
      <c r="C186" t="s">
        <v>195</v>
      </c>
      <c r="D186">
        <v>1</v>
      </c>
      <c r="E186" t="s">
        <v>10</v>
      </c>
      <c r="F186" t="s">
        <v>11</v>
      </c>
      <c r="G186" s="1"/>
      <c r="H186" t="str">
        <f>"3700920112841"</f>
        <v>3700920112841</v>
      </c>
      <c r="J186" t="s">
        <v>185</v>
      </c>
    </row>
    <row r="187" spans="1:10" x14ac:dyDescent="0.25">
      <c r="A187" t="s">
        <v>8</v>
      </c>
      <c r="B187">
        <v>4309972</v>
      </c>
      <c r="C187" t="s">
        <v>196</v>
      </c>
      <c r="D187">
        <v>1</v>
      </c>
      <c r="E187" t="s">
        <v>10</v>
      </c>
      <c r="F187" t="s">
        <v>11</v>
      </c>
      <c r="G187" s="1"/>
      <c r="H187" t="str">
        <f>"3700920112858"</f>
        <v>3700920112858</v>
      </c>
      <c r="J187" t="s">
        <v>185</v>
      </c>
    </row>
    <row r="188" spans="1:10" x14ac:dyDescent="0.25">
      <c r="A188" t="s">
        <v>8</v>
      </c>
      <c r="B188">
        <v>4309975</v>
      </c>
      <c r="C188" t="s">
        <v>197</v>
      </c>
      <c r="D188">
        <v>1</v>
      </c>
      <c r="E188" t="s">
        <v>10</v>
      </c>
      <c r="F188" t="s">
        <v>11</v>
      </c>
      <c r="G188" s="1"/>
      <c r="H188" t="str">
        <f>"3700920112865"</f>
        <v>3700920112865</v>
      </c>
      <c r="J188" t="s">
        <v>185</v>
      </c>
    </row>
    <row r="189" spans="1:10" x14ac:dyDescent="0.25">
      <c r="A189" t="s">
        <v>8</v>
      </c>
      <c r="B189">
        <v>4309976</v>
      </c>
      <c r="C189" t="s">
        <v>198</v>
      </c>
      <c r="D189">
        <v>1</v>
      </c>
      <c r="E189" t="s">
        <v>10</v>
      </c>
      <c r="F189" t="s">
        <v>11</v>
      </c>
      <c r="G189" s="1"/>
      <c r="H189" t="str">
        <f>"3700920112872"</f>
        <v>3700920112872</v>
      </c>
      <c r="J189" t="s">
        <v>185</v>
      </c>
    </row>
    <row r="190" spans="1:10" x14ac:dyDescent="0.25">
      <c r="A190" t="s">
        <v>8</v>
      </c>
      <c r="B190">
        <v>4309977</v>
      </c>
      <c r="C190" t="s">
        <v>199</v>
      </c>
      <c r="D190">
        <v>1</v>
      </c>
      <c r="E190" t="s">
        <v>10</v>
      </c>
      <c r="F190" t="s">
        <v>11</v>
      </c>
      <c r="G190" s="1"/>
      <c r="H190" t="str">
        <f>"3700920112889"</f>
        <v>3700920112889</v>
      </c>
      <c r="J190" t="s">
        <v>185</v>
      </c>
    </row>
    <row r="191" spans="1:10" x14ac:dyDescent="0.25">
      <c r="A191" t="s">
        <v>8</v>
      </c>
      <c r="B191">
        <v>4309981</v>
      </c>
      <c r="C191" t="s">
        <v>200</v>
      </c>
      <c r="D191">
        <v>1</v>
      </c>
      <c r="E191" t="s">
        <v>10</v>
      </c>
      <c r="F191" t="s">
        <v>11</v>
      </c>
      <c r="G191" s="1"/>
      <c r="H191" t="str">
        <f>"3700920100275"</f>
        <v>3700920100275</v>
      </c>
      <c r="J191" t="s">
        <v>185</v>
      </c>
    </row>
    <row r="192" spans="1:10" x14ac:dyDescent="0.25">
      <c r="A192" t="s">
        <v>8</v>
      </c>
      <c r="B192">
        <v>4309991</v>
      </c>
      <c r="C192" t="s">
        <v>201</v>
      </c>
      <c r="D192">
        <v>1</v>
      </c>
      <c r="E192" t="s">
        <v>10</v>
      </c>
      <c r="F192" t="s">
        <v>11</v>
      </c>
      <c r="G192" s="1"/>
      <c r="H192" t="str">
        <f>"3700920112896"</f>
        <v>3700920112896</v>
      </c>
      <c r="J192" s="1">
        <v>6</v>
      </c>
    </row>
    <row r="193" spans="1:10" x14ac:dyDescent="0.25">
      <c r="A193" t="s">
        <v>8</v>
      </c>
      <c r="B193">
        <v>4309992</v>
      </c>
      <c r="C193" t="s">
        <v>202</v>
      </c>
      <c r="D193">
        <v>1</v>
      </c>
      <c r="E193" t="s">
        <v>10</v>
      </c>
      <c r="F193" t="s">
        <v>11</v>
      </c>
      <c r="G193" s="1"/>
      <c r="H193" t="str">
        <f>"3700920112902"</f>
        <v>3700920112902</v>
      </c>
      <c r="J193" s="1">
        <v>6</v>
      </c>
    </row>
    <row r="194" spans="1:10" x14ac:dyDescent="0.25">
      <c r="A194" t="s">
        <v>8</v>
      </c>
      <c r="B194">
        <v>4309993</v>
      </c>
      <c r="C194" t="s">
        <v>203</v>
      </c>
      <c r="D194">
        <v>1</v>
      </c>
      <c r="E194" t="s">
        <v>10</v>
      </c>
      <c r="F194" t="s">
        <v>11</v>
      </c>
      <c r="G194" s="1"/>
      <c r="H194" t="str">
        <f>"3700920112919"</f>
        <v>3700920112919</v>
      </c>
      <c r="J194" s="1">
        <v>6</v>
      </c>
    </row>
    <row r="195" spans="1:10" x14ac:dyDescent="0.25">
      <c r="A195" t="s">
        <v>8</v>
      </c>
      <c r="B195">
        <v>4309994</v>
      </c>
      <c r="C195" t="s">
        <v>204</v>
      </c>
      <c r="D195">
        <v>1</v>
      </c>
      <c r="E195" t="s">
        <v>10</v>
      </c>
      <c r="F195" t="s">
        <v>11</v>
      </c>
      <c r="G195" s="1"/>
      <c r="H195" t="str">
        <f>"3700920112926"</f>
        <v>3700920112926</v>
      </c>
      <c r="J195" s="1">
        <v>6</v>
      </c>
    </row>
    <row r="196" spans="1:10" x14ac:dyDescent="0.25">
      <c r="A196" t="s">
        <v>8</v>
      </c>
      <c r="B196">
        <v>4309995</v>
      </c>
      <c r="C196" t="s">
        <v>205</v>
      </c>
      <c r="D196">
        <v>1</v>
      </c>
      <c r="E196" t="s">
        <v>10</v>
      </c>
      <c r="F196" t="s">
        <v>11</v>
      </c>
      <c r="G196" s="1"/>
      <c r="H196" t="str">
        <f>"3700920112933"</f>
        <v>3700920112933</v>
      </c>
      <c r="J196" s="1">
        <v>6</v>
      </c>
    </row>
    <row r="197" spans="1:10" x14ac:dyDescent="0.25">
      <c r="A197" t="s">
        <v>8</v>
      </c>
      <c r="B197">
        <v>4309996</v>
      </c>
      <c r="C197" t="s">
        <v>206</v>
      </c>
      <c r="D197">
        <v>1</v>
      </c>
      <c r="E197" t="s">
        <v>10</v>
      </c>
      <c r="F197" t="s">
        <v>11</v>
      </c>
      <c r="G197" s="1"/>
      <c r="H197" t="str">
        <f>"3700920112940"</f>
        <v>3700920112940</v>
      </c>
      <c r="J197" s="1">
        <v>6</v>
      </c>
    </row>
    <row r="198" spans="1:10" x14ac:dyDescent="0.25">
      <c r="A198" t="s">
        <v>8</v>
      </c>
      <c r="B198">
        <v>4309997</v>
      </c>
      <c r="C198" t="s">
        <v>207</v>
      </c>
      <c r="D198">
        <v>1</v>
      </c>
      <c r="E198" t="s">
        <v>10</v>
      </c>
      <c r="F198" t="s">
        <v>11</v>
      </c>
      <c r="G198" s="1"/>
      <c r="H198" t="str">
        <f>"3700920112957"</f>
        <v>3700920112957</v>
      </c>
      <c r="J198" t="s">
        <v>208</v>
      </c>
    </row>
    <row r="199" spans="1:10" x14ac:dyDescent="0.25">
      <c r="A199" t="s">
        <v>8</v>
      </c>
      <c r="B199">
        <v>4309999</v>
      </c>
      <c r="C199" t="s">
        <v>209</v>
      </c>
      <c r="D199">
        <v>1</v>
      </c>
      <c r="E199" t="s">
        <v>10</v>
      </c>
      <c r="F199" t="s">
        <v>11</v>
      </c>
      <c r="G199" s="1"/>
      <c r="H199" t="str">
        <f>"3700920100183"</f>
        <v>3700920100183</v>
      </c>
      <c r="J199" t="s">
        <v>210</v>
      </c>
    </row>
    <row r="200" spans="1:10" x14ac:dyDescent="0.25">
      <c r="A200" t="s">
        <v>8</v>
      </c>
      <c r="B200">
        <v>4314500</v>
      </c>
      <c r="C200" t="s">
        <v>211</v>
      </c>
      <c r="D200">
        <v>1</v>
      </c>
      <c r="E200" t="s">
        <v>10</v>
      </c>
      <c r="F200" t="s">
        <v>11</v>
      </c>
      <c r="G200" s="1"/>
      <c r="H200" t="str">
        <f>"3700920144330"</f>
        <v>3700920144330</v>
      </c>
      <c r="J200" t="s">
        <v>212</v>
      </c>
    </row>
    <row r="201" spans="1:10" x14ac:dyDescent="0.25">
      <c r="A201" t="s">
        <v>8</v>
      </c>
      <c r="B201">
        <v>4314520</v>
      </c>
      <c r="C201" t="s">
        <v>213</v>
      </c>
      <c r="D201">
        <v>1</v>
      </c>
      <c r="E201" t="s">
        <v>10</v>
      </c>
      <c r="F201" t="s">
        <v>11</v>
      </c>
      <c r="G201" s="1"/>
      <c r="H201" t="str">
        <f>"3700920146693"</f>
        <v>3700920146693</v>
      </c>
      <c r="J201" t="s">
        <v>214</v>
      </c>
    </row>
    <row r="202" spans="1:10" x14ac:dyDescent="0.25">
      <c r="A202" t="s">
        <v>8</v>
      </c>
      <c r="B202">
        <v>4314590</v>
      </c>
      <c r="C202" t="s">
        <v>215</v>
      </c>
      <c r="D202">
        <v>1</v>
      </c>
      <c r="E202" t="s">
        <v>10</v>
      </c>
      <c r="F202" t="s">
        <v>11</v>
      </c>
      <c r="G202" s="1"/>
      <c r="H202" t="str">
        <f>"3700920144347"</f>
        <v>3700920144347</v>
      </c>
      <c r="J202" t="s">
        <v>162</v>
      </c>
    </row>
    <row r="203" spans="1:10" x14ac:dyDescent="0.25">
      <c r="A203" t="s">
        <v>8</v>
      </c>
      <c r="B203">
        <v>4319900</v>
      </c>
      <c r="C203" t="s">
        <v>216</v>
      </c>
      <c r="D203">
        <v>1</v>
      </c>
      <c r="E203" t="s">
        <v>10</v>
      </c>
      <c r="F203" t="s">
        <v>11</v>
      </c>
      <c r="G203" s="1"/>
      <c r="H203" t="str">
        <f>"3700920144354"</f>
        <v>3700920144354</v>
      </c>
      <c r="J203" s="1">
        <v>3</v>
      </c>
    </row>
    <row r="204" spans="1:10" x14ac:dyDescent="0.25">
      <c r="A204" t="s">
        <v>8</v>
      </c>
      <c r="B204">
        <v>4350020</v>
      </c>
      <c r="C204" t="s">
        <v>217</v>
      </c>
      <c r="D204">
        <v>1</v>
      </c>
      <c r="E204" t="s">
        <v>10</v>
      </c>
      <c r="F204" t="s">
        <v>11</v>
      </c>
      <c r="G204" s="1"/>
      <c r="H204" t="str">
        <f>"3700920108585"</f>
        <v>3700920108585</v>
      </c>
      <c r="J204" t="s">
        <v>218</v>
      </c>
    </row>
    <row r="205" spans="1:10" x14ac:dyDescent="0.25">
      <c r="A205" t="s">
        <v>8</v>
      </c>
      <c r="B205">
        <v>4350900</v>
      </c>
      <c r="C205" t="s">
        <v>219</v>
      </c>
      <c r="D205">
        <v>1</v>
      </c>
      <c r="E205" t="s">
        <v>10</v>
      </c>
      <c r="F205" t="s">
        <v>11</v>
      </c>
      <c r="G205" s="1"/>
      <c r="H205" t="str">
        <f>"3700920112971"</f>
        <v>3700920112971</v>
      </c>
      <c r="J205" t="s">
        <v>220</v>
      </c>
    </row>
    <row r="206" spans="1:10" x14ac:dyDescent="0.25">
      <c r="A206" t="s">
        <v>8</v>
      </c>
      <c r="B206">
        <v>4351020</v>
      </c>
      <c r="C206" t="s">
        <v>221</v>
      </c>
      <c r="D206">
        <v>1</v>
      </c>
      <c r="E206" t="s">
        <v>10</v>
      </c>
      <c r="F206" t="s">
        <v>11</v>
      </c>
      <c r="G206" s="1"/>
      <c r="H206" t="str">
        <f>"3700920108592"</f>
        <v>3700920108592</v>
      </c>
      <c r="J206" t="s">
        <v>222</v>
      </c>
    </row>
    <row r="207" spans="1:10" x14ac:dyDescent="0.25">
      <c r="A207" t="s">
        <v>8</v>
      </c>
      <c r="B207">
        <v>4352020</v>
      </c>
      <c r="C207" t="s">
        <v>223</v>
      </c>
      <c r="D207">
        <v>1</v>
      </c>
      <c r="E207" t="s">
        <v>10</v>
      </c>
      <c r="F207" t="s">
        <v>11</v>
      </c>
      <c r="G207" s="1"/>
      <c r="H207" t="str">
        <f>"3700920108608"</f>
        <v>3700920108608</v>
      </c>
      <c r="J207" t="s">
        <v>222</v>
      </c>
    </row>
    <row r="208" spans="1:10" x14ac:dyDescent="0.25">
      <c r="A208" t="s">
        <v>8</v>
      </c>
      <c r="B208">
        <v>4353020</v>
      </c>
      <c r="C208" t="s">
        <v>224</v>
      </c>
      <c r="D208">
        <v>1</v>
      </c>
      <c r="E208" t="s">
        <v>10</v>
      </c>
      <c r="F208" t="s">
        <v>11</v>
      </c>
      <c r="G208" s="1"/>
      <c r="H208" t="str">
        <f>"3700920108615"</f>
        <v>3700920108615</v>
      </c>
      <c r="J208" t="s">
        <v>43</v>
      </c>
    </row>
    <row r="209" spans="1:10" x14ac:dyDescent="0.25">
      <c r="A209" t="s">
        <v>8</v>
      </c>
      <c r="B209">
        <v>4359500</v>
      </c>
      <c r="C209" t="s">
        <v>225</v>
      </c>
      <c r="D209">
        <v>1</v>
      </c>
      <c r="E209" t="s">
        <v>10</v>
      </c>
      <c r="F209" t="s">
        <v>11</v>
      </c>
      <c r="G209" s="1"/>
      <c r="H209" t="str">
        <f>"3700920109384"</f>
        <v>3700920109384</v>
      </c>
      <c r="J209" t="s">
        <v>162</v>
      </c>
    </row>
    <row r="210" spans="1:10" x14ac:dyDescent="0.25">
      <c r="A210" t="s">
        <v>8</v>
      </c>
      <c r="B210">
        <v>4359510</v>
      </c>
      <c r="C210" t="s">
        <v>226</v>
      </c>
      <c r="D210">
        <v>1</v>
      </c>
      <c r="E210" t="s">
        <v>10</v>
      </c>
      <c r="F210" t="s">
        <v>11</v>
      </c>
      <c r="G210" s="1"/>
      <c r="H210" t="str">
        <f>"3700920109391"</f>
        <v>3700920109391</v>
      </c>
      <c r="J210" t="s">
        <v>162</v>
      </c>
    </row>
    <row r="211" spans="1:10" x14ac:dyDescent="0.25">
      <c r="A211" t="s">
        <v>8</v>
      </c>
      <c r="B211">
        <v>4359520</v>
      </c>
      <c r="C211" t="s">
        <v>227</v>
      </c>
      <c r="D211">
        <v>1</v>
      </c>
      <c r="E211" t="s">
        <v>10</v>
      </c>
      <c r="F211" t="s">
        <v>11</v>
      </c>
      <c r="G211" s="1"/>
      <c r="H211" t="str">
        <f>"3700920109407"</f>
        <v>3700920109407</v>
      </c>
      <c r="J211" t="s">
        <v>162</v>
      </c>
    </row>
    <row r="212" spans="1:10" x14ac:dyDescent="0.25">
      <c r="A212" t="s">
        <v>8</v>
      </c>
      <c r="B212">
        <v>4359921</v>
      </c>
      <c r="C212" t="s">
        <v>228</v>
      </c>
      <c r="D212">
        <v>1</v>
      </c>
      <c r="E212" t="s">
        <v>10</v>
      </c>
      <c r="F212" t="s">
        <v>11</v>
      </c>
      <c r="G212" s="1"/>
      <c r="H212" t="str">
        <f>"3700920144361"</f>
        <v>3700920144361</v>
      </c>
      <c r="I212" s="1"/>
      <c r="J212" t="s">
        <v>229</v>
      </c>
    </row>
    <row r="213" spans="1:10" x14ac:dyDescent="0.25">
      <c r="A213" t="s">
        <v>8</v>
      </c>
      <c r="B213">
        <v>4370020</v>
      </c>
      <c r="C213" t="s">
        <v>230</v>
      </c>
      <c r="D213">
        <v>1</v>
      </c>
      <c r="E213" t="s">
        <v>10</v>
      </c>
      <c r="F213" t="s">
        <v>11</v>
      </c>
      <c r="G213" s="1"/>
      <c r="H213" t="str">
        <f>"3700920108622"</f>
        <v>3700920108622</v>
      </c>
      <c r="J213" s="1">
        <v>21</v>
      </c>
    </row>
    <row r="214" spans="1:10" x14ac:dyDescent="0.25">
      <c r="A214" t="s">
        <v>8</v>
      </c>
      <c r="B214">
        <v>4371020</v>
      </c>
      <c r="C214" t="s">
        <v>231</v>
      </c>
      <c r="D214">
        <v>1</v>
      </c>
      <c r="E214" t="s">
        <v>10</v>
      </c>
      <c r="F214" t="s">
        <v>11</v>
      </c>
      <c r="G214" s="1"/>
      <c r="H214" t="str">
        <f>"3700920108639"</f>
        <v>3700920108639</v>
      </c>
      <c r="J214" t="s">
        <v>232</v>
      </c>
    </row>
    <row r="215" spans="1:10" x14ac:dyDescent="0.25">
      <c r="A215" t="s">
        <v>8</v>
      </c>
      <c r="B215">
        <v>4372020</v>
      </c>
      <c r="C215" t="s">
        <v>233</v>
      </c>
      <c r="D215">
        <v>1</v>
      </c>
      <c r="E215" t="s">
        <v>10</v>
      </c>
      <c r="F215" t="s">
        <v>11</v>
      </c>
      <c r="G215" s="1"/>
      <c r="H215" t="str">
        <f>"3700920108646"</f>
        <v>3700920108646</v>
      </c>
      <c r="J215" t="s">
        <v>232</v>
      </c>
    </row>
    <row r="216" spans="1:10" x14ac:dyDescent="0.25">
      <c r="A216" t="s">
        <v>8</v>
      </c>
      <c r="B216">
        <v>4373020</v>
      </c>
      <c r="C216" t="s">
        <v>234</v>
      </c>
      <c r="D216">
        <v>1</v>
      </c>
      <c r="E216" t="s">
        <v>10</v>
      </c>
      <c r="F216" t="s">
        <v>11</v>
      </c>
      <c r="G216" s="1"/>
      <c r="H216" t="str">
        <f>"3700920108653"</f>
        <v>3700920108653</v>
      </c>
      <c r="J216" t="s">
        <v>235</v>
      </c>
    </row>
    <row r="217" spans="1:10" x14ac:dyDescent="0.25">
      <c r="A217" t="s">
        <v>8</v>
      </c>
      <c r="B217">
        <v>4379700</v>
      </c>
      <c r="C217" t="s">
        <v>236</v>
      </c>
      <c r="D217">
        <v>1</v>
      </c>
      <c r="E217" t="s">
        <v>10</v>
      </c>
      <c r="F217" t="s">
        <v>11</v>
      </c>
      <c r="G217" s="1"/>
      <c r="H217" t="str">
        <f>"3700920109414"</f>
        <v>3700920109414</v>
      </c>
      <c r="J217" t="s">
        <v>162</v>
      </c>
    </row>
    <row r="218" spans="1:10" x14ac:dyDescent="0.25">
      <c r="A218" t="s">
        <v>8</v>
      </c>
      <c r="B218">
        <v>4379710</v>
      </c>
      <c r="C218" t="s">
        <v>236</v>
      </c>
      <c r="D218">
        <v>1</v>
      </c>
      <c r="E218" t="s">
        <v>10</v>
      </c>
      <c r="F218" t="s">
        <v>11</v>
      </c>
      <c r="G218" s="1"/>
      <c r="H218" t="str">
        <f>"3700920109421"</f>
        <v>3700920109421</v>
      </c>
      <c r="J218" t="s">
        <v>162</v>
      </c>
    </row>
    <row r="219" spans="1:10" x14ac:dyDescent="0.25">
      <c r="A219" t="s">
        <v>8</v>
      </c>
      <c r="B219">
        <v>4379720</v>
      </c>
      <c r="C219" t="s">
        <v>236</v>
      </c>
      <c r="D219">
        <v>1</v>
      </c>
      <c r="E219" t="s">
        <v>10</v>
      </c>
      <c r="F219" t="s">
        <v>11</v>
      </c>
      <c r="G219" s="1"/>
      <c r="H219" t="str">
        <f>"3700920109438"</f>
        <v>3700920109438</v>
      </c>
      <c r="J219" t="s">
        <v>162</v>
      </c>
    </row>
    <row r="220" spans="1:10" x14ac:dyDescent="0.25">
      <c r="A220" t="s">
        <v>8</v>
      </c>
      <c r="B220">
        <v>4380020</v>
      </c>
      <c r="C220" t="s">
        <v>237</v>
      </c>
      <c r="D220">
        <v>1</v>
      </c>
      <c r="E220" t="s">
        <v>10</v>
      </c>
      <c r="F220" t="s">
        <v>11</v>
      </c>
      <c r="G220" s="1"/>
      <c r="H220" t="str">
        <f>"3700920108660"</f>
        <v>3700920108660</v>
      </c>
      <c r="J220" t="s">
        <v>107</v>
      </c>
    </row>
    <row r="221" spans="1:10" x14ac:dyDescent="0.25">
      <c r="A221" t="s">
        <v>8</v>
      </c>
      <c r="B221">
        <v>4380022</v>
      </c>
      <c r="C221" t="s">
        <v>238</v>
      </c>
      <c r="D221">
        <v>1</v>
      </c>
      <c r="E221" t="s">
        <v>10</v>
      </c>
      <c r="F221" t="s">
        <v>11</v>
      </c>
      <c r="G221" s="1"/>
      <c r="H221" t="str">
        <f>"3700920116207"</f>
        <v>3700920116207</v>
      </c>
      <c r="J221" t="s">
        <v>222</v>
      </c>
    </row>
    <row r="222" spans="1:10" x14ac:dyDescent="0.25">
      <c r="A222" t="s">
        <v>8</v>
      </c>
      <c r="B222">
        <v>4380023</v>
      </c>
      <c r="C222" t="s">
        <v>239</v>
      </c>
      <c r="D222">
        <v>1</v>
      </c>
      <c r="E222" t="s">
        <v>10</v>
      </c>
      <c r="F222" t="s">
        <v>11</v>
      </c>
      <c r="G222" s="1"/>
      <c r="H222" t="str">
        <f>"3700920116214"</f>
        <v>3700920116214</v>
      </c>
      <c r="J222" s="1">
        <v>30</v>
      </c>
    </row>
    <row r="223" spans="1:10" x14ac:dyDescent="0.25">
      <c r="A223" t="s">
        <v>8</v>
      </c>
      <c r="B223">
        <v>4389800</v>
      </c>
      <c r="C223" t="s">
        <v>240</v>
      </c>
      <c r="D223">
        <v>1</v>
      </c>
      <c r="E223" t="s">
        <v>10</v>
      </c>
      <c r="F223" t="s">
        <v>11</v>
      </c>
      <c r="G223" s="1"/>
      <c r="H223" t="str">
        <f>"3700920109445"</f>
        <v>3700920109445</v>
      </c>
      <c r="J223" t="s">
        <v>162</v>
      </c>
    </row>
    <row r="224" spans="1:10" x14ac:dyDescent="0.25">
      <c r="A224" t="s">
        <v>8</v>
      </c>
      <c r="B224">
        <v>4389802</v>
      </c>
      <c r="C224" t="s">
        <v>240</v>
      </c>
      <c r="D224">
        <v>1</v>
      </c>
      <c r="E224" t="s">
        <v>10</v>
      </c>
      <c r="F224" t="s">
        <v>11</v>
      </c>
      <c r="G224" s="1"/>
      <c r="H224" t="str">
        <f>"3700920116221"</f>
        <v>3700920116221</v>
      </c>
      <c r="J224" t="s">
        <v>162</v>
      </c>
    </row>
    <row r="225" spans="1:10" x14ac:dyDescent="0.25">
      <c r="A225" t="s">
        <v>8</v>
      </c>
      <c r="B225">
        <v>4399920</v>
      </c>
      <c r="C225" t="s">
        <v>241</v>
      </c>
      <c r="D225">
        <v>1</v>
      </c>
      <c r="E225" t="s">
        <v>10</v>
      </c>
      <c r="F225" t="s">
        <v>11</v>
      </c>
      <c r="G225" s="1"/>
      <c r="H225" t="str">
        <f>"3700920144378"</f>
        <v>3700920144378</v>
      </c>
      <c r="I225" s="1"/>
      <c r="J225" t="s">
        <v>229</v>
      </c>
    </row>
    <row r="226" spans="1:10" x14ac:dyDescent="0.25">
      <c r="A226" t="s">
        <v>8</v>
      </c>
      <c r="B226">
        <v>4600427</v>
      </c>
      <c r="C226" t="s">
        <v>242</v>
      </c>
      <c r="D226">
        <v>1</v>
      </c>
      <c r="E226" t="s">
        <v>10</v>
      </c>
      <c r="F226" t="s">
        <v>11</v>
      </c>
      <c r="G226" s="1"/>
      <c r="H226" t="str">
        <f>"3700920140882"</f>
        <v>3700920140882</v>
      </c>
      <c r="J226" t="s">
        <v>243</v>
      </c>
    </row>
    <row r="227" spans="1:10" x14ac:dyDescent="0.25">
      <c r="A227" t="s">
        <v>8</v>
      </c>
      <c r="B227">
        <v>4600430</v>
      </c>
      <c r="C227" t="s">
        <v>244</v>
      </c>
      <c r="D227">
        <v>1</v>
      </c>
      <c r="E227" t="s">
        <v>10</v>
      </c>
      <c r="F227" t="s">
        <v>11</v>
      </c>
      <c r="G227" s="1"/>
      <c r="H227" t="str">
        <f>"3700920140899"</f>
        <v>3700920140899</v>
      </c>
      <c r="J227" t="s">
        <v>243</v>
      </c>
    </row>
    <row r="228" spans="1:10" x14ac:dyDescent="0.25">
      <c r="A228" t="s">
        <v>8</v>
      </c>
      <c r="B228">
        <v>4600527</v>
      </c>
      <c r="C228" t="s">
        <v>245</v>
      </c>
      <c r="D228">
        <v>1</v>
      </c>
      <c r="E228" t="s">
        <v>10</v>
      </c>
      <c r="F228" t="s">
        <v>11</v>
      </c>
      <c r="G228" s="1"/>
      <c r="H228" t="str">
        <f>"3700920115897"</f>
        <v>3700920115897</v>
      </c>
      <c r="J228" t="s">
        <v>246</v>
      </c>
    </row>
    <row r="229" spans="1:10" x14ac:dyDescent="0.25">
      <c r="A229" t="s">
        <v>8</v>
      </c>
      <c r="B229">
        <v>4600530</v>
      </c>
      <c r="C229" t="s">
        <v>247</v>
      </c>
      <c r="D229">
        <v>1</v>
      </c>
      <c r="E229" t="s">
        <v>10</v>
      </c>
      <c r="F229" t="s">
        <v>11</v>
      </c>
      <c r="G229" s="1"/>
      <c r="H229" t="str">
        <f>"3700920115903"</f>
        <v>3700920115903</v>
      </c>
      <c r="J229" t="s">
        <v>246</v>
      </c>
    </row>
    <row r="230" spans="1:10" x14ac:dyDescent="0.25">
      <c r="A230" t="s">
        <v>8</v>
      </c>
      <c r="B230">
        <v>4600627</v>
      </c>
      <c r="C230" t="s">
        <v>248</v>
      </c>
      <c r="D230">
        <v>1</v>
      </c>
      <c r="E230" t="s">
        <v>10</v>
      </c>
      <c r="F230" t="s">
        <v>11</v>
      </c>
      <c r="G230" s="1"/>
      <c r="H230" t="str">
        <f>"3700920115910"</f>
        <v>3700920115910</v>
      </c>
      <c r="J230" t="s">
        <v>249</v>
      </c>
    </row>
    <row r="231" spans="1:10" x14ac:dyDescent="0.25">
      <c r="A231" t="s">
        <v>8</v>
      </c>
      <c r="B231">
        <v>4600630</v>
      </c>
      <c r="C231" t="s">
        <v>250</v>
      </c>
      <c r="D231">
        <v>1</v>
      </c>
      <c r="E231" t="s">
        <v>10</v>
      </c>
      <c r="F231" t="s">
        <v>11</v>
      </c>
      <c r="G231" s="1"/>
      <c r="H231" t="str">
        <f>"3700920115927"</f>
        <v>3700920115927</v>
      </c>
      <c r="J231" t="s">
        <v>249</v>
      </c>
    </row>
    <row r="232" spans="1:10" x14ac:dyDescent="0.25">
      <c r="A232" t="s">
        <v>8</v>
      </c>
      <c r="B232">
        <v>4600827</v>
      </c>
      <c r="C232" t="s">
        <v>251</v>
      </c>
      <c r="D232">
        <v>1</v>
      </c>
      <c r="E232" t="s">
        <v>10</v>
      </c>
      <c r="F232" t="s">
        <v>11</v>
      </c>
      <c r="G232" s="1"/>
      <c r="H232" t="str">
        <f>"3700920115026"</f>
        <v>3700920115026</v>
      </c>
      <c r="J232" t="s">
        <v>20</v>
      </c>
    </row>
    <row r="233" spans="1:10" x14ac:dyDescent="0.25">
      <c r="A233" t="s">
        <v>8</v>
      </c>
      <c r="B233">
        <v>4600830</v>
      </c>
      <c r="C233" t="s">
        <v>252</v>
      </c>
      <c r="D233">
        <v>1</v>
      </c>
      <c r="E233" t="s">
        <v>10</v>
      </c>
      <c r="F233" t="s">
        <v>11</v>
      </c>
      <c r="G233" s="1"/>
      <c r="H233" t="str">
        <f>"3700920115033"</f>
        <v>3700920115033</v>
      </c>
      <c r="J233" t="s">
        <v>20</v>
      </c>
    </row>
    <row r="234" spans="1:10" x14ac:dyDescent="0.25">
      <c r="A234" t="s">
        <v>8</v>
      </c>
      <c r="B234">
        <v>4600850</v>
      </c>
      <c r="C234" t="s">
        <v>253</v>
      </c>
      <c r="D234">
        <v>1</v>
      </c>
      <c r="E234" t="s">
        <v>10</v>
      </c>
      <c r="F234" t="s">
        <v>11</v>
      </c>
      <c r="G234" s="1"/>
      <c r="H234" t="str">
        <f>"3700920115934"</f>
        <v>3700920115934</v>
      </c>
      <c r="J234" t="s">
        <v>254</v>
      </c>
    </row>
    <row r="235" spans="1:10" x14ac:dyDescent="0.25">
      <c r="A235" t="s">
        <v>8</v>
      </c>
      <c r="B235">
        <v>4600927</v>
      </c>
      <c r="C235" t="s">
        <v>255</v>
      </c>
      <c r="D235">
        <v>1</v>
      </c>
      <c r="E235" t="s">
        <v>10</v>
      </c>
      <c r="F235" t="s">
        <v>11</v>
      </c>
      <c r="G235" s="1"/>
      <c r="H235" t="str">
        <f>"3700920115040"</f>
        <v>3700920115040</v>
      </c>
      <c r="J235" t="s">
        <v>20</v>
      </c>
    </row>
    <row r="236" spans="1:10" x14ac:dyDescent="0.25">
      <c r="A236" t="s">
        <v>8</v>
      </c>
      <c r="B236">
        <v>4600930</v>
      </c>
      <c r="C236" t="s">
        <v>256</v>
      </c>
      <c r="D236">
        <v>1</v>
      </c>
      <c r="E236" t="s">
        <v>10</v>
      </c>
      <c r="F236" t="s">
        <v>11</v>
      </c>
      <c r="G236" s="1"/>
      <c r="H236" t="str">
        <f>"3700920115057"</f>
        <v>3700920115057</v>
      </c>
      <c r="J236" t="s">
        <v>20</v>
      </c>
    </row>
    <row r="237" spans="1:10" x14ac:dyDescent="0.25">
      <c r="A237" t="s">
        <v>8</v>
      </c>
      <c r="B237">
        <v>4601001</v>
      </c>
      <c r="C237" t="s">
        <v>257</v>
      </c>
      <c r="D237">
        <v>1</v>
      </c>
      <c r="E237" t="s">
        <v>10</v>
      </c>
      <c r="F237" t="s">
        <v>11</v>
      </c>
      <c r="G237" s="1"/>
      <c r="H237" t="str">
        <f>"3700920145887"</f>
        <v>3700920145887</v>
      </c>
      <c r="J237" t="s">
        <v>258</v>
      </c>
    </row>
    <row r="238" spans="1:10" x14ac:dyDescent="0.25">
      <c r="A238" t="s">
        <v>8</v>
      </c>
      <c r="B238">
        <v>4601002</v>
      </c>
      <c r="C238" t="s">
        <v>257</v>
      </c>
      <c r="D238">
        <v>1</v>
      </c>
      <c r="E238" t="s">
        <v>10</v>
      </c>
      <c r="F238" t="s">
        <v>11</v>
      </c>
      <c r="G238" s="1"/>
      <c r="H238" t="str">
        <f>"3700920145894"</f>
        <v>3700920145894</v>
      </c>
      <c r="J238" t="s">
        <v>66</v>
      </c>
    </row>
    <row r="239" spans="1:10" x14ac:dyDescent="0.25">
      <c r="A239" t="s">
        <v>8</v>
      </c>
      <c r="B239">
        <v>4601003</v>
      </c>
      <c r="C239" t="s">
        <v>259</v>
      </c>
      <c r="D239">
        <v>1</v>
      </c>
      <c r="E239" t="s">
        <v>10</v>
      </c>
      <c r="F239" t="s">
        <v>11</v>
      </c>
      <c r="G239" s="1"/>
      <c r="H239" t="str">
        <f>"3700920145900"</f>
        <v>3700920145900</v>
      </c>
      <c r="J239" t="s">
        <v>258</v>
      </c>
    </row>
    <row r="240" spans="1:10" x14ac:dyDescent="0.25">
      <c r="A240" t="s">
        <v>8</v>
      </c>
      <c r="B240">
        <v>4601004</v>
      </c>
      <c r="C240" t="s">
        <v>259</v>
      </c>
      <c r="D240">
        <v>1</v>
      </c>
      <c r="E240" t="s">
        <v>10</v>
      </c>
      <c r="F240" t="s">
        <v>11</v>
      </c>
      <c r="G240" s="1"/>
      <c r="H240" t="str">
        <f>"3700920145917"</f>
        <v>3700920145917</v>
      </c>
      <c r="J240" t="s">
        <v>66</v>
      </c>
    </row>
    <row r="241" spans="1:10" x14ac:dyDescent="0.25">
      <c r="A241" t="s">
        <v>8</v>
      </c>
      <c r="B241">
        <v>4601927</v>
      </c>
      <c r="C241" t="s">
        <v>260</v>
      </c>
      <c r="D241">
        <v>1</v>
      </c>
      <c r="E241" t="s">
        <v>10</v>
      </c>
      <c r="F241" t="s">
        <v>11</v>
      </c>
      <c r="G241" s="1"/>
      <c r="H241" t="str">
        <f>"3700920115941"</f>
        <v>3700920115941</v>
      </c>
      <c r="J241" t="s">
        <v>261</v>
      </c>
    </row>
    <row r="242" spans="1:10" x14ac:dyDescent="0.25">
      <c r="A242" t="s">
        <v>8</v>
      </c>
      <c r="B242">
        <v>4601930</v>
      </c>
      <c r="C242" t="s">
        <v>262</v>
      </c>
      <c r="D242">
        <v>1</v>
      </c>
      <c r="E242" t="s">
        <v>10</v>
      </c>
      <c r="F242" t="s">
        <v>11</v>
      </c>
      <c r="G242" s="1"/>
      <c r="H242" t="str">
        <f>"3700920115958"</f>
        <v>3700920115958</v>
      </c>
      <c r="J242" t="s">
        <v>261</v>
      </c>
    </row>
    <row r="243" spans="1:10" x14ac:dyDescent="0.25">
      <c r="A243" t="s">
        <v>8</v>
      </c>
      <c r="B243">
        <v>4601950</v>
      </c>
      <c r="C243" t="s">
        <v>263</v>
      </c>
      <c r="D243">
        <v>1</v>
      </c>
      <c r="E243" t="s">
        <v>10</v>
      </c>
      <c r="F243" t="s">
        <v>11</v>
      </c>
      <c r="G243" s="1"/>
      <c r="H243" t="str">
        <f>"3700920115965"</f>
        <v>3700920115965</v>
      </c>
      <c r="J243" t="s">
        <v>264</v>
      </c>
    </row>
    <row r="244" spans="1:10" x14ac:dyDescent="0.25">
      <c r="A244" t="s">
        <v>8</v>
      </c>
      <c r="B244">
        <v>4602422</v>
      </c>
      <c r="C244" t="s">
        <v>265</v>
      </c>
      <c r="D244">
        <v>1</v>
      </c>
      <c r="E244" t="s">
        <v>10</v>
      </c>
      <c r="F244" t="s">
        <v>11</v>
      </c>
      <c r="G244" s="1"/>
      <c r="H244" t="str">
        <f>"3700920116269"</f>
        <v>3700920116269</v>
      </c>
      <c r="J244" s="1">
        <v>42</v>
      </c>
    </row>
    <row r="245" spans="1:10" x14ac:dyDescent="0.25">
      <c r="A245" t="s">
        <v>8</v>
      </c>
      <c r="B245">
        <v>4602622</v>
      </c>
      <c r="C245" t="s">
        <v>266</v>
      </c>
      <c r="D245">
        <v>1</v>
      </c>
      <c r="E245" t="s">
        <v>10</v>
      </c>
      <c r="F245" t="s">
        <v>11</v>
      </c>
      <c r="G245" s="1"/>
      <c r="H245" t="str">
        <f>"3700920116276"</f>
        <v>3700920116276</v>
      </c>
      <c r="J245" s="1">
        <v>39</v>
      </c>
    </row>
    <row r="246" spans="1:10" x14ac:dyDescent="0.25">
      <c r="A246" t="s">
        <v>8</v>
      </c>
      <c r="B246">
        <v>4604270</v>
      </c>
      <c r="C246" t="s">
        <v>267</v>
      </c>
      <c r="D246">
        <v>1</v>
      </c>
      <c r="E246" t="s">
        <v>10</v>
      </c>
      <c r="F246" t="s">
        <v>11</v>
      </c>
      <c r="G246" s="1"/>
      <c r="H246" t="str">
        <f>"3700920147249"</f>
        <v>3700920147249</v>
      </c>
      <c r="J246" t="s">
        <v>268</v>
      </c>
    </row>
    <row r="247" spans="1:10" x14ac:dyDescent="0.25">
      <c r="A247" t="s">
        <v>8</v>
      </c>
      <c r="B247">
        <v>4604271</v>
      </c>
      <c r="C247" t="s">
        <v>269</v>
      </c>
      <c r="D247">
        <v>1</v>
      </c>
      <c r="E247" t="s">
        <v>10</v>
      </c>
      <c r="F247" t="s">
        <v>11</v>
      </c>
      <c r="G247" s="1"/>
      <c r="H247" t="str">
        <f>"3700920147256"</f>
        <v>3700920147256</v>
      </c>
      <c r="J247" t="s">
        <v>268</v>
      </c>
    </row>
    <row r="248" spans="1:10" x14ac:dyDescent="0.25">
      <c r="A248" t="s">
        <v>8</v>
      </c>
      <c r="B248">
        <v>4604272</v>
      </c>
      <c r="C248" t="s">
        <v>270</v>
      </c>
      <c r="D248">
        <v>1</v>
      </c>
      <c r="E248" t="s">
        <v>10</v>
      </c>
      <c r="F248" t="s">
        <v>11</v>
      </c>
      <c r="G248" s="1"/>
      <c r="H248" t="str">
        <f>"3700920147263"</f>
        <v>3700920147263</v>
      </c>
      <c r="J248" t="s">
        <v>271</v>
      </c>
    </row>
    <row r="249" spans="1:10" x14ac:dyDescent="0.25">
      <c r="A249" t="s">
        <v>8</v>
      </c>
      <c r="B249">
        <v>4604273</v>
      </c>
      <c r="C249" t="s">
        <v>272</v>
      </c>
      <c r="D249">
        <v>1</v>
      </c>
      <c r="E249" t="s">
        <v>10</v>
      </c>
      <c r="F249" t="s">
        <v>11</v>
      </c>
      <c r="G249" s="1"/>
      <c r="H249" t="str">
        <f>"3700920147270"</f>
        <v>3700920147270</v>
      </c>
      <c r="J249" t="s">
        <v>268</v>
      </c>
    </row>
    <row r="250" spans="1:10" x14ac:dyDescent="0.25">
      <c r="A250" t="s">
        <v>8</v>
      </c>
      <c r="B250">
        <v>4604300</v>
      </c>
      <c r="C250" t="s">
        <v>273</v>
      </c>
      <c r="D250">
        <v>1</v>
      </c>
      <c r="E250" t="s">
        <v>10</v>
      </c>
      <c r="F250" t="s">
        <v>11</v>
      </c>
      <c r="G250" s="1"/>
      <c r="H250" t="str">
        <f>"3700920147287"</f>
        <v>3700920147287</v>
      </c>
      <c r="J250" t="s">
        <v>268</v>
      </c>
    </row>
    <row r="251" spans="1:10" x14ac:dyDescent="0.25">
      <c r="A251" t="s">
        <v>8</v>
      </c>
      <c r="B251">
        <v>4604301</v>
      </c>
      <c r="C251" t="s">
        <v>274</v>
      </c>
      <c r="D251">
        <v>1</v>
      </c>
      <c r="E251" t="s">
        <v>10</v>
      </c>
      <c r="F251" t="s">
        <v>11</v>
      </c>
      <c r="G251" s="1"/>
      <c r="H251" t="str">
        <f>"3700920147294"</f>
        <v>3700920147294</v>
      </c>
      <c r="J251" t="s">
        <v>268</v>
      </c>
    </row>
    <row r="252" spans="1:10" x14ac:dyDescent="0.25">
      <c r="A252" t="s">
        <v>8</v>
      </c>
      <c r="B252">
        <v>4604302</v>
      </c>
      <c r="C252" t="s">
        <v>275</v>
      </c>
      <c r="D252">
        <v>1</v>
      </c>
      <c r="E252" t="s">
        <v>10</v>
      </c>
      <c r="F252" t="s">
        <v>11</v>
      </c>
      <c r="G252" s="1"/>
      <c r="H252" t="str">
        <f>"3700920147300"</f>
        <v>3700920147300</v>
      </c>
      <c r="J252" t="s">
        <v>271</v>
      </c>
    </row>
    <row r="253" spans="1:10" x14ac:dyDescent="0.25">
      <c r="A253" t="s">
        <v>8</v>
      </c>
      <c r="B253">
        <v>4604303</v>
      </c>
      <c r="C253" t="s">
        <v>276</v>
      </c>
      <c r="D253">
        <v>1</v>
      </c>
      <c r="E253" t="s">
        <v>10</v>
      </c>
      <c r="F253" t="s">
        <v>11</v>
      </c>
      <c r="G253" s="1"/>
      <c r="H253" t="str">
        <f>"3700920147317"</f>
        <v>3700920147317</v>
      </c>
      <c r="J253" t="s">
        <v>268</v>
      </c>
    </row>
    <row r="254" spans="1:10" x14ac:dyDescent="0.25">
      <c r="A254" t="s">
        <v>8</v>
      </c>
      <c r="B254">
        <v>4605270</v>
      </c>
      <c r="C254" t="s">
        <v>277</v>
      </c>
      <c r="D254">
        <v>1</v>
      </c>
      <c r="E254" t="s">
        <v>10</v>
      </c>
      <c r="F254" t="s">
        <v>11</v>
      </c>
      <c r="G254" s="1"/>
      <c r="H254" t="str">
        <f>"3700920147324"</f>
        <v>3700920147324</v>
      </c>
      <c r="J254" t="s">
        <v>278</v>
      </c>
    </row>
    <row r="255" spans="1:10" x14ac:dyDescent="0.25">
      <c r="A255" t="s">
        <v>8</v>
      </c>
      <c r="B255">
        <v>4605271</v>
      </c>
      <c r="C255" t="s">
        <v>279</v>
      </c>
      <c r="D255">
        <v>1</v>
      </c>
      <c r="E255" t="s">
        <v>10</v>
      </c>
      <c r="F255" t="s">
        <v>11</v>
      </c>
      <c r="G255" s="1"/>
      <c r="H255" t="str">
        <f>"3700920147331"</f>
        <v>3700920147331</v>
      </c>
      <c r="J255" t="s">
        <v>278</v>
      </c>
    </row>
    <row r="256" spans="1:10" x14ac:dyDescent="0.25">
      <c r="A256" t="s">
        <v>8</v>
      </c>
      <c r="B256">
        <v>4605272</v>
      </c>
      <c r="C256" t="s">
        <v>280</v>
      </c>
      <c r="D256">
        <v>1</v>
      </c>
      <c r="E256" t="s">
        <v>10</v>
      </c>
      <c r="F256" t="s">
        <v>11</v>
      </c>
      <c r="G256" s="1"/>
      <c r="H256" t="str">
        <f>"3700920147348"</f>
        <v>3700920147348</v>
      </c>
      <c r="J256" s="1">
        <v>39</v>
      </c>
    </row>
    <row r="257" spans="1:10" x14ac:dyDescent="0.25">
      <c r="A257" t="s">
        <v>8</v>
      </c>
      <c r="B257">
        <v>4605273</v>
      </c>
      <c r="C257" t="s">
        <v>281</v>
      </c>
      <c r="D257">
        <v>1</v>
      </c>
      <c r="E257" t="s">
        <v>10</v>
      </c>
      <c r="F257" t="s">
        <v>11</v>
      </c>
      <c r="G257" s="1"/>
      <c r="H257" t="str">
        <f>"3700920147355"</f>
        <v>3700920147355</v>
      </c>
      <c r="J257" s="1">
        <v>39</v>
      </c>
    </row>
    <row r="258" spans="1:10" x14ac:dyDescent="0.25">
      <c r="A258" t="s">
        <v>8</v>
      </c>
      <c r="B258">
        <v>4605300</v>
      </c>
      <c r="C258" t="s">
        <v>282</v>
      </c>
      <c r="D258">
        <v>1</v>
      </c>
      <c r="E258" t="s">
        <v>10</v>
      </c>
      <c r="F258" t="s">
        <v>11</v>
      </c>
      <c r="G258" s="1"/>
      <c r="H258" t="str">
        <f>"3700920147362"</f>
        <v>3700920147362</v>
      </c>
      <c r="J258" t="s">
        <v>278</v>
      </c>
    </row>
    <row r="259" spans="1:10" x14ac:dyDescent="0.25">
      <c r="A259" t="s">
        <v>8</v>
      </c>
      <c r="B259">
        <v>4605301</v>
      </c>
      <c r="C259" t="s">
        <v>283</v>
      </c>
      <c r="D259">
        <v>1</v>
      </c>
      <c r="E259" t="s">
        <v>10</v>
      </c>
      <c r="F259" t="s">
        <v>11</v>
      </c>
      <c r="G259" s="1"/>
      <c r="H259" t="str">
        <f>"3700920147379"</f>
        <v>3700920147379</v>
      </c>
      <c r="J259" t="s">
        <v>278</v>
      </c>
    </row>
    <row r="260" spans="1:10" x14ac:dyDescent="0.25">
      <c r="A260" t="s">
        <v>8</v>
      </c>
      <c r="B260">
        <v>4605302</v>
      </c>
      <c r="C260" t="s">
        <v>284</v>
      </c>
      <c r="D260">
        <v>1</v>
      </c>
      <c r="E260" t="s">
        <v>10</v>
      </c>
      <c r="F260" t="s">
        <v>11</v>
      </c>
      <c r="G260" s="1"/>
      <c r="H260" t="str">
        <f>"3700920147386"</f>
        <v>3700920147386</v>
      </c>
      <c r="J260" s="1">
        <v>39</v>
      </c>
    </row>
    <row r="261" spans="1:10" x14ac:dyDescent="0.25">
      <c r="A261" t="s">
        <v>8</v>
      </c>
      <c r="B261">
        <v>4605303</v>
      </c>
      <c r="C261" t="s">
        <v>285</v>
      </c>
      <c r="D261">
        <v>1</v>
      </c>
      <c r="E261" t="s">
        <v>10</v>
      </c>
      <c r="F261" t="s">
        <v>11</v>
      </c>
      <c r="G261" s="1"/>
      <c r="H261" t="str">
        <f>"3700920147393"</f>
        <v>3700920147393</v>
      </c>
      <c r="J261" s="1">
        <v>39</v>
      </c>
    </row>
    <row r="262" spans="1:10" x14ac:dyDescent="0.25">
      <c r="A262" t="s">
        <v>8</v>
      </c>
      <c r="B262">
        <v>4606270</v>
      </c>
      <c r="C262" t="s">
        <v>286</v>
      </c>
      <c r="D262">
        <v>1</v>
      </c>
      <c r="E262" t="s">
        <v>10</v>
      </c>
      <c r="F262" t="s">
        <v>11</v>
      </c>
      <c r="G262" s="1"/>
      <c r="H262" t="str">
        <f>"3700920147409"</f>
        <v>3700920147409</v>
      </c>
      <c r="J262" t="s">
        <v>287</v>
      </c>
    </row>
    <row r="263" spans="1:10" x14ac:dyDescent="0.25">
      <c r="A263" t="s">
        <v>8</v>
      </c>
      <c r="B263">
        <v>4606271</v>
      </c>
      <c r="C263" t="s">
        <v>288</v>
      </c>
      <c r="D263">
        <v>1</v>
      </c>
      <c r="E263" t="s">
        <v>10</v>
      </c>
      <c r="F263" t="s">
        <v>11</v>
      </c>
      <c r="G263" s="1"/>
      <c r="H263" t="str">
        <f>"3700920147416"</f>
        <v>3700920147416</v>
      </c>
      <c r="J263" t="s">
        <v>287</v>
      </c>
    </row>
    <row r="264" spans="1:10" x14ac:dyDescent="0.25">
      <c r="A264" t="s">
        <v>8</v>
      </c>
      <c r="B264">
        <v>4606272</v>
      </c>
      <c r="C264" t="s">
        <v>289</v>
      </c>
      <c r="D264">
        <v>1</v>
      </c>
      <c r="E264" t="s">
        <v>10</v>
      </c>
      <c r="F264" t="s">
        <v>11</v>
      </c>
      <c r="G264" s="1"/>
      <c r="H264" t="str">
        <f>"3700920147423"</f>
        <v>3700920147423</v>
      </c>
      <c r="J264" t="s">
        <v>58</v>
      </c>
    </row>
    <row r="265" spans="1:10" x14ac:dyDescent="0.25">
      <c r="A265" t="s">
        <v>8</v>
      </c>
      <c r="B265">
        <v>4606273</v>
      </c>
      <c r="C265" t="s">
        <v>290</v>
      </c>
      <c r="D265">
        <v>1</v>
      </c>
      <c r="E265" t="s">
        <v>10</v>
      </c>
      <c r="F265" t="s">
        <v>11</v>
      </c>
      <c r="G265" s="1"/>
      <c r="H265" t="str">
        <f>"3700920147430"</f>
        <v>3700920147430</v>
      </c>
      <c r="J265" t="s">
        <v>58</v>
      </c>
    </row>
    <row r="266" spans="1:10" x14ac:dyDescent="0.25">
      <c r="A266" t="s">
        <v>8</v>
      </c>
      <c r="B266">
        <v>4606300</v>
      </c>
      <c r="C266" t="s">
        <v>291</v>
      </c>
      <c r="D266">
        <v>1</v>
      </c>
      <c r="E266" t="s">
        <v>10</v>
      </c>
      <c r="F266" t="s">
        <v>11</v>
      </c>
      <c r="G266" s="1"/>
      <c r="H266" t="str">
        <f>"3700920147447"</f>
        <v>3700920147447</v>
      </c>
      <c r="J266" t="s">
        <v>287</v>
      </c>
    </row>
    <row r="267" spans="1:10" x14ac:dyDescent="0.25">
      <c r="A267" t="s">
        <v>8</v>
      </c>
      <c r="B267">
        <v>4606301</v>
      </c>
      <c r="C267" t="s">
        <v>292</v>
      </c>
      <c r="D267">
        <v>1</v>
      </c>
      <c r="E267" t="s">
        <v>10</v>
      </c>
      <c r="F267" t="s">
        <v>11</v>
      </c>
      <c r="G267" s="1"/>
      <c r="H267" t="str">
        <f>"3700920147454"</f>
        <v>3700920147454</v>
      </c>
      <c r="J267" t="s">
        <v>287</v>
      </c>
    </row>
    <row r="268" spans="1:10" x14ac:dyDescent="0.25">
      <c r="A268" t="s">
        <v>8</v>
      </c>
      <c r="B268">
        <v>4606302</v>
      </c>
      <c r="C268" t="s">
        <v>293</v>
      </c>
      <c r="D268">
        <v>1</v>
      </c>
      <c r="E268" t="s">
        <v>10</v>
      </c>
      <c r="F268" t="s">
        <v>11</v>
      </c>
      <c r="G268" s="1"/>
      <c r="H268" t="str">
        <f>"3700920147461"</f>
        <v>3700920147461</v>
      </c>
      <c r="J268" t="s">
        <v>58</v>
      </c>
    </row>
    <row r="269" spans="1:10" x14ac:dyDescent="0.25">
      <c r="A269" t="s">
        <v>8</v>
      </c>
      <c r="B269">
        <v>4606303</v>
      </c>
      <c r="C269" t="s">
        <v>294</v>
      </c>
      <c r="D269">
        <v>1</v>
      </c>
      <c r="E269" t="s">
        <v>10</v>
      </c>
      <c r="F269" t="s">
        <v>11</v>
      </c>
      <c r="G269" s="1"/>
      <c r="H269" t="str">
        <f>"3700920147478"</f>
        <v>3700920147478</v>
      </c>
      <c r="J269" t="s">
        <v>58</v>
      </c>
    </row>
    <row r="270" spans="1:10" x14ac:dyDescent="0.25">
      <c r="A270" t="s">
        <v>8</v>
      </c>
      <c r="B270">
        <v>4608001</v>
      </c>
      <c r="C270" t="s">
        <v>295</v>
      </c>
      <c r="D270">
        <v>1</v>
      </c>
      <c r="E270" t="s">
        <v>10</v>
      </c>
      <c r="F270" t="s">
        <v>11</v>
      </c>
      <c r="G270" s="1"/>
      <c r="H270" t="str">
        <f>"3700920116283"</f>
        <v>3700920116283</v>
      </c>
      <c r="J270" s="1">
        <v>12</v>
      </c>
    </row>
    <row r="271" spans="1:10" x14ac:dyDescent="0.25">
      <c r="A271" t="s">
        <v>8</v>
      </c>
      <c r="B271">
        <v>4608003</v>
      </c>
      <c r="C271" t="s">
        <v>296</v>
      </c>
      <c r="D271">
        <v>1</v>
      </c>
      <c r="E271" t="s">
        <v>10</v>
      </c>
      <c r="F271" t="s">
        <v>11</v>
      </c>
      <c r="G271" s="1"/>
      <c r="H271" t="str">
        <f>"3700920116290"</f>
        <v>3700920116290</v>
      </c>
      <c r="J271" s="1">
        <v>12</v>
      </c>
    </row>
    <row r="272" spans="1:10" x14ac:dyDescent="0.25">
      <c r="A272" t="s">
        <v>8</v>
      </c>
      <c r="B272">
        <v>4608006</v>
      </c>
      <c r="C272" t="s">
        <v>297</v>
      </c>
      <c r="D272">
        <v>1</v>
      </c>
      <c r="E272" t="s">
        <v>10</v>
      </c>
      <c r="F272" t="s">
        <v>11</v>
      </c>
      <c r="G272" s="1"/>
      <c r="H272" t="str">
        <f>"3700920116306"</f>
        <v>3700920116306</v>
      </c>
      <c r="J272" s="1">
        <v>12</v>
      </c>
    </row>
    <row r="273" spans="1:10" x14ac:dyDescent="0.25">
      <c r="A273" t="s">
        <v>8</v>
      </c>
      <c r="B273">
        <v>4608021</v>
      </c>
      <c r="C273" t="s">
        <v>298</v>
      </c>
      <c r="D273">
        <v>1</v>
      </c>
      <c r="E273" t="s">
        <v>10</v>
      </c>
      <c r="F273" t="s">
        <v>11</v>
      </c>
      <c r="G273" s="1"/>
      <c r="H273" t="str">
        <f>"3700920145924"</f>
        <v>3700920145924</v>
      </c>
      <c r="I273" s="1"/>
      <c r="J273" s="1">
        <v>54</v>
      </c>
    </row>
    <row r="274" spans="1:10" x14ac:dyDescent="0.25">
      <c r="A274" t="s">
        <v>8</v>
      </c>
      <c r="B274">
        <v>4608023</v>
      </c>
      <c r="C274" t="s">
        <v>299</v>
      </c>
      <c r="D274">
        <v>1</v>
      </c>
      <c r="E274" t="s">
        <v>10</v>
      </c>
      <c r="F274" t="s">
        <v>11</v>
      </c>
      <c r="G274" s="1"/>
      <c r="H274" t="str">
        <f>"3700920145931"</f>
        <v>3700920145931</v>
      </c>
      <c r="I274" s="1"/>
      <c r="J274" s="1">
        <v>54</v>
      </c>
    </row>
    <row r="275" spans="1:10" x14ac:dyDescent="0.25">
      <c r="A275" t="s">
        <v>8</v>
      </c>
      <c r="B275">
        <v>4608026</v>
      </c>
      <c r="C275" t="s">
        <v>300</v>
      </c>
      <c r="D275">
        <v>1</v>
      </c>
      <c r="E275" t="s">
        <v>10</v>
      </c>
      <c r="F275" t="s">
        <v>11</v>
      </c>
      <c r="G275" s="1"/>
      <c r="H275" t="str">
        <f>"3700920145948"</f>
        <v>3700920145948</v>
      </c>
      <c r="I275" s="1"/>
      <c r="J275" s="1">
        <v>54</v>
      </c>
    </row>
    <row r="276" spans="1:10" x14ac:dyDescent="0.25">
      <c r="A276" t="s">
        <v>8</v>
      </c>
      <c r="B276">
        <v>4608031</v>
      </c>
      <c r="C276" t="s">
        <v>301</v>
      </c>
      <c r="D276">
        <v>1</v>
      </c>
      <c r="E276" t="s">
        <v>10</v>
      </c>
      <c r="F276" t="s">
        <v>11</v>
      </c>
      <c r="G276" s="1"/>
      <c r="H276" t="str">
        <f>"3700920145955"</f>
        <v>3700920145955</v>
      </c>
      <c r="J276" s="1">
        <v>51</v>
      </c>
    </row>
    <row r="277" spans="1:10" x14ac:dyDescent="0.25">
      <c r="A277" t="s">
        <v>8</v>
      </c>
      <c r="B277">
        <v>4608033</v>
      </c>
      <c r="C277" t="s">
        <v>302</v>
      </c>
      <c r="D277">
        <v>1</v>
      </c>
      <c r="E277" t="s">
        <v>10</v>
      </c>
      <c r="F277" t="s">
        <v>11</v>
      </c>
      <c r="G277" s="1"/>
      <c r="H277" t="str">
        <f>"3700920145962"</f>
        <v>3700920145962</v>
      </c>
      <c r="J277" s="1">
        <v>51</v>
      </c>
    </row>
    <row r="278" spans="1:10" x14ac:dyDescent="0.25">
      <c r="A278" t="s">
        <v>8</v>
      </c>
      <c r="B278">
        <v>4608036</v>
      </c>
      <c r="C278" t="s">
        <v>303</v>
      </c>
      <c r="D278">
        <v>1</v>
      </c>
      <c r="E278" t="s">
        <v>10</v>
      </c>
      <c r="F278" t="s">
        <v>11</v>
      </c>
      <c r="G278" s="1"/>
      <c r="H278" t="str">
        <f>"3700920145979"</f>
        <v>3700920145979</v>
      </c>
      <c r="J278" s="1">
        <v>51</v>
      </c>
    </row>
    <row r="279" spans="1:10" x14ac:dyDescent="0.25">
      <c r="A279" t="s">
        <v>8</v>
      </c>
      <c r="B279">
        <v>4609005</v>
      </c>
      <c r="C279" t="s">
        <v>304</v>
      </c>
      <c r="D279">
        <v>1</v>
      </c>
      <c r="E279" t="s">
        <v>10</v>
      </c>
      <c r="F279" t="s">
        <v>11</v>
      </c>
      <c r="G279" s="1"/>
      <c r="H279" t="str">
        <f>"3700920145986"</f>
        <v>3700920145986</v>
      </c>
      <c r="J279" s="1">
        <v>3</v>
      </c>
    </row>
    <row r="280" spans="1:10" x14ac:dyDescent="0.25">
      <c r="A280" t="s">
        <v>8</v>
      </c>
      <c r="B280">
        <v>4609090</v>
      </c>
      <c r="C280" t="s">
        <v>305</v>
      </c>
      <c r="D280">
        <v>1</v>
      </c>
      <c r="E280" t="s">
        <v>10</v>
      </c>
      <c r="F280" t="s">
        <v>11</v>
      </c>
      <c r="G280" s="1"/>
      <c r="H280" t="str">
        <f>"3700920145993"</f>
        <v>3700920145993</v>
      </c>
      <c r="J280" t="s">
        <v>306</v>
      </c>
    </row>
    <row r="281" spans="1:10" x14ac:dyDescent="0.25">
      <c r="A281" t="s">
        <v>8</v>
      </c>
      <c r="B281">
        <v>4609091</v>
      </c>
      <c r="C281" t="s">
        <v>307</v>
      </c>
      <c r="D281">
        <v>1</v>
      </c>
      <c r="E281" t="s">
        <v>10</v>
      </c>
      <c r="F281" t="s">
        <v>11</v>
      </c>
      <c r="G281" s="1"/>
      <c r="H281" t="str">
        <f>"3700920140905"</f>
        <v>3700920140905</v>
      </c>
      <c r="J281" t="s">
        <v>162</v>
      </c>
    </row>
    <row r="282" spans="1:10" x14ac:dyDescent="0.25">
      <c r="A282" t="s">
        <v>8</v>
      </c>
      <c r="B282">
        <v>4700290930</v>
      </c>
      <c r="C282" t="s">
        <v>308</v>
      </c>
      <c r="D282">
        <v>1</v>
      </c>
      <c r="E282" t="s">
        <v>10</v>
      </c>
      <c r="F282" t="s">
        <v>11</v>
      </c>
      <c r="G282" s="1"/>
      <c r="H282" t="str">
        <f>"8019163233141"</f>
        <v>8019163233141</v>
      </c>
      <c r="J282" t="s">
        <v>309</v>
      </c>
    </row>
    <row r="283" spans="1:10" x14ac:dyDescent="0.25">
      <c r="A283" t="s">
        <v>8</v>
      </c>
      <c r="B283">
        <v>4700391930</v>
      </c>
      <c r="C283" t="s">
        <v>310</v>
      </c>
      <c r="D283">
        <v>1</v>
      </c>
      <c r="E283" t="s">
        <v>10</v>
      </c>
      <c r="F283" t="s">
        <v>11</v>
      </c>
      <c r="G283" s="1"/>
      <c r="H283" t="str">
        <f>"3700920112995"</f>
        <v>3700920112995</v>
      </c>
      <c r="J283" t="s">
        <v>311</v>
      </c>
    </row>
    <row r="284" spans="1:10" x14ac:dyDescent="0.25">
      <c r="A284" t="s">
        <v>8</v>
      </c>
      <c r="B284">
        <v>4881020</v>
      </c>
      <c r="C284" t="s">
        <v>312</v>
      </c>
      <c r="D284">
        <v>1</v>
      </c>
      <c r="E284" t="s">
        <v>10</v>
      </c>
      <c r="F284" t="s">
        <v>11</v>
      </c>
      <c r="G284" s="1"/>
      <c r="H284" t="str">
        <f>"3700920110151"</f>
        <v>3700920110151</v>
      </c>
      <c r="I284" s="1"/>
      <c r="J284" t="s">
        <v>313</v>
      </c>
    </row>
    <row r="285" spans="1:10" x14ac:dyDescent="0.25">
      <c r="A285" t="s">
        <v>8</v>
      </c>
      <c r="B285">
        <v>4881021</v>
      </c>
      <c r="C285" t="s">
        <v>314</v>
      </c>
      <c r="D285">
        <v>1</v>
      </c>
      <c r="E285" t="s">
        <v>10</v>
      </c>
      <c r="F285" t="s">
        <v>11</v>
      </c>
      <c r="G285" s="1"/>
      <c r="H285" t="str">
        <f>"3700920110168"</f>
        <v>3700920110168</v>
      </c>
      <c r="J285" t="s">
        <v>218</v>
      </c>
    </row>
    <row r="286" spans="1:10" x14ac:dyDescent="0.25">
      <c r="A286" t="s">
        <v>8</v>
      </c>
      <c r="B286">
        <v>4881022</v>
      </c>
      <c r="C286" t="s">
        <v>315</v>
      </c>
      <c r="D286">
        <v>1</v>
      </c>
      <c r="E286" t="s">
        <v>10</v>
      </c>
      <c r="F286" t="s">
        <v>11</v>
      </c>
      <c r="G286" s="1"/>
      <c r="H286" t="str">
        <f>"3700920110175"</f>
        <v>3700920110175</v>
      </c>
      <c r="J286" t="s">
        <v>218</v>
      </c>
    </row>
    <row r="287" spans="1:10" x14ac:dyDescent="0.25">
      <c r="A287" t="s">
        <v>8</v>
      </c>
      <c r="B287">
        <v>4881023</v>
      </c>
      <c r="C287" t="s">
        <v>316</v>
      </c>
      <c r="D287">
        <v>1</v>
      </c>
      <c r="E287" t="s">
        <v>10</v>
      </c>
      <c r="F287" t="s">
        <v>11</v>
      </c>
      <c r="G287" s="1"/>
      <c r="H287" t="str">
        <f>"3700920110182"</f>
        <v>3700920110182</v>
      </c>
      <c r="J287" t="s">
        <v>317</v>
      </c>
    </row>
    <row r="288" spans="1:10" x14ac:dyDescent="0.25">
      <c r="A288" t="s">
        <v>8</v>
      </c>
      <c r="B288">
        <v>4881820</v>
      </c>
      <c r="C288" t="s">
        <v>318</v>
      </c>
      <c r="D288">
        <v>1</v>
      </c>
      <c r="E288" t="s">
        <v>10</v>
      </c>
      <c r="F288" t="s">
        <v>11</v>
      </c>
      <c r="G288" s="1"/>
      <c r="H288" t="str">
        <f>"3700920110892"</f>
        <v>3700920110892</v>
      </c>
      <c r="J288" t="s">
        <v>162</v>
      </c>
    </row>
    <row r="289" spans="1:10" x14ac:dyDescent="0.25">
      <c r="A289" t="s">
        <v>8</v>
      </c>
      <c r="B289">
        <v>4881821</v>
      </c>
      <c r="C289" t="s">
        <v>319</v>
      </c>
      <c r="D289">
        <v>1</v>
      </c>
      <c r="E289" t="s">
        <v>10</v>
      </c>
      <c r="F289" t="s">
        <v>11</v>
      </c>
      <c r="G289" s="1"/>
      <c r="H289" t="str">
        <f>"3700920110908"</f>
        <v>3700920110908</v>
      </c>
      <c r="J289" t="s">
        <v>162</v>
      </c>
    </row>
    <row r="290" spans="1:10" x14ac:dyDescent="0.25">
      <c r="A290" t="s">
        <v>8</v>
      </c>
      <c r="B290">
        <v>4881822</v>
      </c>
      <c r="C290" t="s">
        <v>320</v>
      </c>
      <c r="D290">
        <v>1</v>
      </c>
      <c r="E290" t="s">
        <v>10</v>
      </c>
      <c r="F290" t="s">
        <v>11</v>
      </c>
      <c r="G290" s="1"/>
      <c r="H290" t="str">
        <f>"3700920110915"</f>
        <v>3700920110915</v>
      </c>
      <c r="J290" t="s">
        <v>162</v>
      </c>
    </row>
    <row r="291" spans="1:10" x14ac:dyDescent="0.25">
      <c r="A291" t="s">
        <v>8</v>
      </c>
      <c r="B291">
        <v>4882020</v>
      </c>
      <c r="C291" t="s">
        <v>321</v>
      </c>
      <c r="D291">
        <v>1</v>
      </c>
      <c r="E291" t="s">
        <v>10</v>
      </c>
      <c r="F291" t="s">
        <v>11</v>
      </c>
      <c r="G291" s="1"/>
      <c r="H291" t="str">
        <f>"3700920110199"</f>
        <v>3700920110199</v>
      </c>
      <c r="J291" t="s">
        <v>322</v>
      </c>
    </row>
    <row r="292" spans="1:10" x14ac:dyDescent="0.25">
      <c r="A292" t="s">
        <v>8</v>
      </c>
      <c r="B292">
        <v>4882021</v>
      </c>
      <c r="C292" t="s">
        <v>323</v>
      </c>
      <c r="D292">
        <v>1</v>
      </c>
      <c r="E292" t="s">
        <v>10</v>
      </c>
      <c r="F292" t="s">
        <v>11</v>
      </c>
      <c r="G292" s="1"/>
      <c r="H292" t="str">
        <f>"3700920110205"</f>
        <v>3700920110205</v>
      </c>
      <c r="J292" t="s">
        <v>43</v>
      </c>
    </row>
    <row r="293" spans="1:10" x14ac:dyDescent="0.25">
      <c r="A293" t="s">
        <v>8</v>
      </c>
      <c r="B293">
        <v>4882022</v>
      </c>
      <c r="C293" t="s">
        <v>324</v>
      </c>
      <c r="D293">
        <v>1</v>
      </c>
      <c r="E293" t="s">
        <v>10</v>
      </c>
      <c r="F293" t="s">
        <v>11</v>
      </c>
      <c r="G293" s="1"/>
      <c r="H293" t="str">
        <f>"3700920110212"</f>
        <v>3700920110212</v>
      </c>
      <c r="J293" t="s">
        <v>43</v>
      </c>
    </row>
    <row r="294" spans="1:10" x14ac:dyDescent="0.25">
      <c r="A294" t="s">
        <v>8</v>
      </c>
      <c r="B294">
        <v>4882023</v>
      </c>
      <c r="C294" t="s">
        <v>325</v>
      </c>
      <c r="D294">
        <v>1</v>
      </c>
      <c r="E294" t="s">
        <v>10</v>
      </c>
      <c r="F294" t="s">
        <v>11</v>
      </c>
      <c r="G294" s="1"/>
      <c r="H294" t="str">
        <f>"3700920110229"</f>
        <v>3700920110229</v>
      </c>
      <c r="J294" t="s">
        <v>326</v>
      </c>
    </row>
    <row r="295" spans="1:10" x14ac:dyDescent="0.25">
      <c r="A295" t="s">
        <v>8</v>
      </c>
      <c r="B295">
        <v>4882303</v>
      </c>
      <c r="C295" t="s">
        <v>327</v>
      </c>
      <c r="D295">
        <v>1</v>
      </c>
      <c r="E295" t="s">
        <v>10</v>
      </c>
      <c r="F295" t="s">
        <v>11</v>
      </c>
      <c r="G295" s="1"/>
      <c r="H295" t="str">
        <f>"3700920113008"</f>
        <v>3700920113008</v>
      </c>
      <c r="J295" s="1">
        <v>72</v>
      </c>
    </row>
    <row r="296" spans="1:10" x14ac:dyDescent="0.25">
      <c r="A296" t="s">
        <v>8</v>
      </c>
      <c r="B296">
        <v>4882313</v>
      </c>
      <c r="C296" t="s">
        <v>327</v>
      </c>
      <c r="D296">
        <v>1</v>
      </c>
      <c r="E296" t="s">
        <v>10</v>
      </c>
      <c r="F296" t="s">
        <v>11</v>
      </c>
      <c r="G296" s="1"/>
      <c r="H296" t="str">
        <f>"3700920113015"</f>
        <v>3700920113015</v>
      </c>
      <c r="J296" s="1">
        <v>129</v>
      </c>
    </row>
    <row r="297" spans="1:10" x14ac:dyDescent="0.25">
      <c r="A297" t="s">
        <v>8</v>
      </c>
      <c r="B297">
        <v>4882323</v>
      </c>
      <c r="C297" t="s">
        <v>327</v>
      </c>
      <c r="D297">
        <v>1</v>
      </c>
      <c r="E297" t="s">
        <v>10</v>
      </c>
      <c r="F297" t="s">
        <v>11</v>
      </c>
      <c r="G297" s="1"/>
      <c r="H297" t="str">
        <f>"3700920113022"</f>
        <v>3700920113022</v>
      </c>
      <c r="J297" s="1">
        <v>165</v>
      </c>
    </row>
    <row r="298" spans="1:10" x14ac:dyDescent="0.25">
      <c r="A298" t="s">
        <v>8</v>
      </c>
      <c r="B298">
        <v>4882333</v>
      </c>
      <c r="C298" t="s">
        <v>327</v>
      </c>
      <c r="D298">
        <v>1</v>
      </c>
      <c r="E298" t="s">
        <v>10</v>
      </c>
      <c r="F298" t="s">
        <v>11</v>
      </c>
      <c r="G298" s="1"/>
      <c r="H298" t="str">
        <f>"3700920113039"</f>
        <v>3700920113039</v>
      </c>
      <c r="J298" s="1">
        <v>201</v>
      </c>
    </row>
    <row r="299" spans="1:10" x14ac:dyDescent="0.25">
      <c r="A299" t="s">
        <v>8</v>
      </c>
      <c r="B299">
        <v>4882353</v>
      </c>
      <c r="C299" t="s">
        <v>328</v>
      </c>
      <c r="D299">
        <v>1</v>
      </c>
      <c r="E299" t="s">
        <v>10</v>
      </c>
      <c r="F299" t="s">
        <v>11</v>
      </c>
      <c r="G299" s="1"/>
      <c r="H299" t="str">
        <f>"3700920113046"</f>
        <v>3700920113046</v>
      </c>
      <c r="J299" s="1">
        <v>72</v>
      </c>
    </row>
    <row r="300" spans="1:10" x14ac:dyDescent="0.25">
      <c r="A300" t="s">
        <v>8</v>
      </c>
      <c r="B300">
        <v>4882363</v>
      </c>
      <c r="C300" t="s">
        <v>328</v>
      </c>
      <c r="D300">
        <v>1</v>
      </c>
      <c r="E300" t="s">
        <v>10</v>
      </c>
      <c r="F300" t="s">
        <v>11</v>
      </c>
      <c r="G300" s="1"/>
      <c r="H300" t="str">
        <f>"3700920113053"</f>
        <v>3700920113053</v>
      </c>
      <c r="J300" s="1">
        <v>129</v>
      </c>
    </row>
    <row r="301" spans="1:10" x14ac:dyDescent="0.25">
      <c r="A301" t="s">
        <v>8</v>
      </c>
      <c r="B301">
        <v>4882373</v>
      </c>
      <c r="C301" t="s">
        <v>328</v>
      </c>
      <c r="D301">
        <v>1</v>
      </c>
      <c r="E301" t="s">
        <v>10</v>
      </c>
      <c r="F301" t="s">
        <v>11</v>
      </c>
      <c r="G301" s="1"/>
      <c r="H301" t="str">
        <f>"3700920113060"</f>
        <v>3700920113060</v>
      </c>
      <c r="J301" s="1">
        <v>165</v>
      </c>
    </row>
    <row r="302" spans="1:10" x14ac:dyDescent="0.25">
      <c r="A302" t="s">
        <v>8</v>
      </c>
      <c r="B302">
        <v>4882383</v>
      </c>
      <c r="C302" t="s">
        <v>328</v>
      </c>
      <c r="D302">
        <v>1</v>
      </c>
      <c r="E302" t="s">
        <v>10</v>
      </c>
      <c r="F302" t="s">
        <v>11</v>
      </c>
      <c r="G302" s="1"/>
      <c r="H302" t="str">
        <f>"3700920113077"</f>
        <v>3700920113077</v>
      </c>
      <c r="J302" s="1">
        <v>201</v>
      </c>
    </row>
    <row r="303" spans="1:10" x14ac:dyDescent="0.25">
      <c r="A303" t="s">
        <v>8</v>
      </c>
      <c r="B303">
        <v>4882820</v>
      </c>
      <c r="C303" t="s">
        <v>329</v>
      </c>
      <c r="D303">
        <v>1</v>
      </c>
      <c r="E303" t="s">
        <v>10</v>
      </c>
      <c r="F303" t="s">
        <v>11</v>
      </c>
      <c r="G303" s="1"/>
      <c r="H303" t="str">
        <f>"3700920110861"</f>
        <v>3700920110861</v>
      </c>
      <c r="J303" t="s">
        <v>162</v>
      </c>
    </row>
    <row r="304" spans="1:10" x14ac:dyDescent="0.25">
      <c r="A304" t="s">
        <v>8</v>
      </c>
      <c r="B304">
        <v>4882821</v>
      </c>
      <c r="C304" t="s">
        <v>330</v>
      </c>
      <c r="D304">
        <v>1</v>
      </c>
      <c r="E304" t="s">
        <v>10</v>
      </c>
      <c r="F304" t="s">
        <v>11</v>
      </c>
      <c r="G304" s="1"/>
      <c r="H304" t="str">
        <f>"3700920110878"</f>
        <v>3700920110878</v>
      </c>
      <c r="J304" t="s">
        <v>162</v>
      </c>
    </row>
    <row r="305" spans="1:10" x14ac:dyDescent="0.25">
      <c r="A305" t="s">
        <v>8</v>
      </c>
      <c r="B305">
        <v>4882822</v>
      </c>
      <c r="C305" t="s">
        <v>331</v>
      </c>
      <c r="D305">
        <v>1</v>
      </c>
      <c r="E305" t="s">
        <v>10</v>
      </c>
      <c r="F305" t="s">
        <v>11</v>
      </c>
      <c r="G305" s="1"/>
      <c r="H305" t="str">
        <f>"3700920110885"</f>
        <v>3700920110885</v>
      </c>
      <c r="J305" t="s">
        <v>162</v>
      </c>
    </row>
    <row r="306" spans="1:10" x14ac:dyDescent="0.25">
      <c r="A306" t="s">
        <v>8</v>
      </c>
      <c r="B306">
        <v>4882995</v>
      </c>
      <c r="C306" t="s">
        <v>332</v>
      </c>
      <c r="D306">
        <v>1</v>
      </c>
      <c r="E306" t="s">
        <v>10</v>
      </c>
      <c r="F306" t="s">
        <v>11</v>
      </c>
      <c r="G306" s="1"/>
      <c r="H306" t="str">
        <f>"3700920144385"</f>
        <v>3700920144385</v>
      </c>
      <c r="J306" t="s">
        <v>333</v>
      </c>
    </row>
    <row r="307" spans="1:10" x14ac:dyDescent="0.25">
      <c r="A307" t="s">
        <v>8</v>
      </c>
      <c r="B307">
        <v>4882996</v>
      </c>
      <c r="C307" t="s">
        <v>332</v>
      </c>
      <c r="D307">
        <v>1</v>
      </c>
      <c r="E307" t="s">
        <v>10</v>
      </c>
      <c r="F307" t="s">
        <v>11</v>
      </c>
      <c r="G307" s="1"/>
      <c r="H307" t="str">
        <f>"3700920144392"</f>
        <v>3700920144392</v>
      </c>
      <c r="J307" t="s">
        <v>333</v>
      </c>
    </row>
    <row r="308" spans="1:10" x14ac:dyDescent="0.25">
      <c r="A308" t="s">
        <v>8</v>
      </c>
      <c r="B308">
        <v>4883020</v>
      </c>
      <c r="C308" t="s">
        <v>334</v>
      </c>
      <c r="D308">
        <v>1</v>
      </c>
      <c r="E308" t="s">
        <v>10</v>
      </c>
      <c r="F308" t="s">
        <v>11</v>
      </c>
      <c r="G308" s="1"/>
      <c r="H308" t="str">
        <f>"3700920113084"</f>
        <v>3700920113084</v>
      </c>
      <c r="J308" s="1">
        <v>33</v>
      </c>
    </row>
    <row r="309" spans="1:10" x14ac:dyDescent="0.25">
      <c r="A309" t="s">
        <v>8</v>
      </c>
      <c r="B309">
        <v>4883021</v>
      </c>
      <c r="C309" t="s">
        <v>335</v>
      </c>
      <c r="D309">
        <v>1</v>
      </c>
      <c r="E309" t="s">
        <v>10</v>
      </c>
      <c r="F309" t="s">
        <v>11</v>
      </c>
      <c r="G309" s="1"/>
      <c r="H309" t="str">
        <f>"3700920113091"</f>
        <v>3700920113091</v>
      </c>
      <c r="J309" t="s">
        <v>336</v>
      </c>
    </row>
    <row r="310" spans="1:10" x14ac:dyDescent="0.25">
      <c r="A310" t="s">
        <v>8</v>
      </c>
      <c r="B310">
        <v>4883022</v>
      </c>
      <c r="C310" t="s">
        <v>337</v>
      </c>
      <c r="D310">
        <v>1</v>
      </c>
      <c r="E310" t="s">
        <v>10</v>
      </c>
      <c r="F310" t="s">
        <v>11</v>
      </c>
      <c r="G310" s="1"/>
      <c r="H310" t="str">
        <f>"3700920113107"</f>
        <v>3700920113107</v>
      </c>
      <c r="J310" t="s">
        <v>336</v>
      </c>
    </row>
    <row r="311" spans="1:10" x14ac:dyDescent="0.25">
      <c r="A311" t="s">
        <v>8</v>
      </c>
      <c r="B311">
        <v>4883023</v>
      </c>
      <c r="C311" t="s">
        <v>338</v>
      </c>
      <c r="D311">
        <v>1</v>
      </c>
      <c r="E311" t="s">
        <v>10</v>
      </c>
      <c r="F311" t="s">
        <v>11</v>
      </c>
      <c r="G311" s="1"/>
      <c r="H311" t="str">
        <f>"3700920113114"</f>
        <v>3700920113114</v>
      </c>
      <c r="J311" t="s">
        <v>339</v>
      </c>
    </row>
    <row r="312" spans="1:10" x14ac:dyDescent="0.25">
      <c r="A312" t="s">
        <v>8</v>
      </c>
      <c r="B312">
        <v>4883120</v>
      </c>
      <c r="C312" t="s">
        <v>340</v>
      </c>
      <c r="D312">
        <v>1</v>
      </c>
      <c r="E312" t="s">
        <v>10</v>
      </c>
      <c r="F312" t="s">
        <v>11</v>
      </c>
      <c r="G312" s="1"/>
      <c r="H312" t="str">
        <f>"3700920114821"</f>
        <v>3700920114821</v>
      </c>
      <c r="J312" t="s">
        <v>322</v>
      </c>
    </row>
    <row r="313" spans="1:10" x14ac:dyDescent="0.25">
      <c r="A313" t="s">
        <v>8</v>
      </c>
      <c r="B313">
        <v>4883121</v>
      </c>
      <c r="C313" t="s">
        <v>341</v>
      </c>
      <c r="D313">
        <v>1</v>
      </c>
      <c r="E313" t="s">
        <v>10</v>
      </c>
      <c r="F313" t="s">
        <v>11</v>
      </c>
      <c r="G313" s="1"/>
      <c r="H313" t="str">
        <f>"3700920114838"</f>
        <v>3700920114838</v>
      </c>
      <c r="J313" s="1">
        <v>30</v>
      </c>
    </row>
    <row r="314" spans="1:10" x14ac:dyDescent="0.25">
      <c r="A314" t="s">
        <v>8</v>
      </c>
      <c r="B314">
        <v>4883122</v>
      </c>
      <c r="C314" t="s">
        <v>342</v>
      </c>
      <c r="D314">
        <v>1</v>
      </c>
      <c r="E314" t="s">
        <v>10</v>
      </c>
      <c r="F314" t="s">
        <v>11</v>
      </c>
      <c r="G314" s="1"/>
      <c r="H314" t="str">
        <f>"3700920114845"</f>
        <v>3700920114845</v>
      </c>
      <c r="J314" s="1">
        <v>30</v>
      </c>
    </row>
    <row r="315" spans="1:10" x14ac:dyDescent="0.25">
      <c r="A315" t="s">
        <v>8</v>
      </c>
      <c r="B315">
        <v>4883123</v>
      </c>
      <c r="C315" t="s">
        <v>343</v>
      </c>
      <c r="D315">
        <v>1</v>
      </c>
      <c r="E315" t="s">
        <v>10</v>
      </c>
      <c r="F315" t="s">
        <v>11</v>
      </c>
      <c r="G315" s="1"/>
      <c r="H315" t="str">
        <f>"3700920114852"</f>
        <v>3700920114852</v>
      </c>
      <c r="J315" t="s">
        <v>235</v>
      </c>
    </row>
    <row r="316" spans="1:10" x14ac:dyDescent="0.25">
      <c r="A316" t="s">
        <v>8</v>
      </c>
      <c r="B316">
        <v>4883820</v>
      </c>
      <c r="C316" t="s">
        <v>344</v>
      </c>
      <c r="D316">
        <v>1</v>
      </c>
      <c r="E316" t="s">
        <v>10</v>
      </c>
      <c r="F316" t="s">
        <v>11</v>
      </c>
      <c r="G316" s="1"/>
      <c r="H316" t="str">
        <f>"3700920113121"</f>
        <v>3700920113121</v>
      </c>
      <c r="J316" t="s">
        <v>162</v>
      </c>
    </row>
    <row r="317" spans="1:10" x14ac:dyDescent="0.25">
      <c r="A317" t="s">
        <v>8</v>
      </c>
      <c r="B317">
        <v>4883821</v>
      </c>
      <c r="C317" t="s">
        <v>345</v>
      </c>
      <c r="D317">
        <v>1</v>
      </c>
      <c r="E317" t="s">
        <v>10</v>
      </c>
      <c r="F317" t="s">
        <v>11</v>
      </c>
      <c r="G317" s="1"/>
      <c r="H317" t="str">
        <f>"3700920113138"</f>
        <v>3700920113138</v>
      </c>
      <c r="J317" t="s">
        <v>162</v>
      </c>
    </row>
    <row r="318" spans="1:10" x14ac:dyDescent="0.25">
      <c r="A318" t="s">
        <v>8</v>
      </c>
      <c r="B318">
        <v>4883822</v>
      </c>
      <c r="C318" t="s">
        <v>346</v>
      </c>
      <c r="D318">
        <v>1</v>
      </c>
      <c r="E318" t="s">
        <v>10</v>
      </c>
      <c r="F318" t="s">
        <v>11</v>
      </c>
      <c r="G318" s="1"/>
      <c r="H318" t="str">
        <f>"3700920113145"</f>
        <v>3700920113145</v>
      </c>
      <c r="J318" t="s">
        <v>162</v>
      </c>
    </row>
    <row r="319" spans="1:10" x14ac:dyDescent="0.25">
      <c r="A319" t="s">
        <v>8</v>
      </c>
      <c r="B319">
        <v>4883830</v>
      </c>
      <c r="C319" t="s">
        <v>347</v>
      </c>
      <c r="D319">
        <v>1</v>
      </c>
      <c r="E319" t="s">
        <v>10</v>
      </c>
      <c r="F319" t="s">
        <v>11</v>
      </c>
      <c r="G319" s="1"/>
      <c r="H319" t="str">
        <f>"3700920114869"</f>
        <v>3700920114869</v>
      </c>
      <c r="J319" t="s">
        <v>162</v>
      </c>
    </row>
    <row r="320" spans="1:10" x14ac:dyDescent="0.25">
      <c r="A320" t="s">
        <v>8</v>
      </c>
      <c r="B320">
        <v>4883831</v>
      </c>
      <c r="C320" t="s">
        <v>348</v>
      </c>
      <c r="D320">
        <v>1</v>
      </c>
      <c r="E320" t="s">
        <v>10</v>
      </c>
      <c r="F320" t="s">
        <v>11</v>
      </c>
      <c r="G320" s="1"/>
      <c r="H320" t="str">
        <f>"3700920114876"</f>
        <v>3700920114876</v>
      </c>
      <c r="J320" t="s">
        <v>162</v>
      </c>
    </row>
    <row r="321" spans="1:10" x14ac:dyDescent="0.25">
      <c r="A321" t="s">
        <v>8</v>
      </c>
      <c r="B321">
        <v>4883832</v>
      </c>
      <c r="C321" t="s">
        <v>349</v>
      </c>
      <c r="D321">
        <v>1</v>
      </c>
      <c r="E321" t="s">
        <v>10</v>
      </c>
      <c r="F321" t="s">
        <v>11</v>
      </c>
      <c r="G321" s="1"/>
      <c r="H321" t="str">
        <f>"3700920114883"</f>
        <v>3700920114883</v>
      </c>
      <c r="J321" t="s">
        <v>162</v>
      </c>
    </row>
    <row r="322" spans="1:10" x14ac:dyDescent="0.25">
      <c r="A322" t="s">
        <v>8</v>
      </c>
      <c r="B322">
        <v>4885020</v>
      </c>
      <c r="C322" t="s">
        <v>350</v>
      </c>
      <c r="D322">
        <v>1</v>
      </c>
      <c r="E322" t="s">
        <v>10</v>
      </c>
      <c r="F322" t="s">
        <v>11</v>
      </c>
      <c r="G322" s="1"/>
      <c r="H322" t="str">
        <f>"3700920111530"</f>
        <v>3700920111530</v>
      </c>
      <c r="I322" s="1"/>
      <c r="J322" t="s">
        <v>351</v>
      </c>
    </row>
    <row r="323" spans="1:10" x14ac:dyDescent="0.25">
      <c r="A323" t="s">
        <v>8</v>
      </c>
      <c r="B323">
        <v>4885820</v>
      </c>
      <c r="C323" t="s">
        <v>352</v>
      </c>
      <c r="D323">
        <v>1</v>
      </c>
      <c r="E323" t="s">
        <v>10</v>
      </c>
      <c r="F323" t="s">
        <v>11</v>
      </c>
      <c r="G323" s="1"/>
      <c r="H323" t="str">
        <f>"3700920111547"</f>
        <v>3700920111547</v>
      </c>
      <c r="J323" t="s">
        <v>162</v>
      </c>
    </row>
    <row r="324" spans="1:10" x14ac:dyDescent="0.25">
      <c r="A324" t="s">
        <v>8</v>
      </c>
      <c r="B324">
        <v>4886020</v>
      </c>
      <c r="C324" t="s">
        <v>353</v>
      </c>
      <c r="D324">
        <v>1</v>
      </c>
      <c r="E324" t="s">
        <v>10</v>
      </c>
      <c r="F324" t="s">
        <v>11</v>
      </c>
      <c r="G324" s="1"/>
      <c r="H324" t="str">
        <f>"3700920111394"</f>
        <v>3700920111394</v>
      </c>
      <c r="J324" s="1">
        <v>21</v>
      </c>
    </row>
    <row r="325" spans="1:10" x14ac:dyDescent="0.25">
      <c r="A325" t="s">
        <v>8</v>
      </c>
      <c r="B325">
        <v>4886021</v>
      </c>
      <c r="C325" t="s">
        <v>354</v>
      </c>
      <c r="D325">
        <v>1</v>
      </c>
      <c r="E325" t="s">
        <v>10</v>
      </c>
      <c r="F325" t="s">
        <v>11</v>
      </c>
      <c r="G325" s="1"/>
      <c r="H325" t="str">
        <f>"3700920111400"</f>
        <v>3700920111400</v>
      </c>
      <c r="J325" t="s">
        <v>355</v>
      </c>
    </row>
    <row r="326" spans="1:10" x14ac:dyDescent="0.25">
      <c r="A326" t="s">
        <v>8</v>
      </c>
      <c r="B326">
        <v>4886022</v>
      </c>
      <c r="C326" t="s">
        <v>356</v>
      </c>
      <c r="D326">
        <v>1</v>
      </c>
      <c r="E326" t="s">
        <v>10</v>
      </c>
      <c r="F326" t="s">
        <v>11</v>
      </c>
      <c r="G326" s="1"/>
      <c r="H326" t="str">
        <f>"3700920111417"</f>
        <v>3700920111417</v>
      </c>
      <c r="J326" t="s">
        <v>355</v>
      </c>
    </row>
    <row r="327" spans="1:10" x14ac:dyDescent="0.25">
      <c r="A327" t="s">
        <v>8</v>
      </c>
      <c r="B327">
        <v>4886023</v>
      </c>
      <c r="C327" t="s">
        <v>357</v>
      </c>
      <c r="D327">
        <v>1</v>
      </c>
      <c r="E327" t="s">
        <v>10</v>
      </c>
      <c r="F327" t="s">
        <v>11</v>
      </c>
      <c r="G327" s="1"/>
      <c r="H327" t="str">
        <f>"3700920111424"</f>
        <v>3700920111424</v>
      </c>
      <c r="J327" t="s">
        <v>222</v>
      </c>
    </row>
    <row r="328" spans="1:10" x14ac:dyDescent="0.25">
      <c r="A328" t="s">
        <v>8</v>
      </c>
      <c r="B328">
        <v>4886510</v>
      </c>
      <c r="C328" t="s">
        <v>358</v>
      </c>
      <c r="D328">
        <v>1</v>
      </c>
      <c r="E328" t="s">
        <v>10</v>
      </c>
      <c r="F328" t="s">
        <v>11</v>
      </c>
      <c r="G328" s="1"/>
      <c r="H328" t="str">
        <f>"3700920115514"</f>
        <v>3700920115514</v>
      </c>
      <c r="J328" t="s">
        <v>359</v>
      </c>
    </row>
    <row r="329" spans="1:10" x14ac:dyDescent="0.25">
      <c r="A329" t="s">
        <v>8</v>
      </c>
      <c r="B329">
        <v>4886511</v>
      </c>
      <c r="C329" t="s">
        <v>360</v>
      </c>
      <c r="D329">
        <v>1</v>
      </c>
      <c r="E329" t="s">
        <v>10</v>
      </c>
      <c r="F329" t="s">
        <v>11</v>
      </c>
      <c r="G329" s="1"/>
      <c r="H329" t="str">
        <f>"3700920115521"</f>
        <v>3700920115521</v>
      </c>
      <c r="J329" t="s">
        <v>218</v>
      </c>
    </row>
    <row r="330" spans="1:10" x14ac:dyDescent="0.25">
      <c r="A330" t="s">
        <v>8</v>
      </c>
      <c r="B330">
        <v>4886512</v>
      </c>
      <c r="C330" t="s">
        <v>361</v>
      </c>
      <c r="D330">
        <v>1</v>
      </c>
      <c r="E330" t="s">
        <v>10</v>
      </c>
      <c r="F330" t="s">
        <v>11</v>
      </c>
      <c r="G330" s="1"/>
      <c r="H330" t="str">
        <f>"3700920115538"</f>
        <v>3700920115538</v>
      </c>
      <c r="J330" t="s">
        <v>218</v>
      </c>
    </row>
    <row r="331" spans="1:10" x14ac:dyDescent="0.25">
      <c r="A331" t="s">
        <v>8</v>
      </c>
      <c r="B331">
        <v>4886513</v>
      </c>
      <c r="C331" t="s">
        <v>362</v>
      </c>
      <c r="D331">
        <v>1</v>
      </c>
      <c r="E331" t="s">
        <v>10</v>
      </c>
      <c r="F331" t="s">
        <v>11</v>
      </c>
      <c r="G331" s="1"/>
      <c r="H331" t="str">
        <f>"3700920115545"</f>
        <v>3700920115545</v>
      </c>
      <c r="J331" s="1">
        <v>21</v>
      </c>
    </row>
    <row r="332" spans="1:10" x14ac:dyDescent="0.25">
      <c r="A332" t="s">
        <v>8</v>
      </c>
      <c r="B332">
        <v>4886520</v>
      </c>
      <c r="C332" t="s">
        <v>358</v>
      </c>
      <c r="D332">
        <v>1</v>
      </c>
      <c r="E332" t="s">
        <v>10</v>
      </c>
      <c r="F332" t="s">
        <v>11</v>
      </c>
      <c r="G332" s="1"/>
      <c r="H332" t="str">
        <f>"3700920114913"</f>
        <v>3700920114913</v>
      </c>
      <c r="J332" s="1">
        <v>30</v>
      </c>
    </row>
    <row r="333" spans="1:10" x14ac:dyDescent="0.25">
      <c r="A333" t="s">
        <v>8</v>
      </c>
      <c r="B333">
        <v>4886521</v>
      </c>
      <c r="C333" t="s">
        <v>360</v>
      </c>
      <c r="D333">
        <v>1</v>
      </c>
      <c r="E333" t="s">
        <v>10</v>
      </c>
      <c r="F333" t="s">
        <v>11</v>
      </c>
      <c r="G333" s="1"/>
      <c r="H333" t="str">
        <f>"3700920114920"</f>
        <v>3700920114920</v>
      </c>
      <c r="J333" t="s">
        <v>278</v>
      </c>
    </row>
    <row r="334" spans="1:10" x14ac:dyDescent="0.25">
      <c r="A334" t="s">
        <v>8</v>
      </c>
      <c r="B334">
        <v>4886522</v>
      </c>
      <c r="C334" t="s">
        <v>361</v>
      </c>
      <c r="D334">
        <v>1</v>
      </c>
      <c r="E334" t="s">
        <v>10</v>
      </c>
      <c r="F334" t="s">
        <v>11</v>
      </c>
      <c r="G334" s="1"/>
      <c r="H334" t="str">
        <f>"3700920114937"</f>
        <v>3700920114937</v>
      </c>
      <c r="J334" t="s">
        <v>278</v>
      </c>
    </row>
    <row r="335" spans="1:10" x14ac:dyDescent="0.25">
      <c r="A335" t="s">
        <v>8</v>
      </c>
      <c r="B335">
        <v>4886523</v>
      </c>
      <c r="C335" t="s">
        <v>362</v>
      </c>
      <c r="D335">
        <v>1</v>
      </c>
      <c r="E335" t="s">
        <v>10</v>
      </c>
      <c r="F335" t="s">
        <v>11</v>
      </c>
      <c r="G335" s="1"/>
      <c r="H335" t="str">
        <f>"3700920114944"</f>
        <v>3700920114944</v>
      </c>
      <c r="J335" t="s">
        <v>339</v>
      </c>
    </row>
    <row r="336" spans="1:10" x14ac:dyDescent="0.25">
      <c r="A336" t="s">
        <v>8</v>
      </c>
      <c r="B336">
        <v>4886820</v>
      </c>
      <c r="C336" t="s">
        <v>363</v>
      </c>
      <c r="D336">
        <v>1</v>
      </c>
      <c r="E336" t="s">
        <v>10</v>
      </c>
      <c r="F336" t="s">
        <v>11</v>
      </c>
      <c r="G336" s="1"/>
      <c r="H336" t="str">
        <f>"3700920111509"</f>
        <v>3700920111509</v>
      </c>
      <c r="J336" t="s">
        <v>162</v>
      </c>
    </row>
    <row r="337" spans="1:10" x14ac:dyDescent="0.25">
      <c r="A337" t="s">
        <v>8</v>
      </c>
      <c r="B337">
        <v>4886821</v>
      </c>
      <c r="C337" t="s">
        <v>364</v>
      </c>
      <c r="D337">
        <v>1</v>
      </c>
      <c r="E337" t="s">
        <v>10</v>
      </c>
      <c r="F337" t="s">
        <v>11</v>
      </c>
      <c r="G337" s="1"/>
      <c r="H337" t="str">
        <f>"3700920111516"</f>
        <v>3700920111516</v>
      </c>
      <c r="J337" t="s">
        <v>162</v>
      </c>
    </row>
    <row r="338" spans="1:10" x14ac:dyDescent="0.25">
      <c r="A338" t="s">
        <v>8</v>
      </c>
      <c r="B338">
        <v>4886822</v>
      </c>
      <c r="C338" t="s">
        <v>365</v>
      </c>
      <c r="D338">
        <v>1</v>
      </c>
      <c r="E338" t="s">
        <v>10</v>
      </c>
      <c r="F338" t="s">
        <v>11</v>
      </c>
      <c r="G338" s="1"/>
      <c r="H338" t="str">
        <f>"3700920111523"</f>
        <v>3700920111523</v>
      </c>
      <c r="J338" t="s">
        <v>162</v>
      </c>
    </row>
    <row r="339" spans="1:10" x14ac:dyDescent="0.25">
      <c r="A339" t="s">
        <v>8</v>
      </c>
      <c r="B339">
        <v>4886830</v>
      </c>
      <c r="C339" t="s">
        <v>366</v>
      </c>
      <c r="D339">
        <v>1</v>
      </c>
      <c r="E339" t="s">
        <v>10</v>
      </c>
      <c r="F339" t="s">
        <v>11</v>
      </c>
      <c r="G339" s="1"/>
      <c r="H339" t="str">
        <f>"3700920114951"</f>
        <v>3700920114951</v>
      </c>
      <c r="J339" t="s">
        <v>162</v>
      </c>
    </row>
    <row r="340" spans="1:10" x14ac:dyDescent="0.25">
      <c r="A340" t="s">
        <v>8</v>
      </c>
      <c r="B340">
        <v>4886831</v>
      </c>
      <c r="C340" t="s">
        <v>367</v>
      </c>
      <c r="D340">
        <v>1</v>
      </c>
      <c r="E340" t="s">
        <v>10</v>
      </c>
      <c r="F340" t="s">
        <v>11</v>
      </c>
      <c r="G340" s="1"/>
      <c r="H340" t="str">
        <f>"3700920114968"</f>
        <v>3700920114968</v>
      </c>
      <c r="J340" t="s">
        <v>162</v>
      </c>
    </row>
    <row r="341" spans="1:10" x14ac:dyDescent="0.25">
      <c r="A341" t="s">
        <v>8</v>
      </c>
      <c r="B341">
        <v>4886832</v>
      </c>
      <c r="C341" t="s">
        <v>368</v>
      </c>
      <c r="D341">
        <v>1</v>
      </c>
      <c r="E341" t="s">
        <v>10</v>
      </c>
      <c r="F341" t="s">
        <v>11</v>
      </c>
      <c r="G341" s="1"/>
      <c r="H341" t="str">
        <f>"3700920114975"</f>
        <v>3700920114975</v>
      </c>
      <c r="J341" t="s">
        <v>162</v>
      </c>
    </row>
    <row r="342" spans="1:10" x14ac:dyDescent="0.25">
      <c r="A342" t="s">
        <v>8</v>
      </c>
      <c r="B342">
        <v>4886839</v>
      </c>
      <c r="C342" t="s">
        <v>369</v>
      </c>
      <c r="D342">
        <v>1</v>
      </c>
      <c r="E342" t="s">
        <v>10</v>
      </c>
      <c r="F342" t="s">
        <v>11</v>
      </c>
      <c r="G342" s="1"/>
      <c r="H342" t="str">
        <f>"3700920114982"</f>
        <v>3700920114982</v>
      </c>
      <c r="J342" t="s">
        <v>370</v>
      </c>
    </row>
    <row r="343" spans="1:10" x14ac:dyDescent="0.25">
      <c r="A343" t="s">
        <v>8</v>
      </c>
      <c r="B343">
        <v>4887000</v>
      </c>
      <c r="C343" t="s">
        <v>371</v>
      </c>
      <c r="D343">
        <v>1</v>
      </c>
      <c r="E343" t="s">
        <v>10</v>
      </c>
      <c r="F343" t="s">
        <v>11</v>
      </c>
      <c r="G343" s="1"/>
      <c r="H343" t="str">
        <f>"3700920114241"</f>
        <v>3700920114241</v>
      </c>
      <c r="J343" t="s">
        <v>372</v>
      </c>
    </row>
    <row r="344" spans="1:10" x14ac:dyDescent="0.25">
      <c r="A344" t="s">
        <v>8</v>
      </c>
      <c r="B344">
        <v>4887020</v>
      </c>
      <c r="C344" t="s">
        <v>373</v>
      </c>
      <c r="D344">
        <v>1</v>
      </c>
      <c r="E344" t="s">
        <v>10</v>
      </c>
      <c r="F344" t="s">
        <v>11</v>
      </c>
      <c r="G344" s="1"/>
      <c r="H344" t="str">
        <f>"3700920114340"</f>
        <v>3700920114340</v>
      </c>
      <c r="J344" t="s">
        <v>374</v>
      </c>
    </row>
    <row r="345" spans="1:10" x14ac:dyDescent="0.25">
      <c r="A345" t="s">
        <v>8</v>
      </c>
      <c r="B345">
        <v>4887023</v>
      </c>
      <c r="C345" t="s">
        <v>375</v>
      </c>
      <c r="D345">
        <v>1</v>
      </c>
      <c r="E345" t="s">
        <v>10</v>
      </c>
      <c r="F345" t="s">
        <v>11</v>
      </c>
      <c r="G345" s="1"/>
      <c r="H345" t="str">
        <f>"3700920114357"</f>
        <v>3700920114357</v>
      </c>
      <c r="J345" t="s">
        <v>376</v>
      </c>
    </row>
    <row r="346" spans="1:10" x14ac:dyDescent="0.25">
      <c r="A346" t="s">
        <v>8</v>
      </c>
      <c r="B346">
        <v>4887027</v>
      </c>
      <c r="C346" t="s">
        <v>377</v>
      </c>
      <c r="D346">
        <v>1</v>
      </c>
      <c r="E346" t="s">
        <v>10</v>
      </c>
      <c r="F346" t="s">
        <v>11</v>
      </c>
      <c r="G346" s="1"/>
      <c r="H346" t="str">
        <f>"3700920114364"</f>
        <v>3700920114364</v>
      </c>
      <c r="J346" t="s">
        <v>378</v>
      </c>
    </row>
    <row r="347" spans="1:10" x14ac:dyDescent="0.25">
      <c r="A347" t="s">
        <v>8</v>
      </c>
      <c r="B347">
        <v>4887028</v>
      </c>
      <c r="C347" t="s">
        <v>379</v>
      </c>
      <c r="D347">
        <v>1</v>
      </c>
      <c r="E347" t="s">
        <v>10</v>
      </c>
      <c r="F347" t="s">
        <v>11</v>
      </c>
      <c r="G347" s="1"/>
      <c r="H347" t="str">
        <f>"3700920114708"</f>
        <v>3700920114708</v>
      </c>
      <c r="J347" t="s">
        <v>380</v>
      </c>
    </row>
    <row r="348" spans="1:10" x14ac:dyDescent="0.25">
      <c r="A348" t="s">
        <v>8</v>
      </c>
      <c r="B348">
        <v>4887100</v>
      </c>
      <c r="C348" t="s">
        <v>381</v>
      </c>
      <c r="D348">
        <v>1</v>
      </c>
      <c r="E348" t="s">
        <v>10</v>
      </c>
      <c r="F348" t="s">
        <v>11</v>
      </c>
      <c r="G348" s="1"/>
      <c r="H348" t="str">
        <f>"3700920114265"</f>
        <v>3700920114265</v>
      </c>
      <c r="J348" t="s">
        <v>382</v>
      </c>
    </row>
    <row r="349" spans="1:10" x14ac:dyDescent="0.25">
      <c r="A349" t="s">
        <v>8</v>
      </c>
      <c r="B349">
        <v>4887120</v>
      </c>
      <c r="C349" t="s">
        <v>383</v>
      </c>
      <c r="D349">
        <v>1</v>
      </c>
      <c r="E349" t="s">
        <v>10</v>
      </c>
      <c r="F349" t="s">
        <v>11</v>
      </c>
      <c r="G349" s="1"/>
      <c r="H349" t="str">
        <f>"3700920114333"</f>
        <v>3700920114333</v>
      </c>
      <c r="J349" t="s">
        <v>243</v>
      </c>
    </row>
    <row r="350" spans="1:10" x14ac:dyDescent="0.25">
      <c r="A350" t="s">
        <v>8</v>
      </c>
      <c r="B350">
        <v>4887123</v>
      </c>
      <c r="C350" t="s">
        <v>384</v>
      </c>
      <c r="D350">
        <v>1</v>
      </c>
      <c r="E350" t="s">
        <v>10</v>
      </c>
      <c r="F350" t="s">
        <v>11</v>
      </c>
      <c r="G350" s="1"/>
      <c r="H350" t="str">
        <f>"3700920114326"</f>
        <v>3700920114326</v>
      </c>
      <c r="J350" t="s">
        <v>249</v>
      </c>
    </row>
    <row r="351" spans="1:10" x14ac:dyDescent="0.25">
      <c r="A351" t="s">
        <v>8</v>
      </c>
      <c r="B351">
        <v>4887127</v>
      </c>
      <c r="C351" t="s">
        <v>385</v>
      </c>
      <c r="D351">
        <v>1</v>
      </c>
      <c r="E351" t="s">
        <v>10</v>
      </c>
      <c r="F351" t="s">
        <v>11</v>
      </c>
      <c r="G351" s="1"/>
      <c r="H351" t="str">
        <f>"3700920114319"</f>
        <v>3700920114319</v>
      </c>
      <c r="J351" t="s">
        <v>386</v>
      </c>
    </row>
    <row r="352" spans="1:10" x14ac:dyDescent="0.25">
      <c r="A352" t="s">
        <v>8</v>
      </c>
      <c r="B352">
        <v>4887128</v>
      </c>
      <c r="C352" t="s">
        <v>387</v>
      </c>
      <c r="D352">
        <v>1</v>
      </c>
      <c r="E352" t="s">
        <v>10</v>
      </c>
      <c r="F352" t="s">
        <v>11</v>
      </c>
      <c r="G352" s="1"/>
      <c r="H352" t="str">
        <f>"3700920114302"</f>
        <v>3700920114302</v>
      </c>
      <c r="J352" t="s">
        <v>388</v>
      </c>
    </row>
    <row r="353" spans="1:10" x14ac:dyDescent="0.25">
      <c r="A353" t="s">
        <v>8</v>
      </c>
      <c r="B353">
        <v>4887700</v>
      </c>
      <c r="C353" t="s">
        <v>389</v>
      </c>
      <c r="D353">
        <v>1</v>
      </c>
      <c r="E353" t="s">
        <v>10</v>
      </c>
      <c r="F353" t="s">
        <v>11</v>
      </c>
      <c r="G353" s="1"/>
      <c r="H353" t="str">
        <f>"3700920114258"</f>
        <v>3700920114258</v>
      </c>
      <c r="J353" t="s">
        <v>388</v>
      </c>
    </row>
    <row r="354" spans="1:10" x14ac:dyDescent="0.25">
      <c r="A354" t="s">
        <v>8</v>
      </c>
      <c r="B354">
        <v>4887701</v>
      </c>
      <c r="C354" t="s">
        <v>390</v>
      </c>
      <c r="D354">
        <v>1</v>
      </c>
      <c r="E354" t="s">
        <v>10</v>
      </c>
      <c r="F354" t="s">
        <v>11</v>
      </c>
      <c r="G354" s="1"/>
      <c r="H354" t="str">
        <f>"3700920114401"</f>
        <v>3700920114401</v>
      </c>
      <c r="J354" t="s">
        <v>391</v>
      </c>
    </row>
    <row r="355" spans="1:10" x14ac:dyDescent="0.25">
      <c r="A355" t="s">
        <v>8</v>
      </c>
      <c r="B355">
        <v>4887702</v>
      </c>
      <c r="C355" t="s">
        <v>392</v>
      </c>
      <c r="D355">
        <v>1</v>
      </c>
      <c r="E355" t="s">
        <v>10</v>
      </c>
      <c r="F355" t="s">
        <v>11</v>
      </c>
      <c r="G355" s="1"/>
      <c r="H355" t="str">
        <f>"3700920114395"</f>
        <v>3700920114395</v>
      </c>
      <c r="J355" t="s">
        <v>391</v>
      </c>
    </row>
    <row r="356" spans="1:10" x14ac:dyDescent="0.25">
      <c r="A356" t="s">
        <v>8</v>
      </c>
      <c r="B356">
        <v>4887710</v>
      </c>
      <c r="C356" t="s">
        <v>393</v>
      </c>
      <c r="D356">
        <v>1</v>
      </c>
      <c r="E356" t="s">
        <v>10</v>
      </c>
      <c r="F356" t="s">
        <v>11</v>
      </c>
      <c r="G356" s="1"/>
      <c r="H356" t="str">
        <f>"3700920114272"</f>
        <v>3700920114272</v>
      </c>
      <c r="J356" t="s">
        <v>391</v>
      </c>
    </row>
    <row r="357" spans="1:10" x14ac:dyDescent="0.25">
      <c r="A357" t="s">
        <v>8</v>
      </c>
      <c r="B357">
        <v>4887820</v>
      </c>
      <c r="C357" t="s">
        <v>394</v>
      </c>
      <c r="D357">
        <v>1</v>
      </c>
      <c r="E357" t="s">
        <v>10</v>
      </c>
      <c r="F357" t="s">
        <v>11</v>
      </c>
      <c r="G357" s="1"/>
      <c r="H357" t="str">
        <f>"3700920114418"</f>
        <v>3700920114418</v>
      </c>
      <c r="J357" t="s">
        <v>162</v>
      </c>
    </row>
    <row r="358" spans="1:10" x14ac:dyDescent="0.25">
      <c r="A358" t="s">
        <v>8</v>
      </c>
      <c r="B358">
        <v>4887825</v>
      </c>
      <c r="C358" t="s">
        <v>395</v>
      </c>
      <c r="D358">
        <v>1</v>
      </c>
      <c r="E358" t="s">
        <v>10</v>
      </c>
      <c r="F358" t="s">
        <v>11</v>
      </c>
      <c r="G358" s="1"/>
      <c r="H358" t="str">
        <f>"3700920114388"</f>
        <v>3700920114388</v>
      </c>
      <c r="J358" t="s">
        <v>162</v>
      </c>
    </row>
    <row r="359" spans="1:10" x14ac:dyDescent="0.25">
      <c r="A359" t="s">
        <v>8</v>
      </c>
      <c r="B359">
        <v>4888002</v>
      </c>
      <c r="C359" t="s">
        <v>396</v>
      </c>
      <c r="D359">
        <v>1</v>
      </c>
      <c r="E359" t="s">
        <v>10</v>
      </c>
      <c r="F359" t="s">
        <v>11</v>
      </c>
      <c r="G359" s="1"/>
      <c r="H359" t="str">
        <f>"3700920144408"</f>
        <v>3700920144408</v>
      </c>
      <c r="J359" t="s">
        <v>268</v>
      </c>
    </row>
    <row r="360" spans="1:10" x14ac:dyDescent="0.25">
      <c r="A360" t="s">
        <v>8</v>
      </c>
      <c r="B360">
        <v>4888006</v>
      </c>
      <c r="C360" t="s">
        <v>397</v>
      </c>
      <c r="D360">
        <v>1</v>
      </c>
      <c r="E360" t="s">
        <v>10</v>
      </c>
      <c r="F360" t="s">
        <v>11</v>
      </c>
      <c r="G360" s="1"/>
      <c r="H360" t="str">
        <f>"3700920115842"</f>
        <v>3700920115842</v>
      </c>
      <c r="J360" t="s">
        <v>268</v>
      </c>
    </row>
    <row r="361" spans="1:10" x14ac:dyDescent="0.25">
      <c r="A361" t="s">
        <v>8</v>
      </c>
      <c r="B361">
        <v>4888007</v>
      </c>
      <c r="C361" t="s">
        <v>398</v>
      </c>
      <c r="D361">
        <v>1</v>
      </c>
      <c r="E361" t="s">
        <v>10</v>
      </c>
      <c r="F361" t="s">
        <v>11</v>
      </c>
      <c r="G361" s="1"/>
      <c r="H361" t="str">
        <f>"3700920115859"</f>
        <v>3700920115859</v>
      </c>
      <c r="J361" t="s">
        <v>264</v>
      </c>
    </row>
    <row r="362" spans="1:10" x14ac:dyDescent="0.25">
      <c r="A362" t="s">
        <v>8</v>
      </c>
      <c r="B362">
        <v>4889020</v>
      </c>
      <c r="C362" t="s">
        <v>399</v>
      </c>
      <c r="D362">
        <v>1</v>
      </c>
      <c r="E362" t="s">
        <v>10</v>
      </c>
      <c r="F362" t="s">
        <v>11</v>
      </c>
      <c r="G362" s="1"/>
      <c r="H362" t="str">
        <f>"3700920111431"</f>
        <v>3700920111431</v>
      </c>
      <c r="J362" t="s">
        <v>326</v>
      </c>
    </row>
    <row r="363" spans="1:10" x14ac:dyDescent="0.25">
      <c r="A363" t="s">
        <v>8</v>
      </c>
      <c r="B363">
        <v>4889021</v>
      </c>
      <c r="C363" t="s">
        <v>400</v>
      </c>
      <c r="D363">
        <v>1</v>
      </c>
      <c r="E363" t="s">
        <v>10</v>
      </c>
      <c r="F363" t="s">
        <v>11</v>
      </c>
      <c r="G363" s="1"/>
      <c r="H363" t="str">
        <f>"3700920111448"</f>
        <v>3700920111448</v>
      </c>
      <c r="J363" s="1">
        <v>36</v>
      </c>
    </row>
    <row r="364" spans="1:10" x14ac:dyDescent="0.25">
      <c r="A364" t="s">
        <v>8</v>
      </c>
      <c r="B364">
        <v>4889022</v>
      </c>
      <c r="C364" t="s">
        <v>401</v>
      </c>
      <c r="D364">
        <v>1</v>
      </c>
      <c r="E364" t="s">
        <v>10</v>
      </c>
      <c r="F364" t="s">
        <v>11</v>
      </c>
      <c r="G364" s="1"/>
      <c r="H364" t="str">
        <f>"3700920111455"</f>
        <v>3700920111455</v>
      </c>
      <c r="J364" s="1">
        <v>36</v>
      </c>
    </row>
    <row r="365" spans="1:10" x14ac:dyDescent="0.25">
      <c r="A365" t="s">
        <v>8</v>
      </c>
      <c r="B365">
        <v>4889023</v>
      </c>
      <c r="C365" t="s">
        <v>402</v>
      </c>
      <c r="D365">
        <v>1</v>
      </c>
      <c r="E365" t="s">
        <v>10</v>
      </c>
      <c r="F365" t="s">
        <v>11</v>
      </c>
      <c r="G365" s="1"/>
      <c r="H365" t="str">
        <f>"3700920111462"</f>
        <v>3700920111462</v>
      </c>
      <c r="J365" t="s">
        <v>403</v>
      </c>
    </row>
    <row r="366" spans="1:10" x14ac:dyDescent="0.25">
      <c r="A366" t="s">
        <v>8</v>
      </c>
      <c r="B366">
        <v>4889820</v>
      </c>
      <c r="C366" t="s">
        <v>404</v>
      </c>
      <c r="D366">
        <v>1</v>
      </c>
      <c r="E366" t="s">
        <v>10</v>
      </c>
      <c r="F366" t="s">
        <v>11</v>
      </c>
      <c r="G366" s="1"/>
      <c r="H366" t="str">
        <f>"3700920111479"</f>
        <v>3700920111479</v>
      </c>
      <c r="J366" t="s">
        <v>162</v>
      </c>
    </row>
    <row r="367" spans="1:10" x14ac:dyDescent="0.25">
      <c r="A367" t="s">
        <v>8</v>
      </c>
      <c r="B367">
        <v>4889821</v>
      </c>
      <c r="C367" t="s">
        <v>405</v>
      </c>
      <c r="D367">
        <v>1</v>
      </c>
      <c r="E367" t="s">
        <v>10</v>
      </c>
      <c r="F367" t="s">
        <v>11</v>
      </c>
      <c r="G367" s="1"/>
      <c r="H367" t="str">
        <f>"3700920111486"</f>
        <v>3700920111486</v>
      </c>
      <c r="J367" t="s">
        <v>162</v>
      </c>
    </row>
    <row r="368" spans="1:10" x14ac:dyDescent="0.25">
      <c r="A368" t="s">
        <v>8</v>
      </c>
      <c r="B368">
        <v>4889822</v>
      </c>
      <c r="C368" t="s">
        <v>406</v>
      </c>
      <c r="D368">
        <v>1</v>
      </c>
      <c r="E368" t="s">
        <v>10</v>
      </c>
      <c r="F368" t="s">
        <v>11</v>
      </c>
      <c r="G368" s="1"/>
      <c r="H368" t="str">
        <f>"3700920111493"</f>
        <v>3700920111493</v>
      </c>
      <c r="J368" t="s">
        <v>162</v>
      </c>
    </row>
    <row r="369" spans="1:10" x14ac:dyDescent="0.25">
      <c r="A369" t="s">
        <v>8</v>
      </c>
      <c r="B369">
        <v>4889823</v>
      </c>
      <c r="C369" t="s">
        <v>407</v>
      </c>
      <c r="D369">
        <v>1</v>
      </c>
      <c r="E369" t="s">
        <v>10</v>
      </c>
      <c r="F369" t="s">
        <v>11</v>
      </c>
      <c r="G369" s="1"/>
      <c r="H369" t="str">
        <f>"3700920144415"</f>
        <v>3700920144415</v>
      </c>
      <c r="J369" t="s">
        <v>370</v>
      </c>
    </row>
    <row r="370" spans="1:10" x14ac:dyDescent="0.25">
      <c r="A370" t="s">
        <v>8</v>
      </c>
      <c r="B370">
        <v>4889900</v>
      </c>
      <c r="C370" t="s">
        <v>408</v>
      </c>
      <c r="D370">
        <v>1</v>
      </c>
      <c r="E370" t="s">
        <v>10</v>
      </c>
      <c r="F370" t="s">
        <v>11</v>
      </c>
      <c r="G370" s="1"/>
      <c r="H370" t="str">
        <f>"3700920144422"</f>
        <v>3700920144422</v>
      </c>
      <c r="J370" t="s">
        <v>409</v>
      </c>
    </row>
    <row r="371" spans="1:10" x14ac:dyDescent="0.25">
      <c r="A371" t="s">
        <v>8</v>
      </c>
      <c r="B371">
        <v>4889901</v>
      </c>
      <c r="C371" t="s">
        <v>408</v>
      </c>
      <c r="D371">
        <v>1</v>
      </c>
      <c r="E371" t="s">
        <v>10</v>
      </c>
      <c r="F371" t="s">
        <v>11</v>
      </c>
      <c r="G371" s="1"/>
      <c r="H371" t="str">
        <f>"3700920115446"</f>
        <v>3700920115446</v>
      </c>
      <c r="J371" t="s">
        <v>409</v>
      </c>
    </row>
    <row r="372" spans="1:10" x14ac:dyDescent="0.25">
      <c r="A372" t="s">
        <v>8</v>
      </c>
      <c r="B372">
        <v>5171003</v>
      </c>
      <c r="C372" t="s">
        <v>410</v>
      </c>
      <c r="D372">
        <v>1</v>
      </c>
      <c r="E372" t="s">
        <v>10</v>
      </c>
      <c r="F372" t="s">
        <v>11</v>
      </c>
      <c r="G372" s="1"/>
      <c r="H372" t="str">
        <f>"3700920142251"</f>
        <v>3700920142251</v>
      </c>
      <c r="J372" t="s">
        <v>411</v>
      </c>
    </row>
    <row r="373" spans="1:10" x14ac:dyDescent="0.25">
      <c r="A373" t="s">
        <v>8</v>
      </c>
      <c r="B373">
        <v>5171007</v>
      </c>
      <c r="C373" t="s">
        <v>412</v>
      </c>
      <c r="D373">
        <v>1</v>
      </c>
      <c r="E373" t="s">
        <v>10</v>
      </c>
      <c r="F373" t="s">
        <v>11</v>
      </c>
      <c r="G373" s="1"/>
      <c r="H373" t="str">
        <f>"3700920142268"</f>
        <v>3700920142268</v>
      </c>
      <c r="J373" t="s">
        <v>411</v>
      </c>
    </row>
    <row r="374" spans="1:10" x14ac:dyDescent="0.25">
      <c r="A374" t="s">
        <v>8</v>
      </c>
      <c r="B374">
        <v>5171053</v>
      </c>
      <c r="C374" t="s">
        <v>413</v>
      </c>
      <c r="D374">
        <v>1</v>
      </c>
      <c r="E374" t="s">
        <v>10</v>
      </c>
      <c r="F374" t="s">
        <v>11</v>
      </c>
      <c r="G374" s="1"/>
      <c r="H374" t="str">
        <f>"3700920142275"</f>
        <v>3700920142275</v>
      </c>
      <c r="J374" t="s">
        <v>411</v>
      </c>
    </row>
    <row r="375" spans="1:10" x14ac:dyDescent="0.25">
      <c r="A375" t="s">
        <v>8</v>
      </c>
      <c r="B375">
        <v>5171057</v>
      </c>
      <c r="C375" t="s">
        <v>414</v>
      </c>
      <c r="D375">
        <v>1</v>
      </c>
      <c r="E375" t="s">
        <v>10</v>
      </c>
      <c r="F375" t="s">
        <v>11</v>
      </c>
      <c r="G375" s="1"/>
      <c r="H375" t="str">
        <f>"3700920142282"</f>
        <v>3700920142282</v>
      </c>
      <c r="J375" t="s">
        <v>411</v>
      </c>
    </row>
    <row r="376" spans="1:10" x14ac:dyDescent="0.25">
      <c r="A376" t="s">
        <v>8</v>
      </c>
      <c r="B376">
        <v>5171111</v>
      </c>
      <c r="C376" t="s">
        <v>415</v>
      </c>
      <c r="D376">
        <v>1</v>
      </c>
      <c r="E376" t="s">
        <v>10</v>
      </c>
      <c r="F376" t="s">
        <v>11</v>
      </c>
      <c r="G376" s="1"/>
      <c r="H376" t="str">
        <f>"3700920147485"</f>
        <v>3700920147485</v>
      </c>
      <c r="J376" s="1">
        <v>57</v>
      </c>
    </row>
    <row r="377" spans="1:10" x14ac:dyDescent="0.25">
      <c r="A377" t="s">
        <v>8</v>
      </c>
      <c r="B377">
        <v>5171112</v>
      </c>
      <c r="C377" t="s">
        <v>416</v>
      </c>
      <c r="D377">
        <v>1</v>
      </c>
      <c r="E377" t="s">
        <v>10</v>
      </c>
      <c r="F377" t="s">
        <v>11</v>
      </c>
      <c r="G377" s="1"/>
      <c r="H377" t="str">
        <f>"3700920147492"</f>
        <v>3700920147492</v>
      </c>
      <c r="J377" s="1">
        <v>57</v>
      </c>
    </row>
    <row r="378" spans="1:10" x14ac:dyDescent="0.25">
      <c r="A378" t="s">
        <v>8</v>
      </c>
      <c r="B378">
        <v>5171113</v>
      </c>
      <c r="C378" t="s">
        <v>417</v>
      </c>
      <c r="D378">
        <v>1</v>
      </c>
      <c r="E378" t="s">
        <v>10</v>
      </c>
      <c r="F378" t="s">
        <v>11</v>
      </c>
      <c r="G378" s="1"/>
      <c r="H378" t="str">
        <f>"3700920147508"</f>
        <v>3700920147508</v>
      </c>
      <c r="J378" s="1">
        <v>57</v>
      </c>
    </row>
    <row r="379" spans="1:10" x14ac:dyDescent="0.25">
      <c r="A379" t="s">
        <v>8</v>
      </c>
      <c r="B379">
        <v>5171117</v>
      </c>
      <c r="C379" t="s">
        <v>418</v>
      </c>
      <c r="D379">
        <v>1</v>
      </c>
      <c r="E379" t="s">
        <v>10</v>
      </c>
      <c r="F379" t="s">
        <v>11</v>
      </c>
      <c r="G379" s="1"/>
      <c r="H379" t="str">
        <f>"3700920147515"</f>
        <v>3700920147515</v>
      </c>
      <c r="J379" s="1">
        <v>57</v>
      </c>
    </row>
    <row r="380" spans="1:10" x14ac:dyDescent="0.25">
      <c r="A380" t="s">
        <v>8</v>
      </c>
      <c r="B380">
        <v>5171118</v>
      </c>
      <c r="C380" t="s">
        <v>419</v>
      </c>
      <c r="D380">
        <v>1</v>
      </c>
      <c r="E380" t="s">
        <v>10</v>
      </c>
      <c r="F380" t="s">
        <v>11</v>
      </c>
      <c r="G380" s="1"/>
      <c r="H380" t="str">
        <f>"3700920147522"</f>
        <v>3700920147522</v>
      </c>
      <c r="J380" s="1">
        <v>57</v>
      </c>
    </row>
    <row r="381" spans="1:10" x14ac:dyDescent="0.25">
      <c r="A381" t="s">
        <v>8</v>
      </c>
      <c r="B381">
        <v>5171221</v>
      </c>
      <c r="C381" t="s">
        <v>420</v>
      </c>
      <c r="D381">
        <v>1</v>
      </c>
      <c r="E381" t="s">
        <v>10</v>
      </c>
      <c r="F381" t="s">
        <v>11</v>
      </c>
      <c r="G381" s="1"/>
      <c r="H381" t="str">
        <f>"3700920147539"</f>
        <v>3700920147539</v>
      </c>
      <c r="J381" t="s">
        <v>421</v>
      </c>
    </row>
    <row r="382" spans="1:10" x14ac:dyDescent="0.25">
      <c r="A382" t="s">
        <v>8</v>
      </c>
      <c r="B382">
        <v>5171222</v>
      </c>
      <c r="C382" t="s">
        <v>422</v>
      </c>
      <c r="D382">
        <v>1</v>
      </c>
      <c r="E382" t="s">
        <v>10</v>
      </c>
      <c r="F382" t="s">
        <v>11</v>
      </c>
      <c r="G382" s="1"/>
      <c r="H382" t="str">
        <f>"3700920147546"</f>
        <v>3700920147546</v>
      </c>
      <c r="J382" t="s">
        <v>421</v>
      </c>
    </row>
    <row r="383" spans="1:10" x14ac:dyDescent="0.25">
      <c r="A383" t="s">
        <v>8</v>
      </c>
      <c r="B383">
        <v>5171223</v>
      </c>
      <c r="C383" t="s">
        <v>423</v>
      </c>
      <c r="D383">
        <v>1</v>
      </c>
      <c r="E383" t="s">
        <v>10</v>
      </c>
      <c r="F383" t="s">
        <v>11</v>
      </c>
      <c r="G383" s="1"/>
      <c r="H383" t="str">
        <f>"3700920147553"</f>
        <v>3700920147553</v>
      </c>
      <c r="J383" t="s">
        <v>421</v>
      </c>
    </row>
    <row r="384" spans="1:10" x14ac:dyDescent="0.25">
      <c r="A384" t="s">
        <v>8</v>
      </c>
      <c r="B384">
        <v>5171227</v>
      </c>
      <c r="C384" t="s">
        <v>424</v>
      </c>
      <c r="D384">
        <v>1</v>
      </c>
      <c r="E384" t="s">
        <v>10</v>
      </c>
      <c r="F384" t="s">
        <v>11</v>
      </c>
      <c r="G384" s="1"/>
      <c r="H384" t="str">
        <f>"3700920147560"</f>
        <v>3700920147560</v>
      </c>
      <c r="J384" t="s">
        <v>421</v>
      </c>
    </row>
    <row r="385" spans="1:10" x14ac:dyDescent="0.25">
      <c r="A385" t="s">
        <v>8</v>
      </c>
      <c r="B385">
        <v>5171228</v>
      </c>
      <c r="C385" t="s">
        <v>425</v>
      </c>
      <c r="D385">
        <v>1</v>
      </c>
      <c r="E385" t="s">
        <v>10</v>
      </c>
      <c r="F385" t="s">
        <v>11</v>
      </c>
      <c r="G385" s="1"/>
      <c r="H385" t="str">
        <f>"3700920147577"</f>
        <v>3700920147577</v>
      </c>
      <c r="J385" t="s">
        <v>421</v>
      </c>
    </row>
    <row r="386" spans="1:10" x14ac:dyDescent="0.25">
      <c r="A386" t="s">
        <v>8</v>
      </c>
      <c r="B386">
        <v>5171253</v>
      </c>
      <c r="C386" t="s">
        <v>426</v>
      </c>
      <c r="D386">
        <v>1</v>
      </c>
      <c r="E386" t="s">
        <v>10</v>
      </c>
      <c r="F386" t="s">
        <v>11</v>
      </c>
      <c r="G386" s="1"/>
      <c r="H386" t="str">
        <f>"3700920142299"</f>
        <v>3700920142299</v>
      </c>
      <c r="J386" s="1">
        <v>63</v>
      </c>
    </row>
    <row r="387" spans="1:10" x14ac:dyDescent="0.25">
      <c r="A387" t="s">
        <v>8</v>
      </c>
      <c r="B387">
        <v>5171257</v>
      </c>
      <c r="C387" t="s">
        <v>427</v>
      </c>
      <c r="D387">
        <v>1</v>
      </c>
      <c r="E387" t="s">
        <v>10</v>
      </c>
      <c r="F387" t="s">
        <v>11</v>
      </c>
      <c r="G387" s="1"/>
      <c r="H387" t="str">
        <f>"3700920142305"</f>
        <v>3700920142305</v>
      </c>
      <c r="J387" s="1">
        <v>63</v>
      </c>
    </row>
    <row r="388" spans="1:10" x14ac:dyDescent="0.25">
      <c r="A388" t="s">
        <v>8</v>
      </c>
      <c r="B388">
        <v>5501001</v>
      </c>
      <c r="C388" t="s">
        <v>428</v>
      </c>
      <c r="D388">
        <v>1</v>
      </c>
      <c r="E388" t="s">
        <v>10</v>
      </c>
      <c r="F388" t="s">
        <v>11</v>
      </c>
      <c r="G388" s="1"/>
      <c r="H388" t="str">
        <f>"3700920115408"</f>
        <v>3700920115408</v>
      </c>
      <c r="J388" t="s">
        <v>429</v>
      </c>
    </row>
    <row r="389" spans="1:10" x14ac:dyDescent="0.25">
      <c r="A389" t="s">
        <v>8</v>
      </c>
      <c r="B389">
        <v>5501002</v>
      </c>
      <c r="C389" t="s">
        <v>430</v>
      </c>
      <c r="D389">
        <v>1</v>
      </c>
      <c r="E389" t="s">
        <v>10</v>
      </c>
      <c r="F389" t="s">
        <v>11</v>
      </c>
      <c r="G389" s="1"/>
      <c r="H389" t="str">
        <f>"3700920115415"</f>
        <v>3700920115415</v>
      </c>
      <c r="J389" t="s">
        <v>429</v>
      </c>
    </row>
    <row r="390" spans="1:10" x14ac:dyDescent="0.25">
      <c r="A390" t="s">
        <v>8</v>
      </c>
      <c r="B390">
        <v>5501003</v>
      </c>
      <c r="C390" t="s">
        <v>431</v>
      </c>
      <c r="D390">
        <v>1</v>
      </c>
      <c r="E390" t="s">
        <v>10</v>
      </c>
      <c r="F390" t="s">
        <v>11</v>
      </c>
      <c r="G390" s="1"/>
      <c r="H390" t="str">
        <f>"3700920115422"</f>
        <v>3700920115422</v>
      </c>
      <c r="J390" t="s">
        <v>429</v>
      </c>
    </row>
    <row r="391" spans="1:10" x14ac:dyDescent="0.25">
      <c r="A391" t="s">
        <v>8</v>
      </c>
      <c r="B391">
        <v>5502002</v>
      </c>
      <c r="C391" t="s">
        <v>432</v>
      </c>
      <c r="D391">
        <v>1</v>
      </c>
      <c r="E391" t="s">
        <v>10</v>
      </c>
      <c r="F391" t="s">
        <v>11</v>
      </c>
      <c r="G391" s="1"/>
      <c r="H391" t="str">
        <f>"3700920115439"</f>
        <v>3700920115439</v>
      </c>
      <c r="J391" s="1">
        <v>93</v>
      </c>
    </row>
    <row r="392" spans="1:10" x14ac:dyDescent="0.25">
      <c r="A392" t="s">
        <v>8</v>
      </c>
      <c r="B392">
        <v>5509901</v>
      </c>
      <c r="C392" t="s">
        <v>433</v>
      </c>
      <c r="D392">
        <v>1</v>
      </c>
      <c r="E392" t="s">
        <v>10</v>
      </c>
      <c r="F392" t="s">
        <v>11</v>
      </c>
      <c r="G392" s="1"/>
      <c r="H392" t="str">
        <f>"3700920115477"</f>
        <v>3700920115477</v>
      </c>
      <c r="J392" t="s">
        <v>434</v>
      </c>
    </row>
    <row r="393" spans="1:10" x14ac:dyDescent="0.25">
      <c r="A393" t="s">
        <v>8</v>
      </c>
      <c r="B393">
        <v>5509902</v>
      </c>
      <c r="C393" t="s">
        <v>435</v>
      </c>
      <c r="D393">
        <v>1</v>
      </c>
      <c r="E393" t="s">
        <v>10</v>
      </c>
      <c r="F393" t="s">
        <v>11</v>
      </c>
      <c r="G393" s="1"/>
      <c r="H393" t="str">
        <f>"3700920115484"</f>
        <v>3700920115484</v>
      </c>
      <c r="J393" t="s">
        <v>434</v>
      </c>
    </row>
    <row r="394" spans="1:10" x14ac:dyDescent="0.25">
      <c r="A394" t="s">
        <v>8</v>
      </c>
      <c r="B394">
        <v>5509903</v>
      </c>
      <c r="C394" t="s">
        <v>436</v>
      </c>
      <c r="D394">
        <v>1</v>
      </c>
      <c r="E394" t="s">
        <v>10</v>
      </c>
      <c r="F394" t="s">
        <v>11</v>
      </c>
      <c r="G394" s="1"/>
      <c r="H394" t="str">
        <f>"3700920115460"</f>
        <v>3700920115460</v>
      </c>
      <c r="J394" t="s">
        <v>434</v>
      </c>
    </row>
    <row r="395" spans="1:10" x14ac:dyDescent="0.25">
      <c r="A395" t="s">
        <v>8</v>
      </c>
      <c r="B395">
        <v>5509920</v>
      </c>
      <c r="C395" t="s">
        <v>437</v>
      </c>
      <c r="D395">
        <v>1</v>
      </c>
      <c r="E395" t="s">
        <v>10</v>
      </c>
      <c r="F395" t="s">
        <v>11</v>
      </c>
      <c r="G395" s="1"/>
      <c r="H395" t="str">
        <f>"3700920115491"</f>
        <v>3700920115491</v>
      </c>
      <c r="J395" t="s">
        <v>438</v>
      </c>
    </row>
    <row r="396" spans="1:10" x14ac:dyDescent="0.25">
      <c r="A396" t="s">
        <v>8</v>
      </c>
      <c r="B396">
        <v>5509921</v>
      </c>
      <c r="C396" t="s">
        <v>439</v>
      </c>
      <c r="D396">
        <v>1</v>
      </c>
      <c r="E396" t="s">
        <v>10</v>
      </c>
      <c r="F396" t="s">
        <v>11</v>
      </c>
      <c r="G396" s="1"/>
      <c r="H396" t="str">
        <f>"3700920115507"</f>
        <v>3700920115507</v>
      </c>
      <c r="J396" t="s">
        <v>438</v>
      </c>
    </row>
    <row r="397" spans="1:10" x14ac:dyDescent="0.25">
      <c r="A397" t="s">
        <v>8</v>
      </c>
      <c r="B397" t="s">
        <v>440</v>
      </c>
      <c r="C397" t="s">
        <v>441</v>
      </c>
      <c r="D397">
        <v>1</v>
      </c>
      <c r="E397" t="s">
        <v>10</v>
      </c>
      <c r="F397" t="s">
        <v>11</v>
      </c>
      <c r="G397" s="1"/>
      <c r="H397" t="str">
        <f>"3700920100343"</f>
        <v>3700920100343</v>
      </c>
      <c r="J397" t="s">
        <v>442</v>
      </c>
    </row>
    <row r="398" spans="1:10" x14ac:dyDescent="0.25">
      <c r="A398" t="s">
        <v>8</v>
      </c>
      <c r="B398">
        <v>6000312</v>
      </c>
      <c r="C398" t="s">
        <v>443</v>
      </c>
      <c r="D398">
        <v>1</v>
      </c>
      <c r="E398" t="s">
        <v>10</v>
      </c>
      <c r="F398" t="s">
        <v>11</v>
      </c>
      <c r="G398" s="1"/>
      <c r="H398" t="str">
        <f>"3700920115767"</f>
        <v>3700920115767</v>
      </c>
      <c r="I398" s="1"/>
      <c r="J398" t="s">
        <v>444</v>
      </c>
    </row>
    <row r="399" spans="1:10" x14ac:dyDescent="0.25">
      <c r="A399" t="s">
        <v>8</v>
      </c>
      <c r="B399">
        <v>6000313</v>
      </c>
      <c r="C399" t="s">
        <v>445</v>
      </c>
      <c r="D399">
        <v>1</v>
      </c>
      <c r="E399" t="s">
        <v>10</v>
      </c>
      <c r="F399" t="s">
        <v>11</v>
      </c>
      <c r="G399" s="1"/>
      <c r="H399" t="str">
        <f>"3700920115774"</f>
        <v>3700920115774</v>
      </c>
      <c r="I399" s="1"/>
      <c r="J399" t="s">
        <v>444</v>
      </c>
    </row>
    <row r="400" spans="1:10" x14ac:dyDescent="0.25">
      <c r="A400" t="s">
        <v>8</v>
      </c>
      <c r="B400">
        <v>6000314</v>
      </c>
      <c r="C400" t="s">
        <v>446</v>
      </c>
      <c r="D400">
        <v>1</v>
      </c>
      <c r="E400" t="s">
        <v>10</v>
      </c>
      <c r="F400" t="s">
        <v>11</v>
      </c>
      <c r="G400" s="1"/>
      <c r="H400" t="str">
        <f>"3700920115781"</f>
        <v>3700920115781</v>
      </c>
      <c r="I400" s="1"/>
      <c r="J400" t="s">
        <v>444</v>
      </c>
    </row>
    <row r="401" spans="1:10" x14ac:dyDescent="0.25">
      <c r="A401" t="s">
        <v>8</v>
      </c>
      <c r="B401">
        <v>6000412</v>
      </c>
      <c r="C401" t="s">
        <v>447</v>
      </c>
      <c r="D401">
        <v>1</v>
      </c>
      <c r="E401" t="s">
        <v>10</v>
      </c>
      <c r="F401" t="s">
        <v>11</v>
      </c>
      <c r="G401" s="1"/>
      <c r="H401" t="str">
        <f>"3700920143715"</f>
        <v>3700920143715</v>
      </c>
      <c r="J401" t="s">
        <v>30</v>
      </c>
    </row>
    <row r="402" spans="1:10" x14ac:dyDescent="0.25">
      <c r="A402" t="s">
        <v>8</v>
      </c>
      <c r="B402">
        <v>6000413</v>
      </c>
      <c r="C402" t="s">
        <v>448</v>
      </c>
      <c r="D402">
        <v>1</v>
      </c>
      <c r="E402" t="s">
        <v>10</v>
      </c>
      <c r="F402" t="s">
        <v>11</v>
      </c>
      <c r="G402" s="1"/>
      <c r="H402" t="str">
        <f>"3700920143739"</f>
        <v>3700920143739</v>
      </c>
      <c r="J402" t="s">
        <v>30</v>
      </c>
    </row>
    <row r="403" spans="1:10" x14ac:dyDescent="0.25">
      <c r="A403" t="s">
        <v>8</v>
      </c>
      <c r="B403">
        <v>6000414</v>
      </c>
      <c r="C403" t="s">
        <v>449</v>
      </c>
      <c r="D403">
        <v>1</v>
      </c>
      <c r="E403" t="s">
        <v>10</v>
      </c>
      <c r="F403" t="s">
        <v>11</v>
      </c>
      <c r="G403" s="1"/>
      <c r="H403" t="str">
        <f>"3700920143753"</f>
        <v>3700920143753</v>
      </c>
      <c r="J403" t="s">
        <v>30</v>
      </c>
    </row>
    <row r="404" spans="1:10" x14ac:dyDescent="0.25">
      <c r="A404" t="s">
        <v>8</v>
      </c>
      <c r="B404">
        <v>6000482</v>
      </c>
      <c r="C404" t="s">
        <v>450</v>
      </c>
      <c r="D404">
        <v>1</v>
      </c>
      <c r="E404" t="s">
        <v>10</v>
      </c>
      <c r="F404" t="s">
        <v>11</v>
      </c>
      <c r="G404" s="1"/>
      <c r="H404" t="str">
        <f>"3700920143722"</f>
        <v>3700920143722</v>
      </c>
      <c r="J404" t="s">
        <v>212</v>
      </c>
    </row>
    <row r="405" spans="1:10" x14ac:dyDescent="0.25">
      <c r="A405" t="s">
        <v>8</v>
      </c>
      <c r="B405">
        <v>6000483</v>
      </c>
      <c r="C405" t="s">
        <v>451</v>
      </c>
      <c r="D405">
        <v>1</v>
      </c>
      <c r="E405" t="s">
        <v>10</v>
      </c>
      <c r="F405" t="s">
        <v>11</v>
      </c>
      <c r="G405" s="1"/>
      <c r="H405" t="str">
        <f>"3700920143746"</f>
        <v>3700920143746</v>
      </c>
      <c r="J405" t="s">
        <v>212</v>
      </c>
    </row>
    <row r="406" spans="1:10" x14ac:dyDescent="0.25">
      <c r="A406" t="s">
        <v>8</v>
      </c>
      <c r="B406">
        <v>6000484</v>
      </c>
      <c r="C406" t="s">
        <v>452</v>
      </c>
      <c r="D406">
        <v>1</v>
      </c>
      <c r="E406" t="s">
        <v>10</v>
      </c>
      <c r="F406" t="s">
        <v>11</v>
      </c>
      <c r="G406" s="1"/>
      <c r="H406" t="str">
        <f>"3700920143760"</f>
        <v>3700920143760</v>
      </c>
      <c r="J406" t="s">
        <v>212</v>
      </c>
    </row>
    <row r="407" spans="1:10" x14ac:dyDescent="0.25">
      <c r="A407" t="s">
        <v>8</v>
      </c>
      <c r="B407" t="s">
        <v>453</v>
      </c>
      <c r="C407" t="s">
        <v>454</v>
      </c>
      <c r="D407">
        <v>1</v>
      </c>
      <c r="E407" t="s">
        <v>10</v>
      </c>
      <c r="F407" t="s">
        <v>11</v>
      </c>
      <c r="G407" s="1"/>
      <c r="H407" t="str">
        <f>"3700920100381"</f>
        <v>3700920100381</v>
      </c>
      <c r="J407" s="1">
        <v>111</v>
      </c>
    </row>
    <row r="408" spans="1:10" x14ac:dyDescent="0.25">
      <c r="A408" t="s">
        <v>8</v>
      </c>
      <c r="B408" t="s">
        <v>455</v>
      </c>
      <c r="C408" t="s">
        <v>456</v>
      </c>
      <c r="D408">
        <v>1</v>
      </c>
      <c r="E408" t="s">
        <v>10</v>
      </c>
      <c r="F408" t="s">
        <v>11</v>
      </c>
      <c r="G408" s="1"/>
      <c r="H408" t="str">
        <f>"3700920100398"</f>
        <v>3700920100398</v>
      </c>
      <c r="J408" t="s">
        <v>457</v>
      </c>
    </row>
    <row r="409" spans="1:10" x14ac:dyDescent="0.25">
      <c r="A409" t="s">
        <v>8</v>
      </c>
      <c r="B409" t="s">
        <v>458</v>
      </c>
      <c r="C409" t="s">
        <v>459</v>
      </c>
      <c r="D409">
        <v>1</v>
      </c>
      <c r="E409" t="s">
        <v>10</v>
      </c>
      <c r="F409" t="s">
        <v>11</v>
      </c>
      <c r="G409" s="1"/>
      <c r="H409" t="str">
        <f>"3700920109162"</f>
        <v>3700920109162</v>
      </c>
      <c r="J409" t="s">
        <v>460</v>
      </c>
    </row>
    <row r="410" spans="1:10" x14ac:dyDescent="0.25">
      <c r="A410" t="s">
        <v>8</v>
      </c>
      <c r="B410">
        <v>6000712</v>
      </c>
      <c r="C410" t="s">
        <v>461</v>
      </c>
      <c r="D410">
        <v>1</v>
      </c>
      <c r="E410" t="s">
        <v>10</v>
      </c>
      <c r="F410" t="s">
        <v>11</v>
      </c>
      <c r="G410" s="1"/>
      <c r="H410" t="str">
        <f>"3700920143777"</f>
        <v>3700920143777</v>
      </c>
      <c r="J410" s="1">
        <v>42</v>
      </c>
    </row>
    <row r="411" spans="1:10" x14ac:dyDescent="0.25">
      <c r="A411" t="s">
        <v>8</v>
      </c>
      <c r="B411">
        <v>6000713</v>
      </c>
      <c r="C411" t="s">
        <v>462</v>
      </c>
      <c r="D411">
        <v>1</v>
      </c>
      <c r="E411" t="s">
        <v>10</v>
      </c>
      <c r="F411" t="s">
        <v>11</v>
      </c>
      <c r="G411" s="1"/>
      <c r="H411" t="str">
        <f>"3700920143791"</f>
        <v>3700920143791</v>
      </c>
      <c r="J411" s="1">
        <v>42</v>
      </c>
    </row>
    <row r="412" spans="1:10" x14ac:dyDescent="0.25">
      <c r="A412" t="s">
        <v>8</v>
      </c>
      <c r="B412">
        <v>6000714</v>
      </c>
      <c r="C412" t="s">
        <v>463</v>
      </c>
      <c r="D412">
        <v>1</v>
      </c>
      <c r="E412" t="s">
        <v>10</v>
      </c>
      <c r="F412" t="s">
        <v>11</v>
      </c>
      <c r="G412" s="1"/>
      <c r="H412" t="str">
        <f>"3700920143814"</f>
        <v>3700920143814</v>
      </c>
      <c r="J412" s="1">
        <v>42</v>
      </c>
    </row>
    <row r="413" spans="1:10" x14ac:dyDescent="0.25">
      <c r="A413" t="s">
        <v>8</v>
      </c>
      <c r="B413" t="s">
        <v>464</v>
      </c>
      <c r="C413" t="s">
        <v>465</v>
      </c>
      <c r="D413">
        <v>1</v>
      </c>
      <c r="E413" t="s">
        <v>10</v>
      </c>
      <c r="F413" t="s">
        <v>11</v>
      </c>
      <c r="G413" s="1"/>
      <c r="H413" t="str">
        <f>"3700920109179"</f>
        <v>3700920109179</v>
      </c>
      <c r="J413" t="s">
        <v>466</v>
      </c>
    </row>
    <row r="414" spans="1:10" x14ac:dyDescent="0.25">
      <c r="A414" t="s">
        <v>8</v>
      </c>
      <c r="B414" t="s">
        <v>467</v>
      </c>
      <c r="C414" t="s">
        <v>468</v>
      </c>
      <c r="D414">
        <v>1</v>
      </c>
      <c r="E414" t="s">
        <v>10</v>
      </c>
      <c r="F414" t="s">
        <v>11</v>
      </c>
      <c r="G414" s="1"/>
      <c r="H414" t="str">
        <f>"3700920100428"</f>
        <v>3700920100428</v>
      </c>
      <c r="J414" t="s">
        <v>466</v>
      </c>
    </row>
    <row r="415" spans="1:10" x14ac:dyDescent="0.25">
      <c r="A415" t="s">
        <v>8</v>
      </c>
      <c r="B415">
        <v>6000782</v>
      </c>
      <c r="C415" t="s">
        <v>469</v>
      </c>
      <c r="D415">
        <v>1</v>
      </c>
      <c r="E415" t="s">
        <v>10</v>
      </c>
      <c r="F415" t="s">
        <v>11</v>
      </c>
      <c r="G415" s="1"/>
      <c r="H415" t="str">
        <f>"3700920143784"</f>
        <v>3700920143784</v>
      </c>
      <c r="J415" t="s">
        <v>442</v>
      </c>
    </row>
    <row r="416" spans="1:10" x14ac:dyDescent="0.25">
      <c r="A416" t="s">
        <v>8</v>
      </c>
      <c r="B416">
        <v>6000783</v>
      </c>
      <c r="C416" t="s">
        <v>470</v>
      </c>
      <c r="D416">
        <v>1</v>
      </c>
      <c r="E416" t="s">
        <v>10</v>
      </c>
      <c r="F416" t="s">
        <v>11</v>
      </c>
      <c r="G416" s="1"/>
      <c r="H416" t="str">
        <f>"3700920143807"</f>
        <v>3700920143807</v>
      </c>
      <c r="J416" t="s">
        <v>442</v>
      </c>
    </row>
    <row r="417" spans="1:10" x14ac:dyDescent="0.25">
      <c r="A417" t="s">
        <v>8</v>
      </c>
      <c r="B417">
        <v>6000784</v>
      </c>
      <c r="C417" t="s">
        <v>471</v>
      </c>
      <c r="D417">
        <v>1</v>
      </c>
      <c r="E417" t="s">
        <v>10</v>
      </c>
      <c r="F417" t="s">
        <v>11</v>
      </c>
      <c r="G417" s="1"/>
      <c r="H417" t="str">
        <f>"3700920143821"</f>
        <v>3700920143821</v>
      </c>
      <c r="J417" t="s">
        <v>442</v>
      </c>
    </row>
    <row r="418" spans="1:10" x14ac:dyDescent="0.25">
      <c r="A418" t="s">
        <v>8</v>
      </c>
      <c r="B418">
        <v>6000823</v>
      </c>
      <c r="C418" t="s">
        <v>472</v>
      </c>
      <c r="D418">
        <v>1</v>
      </c>
      <c r="E418" t="s">
        <v>10</v>
      </c>
      <c r="F418" t="s">
        <v>11</v>
      </c>
      <c r="G418" s="1"/>
      <c r="H418" t="str">
        <f>"3700920111660"</f>
        <v>3700920111660</v>
      </c>
      <c r="J418" t="s">
        <v>473</v>
      </c>
    </row>
    <row r="419" spans="1:10" x14ac:dyDescent="0.25">
      <c r="A419" t="s">
        <v>8</v>
      </c>
      <c r="B419">
        <v>6000902</v>
      </c>
      <c r="C419" t="s">
        <v>474</v>
      </c>
      <c r="D419">
        <v>1</v>
      </c>
      <c r="E419" t="s">
        <v>10</v>
      </c>
      <c r="F419" t="s">
        <v>11</v>
      </c>
      <c r="G419" s="1"/>
      <c r="H419" t="str">
        <f>"3700920109551"</f>
        <v>3700920109551</v>
      </c>
      <c r="J419" s="1">
        <v>57</v>
      </c>
    </row>
    <row r="420" spans="1:10" x14ac:dyDescent="0.25">
      <c r="A420" t="s">
        <v>8</v>
      </c>
      <c r="B420">
        <v>6000903</v>
      </c>
      <c r="C420" t="s">
        <v>475</v>
      </c>
      <c r="D420">
        <v>1</v>
      </c>
      <c r="E420" t="s">
        <v>10</v>
      </c>
      <c r="F420" t="s">
        <v>11</v>
      </c>
      <c r="G420" s="1"/>
      <c r="H420" t="str">
        <f>"3700920109568"</f>
        <v>3700920109568</v>
      </c>
      <c r="J420" s="1">
        <v>57</v>
      </c>
    </row>
    <row r="421" spans="1:10" x14ac:dyDescent="0.25">
      <c r="A421" t="s">
        <v>8</v>
      </c>
      <c r="B421">
        <v>6000904</v>
      </c>
      <c r="C421" t="s">
        <v>476</v>
      </c>
      <c r="D421">
        <v>1</v>
      </c>
      <c r="E421" t="s">
        <v>10</v>
      </c>
      <c r="F421" t="s">
        <v>11</v>
      </c>
      <c r="G421" s="1"/>
      <c r="H421" t="str">
        <f>"3700920109575"</f>
        <v>3700920109575</v>
      </c>
      <c r="J421" s="1">
        <v>57</v>
      </c>
    </row>
    <row r="422" spans="1:10" x14ac:dyDescent="0.25">
      <c r="A422" t="s">
        <v>8</v>
      </c>
      <c r="B422">
        <v>6000912</v>
      </c>
      <c r="C422" t="s">
        <v>477</v>
      </c>
      <c r="D422">
        <v>1</v>
      </c>
      <c r="E422" t="s">
        <v>10</v>
      </c>
      <c r="F422" t="s">
        <v>11</v>
      </c>
      <c r="G422" s="1"/>
      <c r="H422" t="str">
        <f>"3700920143838"</f>
        <v>3700920143838</v>
      </c>
      <c r="J422" t="s">
        <v>478</v>
      </c>
    </row>
    <row r="423" spans="1:10" x14ac:dyDescent="0.25">
      <c r="A423" t="s">
        <v>8</v>
      </c>
      <c r="B423">
        <v>6000913</v>
      </c>
      <c r="C423" t="s">
        <v>479</v>
      </c>
      <c r="D423">
        <v>1</v>
      </c>
      <c r="E423" t="s">
        <v>10</v>
      </c>
      <c r="F423" t="s">
        <v>11</v>
      </c>
      <c r="G423" s="1"/>
      <c r="H423" t="str">
        <f>"3700920143852"</f>
        <v>3700920143852</v>
      </c>
      <c r="J423" t="s">
        <v>478</v>
      </c>
    </row>
    <row r="424" spans="1:10" x14ac:dyDescent="0.25">
      <c r="A424" t="s">
        <v>8</v>
      </c>
      <c r="B424">
        <v>6000914</v>
      </c>
      <c r="C424" t="s">
        <v>480</v>
      </c>
      <c r="D424">
        <v>1</v>
      </c>
      <c r="E424" t="s">
        <v>10</v>
      </c>
      <c r="F424" t="s">
        <v>11</v>
      </c>
      <c r="G424" s="1"/>
      <c r="H424" t="str">
        <f>"3700920143876"</f>
        <v>3700920143876</v>
      </c>
      <c r="J424" t="s">
        <v>478</v>
      </c>
    </row>
    <row r="425" spans="1:10" x14ac:dyDescent="0.25">
      <c r="A425" t="s">
        <v>8</v>
      </c>
      <c r="B425">
        <v>6000972</v>
      </c>
      <c r="C425" t="s">
        <v>481</v>
      </c>
      <c r="D425">
        <v>1</v>
      </c>
      <c r="E425" t="s">
        <v>10</v>
      </c>
      <c r="F425" t="s">
        <v>11</v>
      </c>
      <c r="G425" s="1"/>
      <c r="H425" t="str">
        <f>"3700920109582"</f>
        <v>3700920109582</v>
      </c>
      <c r="I425" s="1"/>
      <c r="J425" t="s">
        <v>482</v>
      </c>
    </row>
    <row r="426" spans="1:10" x14ac:dyDescent="0.25">
      <c r="A426" t="s">
        <v>8</v>
      </c>
      <c r="B426">
        <v>6000973</v>
      </c>
      <c r="C426" t="s">
        <v>483</v>
      </c>
      <c r="D426">
        <v>1</v>
      </c>
      <c r="E426" t="s">
        <v>10</v>
      </c>
      <c r="F426" t="s">
        <v>11</v>
      </c>
      <c r="G426" s="1"/>
      <c r="H426" t="str">
        <f>"3700920109599"</f>
        <v>3700920109599</v>
      </c>
      <c r="I426" s="1"/>
      <c r="J426" t="s">
        <v>482</v>
      </c>
    </row>
    <row r="427" spans="1:10" x14ac:dyDescent="0.25">
      <c r="A427" t="s">
        <v>8</v>
      </c>
      <c r="B427">
        <v>6000974</v>
      </c>
      <c r="C427" t="s">
        <v>484</v>
      </c>
      <c r="D427">
        <v>1</v>
      </c>
      <c r="E427" t="s">
        <v>10</v>
      </c>
      <c r="F427" t="s">
        <v>11</v>
      </c>
      <c r="G427" s="1"/>
      <c r="H427" t="str">
        <f>"3700920109605"</f>
        <v>3700920109605</v>
      </c>
      <c r="I427" s="1"/>
      <c r="J427" t="s">
        <v>482</v>
      </c>
    </row>
    <row r="428" spans="1:10" x14ac:dyDescent="0.25">
      <c r="A428" t="s">
        <v>8</v>
      </c>
      <c r="B428">
        <v>6000982</v>
      </c>
      <c r="C428" t="s">
        <v>485</v>
      </c>
      <c r="D428">
        <v>1</v>
      </c>
      <c r="E428" t="s">
        <v>10</v>
      </c>
      <c r="F428" t="s">
        <v>11</v>
      </c>
      <c r="G428" s="1"/>
      <c r="H428" t="str">
        <f>"3700920143845"</f>
        <v>3700920143845</v>
      </c>
      <c r="J428" s="1">
        <v>69</v>
      </c>
    </row>
    <row r="429" spans="1:10" x14ac:dyDescent="0.25">
      <c r="A429" t="s">
        <v>8</v>
      </c>
      <c r="B429">
        <v>6000983</v>
      </c>
      <c r="C429" t="s">
        <v>486</v>
      </c>
      <c r="D429">
        <v>1</v>
      </c>
      <c r="E429" t="s">
        <v>10</v>
      </c>
      <c r="F429" t="s">
        <v>11</v>
      </c>
      <c r="G429" s="1"/>
      <c r="H429" t="str">
        <f>"3700920143869"</f>
        <v>3700920143869</v>
      </c>
      <c r="J429" s="1">
        <v>69</v>
      </c>
    </row>
    <row r="430" spans="1:10" x14ac:dyDescent="0.25">
      <c r="A430" t="s">
        <v>8</v>
      </c>
      <c r="B430">
        <v>6000984</v>
      </c>
      <c r="C430" t="s">
        <v>487</v>
      </c>
      <c r="D430">
        <v>1</v>
      </c>
      <c r="E430" t="s">
        <v>10</v>
      </c>
      <c r="F430" t="s">
        <v>11</v>
      </c>
      <c r="G430" s="1"/>
      <c r="H430" t="str">
        <f>"3700920143883"</f>
        <v>3700920143883</v>
      </c>
      <c r="J430" s="1">
        <v>69</v>
      </c>
    </row>
    <row r="431" spans="1:10" x14ac:dyDescent="0.25">
      <c r="A431" t="s">
        <v>8</v>
      </c>
      <c r="B431">
        <v>6001002</v>
      </c>
      <c r="C431" t="s">
        <v>488</v>
      </c>
      <c r="D431">
        <v>1</v>
      </c>
      <c r="E431" t="s">
        <v>10</v>
      </c>
      <c r="F431" t="s">
        <v>11</v>
      </c>
      <c r="G431" s="1"/>
      <c r="H431" t="str">
        <f>"3700920111707"</f>
        <v>3700920111707</v>
      </c>
      <c r="J431" t="s">
        <v>429</v>
      </c>
    </row>
    <row r="432" spans="1:10" x14ac:dyDescent="0.25">
      <c r="A432" t="s">
        <v>8</v>
      </c>
      <c r="B432">
        <v>6001003</v>
      </c>
      <c r="C432" t="s">
        <v>489</v>
      </c>
      <c r="D432">
        <v>1</v>
      </c>
      <c r="E432" t="s">
        <v>10</v>
      </c>
      <c r="F432" t="s">
        <v>11</v>
      </c>
      <c r="G432" s="1"/>
      <c r="H432" t="str">
        <f>"3700920111721"</f>
        <v>3700920111721</v>
      </c>
      <c r="J432" t="s">
        <v>429</v>
      </c>
    </row>
    <row r="433" spans="1:10" x14ac:dyDescent="0.25">
      <c r="A433" t="s">
        <v>8</v>
      </c>
      <c r="B433">
        <v>6001004</v>
      </c>
      <c r="C433" t="s">
        <v>490</v>
      </c>
      <c r="D433">
        <v>1</v>
      </c>
      <c r="E433" t="s">
        <v>10</v>
      </c>
      <c r="F433" t="s">
        <v>11</v>
      </c>
      <c r="G433" s="1"/>
      <c r="H433" t="str">
        <f>"3700920111745"</f>
        <v>3700920111745</v>
      </c>
      <c r="J433" t="s">
        <v>429</v>
      </c>
    </row>
    <row r="434" spans="1:10" x14ac:dyDescent="0.25">
      <c r="A434" t="s">
        <v>8</v>
      </c>
      <c r="B434">
        <v>6001062</v>
      </c>
      <c r="C434" t="s">
        <v>491</v>
      </c>
      <c r="D434">
        <v>1</v>
      </c>
      <c r="E434" t="s">
        <v>10</v>
      </c>
      <c r="F434" t="s">
        <v>11</v>
      </c>
      <c r="G434" s="1"/>
      <c r="H434" t="str">
        <f>"3700920111714"</f>
        <v>3700920111714</v>
      </c>
      <c r="I434" s="1"/>
      <c r="J434" t="s">
        <v>351</v>
      </c>
    </row>
    <row r="435" spans="1:10" x14ac:dyDescent="0.25">
      <c r="A435" t="s">
        <v>8</v>
      </c>
      <c r="B435">
        <v>6001063</v>
      </c>
      <c r="C435" t="s">
        <v>492</v>
      </c>
      <c r="D435">
        <v>1</v>
      </c>
      <c r="E435" t="s">
        <v>10</v>
      </c>
      <c r="F435" t="s">
        <v>11</v>
      </c>
      <c r="G435" s="1"/>
      <c r="H435" t="str">
        <f>"3700920111738"</f>
        <v>3700920111738</v>
      </c>
      <c r="I435" s="1"/>
      <c r="J435" t="s">
        <v>351</v>
      </c>
    </row>
    <row r="436" spans="1:10" x14ac:dyDescent="0.25">
      <c r="A436" t="s">
        <v>8</v>
      </c>
      <c r="B436">
        <v>6001064</v>
      </c>
      <c r="C436" t="s">
        <v>493</v>
      </c>
      <c r="D436">
        <v>1</v>
      </c>
      <c r="E436" t="s">
        <v>10</v>
      </c>
      <c r="F436" t="s">
        <v>11</v>
      </c>
      <c r="G436" s="1"/>
      <c r="H436" t="str">
        <f>"3700920111752"</f>
        <v>3700920111752</v>
      </c>
      <c r="I436" s="1"/>
      <c r="J436" t="s">
        <v>351</v>
      </c>
    </row>
    <row r="437" spans="1:10" x14ac:dyDescent="0.25">
      <c r="A437" t="s">
        <v>8</v>
      </c>
      <c r="B437" t="s">
        <v>494</v>
      </c>
      <c r="C437" t="s">
        <v>495</v>
      </c>
      <c r="D437">
        <v>1</v>
      </c>
      <c r="E437" t="s">
        <v>10</v>
      </c>
      <c r="F437" t="s">
        <v>11</v>
      </c>
      <c r="G437" s="1"/>
      <c r="H437" t="str">
        <f>"3700920106659"</f>
        <v>3700920106659</v>
      </c>
      <c r="I437" s="1"/>
      <c r="J437" t="s">
        <v>496</v>
      </c>
    </row>
    <row r="438" spans="1:10" x14ac:dyDescent="0.25">
      <c r="A438" t="s">
        <v>8</v>
      </c>
      <c r="B438" t="s">
        <v>497</v>
      </c>
      <c r="C438" t="s">
        <v>498</v>
      </c>
      <c r="D438">
        <v>1</v>
      </c>
      <c r="E438" t="s">
        <v>10</v>
      </c>
      <c r="F438" t="s">
        <v>11</v>
      </c>
      <c r="G438" s="1"/>
      <c r="H438" t="str">
        <f>"3700920100473"</f>
        <v>3700920100473</v>
      </c>
      <c r="J438" t="s">
        <v>499</v>
      </c>
    </row>
    <row r="439" spans="1:10" x14ac:dyDescent="0.25">
      <c r="A439" t="s">
        <v>8</v>
      </c>
      <c r="B439" t="s">
        <v>500</v>
      </c>
      <c r="C439" t="s">
        <v>501</v>
      </c>
      <c r="D439">
        <v>1</v>
      </c>
      <c r="E439" t="s">
        <v>10</v>
      </c>
      <c r="F439" t="s">
        <v>11</v>
      </c>
      <c r="G439" s="1"/>
      <c r="H439" t="str">
        <f>"3700920100480"</f>
        <v>3700920100480</v>
      </c>
      <c r="J439" t="s">
        <v>502</v>
      </c>
    </row>
    <row r="440" spans="1:10" x14ac:dyDescent="0.25">
      <c r="A440" t="s">
        <v>8</v>
      </c>
      <c r="B440">
        <v>6001212</v>
      </c>
      <c r="C440" t="s">
        <v>503</v>
      </c>
      <c r="D440">
        <v>1</v>
      </c>
      <c r="E440" t="s">
        <v>10</v>
      </c>
      <c r="F440" t="s">
        <v>11</v>
      </c>
      <c r="G440" s="1"/>
      <c r="H440" t="str">
        <f>"3700920143890"</f>
        <v>3700920143890</v>
      </c>
      <c r="J440" s="1">
        <v>72</v>
      </c>
    </row>
    <row r="441" spans="1:10" x14ac:dyDescent="0.25">
      <c r="A441" t="s">
        <v>8</v>
      </c>
      <c r="B441">
        <v>6001213</v>
      </c>
      <c r="C441" t="s">
        <v>504</v>
      </c>
      <c r="D441">
        <v>1</v>
      </c>
      <c r="E441" t="s">
        <v>10</v>
      </c>
      <c r="F441" t="s">
        <v>11</v>
      </c>
      <c r="G441" s="1"/>
      <c r="H441" t="str">
        <f>"3700920143913"</f>
        <v>3700920143913</v>
      </c>
      <c r="J441" s="1">
        <v>72</v>
      </c>
    </row>
    <row r="442" spans="1:10" x14ac:dyDescent="0.25">
      <c r="A442" t="s">
        <v>8</v>
      </c>
      <c r="B442">
        <v>6001214</v>
      </c>
      <c r="C442" t="s">
        <v>505</v>
      </c>
      <c r="D442">
        <v>1</v>
      </c>
      <c r="E442" t="s">
        <v>10</v>
      </c>
      <c r="F442" t="s">
        <v>11</v>
      </c>
      <c r="G442" s="1"/>
      <c r="H442" t="str">
        <f>"3700920143920"</f>
        <v>3700920143920</v>
      </c>
      <c r="J442" s="1">
        <v>72</v>
      </c>
    </row>
    <row r="443" spans="1:10" x14ac:dyDescent="0.25">
      <c r="A443" t="s">
        <v>8</v>
      </c>
      <c r="B443">
        <v>6001232</v>
      </c>
      <c r="C443" t="s">
        <v>506</v>
      </c>
      <c r="D443">
        <v>1</v>
      </c>
      <c r="E443" t="s">
        <v>10</v>
      </c>
      <c r="F443" t="s">
        <v>11</v>
      </c>
      <c r="G443" s="1"/>
      <c r="H443" t="str">
        <f>"3700920146006"</f>
        <v>3700920146006</v>
      </c>
      <c r="J443" s="1">
        <v>432</v>
      </c>
    </row>
    <row r="444" spans="1:10" x14ac:dyDescent="0.25">
      <c r="A444" t="s">
        <v>8</v>
      </c>
      <c r="B444">
        <v>6001233</v>
      </c>
      <c r="C444" t="s">
        <v>507</v>
      </c>
      <c r="D444">
        <v>1</v>
      </c>
      <c r="E444" t="s">
        <v>10</v>
      </c>
      <c r="F444" t="s">
        <v>11</v>
      </c>
      <c r="G444" s="1"/>
      <c r="H444" t="str">
        <f>"3700920146013"</f>
        <v>3700920146013</v>
      </c>
      <c r="J444" s="1">
        <v>432</v>
      </c>
    </row>
    <row r="445" spans="1:10" x14ac:dyDescent="0.25">
      <c r="A445" t="s">
        <v>8</v>
      </c>
      <c r="B445">
        <v>6001234</v>
      </c>
      <c r="C445" t="s">
        <v>508</v>
      </c>
      <c r="D445">
        <v>1</v>
      </c>
      <c r="E445" t="s">
        <v>10</v>
      </c>
      <c r="F445" t="s">
        <v>11</v>
      </c>
      <c r="G445" s="1"/>
      <c r="H445" t="str">
        <f>"3700920146020"</f>
        <v>3700920146020</v>
      </c>
      <c r="J445" s="1">
        <v>432</v>
      </c>
    </row>
    <row r="446" spans="1:10" x14ac:dyDescent="0.25">
      <c r="A446" t="s">
        <v>8</v>
      </c>
      <c r="B446">
        <v>6001282</v>
      </c>
      <c r="C446" t="s">
        <v>509</v>
      </c>
      <c r="D446">
        <v>1</v>
      </c>
      <c r="E446" t="s">
        <v>10</v>
      </c>
      <c r="F446" t="s">
        <v>11</v>
      </c>
      <c r="G446" s="1"/>
      <c r="H446" t="str">
        <f>"3700920143906"</f>
        <v>3700920143906</v>
      </c>
      <c r="J446" s="1">
        <v>90</v>
      </c>
    </row>
    <row r="447" spans="1:10" x14ac:dyDescent="0.25">
      <c r="A447" t="s">
        <v>8</v>
      </c>
      <c r="B447">
        <v>6001283</v>
      </c>
      <c r="C447" t="s">
        <v>510</v>
      </c>
      <c r="D447">
        <v>1</v>
      </c>
      <c r="E447" t="s">
        <v>10</v>
      </c>
      <c r="F447" t="s">
        <v>11</v>
      </c>
      <c r="G447" s="1"/>
      <c r="H447" t="str">
        <f>"3700920144439"</f>
        <v>3700920144439</v>
      </c>
      <c r="J447" s="1">
        <v>90</v>
      </c>
    </row>
    <row r="448" spans="1:10" x14ac:dyDescent="0.25">
      <c r="A448" t="s">
        <v>8</v>
      </c>
      <c r="B448">
        <v>6001284</v>
      </c>
      <c r="C448" t="s">
        <v>511</v>
      </c>
      <c r="D448">
        <v>1</v>
      </c>
      <c r="E448" t="s">
        <v>10</v>
      </c>
      <c r="F448" t="s">
        <v>11</v>
      </c>
      <c r="G448" s="1"/>
      <c r="H448" t="str">
        <f>"3700920143937"</f>
        <v>3700920143937</v>
      </c>
      <c r="J448" s="1">
        <v>90</v>
      </c>
    </row>
    <row r="449" spans="1:10" x14ac:dyDescent="0.25">
      <c r="A449" t="s">
        <v>8</v>
      </c>
      <c r="B449">
        <v>6001402</v>
      </c>
      <c r="C449" t="s">
        <v>512</v>
      </c>
      <c r="D449">
        <v>1</v>
      </c>
      <c r="E449" t="s">
        <v>10</v>
      </c>
      <c r="F449" t="s">
        <v>11</v>
      </c>
      <c r="G449" s="1"/>
      <c r="H449" t="str">
        <f>"3700920109612"</f>
        <v>3700920109612</v>
      </c>
      <c r="I449" s="1"/>
      <c r="J449" t="s">
        <v>482</v>
      </c>
    </row>
    <row r="450" spans="1:10" x14ac:dyDescent="0.25">
      <c r="A450" t="s">
        <v>8</v>
      </c>
      <c r="B450">
        <v>6001403</v>
      </c>
      <c r="C450" t="s">
        <v>513</v>
      </c>
      <c r="D450">
        <v>1</v>
      </c>
      <c r="E450" t="s">
        <v>10</v>
      </c>
      <c r="F450" t="s">
        <v>11</v>
      </c>
      <c r="G450" s="1"/>
      <c r="H450" t="str">
        <f>"3700920109629"</f>
        <v>3700920109629</v>
      </c>
      <c r="I450" s="1"/>
      <c r="J450" t="s">
        <v>514</v>
      </c>
    </row>
    <row r="451" spans="1:10" x14ac:dyDescent="0.25">
      <c r="A451" t="s">
        <v>8</v>
      </c>
      <c r="B451">
        <v>6001404</v>
      </c>
      <c r="C451" t="s">
        <v>515</v>
      </c>
      <c r="D451">
        <v>1</v>
      </c>
      <c r="E451" t="s">
        <v>10</v>
      </c>
      <c r="F451" t="s">
        <v>11</v>
      </c>
      <c r="G451" s="1"/>
      <c r="H451" t="str">
        <f>"3700920109636"</f>
        <v>3700920109636</v>
      </c>
      <c r="I451" s="1"/>
      <c r="J451" t="s">
        <v>514</v>
      </c>
    </row>
    <row r="452" spans="1:10" x14ac:dyDescent="0.25">
      <c r="A452" t="s">
        <v>8</v>
      </c>
      <c r="B452">
        <v>6001472</v>
      </c>
      <c r="C452" t="s">
        <v>516</v>
      </c>
      <c r="D452">
        <v>1</v>
      </c>
      <c r="E452" t="s">
        <v>10</v>
      </c>
      <c r="F452" t="s">
        <v>11</v>
      </c>
      <c r="G452" s="1"/>
      <c r="H452" t="str">
        <f>"3700920109643"</f>
        <v>3700920109643</v>
      </c>
      <c r="I452" s="1"/>
      <c r="J452" t="s">
        <v>517</v>
      </c>
    </row>
    <row r="453" spans="1:10" x14ac:dyDescent="0.25">
      <c r="A453" t="s">
        <v>8</v>
      </c>
      <c r="B453">
        <v>6001473</v>
      </c>
      <c r="C453" t="s">
        <v>518</v>
      </c>
      <c r="D453">
        <v>1</v>
      </c>
      <c r="E453" t="s">
        <v>10</v>
      </c>
      <c r="F453" t="s">
        <v>11</v>
      </c>
      <c r="G453" s="1"/>
      <c r="H453" t="str">
        <f>"3700920109650"</f>
        <v>3700920109650</v>
      </c>
      <c r="I453" s="1"/>
      <c r="J453" t="s">
        <v>517</v>
      </c>
    </row>
    <row r="454" spans="1:10" x14ac:dyDescent="0.25">
      <c r="A454" t="s">
        <v>8</v>
      </c>
      <c r="B454">
        <v>6001474</v>
      </c>
      <c r="C454" t="s">
        <v>519</v>
      </c>
      <c r="D454">
        <v>1</v>
      </c>
      <c r="E454" t="s">
        <v>10</v>
      </c>
      <c r="F454" t="s">
        <v>11</v>
      </c>
      <c r="G454" s="1"/>
      <c r="H454" t="str">
        <f>"3700920109667"</f>
        <v>3700920109667</v>
      </c>
      <c r="I454" s="1"/>
      <c r="J454" t="s">
        <v>517</v>
      </c>
    </row>
    <row r="455" spans="1:10" x14ac:dyDescent="0.25">
      <c r="A455" t="s">
        <v>8</v>
      </c>
      <c r="B455">
        <v>6001502</v>
      </c>
      <c r="C455" t="s">
        <v>520</v>
      </c>
      <c r="D455">
        <v>1</v>
      </c>
      <c r="E455" t="s">
        <v>10</v>
      </c>
      <c r="F455" t="s">
        <v>11</v>
      </c>
      <c r="G455" s="1"/>
      <c r="H455" t="str">
        <f>"3700920144002"</f>
        <v>3700920144002</v>
      </c>
      <c r="J455" t="s">
        <v>521</v>
      </c>
    </row>
    <row r="456" spans="1:10" x14ac:dyDescent="0.25">
      <c r="A456" t="s">
        <v>8</v>
      </c>
      <c r="B456">
        <v>6001503</v>
      </c>
      <c r="C456" t="s">
        <v>522</v>
      </c>
      <c r="D456">
        <v>1</v>
      </c>
      <c r="E456" t="s">
        <v>10</v>
      </c>
      <c r="F456" t="s">
        <v>11</v>
      </c>
      <c r="G456" s="1"/>
      <c r="H456" t="str">
        <f>"3700920144019"</f>
        <v>3700920144019</v>
      </c>
      <c r="J456" t="s">
        <v>521</v>
      </c>
    </row>
    <row r="457" spans="1:10" x14ac:dyDescent="0.25">
      <c r="A457" t="s">
        <v>8</v>
      </c>
      <c r="B457">
        <v>6001504</v>
      </c>
      <c r="C457" t="s">
        <v>523</v>
      </c>
      <c r="D457">
        <v>1</v>
      </c>
      <c r="E457" t="s">
        <v>10</v>
      </c>
      <c r="F457" t="s">
        <v>11</v>
      </c>
      <c r="G457" s="1"/>
      <c r="H457" t="str">
        <f>"3700920144026"</f>
        <v>3700920144026</v>
      </c>
      <c r="J457" t="s">
        <v>521</v>
      </c>
    </row>
    <row r="458" spans="1:10" x14ac:dyDescent="0.25">
      <c r="A458" t="s">
        <v>8</v>
      </c>
      <c r="B458">
        <v>6001562</v>
      </c>
      <c r="C458" t="s">
        <v>524</v>
      </c>
      <c r="D458">
        <v>1</v>
      </c>
      <c r="E458" t="s">
        <v>10</v>
      </c>
      <c r="F458" t="s">
        <v>11</v>
      </c>
      <c r="G458" s="1"/>
      <c r="H458" t="str">
        <f>"3700920144033"</f>
        <v>3700920144033</v>
      </c>
      <c r="J458" s="1">
        <v>90</v>
      </c>
    </row>
    <row r="459" spans="1:10" x14ac:dyDescent="0.25">
      <c r="A459" t="s">
        <v>8</v>
      </c>
      <c r="B459">
        <v>6001563</v>
      </c>
      <c r="C459" t="s">
        <v>525</v>
      </c>
      <c r="D459">
        <v>1</v>
      </c>
      <c r="E459" t="s">
        <v>10</v>
      </c>
      <c r="F459" t="s">
        <v>11</v>
      </c>
      <c r="G459" s="1"/>
      <c r="H459" t="str">
        <f>"3700920144040"</f>
        <v>3700920144040</v>
      </c>
      <c r="J459" s="1">
        <v>90</v>
      </c>
    </row>
    <row r="460" spans="1:10" x14ac:dyDescent="0.25">
      <c r="A460" t="s">
        <v>8</v>
      </c>
      <c r="B460">
        <v>6001564</v>
      </c>
      <c r="C460" t="s">
        <v>526</v>
      </c>
      <c r="D460">
        <v>1</v>
      </c>
      <c r="E460" t="s">
        <v>10</v>
      </c>
      <c r="F460" t="s">
        <v>11</v>
      </c>
      <c r="G460" s="1"/>
      <c r="H460" t="str">
        <f>"3700920144057"</f>
        <v>3700920144057</v>
      </c>
      <c r="J460" s="1">
        <v>90</v>
      </c>
    </row>
    <row r="461" spans="1:10" x14ac:dyDescent="0.25">
      <c r="A461" t="s">
        <v>8</v>
      </c>
      <c r="B461" t="s">
        <v>527</v>
      </c>
      <c r="C461" t="s">
        <v>528</v>
      </c>
      <c r="D461">
        <v>1</v>
      </c>
      <c r="E461" t="s">
        <v>10</v>
      </c>
      <c r="F461" t="s">
        <v>11</v>
      </c>
      <c r="G461" s="1"/>
      <c r="H461" t="str">
        <f>"3700920108554"</f>
        <v>3700920108554</v>
      </c>
      <c r="J461" t="s">
        <v>529</v>
      </c>
    </row>
    <row r="462" spans="1:10" x14ac:dyDescent="0.25">
      <c r="A462" t="s">
        <v>8</v>
      </c>
      <c r="B462" t="s">
        <v>530</v>
      </c>
      <c r="C462" t="s">
        <v>531</v>
      </c>
      <c r="D462">
        <v>1</v>
      </c>
      <c r="E462" t="s">
        <v>10</v>
      </c>
      <c r="F462" t="s">
        <v>11</v>
      </c>
      <c r="G462" s="1"/>
      <c r="H462" t="str">
        <f>"3700920108561"</f>
        <v>3700920108561</v>
      </c>
      <c r="J462" t="s">
        <v>529</v>
      </c>
    </row>
    <row r="463" spans="1:10" x14ac:dyDescent="0.25">
      <c r="A463" t="s">
        <v>8</v>
      </c>
      <c r="B463" t="s">
        <v>532</v>
      </c>
      <c r="C463" t="s">
        <v>533</v>
      </c>
      <c r="D463">
        <v>1</v>
      </c>
      <c r="E463" t="s">
        <v>10</v>
      </c>
      <c r="F463" t="s">
        <v>11</v>
      </c>
      <c r="G463" s="1"/>
      <c r="H463" t="str">
        <f>"3700920108578"</f>
        <v>3700920108578</v>
      </c>
      <c r="J463" t="s">
        <v>529</v>
      </c>
    </row>
    <row r="464" spans="1:10" x14ac:dyDescent="0.25">
      <c r="A464" t="s">
        <v>8</v>
      </c>
      <c r="B464" t="s">
        <v>534</v>
      </c>
      <c r="C464" t="s">
        <v>535</v>
      </c>
      <c r="D464">
        <v>1</v>
      </c>
      <c r="E464" t="s">
        <v>10</v>
      </c>
      <c r="F464" t="s">
        <v>11</v>
      </c>
      <c r="G464" s="1"/>
      <c r="H464" t="str">
        <f>"3700920108547"</f>
        <v>3700920108547</v>
      </c>
      <c r="J464" t="s">
        <v>529</v>
      </c>
    </row>
    <row r="465" spans="1:10" x14ac:dyDescent="0.25">
      <c r="A465" t="s">
        <v>8</v>
      </c>
      <c r="B465" t="s">
        <v>536</v>
      </c>
      <c r="C465" t="s">
        <v>537</v>
      </c>
      <c r="D465">
        <v>1</v>
      </c>
      <c r="E465" t="s">
        <v>10</v>
      </c>
      <c r="F465" t="s">
        <v>11</v>
      </c>
      <c r="G465" s="1"/>
      <c r="H465" t="str">
        <f>"3700920108523"</f>
        <v>3700920108523</v>
      </c>
      <c r="J465" t="s">
        <v>529</v>
      </c>
    </row>
    <row r="466" spans="1:10" x14ac:dyDescent="0.25">
      <c r="A466" t="s">
        <v>8</v>
      </c>
      <c r="B466" t="s">
        <v>538</v>
      </c>
      <c r="C466" t="s">
        <v>539</v>
      </c>
      <c r="D466">
        <v>1</v>
      </c>
      <c r="E466" t="s">
        <v>10</v>
      </c>
      <c r="F466" t="s">
        <v>11</v>
      </c>
      <c r="G466" s="1"/>
      <c r="H466" t="str">
        <f>"3700920108530"</f>
        <v>3700920108530</v>
      </c>
      <c r="J466" t="s">
        <v>529</v>
      </c>
    </row>
    <row r="467" spans="1:10" x14ac:dyDescent="0.25">
      <c r="A467" t="s">
        <v>8</v>
      </c>
      <c r="B467">
        <v>6001802</v>
      </c>
      <c r="C467" t="s">
        <v>540</v>
      </c>
      <c r="D467">
        <v>1</v>
      </c>
      <c r="E467" t="s">
        <v>10</v>
      </c>
      <c r="F467" t="s">
        <v>11</v>
      </c>
      <c r="G467" s="1"/>
      <c r="H467" t="str">
        <f>"3700920109674"</f>
        <v>3700920109674</v>
      </c>
      <c r="J467" t="s">
        <v>541</v>
      </c>
    </row>
    <row r="468" spans="1:10" x14ac:dyDescent="0.25">
      <c r="A468" t="s">
        <v>8</v>
      </c>
      <c r="B468">
        <v>6001803</v>
      </c>
      <c r="C468" t="s">
        <v>542</v>
      </c>
      <c r="D468">
        <v>1</v>
      </c>
      <c r="E468" t="s">
        <v>10</v>
      </c>
      <c r="F468" t="s">
        <v>11</v>
      </c>
      <c r="G468" s="1"/>
      <c r="H468" t="str">
        <f>"3700920109681"</f>
        <v>3700920109681</v>
      </c>
      <c r="J468" t="s">
        <v>541</v>
      </c>
    </row>
    <row r="469" spans="1:10" x14ac:dyDescent="0.25">
      <c r="A469" t="s">
        <v>8</v>
      </c>
      <c r="B469">
        <v>6001804</v>
      </c>
      <c r="C469" t="s">
        <v>543</v>
      </c>
      <c r="D469">
        <v>1</v>
      </c>
      <c r="E469" t="s">
        <v>10</v>
      </c>
      <c r="F469" t="s">
        <v>11</v>
      </c>
      <c r="G469" s="1"/>
      <c r="H469" t="str">
        <f>"3700920109698"</f>
        <v>3700920109698</v>
      </c>
      <c r="J469" t="s">
        <v>541</v>
      </c>
    </row>
    <row r="470" spans="1:10" x14ac:dyDescent="0.25">
      <c r="A470" t="s">
        <v>8</v>
      </c>
      <c r="B470">
        <v>6001812</v>
      </c>
      <c r="C470" t="s">
        <v>544</v>
      </c>
      <c r="D470">
        <v>1</v>
      </c>
      <c r="E470" t="s">
        <v>10</v>
      </c>
      <c r="F470" t="s">
        <v>11</v>
      </c>
      <c r="G470" s="1"/>
      <c r="H470" t="str">
        <f>"3700920143944"</f>
        <v>3700920143944</v>
      </c>
      <c r="J470" t="s">
        <v>473</v>
      </c>
    </row>
    <row r="471" spans="1:10" x14ac:dyDescent="0.25">
      <c r="A471" t="s">
        <v>8</v>
      </c>
      <c r="B471">
        <v>6001813</v>
      </c>
      <c r="C471" t="s">
        <v>545</v>
      </c>
      <c r="D471">
        <v>1</v>
      </c>
      <c r="E471" t="s">
        <v>10</v>
      </c>
      <c r="F471" t="s">
        <v>11</v>
      </c>
      <c r="G471" s="1"/>
      <c r="H471" t="str">
        <f>"3700920143968"</f>
        <v>3700920143968</v>
      </c>
      <c r="J471" t="s">
        <v>473</v>
      </c>
    </row>
    <row r="472" spans="1:10" x14ac:dyDescent="0.25">
      <c r="A472" t="s">
        <v>8</v>
      </c>
      <c r="B472">
        <v>6001814</v>
      </c>
      <c r="C472" t="s">
        <v>546</v>
      </c>
      <c r="D472">
        <v>1</v>
      </c>
      <c r="E472" t="s">
        <v>10</v>
      </c>
      <c r="F472" t="s">
        <v>11</v>
      </c>
      <c r="G472" s="1"/>
      <c r="H472" t="str">
        <f>"3700920143982"</f>
        <v>3700920143982</v>
      </c>
      <c r="J472" t="s">
        <v>473</v>
      </c>
    </row>
    <row r="473" spans="1:10" x14ac:dyDescent="0.25">
      <c r="A473" t="s">
        <v>8</v>
      </c>
      <c r="B473">
        <v>6001872</v>
      </c>
      <c r="C473" t="s">
        <v>547</v>
      </c>
      <c r="D473">
        <v>1</v>
      </c>
      <c r="E473" t="s">
        <v>10</v>
      </c>
      <c r="F473" t="s">
        <v>11</v>
      </c>
      <c r="G473" s="1"/>
      <c r="H473" t="str">
        <f>"3700920109704"</f>
        <v>3700920109704</v>
      </c>
      <c r="J473" t="s">
        <v>548</v>
      </c>
    </row>
    <row r="474" spans="1:10" x14ac:dyDescent="0.25">
      <c r="A474" t="s">
        <v>8</v>
      </c>
      <c r="B474">
        <v>6001873</v>
      </c>
      <c r="C474" t="s">
        <v>549</v>
      </c>
      <c r="D474">
        <v>1</v>
      </c>
      <c r="E474" t="s">
        <v>10</v>
      </c>
      <c r="F474" t="s">
        <v>11</v>
      </c>
      <c r="G474" s="1"/>
      <c r="H474" t="str">
        <f>"3700920109711"</f>
        <v>3700920109711</v>
      </c>
      <c r="J474" t="s">
        <v>548</v>
      </c>
    </row>
    <row r="475" spans="1:10" x14ac:dyDescent="0.25">
      <c r="A475" t="s">
        <v>8</v>
      </c>
      <c r="B475">
        <v>6001874</v>
      </c>
      <c r="C475" t="s">
        <v>550</v>
      </c>
      <c r="D475">
        <v>1</v>
      </c>
      <c r="E475" t="s">
        <v>10</v>
      </c>
      <c r="F475" t="s">
        <v>11</v>
      </c>
      <c r="G475" s="1"/>
      <c r="H475" t="str">
        <f>"3700920109728"</f>
        <v>3700920109728</v>
      </c>
      <c r="J475" t="s">
        <v>548</v>
      </c>
    </row>
    <row r="476" spans="1:10" x14ac:dyDescent="0.25">
      <c r="A476" t="s">
        <v>8</v>
      </c>
      <c r="B476">
        <v>6001882</v>
      </c>
      <c r="C476" t="s">
        <v>551</v>
      </c>
      <c r="D476">
        <v>1</v>
      </c>
      <c r="E476" t="s">
        <v>10</v>
      </c>
      <c r="F476" t="s">
        <v>11</v>
      </c>
      <c r="G476" s="1"/>
      <c r="H476" t="str">
        <f>"3700920143951"</f>
        <v>3700920143951</v>
      </c>
      <c r="J476" s="1">
        <v>96</v>
      </c>
    </row>
    <row r="477" spans="1:10" x14ac:dyDescent="0.25">
      <c r="A477" t="s">
        <v>8</v>
      </c>
      <c r="B477">
        <v>6001883</v>
      </c>
      <c r="C477" t="s">
        <v>552</v>
      </c>
      <c r="D477">
        <v>1</v>
      </c>
      <c r="E477" t="s">
        <v>10</v>
      </c>
      <c r="F477" t="s">
        <v>11</v>
      </c>
      <c r="G477" s="1"/>
      <c r="H477" t="str">
        <f>"3700920143975"</f>
        <v>3700920143975</v>
      </c>
      <c r="J477" s="1">
        <v>96</v>
      </c>
    </row>
    <row r="478" spans="1:10" x14ac:dyDescent="0.25">
      <c r="A478" t="s">
        <v>8</v>
      </c>
      <c r="B478">
        <v>6001884</v>
      </c>
      <c r="C478" t="s">
        <v>553</v>
      </c>
      <c r="D478">
        <v>1</v>
      </c>
      <c r="E478" t="s">
        <v>10</v>
      </c>
      <c r="F478" t="s">
        <v>11</v>
      </c>
      <c r="G478" s="1"/>
      <c r="H478" t="str">
        <f>"3700920143999"</f>
        <v>3700920143999</v>
      </c>
      <c r="J478" s="1">
        <v>96</v>
      </c>
    </row>
    <row r="479" spans="1:10" x14ac:dyDescent="0.25">
      <c r="A479" t="s">
        <v>8</v>
      </c>
      <c r="B479">
        <v>6002002</v>
      </c>
      <c r="C479" t="s">
        <v>554</v>
      </c>
      <c r="D479">
        <v>1</v>
      </c>
      <c r="E479" t="s">
        <v>10</v>
      </c>
      <c r="F479" t="s">
        <v>11</v>
      </c>
      <c r="G479" s="1"/>
      <c r="H479" t="str">
        <f>"3700920115576"</f>
        <v>3700920115576</v>
      </c>
      <c r="J479" s="1">
        <v>48</v>
      </c>
    </row>
    <row r="480" spans="1:10" x14ac:dyDescent="0.25">
      <c r="A480" t="s">
        <v>8</v>
      </c>
      <c r="B480">
        <v>6002003</v>
      </c>
      <c r="C480" t="s">
        <v>555</v>
      </c>
      <c r="D480">
        <v>1</v>
      </c>
      <c r="E480" t="s">
        <v>10</v>
      </c>
      <c r="F480" t="s">
        <v>11</v>
      </c>
      <c r="G480" s="1"/>
      <c r="H480" t="str">
        <f>"3700920115583"</f>
        <v>3700920115583</v>
      </c>
      <c r="J480" s="1">
        <v>48</v>
      </c>
    </row>
    <row r="481" spans="1:10" x14ac:dyDescent="0.25">
      <c r="A481" t="s">
        <v>8</v>
      </c>
      <c r="B481">
        <v>6002004</v>
      </c>
      <c r="C481" t="s">
        <v>556</v>
      </c>
      <c r="D481">
        <v>1</v>
      </c>
      <c r="E481" t="s">
        <v>10</v>
      </c>
      <c r="F481" t="s">
        <v>11</v>
      </c>
      <c r="G481" s="1"/>
      <c r="H481" t="str">
        <f>"3700920115590"</f>
        <v>3700920115590</v>
      </c>
      <c r="J481" s="1">
        <v>48</v>
      </c>
    </row>
    <row r="482" spans="1:10" x14ac:dyDescent="0.25">
      <c r="A482" t="s">
        <v>8</v>
      </c>
      <c r="B482">
        <v>6002052</v>
      </c>
      <c r="C482" t="s">
        <v>557</v>
      </c>
      <c r="D482">
        <v>1</v>
      </c>
      <c r="E482" t="s">
        <v>10</v>
      </c>
      <c r="F482" t="s">
        <v>11</v>
      </c>
      <c r="G482" s="1"/>
      <c r="H482" t="str">
        <f>"3700920111608"</f>
        <v>3700920111608</v>
      </c>
      <c r="J482" s="1">
        <v>102</v>
      </c>
    </row>
    <row r="483" spans="1:10" x14ac:dyDescent="0.25">
      <c r="A483" t="s">
        <v>8</v>
      </c>
      <c r="B483">
        <v>6002053</v>
      </c>
      <c r="C483" t="s">
        <v>558</v>
      </c>
      <c r="D483">
        <v>1</v>
      </c>
      <c r="E483" t="s">
        <v>10</v>
      </c>
      <c r="F483" t="s">
        <v>11</v>
      </c>
      <c r="G483" s="1"/>
      <c r="H483" t="str">
        <f>"3700920111615"</f>
        <v>3700920111615</v>
      </c>
      <c r="J483" s="1">
        <v>102</v>
      </c>
    </row>
    <row r="484" spans="1:10" x14ac:dyDescent="0.25">
      <c r="A484" t="s">
        <v>8</v>
      </c>
      <c r="B484">
        <v>6002054</v>
      </c>
      <c r="C484" t="s">
        <v>559</v>
      </c>
      <c r="D484">
        <v>1</v>
      </c>
      <c r="E484" t="s">
        <v>10</v>
      </c>
      <c r="F484" t="s">
        <v>11</v>
      </c>
      <c r="G484" s="1"/>
      <c r="H484" t="str">
        <f>"3700920111622"</f>
        <v>3700920111622</v>
      </c>
      <c r="J484" s="1">
        <v>102</v>
      </c>
    </row>
    <row r="485" spans="1:10" x14ac:dyDescent="0.25">
      <c r="A485" t="s">
        <v>8</v>
      </c>
      <c r="B485">
        <v>6002072</v>
      </c>
      <c r="C485" t="s">
        <v>560</v>
      </c>
      <c r="D485">
        <v>1</v>
      </c>
      <c r="E485" t="s">
        <v>10</v>
      </c>
      <c r="F485" t="s">
        <v>11</v>
      </c>
      <c r="G485" s="1"/>
      <c r="H485" t="str">
        <f>"3700920115606"</f>
        <v>3700920115606</v>
      </c>
      <c r="I485" s="1"/>
      <c r="J485" t="s">
        <v>482</v>
      </c>
    </row>
    <row r="486" spans="1:10" x14ac:dyDescent="0.25">
      <c r="A486" t="s">
        <v>8</v>
      </c>
      <c r="B486">
        <v>6002073</v>
      </c>
      <c r="C486" t="s">
        <v>561</v>
      </c>
      <c r="D486">
        <v>1</v>
      </c>
      <c r="E486" t="s">
        <v>10</v>
      </c>
      <c r="F486" t="s">
        <v>11</v>
      </c>
      <c r="G486" s="1"/>
      <c r="H486" t="str">
        <f>"3700920115613"</f>
        <v>3700920115613</v>
      </c>
      <c r="I486" s="1"/>
      <c r="J486" t="s">
        <v>482</v>
      </c>
    </row>
    <row r="487" spans="1:10" x14ac:dyDescent="0.25">
      <c r="A487" t="s">
        <v>8</v>
      </c>
      <c r="B487">
        <v>6002074</v>
      </c>
      <c r="C487" t="s">
        <v>562</v>
      </c>
      <c r="D487">
        <v>1</v>
      </c>
      <c r="E487" t="s">
        <v>10</v>
      </c>
      <c r="F487" t="s">
        <v>11</v>
      </c>
      <c r="G487" s="1"/>
      <c r="H487" t="str">
        <f>"3700920115620"</f>
        <v>3700920115620</v>
      </c>
      <c r="I487" s="1"/>
      <c r="J487" t="s">
        <v>482</v>
      </c>
    </row>
    <row r="488" spans="1:10" x14ac:dyDescent="0.25">
      <c r="A488" t="s">
        <v>8</v>
      </c>
      <c r="B488">
        <v>6002092</v>
      </c>
      <c r="C488" t="s">
        <v>563</v>
      </c>
      <c r="D488">
        <v>1</v>
      </c>
      <c r="E488" t="s">
        <v>10</v>
      </c>
      <c r="F488" t="s">
        <v>11</v>
      </c>
      <c r="G488" s="1"/>
      <c r="H488" t="str">
        <f>"3700920111639"</f>
        <v>3700920111639</v>
      </c>
      <c r="J488" t="s">
        <v>460</v>
      </c>
    </row>
    <row r="489" spans="1:10" x14ac:dyDescent="0.25">
      <c r="A489" t="s">
        <v>8</v>
      </c>
      <c r="B489">
        <v>6002093</v>
      </c>
      <c r="C489" t="s">
        <v>564</v>
      </c>
      <c r="D489">
        <v>1</v>
      </c>
      <c r="E489" t="s">
        <v>10</v>
      </c>
      <c r="F489" t="s">
        <v>11</v>
      </c>
      <c r="G489" s="1"/>
      <c r="H489" t="str">
        <f>"3700920111646"</f>
        <v>3700920111646</v>
      </c>
      <c r="J489" t="s">
        <v>460</v>
      </c>
    </row>
    <row r="490" spans="1:10" x14ac:dyDescent="0.25">
      <c r="A490" t="s">
        <v>8</v>
      </c>
      <c r="B490">
        <v>6002094</v>
      </c>
      <c r="C490" t="s">
        <v>565</v>
      </c>
      <c r="D490">
        <v>1</v>
      </c>
      <c r="E490" t="s">
        <v>10</v>
      </c>
      <c r="F490" t="s">
        <v>11</v>
      </c>
      <c r="G490" s="1"/>
      <c r="H490" t="str">
        <f>"3700920111653"</f>
        <v>3700920111653</v>
      </c>
      <c r="J490" t="s">
        <v>460</v>
      </c>
    </row>
    <row r="491" spans="1:10" x14ac:dyDescent="0.25">
      <c r="A491" t="s">
        <v>8</v>
      </c>
      <c r="B491">
        <v>6002102</v>
      </c>
      <c r="C491" t="s">
        <v>566</v>
      </c>
      <c r="D491">
        <v>1</v>
      </c>
      <c r="E491" t="s">
        <v>10</v>
      </c>
      <c r="F491" t="s">
        <v>11</v>
      </c>
      <c r="G491" s="1"/>
      <c r="H491" t="str">
        <f>"3700920108943"</f>
        <v>3700920108943</v>
      </c>
      <c r="J491" s="1">
        <v>99</v>
      </c>
    </row>
    <row r="492" spans="1:10" x14ac:dyDescent="0.25">
      <c r="A492" t="s">
        <v>8</v>
      </c>
      <c r="B492">
        <v>6002103</v>
      </c>
      <c r="C492" t="s">
        <v>567</v>
      </c>
      <c r="D492">
        <v>1</v>
      </c>
      <c r="E492" t="s">
        <v>10</v>
      </c>
      <c r="F492" t="s">
        <v>11</v>
      </c>
      <c r="G492" s="1"/>
      <c r="H492" t="str">
        <f>"3700920108950"</f>
        <v>3700920108950</v>
      </c>
      <c r="J492" s="1">
        <v>99</v>
      </c>
    </row>
    <row r="493" spans="1:10" x14ac:dyDescent="0.25">
      <c r="A493" t="s">
        <v>8</v>
      </c>
      <c r="B493">
        <v>6002104</v>
      </c>
      <c r="C493" t="s">
        <v>568</v>
      </c>
      <c r="D493">
        <v>1</v>
      </c>
      <c r="E493" t="s">
        <v>10</v>
      </c>
      <c r="F493" t="s">
        <v>11</v>
      </c>
      <c r="G493" s="1"/>
      <c r="H493" t="str">
        <f>"3700920108967"</f>
        <v>3700920108967</v>
      </c>
      <c r="J493" s="1">
        <v>99</v>
      </c>
    </row>
    <row r="494" spans="1:10" x14ac:dyDescent="0.25">
      <c r="A494" t="s">
        <v>8</v>
      </c>
      <c r="B494">
        <v>6002172</v>
      </c>
      <c r="C494" t="s">
        <v>566</v>
      </c>
      <c r="D494">
        <v>1</v>
      </c>
      <c r="E494" t="s">
        <v>10</v>
      </c>
      <c r="F494" t="s">
        <v>11</v>
      </c>
      <c r="G494" s="1"/>
      <c r="H494" t="str">
        <f>"3700920108974"</f>
        <v>3700920108974</v>
      </c>
      <c r="J494" s="1">
        <v>111</v>
      </c>
    </row>
    <row r="495" spans="1:10" x14ac:dyDescent="0.25">
      <c r="A495" t="s">
        <v>8</v>
      </c>
      <c r="B495">
        <v>6002173</v>
      </c>
      <c r="C495" t="s">
        <v>567</v>
      </c>
      <c r="D495">
        <v>1</v>
      </c>
      <c r="E495" t="s">
        <v>10</v>
      </c>
      <c r="F495" t="s">
        <v>11</v>
      </c>
      <c r="G495" s="1"/>
      <c r="H495" t="str">
        <f>"3700920108981"</f>
        <v>3700920108981</v>
      </c>
      <c r="J495" s="1">
        <v>111</v>
      </c>
    </row>
    <row r="496" spans="1:10" x14ac:dyDescent="0.25">
      <c r="A496" t="s">
        <v>8</v>
      </c>
      <c r="B496">
        <v>6002174</v>
      </c>
      <c r="C496" t="s">
        <v>568</v>
      </c>
      <c r="D496">
        <v>1</v>
      </c>
      <c r="E496" t="s">
        <v>10</v>
      </c>
      <c r="F496" t="s">
        <v>11</v>
      </c>
      <c r="G496" s="1"/>
      <c r="H496" t="str">
        <f>"3700920108998"</f>
        <v>3700920108998</v>
      </c>
      <c r="J496" s="1">
        <v>111</v>
      </c>
    </row>
    <row r="497" spans="1:10" x14ac:dyDescent="0.25">
      <c r="A497" t="s">
        <v>8</v>
      </c>
      <c r="B497">
        <v>6002412</v>
      </c>
      <c r="C497" t="s">
        <v>569</v>
      </c>
      <c r="D497">
        <v>1</v>
      </c>
      <c r="E497" t="s">
        <v>10</v>
      </c>
      <c r="F497" t="s">
        <v>11</v>
      </c>
      <c r="G497" s="1"/>
      <c r="H497" t="str">
        <f>"3700920115866"</f>
        <v>3700920115866</v>
      </c>
      <c r="I497" s="1"/>
      <c r="J497" s="1">
        <v>81</v>
      </c>
    </row>
    <row r="498" spans="1:10" x14ac:dyDescent="0.25">
      <c r="A498" t="s">
        <v>8</v>
      </c>
      <c r="B498">
        <v>6002413</v>
      </c>
      <c r="C498" t="s">
        <v>570</v>
      </c>
      <c r="D498">
        <v>1</v>
      </c>
      <c r="E498" t="s">
        <v>10</v>
      </c>
      <c r="F498" t="s">
        <v>11</v>
      </c>
      <c r="G498" s="1"/>
      <c r="H498" t="str">
        <f>"3700920115873"</f>
        <v>3700920115873</v>
      </c>
      <c r="I498" s="1"/>
      <c r="J498" s="1">
        <v>81</v>
      </c>
    </row>
    <row r="499" spans="1:10" x14ac:dyDescent="0.25">
      <c r="A499" t="s">
        <v>8</v>
      </c>
      <c r="B499">
        <v>6002414</v>
      </c>
      <c r="C499" t="s">
        <v>571</v>
      </c>
      <c r="D499">
        <v>1</v>
      </c>
      <c r="E499" t="s">
        <v>10</v>
      </c>
      <c r="F499" t="s">
        <v>11</v>
      </c>
      <c r="G499" s="1"/>
      <c r="H499" t="str">
        <f>"3700920115880"</f>
        <v>3700920115880</v>
      </c>
      <c r="I499" s="1"/>
      <c r="J499" s="1">
        <v>81</v>
      </c>
    </row>
    <row r="500" spans="1:10" x14ac:dyDescent="0.25">
      <c r="A500" t="s">
        <v>8</v>
      </c>
      <c r="B500">
        <v>6002502</v>
      </c>
      <c r="C500" t="s">
        <v>572</v>
      </c>
      <c r="D500">
        <v>1</v>
      </c>
      <c r="E500" t="s">
        <v>10</v>
      </c>
      <c r="F500" t="s">
        <v>11</v>
      </c>
      <c r="G500" s="1"/>
      <c r="H500" t="str">
        <f>"3700920115637"</f>
        <v>3700920115637</v>
      </c>
      <c r="J500" t="s">
        <v>573</v>
      </c>
    </row>
    <row r="501" spans="1:10" x14ac:dyDescent="0.25">
      <c r="A501" t="s">
        <v>8</v>
      </c>
      <c r="B501">
        <v>6002503</v>
      </c>
      <c r="C501" t="s">
        <v>574</v>
      </c>
      <c r="D501">
        <v>1</v>
      </c>
      <c r="E501" t="s">
        <v>10</v>
      </c>
      <c r="F501" t="s">
        <v>11</v>
      </c>
      <c r="G501" s="1"/>
      <c r="H501" t="str">
        <f>"3700920115644"</f>
        <v>3700920115644</v>
      </c>
      <c r="J501" t="s">
        <v>573</v>
      </c>
    </row>
    <row r="502" spans="1:10" x14ac:dyDescent="0.25">
      <c r="A502" t="s">
        <v>8</v>
      </c>
      <c r="B502">
        <v>6002504</v>
      </c>
      <c r="C502" t="s">
        <v>575</v>
      </c>
      <c r="D502">
        <v>1</v>
      </c>
      <c r="E502" t="s">
        <v>10</v>
      </c>
      <c r="F502" t="s">
        <v>11</v>
      </c>
      <c r="G502" s="1"/>
      <c r="H502" t="str">
        <f>"3700920115651"</f>
        <v>3700920115651</v>
      </c>
      <c r="J502" t="s">
        <v>573</v>
      </c>
    </row>
    <row r="503" spans="1:10" x14ac:dyDescent="0.25">
      <c r="A503" t="s">
        <v>8</v>
      </c>
      <c r="B503">
        <v>6002572</v>
      </c>
      <c r="C503" t="s">
        <v>576</v>
      </c>
      <c r="D503">
        <v>1</v>
      </c>
      <c r="E503" t="s">
        <v>10</v>
      </c>
      <c r="F503" t="s">
        <v>11</v>
      </c>
      <c r="G503" s="1"/>
      <c r="H503" t="str">
        <f>"3700920115668"</f>
        <v>3700920115668</v>
      </c>
      <c r="J503" t="s">
        <v>577</v>
      </c>
    </row>
    <row r="504" spans="1:10" x14ac:dyDescent="0.25">
      <c r="A504" t="s">
        <v>8</v>
      </c>
      <c r="B504">
        <v>6002573</v>
      </c>
      <c r="C504" t="s">
        <v>578</v>
      </c>
      <c r="D504">
        <v>1</v>
      </c>
      <c r="E504" t="s">
        <v>10</v>
      </c>
      <c r="F504" t="s">
        <v>11</v>
      </c>
      <c r="G504" s="1"/>
      <c r="H504" t="str">
        <f>"3700920115675"</f>
        <v>3700920115675</v>
      </c>
      <c r="J504" t="s">
        <v>577</v>
      </c>
    </row>
    <row r="505" spans="1:10" x14ac:dyDescent="0.25">
      <c r="A505" t="s">
        <v>8</v>
      </c>
      <c r="B505">
        <v>6002574</v>
      </c>
      <c r="C505" t="s">
        <v>579</v>
      </c>
      <c r="D505">
        <v>1</v>
      </c>
      <c r="E505" t="s">
        <v>10</v>
      </c>
      <c r="F505" t="s">
        <v>11</v>
      </c>
      <c r="G505" s="1"/>
      <c r="H505" t="str">
        <f>"3700920144446"</f>
        <v>3700920144446</v>
      </c>
      <c r="J505" t="s">
        <v>577</v>
      </c>
    </row>
    <row r="506" spans="1:10" x14ac:dyDescent="0.25">
      <c r="A506" t="s">
        <v>8</v>
      </c>
      <c r="B506">
        <v>6003002</v>
      </c>
      <c r="C506" t="s">
        <v>580</v>
      </c>
      <c r="D506">
        <v>1</v>
      </c>
      <c r="E506" t="s">
        <v>10</v>
      </c>
      <c r="F506" t="s">
        <v>11</v>
      </c>
      <c r="G506" s="1"/>
      <c r="H506" t="str">
        <f>"3700920144453"</f>
        <v>3700920144453</v>
      </c>
      <c r="J506" s="1">
        <v>147</v>
      </c>
    </row>
    <row r="507" spans="1:10" x14ac:dyDescent="0.25">
      <c r="A507" t="s">
        <v>8</v>
      </c>
      <c r="B507">
        <v>6003003</v>
      </c>
      <c r="C507" t="s">
        <v>581</v>
      </c>
      <c r="D507">
        <v>1</v>
      </c>
      <c r="E507" t="s">
        <v>10</v>
      </c>
      <c r="F507" t="s">
        <v>11</v>
      </c>
      <c r="G507" s="1"/>
      <c r="H507" t="str">
        <f>"3700920144460"</f>
        <v>3700920144460</v>
      </c>
      <c r="J507" s="1">
        <v>147</v>
      </c>
    </row>
    <row r="508" spans="1:10" x14ac:dyDescent="0.25">
      <c r="A508" t="s">
        <v>8</v>
      </c>
      <c r="B508">
        <v>6003004</v>
      </c>
      <c r="C508" t="s">
        <v>582</v>
      </c>
      <c r="D508">
        <v>1</v>
      </c>
      <c r="E508" t="s">
        <v>10</v>
      </c>
      <c r="F508" t="s">
        <v>11</v>
      </c>
      <c r="G508" s="1"/>
      <c r="H508" t="str">
        <f>"3700920144477"</f>
        <v>3700920144477</v>
      </c>
      <c r="J508" s="1">
        <v>147</v>
      </c>
    </row>
    <row r="509" spans="1:10" x14ac:dyDescent="0.25">
      <c r="A509" t="s">
        <v>8</v>
      </c>
      <c r="B509">
        <v>6004003</v>
      </c>
      <c r="C509" t="s">
        <v>583</v>
      </c>
      <c r="D509">
        <v>1</v>
      </c>
      <c r="E509" t="s">
        <v>10</v>
      </c>
      <c r="F509" t="s">
        <v>11</v>
      </c>
      <c r="G509" s="1"/>
      <c r="H509" t="str">
        <f>"3700920145269"</f>
        <v>3700920145269</v>
      </c>
      <c r="J509" s="1">
        <v>165</v>
      </c>
    </row>
    <row r="510" spans="1:10" x14ac:dyDescent="0.25">
      <c r="A510" t="s">
        <v>8</v>
      </c>
      <c r="B510">
        <v>6004004</v>
      </c>
      <c r="C510" t="s">
        <v>584</v>
      </c>
      <c r="D510">
        <v>1</v>
      </c>
      <c r="E510" t="s">
        <v>10</v>
      </c>
      <c r="F510" t="s">
        <v>11</v>
      </c>
      <c r="G510" s="1"/>
      <c r="H510" t="str">
        <f>"3700920146037"</f>
        <v>3700920146037</v>
      </c>
      <c r="J510" s="1">
        <v>165</v>
      </c>
    </row>
    <row r="511" spans="1:10" x14ac:dyDescent="0.25">
      <c r="A511" t="s">
        <v>8</v>
      </c>
      <c r="B511">
        <v>6004013</v>
      </c>
      <c r="C511" t="s">
        <v>585</v>
      </c>
      <c r="D511">
        <v>1</v>
      </c>
      <c r="E511" t="s">
        <v>10</v>
      </c>
      <c r="F511" t="s">
        <v>11</v>
      </c>
      <c r="G511" s="1"/>
      <c r="H511" t="str">
        <f>"3700920145283"</f>
        <v>3700920145283</v>
      </c>
      <c r="J511" s="1">
        <v>192</v>
      </c>
    </row>
    <row r="512" spans="1:10" x14ac:dyDescent="0.25">
      <c r="A512" t="s">
        <v>8</v>
      </c>
      <c r="B512">
        <v>6004014</v>
      </c>
      <c r="C512" t="s">
        <v>586</v>
      </c>
      <c r="D512">
        <v>1</v>
      </c>
      <c r="E512" t="s">
        <v>10</v>
      </c>
      <c r="F512" t="s">
        <v>11</v>
      </c>
      <c r="G512" s="1"/>
      <c r="H512" t="str">
        <f>"3700920146044"</f>
        <v>3700920146044</v>
      </c>
      <c r="J512" s="1">
        <v>192</v>
      </c>
    </row>
    <row r="513" spans="1:10" x14ac:dyDescent="0.25">
      <c r="A513" t="s">
        <v>8</v>
      </c>
      <c r="B513">
        <v>6005015</v>
      </c>
      <c r="C513" t="s">
        <v>587</v>
      </c>
      <c r="D513">
        <v>1</v>
      </c>
      <c r="E513" t="s">
        <v>10</v>
      </c>
      <c r="F513" t="s">
        <v>11</v>
      </c>
      <c r="G513" s="1"/>
      <c r="H513" t="str">
        <f>"3700920115385"</f>
        <v>3700920115385</v>
      </c>
      <c r="J513" s="1">
        <v>213</v>
      </c>
    </row>
    <row r="514" spans="1:10" x14ac:dyDescent="0.25">
      <c r="A514" t="s">
        <v>8</v>
      </c>
      <c r="B514">
        <v>6005016</v>
      </c>
      <c r="C514" t="s">
        <v>588</v>
      </c>
      <c r="D514">
        <v>1</v>
      </c>
      <c r="E514" t="s">
        <v>10</v>
      </c>
      <c r="F514" t="s">
        <v>11</v>
      </c>
      <c r="G514" s="1"/>
      <c r="H514" t="str">
        <f>"3700920115392"</f>
        <v>3700920115392</v>
      </c>
      <c r="J514" t="s">
        <v>589</v>
      </c>
    </row>
    <row r="515" spans="1:10" x14ac:dyDescent="0.25">
      <c r="A515" t="s">
        <v>8</v>
      </c>
      <c r="B515">
        <v>6005017</v>
      </c>
      <c r="C515" t="s">
        <v>590</v>
      </c>
      <c r="D515">
        <v>1</v>
      </c>
      <c r="E515" t="s">
        <v>10</v>
      </c>
      <c r="F515" t="s">
        <v>11</v>
      </c>
      <c r="G515" s="1"/>
      <c r="H515" t="str">
        <f>"3700920111820"</f>
        <v>3700920111820</v>
      </c>
      <c r="J515" t="s">
        <v>118</v>
      </c>
    </row>
    <row r="516" spans="1:10" x14ac:dyDescent="0.25">
      <c r="A516" t="s">
        <v>8</v>
      </c>
      <c r="B516">
        <v>6005142205</v>
      </c>
      <c r="C516" t="s">
        <v>591</v>
      </c>
      <c r="D516">
        <v>1</v>
      </c>
      <c r="E516" t="s">
        <v>10</v>
      </c>
      <c r="F516" t="s">
        <v>11</v>
      </c>
      <c r="G516" s="1"/>
      <c r="H516" t="str">
        <f>"3700920106567"</f>
        <v>3700920106567</v>
      </c>
      <c r="J516" t="s">
        <v>521</v>
      </c>
    </row>
    <row r="517" spans="1:10" x14ac:dyDescent="0.25">
      <c r="A517" t="s">
        <v>8</v>
      </c>
      <c r="B517">
        <v>6005142705</v>
      </c>
      <c r="C517" t="s">
        <v>592</v>
      </c>
      <c r="D517">
        <v>1</v>
      </c>
      <c r="E517" t="s">
        <v>10</v>
      </c>
      <c r="F517" t="s">
        <v>11</v>
      </c>
      <c r="G517" s="1"/>
      <c r="H517" t="str">
        <f>"3700920106581"</f>
        <v>3700920106581</v>
      </c>
      <c r="J517" t="s">
        <v>521</v>
      </c>
    </row>
    <row r="518" spans="1:10" x14ac:dyDescent="0.25">
      <c r="A518" t="s">
        <v>8</v>
      </c>
      <c r="B518">
        <v>6005143005</v>
      </c>
      <c r="C518" t="s">
        <v>593</v>
      </c>
      <c r="D518">
        <v>1</v>
      </c>
      <c r="E518" t="s">
        <v>10</v>
      </c>
      <c r="F518" t="s">
        <v>11</v>
      </c>
      <c r="G518" s="1"/>
      <c r="H518" t="str">
        <f>"3700920106604"</f>
        <v>3700920106604</v>
      </c>
      <c r="J518" t="s">
        <v>521</v>
      </c>
    </row>
    <row r="519" spans="1:10" x14ac:dyDescent="0.25">
      <c r="A519" t="s">
        <v>8</v>
      </c>
      <c r="B519">
        <v>6005144005</v>
      </c>
      <c r="C519" t="s">
        <v>594</v>
      </c>
      <c r="D519">
        <v>1</v>
      </c>
      <c r="E519" t="s">
        <v>10</v>
      </c>
      <c r="F519" t="s">
        <v>11</v>
      </c>
      <c r="G519" s="1"/>
      <c r="H519" t="str">
        <f>"3700920109131"</f>
        <v>3700920109131</v>
      </c>
      <c r="J519" t="s">
        <v>521</v>
      </c>
    </row>
    <row r="520" spans="1:10" x14ac:dyDescent="0.25">
      <c r="A520" t="s">
        <v>8</v>
      </c>
      <c r="B520">
        <v>6006001</v>
      </c>
      <c r="C520" t="s">
        <v>595</v>
      </c>
      <c r="D520">
        <v>1</v>
      </c>
      <c r="E520" t="s">
        <v>10</v>
      </c>
      <c r="F520" t="s">
        <v>11</v>
      </c>
      <c r="G520" s="1"/>
      <c r="H520" t="str">
        <f>"3700920111554"</f>
        <v>3700920111554</v>
      </c>
      <c r="J520" s="1">
        <v>48</v>
      </c>
    </row>
    <row r="521" spans="1:10" x14ac:dyDescent="0.25">
      <c r="A521" t="s">
        <v>8</v>
      </c>
      <c r="B521">
        <v>6006002</v>
      </c>
      <c r="C521" t="s">
        <v>596</v>
      </c>
      <c r="D521">
        <v>1</v>
      </c>
      <c r="E521" t="s">
        <v>10</v>
      </c>
      <c r="F521" t="s">
        <v>11</v>
      </c>
      <c r="G521" s="1"/>
      <c r="H521" t="str">
        <f>"3700920111561"</f>
        <v>3700920111561</v>
      </c>
      <c r="J521" s="1">
        <v>48</v>
      </c>
    </row>
    <row r="522" spans="1:10" x14ac:dyDescent="0.25">
      <c r="A522" t="s">
        <v>8</v>
      </c>
      <c r="B522">
        <v>6006003</v>
      </c>
      <c r="C522" t="s">
        <v>597</v>
      </c>
      <c r="D522">
        <v>1</v>
      </c>
      <c r="E522" t="s">
        <v>10</v>
      </c>
      <c r="F522" t="s">
        <v>11</v>
      </c>
      <c r="G522" s="1"/>
      <c r="H522" t="str">
        <f>"3700920111578"</f>
        <v>3700920111578</v>
      </c>
      <c r="J522" s="1">
        <v>48</v>
      </c>
    </row>
    <row r="523" spans="1:10" x14ac:dyDescent="0.25">
      <c r="A523" t="s">
        <v>8</v>
      </c>
      <c r="B523">
        <v>6006004</v>
      </c>
      <c r="C523" t="s">
        <v>598</v>
      </c>
      <c r="D523">
        <v>1</v>
      </c>
      <c r="E523" t="s">
        <v>10</v>
      </c>
      <c r="F523" t="s">
        <v>11</v>
      </c>
      <c r="G523" s="1"/>
      <c r="H523" t="str">
        <f>"3700920111585"</f>
        <v>3700920111585</v>
      </c>
      <c r="J523" s="1">
        <v>48</v>
      </c>
    </row>
    <row r="524" spans="1:10" x14ac:dyDescent="0.25">
      <c r="A524" t="s">
        <v>8</v>
      </c>
      <c r="B524">
        <v>6007001</v>
      </c>
      <c r="C524" t="s">
        <v>599</v>
      </c>
      <c r="D524">
        <v>1</v>
      </c>
      <c r="E524" t="s">
        <v>10</v>
      </c>
      <c r="F524" t="s">
        <v>11</v>
      </c>
      <c r="G524" s="1"/>
      <c r="H524" t="str">
        <f>"3700920140936"</f>
        <v>3700920140936</v>
      </c>
      <c r="J524" t="s">
        <v>600</v>
      </c>
    </row>
    <row r="525" spans="1:10" x14ac:dyDescent="0.25">
      <c r="A525" t="s">
        <v>8</v>
      </c>
      <c r="B525">
        <v>6007002</v>
      </c>
      <c r="C525" t="s">
        <v>601</v>
      </c>
      <c r="D525">
        <v>1</v>
      </c>
      <c r="E525" t="s">
        <v>10</v>
      </c>
      <c r="F525" t="s">
        <v>11</v>
      </c>
      <c r="G525" s="1"/>
      <c r="H525" t="str">
        <f>"3700920140943"</f>
        <v>3700920140943</v>
      </c>
      <c r="J525" t="s">
        <v>602</v>
      </c>
    </row>
    <row r="526" spans="1:10" x14ac:dyDescent="0.25">
      <c r="A526" t="s">
        <v>8</v>
      </c>
      <c r="B526">
        <v>6008001</v>
      </c>
      <c r="C526" t="s">
        <v>603</v>
      </c>
      <c r="D526">
        <v>1</v>
      </c>
      <c r="E526" t="s">
        <v>10</v>
      </c>
      <c r="F526" t="s">
        <v>11</v>
      </c>
      <c r="G526" s="1"/>
      <c r="H526" t="str">
        <f>"3700920111349"</f>
        <v>3700920111349</v>
      </c>
      <c r="J526" t="s">
        <v>604</v>
      </c>
    </row>
    <row r="527" spans="1:10" x14ac:dyDescent="0.25">
      <c r="A527" t="s">
        <v>8</v>
      </c>
      <c r="B527">
        <v>6008002</v>
      </c>
      <c r="C527" t="s">
        <v>605</v>
      </c>
      <c r="D527">
        <v>1</v>
      </c>
      <c r="E527" t="s">
        <v>10</v>
      </c>
      <c r="F527" t="s">
        <v>11</v>
      </c>
      <c r="G527" s="1"/>
      <c r="H527" t="str">
        <f>"3700920111301"</f>
        <v>3700920111301</v>
      </c>
      <c r="J527" t="s">
        <v>604</v>
      </c>
    </row>
    <row r="528" spans="1:10" x14ac:dyDescent="0.25">
      <c r="A528" t="s">
        <v>8</v>
      </c>
      <c r="B528">
        <v>6008003</v>
      </c>
      <c r="C528" t="s">
        <v>606</v>
      </c>
      <c r="D528">
        <v>1</v>
      </c>
      <c r="E528" t="s">
        <v>10</v>
      </c>
      <c r="F528" t="s">
        <v>11</v>
      </c>
      <c r="G528" s="1"/>
      <c r="H528" t="str">
        <f>"3700920111318"</f>
        <v>3700920111318</v>
      </c>
      <c r="J528" t="s">
        <v>604</v>
      </c>
    </row>
    <row r="529" spans="1:10" x14ac:dyDescent="0.25">
      <c r="A529" t="s">
        <v>8</v>
      </c>
      <c r="B529">
        <v>6008004</v>
      </c>
      <c r="C529" t="s">
        <v>607</v>
      </c>
      <c r="D529">
        <v>1</v>
      </c>
      <c r="E529" t="s">
        <v>10</v>
      </c>
      <c r="F529" t="s">
        <v>11</v>
      </c>
      <c r="G529" s="1"/>
      <c r="H529" t="str">
        <f>"3700920111332"</f>
        <v>3700920111332</v>
      </c>
      <c r="J529" t="s">
        <v>604</v>
      </c>
    </row>
    <row r="530" spans="1:10" x14ac:dyDescent="0.25">
      <c r="A530" t="s">
        <v>8</v>
      </c>
      <c r="B530">
        <v>6008030</v>
      </c>
      <c r="C530" t="s">
        <v>608</v>
      </c>
      <c r="D530">
        <v>1</v>
      </c>
      <c r="E530" t="s">
        <v>10</v>
      </c>
      <c r="F530" t="s">
        <v>11</v>
      </c>
      <c r="G530" s="1"/>
      <c r="H530" t="str">
        <f>"3700920111356"</f>
        <v>3700920111356</v>
      </c>
      <c r="J530" t="s">
        <v>609</v>
      </c>
    </row>
    <row r="531" spans="1:10" x14ac:dyDescent="0.25">
      <c r="A531" t="s">
        <v>8</v>
      </c>
      <c r="B531">
        <v>6008037</v>
      </c>
      <c r="C531" t="s">
        <v>610</v>
      </c>
      <c r="D531">
        <v>1</v>
      </c>
      <c r="E531" t="s">
        <v>10</v>
      </c>
      <c r="F531" t="s">
        <v>11</v>
      </c>
      <c r="G531" s="1"/>
      <c r="H531" t="str">
        <f>"3700920111370"</f>
        <v>3700920111370</v>
      </c>
      <c r="I531" s="1"/>
      <c r="J531" t="s">
        <v>611</v>
      </c>
    </row>
    <row r="532" spans="1:10" x14ac:dyDescent="0.25">
      <c r="A532" t="s">
        <v>8</v>
      </c>
      <c r="B532">
        <v>6008040</v>
      </c>
      <c r="C532" t="s">
        <v>612</v>
      </c>
      <c r="D532">
        <v>1</v>
      </c>
      <c r="E532" t="s">
        <v>10</v>
      </c>
      <c r="F532" t="s">
        <v>11</v>
      </c>
      <c r="G532" s="1"/>
      <c r="H532" t="str">
        <f>"3700920115989"</f>
        <v>3700920115989</v>
      </c>
      <c r="J532" t="s">
        <v>613</v>
      </c>
    </row>
    <row r="533" spans="1:10" x14ac:dyDescent="0.25">
      <c r="A533" t="s">
        <v>8</v>
      </c>
      <c r="B533">
        <v>6008041</v>
      </c>
      <c r="C533" t="s">
        <v>614</v>
      </c>
      <c r="D533">
        <v>1</v>
      </c>
      <c r="E533" t="s">
        <v>10</v>
      </c>
      <c r="F533" t="s">
        <v>11</v>
      </c>
      <c r="G533" s="1"/>
      <c r="H533" t="str">
        <f>"3700920115996"</f>
        <v>3700920115996</v>
      </c>
      <c r="J533" t="s">
        <v>615</v>
      </c>
    </row>
    <row r="534" spans="1:10" x14ac:dyDescent="0.25">
      <c r="A534" t="s">
        <v>8</v>
      </c>
      <c r="B534">
        <v>6008042</v>
      </c>
      <c r="C534" t="s">
        <v>616</v>
      </c>
      <c r="D534">
        <v>1</v>
      </c>
      <c r="E534" t="s">
        <v>10</v>
      </c>
      <c r="F534" t="s">
        <v>11</v>
      </c>
      <c r="G534" s="1"/>
      <c r="H534" t="str">
        <f>"3700920116009"</f>
        <v>3700920116009</v>
      </c>
      <c r="J534" t="s">
        <v>521</v>
      </c>
    </row>
    <row r="535" spans="1:10" x14ac:dyDescent="0.25">
      <c r="A535" t="s">
        <v>8</v>
      </c>
      <c r="B535">
        <v>6008043</v>
      </c>
      <c r="C535" t="s">
        <v>617</v>
      </c>
      <c r="D535">
        <v>1</v>
      </c>
      <c r="E535" t="s">
        <v>10</v>
      </c>
      <c r="F535" t="s">
        <v>11</v>
      </c>
      <c r="G535" s="1"/>
      <c r="H535" t="str">
        <f>"3700920116016"</f>
        <v>3700920116016</v>
      </c>
      <c r="J535" t="s">
        <v>473</v>
      </c>
    </row>
    <row r="536" spans="1:10" x14ac:dyDescent="0.25">
      <c r="A536" t="s">
        <v>8</v>
      </c>
      <c r="B536">
        <v>6008044</v>
      </c>
      <c r="C536" t="s">
        <v>618</v>
      </c>
      <c r="D536">
        <v>1</v>
      </c>
      <c r="E536" t="s">
        <v>10</v>
      </c>
      <c r="F536" t="s">
        <v>11</v>
      </c>
      <c r="G536" s="1"/>
      <c r="H536" t="str">
        <f>"3700920116023"</f>
        <v>3700920116023</v>
      </c>
      <c r="J536" t="s">
        <v>615</v>
      </c>
    </row>
    <row r="537" spans="1:10" x14ac:dyDescent="0.25">
      <c r="A537" t="s">
        <v>8</v>
      </c>
      <c r="B537">
        <v>6008045</v>
      </c>
      <c r="C537" t="s">
        <v>619</v>
      </c>
      <c r="D537">
        <v>1</v>
      </c>
      <c r="E537" t="s">
        <v>10</v>
      </c>
      <c r="F537" t="s">
        <v>11</v>
      </c>
      <c r="G537" s="1"/>
      <c r="H537" t="str">
        <f>"3700920116030"</f>
        <v>3700920116030</v>
      </c>
      <c r="J537" t="s">
        <v>620</v>
      </c>
    </row>
    <row r="538" spans="1:10" x14ac:dyDescent="0.25">
      <c r="A538" t="s">
        <v>8</v>
      </c>
      <c r="B538">
        <v>6008046</v>
      </c>
      <c r="C538" t="s">
        <v>621</v>
      </c>
      <c r="D538">
        <v>1</v>
      </c>
      <c r="E538" t="s">
        <v>10</v>
      </c>
      <c r="F538" t="s">
        <v>11</v>
      </c>
      <c r="G538" s="1"/>
      <c r="H538" t="str">
        <f>"3700920116047"</f>
        <v>3700920116047</v>
      </c>
      <c r="J538" t="s">
        <v>615</v>
      </c>
    </row>
    <row r="539" spans="1:10" x14ac:dyDescent="0.25">
      <c r="A539" t="s">
        <v>8</v>
      </c>
      <c r="B539">
        <v>6008047</v>
      </c>
      <c r="C539" t="s">
        <v>622</v>
      </c>
      <c r="D539">
        <v>1</v>
      </c>
      <c r="E539" t="s">
        <v>10</v>
      </c>
      <c r="F539" t="s">
        <v>11</v>
      </c>
      <c r="G539" s="1"/>
      <c r="H539" t="str">
        <f>"3700920116054"</f>
        <v>3700920116054</v>
      </c>
      <c r="J539" t="s">
        <v>620</v>
      </c>
    </row>
    <row r="540" spans="1:10" x14ac:dyDescent="0.25">
      <c r="A540" t="s">
        <v>8</v>
      </c>
      <c r="B540">
        <v>6008048</v>
      </c>
      <c r="C540" t="s">
        <v>623</v>
      </c>
      <c r="D540">
        <v>1</v>
      </c>
      <c r="E540" t="s">
        <v>10</v>
      </c>
      <c r="F540" t="s">
        <v>11</v>
      </c>
      <c r="G540" s="1"/>
      <c r="H540" t="str">
        <f>"3700920116061"</f>
        <v>3700920116061</v>
      </c>
      <c r="J540" t="s">
        <v>624</v>
      </c>
    </row>
    <row r="541" spans="1:10" x14ac:dyDescent="0.25">
      <c r="A541" t="s">
        <v>8</v>
      </c>
      <c r="B541">
        <v>6008049</v>
      </c>
      <c r="C541" t="s">
        <v>625</v>
      </c>
      <c r="D541">
        <v>1</v>
      </c>
      <c r="E541" t="s">
        <v>10</v>
      </c>
      <c r="F541" t="s">
        <v>11</v>
      </c>
      <c r="G541" s="1"/>
      <c r="H541" t="str">
        <f>"3700920116078"</f>
        <v>3700920116078</v>
      </c>
      <c r="J541" t="s">
        <v>577</v>
      </c>
    </row>
    <row r="542" spans="1:10" x14ac:dyDescent="0.25">
      <c r="A542" t="s">
        <v>8</v>
      </c>
      <c r="B542">
        <v>6008202</v>
      </c>
      <c r="C542" t="s">
        <v>626</v>
      </c>
      <c r="D542">
        <v>1</v>
      </c>
      <c r="E542" t="s">
        <v>10</v>
      </c>
      <c r="F542" t="s">
        <v>11</v>
      </c>
      <c r="G542" s="1"/>
      <c r="H542" t="str">
        <f>"3700920148598"</f>
        <v>3700920148598</v>
      </c>
      <c r="I542" s="1"/>
      <c r="J542" s="1">
        <v>54</v>
      </c>
    </row>
    <row r="543" spans="1:10" x14ac:dyDescent="0.25">
      <c r="A543" t="s">
        <v>8</v>
      </c>
      <c r="B543">
        <v>6008203</v>
      </c>
      <c r="C543" t="s">
        <v>627</v>
      </c>
      <c r="D543">
        <v>1</v>
      </c>
      <c r="E543" t="s">
        <v>10</v>
      </c>
      <c r="F543" t="s">
        <v>11</v>
      </c>
      <c r="G543" s="1"/>
      <c r="H543" t="str">
        <f>"3700920148604"</f>
        <v>3700920148604</v>
      </c>
      <c r="I543" s="1"/>
      <c r="J543" s="1">
        <v>54</v>
      </c>
    </row>
    <row r="544" spans="1:10" x14ac:dyDescent="0.25">
      <c r="A544" t="s">
        <v>8</v>
      </c>
      <c r="B544">
        <v>6008204</v>
      </c>
      <c r="C544" t="s">
        <v>628</v>
      </c>
      <c r="D544">
        <v>1</v>
      </c>
      <c r="E544" t="s">
        <v>10</v>
      </c>
      <c r="F544" t="s">
        <v>11</v>
      </c>
      <c r="G544" s="1"/>
      <c r="H544" t="str">
        <f>"3700920148611"</f>
        <v>3700920148611</v>
      </c>
      <c r="I544" s="1"/>
      <c r="J544" s="1">
        <v>54</v>
      </c>
    </row>
    <row r="545" spans="1:10" x14ac:dyDescent="0.25">
      <c r="A545" t="s">
        <v>8</v>
      </c>
      <c r="B545">
        <v>6008252</v>
      </c>
      <c r="C545" t="s">
        <v>629</v>
      </c>
      <c r="D545">
        <v>1</v>
      </c>
      <c r="E545" t="s">
        <v>10</v>
      </c>
      <c r="F545" t="s">
        <v>11</v>
      </c>
      <c r="G545" s="1"/>
      <c r="H545" t="str">
        <f>"3700920148628"</f>
        <v>3700920148628</v>
      </c>
      <c r="J545" s="1">
        <v>66</v>
      </c>
    </row>
    <row r="546" spans="1:10" x14ac:dyDescent="0.25">
      <c r="A546" t="s">
        <v>8</v>
      </c>
      <c r="B546">
        <v>6008253</v>
      </c>
      <c r="C546" t="s">
        <v>630</v>
      </c>
      <c r="D546">
        <v>1</v>
      </c>
      <c r="E546" t="s">
        <v>10</v>
      </c>
      <c r="F546" t="s">
        <v>11</v>
      </c>
      <c r="G546" s="1"/>
      <c r="H546" t="str">
        <f>"3700920148635"</f>
        <v>3700920148635</v>
      </c>
      <c r="J546" s="1">
        <v>66</v>
      </c>
    </row>
    <row r="547" spans="1:10" x14ac:dyDescent="0.25">
      <c r="A547" t="s">
        <v>8</v>
      </c>
      <c r="B547">
        <v>6008254</v>
      </c>
      <c r="C547" t="s">
        <v>631</v>
      </c>
      <c r="D547">
        <v>1</v>
      </c>
      <c r="E547" t="s">
        <v>10</v>
      </c>
      <c r="F547" t="s">
        <v>11</v>
      </c>
      <c r="G547" s="1"/>
      <c r="H547" t="str">
        <f>"3700920148642"</f>
        <v>3700920148642</v>
      </c>
      <c r="J547" s="1">
        <v>66</v>
      </c>
    </row>
    <row r="548" spans="1:10" x14ac:dyDescent="0.25">
      <c r="A548" t="s">
        <v>8</v>
      </c>
      <c r="B548">
        <v>6008501</v>
      </c>
      <c r="C548" t="s">
        <v>632</v>
      </c>
      <c r="D548">
        <v>1</v>
      </c>
      <c r="E548" t="s">
        <v>10</v>
      </c>
      <c r="F548" t="s">
        <v>11</v>
      </c>
      <c r="G548" s="1"/>
      <c r="H548" t="str">
        <f>"3700920145511"</f>
        <v>3700920145511</v>
      </c>
      <c r="J548" t="s">
        <v>442</v>
      </c>
    </row>
    <row r="549" spans="1:10" x14ac:dyDescent="0.25">
      <c r="A549" t="s">
        <v>8</v>
      </c>
      <c r="B549">
        <v>6008502</v>
      </c>
      <c r="C549" t="s">
        <v>633</v>
      </c>
      <c r="D549">
        <v>1</v>
      </c>
      <c r="E549" t="s">
        <v>10</v>
      </c>
      <c r="F549" t="s">
        <v>11</v>
      </c>
      <c r="G549" s="1"/>
      <c r="H549" t="str">
        <f>"3700920145528"</f>
        <v>3700920145528</v>
      </c>
      <c r="J549" t="s">
        <v>442</v>
      </c>
    </row>
    <row r="550" spans="1:10" x14ac:dyDescent="0.25">
      <c r="A550" t="s">
        <v>8</v>
      </c>
      <c r="B550">
        <v>6008503</v>
      </c>
      <c r="C550" t="s">
        <v>634</v>
      </c>
      <c r="D550">
        <v>1</v>
      </c>
      <c r="E550" t="s">
        <v>10</v>
      </c>
      <c r="F550" t="s">
        <v>11</v>
      </c>
      <c r="G550" s="1"/>
      <c r="H550" t="str">
        <f>"3700920145535"</f>
        <v>3700920145535</v>
      </c>
      <c r="J550" t="s">
        <v>442</v>
      </c>
    </row>
    <row r="551" spans="1:10" x14ac:dyDescent="0.25">
      <c r="A551" t="s">
        <v>8</v>
      </c>
      <c r="B551">
        <v>6008504</v>
      </c>
      <c r="C551" t="s">
        <v>635</v>
      </c>
      <c r="D551">
        <v>1</v>
      </c>
      <c r="E551" t="s">
        <v>10</v>
      </c>
      <c r="F551" t="s">
        <v>11</v>
      </c>
      <c r="G551" s="1"/>
      <c r="H551" t="str">
        <f>"3700920145542"</f>
        <v>3700920145542</v>
      </c>
      <c r="J551" t="s">
        <v>442</v>
      </c>
    </row>
    <row r="552" spans="1:10" x14ac:dyDescent="0.25">
      <c r="A552" t="s">
        <v>8</v>
      </c>
      <c r="B552">
        <v>6008601</v>
      </c>
      <c r="C552" t="s">
        <v>636</v>
      </c>
      <c r="D552">
        <v>1</v>
      </c>
      <c r="E552" t="s">
        <v>10</v>
      </c>
      <c r="F552" t="s">
        <v>11</v>
      </c>
      <c r="G552" s="1"/>
      <c r="H552" t="str">
        <f>"3700920145559"</f>
        <v>3700920145559</v>
      </c>
      <c r="J552" s="1">
        <v>72</v>
      </c>
    </row>
    <row r="553" spans="1:10" x14ac:dyDescent="0.25">
      <c r="A553" t="s">
        <v>8</v>
      </c>
      <c r="B553">
        <v>6008602</v>
      </c>
      <c r="C553" t="s">
        <v>637</v>
      </c>
      <c r="D553">
        <v>1</v>
      </c>
      <c r="E553" t="s">
        <v>10</v>
      </c>
      <c r="F553" t="s">
        <v>11</v>
      </c>
      <c r="G553" s="1"/>
      <c r="H553" t="str">
        <f>"3700920145566"</f>
        <v>3700920145566</v>
      </c>
      <c r="J553" s="1">
        <v>72</v>
      </c>
    </row>
    <row r="554" spans="1:10" x14ac:dyDescent="0.25">
      <c r="A554" t="s">
        <v>8</v>
      </c>
      <c r="B554">
        <v>6008603</v>
      </c>
      <c r="C554" t="s">
        <v>638</v>
      </c>
      <c r="D554">
        <v>1</v>
      </c>
      <c r="E554" t="s">
        <v>10</v>
      </c>
      <c r="F554" t="s">
        <v>11</v>
      </c>
      <c r="G554" s="1"/>
      <c r="H554" t="str">
        <f>"3700920145573"</f>
        <v>3700920145573</v>
      </c>
      <c r="J554" s="1">
        <v>72</v>
      </c>
    </row>
    <row r="555" spans="1:10" x14ac:dyDescent="0.25">
      <c r="A555" t="s">
        <v>8</v>
      </c>
      <c r="B555">
        <v>6008604</v>
      </c>
      <c r="C555" t="s">
        <v>639</v>
      </c>
      <c r="D555">
        <v>1</v>
      </c>
      <c r="E555" t="s">
        <v>10</v>
      </c>
      <c r="F555" t="s">
        <v>11</v>
      </c>
      <c r="G555" s="1"/>
      <c r="H555" t="str">
        <f>"3700920145580"</f>
        <v>3700920145580</v>
      </c>
      <c r="J555" s="1">
        <v>72</v>
      </c>
    </row>
    <row r="556" spans="1:10" x14ac:dyDescent="0.25">
      <c r="A556" t="s">
        <v>8</v>
      </c>
      <c r="B556">
        <v>6008901</v>
      </c>
      <c r="C556" t="s">
        <v>640</v>
      </c>
      <c r="D556">
        <v>1</v>
      </c>
      <c r="E556" t="s">
        <v>10</v>
      </c>
      <c r="F556" t="s">
        <v>11</v>
      </c>
      <c r="G556" s="1"/>
      <c r="H556" t="str">
        <f>"3700920144484"</f>
        <v>3700920144484</v>
      </c>
      <c r="J556" s="1">
        <v>282</v>
      </c>
    </row>
    <row r="557" spans="1:10" x14ac:dyDescent="0.25">
      <c r="A557" t="s">
        <v>8</v>
      </c>
      <c r="B557">
        <v>6008902</v>
      </c>
      <c r="C557" t="s">
        <v>641</v>
      </c>
      <c r="D557">
        <v>1</v>
      </c>
      <c r="E557" t="s">
        <v>10</v>
      </c>
      <c r="F557" t="s">
        <v>11</v>
      </c>
      <c r="G557" s="1"/>
      <c r="H557" t="str">
        <f>"3700920144491"</f>
        <v>3700920144491</v>
      </c>
      <c r="J557" s="1">
        <v>282</v>
      </c>
    </row>
    <row r="558" spans="1:10" x14ac:dyDescent="0.25">
      <c r="A558" t="s">
        <v>8</v>
      </c>
      <c r="B558">
        <v>6008903</v>
      </c>
      <c r="C558" t="s">
        <v>642</v>
      </c>
      <c r="D558">
        <v>1</v>
      </c>
      <c r="E558" t="s">
        <v>10</v>
      </c>
      <c r="F558" t="s">
        <v>11</v>
      </c>
      <c r="G558" s="1"/>
      <c r="H558" t="str">
        <f>"3700920144507"</f>
        <v>3700920144507</v>
      </c>
      <c r="J558" s="1">
        <v>282</v>
      </c>
    </row>
    <row r="559" spans="1:10" x14ac:dyDescent="0.25">
      <c r="A559" t="s">
        <v>8</v>
      </c>
      <c r="B559">
        <v>6008904</v>
      </c>
      <c r="C559" t="s">
        <v>643</v>
      </c>
      <c r="D559">
        <v>1</v>
      </c>
      <c r="E559" t="s">
        <v>10</v>
      </c>
      <c r="F559" t="s">
        <v>11</v>
      </c>
      <c r="G559" s="1"/>
      <c r="H559" t="str">
        <f>"3700920144514"</f>
        <v>3700920144514</v>
      </c>
      <c r="J559" s="1">
        <v>282</v>
      </c>
    </row>
    <row r="560" spans="1:10" x14ac:dyDescent="0.25">
      <c r="A560" t="s">
        <v>8</v>
      </c>
      <c r="B560">
        <v>6009002</v>
      </c>
      <c r="C560" t="s">
        <v>644</v>
      </c>
      <c r="D560">
        <v>1</v>
      </c>
      <c r="E560" t="s">
        <v>10</v>
      </c>
      <c r="F560" t="s">
        <v>11</v>
      </c>
      <c r="G560" s="1"/>
      <c r="H560" t="str">
        <f>"3700920111769"</f>
        <v>3700920111769</v>
      </c>
      <c r="I560" s="1"/>
      <c r="J560" t="s">
        <v>645</v>
      </c>
    </row>
    <row r="561" spans="1:10" x14ac:dyDescent="0.25">
      <c r="A561" t="s">
        <v>8</v>
      </c>
      <c r="B561">
        <v>6009003</v>
      </c>
      <c r="C561" t="s">
        <v>646</v>
      </c>
      <c r="D561">
        <v>1</v>
      </c>
      <c r="E561" t="s">
        <v>10</v>
      </c>
      <c r="F561" t="s">
        <v>11</v>
      </c>
      <c r="G561" s="1"/>
      <c r="H561" t="str">
        <f>"3700920111790"</f>
        <v>3700920111790</v>
      </c>
      <c r="I561" s="1"/>
      <c r="J561" t="s">
        <v>645</v>
      </c>
    </row>
    <row r="562" spans="1:10" x14ac:dyDescent="0.25">
      <c r="A562" t="s">
        <v>8</v>
      </c>
      <c r="B562">
        <v>6009004</v>
      </c>
      <c r="C562" t="s">
        <v>647</v>
      </c>
      <c r="D562">
        <v>1</v>
      </c>
      <c r="E562" t="s">
        <v>10</v>
      </c>
      <c r="F562" t="s">
        <v>11</v>
      </c>
      <c r="G562" s="1"/>
      <c r="H562" t="str">
        <f>"3700920113152"</f>
        <v>3700920113152</v>
      </c>
      <c r="I562" s="1"/>
      <c r="J562" t="s">
        <v>645</v>
      </c>
    </row>
    <row r="563" spans="1:10" x14ac:dyDescent="0.25">
      <c r="A563" t="s">
        <v>8</v>
      </c>
      <c r="B563">
        <v>6009062</v>
      </c>
      <c r="C563" t="s">
        <v>648</v>
      </c>
      <c r="D563">
        <v>1</v>
      </c>
      <c r="E563" t="s">
        <v>10</v>
      </c>
      <c r="F563" t="s">
        <v>11</v>
      </c>
      <c r="G563" s="1"/>
      <c r="H563" t="str">
        <f>"3700920111783"</f>
        <v>3700920111783</v>
      </c>
      <c r="J563" t="s">
        <v>649</v>
      </c>
    </row>
    <row r="564" spans="1:10" x14ac:dyDescent="0.25">
      <c r="A564" t="s">
        <v>8</v>
      </c>
      <c r="B564">
        <v>6009063</v>
      </c>
      <c r="C564" t="s">
        <v>650</v>
      </c>
      <c r="D564">
        <v>1</v>
      </c>
      <c r="E564" t="s">
        <v>10</v>
      </c>
      <c r="F564" t="s">
        <v>11</v>
      </c>
      <c r="G564" s="1"/>
      <c r="H564" t="str">
        <f>"3700920111806"</f>
        <v>3700920111806</v>
      </c>
      <c r="J564" t="s">
        <v>649</v>
      </c>
    </row>
    <row r="565" spans="1:10" x14ac:dyDescent="0.25">
      <c r="A565" t="s">
        <v>8</v>
      </c>
      <c r="B565">
        <v>6009064</v>
      </c>
      <c r="C565" t="s">
        <v>651</v>
      </c>
      <c r="D565">
        <v>1</v>
      </c>
      <c r="E565" t="s">
        <v>10</v>
      </c>
      <c r="F565" t="s">
        <v>11</v>
      </c>
      <c r="G565" s="1"/>
      <c r="H565" t="str">
        <f>"3700920111813"</f>
        <v>3700920111813</v>
      </c>
      <c r="J565" t="s">
        <v>649</v>
      </c>
    </row>
    <row r="566" spans="1:10" x14ac:dyDescent="0.25">
      <c r="A566" t="s">
        <v>8</v>
      </c>
      <c r="B566">
        <v>6009200</v>
      </c>
      <c r="C566" t="s">
        <v>652</v>
      </c>
      <c r="D566">
        <v>1</v>
      </c>
      <c r="E566" t="s">
        <v>10</v>
      </c>
      <c r="F566" t="s">
        <v>11</v>
      </c>
      <c r="G566" s="1"/>
      <c r="H566" t="str">
        <f>"3700920141735"</f>
        <v>3700920141735</v>
      </c>
      <c r="I566" s="1"/>
      <c r="J566" t="s">
        <v>653</v>
      </c>
    </row>
    <row r="567" spans="1:10" x14ac:dyDescent="0.25">
      <c r="A567" t="s">
        <v>8</v>
      </c>
      <c r="B567">
        <v>6009206</v>
      </c>
      <c r="C567" t="s">
        <v>652</v>
      </c>
      <c r="D567">
        <v>1</v>
      </c>
      <c r="E567" t="s">
        <v>10</v>
      </c>
      <c r="F567" t="s">
        <v>11</v>
      </c>
      <c r="G567" s="1"/>
      <c r="H567" t="str">
        <f>"3700920141742"</f>
        <v>3700920141742</v>
      </c>
      <c r="J567" t="s">
        <v>654</v>
      </c>
    </row>
    <row r="568" spans="1:10" x14ac:dyDescent="0.25">
      <c r="A568" t="s">
        <v>8</v>
      </c>
      <c r="B568">
        <v>6009210</v>
      </c>
      <c r="C568" t="s">
        <v>655</v>
      </c>
      <c r="D568">
        <v>1</v>
      </c>
      <c r="E568" t="s">
        <v>10</v>
      </c>
      <c r="F568" t="s">
        <v>11</v>
      </c>
      <c r="G568" s="1"/>
      <c r="H568" t="str">
        <f>"3700920141759"</f>
        <v>3700920141759</v>
      </c>
      <c r="J568" t="s">
        <v>656</v>
      </c>
    </row>
    <row r="569" spans="1:10" x14ac:dyDescent="0.25">
      <c r="A569" t="s">
        <v>8</v>
      </c>
      <c r="B569">
        <v>6009216</v>
      </c>
      <c r="C569" t="s">
        <v>655</v>
      </c>
      <c r="D569">
        <v>1</v>
      </c>
      <c r="E569" t="s">
        <v>10</v>
      </c>
      <c r="F569" t="s">
        <v>11</v>
      </c>
      <c r="G569" s="1"/>
      <c r="H569" t="str">
        <f>"3700920141766"</f>
        <v>3700920141766</v>
      </c>
      <c r="J569" t="s">
        <v>657</v>
      </c>
    </row>
    <row r="570" spans="1:10" x14ac:dyDescent="0.25">
      <c r="A570" t="s">
        <v>8</v>
      </c>
      <c r="B570">
        <v>6009220</v>
      </c>
      <c r="C570" t="s">
        <v>658</v>
      </c>
      <c r="D570">
        <v>1</v>
      </c>
      <c r="E570" t="s">
        <v>10</v>
      </c>
      <c r="F570" t="s">
        <v>11</v>
      </c>
      <c r="G570" s="1"/>
      <c r="H570" t="str">
        <f>"3700920141773"</f>
        <v>3700920141773</v>
      </c>
      <c r="J570" t="s">
        <v>162</v>
      </c>
    </row>
    <row r="571" spans="1:10" x14ac:dyDescent="0.25">
      <c r="A571" t="s">
        <v>8</v>
      </c>
      <c r="B571">
        <v>6009226</v>
      </c>
      <c r="C571" t="s">
        <v>658</v>
      </c>
      <c r="D571">
        <v>1</v>
      </c>
      <c r="E571" t="s">
        <v>10</v>
      </c>
      <c r="F571" t="s">
        <v>11</v>
      </c>
      <c r="G571" s="1"/>
      <c r="H571" t="str">
        <f>"3700920141780"</f>
        <v>3700920141780</v>
      </c>
      <c r="J571" t="s">
        <v>660</v>
      </c>
    </row>
    <row r="572" spans="1:10" x14ac:dyDescent="0.25">
      <c r="A572" t="s">
        <v>8</v>
      </c>
      <c r="B572">
        <v>6009230</v>
      </c>
      <c r="C572" t="s">
        <v>652</v>
      </c>
      <c r="D572">
        <v>1</v>
      </c>
      <c r="E572" t="s">
        <v>10</v>
      </c>
      <c r="F572" t="s">
        <v>11</v>
      </c>
      <c r="G572" s="1"/>
      <c r="H572" t="str">
        <f>"3700920141797"</f>
        <v>3700920141797</v>
      </c>
      <c r="I572" s="1"/>
      <c r="J572" t="s">
        <v>653</v>
      </c>
    </row>
    <row r="573" spans="1:10" x14ac:dyDescent="0.25">
      <c r="A573" t="s">
        <v>8</v>
      </c>
      <c r="B573">
        <v>6009236</v>
      </c>
      <c r="C573" t="s">
        <v>652</v>
      </c>
      <c r="D573">
        <v>1</v>
      </c>
      <c r="E573" t="s">
        <v>10</v>
      </c>
      <c r="F573" t="s">
        <v>11</v>
      </c>
      <c r="G573" s="1"/>
      <c r="H573" t="str">
        <f>"3700920141803"</f>
        <v>3700920141803</v>
      </c>
      <c r="J573" t="s">
        <v>654</v>
      </c>
    </row>
    <row r="574" spans="1:10" x14ac:dyDescent="0.25">
      <c r="A574" t="s">
        <v>8</v>
      </c>
      <c r="B574">
        <v>6009240</v>
      </c>
      <c r="C574" t="s">
        <v>652</v>
      </c>
      <c r="D574">
        <v>1</v>
      </c>
      <c r="E574" t="s">
        <v>10</v>
      </c>
      <c r="F574" t="s">
        <v>11</v>
      </c>
      <c r="G574" s="1"/>
      <c r="H574" t="str">
        <f>"3700920141810"</f>
        <v>3700920141810</v>
      </c>
      <c r="I574" s="1"/>
      <c r="J574" t="s">
        <v>653</v>
      </c>
    </row>
    <row r="575" spans="1:10" x14ac:dyDescent="0.25">
      <c r="A575" t="s">
        <v>8</v>
      </c>
      <c r="B575">
        <v>6009246</v>
      </c>
      <c r="C575" t="s">
        <v>652</v>
      </c>
      <c r="D575">
        <v>1</v>
      </c>
      <c r="E575" t="s">
        <v>10</v>
      </c>
      <c r="F575" t="s">
        <v>11</v>
      </c>
      <c r="G575" s="1"/>
      <c r="H575" t="str">
        <f>"3700920141827"</f>
        <v>3700920141827</v>
      </c>
      <c r="J575" t="s">
        <v>654</v>
      </c>
    </row>
    <row r="576" spans="1:10" x14ac:dyDescent="0.25">
      <c r="A576" t="s">
        <v>8</v>
      </c>
      <c r="B576">
        <v>6009256</v>
      </c>
      <c r="C576" t="s">
        <v>652</v>
      </c>
      <c r="D576">
        <v>1</v>
      </c>
      <c r="E576" t="s">
        <v>10</v>
      </c>
      <c r="F576" t="s">
        <v>11</v>
      </c>
      <c r="G576" s="1"/>
      <c r="H576" t="str">
        <f>"3700920141834"</f>
        <v>3700920141834</v>
      </c>
      <c r="J576" t="s">
        <v>657</v>
      </c>
    </row>
    <row r="577" spans="1:10" x14ac:dyDescent="0.25">
      <c r="A577" t="s">
        <v>8</v>
      </c>
      <c r="B577">
        <v>6009280</v>
      </c>
      <c r="C577" t="s">
        <v>661</v>
      </c>
      <c r="D577">
        <v>1</v>
      </c>
      <c r="E577" t="s">
        <v>10</v>
      </c>
      <c r="F577" t="s">
        <v>11</v>
      </c>
      <c r="G577" s="1"/>
      <c r="H577" t="str">
        <f>"3700920141841"</f>
        <v>3700920141841</v>
      </c>
      <c r="I577" s="1"/>
      <c r="J577" t="s">
        <v>653</v>
      </c>
    </row>
    <row r="578" spans="1:10" x14ac:dyDescent="0.25">
      <c r="A578" t="s">
        <v>8</v>
      </c>
      <c r="B578">
        <v>6009900</v>
      </c>
      <c r="C578" t="s">
        <v>662</v>
      </c>
      <c r="D578">
        <v>1</v>
      </c>
      <c r="E578" t="s">
        <v>10</v>
      </c>
      <c r="F578" t="s">
        <v>11</v>
      </c>
      <c r="G578" s="1"/>
      <c r="H578" t="str">
        <f>"3700920147584"</f>
        <v>3700920147584</v>
      </c>
      <c r="J578" s="1">
        <v>60</v>
      </c>
    </row>
    <row r="579" spans="1:10" x14ac:dyDescent="0.25">
      <c r="A579" t="s">
        <v>8</v>
      </c>
      <c r="B579">
        <v>6009910</v>
      </c>
      <c r="C579" t="s">
        <v>663</v>
      </c>
      <c r="D579">
        <v>1</v>
      </c>
      <c r="E579" t="s">
        <v>10</v>
      </c>
      <c r="F579" t="s">
        <v>11</v>
      </c>
      <c r="G579" s="1"/>
      <c r="H579" t="str">
        <f>"3700920144521"</f>
        <v>3700920144521</v>
      </c>
      <c r="J579" s="1">
        <v>18</v>
      </c>
    </row>
    <row r="580" spans="1:10" x14ac:dyDescent="0.25">
      <c r="A580" t="s">
        <v>8</v>
      </c>
      <c r="B580">
        <v>6009911</v>
      </c>
      <c r="C580" t="s">
        <v>664</v>
      </c>
      <c r="D580">
        <v>1</v>
      </c>
      <c r="E580" t="s">
        <v>10</v>
      </c>
      <c r="F580" t="s">
        <v>11</v>
      </c>
      <c r="G580" s="1"/>
      <c r="H580" t="str">
        <f>"3700920144538"</f>
        <v>3700920144538</v>
      </c>
      <c r="J580" t="s">
        <v>264</v>
      </c>
    </row>
    <row r="581" spans="1:10" x14ac:dyDescent="0.25">
      <c r="A581" t="s">
        <v>8</v>
      </c>
      <c r="B581">
        <v>6009920</v>
      </c>
      <c r="C581" t="s">
        <v>665</v>
      </c>
      <c r="D581">
        <v>1</v>
      </c>
      <c r="E581" t="s">
        <v>10</v>
      </c>
      <c r="F581" t="s">
        <v>11</v>
      </c>
      <c r="G581" s="1"/>
      <c r="H581" t="str">
        <f>"3700920144088"</f>
        <v>3700920144088</v>
      </c>
      <c r="J581" t="s">
        <v>222</v>
      </c>
    </row>
    <row r="582" spans="1:10" x14ac:dyDescent="0.25">
      <c r="A582" t="s">
        <v>8</v>
      </c>
      <c r="B582">
        <v>6009999</v>
      </c>
      <c r="C582" t="s">
        <v>666</v>
      </c>
      <c r="D582">
        <v>1</v>
      </c>
      <c r="E582" t="s">
        <v>10</v>
      </c>
      <c r="F582" t="s">
        <v>11</v>
      </c>
      <c r="G582" s="1"/>
      <c r="H582" t="str">
        <f>"3700920147607"</f>
        <v>3700920147607</v>
      </c>
      <c r="J582" t="s">
        <v>667</v>
      </c>
    </row>
    <row r="583" spans="1:10" x14ac:dyDescent="0.25">
      <c r="A583" t="s">
        <v>8</v>
      </c>
      <c r="B583" t="s">
        <v>668</v>
      </c>
      <c r="C583" t="s">
        <v>669</v>
      </c>
      <c r="D583">
        <v>1</v>
      </c>
      <c r="E583" t="s">
        <v>10</v>
      </c>
      <c r="F583" t="s">
        <v>11</v>
      </c>
      <c r="G583" s="1"/>
      <c r="H583" t="str">
        <f>"3700920110267"</f>
        <v>3700920110267</v>
      </c>
      <c r="J583" t="s">
        <v>670</v>
      </c>
    </row>
    <row r="584" spans="1:10" x14ac:dyDescent="0.25">
      <c r="A584" t="s">
        <v>8</v>
      </c>
      <c r="B584" t="s">
        <v>671</v>
      </c>
      <c r="C584" t="s">
        <v>672</v>
      </c>
      <c r="D584">
        <v>1</v>
      </c>
      <c r="E584" t="s">
        <v>10</v>
      </c>
      <c r="F584" t="s">
        <v>11</v>
      </c>
      <c r="G584" s="1"/>
      <c r="H584" t="str">
        <f>"3700920110281"</f>
        <v>3700920110281</v>
      </c>
      <c r="J584" t="s">
        <v>130</v>
      </c>
    </row>
    <row r="585" spans="1:10" x14ac:dyDescent="0.25">
      <c r="A585" t="s">
        <v>8</v>
      </c>
      <c r="B585" t="s">
        <v>673</v>
      </c>
      <c r="C585" t="s">
        <v>674</v>
      </c>
      <c r="D585">
        <v>1</v>
      </c>
      <c r="E585" t="s">
        <v>10</v>
      </c>
      <c r="F585" t="s">
        <v>11</v>
      </c>
      <c r="G585" s="1"/>
      <c r="H585" t="str">
        <f>"3700920110298"</f>
        <v>3700920110298</v>
      </c>
      <c r="J585" t="s">
        <v>675</v>
      </c>
    </row>
    <row r="586" spans="1:10" x14ac:dyDescent="0.25">
      <c r="A586" t="s">
        <v>8</v>
      </c>
      <c r="B586" t="s">
        <v>676</v>
      </c>
      <c r="C586" t="s">
        <v>677</v>
      </c>
      <c r="D586">
        <v>1</v>
      </c>
      <c r="E586" t="s">
        <v>10</v>
      </c>
      <c r="F586" t="s">
        <v>11</v>
      </c>
      <c r="G586" s="1"/>
      <c r="H586" t="str">
        <f>"3700920100879"</f>
        <v>3700920100879</v>
      </c>
      <c r="J586" t="s">
        <v>679</v>
      </c>
    </row>
    <row r="587" spans="1:10" x14ac:dyDescent="0.25">
      <c r="A587" t="s">
        <v>8</v>
      </c>
      <c r="B587" t="s">
        <v>680</v>
      </c>
      <c r="C587" t="s">
        <v>681</v>
      </c>
      <c r="D587">
        <v>1</v>
      </c>
      <c r="E587" t="s">
        <v>10</v>
      </c>
      <c r="F587" t="s">
        <v>11</v>
      </c>
      <c r="G587" s="1"/>
      <c r="H587" t="str">
        <f>"3700920144545"</f>
        <v>3700920144545</v>
      </c>
      <c r="J587" t="s">
        <v>682</v>
      </c>
    </row>
    <row r="588" spans="1:10" x14ac:dyDescent="0.25">
      <c r="A588" t="s">
        <v>8</v>
      </c>
      <c r="B588" t="s">
        <v>683</v>
      </c>
      <c r="C588" t="s">
        <v>684</v>
      </c>
      <c r="D588">
        <v>1</v>
      </c>
      <c r="E588" t="s">
        <v>10</v>
      </c>
      <c r="F588" t="s">
        <v>11</v>
      </c>
      <c r="G588" s="1"/>
      <c r="H588" t="str">
        <f>"3700920144552"</f>
        <v>3700920144552</v>
      </c>
      <c r="J588" t="s">
        <v>685</v>
      </c>
    </row>
    <row r="589" spans="1:10" x14ac:dyDescent="0.25">
      <c r="A589" t="s">
        <v>8</v>
      </c>
      <c r="B589" t="s">
        <v>686</v>
      </c>
      <c r="C589" t="s">
        <v>687</v>
      </c>
      <c r="D589">
        <v>1</v>
      </c>
      <c r="E589" t="s">
        <v>10</v>
      </c>
      <c r="F589" t="s">
        <v>11</v>
      </c>
      <c r="G589" s="1"/>
      <c r="H589" t="str">
        <f>"3700920144569"</f>
        <v>3700920144569</v>
      </c>
      <c r="J589" t="s">
        <v>264</v>
      </c>
    </row>
    <row r="590" spans="1:10" x14ac:dyDescent="0.25">
      <c r="A590" t="s">
        <v>8</v>
      </c>
      <c r="B590" t="s">
        <v>688</v>
      </c>
      <c r="C590" t="s">
        <v>689</v>
      </c>
      <c r="D590">
        <v>1</v>
      </c>
      <c r="E590" t="s">
        <v>10</v>
      </c>
      <c r="F590" t="s">
        <v>11</v>
      </c>
      <c r="G590" s="1"/>
      <c r="H590" t="str">
        <f>"3700920104099"</f>
        <v>3700920104099</v>
      </c>
      <c r="J590" t="s">
        <v>690</v>
      </c>
    </row>
    <row r="591" spans="1:10" x14ac:dyDescent="0.25">
      <c r="A591" t="s">
        <v>8</v>
      </c>
      <c r="B591" t="s">
        <v>691</v>
      </c>
      <c r="C591" t="s">
        <v>692</v>
      </c>
      <c r="D591">
        <v>1</v>
      </c>
      <c r="E591" t="s">
        <v>10</v>
      </c>
      <c r="F591" t="s">
        <v>11</v>
      </c>
      <c r="G591" s="1"/>
      <c r="H591" t="str">
        <f>"3700920104105"</f>
        <v>3700920104105</v>
      </c>
      <c r="I591" s="1"/>
      <c r="J591" t="s">
        <v>693</v>
      </c>
    </row>
    <row r="592" spans="1:10" x14ac:dyDescent="0.25">
      <c r="A592" t="s">
        <v>8</v>
      </c>
      <c r="B592" t="s">
        <v>694</v>
      </c>
      <c r="C592" t="s">
        <v>695</v>
      </c>
      <c r="D592">
        <v>1</v>
      </c>
      <c r="E592" t="s">
        <v>10</v>
      </c>
      <c r="F592" t="s">
        <v>11</v>
      </c>
      <c r="G592" s="1"/>
      <c r="H592" t="str">
        <f>"3700920104112"</f>
        <v>3700920104112</v>
      </c>
      <c r="J592" t="s">
        <v>696</v>
      </c>
    </row>
    <row r="593" spans="1:10" x14ac:dyDescent="0.25">
      <c r="A593" t="s">
        <v>8</v>
      </c>
      <c r="B593" t="s">
        <v>697</v>
      </c>
      <c r="C593" t="s">
        <v>698</v>
      </c>
      <c r="D593">
        <v>1</v>
      </c>
      <c r="E593" t="s">
        <v>10</v>
      </c>
      <c r="F593" t="s">
        <v>11</v>
      </c>
      <c r="G593" s="1"/>
      <c r="H593" t="str">
        <f>"3700920104129"</f>
        <v>3700920104129</v>
      </c>
      <c r="J593" t="s">
        <v>699</v>
      </c>
    </row>
    <row r="594" spans="1:10" x14ac:dyDescent="0.25">
      <c r="A594" t="s">
        <v>8</v>
      </c>
      <c r="B594" t="s">
        <v>700</v>
      </c>
      <c r="C594" t="s">
        <v>701</v>
      </c>
      <c r="D594">
        <v>1</v>
      </c>
      <c r="E594" t="s">
        <v>10</v>
      </c>
      <c r="F594" t="s">
        <v>11</v>
      </c>
      <c r="G594" s="1"/>
      <c r="H594" t="str">
        <f>"3700920104136"</f>
        <v>3700920104136</v>
      </c>
      <c r="J594" t="s">
        <v>702</v>
      </c>
    </row>
    <row r="595" spans="1:10" x14ac:dyDescent="0.25">
      <c r="A595" t="s">
        <v>8</v>
      </c>
      <c r="B595" t="s">
        <v>703</v>
      </c>
      <c r="C595" t="s">
        <v>701</v>
      </c>
      <c r="D595">
        <v>1</v>
      </c>
      <c r="E595" t="s">
        <v>10</v>
      </c>
      <c r="F595" t="s">
        <v>11</v>
      </c>
      <c r="G595" s="1"/>
      <c r="H595" t="str">
        <f>"3700920104006"</f>
        <v>3700920104006</v>
      </c>
      <c r="J595" t="s">
        <v>704</v>
      </c>
    </row>
    <row r="596" spans="1:10" x14ac:dyDescent="0.25">
      <c r="A596" t="s">
        <v>8</v>
      </c>
      <c r="B596" t="s">
        <v>705</v>
      </c>
      <c r="C596" t="s">
        <v>706</v>
      </c>
      <c r="D596">
        <v>1</v>
      </c>
      <c r="E596" t="s">
        <v>10</v>
      </c>
      <c r="F596" t="s">
        <v>11</v>
      </c>
      <c r="G596" s="1"/>
      <c r="H596" t="str">
        <f>"3700920110311"</f>
        <v>3700920110311</v>
      </c>
      <c r="J596" t="s">
        <v>707</v>
      </c>
    </row>
    <row r="597" spans="1:10" x14ac:dyDescent="0.25">
      <c r="A597" t="s">
        <v>8</v>
      </c>
      <c r="B597" t="s">
        <v>708</v>
      </c>
      <c r="C597" t="s">
        <v>706</v>
      </c>
      <c r="D597">
        <v>1</v>
      </c>
      <c r="E597" t="s">
        <v>10</v>
      </c>
      <c r="F597" t="s">
        <v>11</v>
      </c>
      <c r="G597" s="1"/>
      <c r="H597" t="str">
        <f>"3700920110328"</f>
        <v>3700920110328</v>
      </c>
      <c r="J597" s="1">
        <v>321</v>
      </c>
    </row>
    <row r="598" spans="1:10" x14ac:dyDescent="0.25">
      <c r="A598" t="s">
        <v>8</v>
      </c>
      <c r="B598" t="s">
        <v>709</v>
      </c>
      <c r="C598" t="s">
        <v>710</v>
      </c>
      <c r="D598">
        <v>1</v>
      </c>
      <c r="E598" t="s">
        <v>10</v>
      </c>
      <c r="F598" t="s">
        <v>11</v>
      </c>
      <c r="G598" s="1"/>
      <c r="H598" t="str">
        <f>"3700920103832"</f>
        <v>3700920103832</v>
      </c>
      <c r="J598" t="s">
        <v>711</v>
      </c>
    </row>
    <row r="599" spans="1:10" x14ac:dyDescent="0.25">
      <c r="A599" t="s">
        <v>8</v>
      </c>
      <c r="B599" t="s">
        <v>712</v>
      </c>
      <c r="C599" t="s">
        <v>713</v>
      </c>
      <c r="D599">
        <v>1</v>
      </c>
      <c r="E599" t="s">
        <v>10</v>
      </c>
      <c r="F599" t="s">
        <v>11</v>
      </c>
      <c r="G599" s="1"/>
      <c r="H599" t="str">
        <f>"3700920110335"</f>
        <v>3700920110335</v>
      </c>
      <c r="J599" t="s">
        <v>714</v>
      </c>
    </row>
    <row r="600" spans="1:10" x14ac:dyDescent="0.25">
      <c r="A600" t="s">
        <v>8</v>
      </c>
      <c r="B600" t="s">
        <v>715</v>
      </c>
      <c r="C600" t="s">
        <v>716</v>
      </c>
      <c r="D600">
        <v>1</v>
      </c>
      <c r="E600" t="s">
        <v>10</v>
      </c>
      <c r="F600" t="s">
        <v>11</v>
      </c>
      <c r="G600" s="1"/>
      <c r="H600" t="str">
        <f>"3700920103849"</f>
        <v>3700920103849</v>
      </c>
      <c r="I600" s="1"/>
      <c r="J600" t="s">
        <v>717</v>
      </c>
    </row>
    <row r="601" spans="1:10" x14ac:dyDescent="0.25">
      <c r="A601" t="s">
        <v>8</v>
      </c>
      <c r="B601" t="s">
        <v>718</v>
      </c>
      <c r="C601" t="s">
        <v>719</v>
      </c>
      <c r="D601">
        <v>1</v>
      </c>
      <c r="E601" t="s">
        <v>10</v>
      </c>
      <c r="F601" t="s">
        <v>11</v>
      </c>
      <c r="G601" s="1"/>
      <c r="H601" t="str">
        <f>"3700920104044"</f>
        <v>3700920104044</v>
      </c>
      <c r="J601" t="s">
        <v>720</v>
      </c>
    </row>
    <row r="602" spans="1:10" x14ac:dyDescent="0.25">
      <c r="A602" t="s">
        <v>8</v>
      </c>
      <c r="B602" t="s">
        <v>721</v>
      </c>
      <c r="C602" t="s">
        <v>722</v>
      </c>
      <c r="D602">
        <v>1</v>
      </c>
      <c r="E602" t="s">
        <v>10</v>
      </c>
      <c r="F602" t="s">
        <v>11</v>
      </c>
      <c r="G602" s="1"/>
      <c r="H602" t="str">
        <f>"3700920110342"</f>
        <v>3700920110342</v>
      </c>
      <c r="J602" t="s">
        <v>723</v>
      </c>
    </row>
    <row r="603" spans="1:10" x14ac:dyDescent="0.25">
      <c r="A603" t="s">
        <v>8</v>
      </c>
      <c r="B603" t="s">
        <v>724</v>
      </c>
      <c r="C603" t="s">
        <v>725</v>
      </c>
      <c r="D603">
        <v>1</v>
      </c>
      <c r="E603" t="s">
        <v>10</v>
      </c>
      <c r="F603" t="s">
        <v>11</v>
      </c>
      <c r="G603" s="1"/>
      <c r="H603" t="str">
        <f>"3700920143135"</f>
        <v>3700920143135</v>
      </c>
      <c r="J603" t="s">
        <v>726</v>
      </c>
    </row>
    <row r="604" spans="1:10" x14ac:dyDescent="0.25">
      <c r="A604" t="s">
        <v>8</v>
      </c>
      <c r="B604" t="s">
        <v>727</v>
      </c>
      <c r="C604" t="s">
        <v>728</v>
      </c>
      <c r="D604">
        <v>1</v>
      </c>
      <c r="E604" t="s">
        <v>10</v>
      </c>
      <c r="F604" t="s">
        <v>11</v>
      </c>
      <c r="G604" s="1"/>
      <c r="H604" t="str">
        <f>"3700920110359"</f>
        <v>3700920110359</v>
      </c>
      <c r="J604" t="s">
        <v>729</v>
      </c>
    </row>
    <row r="605" spans="1:10" x14ac:dyDescent="0.25">
      <c r="A605" t="s">
        <v>8</v>
      </c>
      <c r="B605" t="s">
        <v>730</v>
      </c>
      <c r="C605" t="s">
        <v>731</v>
      </c>
      <c r="D605">
        <v>1</v>
      </c>
      <c r="E605" t="s">
        <v>10</v>
      </c>
      <c r="F605" t="s">
        <v>11</v>
      </c>
      <c r="G605" s="1"/>
      <c r="H605" t="str">
        <f>"3700920110366"</f>
        <v>3700920110366</v>
      </c>
      <c r="J605" t="s">
        <v>732</v>
      </c>
    </row>
    <row r="606" spans="1:10" x14ac:dyDescent="0.25">
      <c r="A606" t="s">
        <v>8</v>
      </c>
      <c r="B606" t="s">
        <v>733</v>
      </c>
      <c r="C606" t="s">
        <v>725</v>
      </c>
      <c r="D606">
        <v>1</v>
      </c>
      <c r="E606" t="s">
        <v>10</v>
      </c>
      <c r="F606" t="s">
        <v>11</v>
      </c>
      <c r="G606" s="1"/>
      <c r="H606" t="str">
        <f>"3700920113176"</f>
        <v>3700920113176</v>
      </c>
      <c r="J606" t="s">
        <v>734</v>
      </c>
    </row>
    <row r="607" spans="1:10" x14ac:dyDescent="0.25">
      <c r="A607" t="s">
        <v>8</v>
      </c>
      <c r="B607" t="s">
        <v>735</v>
      </c>
      <c r="C607" t="s">
        <v>736</v>
      </c>
      <c r="D607">
        <v>1</v>
      </c>
      <c r="E607" t="s">
        <v>10</v>
      </c>
      <c r="F607" t="s">
        <v>11</v>
      </c>
      <c r="G607" s="1"/>
      <c r="H607" t="str">
        <f>"3700920110373"</f>
        <v>3700920110373</v>
      </c>
      <c r="J607" t="s">
        <v>737</v>
      </c>
    </row>
    <row r="608" spans="1:10" x14ac:dyDescent="0.25">
      <c r="A608" t="s">
        <v>8</v>
      </c>
      <c r="B608" t="s">
        <v>738</v>
      </c>
      <c r="C608" t="s">
        <v>739</v>
      </c>
      <c r="D608">
        <v>1</v>
      </c>
      <c r="E608" t="s">
        <v>10</v>
      </c>
      <c r="F608" t="s">
        <v>11</v>
      </c>
      <c r="G608" s="1"/>
      <c r="H608" t="str">
        <f>"3700920110380"</f>
        <v>3700920110380</v>
      </c>
      <c r="I608" s="1"/>
      <c r="J608" t="s">
        <v>740</v>
      </c>
    </row>
    <row r="609" spans="1:10" x14ac:dyDescent="0.25">
      <c r="A609" t="s">
        <v>8</v>
      </c>
      <c r="B609" t="s">
        <v>741</v>
      </c>
      <c r="C609" t="s">
        <v>742</v>
      </c>
      <c r="D609">
        <v>1</v>
      </c>
      <c r="E609" t="s">
        <v>10</v>
      </c>
      <c r="F609" t="s">
        <v>11</v>
      </c>
      <c r="G609" s="1"/>
      <c r="H609" t="str">
        <f>"3700920110397"</f>
        <v>3700920110397</v>
      </c>
      <c r="I609" s="1"/>
      <c r="J609" t="s">
        <v>743</v>
      </c>
    </row>
    <row r="610" spans="1:10" x14ac:dyDescent="0.25">
      <c r="A610" t="s">
        <v>8</v>
      </c>
      <c r="B610" t="s">
        <v>744</v>
      </c>
      <c r="C610" t="s">
        <v>745</v>
      </c>
      <c r="D610">
        <v>1</v>
      </c>
      <c r="E610" t="s">
        <v>10</v>
      </c>
      <c r="F610" t="s">
        <v>11</v>
      </c>
      <c r="G610" s="1"/>
      <c r="H610" t="str">
        <f>"3700920110403"</f>
        <v>3700920110403</v>
      </c>
      <c r="J610" t="s">
        <v>746</v>
      </c>
    </row>
    <row r="611" spans="1:10" x14ac:dyDescent="0.25">
      <c r="A611" t="s">
        <v>8</v>
      </c>
      <c r="B611" t="s">
        <v>747</v>
      </c>
      <c r="C611" t="s">
        <v>748</v>
      </c>
      <c r="D611">
        <v>1</v>
      </c>
      <c r="E611" t="s">
        <v>10</v>
      </c>
      <c r="F611" t="s">
        <v>11</v>
      </c>
      <c r="G611" s="1"/>
      <c r="H611" t="str">
        <f>"3700920110441"</f>
        <v>3700920110441</v>
      </c>
      <c r="J611" t="s">
        <v>749</v>
      </c>
    </row>
    <row r="612" spans="1:10" x14ac:dyDescent="0.25">
      <c r="A612" t="s">
        <v>8</v>
      </c>
      <c r="B612" t="s">
        <v>750</v>
      </c>
      <c r="C612" t="s">
        <v>751</v>
      </c>
      <c r="D612">
        <v>1</v>
      </c>
      <c r="E612" t="s">
        <v>10</v>
      </c>
      <c r="F612" t="s">
        <v>11</v>
      </c>
      <c r="G612" s="1"/>
      <c r="H612" t="str">
        <f>"3700920110465"</f>
        <v>3700920110465</v>
      </c>
      <c r="J612" t="s">
        <v>752</v>
      </c>
    </row>
    <row r="613" spans="1:10" x14ac:dyDescent="0.25">
      <c r="A613" t="s">
        <v>8</v>
      </c>
      <c r="B613" t="s">
        <v>753</v>
      </c>
      <c r="C613" t="s">
        <v>754</v>
      </c>
      <c r="D613">
        <v>1</v>
      </c>
      <c r="E613" t="s">
        <v>10</v>
      </c>
      <c r="F613" t="s">
        <v>11</v>
      </c>
      <c r="G613" s="1"/>
      <c r="H613" t="str">
        <f>"3700920110472"</f>
        <v>3700920110472</v>
      </c>
      <c r="J613" t="s">
        <v>755</v>
      </c>
    </row>
    <row r="614" spans="1:10" x14ac:dyDescent="0.25">
      <c r="A614" t="s">
        <v>8</v>
      </c>
      <c r="B614" t="s">
        <v>756</v>
      </c>
      <c r="C614" t="s">
        <v>757</v>
      </c>
      <c r="D614">
        <v>1</v>
      </c>
      <c r="E614" t="s">
        <v>10</v>
      </c>
      <c r="F614" t="s">
        <v>11</v>
      </c>
      <c r="G614" s="1"/>
      <c r="H614" t="str">
        <f>"3700920110731"</f>
        <v>3700920110731</v>
      </c>
      <c r="J614" t="s">
        <v>758</v>
      </c>
    </row>
    <row r="615" spans="1:10" x14ac:dyDescent="0.25">
      <c r="A615" t="s">
        <v>8</v>
      </c>
      <c r="B615" t="s">
        <v>759</v>
      </c>
      <c r="C615" t="s">
        <v>760</v>
      </c>
      <c r="D615">
        <v>1</v>
      </c>
      <c r="E615" t="s">
        <v>10</v>
      </c>
      <c r="F615" t="s">
        <v>11</v>
      </c>
      <c r="G615" s="1"/>
      <c r="H615" t="str">
        <f>"3700920104075"</f>
        <v>3700920104075</v>
      </c>
      <c r="J615" t="s">
        <v>761</v>
      </c>
    </row>
    <row r="616" spans="1:10" x14ac:dyDescent="0.25">
      <c r="A616" t="s">
        <v>8</v>
      </c>
      <c r="B616" t="s">
        <v>762</v>
      </c>
      <c r="C616" t="s">
        <v>763</v>
      </c>
      <c r="D616">
        <v>1</v>
      </c>
      <c r="E616" t="s">
        <v>10</v>
      </c>
      <c r="F616" t="s">
        <v>11</v>
      </c>
      <c r="G616" s="1"/>
      <c r="H616" t="str">
        <f>"3700920104082"</f>
        <v>3700920104082</v>
      </c>
      <c r="J616" t="s">
        <v>764</v>
      </c>
    </row>
    <row r="617" spans="1:10" x14ac:dyDescent="0.25">
      <c r="A617" t="s">
        <v>8</v>
      </c>
      <c r="B617" t="s">
        <v>765</v>
      </c>
      <c r="C617" t="s">
        <v>766</v>
      </c>
      <c r="D617">
        <v>1</v>
      </c>
      <c r="E617" t="s">
        <v>10</v>
      </c>
      <c r="F617" t="s">
        <v>11</v>
      </c>
      <c r="G617" s="1"/>
      <c r="H617" t="str">
        <f>"3700920110489"</f>
        <v>3700920110489</v>
      </c>
      <c r="J617" t="s">
        <v>767</v>
      </c>
    </row>
    <row r="618" spans="1:10" x14ac:dyDescent="0.25">
      <c r="A618" t="s">
        <v>8</v>
      </c>
      <c r="B618" t="s">
        <v>768</v>
      </c>
      <c r="C618" t="s">
        <v>769</v>
      </c>
      <c r="D618">
        <v>1</v>
      </c>
      <c r="E618" t="s">
        <v>10</v>
      </c>
      <c r="F618" t="s">
        <v>11</v>
      </c>
      <c r="G618" s="1"/>
      <c r="H618" t="str">
        <f>"3700920110519"</f>
        <v>3700920110519</v>
      </c>
      <c r="J618" t="s">
        <v>770</v>
      </c>
    </row>
    <row r="619" spans="1:10" x14ac:dyDescent="0.25">
      <c r="A619" t="s">
        <v>8</v>
      </c>
      <c r="B619" t="s">
        <v>771</v>
      </c>
      <c r="C619" t="s">
        <v>772</v>
      </c>
      <c r="D619">
        <v>1</v>
      </c>
      <c r="E619" t="s">
        <v>10</v>
      </c>
      <c r="F619" t="s">
        <v>11</v>
      </c>
      <c r="G619" s="1"/>
      <c r="H619" t="str">
        <f>"3700920110533"</f>
        <v>3700920110533</v>
      </c>
      <c r="J619" t="s">
        <v>773</v>
      </c>
    </row>
    <row r="620" spans="1:10" x14ac:dyDescent="0.25">
      <c r="A620" t="s">
        <v>8</v>
      </c>
      <c r="B620" t="s">
        <v>774</v>
      </c>
      <c r="C620" t="s">
        <v>775</v>
      </c>
      <c r="D620">
        <v>1</v>
      </c>
      <c r="E620" t="s">
        <v>10</v>
      </c>
      <c r="F620" t="s">
        <v>11</v>
      </c>
      <c r="G620" s="1"/>
      <c r="H620" t="str">
        <f>"3700920110557"</f>
        <v>3700920110557</v>
      </c>
      <c r="J620" t="s">
        <v>268</v>
      </c>
    </row>
    <row r="621" spans="1:10" x14ac:dyDescent="0.25">
      <c r="A621" t="s">
        <v>8</v>
      </c>
      <c r="B621" t="s">
        <v>776</v>
      </c>
      <c r="C621" t="s">
        <v>777</v>
      </c>
      <c r="D621">
        <v>1</v>
      </c>
      <c r="E621" t="s">
        <v>10</v>
      </c>
      <c r="F621" t="s">
        <v>11</v>
      </c>
      <c r="G621" s="1"/>
      <c r="H621" t="str">
        <f>"3700920110571"</f>
        <v>3700920110571</v>
      </c>
      <c r="J621" t="s">
        <v>130</v>
      </c>
    </row>
    <row r="622" spans="1:10" x14ac:dyDescent="0.25">
      <c r="A622" t="s">
        <v>8</v>
      </c>
      <c r="B622" t="s">
        <v>778</v>
      </c>
      <c r="C622" t="s">
        <v>779</v>
      </c>
      <c r="D622">
        <v>1</v>
      </c>
      <c r="E622" t="s">
        <v>10</v>
      </c>
      <c r="F622" t="s">
        <v>11</v>
      </c>
      <c r="G622" s="1"/>
      <c r="H622" t="str">
        <f>"3700920110595"</f>
        <v>3700920110595</v>
      </c>
      <c r="J622" t="s">
        <v>780</v>
      </c>
    </row>
    <row r="623" spans="1:10" x14ac:dyDescent="0.25">
      <c r="A623" t="s">
        <v>8</v>
      </c>
      <c r="B623" t="s">
        <v>781</v>
      </c>
      <c r="C623" t="s">
        <v>782</v>
      </c>
      <c r="D623">
        <v>1</v>
      </c>
      <c r="E623" t="s">
        <v>10</v>
      </c>
      <c r="F623" t="s">
        <v>11</v>
      </c>
      <c r="G623" s="1"/>
      <c r="H623" t="str">
        <f>"3700920105447"</f>
        <v>3700920105447</v>
      </c>
      <c r="J623" s="1">
        <v>312</v>
      </c>
    </row>
    <row r="624" spans="1:10" x14ac:dyDescent="0.25">
      <c r="A624" t="s">
        <v>8</v>
      </c>
      <c r="B624" t="s">
        <v>783</v>
      </c>
      <c r="C624" t="s">
        <v>784</v>
      </c>
      <c r="D624">
        <v>1</v>
      </c>
      <c r="E624" t="s">
        <v>10</v>
      </c>
      <c r="F624" t="s">
        <v>11</v>
      </c>
      <c r="G624" s="1"/>
      <c r="H624" t="str">
        <f>"3700920106130"</f>
        <v>3700920106130</v>
      </c>
      <c r="J624" s="1">
        <v>156</v>
      </c>
    </row>
    <row r="625" spans="1:10" x14ac:dyDescent="0.25">
      <c r="A625" t="s">
        <v>8</v>
      </c>
      <c r="B625" t="s">
        <v>785</v>
      </c>
      <c r="C625" t="s">
        <v>786</v>
      </c>
      <c r="D625">
        <v>1</v>
      </c>
      <c r="E625" t="s">
        <v>10</v>
      </c>
      <c r="F625" t="s">
        <v>11</v>
      </c>
      <c r="G625" s="1"/>
      <c r="H625" t="str">
        <f>"3700920105454"</f>
        <v>3700920105454</v>
      </c>
      <c r="J625" s="1">
        <v>312</v>
      </c>
    </row>
    <row r="626" spans="1:10" x14ac:dyDescent="0.25">
      <c r="A626" t="s">
        <v>8</v>
      </c>
      <c r="B626" t="s">
        <v>787</v>
      </c>
      <c r="C626" t="s">
        <v>788</v>
      </c>
      <c r="D626">
        <v>1</v>
      </c>
      <c r="E626" t="s">
        <v>10</v>
      </c>
      <c r="F626" t="s">
        <v>11</v>
      </c>
      <c r="G626" s="1"/>
      <c r="H626" t="str">
        <f>"3700920106147"</f>
        <v>3700920106147</v>
      </c>
      <c r="J626" s="1">
        <v>156</v>
      </c>
    </row>
    <row r="627" spans="1:10" x14ac:dyDescent="0.25">
      <c r="A627" t="s">
        <v>8</v>
      </c>
      <c r="B627" t="s">
        <v>789</v>
      </c>
      <c r="C627" t="s">
        <v>790</v>
      </c>
      <c r="D627">
        <v>1</v>
      </c>
      <c r="E627" t="s">
        <v>10</v>
      </c>
      <c r="F627" t="s">
        <v>11</v>
      </c>
      <c r="G627" s="1"/>
      <c r="H627" t="str">
        <f>"3700920106192"</f>
        <v>3700920106192</v>
      </c>
      <c r="J627" t="s">
        <v>222</v>
      </c>
    </row>
    <row r="628" spans="1:10" x14ac:dyDescent="0.25">
      <c r="A628" t="s">
        <v>8</v>
      </c>
      <c r="B628" t="s">
        <v>791</v>
      </c>
      <c r="C628" t="s">
        <v>792</v>
      </c>
      <c r="D628">
        <v>1</v>
      </c>
      <c r="E628" t="s">
        <v>10</v>
      </c>
      <c r="F628" t="s">
        <v>11</v>
      </c>
      <c r="G628" s="1"/>
      <c r="H628" t="str">
        <f>"3700920105461"</f>
        <v>3700920105461</v>
      </c>
      <c r="J628" t="s">
        <v>793</v>
      </c>
    </row>
    <row r="629" spans="1:10" x14ac:dyDescent="0.25">
      <c r="A629" t="s">
        <v>8</v>
      </c>
      <c r="B629" t="s">
        <v>794</v>
      </c>
      <c r="C629" t="s">
        <v>795</v>
      </c>
      <c r="D629">
        <v>1</v>
      </c>
      <c r="E629" t="s">
        <v>10</v>
      </c>
      <c r="F629" t="s">
        <v>11</v>
      </c>
      <c r="G629" s="1"/>
      <c r="H629" t="str">
        <f>"3700920106154"</f>
        <v>3700920106154</v>
      </c>
      <c r="J629" t="s">
        <v>796</v>
      </c>
    </row>
    <row r="630" spans="1:10" x14ac:dyDescent="0.25">
      <c r="A630" t="s">
        <v>8</v>
      </c>
      <c r="B630" t="s">
        <v>797</v>
      </c>
      <c r="C630" t="s">
        <v>798</v>
      </c>
      <c r="D630">
        <v>1</v>
      </c>
      <c r="E630" t="s">
        <v>10</v>
      </c>
      <c r="F630" t="s">
        <v>11</v>
      </c>
      <c r="G630" s="1"/>
      <c r="H630" t="str">
        <f>"3700920105478"</f>
        <v>3700920105478</v>
      </c>
      <c r="J630" t="s">
        <v>793</v>
      </c>
    </row>
    <row r="631" spans="1:10" x14ac:dyDescent="0.25">
      <c r="A631" t="s">
        <v>8</v>
      </c>
      <c r="B631" t="s">
        <v>799</v>
      </c>
      <c r="C631" t="s">
        <v>800</v>
      </c>
      <c r="D631">
        <v>1</v>
      </c>
      <c r="E631" t="s">
        <v>10</v>
      </c>
      <c r="F631" t="s">
        <v>11</v>
      </c>
      <c r="G631" s="1"/>
      <c r="H631" t="str">
        <f>"3700920106161"</f>
        <v>3700920106161</v>
      </c>
      <c r="J631" t="s">
        <v>796</v>
      </c>
    </row>
    <row r="632" spans="1:10" x14ac:dyDescent="0.25">
      <c r="A632" t="s">
        <v>8</v>
      </c>
      <c r="B632" t="s">
        <v>801</v>
      </c>
      <c r="C632" t="s">
        <v>790</v>
      </c>
      <c r="D632">
        <v>1</v>
      </c>
      <c r="E632" t="s">
        <v>10</v>
      </c>
      <c r="F632" t="s">
        <v>11</v>
      </c>
      <c r="G632" s="1"/>
      <c r="H632" t="str">
        <f>"3700920106185"</f>
        <v>3700920106185</v>
      </c>
      <c r="J632" t="s">
        <v>222</v>
      </c>
    </row>
    <row r="633" spans="1:10" x14ac:dyDescent="0.25">
      <c r="A633" t="s">
        <v>8</v>
      </c>
      <c r="B633" t="s">
        <v>802</v>
      </c>
      <c r="C633" t="s">
        <v>803</v>
      </c>
      <c r="D633">
        <v>1</v>
      </c>
      <c r="E633" t="s">
        <v>10</v>
      </c>
      <c r="F633" t="s">
        <v>11</v>
      </c>
      <c r="G633" s="1"/>
      <c r="H633" t="str">
        <f>"3700920105485"</f>
        <v>3700920105485</v>
      </c>
      <c r="J633" t="s">
        <v>804</v>
      </c>
    </row>
    <row r="634" spans="1:10" x14ac:dyDescent="0.25">
      <c r="A634" t="s">
        <v>8</v>
      </c>
      <c r="B634" t="s">
        <v>805</v>
      </c>
      <c r="C634" t="s">
        <v>806</v>
      </c>
      <c r="D634">
        <v>1</v>
      </c>
      <c r="E634" t="s">
        <v>10</v>
      </c>
      <c r="F634" t="s">
        <v>11</v>
      </c>
      <c r="G634" s="1"/>
      <c r="H634" t="str">
        <f>"3700920106208"</f>
        <v>3700920106208</v>
      </c>
      <c r="J634" t="s">
        <v>807</v>
      </c>
    </row>
    <row r="635" spans="1:10" x14ac:dyDescent="0.25">
      <c r="A635" t="s">
        <v>8</v>
      </c>
      <c r="B635" t="s">
        <v>808</v>
      </c>
      <c r="C635" t="s">
        <v>809</v>
      </c>
      <c r="D635">
        <v>1</v>
      </c>
      <c r="E635" t="s">
        <v>10</v>
      </c>
      <c r="F635" t="s">
        <v>11</v>
      </c>
      <c r="G635" s="1"/>
      <c r="H635" t="str">
        <f>"3700920105492"</f>
        <v>3700920105492</v>
      </c>
      <c r="J635" t="s">
        <v>804</v>
      </c>
    </row>
    <row r="636" spans="1:10" x14ac:dyDescent="0.25">
      <c r="A636" t="s">
        <v>8</v>
      </c>
      <c r="B636" t="s">
        <v>810</v>
      </c>
      <c r="C636" t="s">
        <v>811</v>
      </c>
      <c r="D636">
        <v>1</v>
      </c>
      <c r="E636" t="s">
        <v>10</v>
      </c>
      <c r="F636" t="s">
        <v>11</v>
      </c>
      <c r="G636" s="1"/>
      <c r="H636" t="str">
        <f>"3700920106123"</f>
        <v>3700920106123</v>
      </c>
      <c r="J636" t="s">
        <v>807</v>
      </c>
    </row>
    <row r="637" spans="1:10" x14ac:dyDescent="0.25">
      <c r="A637" t="s">
        <v>8</v>
      </c>
      <c r="B637" t="s">
        <v>812</v>
      </c>
      <c r="C637" t="s">
        <v>790</v>
      </c>
      <c r="D637">
        <v>1</v>
      </c>
      <c r="E637" t="s">
        <v>10</v>
      </c>
      <c r="F637" t="s">
        <v>11</v>
      </c>
      <c r="G637" s="1"/>
      <c r="H637" t="str">
        <f>"3700920110748"</f>
        <v>3700920110748</v>
      </c>
      <c r="J637" t="s">
        <v>222</v>
      </c>
    </row>
    <row r="638" spans="1:10" x14ac:dyDescent="0.25">
      <c r="A638" t="s">
        <v>8</v>
      </c>
      <c r="B638" t="s">
        <v>813</v>
      </c>
      <c r="C638" t="s">
        <v>814</v>
      </c>
      <c r="D638">
        <v>1</v>
      </c>
      <c r="E638" t="s">
        <v>10</v>
      </c>
      <c r="F638" t="s">
        <v>11</v>
      </c>
      <c r="G638" s="1"/>
      <c r="H638" t="str">
        <f>"3700920108790"</f>
        <v>3700920108790</v>
      </c>
      <c r="J638" t="s">
        <v>815</v>
      </c>
    </row>
    <row r="639" spans="1:10" x14ac:dyDescent="0.25">
      <c r="A639" t="s">
        <v>8</v>
      </c>
      <c r="B639" t="s">
        <v>816</v>
      </c>
      <c r="C639" t="s">
        <v>817</v>
      </c>
      <c r="D639">
        <v>1</v>
      </c>
      <c r="E639" t="s">
        <v>10</v>
      </c>
      <c r="F639" t="s">
        <v>11</v>
      </c>
      <c r="G639" s="1"/>
      <c r="H639" t="str">
        <f>"3700920108783"</f>
        <v>3700920108783</v>
      </c>
      <c r="I639" s="1"/>
      <c r="J639" t="s">
        <v>496</v>
      </c>
    </row>
    <row r="640" spans="1:10" x14ac:dyDescent="0.25">
      <c r="A640" t="s">
        <v>8</v>
      </c>
      <c r="B640" t="s">
        <v>818</v>
      </c>
      <c r="C640" t="s">
        <v>819</v>
      </c>
      <c r="D640">
        <v>1</v>
      </c>
      <c r="E640" t="s">
        <v>10</v>
      </c>
      <c r="F640" t="s">
        <v>11</v>
      </c>
      <c r="G640" s="1"/>
      <c r="H640" t="str">
        <f>"3700920113183"</f>
        <v>3700920113183</v>
      </c>
      <c r="I640" s="1"/>
      <c r="J640" t="s">
        <v>26</v>
      </c>
    </row>
    <row r="641" spans="1:10" x14ac:dyDescent="0.25">
      <c r="A641" t="s">
        <v>8</v>
      </c>
      <c r="B641" t="s">
        <v>820</v>
      </c>
      <c r="C641" t="s">
        <v>821</v>
      </c>
      <c r="D641">
        <v>1</v>
      </c>
      <c r="E641" t="s">
        <v>10</v>
      </c>
      <c r="F641" t="s">
        <v>11</v>
      </c>
      <c r="G641" s="1"/>
      <c r="H641" t="str">
        <f>"3700920113190"</f>
        <v>3700920113190</v>
      </c>
      <c r="I641" s="1"/>
      <c r="J641" t="s">
        <v>26</v>
      </c>
    </row>
    <row r="642" spans="1:10" x14ac:dyDescent="0.25">
      <c r="A642" t="s">
        <v>8</v>
      </c>
      <c r="B642" t="s">
        <v>822</v>
      </c>
      <c r="C642" t="s">
        <v>823</v>
      </c>
      <c r="D642">
        <v>1</v>
      </c>
      <c r="E642" t="s">
        <v>10</v>
      </c>
      <c r="F642" t="s">
        <v>11</v>
      </c>
      <c r="G642" s="1"/>
      <c r="H642" t="str">
        <f>"3700920113206"</f>
        <v>3700920113206</v>
      </c>
      <c r="J642" t="s">
        <v>824</v>
      </c>
    </row>
    <row r="643" spans="1:10" x14ac:dyDescent="0.25">
      <c r="A643" t="s">
        <v>8</v>
      </c>
      <c r="B643" t="s">
        <v>825</v>
      </c>
      <c r="C643" t="s">
        <v>826</v>
      </c>
      <c r="D643">
        <v>1</v>
      </c>
      <c r="E643" t="s">
        <v>10</v>
      </c>
      <c r="F643" t="s">
        <v>11</v>
      </c>
      <c r="G643" s="1"/>
      <c r="H643" t="str">
        <f>"3700920106178"</f>
        <v>3700920106178</v>
      </c>
      <c r="J643" t="s">
        <v>827</v>
      </c>
    </row>
    <row r="644" spans="1:10" x14ac:dyDescent="0.25">
      <c r="A644" t="s">
        <v>8</v>
      </c>
      <c r="B644" t="s">
        <v>828</v>
      </c>
      <c r="C644" t="s">
        <v>829</v>
      </c>
      <c r="D644">
        <v>1</v>
      </c>
      <c r="E644" t="s">
        <v>10</v>
      </c>
      <c r="F644" t="s">
        <v>11</v>
      </c>
      <c r="G644" s="1"/>
      <c r="H644" t="str">
        <f>"3700920105928"</f>
        <v>3700920105928</v>
      </c>
      <c r="J644" t="s">
        <v>830</v>
      </c>
    </row>
    <row r="645" spans="1:10" x14ac:dyDescent="0.25">
      <c r="A645" t="s">
        <v>8</v>
      </c>
      <c r="B645" t="s">
        <v>831</v>
      </c>
      <c r="C645" t="s">
        <v>790</v>
      </c>
      <c r="D645">
        <v>1</v>
      </c>
      <c r="E645" t="s">
        <v>10</v>
      </c>
      <c r="F645" t="s">
        <v>11</v>
      </c>
      <c r="G645" s="1"/>
      <c r="H645" t="str">
        <f>"3700920113213"</f>
        <v>3700920113213</v>
      </c>
      <c r="J645" t="s">
        <v>222</v>
      </c>
    </row>
    <row r="646" spans="1:10" x14ac:dyDescent="0.25">
      <c r="A646" t="s">
        <v>8</v>
      </c>
      <c r="B646" t="s">
        <v>832</v>
      </c>
      <c r="C646" t="s">
        <v>833</v>
      </c>
      <c r="D646">
        <v>1</v>
      </c>
      <c r="E646" t="s">
        <v>10</v>
      </c>
      <c r="F646" t="s">
        <v>11</v>
      </c>
      <c r="G646" s="1"/>
      <c r="H646" t="str">
        <f>"3700920113220"</f>
        <v>3700920113220</v>
      </c>
      <c r="J646" t="s">
        <v>659</v>
      </c>
    </row>
    <row r="647" spans="1:10" x14ac:dyDescent="0.25">
      <c r="A647" t="s">
        <v>8</v>
      </c>
      <c r="B647" t="s">
        <v>834</v>
      </c>
      <c r="C647" t="s">
        <v>835</v>
      </c>
      <c r="D647">
        <v>1</v>
      </c>
      <c r="E647" t="s">
        <v>10</v>
      </c>
      <c r="F647" t="s">
        <v>11</v>
      </c>
      <c r="G647" s="1"/>
      <c r="H647" t="str">
        <f>"3700920113237"</f>
        <v>3700920113237</v>
      </c>
      <c r="J647" t="s">
        <v>836</v>
      </c>
    </row>
    <row r="648" spans="1:10" x14ac:dyDescent="0.25">
      <c r="A648" t="s">
        <v>8</v>
      </c>
      <c r="B648" t="s">
        <v>837</v>
      </c>
      <c r="C648" t="s">
        <v>838</v>
      </c>
      <c r="D648">
        <v>1</v>
      </c>
      <c r="E648" t="s">
        <v>10</v>
      </c>
      <c r="F648" t="s">
        <v>11</v>
      </c>
      <c r="G648" s="1"/>
      <c r="H648" t="str">
        <f>"3700920113244"</f>
        <v>3700920113244</v>
      </c>
      <c r="J648" t="s">
        <v>839</v>
      </c>
    </row>
    <row r="649" spans="1:10" x14ac:dyDescent="0.25">
      <c r="A649" t="s">
        <v>8</v>
      </c>
      <c r="B649" t="s">
        <v>840</v>
      </c>
      <c r="C649" t="s">
        <v>841</v>
      </c>
      <c r="D649">
        <v>1</v>
      </c>
      <c r="E649" t="s">
        <v>10</v>
      </c>
      <c r="F649" t="s">
        <v>11</v>
      </c>
      <c r="G649" s="1"/>
      <c r="H649" t="str">
        <f>"3700920113251"</f>
        <v>3700920113251</v>
      </c>
      <c r="J649" t="s">
        <v>842</v>
      </c>
    </row>
    <row r="650" spans="1:10" x14ac:dyDescent="0.25">
      <c r="A650" t="s">
        <v>8</v>
      </c>
      <c r="B650" t="s">
        <v>843</v>
      </c>
      <c r="C650" t="s">
        <v>844</v>
      </c>
      <c r="D650">
        <v>1</v>
      </c>
      <c r="E650" t="s">
        <v>10</v>
      </c>
      <c r="F650" t="s">
        <v>11</v>
      </c>
      <c r="G650" s="1"/>
      <c r="H650" t="str">
        <f>"3700920113268"</f>
        <v>3700920113268</v>
      </c>
      <c r="I650" s="1"/>
      <c r="J650" t="s">
        <v>845</v>
      </c>
    </row>
    <row r="651" spans="1:10" x14ac:dyDescent="0.25">
      <c r="A651" t="s">
        <v>8</v>
      </c>
      <c r="B651" t="s">
        <v>846</v>
      </c>
      <c r="C651" t="s">
        <v>847</v>
      </c>
      <c r="D651">
        <v>1</v>
      </c>
      <c r="E651" t="s">
        <v>10</v>
      </c>
      <c r="F651" t="s">
        <v>11</v>
      </c>
      <c r="G651" s="1"/>
      <c r="H651" t="str">
        <f>"3700920113275"</f>
        <v>3700920113275</v>
      </c>
      <c r="J651" t="s">
        <v>848</v>
      </c>
    </row>
    <row r="652" spans="1:10" x14ac:dyDescent="0.25">
      <c r="A652" t="s">
        <v>8</v>
      </c>
      <c r="B652" t="s">
        <v>849</v>
      </c>
      <c r="C652" t="s">
        <v>850</v>
      </c>
      <c r="D652">
        <v>1</v>
      </c>
      <c r="E652" t="s">
        <v>10</v>
      </c>
      <c r="F652" t="s">
        <v>11</v>
      </c>
      <c r="G652" s="1"/>
      <c r="H652" t="str">
        <f>"3700920113282"</f>
        <v>3700920113282</v>
      </c>
      <c r="J652" t="s">
        <v>848</v>
      </c>
    </row>
    <row r="653" spans="1:10" x14ac:dyDescent="0.25">
      <c r="A653" t="s">
        <v>8</v>
      </c>
      <c r="B653" t="s">
        <v>851</v>
      </c>
      <c r="C653" t="s">
        <v>852</v>
      </c>
      <c r="D653">
        <v>1</v>
      </c>
      <c r="E653" t="s">
        <v>10</v>
      </c>
      <c r="F653" t="s">
        <v>11</v>
      </c>
      <c r="G653" s="1"/>
      <c r="H653" t="str">
        <f>"3700920113299"</f>
        <v>3700920113299</v>
      </c>
      <c r="J653" t="s">
        <v>848</v>
      </c>
    </row>
    <row r="654" spans="1:10" x14ac:dyDescent="0.25">
      <c r="A654" t="s">
        <v>8</v>
      </c>
      <c r="B654" t="s">
        <v>853</v>
      </c>
      <c r="C654" t="s">
        <v>854</v>
      </c>
      <c r="D654">
        <v>1</v>
      </c>
      <c r="E654" t="s">
        <v>10</v>
      </c>
      <c r="F654" t="s">
        <v>11</v>
      </c>
      <c r="G654" s="1"/>
      <c r="H654" t="str">
        <f>"3700920113305"</f>
        <v>3700920113305</v>
      </c>
      <c r="J654" t="s">
        <v>848</v>
      </c>
    </row>
    <row r="655" spans="1:10" x14ac:dyDescent="0.25">
      <c r="A655" t="s">
        <v>8</v>
      </c>
      <c r="B655" t="s">
        <v>855</v>
      </c>
      <c r="C655" t="s">
        <v>856</v>
      </c>
      <c r="D655">
        <v>1</v>
      </c>
      <c r="E655" t="s">
        <v>10</v>
      </c>
      <c r="F655" t="s">
        <v>11</v>
      </c>
      <c r="G655" s="1"/>
      <c r="H655" t="str">
        <f>"3700920113312"</f>
        <v>3700920113312</v>
      </c>
      <c r="J655" t="s">
        <v>848</v>
      </c>
    </row>
    <row r="656" spans="1:10" x14ac:dyDescent="0.25">
      <c r="A656" t="s">
        <v>8</v>
      </c>
      <c r="B656" t="s">
        <v>857</v>
      </c>
      <c r="C656" t="s">
        <v>858</v>
      </c>
      <c r="D656">
        <v>1</v>
      </c>
      <c r="E656" t="s">
        <v>10</v>
      </c>
      <c r="F656" t="s">
        <v>11</v>
      </c>
      <c r="G656" s="1"/>
      <c r="H656" t="str">
        <f>"3700920113329"</f>
        <v>3700920113329</v>
      </c>
      <c r="J656" t="s">
        <v>848</v>
      </c>
    </row>
    <row r="657" spans="1:10" x14ac:dyDescent="0.25">
      <c r="A657" t="s">
        <v>8</v>
      </c>
      <c r="B657" t="s">
        <v>859</v>
      </c>
      <c r="C657" t="s">
        <v>860</v>
      </c>
      <c r="D657">
        <v>1</v>
      </c>
      <c r="E657" t="s">
        <v>10</v>
      </c>
      <c r="F657" t="s">
        <v>11</v>
      </c>
      <c r="G657" s="1"/>
      <c r="H657" t="str">
        <f>"3700920110762"</f>
        <v>3700920110762</v>
      </c>
      <c r="J657" t="s">
        <v>861</v>
      </c>
    </row>
    <row r="658" spans="1:10" x14ac:dyDescent="0.25">
      <c r="A658" t="s">
        <v>8</v>
      </c>
      <c r="B658">
        <v>6010050</v>
      </c>
      <c r="C658" t="s">
        <v>862</v>
      </c>
      <c r="D658">
        <v>1</v>
      </c>
      <c r="E658" t="s">
        <v>10</v>
      </c>
      <c r="F658" t="s">
        <v>11</v>
      </c>
      <c r="G658" s="1"/>
      <c r="H658" t="str">
        <f>"3700920110922"</f>
        <v>3700920110922</v>
      </c>
      <c r="J658" t="s">
        <v>863</v>
      </c>
    </row>
    <row r="659" spans="1:10" x14ac:dyDescent="0.25">
      <c r="A659" t="s">
        <v>8</v>
      </c>
      <c r="B659">
        <v>6010060</v>
      </c>
      <c r="C659" t="s">
        <v>864</v>
      </c>
      <c r="D659">
        <v>1</v>
      </c>
      <c r="E659" t="s">
        <v>10</v>
      </c>
      <c r="F659" t="s">
        <v>11</v>
      </c>
      <c r="G659" s="1"/>
      <c r="H659" t="str">
        <f>"3700920113336"</f>
        <v>3700920113336</v>
      </c>
      <c r="J659" t="s">
        <v>865</v>
      </c>
    </row>
    <row r="660" spans="1:10" x14ac:dyDescent="0.25">
      <c r="A660" t="s">
        <v>8</v>
      </c>
      <c r="B660">
        <v>6010100</v>
      </c>
      <c r="C660" t="s">
        <v>866</v>
      </c>
      <c r="D660">
        <v>1</v>
      </c>
      <c r="E660" t="s">
        <v>10</v>
      </c>
      <c r="F660" t="s">
        <v>11</v>
      </c>
      <c r="G660" s="1"/>
      <c r="H660" t="str">
        <f>"3700920113343"</f>
        <v>3700920113343</v>
      </c>
      <c r="J660" s="1">
        <v>375</v>
      </c>
    </row>
    <row r="661" spans="1:10" x14ac:dyDescent="0.25">
      <c r="A661" t="s">
        <v>8</v>
      </c>
      <c r="B661">
        <v>6011011</v>
      </c>
      <c r="C661" t="s">
        <v>867</v>
      </c>
      <c r="D661">
        <v>1</v>
      </c>
      <c r="E661" t="s">
        <v>10</v>
      </c>
      <c r="F661" t="s">
        <v>11</v>
      </c>
      <c r="G661" s="1"/>
      <c r="H661" t="str">
        <f>"3700920115064"</f>
        <v>3700920115064</v>
      </c>
      <c r="J661" t="s">
        <v>868</v>
      </c>
    </row>
    <row r="662" spans="1:10" x14ac:dyDescent="0.25">
      <c r="A662" t="s">
        <v>8</v>
      </c>
      <c r="B662">
        <v>6011013</v>
      </c>
      <c r="C662" t="s">
        <v>869</v>
      </c>
      <c r="D662">
        <v>1</v>
      </c>
      <c r="E662" t="s">
        <v>10</v>
      </c>
      <c r="F662" t="s">
        <v>11</v>
      </c>
      <c r="G662" s="1"/>
      <c r="H662" t="str">
        <f>"3700920115071"</f>
        <v>3700920115071</v>
      </c>
      <c r="J662" t="s">
        <v>98</v>
      </c>
    </row>
    <row r="663" spans="1:10" x14ac:dyDescent="0.25">
      <c r="A663" t="s">
        <v>8</v>
      </c>
      <c r="B663">
        <v>6011016</v>
      </c>
      <c r="C663" t="s">
        <v>870</v>
      </c>
      <c r="D663">
        <v>1</v>
      </c>
      <c r="E663" t="s">
        <v>10</v>
      </c>
      <c r="F663" t="s">
        <v>11</v>
      </c>
      <c r="G663" s="1"/>
      <c r="H663" t="str">
        <f>"3700920115088"</f>
        <v>3700920115088</v>
      </c>
      <c r="J663" t="s">
        <v>98</v>
      </c>
    </row>
    <row r="664" spans="1:10" x14ac:dyDescent="0.25">
      <c r="A664" t="s">
        <v>8</v>
      </c>
      <c r="B664">
        <v>6011401</v>
      </c>
      <c r="C664" t="s">
        <v>871</v>
      </c>
      <c r="D664">
        <v>1</v>
      </c>
      <c r="E664" t="s">
        <v>10</v>
      </c>
      <c r="F664" t="s">
        <v>11</v>
      </c>
      <c r="G664" s="1"/>
      <c r="H664" t="str">
        <f>"3700920115101"</f>
        <v>3700920115101</v>
      </c>
      <c r="J664" t="s">
        <v>577</v>
      </c>
    </row>
    <row r="665" spans="1:10" x14ac:dyDescent="0.25">
      <c r="A665" t="s">
        <v>8</v>
      </c>
      <c r="B665">
        <v>6011403</v>
      </c>
      <c r="C665" t="s">
        <v>872</v>
      </c>
      <c r="D665">
        <v>1</v>
      </c>
      <c r="E665" t="s">
        <v>10</v>
      </c>
      <c r="F665" t="s">
        <v>11</v>
      </c>
      <c r="G665" s="1"/>
      <c r="H665" t="str">
        <f>"3700920115118"</f>
        <v>3700920115118</v>
      </c>
      <c r="J665" t="s">
        <v>602</v>
      </c>
    </row>
    <row r="666" spans="1:10" x14ac:dyDescent="0.25">
      <c r="A666" t="s">
        <v>8</v>
      </c>
      <c r="B666">
        <v>6011406</v>
      </c>
      <c r="C666" t="s">
        <v>873</v>
      </c>
      <c r="D666">
        <v>1</v>
      </c>
      <c r="E666" t="s">
        <v>10</v>
      </c>
      <c r="F666" t="s">
        <v>11</v>
      </c>
      <c r="G666" s="1"/>
      <c r="H666" t="str">
        <f>"3700920115125"</f>
        <v>3700920115125</v>
      </c>
      <c r="J666" t="s">
        <v>602</v>
      </c>
    </row>
    <row r="667" spans="1:10" x14ac:dyDescent="0.25">
      <c r="A667" t="s">
        <v>8</v>
      </c>
      <c r="B667">
        <v>6011453</v>
      </c>
      <c r="C667" t="s">
        <v>874</v>
      </c>
      <c r="D667">
        <v>1</v>
      </c>
      <c r="E667" t="s">
        <v>10</v>
      </c>
      <c r="F667" t="s">
        <v>11</v>
      </c>
      <c r="G667" s="1"/>
      <c r="H667" t="str">
        <f>"3700920115132"</f>
        <v>3700920115132</v>
      </c>
      <c r="J667" s="1">
        <v>111</v>
      </c>
    </row>
    <row r="668" spans="1:10" x14ac:dyDescent="0.25">
      <c r="A668" t="s">
        <v>8</v>
      </c>
      <c r="B668">
        <v>6011456</v>
      </c>
      <c r="C668" t="s">
        <v>875</v>
      </c>
      <c r="D668">
        <v>1</v>
      </c>
      <c r="E668" t="s">
        <v>10</v>
      </c>
      <c r="F668" t="s">
        <v>11</v>
      </c>
      <c r="G668" s="1"/>
      <c r="H668" t="str">
        <f>"3700920115149"</f>
        <v>3700920115149</v>
      </c>
      <c r="J668" s="1">
        <v>111</v>
      </c>
    </row>
    <row r="669" spans="1:10" x14ac:dyDescent="0.25">
      <c r="A669" t="s">
        <v>8</v>
      </c>
      <c r="B669">
        <v>6011500</v>
      </c>
      <c r="C669" t="s">
        <v>876</v>
      </c>
      <c r="D669">
        <v>1</v>
      </c>
      <c r="E669" t="s">
        <v>10</v>
      </c>
      <c r="F669" t="s">
        <v>11</v>
      </c>
      <c r="G669" s="1"/>
      <c r="H669" t="str">
        <f>"3700920145443"</f>
        <v>3700920145443</v>
      </c>
      <c r="J669" t="s">
        <v>877</v>
      </c>
    </row>
    <row r="670" spans="1:10" x14ac:dyDescent="0.25">
      <c r="A670" t="s">
        <v>8</v>
      </c>
      <c r="B670">
        <v>6011501</v>
      </c>
      <c r="C670" t="s">
        <v>878</v>
      </c>
      <c r="D670">
        <v>1</v>
      </c>
      <c r="E670" t="s">
        <v>10</v>
      </c>
      <c r="F670" t="s">
        <v>11</v>
      </c>
      <c r="G670" s="1"/>
      <c r="H670" t="str">
        <f>"3700920115286"</f>
        <v>3700920115286</v>
      </c>
      <c r="J670" t="s">
        <v>877</v>
      </c>
    </row>
    <row r="671" spans="1:10" x14ac:dyDescent="0.25">
      <c r="A671" t="s">
        <v>8</v>
      </c>
      <c r="B671">
        <v>6011503</v>
      </c>
      <c r="C671" t="s">
        <v>879</v>
      </c>
      <c r="D671">
        <v>1</v>
      </c>
      <c r="E671" t="s">
        <v>10</v>
      </c>
      <c r="F671" t="s">
        <v>11</v>
      </c>
      <c r="G671" s="1"/>
      <c r="H671" t="str">
        <f>"3700920115293"</f>
        <v>3700920115293</v>
      </c>
      <c r="J671" t="s">
        <v>880</v>
      </c>
    </row>
    <row r="672" spans="1:10" x14ac:dyDescent="0.25">
      <c r="A672" t="s">
        <v>8</v>
      </c>
      <c r="B672">
        <v>6011504</v>
      </c>
      <c r="C672" t="s">
        <v>881</v>
      </c>
      <c r="D672">
        <v>1</v>
      </c>
      <c r="E672" t="s">
        <v>10</v>
      </c>
      <c r="F672" t="s">
        <v>11</v>
      </c>
      <c r="G672" s="1"/>
      <c r="H672" t="str">
        <f>"3700920145344"</f>
        <v>3700920145344</v>
      </c>
      <c r="J672" t="s">
        <v>880</v>
      </c>
    </row>
    <row r="673" spans="1:10" x14ac:dyDescent="0.25">
      <c r="A673" t="s">
        <v>8</v>
      </c>
      <c r="B673">
        <v>6011506</v>
      </c>
      <c r="C673" t="s">
        <v>882</v>
      </c>
      <c r="D673">
        <v>1</v>
      </c>
      <c r="E673" t="s">
        <v>10</v>
      </c>
      <c r="F673" t="s">
        <v>11</v>
      </c>
      <c r="G673" s="1"/>
      <c r="H673" t="str">
        <f>"3700920115309"</f>
        <v>3700920115309</v>
      </c>
      <c r="J673" t="s">
        <v>880</v>
      </c>
    </row>
    <row r="674" spans="1:10" x14ac:dyDescent="0.25">
      <c r="A674" t="s">
        <v>8</v>
      </c>
      <c r="B674">
        <v>6011600</v>
      </c>
      <c r="C674" t="s">
        <v>883</v>
      </c>
      <c r="D674">
        <v>1</v>
      </c>
      <c r="E674" t="s">
        <v>10</v>
      </c>
      <c r="F674" t="s">
        <v>11</v>
      </c>
      <c r="G674" s="1"/>
      <c r="H674" t="str">
        <f>"3700920145351"</f>
        <v>3700920145351</v>
      </c>
      <c r="J674" t="s">
        <v>884</v>
      </c>
    </row>
    <row r="675" spans="1:10" x14ac:dyDescent="0.25">
      <c r="A675" t="s">
        <v>8</v>
      </c>
      <c r="B675">
        <v>6011601</v>
      </c>
      <c r="C675" t="s">
        <v>885</v>
      </c>
      <c r="D675">
        <v>1</v>
      </c>
      <c r="E675" t="s">
        <v>10</v>
      </c>
      <c r="F675" t="s">
        <v>11</v>
      </c>
      <c r="G675" s="1"/>
      <c r="H675" t="str">
        <f>"3700920145375"</f>
        <v>3700920145375</v>
      </c>
      <c r="J675" t="s">
        <v>884</v>
      </c>
    </row>
    <row r="676" spans="1:10" x14ac:dyDescent="0.25">
      <c r="A676" t="s">
        <v>8</v>
      </c>
      <c r="B676">
        <v>6011603</v>
      </c>
      <c r="C676" t="s">
        <v>886</v>
      </c>
      <c r="D676">
        <v>1</v>
      </c>
      <c r="E676" t="s">
        <v>10</v>
      </c>
      <c r="F676" t="s">
        <v>11</v>
      </c>
      <c r="G676" s="1"/>
      <c r="H676" t="str">
        <f>"3700920145368"</f>
        <v>3700920145368</v>
      </c>
      <c r="J676" s="1">
        <v>144</v>
      </c>
    </row>
    <row r="677" spans="1:10" x14ac:dyDescent="0.25">
      <c r="A677" t="s">
        <v>8</v>
      </c>
      <c r="B677">
        <v>6011604</v>
      </c>
      <c r="C677" t="s">
        <v>887</v>
      </c>
      <c r="D677">
        <v>1</v>
      </c>
      <c r="E677" t="s">
        <v>10</v>
      </c>
      <c r="F677" t="s">
        <v>11</v>
      </c>
      <c r="G677" s="1"/>
      <c r="H677" t="str">
        <f>"3700920145399"</f>
        <v>3700920145399</v>
      </c>
      <c r="J677" s="1">
        <v>144</v>
      </c>
    </row>
    <row r="678" spans="1:10" x14ac:dyDescent="0.25">
      <c r="A678" t="s">
        <v>8</v>
      </c>
      <c r="B678">
        <v>6011606</v>
      </c>
      <c r="C678" t="s">
        <v>888</v>
      </c>
      <c r="D678">
        <v>1</v>
      </c>
      <c r="E678" t="s">
        <v>10</v>
      </c>
      <c r="F678" t="s">
        <v>11</v>
      </c>
      <c r="G678" s="1"/>
      <c r="H678" t="str">
        <f>"3700920145382"</f>
        <v>3700920145382</v>
      </c>
      <c r="J678" s="1">
        <v>144</v>
      </c>
    </row>
    <row r="679" spans="1:10" x14ac:dyDescent="0.25">
      <c r="A679" t="s">
        <v>8</v>
      </c>
      <c r="B679">
        <v>6011701</v>
      </c>
      <c r="C679" t="s">
        <v>889</v>
      </c>
      <c r="D679">
        <v>1</v>
      </c>
      <c r="E679" t="s">
        <v>10</v>
      </c>
      <c r="F679" t="s">
        <v>11</v>
      </c>
      <c r="G679" s="1"/>
      <c r="H679" t="str">
        <f>"3700920145412"</f>
        <v>3700920145412</v>
      </c>
      <c r="J679" t="s">
        <v>880</v>
      </c>
    </row>
    <row r="680" spans="1:10" x14ac:dyDescent="0.25">
      <c r="A680" t="s">
        <v>8</v>
      </c>
      <c r="B680">
        <v>6011802</v>
      </c>
      <c r="C680" t="s">
        <v>889</v>
      </c>
      <c r="D680">
        <v>1</v>
      </c>
      <c r="E680" t="s">
        <v>10</v>
      </c>
      <c r="F680" t="s">
        <v>11</v>
      </c>
      <c r="G680" s="1"/>
      <c r="H680" t="str">
        <f>"3700920145436"</f>
        <v>3700920145436</v>
      </c>
      <c r="J680" t="s">
        <v>890</v>
      </c>
    </row>
    <row r="681" spans="1:10" x14ac:dyDescent="0.25">
      <c r="A681" t="s">
        <v>8</v>
      </c>
      <c r="B681">
        <v>6012401</v>
      </c>
      <c r="C681" t="s">
        <v>891</v>
      </c>
      <c r="D681">
        <v>1</v>
      </c>
      <c r="E681" t="s">
        <v>10</v>
      </c>
      <c r="F681" t="s">
        <v>11</v>
      </c>
      <c r="G681" s="1"/>
      <c r="H681" t="str">
        <f>"3700920115156"</f>
        <v>3700920115156</v>
      </c>
      <c r="J681" t="s">
        <v>892</v>
      </c>
    </row>
    <row r="682" spans="1:10" x14ac:dyDescent="0.25">
      <c r="A682" t="s">
        <v>8</v>
      </c>
      <c r="B682">
        <v>6012403</v>
      </c>
      <c r="C682" t="s">
        <v>893</v>
      </c>
      <c r="D682">
        <v>1</v>
      </c>
      <c r="E682" t="s">
        <v>10</v>
      </c>
      <c r="F682" t="s">
        <v>11</v>
      </c>
      <c r="G682" s="1"/>
      <c r="H682" t="str">
        <f>"3700920115163"</f>
        <v>3700920115163</v>
      </c>
      <c r="J682" t="s">
        <v>894</v>
      </c>
    </row>
    <row r="683" spans="1:10" x14ac:dyDescent="0.25">
      <c r="A683" t="s">
        <v>8</v>
      </c>
      <c r="B683">
        <v>6012406</v>
      </c>
      <c r="C683" t="s">
        <v>895</v>
      </c>
      <c r="D683">
        <v>1</v>
      </c>
      <c r="E683" t="s">
        <v>10</v>
      </c>
      <c r="F683" t="s">
        <v>11</v>
      </c>
      <c r="G683" s="1"/>
      <c r="H683" t="str">
        <f>"3700920115170"</f>
        <v>3700920115170</v>
      </c>
      <c r="J683" t="s">
        <v>894</v>
      </c>
    </row>
    <row r="684" spans="1:10" x14ac:dyDescent="0.25">
      <c r="A684" t="s">
        <v>8</v>
      </c>
      <c r="B684" t="s">
        <v>896</v>
      </c>
      <c r="C684" t="s">
        <v>897</v>
      </c>
      <c r="D684">
        <v>1</v>
      </c>
      <c r="E684" t="s">
        <v>10</v>
      </c>
      <c r="F684" t="s">
        <v>11</v>
      </c>
      <c r="G684" s="1"/>
      <c r="H684" t="str">
        <f>"3700920102699"</f>
        <v>3700920102699</v>
      </c>
      <c r="I684" s="1"/>
      <c r="J684" t="s">
        <v>898</v>
      </c>
    </row>
    <row r="685" spans="1:10" x14ac:dyDescent="0.25">
      <c r="A685" t="s">
        <v>8</v>
      </c>
      <c r="B685" t="s">
        <v>899</v>
      </c>
      <c r="C685" t="s">
        <v>900</v>
      </c>
      <c r="D685">
        <v>1</v>
      </c>
      <c r="E685" t="s">
        <v>10</v>
      </c>
      <c r="F685" t="s">
        <v>11</v>
      </c>
      <c r="G685" s="1"/>
      <c r="H685" t="str">
        <f>"3700920102705"</f>
        <v>3700920102705</v>
      </c>
      <c r="I685" s="1"/>
      <c r="J685" t="s">
        <v>898</v>
      </c>
    </row>
    <row r="686" spans="1:10" x14ac:dyDescent="0.25">
      <c r="A686" t="s">
        <v>8</v>
      </c>
      <c r="B686">
        <v>6015001</v>
      </c>
      <c r="C686" t="s">
        <v>901</v>
      </c>
      <c r="D686">
        <v>1</v>
      </c>
      <c r="E686" t="s">
        <v>10</v>
      </c>
      <c r="F686" t="s">
        <v>11</v>
      </c>
      <c r="G686" s="1"/>
      <c r="H686" t="str">
        <f>"3700920115316"</f>
        <v>3700920115316</v>
      </c>
      <c r="J686" t="s">
        <v>624</v>
      </c>
    </row>
    <row r="687" spans="1:10" x14ac:dyDescent="0.25">
      <c r="A687" t="s">
        <v>8</v>
      </c>
      <c r="B687">
        <v>6016401</v>
      </c>
      <c r="C687" t="s">
        <v>902</v>
      </c>
      <c r="D687">
        <v>1</v>
      </c>
      <c r="E687" t="s">
        <v>10</v>
      </c>
      <c r="F687" t="s">
        <v>11</v>
      </c>
      <c r="G687" s="1"/>
      <c r="H687" t="str">
        <f>"3700920115194"</f>
        <v>3700920115194</v>
      </c>
      <c r="I687" s="1"/>
      <c r="J687" t="s">
        <v>903</v>
      </c>
    </row>
    <row r="688" spans="1:10" x14ac:dyDescent="0.25">
      <c r="A688" t="s">
        <v>8</v>
      </c>
      <c r="B688">
        <v>6016403</v>
      </c>
      <c r="C688" t="s">
        <v>904</v>
      </c>
      <c r="D688">
        <v>1</v>
      </c>
      <c r="E688" t="s">
        <v>10</v>
      </c>
      <c r="F688" t="s">
        <v>11</v>
      </c>
      <c r="G688" s="1"/>
      <c r="H688" t="str">
        <f>"3700920115200"</f>
        <v>3700920115200</v>
      </c>
      <c r="J688" t="s">
        <v>905</v>
      </c>
    </row>
    <row r="689" spans="1:10" x14ac:dyDescent="0.25">
      <c r="A689" t="s">
        <v>8</v>
      </c>
      <c r="B689">
        <v>6016406</v>
      </c>
      <c r="C689" t="s">
        <v>906</v>
      </c>
      <c r="D689">
        <v>1</v>
      </c>
      <c r="E689" t="s">
        <v>10</v>
      </c>
      <c r="F689" t="s">
        <v>11</v>
      </c>
      <c r="G689" s="1"/>
      <c r="H689" t="str">
        <f>"3700920115217"</f>
        <v>3700920115217</v>
      </c>
      <c r="J689" t="s">
        <v>905</v>
      </c>
    </row>
    <row r="690" spans="1:10" x14ac:dyDescent="0.25">
      <c r="A690" t="s">
        <v>8</v>
      </c>
      <c r="B690">
        <v>6016453</v>
      </c>
      <c r="C690" t="s">
        <v>907</v>
      </c>
      <c r="D690">
        <v>1</v>
      </c>
      <c r="E690" t="s">
        <v>10</v>
      </c>
      <c r="F690" t="s">
        <v>11</v>
      </c>
      <c r="G690" s="1"/>
      <c r="H690" t="str">
        <f>"3700920115224"</f>
        <v>3700920115224</v>
      </c>
      <c r="J690" s="1">
        <v>126</v>
      </c>
    </row>
    <row r="691" spans="1:10" x14ac:dyDescent="0.25">
      <c r="A691" t="s">
        <v>8</v>
      </c>
      <c r="B691">
        <v>6016456</v>
      </c>
      <c r="C691" t="s">
        <v>908</v>
      </c>
      <c r="D691">
        <v>1</v>
      </c>
      <c r="E691" t="s">
        <v>10</v>
      </c>
      <c r="F691" t="s">
        <v>11</v>
      </c>
      <c r="G691" s="1"/>
      <c r="H691" t="str">
        <f>"3700920115231"</f>
        <v>3700920115231</v>
      </c>
      <c r="J691" s="1">
        <v>126</v>
      </c>
    </row>
    <row r="692" spans="1:10" x14ac:dyDescent="0.25">
      <c r="A692" t="s">
        <v>8</v>
      </c>
      <c r="B692">
        <v>6055010</v>
      </c>
      <c r="C692" t="s">
        <v>909</v>
      </c>
      <c r="D692">
        <v>1</v>
      </c>
      <c r="E692" t="s">
        <v>10</v>
      </c>
      <c r="F692" t="s">
        <v>11</v>
      </c>
      <c r="G692" s="1"/>
      <c r="H692" t="str">
        <f>"3700920109513"</f>
        <v>3700920109513</v>
      </c>
      <c r="J692" t="s">
        <v>910</v>
      </c>
    </row>
    <row r="693" spans="1:10" x14ac:dyDescent="0.25">
      <c r="A693" t="s">
        <v>8</v>
      </c>
      <c r="B693">
        <v>6055012</v>
      </c>
      <c r="C693" t="s">
        <v>911</v>
      </c>
      <c r="D693">
        <v>1</v>
      </c>
      <c r="E693" t="s">
        <v>10</v>
      </c>
      <c r="F693" t="s">
        <v>11</v>
      </c>
      <c r="G693" s="1"/>
      <c r="H693" t="str">
        <f>"3700920109506"</f>
        <v>3700920109506</v>
      </c>
      <c r="J693" t="s">
        <v>910</v>
      </c>
    </row>
    <row r="694" spans="1:10" x14ac:dyDescent="0.25">
      <c r="A694" t="s">
        <v>8</v>
      </c>
      <c r="B694" t="s">
        <v>912</v>
      </c>
      <c r="C694" t="s">
        <v>913</v>
      </c>
      <c r="D694">
        <v>1</v>
      </c>
      <c r="E694" t="s">
        <v>10</v>
      </c>
      <c r="F694" t="s">
        <v>11</v>
      </c>
      <c r="G694" s="1"/>
      <c r="H694" t="str">
        <f>"3700920113350"</f>
        <v>3700920113350</v>
      </c>
      <c r="J694" t="s">
        <v>914</v>
      </c>
    </row>
    <row r="695" spans="1:10" x14ac:dyDescent="0.25">
      <c r="A695" t="s">
        <v>8</v>
      </c>
      <c r="B695" t="s">
        <v>915</v>
      </c>
      <c r="C695" t="s">
        <v>916</v>
      </c>
      <c r="D695">
        <v>1</v>
      </c>
      <c r="E695" t="s">
        <v>10</v>
      </c>
      <c r="F695" t="s">
        <v>11</v>
      </c>
      <c r="G695" s="1"/>
      <c r="H695" t="str">
        <f>"3700920113367"</f>
        <v>3700920113367</v>
      </c>
      <c r="J695" t="s">
        <v>917</v>
      </c>
    </row>
    <row r="696" spans="1:10" x14ac:dyDescent="0.25">
      <c r="A696" t="s">
        <v>8</v>
      </c>
      <c r="B696">
        <v>6061010</v>
      </c>
      <c r="C696" t="s">
        <v>918</v>
      </c>
      <c r="D696">
        <v>1</v>
      </c>
      <c r="E696" t="s">
        <v>10</v>
      </c>
      <c r="F696" t="s">
        <v>11</v>
      </c>
      <c r="G696" s="1"/>
      <c r="H696" t="str">
        <f>"3700920111110"</f>
        <v>3700920111110</v>
      </c>
      <c r="J696" t="s">
        <v>919</v>
      </c>
    </row>
    <row r="697" spans="1:10" x14ac:dyDescent="0.25">
      <c r="A697" t="s">
        <v>8</v>
      </c>
      <c r="B697">
        <v>6061011</v>
      </c>
      <c r="C697" t="s">
        <v>920</v>
      </c>
      <c r="D697">
        <v>1</v>
      </c>
      <c r="E697" t="s">
        <v>10</v>
      </c>
      <c r="F697" t="s">
        <v>11</v>
      </c>
      <c r="G697" s="1"/>
      <c r="H697" t="str">
        <f>"3700920111127"</f>
        <v>3700920111127</v>
      </c>
      <c r="J697" t="s">
        <v>919</v>
      </c>
    </row>
    <row r="698" spans="1:10" x14ac:dyDescent="0.25">
      <c r="A698" t="s">
        <v>8</v>
      </c>
      <c r="B698">
        <v>6061020</v>
      </c>
      <c r="C698" t="s">
        <v>921</v>
      </c>
      <c r="D698">
        <v>1</v>
      </c>
      <c r="E698" t="s">
        <v>10</v>
      </c>
      <c r="F698" t="s">
        <v>11</v>
      </c>
      <c r="G698" s="1"/>
      <c r="H698" t="str">
        <f>"3700920111134"</f>
        <v>3700920111134</v>
      </c>
      <c r="J698" t="s">
        <v>613</v>
      </c>
    </row>
    <row r="699" spans="1:10" x14ac:dyDescent="0.25">
      <c r="A699" t="s">
        <v>8</v>
      </c>
      <c r="B699">
        <v>6061021</v>
      </c>
      <c r="C699" t="s">
        <v>922</v>
      </c>
      <c r="D699">
        <v>1</v>
      </c>
      <c r="E699" t="s">
        <v>10</v>
      </c>
      <c r="F699" t="s">
        <v>11</v>
      </c>
      <c r="G699" s="1"/>
      <c r="H699" t="str">
        <f>"3700920111141"</f>
        <v>3700920111141</v>
      </c>
      <c r="J699" t="s">
        <v>613</v>
      </c>
    </row>
    <row r="700" spans="1:10" x14ac:dyDescent="0.25">
      <c r="A700" t="s">
        <v>8</v>
      </c>
      <c r="B700">
        <v>6061050</v>
      </c>
      <c r="C700" t="s">
        <v>923</v>
      </c>
      <c r="D700">
        <v>1</v>
      </c>
      <c r="E700" t="s">
        <v>10</v>
      </c>
      <c r="F700" t="s">
        <v>11</v>
      </c>
      <c r="G700" s="1"/>
      <c r="H700" t="str">
        <f>"3700920111097"</f>
        <v>3700920111097</v>
      </c>
      <c r="J700" t="s">
        <v>924</v>
      </c>
    </row>
    <row r="701" spans="1:10" x14ac:dyDescent="0.25">
      <c r="A701" t="s">
        <v>8</v>
      </c>
      <c r="B701">
        <v>6061051</v>
      </c>
      <c r="C701" t="s">
        <v>925</v>
      </c>
      <c r="D701">
        <v>1</v>
      </c>
      <c r="E701" t="s">
        <v>10</v>
      </c>
      <c r="F701" t="s">
        <v>11</v>
      </c>
      <c r="G701" s="1"/>
      <c r="H701" t="str">
        <f>"3700920111103"</f>
        <v>3700920111103</v>
      </c>
      <c r="J701" t="s">
        <v>924</v>
      </c>
    </row>
    <row r="702" spans="1:10" x14ac:dyDescent="0.25">
      <c r="A702" t="s">
        <v>8</v>
      </c>
      <c r="B702">
        <v>6061810</v>
      </c>
      <c r="C702" t="s">
        <v>926</v>
      </c>
      <c r="D702">
        <v>1</v>
      </c>
      <c r="E702" t="s">
        <v>10</v>
      </c>
      <c r="F702" t="s">
        <v>11</v>
      </c>
      <c r="G702" s="1"/>
      <c r="H702" t="str">
        <f>"3700920113374"</f>
        <v>3700920113374</v>
      </c>
      <c r="J702" t="s">
        <v>839</v>
      </c>
    </row>
    <row r="703" spans="1:10" x14ac:dyDescent="0.25">
      <c r="A703" t="s">
        <v>8</v>
      </c>
      <c r="B703">
        <v>6061811</v>
      </c>
      <c r="C703" t="s">
        <v>927</v>
      </c>
      <c r="D703">
        <v>1</v>
      </c>
      <c r="E703" t="s">
        <v>10</v>
      </c>
      <c r="F703" t="s">
        <v>11</v>
      </c>
      <c r="G703" s="1"/>
      <c r="H703" t="str">
        <f>"3700920113381"</f>
        <v>3700920113381</v>
      </c>
      <c r="J703" t="s">
        <v>839</v>
      </c>
    </row>
    <row r="704" spans="1:10" x14ac:dyDescent="0.25">
      <c r="A704" t="s">
        <v>8</v>
      </c>
      <c r="B704">
        <v>6061812</v>
      </c>
      <c r="C704" t="s">
        <v>928</v>
      </c>
      <c r="D704">
        <v>1</v>
      </c>
      <c r="E704" t="s">
        <v>10</v>
      </c>
      <c r="F704" t="s">
        <v>11</v>
      </c>
      <c r="G704" s="1"/>
      <c r="H704" t="str">
        <f>"3700920144576"</f>
        <v>3700920144576</v>
      </c>
      <c r="J704" t="s">
        <v>839</v>
      </c>
    </row>
    <row r="705" spans="1:10" x14ac:dyDescent="0.25">
      <c r="A705" t="s">
        <v>8</v>
      </c>
      <c r="B705">
        <v>6061830</v>
      </c>
      <c r="C705" t="s">
        <v>929</v>
      </c>
      <c r="D705">
        <v>1</v>
      </c>
      <c r="E705" t="s">
        <v>10</v>
      </c>
      <c r="F705" t="s">
        <v>11</v>
      </c>
      <c r="G705" s="1"/>
      <c r="H705" t="str">
        <f>"3700920113398"</f>
        <v>3700920113398</v>
      </c>
      <c r="J705" t="s">
        <v>678</v>
      </c>
    </row>
    <row r="706" spans="1:10" x14ac:dyDescent="0.25">
      <c r="A706" t="s">
        <v>8</v>
      </c>
      <c r="B706">
        <v>6061831</v>
      </c>
      <c r="C706" t="s">
        <v>930</v>
      </c>
      <c r="D706">
        <v>1</v>
      </c>
      <c r="E706" t="s">
        <v>10</v>
      </c>
      <c r="F706" t="s">
        <v>11</v>
      </c>
      <c r="G706" s="1"/>
      <c r="H706" t="str">
        <f>"3700920113404"</f>
        <v>3700920113404</v>
      </c>
      <c r="J706" t="s">
        <v>678</v>
      </c>
    </row>
    <row r="707" spans="1:10" x14ac:dyDescent="0.25">
      <c r="A707" t="s">
        <v>8</v>
      </c>
      <c r="B707">
        <v>6061833</v>
      </c>
      <c r="C707" t="s">
        <v>931</v>
      </c>
      <c r="D707">
        <v>1</v>
      </c>
      <c r="E707" t="s">
        <v>10</v>
      </c>
      <c r="F707" t="s">
        <v>11</v>
      </c>
      <c r="G707" s="1"/>
      <c r="H707" t="str">
        <f>"3700920113411"</f>
        <v>3700920113411</v>
      </c>
      <c r="J707" t="s">
        <v>678</v>
      </c>
    </row>
    <row r="708" spans="1:10" x14ac:dyDescent="0.25">
      <c r="A708" t="s">
        <v>8</v>
      </c>
      <c r="B708">
        <v>6061910</v>
      </c>
      <c r="C708" t="s">
        <v>932</v>
      </c>
      <c r="D708">
        <v>1</v>
      </c>
      <c r="E708" t="s">
        <v>10</v>
      </c>
      <c r="F708" t="s">
        <v>11</v>
      </c>
      <c r="G708" s="1"/>
      <c r="H708" t="str">
        <f>"3700920113428"</f>
        <v>3700920113428</v>
      </c>
      <c r="J708" t="s">
        <v>933</v>
      </c>
    </row>
    <row r="709" spans="1:10" x14ac:dyDescent="0.25">
      <c r="A709" t="s">
        <v>8</v>
      </c>
      <c r="B709">
        <v>6061911</v>
      </c>
      <c r="C709" t="s">
        <v>934</v>
      </c>
      <c r="D709">
        <v>1</v>
      </c>
      <c r="E709" t="s">
        <v>10</v>
      </c>
      <c r="F709" t="s">
        <v>11</v>
      </c>
      <c r="G709" s="1"/>
      <c r="H709" t="str">
        <f>"3700920113435"</f>
        <v>3700920113435</v>
      </c>
      <c r="J709" t="s">
        <v>933</v>
      </c>
    </row>
    <row r="710" spans="1:10" x14ac:dyDescent="0.25">
      <c r="A710" t="s">
        <v>8</v>
      </c>
      <c r="B710">
        <v>6061915</v>
      </c>
      <c r="C710" t="s">
        <v>935</v>
      </c>
      <c r="D710">
        <v>1</v>
      </c>
      <c r="E710" t="s">
        <v>10</v>
      </c>
      <c r="F710" t="s">
        <v>11</v>
      </c>
      <c r="G710" s="1"/>
      <c r="H710" t="str">
        <f>"3700920113442"</f>
        <v>3700920113442</v>
      </c>
      <c r="J710" t="s">
        <v>936</v>
      </c>
    </row>
    <row r="711" spans="1:10" x14ac:dyDescent="0.25">
      <c r="A711" t="s">
        <v>8</v>
      </c>
      <c r="B711">
        <v>6061930</v>
      </c>
      <c r="C711" t="s">
        <v>937</v>
      </c>
      <c r="D711">
        <v>1</v>
      </c>
      <c r="E711" t="s">
        <v>10</v>
      </c>
      <c r="F711" t="s">
        <v>11</v>
      </c>
      <c r="G711" s="1"/>
      <c r="H711" t="str">
        <f>"3700920113459"</f>
        <v>3700920113459</v>
      </c>
      <c r="J711" t="s">
        <v>938</v>
      </c>
    </row>
    <row r="712" spans="1:10" x14ac:dyDescent="0.25">
      <c r="A712" t="s">
        <v>8</v>
      </c>
      <c r="B712">
        <v>6061931</v>
      </c>
      <c r="C712" t="s">
        <v>939</v>
      </c>
      <c r="D712">
        <v>1</v>
      </c>
      <c r="E712" t="s">
        <v>10</v>
      </c>
      <c r="F712" t="s">
        <v>11</v>
      </c>
      <c r="G712" s="1"/>
      <c r="H712" t="str">
        <f>"3700920113466"</f>
        <v>3700920113466</v>
      </c>
      <c r="J712" t="s">
        <v>938</v>
      </c>
    </row>
    <row r="713" spans="1:10" x14ac:dyDescent="0.25">
      <c r="A713" t="s">
        <v>8</v>
      </c>
      <c r="B713">
        <v>6061935</v>
      </c>
      <c r="C713" t="s">
        <v>940</v>
      </c>
      <c r="D713">
        <v>1</v>
      </c>
      <c r="E713" t="s">
        <v>10</v>
      </c>
      <c r="F713" t="s">
        <v>11</v>
      </c>
      <c r="G713" s="1"/>
      <c r="H713" t="str">
        <f>"3700920113473"</f>
        <v>3700920113473</v>
      </c>
      <c r="J713" t="s">
        <v>938</v>
      </c>
    </row>
    <row r="714" spans="1:10" x14ac:dyDescent="0.25">
      <c r="A714" t="s">
        <v>8</v>
      </c>
      <c r="B714">
        <v>6061936</v>
      </c>
      <c r="C714" t="s">
        <v>941</v>
      </c>
      <c r="D714">
        <v>1</v>
      </c>
      <c r="E714" t="s">
        <v>10</v>
      </c>
      <c r="F714" t="s">
        <v>11</v>
      </c>
      <c r="G714" s="1"/>
      <c r="H714" t="str">
        <f>"3700920113480"</f>
        <v>3700920113480</v>
      </c>
      <c r="J714" t="s">
        <v>942</v>
      </c>
    </row>
    <row r="715" spans="1:10" x14ac:dyDescent="0.25">
      <c r="A715" t="s">
        <v>8</v>
      </c>
      <c r="B715">
        <v>6061939</v>
      </c>
      <c r="C715" t="s">
        <v>943</v>
      </c>
      <c r="D715">
        <v>1</v>
      </c>
      <c r="E715" t="s">
        <v>10</v>
      </c>
      <c r="F715" t="s">
        <v>11</v>
      </c>
      <c r="G715" s="1"/>
      <c r="H715" t="str">
        <f>"3700920113497"</f>
        <v>3700920113497</v>
      </c>
      <c r="J715" t="s">
        <v>944</v>
      </c>
    </row>
    <row r="716" spans="1:10" x14ac:dyDescent="0.25">
      <c r="A716" t="s">
        <v>8</v>
      </c>
      <c r="B716">
        <v>6062050</v>
      </c>
      <c r="C716" t="s">
        <v>945</v>
      </c>
      <c r="D716">
        <v>1</v>
      </c>
      <c r="E716" t="s">
        <v>10</v>
      </c>
      <c r="F716" t="s">
        <v>11</v>
      </c>
      <c r="G716" s="1"/>
      <c r="H716" t="str">
        <f>"3700920144583"</f>
        <v>3700920144583</v>
      </c>
      <c r="J716" t="s">
        <v>212</v>
      </c>
    </row>
    <row r="717" spans="1:10" x14ac:dyDescent="0.25">
      <c r="A717" t="s">
        <v>8</v>
      </c>
      <c r="B717">
        <v>6062051</v>
      </c>
      <c r="C717" t="s">
        <v>946</v>
      </c>
      <c r="D717">
        <v>1</v>
      </c>
      <c r="E717" t="s">
        <v>10</v>
      </c>
      <c r="F717" t="s">
        <v>11</v>
      </c>
      <c r="G717" s="1"/>
      <c r="H717" t="str">
        <f>"3700920144590"</f>
        <v>3700920144590</v>
      </c>
      <c r="J717" t="s">
        <v>212</v>
      </c>
    </row>
    <row r="718" spans="1:10" x14ac:dyDescent="0.25">
      <c r="A718" t="s">
        <v>8</v>
      </c>
      <c r="B718">
        <v>6062060</v>
      </c>
      <c r="C718" t="s">
        <v>947</v>
      </c>
      <c r="D718">
        <v>1</v>
      </c>
      <c r="E718" t="s">
        <v>10</v>
      </c>
      <c r="F718" t="s">
        <v>11</v>
      </c>
      <c r="G718" s="1"/>
      <c r="H718" t="str">
        <f>"3700920144606"</f>
        <v>3700920144606</v>
      </c>
      <c r="I718" s="1"/>
      <c r="J718" s="1">
        <v>81</v>
      </c>
    </row>
    <row r="719" spans="1:10" x14ac:dyDescent="0.25">
      <c r="A719" t="s">
        <v>8</v>
      </c>
      <c r="B719">
        <v>6062061</v>
      </c>
      <c r="C719" t="s">
        <v>948</v>
      </c>
      <c r="D719">
        <v>1</v>
      </c>
      <c r="E719" t="s">
        <v>10</v>
      </c>
      <c r="F719" t="s">
        <v>11</v>
      </c>
      <c r="G719" s="1"/>
      <c r="H719" t="str">
        <f>"3700920144613"</f>
        <v>3700920144613</v>
      </c>
      <c r="I719" s="1"/>
      <c r="J719" s="1">
        <v>81</v>
      </c>
    </row>
    <row r="720" spans="1:10" x14ac:dyDescent="0.25">
      <c r="A720" t="s">
        <v>8</v>
      </c>
      <c r="B720">
        <v>6062850</v>
      </c>
      <c r="C720" t="s">
        <v>949</v>
      </c>
      <c r="D720">
        <v>1</v>
      </c>
      <c r="E720" t="s">
        <v>10</v>
      </c>
      <c r="F720" t="s">
        <v>11</v>
      </c>
      <c r="G720" s="1"/>
      <c r="H720" t="str">
        <f>"3700920144620"</f>
        <v>3700920144620</v>
      </c>
      <c r="J720" t="s">
        <v>839</v>
      </c>
    </row>
    <row r="721" spans="1:10" x14ac:dyDescent="0.25">
      <c r="A721" t="s">
        <v>8</v>
      </c>
      <c r="B721">
        <v>6062851</v>
      </c>
      <c r="C721" t="s">
        <v>950</v>
      </c>
      <c r="D721">
        <v>1</v>
      </c>
      <c r="E721" t="s">
        <v>10</v>
      </c>
      <c r="F721" t="s">
        <v>11</v>
      </c>
      <c r="G721" s="1"/>
      <c r="H721" t="str">
        <f>"3700920144637"</f>
        <v>3700920144637</v>
      </c>
      <c r="J721" t="s">
        <v>839</v>
      </c>
    </row>
    <row r="722" spans="1:10" x14ac:dyDescent="0.25">
      <c r="A722" t="s">
        <v>8</v>
      </c>
      <c r="B722">
        <v>6062955</v>
      </c>
      <c r="C722" t="s">
        <v>951</v>
      </c>
      <c r="D722">
        <v>1</v>
      </c>
      <c r="E722" t="s">
        <v>10</v>
      </c>
      <c r="F722" t="s">
        <v>11</v>
      </c>
      <c r="G722" s="1"/>
      <c r="H722" t="str">
        <f>"3700920144644"</f>
        <v>3700920144644</v>
      </c>
      <c r="J722" t="s">
        <v>839</v>
      </c>
    </row>
    <row r="723" spans="1:10" x14ac:dyDescent="0.25">
      <c r="A723" t="s">
        <v>8</v>
      </c>
      <c r="B723">
        <v>6063030</v>
      </c>
      <c r="C723" t="s">
        <v>952</v>
      </c>
      <c r="D723">
        <v>1</v>
      </c>
      <c r="E723" t="s">
        <v>10</v>
      </c>
      <c r="F723" t="s">
        <v>11</v>
      </c>
      <c r="G723" s="1"/>
      <c r="H723" t="str">
        <f>"3700920142145"</f>
        <v>3700920142145</v>
      </c>
      <c r="J723" s="1">
        <v>66</v>
      </c>
    </row>
    <row r="724" spans="1:10" x14ac:dyDescent="0.25">
      <c r="A724" t="s">
        <v>8</v>
      </c>
      <c r="B724">
        <v>6063031</v>
      </c>
      <c r="C724" t="s">
        <v>953</v>
      </c>
      <c r="D724">
        <v>1</v>
      </c>
      <c r="E724" t="s">
        <v>10</v>
      </c>
      <c r="F724" t="s">
        <v>11</v>
      </c>
      <c r="G724" s="1"/>
      <c r="H724" t="str">
        <f>"3700920142152"</f>
        <v>3700920142152</v>
      </c>
      <c r="J724" s="1">
        <v>66</v>
      </c>
    </row>
    <row r="725" spans="1:10" x14ac:dyDescent="0.25">
      <c r="A725" t="s">
        <v>8</v>
      </c>
      <c r="B725">
        <v>6071010</v>
      </c>
      <c r="C725" t="s">
        <v>954</v>
      </c>
      <c r="D725">
        <v>1</v>
      </c>
      <c r="E725" t="s">
        <v>10</v>
      </c>
      <c r="F725" t="s">
        <v>11</v>
      </c>
      <c r="G725" s="1"/>
      <c r="H725" t="str">
        <f>"3700920111172"</f>
        <v>3700920111172</v>
      </c>
      <c r="J725" t="s">
        <v>326</v>
      </c>
    </row>
    <row r="726" spans="1:10" x14ac:dyDescent="0.25">
      <c r="A726" t="s">
        <v>8</v>
      </c>
      <c r="B726">
        <v>6071011</v>
      </c>
      <c r="C726" t="s">
        <v>955</v>
      </c>
      <c r="D726">
        <v>1</v>
      </c>
      <c r="E726" t="s">
        <v>10</v>
      </c>
      <c r="F726" t="s">
        <v>11</v>
      </c>
      <c r="G726" s="1"/>
      <c r="H726" t="str">
        <f>"3700920111189"</f>
        <v>3700920111189</v>
      </c>
      <c r="J726" t="s">
        <v>326</v>
      </c>
    </row>
    <row r="727" spans="1:10" x14ac:dyDescent="0.25">
      <c r="A727" t="s">
        <v>8</v>
      </c>
      <c r="B727">
        <v>6071020</v>
      </c>
      <c r="C727" t="s">
        <v>956</v>
      </c>
      <c r="D727">
        <v>1</v>
      </c>
      <c r="E727" t="s">
        <v>10</v>
      </c>
      <c r="F727" t="s">
        <v>11</v>
      </c>
      <c r="G727" s="1"/>
      <c r="H727" t="str">
        <f>"3700920111196"</f>
        <v>3700920111196</v>
      </c>
      <c r="J727" t="s">
        <v>76</v>
      </c>
    </row>
    <row r="728" spans="1:10" x14ac:dyDescent="0.25">
      <c r="A728" t="s">
        <v>8</v>
      </c>
      <c r="B728">
        <v>6071021</v>
      </c>
      <c r="C728" t="s">
        <v>957</v>
      </c>
      <c r="D728">
        <v>1</v>
      </c>
      <c r="E728" t="s">
        <v>10</v>
      </c>
      <c r="F728" t="s">
        <v>11</v>
      </c>
      <c r="G728" s="1"/>
      <c r="H728" t="str">
        <f>"3700920111202"</f>
        <v>3700920111202</v>
      </c>
      <c r="J728" t="s">
        <v>76</v>
      </c>
    </row>
    <row r="729" spans="1:10" x14ac:dyDescent="0.25">
      <c r="A729" t="s">
        <v>8</v>
      </c>
      <c r="B729">
        <v>6071030</v>
      </c>
      <c r="C729" t="s">
        <v>958</v>
      </c>
      <c r="D729">
        <v>1</v>
      </c>
      <c r="E729" t="s">
        <v>10</v>
      </c>
      <c r="F729" t="s">
        <v>11</v>
      </c>
      <c r="G729" s="1"/>
      <c r="H729" t="str">
        <f>"3700920111219"</f>
        <v>3700920111219</v>
      </c>
      <c r="J729" t="s">
        <v>382</v>
      </c>
    </row>
    <row r="730" spans="1:10" x14ac:dyDescent="0.25">
      <c r="A730" t="s">
        <v>8</v>
      </c>
      <c r="B730">
        <v>6071031</v>
      </c>
      <c r="C730" t="s">
        <v>959</v>
      </c>
      <c r="D730">
        <v>1</v>
      </c>
      <c r="E730" t="s">
        <v>10</v>
      </c>
      <c r="F730" t="s">
        <v>11</v>
      </c>
      <c r="G730" s="1"/>
      <c r="H730" t="str">
        <f>"3700920111226"</f>
        <v>3700920111226</v>
      </c>
      <c r="J730" t="s">
        <v>382</v>
      </c>
    </row>
    <row r="731" spans="1:10" x14ac:dyDescent="0.25">
      <c r="A731" t="s">
        <v>8</v>
      </c>
      <c r="B731">
        <v>6071310</v>
      </c>
      <c r="C731" t="s">
        <v>960</v>
      </c>
      <c r="D731">
        <v>1</v>
      </c>
      <c r="E731" t="s">
        <v>10</v>
      </c>
      <c r="F731" t="s">
        <v>11</v>
      </c>
      <c r="G731" s="1"/>
      <c r="H731" t="str">
        <f>"3700920111233"</f>
        <v>3700920111233</v>
      </c>
      <c r="J731" t="s">
        <v>961</v>
      </c>
    </row>
    <row r="732" spans="1:10" x14ac:dyDescent="0.25">
      <c r="A732" t="s">
        <v>8</v>
      </c>
      <c r="B732">
        <v>6071311</v>
      </c>
      <c r="C732" t="s">
        <v>962</v>
      </c>
      <c r="D732">
        <v>1</v>
      </c>
      <c r="E732" t="s">
        <v>10</v>
      </c>
      <c r="F732" t="s">
        <v>11</v>
      </c>
      <c r="G732" s="1"/>
      <c r="H732" t="str">
        <f>"3700920111240"</f>
        <v>3700920111240</v>
      </c>
      <c r="J732" t="s">
        <v>961</v>
      </c>
    </row>
    <row r="733" spans="1:10" x14ac:dyDescent="0.25">
      <c r="A733" t="s">
        <v>8</v>
      </c>
      <c r="B733">
        <v>6071320</v>
      </c>
      <c r="C733" t="s">
        <v>960</v>
      </c>
      <c r="D733">
        <v>1</v>
      </c>
      <c r="E733" t="s">
        <v>10</v>
      </c>
      <c r="F733" t="s">
        <v>11</v>
      </c>
      <c r="G733" s="1"/>
      <c r="H733" t="str">
        <f>"3700920111257"</f>
        <v>3700920111257</v>
      </c>
      <c r="J733" t="s">
        <v>372</v>
      </c>
    </row>
    <row r="734" spans="1:10" x14ac:dyDescent="0.25">
      <c r="A734" t="s">
        <v>8</v>
      </c>
      <c r="B734">
        <v>6071321</v>
      </c>
      <c r="C734" t="s">
        <v>962</v>
      </c>
      <c r="D734">
        <v>1</v>
      </c>
      <c r="E734" t="s">
        <v>10</v>
      </c>
      <c r="F734" t="s">
        <v>11</v>
      </c>
      <c r="G734" s="1"/>
      <c r="H734" t="str">
        <f>"3700920111264"</f>
        <v>3700920111264</v>
      </c>
      <c r="J734" t="s">
        <v>372</v>
      </c>
    </row>
    <row r="735" spans="1:10" x14ac:dyDescent="0.25">
      <c r="A735" t="s">
        <v>8</v>
      </c>
      <c r="B735">
        <v>6071330</v>
      </c>
      <c r="C735" t="s">
        <v>960</v>
      </c>
      <c r="D735">
        <v>1</v>
      </c>
      <c r="E735" t="s">
        <v>10</v>
      </c>
      <c r="F735" t="s">
        <v>11</v>
      </c>
      <c r="G735" s="1"/>
      <c r="H735" t="str">
        <f>"3700920111271"</f>
        <v>3700920111271</v>
      </c>
      <c r="J735" t="s">
        <v>115</v>
      </c>
    </row>
    <row r="736" spans="1:10" x14ac:dyDescent="0.25">
      <c r="A736" t="s">
        <v>8</v>
      </c>
      <c r="B736">
        <v>6071331</v>
      </c>
      <c r="C736" t="s">
        <v>962</v>
      </c>
      <c r="D736">
        <v>1</v>
      </c>
      <c r="E736" t="s">
        <v>10</v>
      </c>
      <c r="F736" t="s">
        <v>11</v>
      </c>
      <c r="G736" s="1"/>
      <c r="H736" t="str">
        <f>"3700920111288"</f>
        <v>3700920111288</v>
      </c>
      <c r="J736" t="s">
        <v>115</v>
      </c>
    </row>
    <row r="737" spans="1:10" x14ac:dyDescent="0.25">
      <c r="A737" t="s">
        <v>8</v>
      </c>
      <c r="B737">
        <v>6072030</v>
      </c>
      <c r="C737" t="s">
        <v>963</v>
      </c>
      <c r="D737">
        <v>1</v>
      </c>
      <c r="E737" t="s">
        <v>10</v>
      </c>
      <c r="F737" t="s">
        <v>11</v>
      </c>
      <c r="G737" s="1"/>
      <c r="H737" t="str">
        <f>"3700920144651"</f>
        <v>3700920144651</v>
      </c>
      <c r="J737" t="s">
        <v>372</v>
      </c>
    </row>
    <row r="738" spans="1:10" x14ac:dyDescent="0.25">
      <c r="A738" t="s">
        <v>8</v>
      </c>
      <c r="B738">
        <v>6072031</v>
      </c>
      <c r="C738" t="s">
        <v>964</v>
      </c>
      <c r="D738">
        <v>1</v>
      </c>
      <c r="E738" t="s">
        <v>10</v>
      </c>
      <c r="F738" t="s">
        <v>11</v>
      </c>
      <c r="G738" s="1"/>
      <c r="H738" t="str">
        <f>"3700920144668"</f>
        <v>3700920144668</v>
      </c>
      <c r="J738" t="s">
        <v>212</v>
      </c>
    </row>
    <row r="739" spans="1:10" x14ac:dyDescent="0.25">
      <c r="A739" t="s">
        <v>8</v>
      </c>
      <c r="B739">
        <v>6072035</v>
      </c>
      <c r="C739" t="s">
        <v>965</v>
      </c>
      <c r="D739">
        <v>1</v>
      </c>
      <c r="E739" t="s">
        <v>10</v>
      </c>
      <c r="F739" t="s">
        <v>11</v>
      </c>
      <c r="G739" s="1"/>
      <c r="H739" t="str">
        <f>"3700920144675"</f>
        <v>3700920144675</v>
      </c>
      <c r="J739" t="s">
        <v>966</v>
      </c>
    </row>
    <row r="740" spans="1:10" x14ac:dyDescent="0.25">
      <c r="A740" t="s">
        <v>8</v>
      </c>
      <c r="B740">
        <v>6072330</v>
      </c>
      <c r="C740" t="s">
        <v>967</v>
      </c>
      <c r="D740">
        <v>1</v>
      </c>
      <c r="E740" t="s">
        <v>10</v>
      </c>
      <c r="F740" t="s">
        <v>11</v>
      </c>
      <c r="G740" s="1"/>
      <c r="H740" t="str">
        <f>"3700920144682"</f>
        <v>3700920144682</v>
      </c>
      <c r="J740" t="s">
        <v>968</v>
      </c>
    </row>
    <row r="741" spans="1:10" x14ac:dyDescent="0.25">
      <c r="A741" t="s">
        <v>8</v>
      </c>
      <c r="B741">
        <v>6072331</v>
      </c>
      <c r="C741" t="s">
        <v>969</v>
      </c>
      <c r="D741">
        <v>1</v>
      </c>
      <c r="E741" t="s">
        <v>10</v>
      </c>
      <c r="F741" t="s">
        <v>11</v>
      </c>
      <c r="G741" s="1"/>
      <c r="H741" t="str">
        <f>"3700920144699"</f>
        <v>3700920144699</v>
      </c>
      <c r="J741" t="s">
        <v>181</v>
      </c>
    </row>
    <row r="742" spans="1:10" x14ac:dyDescent="0.25">
      <c r="A742" t="s">
        <v>8</v>
      </c>
      <c r="B742">
        <v>6072335</v>
      </c>
      <c r="C742" t="s">
        <v>970</v>
      </c>
      <c r="D742">
        <v>1</v>
      </c>
      <c r="E742" t="s">
        <v>10</v>
      </c>
      <c r="F742" t="s">
        <v>11</v>
      </c>
      <c r="G742" s="1"/>
      <c r="H742" t="str">
        <f>"3700920144705"</f>
        <v>3700920144705</v>
      </c>
      <c r="J742" t="s">
        <v>971</v>
      </c>
    </row>
    <row r="743" spans="1:10" x14ac:dyDescent="0.25">
      <c r="A743" t="s">
        <v>8</v>
      </c>
      <c r="B743">
        <v>6072430</v>
      </c>
      <c r="C743" t="s">
        <v>972</v>
      </c>
      <c r="D743">
        <v>1</v>
      </c>
      <c r="E743" t="s">
        <v>10</v>
      </c>
      <c r="F743" t="s">
        <v>11</v>
      </c>
      <c r="G743" s="1"/>
      <c r="H743" t="str">
        <f>"3700920144712"</f>
        <v>3700920144712</v>
      </c>
      <c r="J743" t="s">
        <v>602</v>
      </c>
    </row>
    <row r="744" spans="1:10" x14ac:dyDescent="0.25">
      <c r="A744" t="s">
        <v>8</v>
      </c>
      <c r="B744">
        <v>6072431</v>
      </c>
      <c r="C744" t="s">
        <v>973</v>
      </c>
      <c r="D744">
        <v>1</v>
      </c>
      <c r="E744" t="s">
        <v>10</v>
      </c>
      <c r="F744" t="s">
        <v>11</v>
      </c>
      <c r="G744" s="1"/>
      <c r="H744" t="str">
        <f>"3700920144729"</f>
        <v>3700920144729</v>
      </c>
      <c r="J744" t="s">
        <v>974</v>
      </c>
    </row>
    <row r="745" spans="1:10" x14ac:dyDescent="0.25">
      <c r="A745" t="s">
        <v>8</v>
      </c>
      <c r="B745">
        <v>6072435</v>
      </c>
      <c r="C745" t="s">
        <v>970</v>
      </c>
      <c r="D745">
        <v>1</v>
      </c>
      <c r="E745" t="s">
        <v>10</v>
      </c>
      <c r="F745" t="s">
        <v>11</v>
      </c>
      <c r="G745" s="1"/>
      <c r="H745" t="str">
        <f>"3700920144736"</f>
        <v>3700920144736</v>
      </c>
      <c r="J745" t="s">
        <v>975</v>
      </c>
    </row>
    <row r="746" spans="1:10" x14ac:dyDescent="0.25">
      <c r="A746" t="s">
        <v>8</v>
      </c>
      <c r="B746">
        <v>6072800</v>
      </c>
      <c r="C746" t="s">
        <v>976</v>
      </c>
      <c r="D746">
        <v>1</v>
      </c>
      <c r="E746" t="s">
        <v>10</v>
      </c>
      <c r="F746" t="s">
        <v>11</v>
      </c>
      <c r="G746" s="1"/>
      <c r="H746" t="str">
        <f>"3700920144743"</f>
        <v>3700920144743</v>
      </c>
      <c r="J746" t="s">
        <v>268</v>
      </c>
    </row>
    <row r="747" spans="1:10" x14ac:dyDescent="0.25">
      <c r="A747" t="s">
        <v>8</v>
      </c>
      <c r="B747">
        <v>6072801</v>
      </c>
      <c r="C747" t="s">
        <v>977</v>
      </c>
      <c r="D747">
        <v>1</v>
      </c>
      <c r="E747" t="s">
        <v>10</v>
      </c>
      <c r="F747" t="s">
        <v>11</v>
      </c>
      <c r="G747" s="1"/>
      <c r="H747" t="str">
        <f>"3700920144750"</f>
        <v>3700920144750</v>
      </c>
      <c r="J747" t="s">
        <v>101</v>
      </c>
    </row>
    <row r="748" spans="1:10" x14ac:dyDescent="0.25">
      <c r="A748" t="s">
        <v>8</v>
      </c>
      <c r="B748">
        <v>6073030</v>
      </c>
      <c r="C748" t="s">
        <v>978</v>
      </c>
      <c r="D748">
        <v>1</v>
      </c>
      <c r="E748" t="s">
        <v>10</v>
      </c>
      <c r="F748" t="s">
        <v>11</v>
      </c>
      <c r="G748" s="1"/>
      <c r="H748" t="str">
        <f>"3700920146051"</f>
        <v>3700920146051</v>
      </c>
      <c r="J748" t="s">
        <v>979</v>
      </c>
    </row>
    <row r="749" spans="1:10" x14ac:dyDescent="0.25">
      <c r="A749" t="s">
        <v>8</v>
      </c>
      <c r="B749">
        <v>6073031</v>
      </c>
      <c r="C749" t="s">
        <v>980</v>
      </c>
      <c r="D749">
        <v>1</v>
      </c>
      <c r="E749" t="s">
        <v>10</v>
      </c>
      <c r="F749" t="s">
        <v>11</v>
      </c>
      <c r="G749" s="1"/>
      <c r="H749" t="str">
        <f>"3700920146068"</f>
        <v>3700920146068</v>
      </c>
      <c r="J749" t="s">
        <v>979</v>
      </c>
    </row>
    <row r="750" spans="1:10" x14ac:dyDescent="0.25">
      <c r="A750" t="s">
        <v>8</v>
      </c>
      <c r="B750">
        <v>6073330</v>
      </c>
      <c r="C750" t="s">
        <v>981</v>
      </c>
      <c r="D750">
        <v>1</v>
      </c>
      <c r="E750" t="s">
        <v>10</v>
      </c>
      <c r="F750" t="s">
        <v>11</v>
      </c>
      <c r="G750" s="1"/>
      <c r="H750" t="str">
        <f>"3700920146747"</f>
        <v>3700920146747</v>
      </c>
      <c r="J750" t="s">
        <v>971</v>
      </c>
    </row>
    <row r="751" spans="1:10" x14ac:dyDescent="0.25">
      <c r="A751" t="s">
        <v>8</v>
      </c>
      <c r="B751">
        <v>6073331</v>
      </c>
      <c r="C751" t="s">
        <v>982</v>
      </c>
      <c r="D751">
        <v>1</v>
      </c>
      <c r="E751" t="s">
        <v>10</v>
      </c>
      <c r="F751" t="s">
        <v>11</v>
      </c>
      <c r="G751" s="1"/>
      <c r="H751" t="str">
        <f>"3700920146754"</f>
        <v>3700920146754</v>
      </c>
      <c r="J751" t="s">
        <v>971</v>
      </c>
    </row>
    <row r="752" spans="1:10" x14ac:dyDescent="0.25">
      <c r="A752" t="s">
        <v>8</v>
      </c>
      <c r="B752">
        <v>6073430</v>
      </c>
      <c r="C752" t="s">
        <v>983</v>
      </c>
      <c r="D752">
        <v>1</v>
      </c>
      <c r="E752" t="s">
        <v>10</v>
      </c>
      <c r="F752" t="s">
        <v>11</v>
      </c>
      <c r="G752" s="1"/>
      <c r="H752" t="str">
        <f>"3700920146761"</f>
        <v>3700920146761</v>
      </c>
      <c r="J752" s="1">
        <v>126</v>
      </c>
    </row>
    <row r="753" spans="1:10" x14ac:dyDescent="0.25">
      <c r="A753" t="s">
        <v>8</v>
      </c>
      <c r="B753">
        <v>6073431</v>
      </c>
      <c r="C753" t="s">
        <v>984</v>
      </c>
      <c r="D753">
        <v>1</v>
      </c>
      <c r="E753" t="s">
        <v>10</v>
      </c>
      <c r="F753" t="s">
        <v>11</v>
      </c>
      <c r="G753" s="1"/>
      <c r="H753" t="str">
        <f>"3700920148086"</f>
        <v>3700920148086</v>
      </c>
      <c r="J753" s="1">
        <v>126</v>
      </c>
    </row>
    <row r="754" spans="1:10" x14ac:dyDescent="0.25">
      <c r="A754" t="s">
        <v>8</v>
      </c>
      <c r="B754">
        <v>6073800</v>
      </c>
      <c r="C754" t="s">
        <v>985</v>
      </c>
      <c r="D754">
        <v>1</v>
      </c>
      <c r="E754" t="s">
        <v>10</v>
      </c>
      <c r="F754" t="s">
        <v>11</v>
      </c>
      <c r="G754" s="1"/>
      <c r="H754" t="str">
        <f>"3700920146075"</f>
        <v>3700920146075</v>
      </c>
      <c r="J754" s="1">
        <v>24</v>
      </c>
    </row>
    <row r="755" spans="1:10" x14ac:dyDescent="0.25">
      <c r="A755" t="s">
        <v>8</v>
      </c>
      <c r="B755">
        <v>6073801</v>
      </c>
      <c r="C755" t="s">
        <v>986</v>
      </c>
      <c r="D755">
        <v>1</v>
      </c>
      <c r="E755" t="s">
        <v>10</v>
      </c>
      <c r="F755" t="s">
        <v>11</v>
      </c>
      <c r="G755" s="1"/>
      <c r="H755" t="str">
        <f>"3700920146082"</f>
        <v>3700920146082</v>
      </c>
      <c r="J755" s="1">
        <v>24</v>
      </c>
    </row>
    <row r="756" spans="1:10" x14ac:dyDescent="0.25">
      <c r="A756" t="s">
        <v>8</v>
      </c>
      <c r="B756">
        <v>6074030</v>
      </c>
      <c r="C756" t="s">
        <v>987</v>
      </c>
      <c r="D756">
        <v>1</v>
      </c>
      <c r="E756" t="s">
        <v>10</v>
      </c>
      <c r="F756" t="s">
        <v>11</v>
      </c>
      <c r="G756" s="1"/>
      <c r="H756" t="str">
        <f>"3700920141940"</f>
        <v>3700920141940</v>
      </c>
      <c r="J756" t="s">
        <v>372</v>
      </c>
    </row>
    <row r="757" spans="1:10" x14ac:dyDescent="0.25">
      <c r="A757" t="s">
        <v>8</v>
      </c>
      <c r="B757">
        <v>6074031</v>
      </c>
      <c r="C757" t="s">
        <v>988</v>
      </c>
      <c r="D757">
        <v>1</v>
      </c>
      <c r="E757" t="s">
        <v>10</v>
      </c>
      <c r="F757" t="s">
        <v>11</v>
      </c>
      <c r="G757" s="1"/>
      <c r="H757" t="str">
        <f>"3700920141957"</f>
        <v>3700920141957</v>
      </c>
      <c r="J757" t="s">
        <v>372</v>
      </c>
    </row>
    <row r="758" spans="1:10" x14ac:dyDescent="0.25">
      <c r="A758" t="s">
        <v>8</v>
      </c>
      <c r="B758">
        <v>6091100</v>
      </c>
      <c r="C758" t="s">
        <v>989</v>
      </c>
      <c r="D758">
        <v>1</v>
      </c>
      <c r="E758" t="s">
        <v>10</v>
      </c>
      <c r="F758" t="s">
        <v>11</v>
      </c>
      <c r="G758" s="1"/>
      <c r="H758" t="str">
        <f>"3700920116313"</f>
        <v>3700920116313</v>
      </c>
      <c r="J758" t="s">
        <v>990</v>
      </c>
    </row>
    <row r="759" spans="1:10" x14ac:dyDescent="0.25">
      <c r="A759" t="s">
        <v>8</v>
      </c>
      <c r="B759">
        <v>6091300</v>
      </c>
      <c r="C759" t="s">
        <v>991</v>
      </c>
      <c r="D759">
        <v>1</v>
      </c>
      <c r="E759" t="s">
        <v>10</v>
      </c>
      <c r="F759" t="s">
        <v>11</v>
      </c>
      <c r="G759" s="1"/>
      <c r="H759" t="str">
        <f>"3700920116320"</f>
        <v>3700920116320</v>
      </c>
      <c r="J759" t="s">
        <v>992</v>
      </c>
    </row>
    <row r="760" spans="1:10" x14ac:dyDescent="0.25">
      <c r="A760" t="s">
        <v>8</v>
      </c>
      <c r="B760">
        <v>6092100</v>
      </c>
      <c r="C760" t="s">
        <v>993</v>
      </c>
      <c r="D760">
        <v>1</v>
      </c>
      <c r="E760" t="s">
        <v>10</v>
      </c>
      <c r="F760" t="s">
        <v>11</v>
      </c>
      <c r="G760" s="1"/>
      <c r="H760" t="str">
        <f>"3700920116337"</f>
        <v>3700920116337</v>
      </c>
      <c r="J760" t="s">
        <v>429</v>
      </c>
    </row>
    <row r="761" spans="1:10" x14ac:dyDescent="0.25">
      <c r="A761" t="s">
        <v>8</v>
      </c>
      <c r="B761">
        <v>6092300</v>
      </c>
      <c r="C761" t="s">
        <v>994</v>
      </c>
      <c r="D761">
        <v>1</v>
      </c>
      <c r="E761" t="s">
        <v>10</v>
      </c>
      <c r="F761" t="s">
        <v>11</v>
      </c>
      <c r="G761" s="1"/>
      <c r="H761" t="str">
        <f>"3700920116344"</f>
        <v>3700920116344</v>
      </c>
      <c r="J761" t="s">
        <v>613</v>
      </c>
    </row>
    <row r="762" spans="1:10" x14ac:dyDescent="0.25">
      <c r="A762" t="s">
        <v>8</v>
      </c>
      <c r="B762">
        <v>6092400</v>
      </c>
      <c r="C762" t="s">
        <v>995</v>
      </c>
      <c r="D762">
        <v>1</v>
      </c>
      <c r="E762" t="s">
        <v>10</v>
      </c>
      <c r="F762" t="s">
        <v>11</v>
      </c>
      <c r="G762" s="1"/>
      <c r="H762" t="str">
        <f>"3700920116351"</f>
        <v>3700920116351</v>
      </c>
      <c r="J762" t="s">
        <v>996</v>
      </c>
    </row>
    <row r="763" spans="1:10" x14ac:dyDescent="0.25">
      <c r="A763" t="s">
        <v>8</v>
      </c>
      <c r="B763">
        <v>6092500</v>
      </c>
      <c r="C763" t="s">
        <v>994</v>
      </c>
      <c r="D763">
        <v>1</v>
      </c>
      <c r="E763" t="s">
        <v>10</v>
      </c>
      <c r="F763" t="s">
        <v>11</v>
      </c>
      <c r="G763" s="1"/>
      <c r="H763" t="str">
        <f>"3700920116368"</f>
        <v>3700920116368</v>
      </c>
      <c r="J763" t="s">
        <v>905</v>
      </c>
    </row>
    <row r="764" spans="1:10" x14ac:dyDescent="0.25">
      <c r="A764" t="s">
        <v>8</v>
      </c>
      <c r="B764">
        <v>6101001</v>
      </c>
      <c r="C764" t="s">
        <v>997</v>
      </c>
      <c r="D764">
        <v>1</v>
      </c>
      <c r="E764" t="s">
        <v>10</v>
      </c>
      <c r="F764" t="s">
        <v>11</v>
      </c>
      <c r="G764" s="1"/>
      <c r="H764" t="str">
        <f>"3700920110960"</f>
        <v>3700920110960</v>
      </c>
      <c r="J764" t="s">
        <v>924</v>
      </c>
    </row>
    <row r="765" spans="1:10" x14ac:dyDescent="0.25">
      <c r="A765" t="s">
        <v>8</v>
      </c>
      <c r="B765">
        <v>6101002</v>
      </c>
      <c r="C765" t="s">
        <v>998</v>
      </c>
      <c r="D765">
        <v>1</v>
      </c>
      <c r="E765" t="s">
        <v>10</v>
      </c>
      <c r="F765" t="s">
        <v>11</v>
      </c>
      <c r="G765" s="1"/>
      <c r="H765" t="str">
        <f>"3700920111851"</f>
        <v>3700920111851</v>
      </c>
      <c r="I765" s="1"/>
      <c r="J765" s="1">
        <v>54</v>
      </c>
    </row>
    <row r="766" spans="1:10" x14ac:dyDescent="0.25">
      <c r="A766" t="s">
        <v>8</v>
      </c>
      <c r="B766">
        <v>6101003</v>
      </c>
      <c r="C766" t="s">
        <v>999</v>
      </c>
      <c r="D766">
        <v>1</v>
      </c>
      <c r="E766" t="s">
        <v>10</v>
      </c>
      <c r="F766" t="s">
        <v>11</v>
      </c>
      <c r="G766" s="1"/>
      <c r="H766" t="str">
        <f>"3700920145658"</f>
        <v>3700920145658</v>
      </c>
      <c r="I766" s="1"/>
      <c r="J766" t="s">
        <v>1000</v>
      </c>
    </row>
    <row r="767" spans="1:10" x14ac:dyDescent="0.25">
      <c r="A767" t="s">
        <v>8</v>
      </c>
      <c r="B767">
        <v>6101004</v>
      </c>
      <c r="C767" t="s">
        <v>1001</v>
      </c>
      <c r="D767">
        <v>1</v>
      </c>
      <c r="E767" t="s">
        <v>10</v>
      </c>
      <c r="F767" t="s">
        <v>11</v>
      </c>
      <c r="G767" s="1"/>
      <c r="H767" t="str">
        <f>"3700920145641"</f>
        <v>3700920145641</v>
      </c>
      <c r="I767" s="1"/>
      <c r="J767" t="s">
        <v>1000</v>
      </c>
    </row>
    <row r="768" spans="1:10" x14ac:dyDescent="0.25">
      <c r="A768" t="s">
        <v>8</v>
      </c>
      <c r="B768">
        <v>6101005</v>
      </c>
      <c r="C768" t="s">
        <v>1002</v>
      </c>
      <c r="D768">
        <v>1</v>
      </c>
      <c r="E768" t="s">
        <v>10</v>
      </c>
      <c r="F768" t="s">
        <v>11</v>
      </c>
      <c r="G768" s="1"/>
      <c r="H768" t="str">
        <f>"370092014759"</f>
        <v>370092014759</v>
      </c>
      <c r="J768" s="1">
        <v>36</v>
      </c>
    </row>
    <row r="769" spans="1:10" x14ac:dyDescent="0.25">
      <c r="A769" t="s">
        <v>8</v>
      </c>
      <c r="B769">
        <v>6101011</v>
      </c>
      <c r="C769" t="s">
        <v>1003</v>
      </c>
      <c r="D769">
        <v>1</v>
      </c>
      <c r="E769" t="s">
        <v>10</v>
      </c>
      <c r="F769" t="s">
        <v>11</v>
      </c>
      <c r="G769" s="1"/>
      <c r="H769" t="str">
        <f>"3700920147614"</f>
        <v>3700920147614</v>
      </c>
      <c r="J769" s="1">
        <v>69</v>
      </c>
    </row>
    <row r="770" spans="1:10" x14ac:dyDescent="0.25">
      <c r="A770" t="s">
        <v>8</v>
      </c>
      <c r="B770">
        <v>6101091</v>
      </c>
      <c r="C770" t="s">
        <v>1004</v>
      </c>
      <c r="D770">
        <v>1</v>
      </c>
      <c r="E770" t="s">
        <v>10</v>
      </c>
      <c r="F770" t="s">
        <v>11</v>
      </c>
      <c r="G770" s="1"/>
      <c r="H770" t="str">
        <f>"3700920146730"</f>
        <v>3700920146730</v>
      </c>
      <c r="J770" t="s">
        <v>1005</v>
      </c>
    </row>
    <row r="771" spans="1:10" x14ac:dyDescent="0.25">
      <c r="A771" t="s">
        <v>8</v>
      </c>
      <c r="B771">
        <v>6102402</v>
      </c>
      <c r="C771" t="s">
        <v>1006</v>
      </c>
      <c r="D771">
        <v>1</v>
      </c>
      <c r="E771" t="s">
        <v>10</v>
      </c>
      <c r="F771" t="s">
        <v>11</v>
      </c>
      <c r="G771" s="1"/>
      <c r="H771" t="str">
        <f>"3700920115248"</f>
        <v>3700920115248</v>
      </c>
      <c r="J771" t="s">
        <v>924</v>
      </c>
    </row>
    <row r="772" spans="1:10" x14ac:dyDescent="0.25">
      <c r="A772" t="s">
        <v>8</v>
      </c>
      <c r="B772">
        <v>6102500</v>
      </c>
      <c r="C772" t="s">
        <v>1007</v>
      </c>
      <c r="D772">
        <v>1</v>
      </c>
      <c r="E772" t="s">
        <v>10</v>
      </c>
      <c r="F772" t="s">
        <v>11</v>
      </c>
      <c r="G772" s="1"/>
      <c r="H772" t="str">
        <f>"6971542122465"</f>
        <v>6971542122465</v>
      </c>
      <c r="J772" s="1">
        <v>93</v>
      </c>
    </row>
    <row r="773" spans="1:10" x14ac:dyDescent="0.25">
      <c r="A773" t="s">
        <v>8</v>
      </c>
      <c r="B773">
        <v>6102501</v>
      </c>
      <c r="C773" t="s">
        <v>1008</v>
      </c>
      <c r="D773">
        <v>1</v>
      </c>
      <c r="E773" t="s">
        <v>10</v>
      </c>
      <c r="F773" t="s">
        <v>11</v>
      </c>
      <c r="G773" s="1"/>
      <c r="H773" t="str">
        <f>"3700920144811"</f>
        <v>3700920144811</v>
      </c>
      <c r="J773" t="s">
        <v>720</v>
      </c>
    </row>
    <row r="774" spans="1:10" x14ac:dyDescent="0.25">
      <c r="A774" t="s">
        <v>8</v>
      </c>
      <c r="B774">
        <v>6105030</v>
      </c>
      <c r="C774" t="s">
        <v>1009</v>
      </c>
      <c r="D774">
        <v>1</v>
      </c>
      <c r="E774" t="s">
        <v>10</v>
      </c>
      <c r="F774" t="s">
        <v>11</v>
      </c>
      <c r="G774" s="1"/>
      <c r="H774" t="str">
        <f>"3700920108738"</f>
        <v>3700920108738</v>
      </c>
      <c r="J774" t="s">
        <v>1010</v>
      </c>
    </row>
    <row r="775" spans="1:10" x14ac:dyDescent="0.25">
      <c r="A775" t="s">
        <v>8</v>
      </c>
      <c r="B775">
        <v>6105100</v>
      </c>
      <c r="C775" t="s">
        <v>1011</v>
      </c>
      <c r="D775">
        <v>1</v>
      </c>
      <c r="E775" t="s">
        <v>10</v>
      </c>
      <c r="F775" t="s">
        <v>11</v>
      </c>
      <c r="G775" s="1"/>
      <c r="H775" t="str">
        <f>"3700920108745"</f>
        <v>3700920108745</v>
      </c>
      <c r="J775" t="s">
        <v>1012</v>
      </c>
    </row>
    <row r="776" spans="1:10" x14ac:dyDescent="0.25">
      <c r="A776" t="s">
        <v>8</v>
      </c>
      <c r="B776">
        <v>6105200</v>
      </c>
      <c r="C776" t="s">
        <v>1013</v>
      </c>
      <c r="D776">
        <v>1</v>
      </c>
      <c r="E776" t="s">
        <v>10</v>
      </c>
      <c r="F776" t="s">
        <v>11</v>
      </c>
      <c r="G776" s="1"/>
      <c r="H776" t="str">
        <f>"3700920108752"</f>
        <v>3700920108752</v>
      </c>
      <c r="J776" t="s">
        <v>1014</v>
      </c>
    </row>
    <row r="777" spans="1:10" x14ac:dyDescent="0.25">
      <c r="A777" t="s">
        <v>8</v>
      </c>
      <c r="B777">
        <v>6106000</v>
      </c>
      <c r="C777" t="s">
        <v>1015</v>
      </c>
      <c r="D777">
        <v>1</v>
      </c>
      <c r="E777" t="s">
        <v>10</v>
      </c>
      <c r="F777" t="s">
        <v>11</v>
      </c>
      <c r="G777" s="1"/>
      <c r="H777" t="str">
        <f>"3700920110809"</f>
        <v>3700920110809</v>
      </c>
      <c r="J777" t="s">
        <v>521</v>
      </c>
    </row>
    <row r="778" spans="1:10" x14ac:dyDescent="0.25">
      <c r="A778" t="s">
        <v>8</v>
      </c>
      <c r="B778">
        <v>6106002</v>
      </c>
      <c r="C778" t="s">
        <v>1016</v>
      </c>
      <c r="D778">
        <v>1</v>
      </c>
      <c r="E778" t="s">
        <v>10</v>
      </c>
      <c r="F778" t="s">
        <v>11</v>
      </c>
      <c r="G778" s="1"/>
      <c r="H778" t="str">
        <f>"3700920111844"</f>
        <v>3700920111844</v>
      </c>
      <c r="J778" t="s">
        <v>43</v>
      </c>
    </row>
    <row r="779" spans="1:10" x14ac:dyDescent="0.25">
      <c r="A779" t="s">
        <v>8</v>
      </c>
      <c r="B779">
        <v>6106003</v>
      </c>
      <c r="C779" t="s">
        <v>1017</v>
      </c>
      <c r="D779">
        <v>1</v>
      </c>
      <c r="E779" t="s">
        <v>10</v>
      </c>
      <c r="F779" t="s">
        <v>11</v>
      </c>
      <c r="G779" s="1"/>
      <c r="H779" t="str">
        <f>"3700920111837"</f>
        <v>3700920111837</v>
      </c>
      <c r="J779" t="s">
        <v>1018</v>
      </c>
    </row>
    <row r="780" spans="1:10" x14ac:dyDescent="0.25">
      <c r="A780" t="s">
        <v>8</v>
      </c>
      <c r="B780">
        <v>6106005</v>
      </c>
      <c r="C780" t="s">
        <v>1019</v>
      </c>
      <c r="D780">
        <v>1</v>
      </c>
      <c r="E780" t="s">
        <v>10</v>
      </c>
      <c r="F780" t="s">
        <v>11</v>
      </c>
      <c r="G780" s="1"/>
      <c r="H780" t="str">
        <f>"3700920111868"</f>
        <v>3700920111868</v>
      </c>
      <c r="J780" t="s">
        <v>1020</v>
      </c>
    </row>
    <row r="781" spans="1:10" x14ac:dyDescent="0.25">
      <c r="A781" t="s">
        <v>8</v>
      </c>
      <c r="B781">
        <v>6106010</v>
      </c>
      <c r="C781" t="s">
        <v>1021</v>
      </c>
      <c r="D781">
        <v>1</v>
      </c>
      <c r="E781" t="s">
        <v>10</v>
      </c>
      <c r="F781" t="s">
        <v>11</v>
      </c>
      <c r="G781" s="1"/>
      <c r="H781" t="str">
        <f>"3700920109490"</f>
        <v>3700920109490</v>
      </c>
      <c r="J781" t="s">
        <v>421</v>
      </c>
    </row>
    <row r="782" spans="1:10" x14ac:dyDescent="0.25">
      <c r="A782" t="s">
        <v>8</v>
      </c>
      <c r="B782">
        <v>6106020</v>
      </c>
      <c r="C782" t="s">
        <v>1022</v>
      </c>
      <c r="D782">
        <v>1</v>
      </c>
      <c r="E782" t="s">
        <v>10</v>
      </c>
      <c r="F782" t="s">
        <v>11</v>
      </c>
      <c r="G782" s="1"/>
      <c r="H782" t="str">
        <f>"3700920145504"</f>
        <v>3700920145504</v>
      </c>
      <c r="J782" t="s">
        <v>521</v>
      </c>
    </row>
    <row r="783" spans="1:10" x14ac:dyDescent="0.25">
      <c r="A783" t="s">
        <v>8</v>
      </c>
      <c r="B783" t="s">
        <v>1023</v>
      </c>
      <c r="C783" t="s">
        <v>1024</v>
      </c>
      <c r="D783">
        <v>1</v>
      </c>
      <c r="E783" t="s">
        <v>10</v>
      </c>
      <c r="F783" t="s">
        <v>11</v>
      </c>
      <c r="G783" s="1"/>
      <c r="H783" t="str">
        <f>"3700920110687"</f>
        <v>3700920110687</v>
      </c>
      <c r="J783" t="s">
        <v>720</v>
      </c>
    </row>
    <row r="784" spans="1:10" x14ac:dyDescent="0.25">
      <c r="A784" t="s">
        <v>8</v>
      </c>
      <c r="B784" t="s">
        <v>1025</v>
      </c>
      <c r="C784" t="s">
        <v>1026</v>
      </c>
      <c r="D784">
        <v>1</v>
      </c>
      <c r="E784" t="s">
        <v>10</v>
      </c>
      <c r="F784" t="s">
        <v>11</v>
      </c>
      <c r="G784" s="1"/>
      <c r="H784" t="str">
        <f>"3700920104020"</f>
        <v>3700920104020</v>
      </c>
      <c r="J784" t="s">
        <v>403</v>
      </c>
    </row>
    <row r="785" spans="1:10" x14ac:dyDescent="0.25">
      <c r="A785" t="s">
        <v>8</v>
      </c>
      <c r="B785" t="s">
        <v>1027</v>
      </c>
      <c r="C785" t="s">
        <v>1028</v>
      </c>
      <c r="D785">
        <v>1</v>
      </c>
      <c r="E785" t="s">
        <v>10</v>
      </c>
      <c r="F785" t="s">
        <v>11</v>
      </c>
      <c r="G785" s="1"/>
      <c r="H785" t="str">
        <f>"3700920103726"</f>
        <v>3700920103726</v>
      </c>
      <c r="J785" t="s">
        <v>1029</v>
      </c>
    </row>
    <row r="786" spans="1:10" x14ac:dyDescent="0.25">
      <c r="A786" t="s">
        <v>8</v>
      </c>
      <c r="B786" t="s">
        <v>1030</v>
      </c>
      <c r="C786" t="s">
        <v>1031</v>
      </c>
      <c r="D786">
        <v>1</v>
      </c>
      <c r="E786" t="s">
        <v>10</v>
      </c>
      <c r="F786" t="s">
        <v>11</v>
      </c>
      <c r="G786" s="1"/>
      <c r="H786" t="str">
        <f>"3700920103733"</f>
        <v>3700920103733</v>
      </c>
      <c r="J786" t="s">
        <v>615</v>
      </c>
    </row>
    <row r="787" spans="1:10" x14ac:dyDescent="0.25">
      <c r="A787" t="s">
        <v>8</v>
      </c>
      <c r="B787" t="s">
        <v>1032</v>
      </c>
      <c r="C787" t="s">
        <v>1033</v>
      </c>
      <c r="D787">
        <v>1</v>
      </c>
      <c r="E787" t="s">
        <v>10</v>
      </c>
      <c r="F787" t="s">
        <v>11</v>
      </c>
      <c r="G787" s="1"/>
      <c r="H787" t="str">
        <f>"3700920103757"</f>
        <v>3700920103757</v>
      </c>
      <c r="I787" s="1"/>
      <c r="J787" s="1">
        <v>108</v>
      </c>
    </row>
    <row r="788" spans="1:10" x14ac:dyDescent="0.25">
      <c r="A788" t="s">
        <v>8</v>
      </c>
      <c r="B788" t="s">
        <v>1034</v>
      </c>
      <c r="C788" t="s">
        <v>1035</v>
      </c>
      <c r="D788">
        <v>1</v>
      </c>
      <c r="E788" t="s">
        <v>10</v>
      </c>
      <c r="F788" t="s">
        <v>11</v>
      </c>
      <c r="G788" s="1"/>
      <c r="H788" t="str">
        <f>"3700920103801"</f>
        <v>3700920103801</v>
      </c>
      <c r="J788" s="1">
        <v>96</v>
      </c>
    </row>
    <row r="789" spans="1:10" x14ac:dyDescent="0.25">
      <c r="A789" t="s">
        <v>8</v>
      </c>
      <c r="B789" t="s">
        <v>1036</v>
      </c>
      <c r="C789" t="s">
        <v>1037</v>
      </c>
      <c r="D789">
        <v>1</v>
      </c>
      <c r="E789" t="s">
        <v>10</v>
      </c>
      <c r="F789" t="s">
        <v>11</v>
      </c>
      <c r="G789" s="1"/>
      <c r="H789" t="str">
        <f>"3700920110700"</f>
        <v>3700920110700</v>
      </c>
      <c r="J789" s="1">
        <v>60</v>
      </c>
    </row>
    <row r="790" spans="1:10" x14ac:dyDescent="0.25">
      <c r="A790" t="s">
        <v>8</v>
      </c>
      <c r="B790" t="s">
        <v>1038</v>
      </c>
      <c r="C790" t="s">
        <v>1039</v>
      </c>
      <c r="D790">
        <v>1</v>
      </c>
      <c r="E790" t="s">
        <v>10</v>
      </c>
      <c r="F790" t="s">
        <v>11</v>
      </c>
      <c r="G790" s="1"/>
      <c r="H790" t="str">
        <f>"3700920103771"</f>
        <v>3700920103771</v>
      </c>
      <c r="J790" t="s">
        <v>322</v>
      </c>
    </row>
    <row r="791" spans="1:10" x14ac:dyDescent="0.25">
      <c r="A791" t="s">
        <v>8</v>
      </c>
      <c r="B791" t="s">
        <v>1040</v>
      </c>
      <c r="C791" t="s">
        <v>1041</v>
      </c>
      <c r="D791">
        <v>1</v>
      </c>
      <c r="E791" t="s">
        <v>10</v>
      </c>
      <c r="F791" t="s">
        <v>11</v>
      </c>
      <c r="G791" s="1"/>
      <c r="H791" t="str">
        <f>"3700920103764"</f>
        <v>3700920103764</v>
      </c>
      <c r="J791" t="s">
        <v>1042</v>
      </c>
    </row>
    <row r="792" spans="1:10" x14ac:dyDescent="0.25">
      <c r="A792" t="s">
        <v>8</v>
      </c>
      <c r="B792" t="s">
        <v>1043</v>
      </c>
      <c r="C792" t="s">
        <v>1044</v>
      </c>
      <c r="D792">
        <v>1</v>
      </c>
      <c r="E792" t="s">
        <v>10</v>
      </c>
      <c r="F792" t="s">
        <v>11</v>
      </c>
      <c r="G792" s="1"/>
      <c r="H792" t="str">
        <f>"3700920103719"</f>
        <v>3700920103719</v>
      </c>
      <c r="J792" t="s">
        <v>1045</v>
      </c>
    </row>
    <row r="793" spans="1:10" x14ac:dyDescent="0.25">
      <c r="A793" t="s">
        <v>8</v>
      </c>
      <c r="B793" t="s">
        <v>1046</v>
      </c>
      <c r="C793" t="s">
        <v>1047</v>
      </c>
      <c r="D793">
        <v>1</v>
      </c>
      <c r="E793" t="s">
        <v>10</v>
      </c>
      <c r="F793" t="s">
        <v>11</v>
      </c>
      <c r="G793" s="1"/>
      <c r="H793" t="str">
        <f>"3700920103641"</f>
        <v>3700920103641</v>
      </c>
      <c r="J793" t="s">
        <v>1045</v>
      </c>
    </row>
    <row r="794" spans="1:10" x14ac:dyDescent="0.25">
      <c r="A794" t="s">
        <v>8</v>
      </c>
      <c r="B794" t="s">
        <v>1048</v>
      </c>
      <c r="C794" t="s">
        <v>1049</v>
      </c>
      <c r="D794">
        <v>1</v>
      </c>
      <c r="E794" t="s">
        <v>10</v>
      </c>
      <c r="F794" t="s">
        <v>11</v>
      </c>
      <c r="G794" s="1"/>
      <c r="H794" t="str">
        <f>"3700920103634"</f>
        <v>3700920103634</v>
      </c>
      <c r="J794" t="s">
        <v>30</v>
      </c>
    </row>
    <row r="795" spans="1:10" x14ac:dyDescent="0.25">
      <c r="A795" t="s">
        <v>8</v>
      </c>
      <c r="B795" t="s">
        <v>1050</v>
      </c>
      <c r="C795" t="s">
        <v>1051</v>
      </c>
      <c r="D795">
        <v>1</v>
      </c>
      <c r="E795" t="s">
        <v>10</v>
      </c>
      <c r="F795" t="s">
        <v>11</v>
      </c>
      <c r="G795" s="1"/>
      <c r="H795" t="str">
        <f>"3700920104402"</f>
        <v>3700920104402</v>
      </c>
      <c r="J795" t="s">
        <v>478</v>
      </c>
    </row>
    <row r="796" spans="1:10" x14ac:dyDescent="0.25">
      <c r="A796" t="s">
        <v>8</v>
      </c>
      <c r="B796" t="s">
        <v>1052</v>
      </c>
      <c r="C796" t="s">
        <v>1053</v>
      </c>
      <c r="D796">
        <v>1</v>
      </c>
      <c r="E796" t="s">
        <v>10</v>
      </c>
      <c r="F796" t="s">
        <v>11</v>
      </c>
      <c r="G796" s="1"/>
      <c r="H796" t="str">
        <f>"3700920104419"</f>
        <v>3700920104419</v>
      </c>
      <c r="J796" t="s">
        <v>919</v>
      </c>
    </row>
    <row r="797" spans="1:10" x14ac:dyDescent="0.25">
      <c r="A797" t="s">
        <v>8</v>
      </c>
      <c r="B797" t="s">
        <v>1054</v>
      </c>
      <c r="C797" t="s">
        <v>1051</v>
      </c>
      <c r="D797">
        <v>1</v>
      </c>
      <c r="E797" t="s">
        <v>10</v>
      </c>
      <c r="F797" t="s">
        <v>11</v>
      </c>
      <c r="G797" s="1"/>
      <c r="H797" t="str">
        <f>"3700920103689"</f>
        <v>3700920103689</v>
      </c>
      <c r="J797" t="s">
        <v>919</v>
      </c>
    </row>
    <row r="798" spans="1:10" x14ac:dyDescent="0.25">
      <c r="A798" t="s">
        <v>8</v>
      </c>
      <c r="B798" t="s">
        <v>1055</v>
      </c>
      <c r="C798" t="s">
        <v>1056</v>
      </c>
      <c r="D798">
        <v>1</v>
      </c>
      <c r="E798" t="s">
        <v>10</v>
      </c>
      <c r="F798" t="s">
        <v>11</v>
      </c>
      <c r="G798" s="1"/>
      <c r="H798" t="str">
        <f>"3700920103795"</f>
        <v>3700920103795</v>
      </c>
      <c r="J798" t="s">
        <v>919</v>
      </c>
    </row>
    <row r="799" spans="1:10" x14ac:dyDescent="0.25">
      <c r="A799" t="s">
        <v>8</v>
      </c>
      <c r="B799" t="s">
        <v>1057</v>
      </c>
      <c r="C799" t="s">
        <v>1058</v>
      </c>
      <c r="D799">
        <v>1</v>
      </c>
      <c r="E799" t="s">
        <v>10</v>
      </c>
      <c r="F799" t="s">
        <v>11</v>
      </c>
      <c r="G799" s="1"/>
      <c r="H799" t="str">
        <f>"3700920103788"</f>
        <v>3700920103788</v>
      </c>
      <c r="J799" t="s">
        <v>478</v>
      </c>
    </row>
    <row r="800" spans="1:10" x14ac:dyDescent="0.25">
      <c r="A800" t="s">
        <v>8</v>
      </c>
      <c r="B800" t="s">
        <v>1059</v>
      </c>
      <c r="C800" t="s">
        <v>1060</v>
      </c>
      <c r="D800">
        <v>1</v>
      </c>
      <c r="E800" t="s">
        <v>10</v>
      </c>
      <c r="F800" t="s">
        <v>11</v>
      </c>
      <c r="G800" s="1"/>
      <c r="H800" t="str">
        <f>"3700920103658"</f>
        <v>3700920103658</v>
      </c>
      <c r="I800" s="1"/>
      <c r="J800" t="s">
        <v>351</v>
      </c>
    </row>
    <row r="801" spans="1:10" x14ac:dyDescent="0.25">
      <c r="A801" t="s">
        <v>8</v>
      </c>
      <c r="B801" t="s">
        <v>1061</v>
      </c>
      <c r="C801" t="s">
        <v>1062</v>
      </c>
      <c r="D801">
        <v>1</v>
      </c>
      <c r="E801" t="s">
        <v>10</v>
      </c>
      <c r="F801" t="s">
        <v>11</v>
      </c>
      <c r="G801" s="1"/>
      <c r="H801" t="str">
        <f>"3700920103672"</f>
        <v>3700920103672</v>
      </c>
      <c r="I801" s="1"/>
      <c r="J801" t="s">
        <v>351</v>
      </c>
    </row>
    <row r="802" spans="1:10" x14ac:dyDescent="0.25">
      <c r="A802" t="s">
        <v>8</v>
      </c>
      <c r="B802" t="s">
        <v>1063</v>
      </c>
      <c r="C802" t="s">
        <v>1064</v>
      </c>
      <c r="D802">
        <v>1</v>
      </c>
      <c r="E802" t="s">
        <v>10</v>
      </c>
      <c r="F802" t="s">
        <v>11</v>
      </c>
      <c r="G802" s="1"/>
      <c r="H802" t="str">
        <f>"3700920103740"</f>
        <v>3700920103740</v>
      </c>
      <c r="J802" t="s">
        <v>235</v>
      </c>
    </row>
    <row r="803" spans="1:10" x14ac:dyDescent="0.25">
      <c r="A803" t="s">
        <v>8</v>
      </c>
      <c r="B803" t="s">
        <v>1065</v>
      </c>
      <c r="C803" t="s">
        <v>1066</v>
      </c>
      <c r="D803">
        <v>1</v>
      </c>
      <c r="E803" t="s">
        <v>10</v>
      </c>
      <c r="F803" t="s">
        <v>11</v>
      </c>
      <c r="G803" s="1"/>
      <c r="H803" t="str">
        <f>"3700920103702"</f>
        <v>3700920103702</v>
      </c>
      <c r="J803" t="s">
        <v>457</v>
      </c>
    </row>
    <row r="804" spans="1:10" x14ac:dyDescent="0.25">
      <c r="A804" t="s">
        <v>8</v>
      </c>
      <c r="B804" t="s">
        <v>1067</v>
      </c>
      <c r="C804" t="s">
        <v>1068</v>
      </c>
      <c r="D804">
        <v>1</v>
      </c>
      <c r="E804" t="s">
        <v>10</v>
      </c>
      <c r="F804" t="s">
        <v>11</v>
      </c>
      <c r="G804" s="1"/>
      <c r="H804" t="str">
        <f>"3700920110816"</f>
        <v>3700920110816</v>
      </c>
      <c r="J804" t="s">
        <v>624</v>
      </c>
    </row>
    <row r="805" spans="1:10" x14ac:dyDescent="0.25">
      <c r="A805" t="s">
        <v>8</v>
      </c>
      <c r="B805" t="s">
        <v>1069</v>
      </c>
      <c r="C805" t="s">
        <v>1070</v>
      </c>
      <c r="D805">
        <v>1</v>
      </c>
      <c r="E805" t="s">
        <v>10</v>
      </c>
      <c r="F805" t="s">
        <v>11</v>
      </c>
      <c r="G805" s="1"/>
      <c r="H805" t="str">
        <f>"3700920110823"</f>
        <v>3700920110823</v>
      </c>
      <c r="J805" t="s">
        <v>457</v>
      </c>
    </row>
    <row r="806" spans="1:10" x14ac:dyDescent="0.25">
      <c r="A806" t="s">
        <v>8</v>
      </c>
      <c r="B806" t="s">
        <v>1071</v>
      </c>
      <c r="C806" t="s">
        <v>1072</v>
      </c>
      <c r="D806">
        <v>1</v>
      </c>
      <c r="E806" t="s">
        <v>10</v>
      </c>
      <c r="F806" t="s">
        <v>11</v>
      </c>
      <c r="G806" s="1"/>
      <c r="H806" t="str">
        <f>"3700920113503"</f>
        <v>3700920113503</v>
      </c>
      <c r="J806" s="1">
        <v>183</v>
      </c>
    </row>
    <row r="807" spans="1:10" x14ac:dyDescent="0.25">
      <c r="A807" t="s">
        <v>8</v>
      </c>
      <c r="B807">
        <v>6150001</v>
      </c>
      <c r="C807" t="s">
        <v>1073</v>
      </c>
      <c r="D807">
        <v>1</v>
      </c>
      <c r="E807" t="s">
        <v>10</v>
      </c>
      <c r="F807" t="s">
        <v>11</v>
      </c>
      <c r="G807" s="1"/>
      <c r="H807" t="str">
        <f>"3700920146099"</f>
        <v>3700920146099</v>
      </c>
      <c r="J807" t="s">
        <v>317</v>
      </c>
    </row>
    <row r="808" spans="1:10" x14ac:dyDescent="0.25">
      <c r="A808" t="s">
        <v>8</v>
      </c>
      <c r="B808">
        <v>6150002</v>
      </c>
      <c r="C808" t="s">
        <v>1074</v>
      </c>
      <c r="D808">
        <v>1</v>
      </c>
      <c r="E808" t="s">
        <v>10</v>
      </c>
      <c r="F808" t="s">
        <v>11</v>
      </c>
      <c r="G808" s="1"/>
      <c r="H808" t="str">
        <f>"3700920146679"</f>
        <v>3700920146679</v>
      </c>
      <c r="J808" t="s">
        <v>124</v>
      </c>
    </row>
    <row r="809" spans="1:10" x14ac:dyDescent="0.25">
      <c r="A809" t="s">
        <v>8</v>
      </c>
      <c r="B809">
        <v>6150090</v>
      </c>
      <c r="C809" t="s">
        <v>1075</v>
      </c>
      <c r="D809">
        <v>1</v>
      </c>
      <c r="E809" t="s">
        <v>10</v>
      </c>
      <c r="F809" t="s">
        <v>11</v>
      </c>
      <c r="G809" s="1"/>
      <c r="H809" t="str">
        <f>"3700920146105"</f>
        <v>3700920146105</v>
      </c>
      <c r="J809" t="s">
        <v>322</v>
      </c>
    </row>
    <row r="810" spans="1:10" x14ac:dyDescent="0.25">
      <c r="A810" t="s">
        <v>8</v>
      </c>
      <c r="B810">
        <v>6150091</v>
      </c>
      <c r="C810" t="s">
        <v>1076</v>
      </c>
      <c r="D810">
        <v>1</v>
      </c>
      <c r="E810" t="s">
        <v>10</v>
      </c>
      <c r="F810" t="s">
        <v>11</v>
      </c>
      <c r="G810" s="1"/>
      <c r="H810" t="str">
        <f>"3700920146112"</f>
        <v>3700920146112</v>
      </c>
      <c r="J810" s="1">
        <v>18</v>
      </c>
    </row>
    <row r="811" spans="1:10" x14ac:dyDescent="0.25">
      <c r="A811" t="s">
        <v>8</v>
      </c>
      <c r="B811">
        <v>6180027</v>
      </c>
      <c r="C811" t="s">
        <v>1077</v>
      </c>
      <c r="D811">
        <v>1</v>
      </c>
      <c r="E811" t="s">
        <v>10</v>
      </c>
      <c r="F811" t="s">
        <v>11</v>
      </c>
      <c r="G811" s="1"/>
      <c r="H811" t="str">
        <f>"3700920109766"</f>
        <v>3700920109766</v>
      </c>
      <c r="J811" t="s">
        <v>1078</v>
      </c>
    </row>
    <row r="812" spans="1:10" x14ac:dyDescent="0.25">
      <c r="A812" t="s">
        <v>8</v>
      </c>
      <c r="B812">
        <v>6180030</v>
      </c>
      <c r="C812" t="s">
        <v>1079</v>
      </c>
      <c r="D812">
        <v>1</v>
      </c>
      <c r="E812" t="s">
        <v>10</v>
      </c>
      <c r="F812" t="s">
        <v>11</v>
      </c>
      <c r="G812" s="1"/>
      <c r="H812" t="str">
        <f>"3700920109759"</f>
        <v>3700920109759</v>
      </c>
      <c r="J812" t="s">
        <v>1078</v>
      </c>
    </row>
    <row r="813" spans="1:10" x14ac:dyDescent="0.25">
      <c r="A813" t="s">
        <v>8</v>
      </c>
      <c r="B813">
        <v>6180040</v>
      </c>
      <c r="C813" t="s">
        <v>1080</v>
      </c>
      <c r="D813">
        <v>1</v>
      </c>
      <c r="E813" t="s">
        <v>10</v>
      </c>
      <c r="F813" t="s">
        <v>11</v>
      </c>
      <c r="G813" s="1"/>
      <c r="H813" t="str">
        <f>"3700920109742"</f>
        <v>3700920109742</v>
      </c>
      <c r="J813" t="s">
        <v>1078</v>
      </c>
    </row>
    <row r="814" spans="1:10" x14ac:dyDescent="0.25">
      <c r="A814" t="s">
        <v>8</v>
      </c>
      <c r="B814">
        <v>6181027</v>
      </c>
      <c r="C814" t="s">
        <v>1081</v>
      </c>
      <c r="D814">
        <v>1</v>
      </c>
      <c r="E814" t="s">
        <v>10</v>
      </c>
      <c r="F814" t="s">
        <v>11</v>
      </c>
      <c r="G814" s="1"/>
      <c r="H814" t="str">
        <f>"3700920110052"</f>
        <v>3700920110052</v>
      </c>
      <c r="J814" t="s">
        <v>1082</v>
      </c>
    </row>
    <row r="815" spans="1:10" x14ac:dyDescent="0.25">
      <c r="A815" t="s">
        <v>8</v>
      </c>
      <c r="B815">
        <v>6181030</v>
      </c>
      <c r="C815" t="s">
        <v>1083</v>
      </c>
      <c r="D815">
        <v>1</v>
      </c>
      <c r="E815" t="s">
        <v>10</v>
      </c>
      <c r="F815" t="s">
        <v>11</v>
      </c>
      <c r="G815" s="1"/>
      <c r="H815" t="str">
        <f>"3700920110069"</f>
        <v>3700920110069</v>
      </c>
      <c r="J815" t="s">
        <v>1082</v>
      </c>
    </row>
    <row r="816" spans="1:10" x14ac:dyDescent="0.25">
      <c r="A816" t="s">
        <v>8</v>
      </c>
      <c r="B816">
        <v>6181040</v>
      </c>
      <c r="C816" t="s">
        <v>1084</v>
      </c>
      <c r="D816">
        <v>1</v>
      </c>
      <c r="E816" t="s">
        <v>10</v>
      </c>
      <c r="F816" t="s">
        <v>11</v>
      </c>
      <c r="G816" s="1"/>
      <c r="H816" t="str">
        <f>"3700920110076"</f>
        <v>3700920110076</v>
      </c>
      <c r="J816" t="s">
        <v>1082</v>
      </c>
    </row>
    <row r="817" spans="1:10" x14ac:dyDescent="0.25">
      <c r="A817" t="s">
        <v>8</v>
      </c>
      <c r="B817">
        <v>6200100</v>
      </c>
      <c r="C817" t="s">
        <v>1085</v>
      </c>
      <c r="D817">
        <v>1</v>
      </c>
      <c r="E817" t="s">
        <v>10</v>
      </c>
      <c r="F817" t="s">
        <v>11</v>
      </c>
      <c r="G817" s="1"/>
      <c r="H817" t="str">
        <f>"3700920116122"</f>
        <v>3700920116122</v>
      </c>
      <c r="J817" s="1">
        <v>21</v>
      </c>
    </row>
    <row r="818" spans="1:10" x14ac:dyDescent="0.25">
      <c r="A818" t="s">
        <v>8</v>
      </c>
      <c r="B818">
        <v>6200101</v>
      </c>
      <c r="C818" t="s">
        <v>1086</v>
      </c>
      <c r="D818">
        <v>1</v>
      </c>
      <c r="E818" t="s">
        <v>10</v>
      </c>
      <c r="F818" t="s">
        <v>11</v>
      </c>
      <c r="G818" s="1"/>
      <c r="H818" t="str">
        <f>"3700920146129"</f>
        <v>3700920146129</v>
      </c>
      <c r="J818" t="s">
        <v>355</v>
      </c>
    </row>
    <row r="819" spans="1:10" x14ac:dyDescent="0.25">
      <c r="A819" t="s">
        <v>8</v>
      </c>
      <c r="B819">
        <v>6200102</v>
      </c>
      <c r="C819" t="s">
        <v>1087</v>
      </c>
      <c r="D819">
        <v>1</v>
      </c>
      <c r="E819" t="s">
        <v>10</v>
      </c>
      <c r="F819" t="s">
        <v>11</v>
      </c>
      <c r="G819" s="1"/>
      <c r="H819" t="str">
        <f>"3700920146136"</f>
        <v>3700920146136</v>
      </c>
      <c r="J819" s="1">
        <v>24</v>
      </c>
    </row>
    <row r="820" spans="1:10" x14ac:dyDescent="0.25">
      <c r="A820" t="s">
        <v>8</v>
      </c>
      <c r="B820">
        <v>6200103</v>
      </c>
      <c r="C820" t="s">
        <v>1088</v>
      </c>
      <c r="D820">
        <v>1</v>
      </c>
      <c r="E820" t="s">
        <v>10</v>
      </c>
      <c r="F820" t="s">
        <v>11</v>
      </c>
      <c r="G820" s="1"/>
      <c r="H820" t="str">
        <f>"3700920116139"</f>
        <v>3700920116139</v>
      </c>
      <c r="J820" s="1">
        <v>21</v>
      </c>
    </row>
    <row r="821" spans="1:10" x14ac:dyDescent="0.25">
      <c r="A821" t="s">
        <v>8</v>
      </c>
      <c r="B821">
        <v>6200104</v>
      </c>
      <c r="C821" t="s">
        <v>1089</v>
      </c>
      <c r="D821">
        <v>1</v>
      </c>
      <c r="E821" t="s">
        <v>10</v>
      </c>
      <c r="F821" t="s">
        <v>11</v>
      </c>
      <c r="G821" s="1"/>
      <c r="H821" t="str">
        <f>"3700920146143"</f>
        <v>3700920146143</v>
      </c>
      <c r="J821" s="1">
        <v>24</v>
      </c>
    </row>
    <row r="822" spans="1:10" x14ac:dyDescent="0.25">
      <c r="A822" t="s">
        <v>8</v>
      </c>
      <c r="B822">
        <v>6200200</v>
      </c>
      <c r="C822" t="s">
        <v>1090</v>
      </c>
      <c r="D822">
        <v>1</v>
      </c>
      <c r="E822" t="s">
        <v>10</v>
      </c>
      <c r="F822" t="s">
        <v>11</v>
      </c>
      <c r="G822" s="1"/>
      <c r="H822" t="str">
        <f>"3700920116849"</f>
        <v>3700920116849</v>
      </c>
      <c r="J822" t="s">
        <v>74</v>
      </c>
    </row>
    <row r="823" spans="1:10" x14ac:dyDescent="0.25">
      <c r="A823" t="s">
        <v>8</v>
      </c>
      <c r="B823">
        <v>6200201</v>
      </c>
      <c r="C823" t="s">
        <v>1091</v>
      </c>
      <c r="D823">
        <v>1</v>
      </c>
      <c r="E823" t="s">
        <v>10</v>
      </c>
      <c r="F823" t="s">
        <v>11</v>
      </c>
      <c r="G823" s="1"/>
      <c r="H823" t="str">
        <f>"3700920116856"</f>
        <v>3700920116856</v>
      </c>
      <c r="J823" t="s">
        <v>74</v>
      </c>
    </row>
    <row r="824" spans="1:10" x14ac:dyDescent="0.25">
      <c r="A824" t="s">
        <v>8</v>
      </c>
      <c r="B824">
        <v>6200202</v>
      </c>
      <c r="C824" t="s">
        <v>1092</v>
      </c>
      <c r="D824">
        <v>1</v>
      </c>
      <c r="E824" t="s">
        <v>10</v>
      </c>
      <c r="F824" t="s">
        <v>11</v>
      </c>
      <c r="G824" s="1"/>
      <c r="H824" t="str">
        <f>"3700920116863"</f>
        <v>3700920116863</v>
      </c>
      <c r="J824" t="s">
        <v>74</v>
      </c>
    </row>
    <row r="825" spans="1:10" x14ac:dyDescent="0.25">
      <c r="A825" t="s">
        <v>8</v>
      </c>
      <c r="B825">
        <v>6200203</v>
      </c>
      <c r="C825" t="s">
        <v>1093</v>
      </c>
      <c r="D825">
        <v>1</v>
      </c>
      <c r="E825" t="s">
        <v>10</v>
      </c>
      <c r="F825" t="s">
        <v>11</v>
      </c>
      <c r="G825" s="1"/>
      <c r="H825" t="str">
        <f>"3700920116870"</f>
        <v>3700920116870</v>
      </c>
      <c r="J825" t="s">
        <v>74</v>
      </c>
    </row>
    <row r="826" spans="1:10" x14ac:dyDescent="0.25">
      <c r="A826" t="s">
        <v>8</v>
      </c>
      <c r="B826">
        <v>6201001</v>
      </c>
      <c r="C826" t="s">
        <v>1094</v>
      </c>
      <c r="D826">
        <v>1</v>
      </c>
      <c r="E826" t="s">
        <v>10</v>
      </c>
      <c r="F826" t="s">
        <v>11</v>
      </c>
      <c r="G826" s="1"/>
      <c r="H826" t="str">
        <f>"3700920110038"</f>
        <v>3700920110038</v>
      </c>
      <c r="J826" s="1">
        <v>18</v>
      </c>
    </row>
    <row r="827" spans="1:10" x14ac:dyDescent="0.25">
      <c r="A827" t="s">
        <v>8</v>
      </c>
      <c r="B827">
        <v>6201002</v>
      </c>
      <c r="C827" t="s">
        <v>1095</v>
      </c>
      <c r="D827">
        <v>1</v>
      </c>
      <c r="E827" t="s">
        <v>10</v>
      </c>
      <c r="F827" t="s">
        <v>11</v>
      </c>
      <c r="G827" s="1"/>
      <c r="H827" t="str">
        <f>"3700920110045"</f>
        <v>3700920110045</v>
      </c>
      <c r="J827" s="1">
        <v>18</v>
      </c>
    </row>
    <row r="828" spans="1:10" x14ac:dyDescent="0.25">
      <c r="A828" t="s">
        <v>8</v>
      </c>
      <c r="B828">
        <v>6201021</v>
      </c>
      <c r="C828" t="s">
        <v>1096</v>
      </c>
      <c r="D828">
        <v>1</v>
      </c>
      <c r="E828" t="s">
        <v>10</v>
      </c>
      <c r="F828" t="s">
        <v>11</v>
      </c>
      <c r="G828" s="1"/>
      <c r="H828" t="str">
        <f>"3700920110939"</f>
        <v>3700920110939</v>
      </c>
      <c r="J828" s="1">
        <v>24</v>
      </c>
    </row>
    <row r="829" spans="1:10" x14ac:dyDescent="0.25">
      <c r="A829" t="s">
        <v>8</v>
      </c>
      <c r="B829">
        <v>6201022</v>
      </c>
      <c r="C829" t="s">
        <v>1097</v>
      </c>
      <c r="D829">
        <v>1</v>
      </c>
      <c r="E829" t="s">
        <v>10</v>
      </c>
      <c r="F829" t="s">
        <v>11</v>
      </c>
      <c r="G829" s="1"/>
      <c r="H829" t="str">
        <f>"3700920110946"</f>
        <v>3700920110946</v>
      </c>
      <c r="J829" s="1">
        <v>24</v>
      </c>
    </row>
    <row r="830" spans="1:10" x14ac:dyDescent="0.25">
      <c r="A830" t="s">
        <v>8</v>
      </c>
      <c r="B830">
        <v>6201031</v>
      </c>
      <c r="C830" t="s">
        <v>1098</v>
      </c>
      <c r="D830">
        <v>1</v>
      </c>
      <c r="E830" t="s">
        <v>10</v>
      </c>
      <c r="F830" t="s">
        <v>11</v>
      </c>
      <c r="G830" s="1"/>
      <c r="H830" t="str">
        <f>"3700920111158"</f>
        <v>3700920111158</v>
      </c>
      <c r="J830" s="1">
        <v>12</v>
      </c>
    </row>
    <row r="831" spans="1:10" x14ac:dyDescent="0.25">
      <c r="A831" t="s">
        <v>8</v>
      </c>
      <c r="B831">
        <v>6201032</v>
      </c>
      <c r="C831" t="s">
        <v>1099</v>
      </c>
      <c r="D831">
        <v>1</v>
      </c>
      <c r="E831" t="s">
        <v>10</v>
      </c>
      <c r="F831" t="s">
        <v>11</v>
      </c>
      <c r="G831" s="1"/>
      <c r="H831" t="str">
        <f>"3700920111165"</f>
        <v>3700920111165</v>
      </c>
      <c r="J831" s="1">
        <v>12</v>
      </c>
    </row>
    <row r="832" spans="1:10" x14ac:dyDescent="0.25">
      <c r="A832" t="s">
        <v>8</v>
      </c>
      <c r="B832">
        <v>6201041</v>
      </c>
      <c r="C832" t="s">
        <v>1100</v>
      </c>
      <c r="D832">
        <v>1</v>
      </c>
      <c r="E832" t="s">
        <v>10</v>
      </c>
      <c r="F832" t="s">
        <v>11</v>
      </c>
      <c r="G832" s="1"/>
      <c r="H832" t="str">
        <f>"3700920114449"</f>
        <v>3700920114449</v>
      </c>
      <c r="J832" s="1">
        <v>18</v>
      </c>
    </row>
    <row r="833" spans="1:10" x14ac:dyDescent="0.25">
      <c r="A833" t="s">
        <v>8</v>
      </c>
      <c r="B833">
        <v>6201042</v>
      </c>
      <c r="C833" t="s">
        <v>1101</v>
      </c>
      <c r="D833">
        <v>1</v>
      </c>
      <c r="E833" t="s">
        <v>10</v>
      </c>
      <c r="F833" t="s">
        <v>11</v>
      </c>
      <c r="G833" s="1"/>
      <c r="H833" t="str">
        <f>"3700920114456"</f>
        <v>3700920114456</v>
      </c>
      <c r="J833" s="1">
        <v>18</v>
      </c>
    </row>
    <row r="834" spans="1:10" x14ac:dyDescent="0.25">
      <c r="A834" t="s">
        <v>8</v>
      </c>
      <c r="B834">
        <v>6201051</v>
      </c>
      <c r="C834" t="s">
        <v>1102</v>
      </c>
      <c r="D834">
        <v>1</v>
      </c>
      <c r="E834" t="s">
        <v>10</v>
      </c>
      <c r="F834" t="s">
        <v>11</v>
      </c>
      <c r="G834" s="1"/>
      <c r="H834" t="str">
        <f>"3700920114425"</f>
        <v>3700920114425</v>
      </c>
      <c r="J834" s="1">
        <v>15</v>
      </c>
    </row>
    <row r="835" spans="1:10" x14ac:dyDescent="0.25">
      <c r="A835" t="s">
        <v>8</v>
      </c>
      <c r="B835">
        <v>6201052</v>
      </c>
      <c r="C835" t="s">
        <v>1103</v>
      </c>
      <c r="D835">
        <v>1</v>
      </c>
      <c r="E835" t="s">
        <v>10</v>
      </c>
      <c r="F835" t="s">
        <v>11</v>
      </c>
      <c r="G835" s="1"/>
      <c r="H835" t="str">
        <f>"3700920114432"</f>
        <v>3700920114432</v>
      </c>
      <c r="J835" s="1">
        <v>15</v>
      </c>
    </row>
    <row r="836" spans="1:10" x14ac:dyDescent="0.25">
      <c r="A836" t="s">
        <v>8</v>
      </c>
      <c r="B836">
        <v>6201061</v>
      </c>
      <c r="C836" t="s">
        <v>1104</v>
      </c>
      <c r="D836">
        <v>1</v>
      </c>
      <c r="E836" t="s">
        <v>10</v>
      </c>
      <c r="F836" t="s">
        <v>11</v>
      </c>
      <c r="G836" s="1"/>
      <c r="H836" t="str">
        <f>"3700920114678"</f>
        <v>3700920114678</v>
      </c>
      <c r="J836" t="s">
        <v>101</v>
      </c>
    </row>
    <row r="837" spans="1:10" x14ac:dyDescent="0.25">
      <c r="A837" t="s">
        <v>8</v>
      </c>
      <c r="B837">
        <v>6201062</v>
      </c>
      <c r="C837" t="s">
        <v>1105</v>
      </c>
      <c r="D837">
        <v>1</v>
      </c>
      <c r="E837" t="s">
        <v>10</v>
      </c>
      <c r="F837" t="s">
        <v>11</v>
      </c>
      <c r="G837" s="1"/>
      <c r="H837" t="str">
        <f>"3700920114685"</f>
        <v>3700920114685</v>
      </c>
      <c r="J837" t="s">
        <v>101</v>
      </c>
    </row>
    <row r="838" spans="1:10" x14ac:dyDescent="0.25">
      <c r="A838" t="s">
        <v>8</v>
      </c>
      <c r="B838">
        <v>6201063</v>
      </c>
      <c r="C838" t="s">
        <v>1106</v>
      </c>
      <c r="D838">
        <v>1</v>
      </c>
      <c r="E838" t="s">
        <v>10</v>
      </c>
      <c r="F838" t="s">
        <v>11</v>
      </c>
      <c r="G838" s="1"/>
      <c r="H838" t="str">
        <f>"3700920145627"</f>
        <v>3700920145627</v>
      </c>
      <c r="J838" t="s">
        <v>317</v>
      </c>
    </row>
    <row r="839" spans="1:10" x14ac:dyDescent="0.25">
      <c r="A839" t="s">
        <v>8</v>
      </c>
      <c r="B839">
        <v>6201071</v>
      </c>
      <c r="C839" t="s">
        <v>1107</v>
      </c>
      <c r="D839">
        <v>1</v>
      </c>
      <c r="E839" t="s">
        <v>10</v>
      </c>
      <c r="F839" t="s">
        <v>11</v>
      </c>
      <c r="G839" s="1"/>
      <c r="H839" t="str">
        <f>"3700920144941"</f>
        <v>3700920144941</v>
      </c>
      <c r="J839" t="s">
        <v>107</v>
      </c>
    </row>
    <row r="840" spans="1:10" x14ac:dyDescent="0.25">
      <c r="A840" t="s">
        <v>8</v>
      </c>
      <c r="B840">
        <v>6201072</v>
      </c>
      <c r="C840" t="s">
        <v>1108</v>
      </c>
      <c r="D840">
        <v>1</v>
      </c>
      <c r="E840" t="s">
        <v>10</v>
      </c>
      <c r="F840" t="s">
        <v>11</v>
      </c>
      <c r="G840" s="1"/>
      <c r="H840" t="str">
        <f>"3700920144958"</f>
        <v>3700920144958</v>
      </c>
      <c r="J840" t="s">
        <v>107</v>
      </c>
    </row>
    <row r="841" spans="1:10" x14ac:dyDescent="0.25">
      <c r="A841" t="s">
        <v>8</v>
      </c>
      <c r="B841">
        <v>6201073</v>
      </c>
      <c r="C841" t="s">
        <v>1109</v>
      </c>
      <c r="D841">
        <v>1</v>
      </c>
      <c r="E841" t="s">
        <v>10</v>
      </c>
      <c r="F841" t="s">
        <v>11</v>
      </c>
      <c r="G841" s="1"/>
      <c r="H841" t="str">
        <f>"3700920146150"</f>
        <v>3700920146150</v>
      </c>
      <c r="J841" s="1">
        <v>21</v>
      </c>
    </row>
    <row r="842" spans="1:10" x14ac:dyDescent="0.25">
      <c r="A842" t="s">
        <v>8</v>
      </c>
      <c r="B842">
        <v>6201074</v>
      </c>
      <c r="C842" t="s">
        <v>1110</v>
      </c>
      <c r="D842">
        <v>1</v>
      </c>
      <c r="E842" t="s">
        <v>10</v>
      </c>
      <c r="F842" t="s">
        <v>11</v>
      </c>
      <c r="G842" s="1"/>
      <c r="H842" t="str">
        <f>"3700920146167"</f>
        <v>3700920146167</v>
      </c>
      <c r="I842" s="1"/>
      <c r="J842" t="s">
        <v>1111</v>
      </c>
    </row>
    <row r="843" spans="1:10" x14ac:dyDescent="0.25">
      <c r="A843" t="s">
        <v>8</v>
      </c>
      <c r="B843">
        <v>6201075</v>
      </c>
      <c r="C843" t="s">
        <v>1112</v>
      </c>
      <c r="D843">
        <v>1</v>
      </c>
      <c r="E843" t="s">
        <v>10</v>
      </c>
      <c r="F843" t="s">
        <v>11</v>
      </c>
      <c r="G843" s="1"/>
      <c r="H843" t="str">
        <f>"3700920146174"</f>
        <v>3700920146174</v>
      </c>
      <c r="I843" s="1"/>
      <c r="J843" t="s">
        <v>1111</v>
      </c>
    </row>
    <row r="844" spans="1:10" x14ac:dyDescent="0.25">
      <c r="A844" t="s">
        <v>8</v>
      </c>
      <c r="B844">
        <v>6201081</v>
      </c>
      <c r="C844" t="s">
        <v>1113</v>
      </c>
      <c r="D844">
        <v>1</v>
      </c>
      <c r="E844" t="s">
        <v>10</v>
      </c>
      <c r="F844" t="s">
        <v>11</v>
      </c>
      <c r="G844" s="1"/>
      <c r="H844" t="str">
        <f>"3700920146181"</f>
        <v>3700920146181</v>
      </c>
      <c r="J844" s="1">
        <v>21</v>
      </c>
    </row>
    <row r="845" spans="1:10" x14ac:dyDescent="0.25">
      <c r="A845" t="s">
        <v>8</v>
      </c>
      <c r="B845">
        <v>6201082</v>
      </c>
      <c r="C845" t="s">
        <v>1114</v>
      </c>
      <c r="D845">
        <v>1</v>
      </c>
      <c r="E845" t="s">
        <v>10</v>
      </c>
      <c r="F845" t="s">
        <v>11</v>
      </c>
      <c r="G845" s="1"/>
      <c r="H845" t="str">
        <f>"3700920146198"</f>
        <v>3700920146198</v>
      </c>
      <c r="J845" s="1">
        <v>21</v>
      </c>
    </row>
    <row r="846" spans="1:10" x14ac:dyDescent="0.25">
      <c r="A846" t="s">
        <v>8</v>
      </c>
      <c r="B846">
        <v>6201083</v>
      </c>
      <c r="C846" t="s">
        <v>1115</v>
      </c>
      <c r="D846">
        <v>1</v>
      </c>
      <c r="E846" t="s">
        <v>10</v>
      </c>
      <c r="F846" t="s">
        <v>11</v>
      </c>
      <c r="G846" s="1"/>
      <c r="H846" t="str">
        <f>"3700920146204"</f>
        <v>3700920146204</v>
      </c>
      <c r="J846" s="1">
        <v>21</v>
      </c>
    </row>
    <row r="847" spans="1:10" x14ac:dyDescent="0.25">
      <c r="A847" t="s">
        <v>8</v>
      </c>
      <c r="B847">
        <v>6201084</v>
      </c>
      <c r="C847" t="s">
        <v>1116</v>
      </c>
      <c r="D847">
        <v>1</v>
      </c>
      <c r="E847" t="s">
        <v>10</v>
      </c>
      <c r="F847" t="s">
        <v>11</v>
      </c>
      <c r="G847" s="1"/>
      <c r="H847" t="str">
        <f>"3700920146211"</f>
        <v>3700920146211</v>
      </c>
      <c r="I847" s="1"/>
      <c r="J847" t="s">
        <v>1111</v>
      </c>
    </row>
    <row r="848" spans="1:10" x14ac:dyDescent="0.25">
      <c r="A848" t="s">
        <v>8</v>
      </c>
      <c r="B848">
        <v>6201085</v>
      </c>
      <c r="C848" t="s">
        <v>1117</v>
      </c>
      <c r="D848">
        <v>1</v>
      </c>
      <c r="E848" t="s">
        <v>10</v>
      </c>
      <c r="F848" t="s">
        <v>11</v>
      </c>
      <c r="G848" s="1"/>
      <c r="H848" t="str">
        <f>"3700920146228"</f>
        <v>3700920146228</v>
      </c>
      <c r="I848" s="1"/>
      <c r="J848" t="s">
        <v>1111</v>
      </c>
    </row>
    <row r="849" spans="1:10" x14ac:dyDescent="0.25">
      <c r="A849" t="s">
        <v>8</v>
      </c>
      <c r="B849">
        <v>6201091</v>
      </c>
      <c r="C849" t="s">
        <v>1118</v>
      </c>
      <c r="D849">
        <v>1</v>
      </c>
      <c r="E849" t="s">
        <v>10</v>
      </c>
      <c r="F849" t="s">
        <v>11</v>
      </c>
      <c r="G849" s="1"/>
      <c r="H849" t="str">
        <f>"3700920146235"</f>
        <v>3700920146235</v>
      </c>
      <c r="J849" s="1">
        <v>21</v>
      </c>
    </row>
    <row r="850" spans="1:10" x14ac:dyDescent="0.25">
      <c r="A850" t="s">
        <v>8</v>
      </c>
      <c r="B850">
        <v>6201092</v>
      </c>
      <c r="C850" t="s">
        <v>1119</v>
      </c>
      <c r="D850">
        <v>1</v>
      </c>
      <c r="E850" t="s">
        <v>10</v>
      </c>
      <c r="F850" t="s">
        <v>11</v>
      </c>
      <c r="G850" s="1"/>
      <c r="H850" t="str">
        <f>"3700920146242"</f>
        <v>3700920146242</v>
      </c>
      <c r="J850" s="1">
        <v>21</v>
      </c>
    </row>
    <row r="851" spans="1:10" x14ac:dyDescent="0.25">
      <c r="A851" t="s">
        <v>8</v>
      </c>
      <c r="B851">
        <v>6201093</v>
      </c>
      <c r="C851" t="s">
        <v>1120</v>
      </c>
      <c r="D851">
        <v>1</v>
      </c>
      <c r="E851" t="s">
        <v>10</v>
      </c>
      <c r="F851" t="s">
        <v>11</v>
      </c>
      <c r="G851" s="1"/>
      <c r="H851" t="str">
        <f>"3700920146259"</f>
        <v>3700920146259</v>
      </c>
      <c r="J851" s="1">
        <v>21</v>
      </c>
    </row>
    <row r="852" spans="1:10" x14ac:dyDescent="0.25">
      <c r="A852" t="s">
        <v>8</v>
      </c>
      <c r="B852">
        <v>6201094</v>
      </c>
      <c r="C852" t="s">
        <v>1121</v>
      </c>
      <c r="D852">
        <v>1</v>
      </c>
      <c r="E852" t="s">
        <v>10</v>
      </c>
      <c r="F852" t="s">
        <v>11</v>
      </c>
      <c r="G852" s="1"/>
      <c r="H852" t="str">
        <f>"3700920146266"</f>
        <v>3700920146266</v>
      </c>
      <c r="I852" s="1"/>
      <c r="J852" t="s">
        <v>1111</v>
      </c>
    </row>
    <row r="853" spans="1:10" x14ac:dyDescent="0.25">
      <c r="A853" t="s">
        <v>8</v>
      </c>
      <c r="B853">
        <v>6201095</v>
      </c>
      <c r="C853" t="s">
        <v>1122</v>
      </c>
      <c r="D853">
        <v>1</v>
      </c>
      <c r="E853" t="s">
        <v>10</v>
      </c>
      <c r="F853" t="s">
        <v>11</v>
      </c>
      <c r="G853" s="1"/>
      <c r="H853" t="str">
        <f>"3700920146273"</f>
        <v>3700920146273</v>
      </c>
      <c r="I853" s="1"/>
      <c r="J853" t="s">
        <v>1111</v>
      </c>
    </row>
    <row r="854" spans="1:10" x14ac:dyDescent="0.25">
      <c r="A854" t="s">
        <v>8</v>
      </c>
      <c r="B854">
        <v>6201101</v>
      </c>
      <c r="C854" t="s">
        <v>1123</v>
      </c>
      <c r="D854">
        <v>1</v>
      </c>
      <c r="E854" t="s">
        <v>10</v>
      </c>
      <c r="F854" t="s">
        <v>11</v>
      </c>
      <c r="G854" s="1"/>
      <c r="H854" t="str">
        <f>"3700920148123"</f>
        <v>3700920148123</v>
      </c>
      <c r="J854" t="s">
        <v>824</v>
      </c>
    </row>
    <row r="855" spans="1:10" x14ac:dyDescent="0.25">
      <c r="A855" t="s">
        <v>8</v>
      </c>
      <c r="B855">
        <v>6201102</v>
      </c>
      <c r="C855" t="s">
        <v>1124</v>
      </c>
      <c r="D855">
        <v>1</v>
      </c>
      <c r="E855" t="s">
        <v>10</v>
      </c>
      <c r="F855" t="s">
        <v>11</v>
      </c>
      <c r="G855" s="1"/>
      <c r="H855" t="str">
        <f>"3700920148567"</f>
        <v>3700920148567</v>
      </c>
      <c r="J855" t="s">
        <v>824</v>
      </c>
    </row>
    <row r="856" spans="1:10" x14ac:dyDescent="0.25">
      <c r="A856" t="s">
        <v>8</v>
      </c>
      <c r="B856">
        <v>6201801</v>
      </c>
      <c r="C856" t="s">
        <v>1125</v>
      </c>
      <c r="D856">
        <v>1</v>
      </c>
      <c r="E856" t="s">
        <v>10</v>
      </c>
      <c r="F856" t="s">
        <v>11</v>
      </c>
      <c r="G856" s="1"/>
      <c r="H856" t="str">
        <f>"3700920114463"</f>
        <v>3700920114463</v>
      </c>
      <c r="J856" t="s">
        <v>162</v>
      </c>
    </row>
    <row r="857" spans="1:10" x14ac:dyDescent="0.25">
      <c r="A857" t="s">
        <v>8</v>
      </c>
      <c r="B857">
        <v>6201802</v>
      </c>
      <c r="C857" t="s">
        <v>1126</v>
      </c>
      <c r="D857">
        <v>1</v>
      </c>
      <c r="E857" t="s">
        <v>10</v>
      </c>
      <c r="F857" t="s">
        <v>11</v>
      </c>
      <c r="G857" s="1"/>
      <c r="H857" t="str">
        <f>"3700920114470"</f>
        <v>3700920114470</v>
      </c>
      <c r="J857" t="s">
        <v>162</v>
      </c>
    </row>
    <row r="858" spans="1:10" x14ac:dyDescent="0.25">
      <c r="A858" t="s">
        <v>8</v>
      </c>
      <c r="B858">
        <v>6201803</v>
      </c>
      <c r="C858" t="s">
        <v>1127</v>
      </c>
      <c r="D858">
        <v>1</v>
      </c>
      <c r="E858" t="s">
        <v>10</v>
      </c>
      <c r="F858" t="s">
        <v>11</v>
      </c>
      <c r="G858" s="1"/>
      <c r="H858" t="str">
        <f>"3700920114487"</f>
        <v>3700920114487</v>
      </c>
      <c r="J858" t="s">
        <v>162</v>
      </c>
    </row>
    <row r="859" spans="1:10" x14ac:dyDescent="0.25">
      <c r="A859" t="s">
        <v>8</v>
      </c>
      <c r="B859">
        <v>6201804</v>
      </c>
      <c r="C859" t="s">
        <v>1128</v>
      </c>
      <c r="D859">
        <v>1</v>
      </c>
      <c r="E859" t="s">
        <v>10</v>
      </c>
      <c r="F859" t="s">
        <v>11</v>
      </c>
      <c r="G859" s="1"/>
      <c r="H859" t="str">
        <f>"3700920114494"</f>
        <v>3700920114494</v>
      </c>
      <c r="J859" t="s">
        <v>162</v>
      </c>
    </row>
    <row r="860" spans="1:10" x14ac:dyDescent="0.25">
      <c r="A860" t="s">
        <v>8</v>
      </c>
      <c r="B860">
        <v>6201805</v>
      </c>
      <c r="C860" t="s">
        <v>1129</v>
      </c>
      <c r="D860">
        <v>1</v>
      </c>
      <c r="E860" t="s">
        <v>10</v>
      </c>
      <c r="F860" t="s">
        <v>11</v>
      </c>
      <c r="G860" s="1"/>
      <c r="H860" t="str">
        <f>"3700920114692"</f>
        <v>3700920114692</v>
      </c>
      <c r="J860" t="s">
        <v>333</v>
      </c>
    </row>
    <row r="861" spans="1:10" x14ac:dyDescent="0.25">
      <c r="A861" t="s">
        <v>8</v>
      </c>
      <c r="B861">
        <v>6201806</v>
      </c>
      <c r="C861" t="s">
        <v>1130</v>
      </c>
      <c r="D861">
        <v>1</v>
      </c>
      <c r="E861" t="s">
        <v>10</v>
      </c>
      <c r="F861" t="s">
        <v>11</v>
      </c>
      <c r="G861" s="1"/>
      <c r="H861" t="str">
        <f>"3700920115361"</f>
        <v>3700920115361</v>
      </c>
      <c r="J861" t="s">
        <v>1131</v>
      </c>
    </row>
    <row r="862" spans="1:10" x14ac:dyDescent="0.25">
      <c r="A862" t="s">
        <v>8</v>
      </c>
      <c r="B862">
        <v>6201807</v>
      </c>
      <c r="C862" t="s">
        <v>1132</v>
      </c>
      <c r="D862">
        <v>1</v>
      </c>
      <c r="E862" t="s">
        <v>10</v>
      </c>
      <c r="F862" t="s">
        <v>11</v>
      </c>
      <c r="G862" s="1"/>
      <c r="H862" t="str">
        <f>"3700920115378"</f>
        <v>3700920115378</v>
      </c>
      <c r="J862" t="s">
        <v>162</v>
      </c>
    </row>
    <row r="863" spans="1:10" x14ac:dyDescent="0.25">
      <c r="A863" t="s">
        <v>8</v>
      </c>
      <c r="B863">
        <v>6201901</v>
      </c>
      <c r="C863" t="s">
        <v>1133</v>
      </c>
      <c r="D863">
        <v>1</v>
      </c>
      <c r="E863" t="s">
        <v>10</v>
      </c>
      <c r="F863" t="s">
        <v>11</v>
      </c>
      <c r="G863" s="1"/>
      <c r="H863" t="str">
        <f>"3700920144965"</f>
        <v>3700920144965</v>
      </c>
      <c r="I863" s="1"/>
      <c r="J863" t="s">
        <v>1134</v>
      </c>
    </row>
    <row r="864" spans="1:10" x14ac:dyDescent="0.25">
      <c r="A864" t="s">
        <v>8</v>
      </c>
      <c r="B864">
        <v>6201902</v>
      </c>
      <c r="C864" t="s">
        <v>1135</v>
      </c>
      <c r="D864">
        <v>1</v>
      </c>
      <c r="E864" t="s">
        <v>10</v>
      </c>
      <c r="F864" t="s">
        <v>11</v>
      </c>
      <c r="G864" s="1"/>
      <c r="H864" t="str">
        <f>"3700920144972"</f>
        <v>3700920144972</v>
      </c>
      <c r="I864" s="1"/>
      <c r="J864" t="s">
        <v>1134</v>
      </c>
    </row>
    <row r="865" spans="1:10" x14ac:dyDescent="0.25">
      <c r="A865" t="s">
        <v>8</v>
      </c>
      <c r="B865">
        <v>6201903</v>
      </c>
      <c r="C865" t="s">
        <v>1136</v>
      </c>
      <c r="D865">
        <v>1</v>
      </c>
      <c r="E865" t="s">
        <v>10</v>
      </c>
      <c r="F865" t="s">
        <v>11</v>
      </c>
      <c r="G865" s="1"/>
      <c r="H865" t="str">
        <f>"3700920144989"</f>
        <v>3700920144989</v>
      </c>
      <c r="I865" s="1"/>
      <c r="J865" t="s">
        <v>1134</v>
      </c>
    </row>
    <row r="866" spans="1:10" x14ac:dyDescent="0.25">
      <c r="A866" t="s">
        <v>8</v>
      </c>
      <c r="B866">
        <v>6201914</v>
      </c>
      <c r="C866" t="s">
        <v>1137</v>
      </c>
      <c r="D866">
        <v>1</v>
      </c>
      <c r="E866" t="s">
        <v>10</v>
      </c>
      <c r="F866" t="s">
        <v>11</v>
      </c>
      <c r="G866" s="1"/>
      <c r="H866" t="str">
        <f>"3700920116153"</f>
        <v>3700920116153</v>
      </c>
      <c r="J866" t="s">
        <v>306</v>
      </c>
    </row>
    <row r="867" spans="1:10" x14ac:dyDescent="0.25">
      <c r="A867" t="s">
        <v>8</v>
      </c>
      <c r="B867">
        <v>6201915</v>
      </c>
      <c r="C867" t="s">
        <v>1138</v>
      </c>
      <c r="D867">
        <v>1</v>
      </c>
      <c r="E867" t="s">
        <v>10</v>
      </c>
      <c r="F867" t="s">
        <v>11</v>
      </c>
      <c r="G867" s="1"/>
      <c r="H867" t="str">
        <f>"3700920116177"</f>
        <v>3700920116177</v>
      </c>
      <c r="J867" t="s">
        <v>1139</v>
      </c>
    </row>
    <row r="868" spans="1:10" x14ac:dyDescent="0.25">
      <c r="A868" t="s">
        <v>8</v>
      </c>
      <c r="B868">
        <v>6201916</v>
      </c>
      <c r="C868" t="s">
        <v>1140</v>
      </c>
      <c r="D868">
        <v>1</v>
      </c>
      <c r="E868" t="s">
        <v>10</v>
      </c>
      <c r="F868" t="s">
        <v>11</v>
      </c>
      <c r="G868" s="1"/>
      <c r="H868" t="str">
        <f>"3700920116184"</f>
        <v>3700920116184</v>
      </c>
      <c r="J868" t="s">
        <v>1139</v>
      </c>
    </row>
    <row r="869" spans="1:10" x14ac:dyDescent="0.25">
      <c r="A869" t="s">
        <v>8</v>
      </c>
      <c r="B869">
        <v>6201917</v>
      </c>
      <c r="C869" t="s">
        <v>1141</v>
      </c>
      <c r="D869">
        <v>1</v>
      </c>
      <c r="E869" t="s">
        <v>10</v>
      </c>
      <c r="F869" t="s">
        <v>11</v>
      </c>
      <c r="G869" s="1"/>
      <c r="H869" t="str">
        <f>"3700920116160"</f>
        <v>3700920116160</v>
      </c>
      <c r="J869" t="s">
        <v>306</v>
      </c>
    </row>
    <row r="870" spans="1:10" x14ac:dyDescent="0.25">
      <c r="A870" t="s">
        <v>8</v>
      </c>
      <c r="B870">
        <v>6201918</v>
      </c>
      <c r="C870" t="s">
        <v>1142</v>
      </c>
      <c r="D870">
        <v>1</v>
      </c>
      <c r="E870" t="s">
        <v>10</v>
      </c>
      <c r="F870" t="s">
        <v>11</v>
      </c>
      <c r="G870" s="1"/>
      <c r="H870" t="str">
        <f>"3700920116191"</f>
        <v>3700920116191</v>
      </c>
      <c r="J870" t="s">
        <v>1139</v>
      </c>
    </row>
    <row r="871" spans="1:10" x14ac:dyDescent="0.25">
      <c r="A871" t="s">
        <v>8</v>
      </c>
      <c r="B871">
        <v>6201924</v>
      </c>
      <c r="C871" t="s">
        <v>1143</v>
      </c>
      <c r="D871">
        <v>1</v>
      </c>
      <c r="E871" t="s">
        <v>10</v>
      </c>
      <c r="F871" t="s">
        <v>11</v>
      </c>
      <c r="G871" s="1"/>
      <c r="H871" t="str">
        <f>"3700920148130"</f>
        <v>3700920148130</v>
      </c>
      <c r="J871" t="s">
        <v>370</v>
      </c>
    </row>
    <row r="872" spans="1:10" x14ac:dyDescent="0.25">
      <c r="A872" t="s">
        <v>8</v>
      </c>
      <c r="B872">
        <v>6202001</v>
      </c>
      <c r="C872" t="s">
        <v>1144</v>
      </c>
      <c r="D872">
        <v>1</v>
      </c>
      <c r="E872" t="s">
        <v>10</v>
      </c>
      <c r="F872" t="s">
        <v>11</v>
      </c>
      <c r="G872" s="1"/>
      <c r="H872" t="str">
        <f>"3700920116719"</f>
        <v>3700920116719</v>
      </c>
      <c r="J872" t="s">
        <v>1145</v>
      </c>
    </row>
    <row r="873" spans="1:10" x14ac:dyDescent="0.25">
      <c r="A873" t="s">
        <v>8</v>
      </c>
      <c r="B873">
        <v>6202002</v>
      </c>
      <c r="C873" t="s">
        <v>1146</v>
      </c>
      <c r="D873">
        <v>1</v>
      </c>
      <c r="E873" t="s">
        <v>10</v>
      </c>
      <c r="F873" t="s">
        <v>11</v>
      </c>
      <c r="G873" s="1"/>
      <c r="H873" t="str">
        <f>"3700920116726"</f>
        <v>3700920116726</v>
      </c>
      <c r="J873" t="s">
        <v>1145</v>
      </c>
    </row>
    <row r="874" spans="1:10" x14ac:dyDescent="0.25">
      <c r="A874" t="s">
        <v>8</v>
      </c>
      <c r="B874">
        <v>6202011</v>
      </c>
      <c r="C874" t="s">
        <v>1147</v>
      </c>
      <c r="D874">
        <v>1</v>
      </c>
      <c r="E874" t="s">
        <v>10</v>
      </c>
      <c r="F874" t="s">
        <v>11</v>
      </c>
      <c r="G874" s="1"/>
      <c r="H874" t="str">
        <f>"3700920140912"</f>
        <v>3700920140912</v>
      </c>
      <c r="J874" s="1">
        <v>24</v>
      </c>
    </row>
    <row r="875" spans="1:10" x14ac:dyDescent="0.25">
      <c r="A875" t="s">
        <v>8</v>
      </c>
      <c r="B875">
        <v>6202012</v>
      </c>
      <c r="C875" t="s">
        <v>1148</v>
      </c>
      <c r="D875">
        <v>1</v>
      </c>
      <c r="E875" t="s">
        <v>10</v>
      </c>
      <c r="F875" t="s">
        <v>11</v>
      </c>
      <c r="G875" s="1"/>
      <c r="H875" t="str">
        <f>"3700920140929"</f>
        <v>3700920140929</v>
      </c>
      <c r="J875" s="1">
        <v>24</v>
      </c>
    </row>
    <row r="876" spans="1:10" x14ac:dyDescent="0.25">
      <c r="A876" t="s">
        <v>8</v>
      </c>
      <c r="B876">
        <v>6202020</v>
      </c>
      <c r="C876" t="s">
        <v>1149</v>
      </c>
      <c r="D876">
        <v>1</v>
      </c>
      <c r="E876" t="s">
        <v>10</v>
      </c>
      <c r="F876" t="s">
        <v>11</v>
      </c>
      <c r="G876" s="1"/>
      <c r="H876" t="str">
        <f>"3700920145306"</f>
        <v>3700920145306</v>
      </c>
      <c r="I876" s="1"/>
      <c r="J876" t="s">
        <v>1150</v>
      </c>
    </row>
    <row r="877" spans="1:10" x14ac:dyDescent="0.25">
      <c r="A877" t="s">
        <v>8</v>
      </c>
      <c r="B877">
        <v>6202021</v>
      </c>
      <c r="C877" t="s">
        <v>1151</v>
      </c>
      <c r="D877">
        <v>1</v>
      </c>
      <c r="E877" t="s">
        <v>10</v>
      </c>
      <c r="F877" t="s">
        <v>11</v>
      </c>
      <c r="G877" s="1"/>
      <c r="H877" t="str">
        <f>"3700920145313"</f>
        <v>3700920145313</v>
      </c>
      <c r="I877" s="1"/>
      <c r="J877" t="s">
        <v>1150</v>
      </c>
    </row>
    <row r="878" spans="1:10" x14ac:dyDescent="0.25">
      <c r="A878" t="s">
        <v>8</v>
      </c>
      <c r="B878">
        <v>6202024</v>
      </c>
      <c r="C878" t="s">
        <v>1152</v>
      </c>
      <c r="D878">
        <v>1</v>
      </c>
      <c r="E878" t="s">
        <v>10</v>
      </c>
      <c r="F878" t="s">
        <v>11</v>
      </c>
      <c r="G878" s="1"/>
      <c r="H878" t="str">
        <f>"3700920115323"</f>
        <v>3700920115323</v>
      </c>
      <c r="I878" s="1"/>
      <c r="J878" t="s">
        <v>72</v>
      </c>
    </row>
    <row r="879" spans="1:10" x14ac:dyDescent="0.25">
      <c r="A879" t="s">
        <v>8</v>
      </c>
      <c r="B879">
        <v>6202091</v>
      </c>
      <c r="C879" t="s">
        <v>1153</v>
      </c>
      <c r="D879">
        <v>1</v>
      </c>
      <c r="E879" t="s">
        <v>10</v>
      </c>
      <c r="F879" t="s">
        <v>11</v>
      </c>
      <c r="G879" s="1"/>
      <c r="H879" t="str">
        <f>"3700920116733"</f>
        <v>3700920116733</v>
      </c>
      <c r="J879" t="s">
        <v>1139</v>
      </c>
    </row>
    <row r="880" spans="1:10" x14ac:dyDescent="0.25">
      <c r="A880" t="s">
        <v>8</v>
      </c>
      <c r="B880">
        <v>6202092</v>
      </c>
      <c r="C880" t="s">
        <v>1154</v>
      </c>
      <c r="D880">
        <v>1</v>
      </c>
      <c r="E880" t="s">
        <v>10</v>
      </c>
      <c r="F880" t="s">
        <v>11</v>
      </c>
      <c r="G880" s="1"/>
      <c r="H880" t="str">
        <f>"3700920116740"</f>
        <v>3700920116740</v>
      </c>
      <c r="J880" t="s">
        <v>1139</v>
      </c>
    </row>
    <row r="881" spans="1:10" x14ac:dyDescent="0.25">
      <c r="A881" t="s">
        <v>8</v>
      </c>
      <c r="B881">
        <v>6202093</v>
      </c>
      <c r="C881" t="s">
        <v>1155</v>
      </c>
      <c r="D881">
        <v>1</v>
      </c>
      <c r="E881" t="s">
        <v>10</v>
      </c>
      <c r="F881" t="s">
        <v>11</v>
      </c>
      <c r="G881" s="1"/>
      <c r="H881" t="str">
        <f>"3700920116757"</f>
        <v>3700920116757</v>
      </c>
      <c r="J881" t="s">
        <v>1156</v>
      </c>
    </row>
    <row r="882" spans="1:10" x14ac:dyDescent="0.25">
      <c r="A882" t="s">
        <v>8</v>
      </c>
      <c r="B882">
        <v>6202094</v>
      </c>
      <c r="C882" t="s">
        <v>1157</v>
      </c>
      <c r="D882">
        <v>1</v>
      </c>
      <c r="E882" t="s">
        <v>10</v>
      </c>
      <c r="F882" t="s">
        <v>11</v>
      </c>
      <c r="G882" s="1"/>
      <c r="H882" t="str">
        <f>"3700920116764"</f>
        <v>3700920116764</v>
      </c>
      <c r="J882" t="s">
        <v>1156</v>
      </c>
    </row>
    <row r="883" spans="1:10" x14ac:dyDescent="0.25">
      <c r="A883" t="s">
        <v>8</v>
      </c>
      <c r="B883">
        <v>6209001</v>
      </c>
      <c r="C883" t="s">
        <v>1158</v>
      </c>
      <c r="D883">
        <v>1</v>
      </c>
      <c r="E883" t="s">
        <v>10</v>
      </c>
      <c r="F883" t="s">
        <v>11</v>
      </c>
      <c r="G883" s="1"/>
      <c r="H883" t="str">
        <f>"3700920147621"</f>
        <v>3700920147621</v>
      </c>
      <c r="J883" s="1">
        <v>30</v>
      </c>
    </row>
    <row r="884" spans="1:10" x14ac:dyDescent="0.25">
      <c r="A884" t="s">
        <v>8</v>
      </c>
      <c r="B884" t="s">
        <v>1159</v>
      </c>
      <c r="C884" t="s">
        <v>1160</v>
      </c>
      <c r="D884">
        <v>1</v>
      </c>
      <c r="E884" t="s">
        <v>10</v>
      </c>
      <c r="F884" t="s">
        <v>11</v>
      </c>
      <c r="G884" s="1"/>
      <c r="H884" t="str">
        <f>"3700920108516"</f>
        <v>3700920108516</v>
      </c>
      <c r="I884" s="1"/>
      <c r="J884" t="s">
        <v>26</v>
      </c>
    </row>
    <row r="885" spans="1:10" x14ac:dyDescent="0.25">
      <c r="A885" t="s">
        <v>8</v>
      </c>
      <c r="B885" t="s">
        <v>1161</v>
      </c>
      <c r="C885" t="s">
        <v>1162</v>
      </c>
      <c r="D885">
        <v>1</v>
      </c>
      <c r="E885" t="s">
        <v>10</v>
      </c>
      <c r="F885" t="s">
        <v>11</v>
      </c>
      <c r="G885" s="1"/>
      <c r="H885" t="str">
        <f>"3700920106680"</f>
        <v>3700920106680</v>
      </c>
      <c r="I885" s="1"/>
      <c r="J885" t="s">
        <v>26</v>
      </c>
    </row>
    <row r="886" spans="1:10" x14ac:dyDescent="0.25">
      <c r="A886" t="s">
        <v>8</v>
      </c>
      <c r="B886" t="s">
        <v>1163</v>
      </c>
      <c r="C886" t="s">
        <v>1164</v>
      </c>
      <c r="D886">
        <v>1</v>
      </c>
      <c r="E886" t="s">
        <v>10</v>
      </c>
      <c r="F886" t="s">
        <v>11</v>
      </c>
      <c r="G886" s="1"/>
      <c r="H886" t="str">
        <f>"3700920106062"</f>
        <v>3700920106062</v>
      </c>
      <c r="J886" t="s">
        <v>372</v>
      </c>
    </row>
    <row r="887" spans="1:10" x14ac:dyDescent="0.25">
      <c r="A887" t="s">
        <v>8</v>
      </c>
      <c r="B887" t="s">
        <v>1165</v>
      </c>
      <c r="C887" t="s">
        <v>1166</v>
      </c>
      <c r="D887">
        <v>1</v>
      </c>
      <c r="E887" t="s">
        <v>10</v>
      </c>
      <c r="F887" t="s">
        <v>11</v>
      </c>
      <c r="G887" s="1"/>
      <c r="H887" t="str">
        <f>"3700920106079"</f>
        <v>3700920106079</v>
      </c>
      <c r="J887" t="s">
        <v>372</v>
      </c>
    </row>
    <row r="888" spans="1:10" x14ac:dyDescent="0.25">
      <c r="A888" t="s">
        <v>8</v>
      </c>
      <c r="B888" t="s">
        <v>1167</v>
      </c>
      <c r="C888" t="s">
        <v>1168</v>
      </c>
      <c r="D888">
        <v>1</v>
      </c>
      <c r="E888" t="s">
        <v>10</v>
      </c>
      <c r="F888" t="s">
        <v>11</v>
      </c>
      <c r="G888" s="1"/>
      <c r="H888" t="str">
        <f>"3700920106086"</f>
        <v>3700920106086</v>
      </c>
      <c r="J888" t="s">
        <v>372</v>
      </c>
    </row>
    <row r="889" spans="1:10" x14ac:dyDescent="0.25">
      <c r="A889" t="s">
        <v>8</v>
      </c>
      <c r="B889" t="s">
        <v>1169</v>
      </c>
      <c r="C889" t="s">
        <v>1170</v>
      </c>
      <c r="D889">
        <v>1</v>
      </c>
      <c r="E889" t="s">
        <v>10</v>
      </c>
      <c r="F889" t="s">
        <v>11</v>
      </c>
      <c r="G889" s="1"/>
      <c r="H889" t="str">
        <f>"3700920106093"</f>
        <v>3700920106093</v>
      </c>
      <c r="J889" t="s">
        <v>372</v>
      </c>
    </row>
    <row r="890" spans="1:10" x14ac:dyDescent="0.25">
      <c r="A890" t="s">
        <v>8</v>
      </c>
      <c r="B890" t="s">
        <v>1171</v>
      </c>
      <c r="C890" t="s">
        <v>1172</v>
      </c>
      <c r="D890">
        <v>1</v>
      </c>
      <c r="E890" t="s">
        <v>10</v>
      </c>
      <c r="F890" t="s">
        <v>11</v>
      </c>
      <c r="G890" s="1"/>
      <c r="H890" t="str">
        <f>"3700920106321"</f>
        <v>3700920106321</v>
      </c>
      <c r="J890" t="s">
        <v>1173</v>
      </c>
    </row>
    <row r="891" spans="1:10" x14ac:dyDescent="0.25">
      <c r="A891" t="s">
        <v>8</v>
      </c>
      <c r="B891" t="s">
        <v>1174</v>
      </c>
      <c r="C891" t="s">
        <v>1175</v>
      </c>
      <c r="D891">
        <v>1</v>
      </c>
      <c r="E891" t="s">
        <v>10</v>
      </c>
      <c r="F891" t="s">
        <v>11</v>
      </c>
      <c r="G891" s="1"/>
      <c r="H891" t="str">
        <f>"3700920106338"</f>
        <v>3700920106338</v>
      </c>
      <c r="J891" t="s">
        <v>1173</v>
      </c>
    </row>
    <row r="892" spans="1:10" x14ac:dyDescent="0.25">
      <c r="A892" t="s">
        <v>8</v>
      </c>
      <c r="B892" t="s">
        <v>1176</v>
      </c>
      <c r="C892" t="s">
        <v>1177</v>
      </c>
      <c r="D892">
        <v>1</v>
      </c>
      <c r="E892" t="s">
        <v>10</v>
      </c>
      <c r="F892" t="s">
        <v>11</v>
      </c>
      <c r="G892" s="1"/>
      <c r="H892" t="str">
        <f>"3700920106345"</f>
        <v>3700920106345</v>
      </c>
      <c r="J892" t="s">
        <v>1173</v>
      </c>
    </row>
    <row r="893" spans="1:10" x14ac:dyDescent="0.25">
      <c r="A893" t="s">
        <v>8</v>
      </c>
      <c r="B893" t="s">
        <v>1178</v>
      </c>
      <c r="C893" t="s">
        <v>1179</v>
      </c>
      <c r="D893">
        <v>1</v>
      </c>
      <c r="E893" t="s">
        <v>10</v>
      </c>
      <c r="F893" t="s">
        <v>11</v>
      </c>
      <c r="G893" s="1"/>
      <c r="H893" t="str">
        <f>"3700920106352"</f>
        <v>3700920106352</v>
      </c>
      <c r="J893" t="s">
        <v>1173</v>
      </c>
    </row>
    <row r="894" spans="1:10" x14ac:dyDescent="0.25">
      <c r="A894" t="s">
        <v>8</v>
      </c>
      <c r="B894" t="s">
        <v>1180</v>
      </c>
      <c r="C894" t="s">
        <v>1181</v>
      </c>
      <c r="D894">
        <v>1</v>
      </c>
      <c r="E894" t="s">
        <v>10</v>
      </c>
      <c r="F894" t="s">
        <v>11</v>
      </c>
      <c r="G894" s="1"/>
      <c r="H894" t="str">
        <f>"3700920106277"</f>
        <v>3700920106277</v>
      </c>
      <c r="J894" t="s">
        <v>1182</v>
      </c>
    </row>
    <row r="895" spans="1:10" x14ac:dyDescent="0.25">
      <c r="A895" t="s">
        <v>8</v>
      </c>
      <c r="B895" t="s">
        <v>1183</v>
      </c>
      <c r="C895" t="s">
        <v>1184</v>
      </c>
      <c r="D895">
        <v>1</v>
      </c>
      <c r="E895" t="s">
        <v>10</v>
      </c>
      <c r="F895" t="s">
        <v>11</v>
      </c>
      <c r="G895" s="1"/>
      <c r="H895" t="str">
        <f>"3700920106376"</f>
        <v>3700920106376</v>
      </c>
      <c r="J895" t="s">
        <v>1182</v>
      </c>
    </row>
    <row r="896" spans="1:10" x14ac:dyDescent="0.25">
      <c r="A896" t="s">
        <v>8</v>
      </c>
      <c r="B896" t="s">
        <v>1185</v>
      </c>
      <c r="C896" t="s">
        <v>1186</v>
      </c>
      <c r="D896">
        <v>1</v>
      </c>
      <c r="E896" t="s">
        <v>10</v>
      </c>
      <c r="F896" t="s">
        <v>11</v>
      </c>
      <c r="G896" s="1"/>
      <c r="H896" t="str">
        <f>"3700920106383"</f>
        <v>3700920106383</v>
      </c>
      <c r="J896" t="s">
        <v>1182</v>
      </c>
    </row>
    <row r="897" spans="1:10" x14ac:dyDescent="0.25">
      <c r="A897" t="s">
        <v>8</v>
      </c>
      <c r="B897" t="s">
        <v>1187</v>
      </c>
      <c r="C897" t="s">
        <v>1188</v>
      </c>
      <c r="D897">
        <v>1</v>
      </c>
      <c r="E897" t="s">
        <v>10</v>
      </c>
      <c r="F897" t="s">
        <v>11</v>
      </c>
      <c r="G897" s="1"/>
      <c r="H897" t="str">
        <f>"3700920106390"</f>
        <v>3700920106390</v>
      </c>
      <c r="J897" t="s">
        <v>1182</v>
      </c>
    </row>
    <row r="898" spans="1:10" x14ac:dyDescent="0.25">
      <c r="A898" t="s">
        <v>8</v>
      </c>
      <c r="B898" t="s">
        <v>1189</v>
      </c>
      <c r="C898" t="s">
        <v>1190</v>
      </c>
      <c r="D898">
        <v>1</v>
      </c>
      <c r="E898" t="s">
        <v>10</v>
      </c>
      <c r="F898" t="s">
        <v>11</v>
      </c>
      <c r="G898" s="1"/>
      <c r="H898" t="str">
        <f>"3700920106406"</f>
        <v>3700920106406</v>
      </c>
      <c r="J898" t="s">
        <v>1191</v>
      </c>
    </row>
    <row r="899" spans="1:10" x14ac:dyDescent="0.25">
      <c r="A899" t="s">
        <v>8</v>
      </c>
      <c r="B899" t="s">
        <v>1192</v>
      </c>
      <c r="C899" t="s">
        <v>1193</v>
      </c>
      <c r="D899">
        <v>1</v>
      </c>
      <c r="E899" t="s">
        <v>10</v>
      </c>
      <c r="F899" t="s">
        <v>11</v>
      </c>
      <c r="G899" s="1"/>
      <c r="H899" t="str">
        <f>"3700920106413"</f>
        <v>3700920106413</v>
      </c>
      <c r="J899" t="s">
        <v>1191</v>
      </c>
    </row>
    <row r="900" spans="1:10" x14ac:dyDescent="0.25">
      <c r="A900" t="s">
        <v>8</v>
      </c>
      <c r="B900" t="s">
        <v>1194</v>
      </c>
      <c r="C900" t="s">
        <v>1195</v>
      </c>
      <c r="D900">
        <v>1</v>
      </c>
      <c r="E900" t="s">
        <v>10</v>
      </c>
      <c r="F900" t="s">
        <v>11</v>
      </c>
      <c r="G900" s="1"/>
      <c r="H900" t="str">
        <f>"3700920106420"</f>
        <v>3700920106420</v>
      </c>
      <c r="J900" t="s">
        <v>1191</v>
      </c>
    </row>
    <row r="901" spans="1:10" x14ac:dyDescent="0.25">
      <c r="A901" t="s">
        <v>8</v>
      </c>
      <c r="B901" t="s">
        <v>1196</v>
      </c>
      <c r="C901" t="s">
        <v>1197</v>
      </c>
      <c r="D901">
        <v>1</v>
      </c>
      <c r="E901" t="s">
        <v>10</v>
      </c>
      <c r="F901" t="s">
        <v>11</v>
      </c>
      <c r="G901" s="1"/>
      <c r="H901" t="str">
        <f>"3700920106437"</f>
        <v>3700920106437</v>
      </c>
      <c r="J901" t="s">
        <v>1191</v>
      </c>
    </row>
    <row r="902" spans="1:10" x14ac:dyDescent="0.25">
      <c r="A902" t="s">
        <v>8</v>
      </c>
      <c r="B902" t="s">
        <v>1198</v>
      </c>
      <c r="C902" t="s">
        <v>1199</v>
      </c>
      <c r="D902">
        <v>1</v>
      </c>
      <c r="E902" t="s">
        <v>10</v>
      </c>
      <c r="F902" t="s">
        <v>11</v>
      </c>
      <c r="G902" s="1"/>
      <c r="H902" t="str">
        <f>"3700920103139"</f>
        <v>3700920103139</v>
      </c>
      <c r="J902" t="s">
        <v>1200</v>
      </c>
    </row>
    <row r="903" spans="1:10" x14ac:dyDescent="0.25">
      <c r="A903" t="s">
        <v>8</v>
      </c>
      <c r="B903" t="s">
        <v>1201</v>
      </c>
      <c r="C903" t="s">
        <v>1202</v>
      </c>
      <c r="D903">
        <v>1</v>
      </c>
      <c r="E903" t="s">
        <v>10</v>
      </c>
      <c r="F903" t="s">
        <v>11</v>
      </c>
      <c r="G903" s="1"/>
      <c r="H903" t="str">
        <f>"3700920102262"</f>
        <v>3700920102262</v>
      </c>
      <c r="J903" t="s">
        <v>1203</v>
      </c>
    </row>
    <row r="904" spans="1:10" x14ac:dyDescent="0.25">
      <c r="A904" t="s">
        <v>8</v>
      </c>
      <c r="B904" t="s">
        <v>1204</v>
      </c>
      <c r="C904" t="s">
        <v>1205</v>
      </c>
      <c r="D904">
        <v>1</v>
      </c>
      <c r="E904" t="s">
        <v>10</v>
      </c>
      <c r="F904" t="s">
        <v>11</v>
      </c>
      <c r="G904" s="1"/>
      <c r="H904" t="str">
        <f>"3700920102279"</f>
        <v>3700920102279</v>
      </c>
      <c r="J904" t="s">
        <v>1203</v>
      </c>
    </row>
    <row r="905" spans="1:10" x14ac:dyDescent="0.25">
      <c r="A905" t="s">
        <v>8</v>
      </c>
      <c r="B905" t="s">
        <v>1206</v>
      </c>
      <c r="C905" t="s">
        <v>1207</v>
      </c>
      <c r="D905">
        <v>1</v>
      </c>
      <c r="E905" t="s">
        <v>10</v>
      </c>
      <c r="F905" t="s">
        <v>11</v>
      </c>
      <c r="G905" s="1"/>
      <c r="H905" t="str">
        <f>"3700920102460"</f>
        <v>3700920102460</v>
      </c>
      <c r="J905" t="s">
        <v>1203</v>
      </c>
    </row>
    <row r="906" spans="1:10" x14ac:dyDescent="0.25">
      <c r="A906" t="s">
        <v>8</v>
      </c>
      <c r="B906" t="s">
        <v>1208</v>
      </c>
      <c r="C906" t="s">
        <v>1209</v>
      </c>
      <c r="D906">
        <v>1</v>
      </c>
      <c r="E906" t="s">
        <v>10</v>
      </c>
      <c r="F906" t="s">
        <v>11</v>
      </c>
      <c r="G906" s="1"/>
      <c r="H906" t="str">
        <f>"3700920102286"</f>
        <v>3700920102286</v>
      </c>
      <c r="J906" t="s">
        <v>1203</v>
      </c>
    </row>
    <row r="907" spans="1:10" x14ac:dyDescent="0.25">
      <c r="A907" t="s">
        <v>8</v>
      </c>
      <c r="B907" t="s">
        <v>1210</v>
      </c>
      <c r="C907" t="s">
        <v>1211</v>
      </c>
      <c r="D907">
        <v>1</v>
      </c>
      <c r="E907" t="s">
        <v>10</v>
      </c>
      <c r="F907" t="s">
        <v>11</v>
      </c>
      <c r="G907" s="1"/>
      <c r="H907" t="str">
        <f>"3700920102293"</f>
        <v>3700920102293</v>
      </c>
      <c r="J907" t="s">
        <v>1203</v>
      </c>
    </row>
    <row r="908" spans="1:10" x14ac:dyDescent="0.25">
      <c r="A908" t="s">
        <v>8</v>
      </c>
      <c r="B908" t="s">
        <v>1212</v>
      </c>
      <c r="C908" t="s">
        <v>1213</v>
      </c>
      <c r="D908">
        <v>1</v>
      </c>
      <c r="E908" t="s">
        <v>10</v>
      </c>
      <c r="F908" t="s">
        <v>11</v>
      </c>
      <c r="G908" s="1"/>
      <c r="H908" t="str">
        <f>"3700920102477"</f>
        <v>3700920102477</v>
      </c>
      <c r="J908" t="s">
        <v>1203</v>
      </c>
    </row>
    <row r="909" spans="1:10" x14ac:dyDescent="0.25">
      <c r="A909" t="s">
        <v>8</v>
      </c>
      <c r="B909" t="s">
        <v>1214</v>
      </c>
      <c r="C909" t="s">
        <v>1215</v>
      </c>
      <c r="D909">
        <v>1</v>
      </c>
      <c r="E909" t="s">
        <v>10</v>
      </c>
      <c r="F909" t="s">
        <v>11</v>
      </c>
      <c r="G909" s="1"/>
      <c r="H909" t="str">
        <f>"3700920104440"</f>
        <v>3700920104440</v>
      </c>
      <c r="J909" t="s">
        <v>1216</v>
      </c>
    </row>
    <row r="910" spans="1:10" x14ac:dyDescent="0.25">
      <c r="A910" t="s">
        <v>8</v>
      </c>
      <c r="B910" t="s">
        <v>1217</v>
      </c>
      <c r="C910" t="s">
        <v>1218</v>
      </c>
      <c r="D910">
        <v>1</v>
      </c>
      <c r="E910" t="s">
        <v>10</v>
      </c>
      <c r="F910" t="s">
        <v>11</v>
      </c>
      <c r="G910" s="1"/>
      <c r="H910" t="str">
        <f>"3700920102309"</f>
        <v>3700920102309</v>
      </c>
      <c r="J910" t="s">
        <v>1219</v>
      </c>
    </row>
    <row r="911" spans="1:10" x14ac:dyDescent="0.25">
      <c r="A911" t="s">
        <v>8</v>
      </c>
      <c r="B911" t="s">
        <v>1220</v>
      </c>
      <c r="C911" t="s">
        <v>1221</v>
      </c>
      <c r="D911">
        <v>1</v>
      </c>
      <c r="E911" t="s">
        <v>10</v>
      </c>
      <c r="F911" t="s">
        <v>11</v>
      </c>
      <c r="G911" s="1"/>
      <c r="H911" t="str">
        <f>"3700920102316"</f>
        <v>3700920102316</v>
      </c>
      <c r="J911" t="s">
        <v>1219</v>
      </c>
    </row>
    <row r="912" spans="1:10" x14ac:dyDescent="0.25">
      <c r="A912" t="s">
        <v>8</v>
      </c>
      <c r="B912" t="s">
        <v>1222</v>
      </c>
      <c r="C912" t="s">
        <v>1223</v>
      </c>
      <c r="D912">
        <v>1</v>
      </c>
      <c r="E912" t="s">
        <v>10</v>
      </c>
      <c r="F912" t="s">
        <v>11</v>
      </c>
      <c r="G912" s="1"/>
      <c r="H912" t="str">
        <f>"3700920113510"</f>
        <v>3700920113510</v>
      </c>
      <c r="J912" t="s">
        <v>1219</v>
      </c>
    </row>
    <row r="913" spans="1:10" x14ac:dyDescent="0.25">
      <c r="A913" t="s">
        <v>8</v>
      </c>
      <c r="B913" t="s">
        <v>1224</v>
      </c>
      <c r="C913" t="s">
        <v>1225</v>
      </c>
      <c r="D913">
        <v>1</v>
      </c>
      <c r="E913" t="s">
        <v>10</v>
      </c>
      <c r="F913" t="s">
        <v>11</v>
      </c>
      <c r="G913" s="1"/>
      <c r="H913" t="str">
        <f>"3700920102323"</f>
        <v>3700920102323</v>
      </c>
      <c r="J913" t="s">
        <v>1219</v>
      </c>
    </row>
    <row r="914" spans="1:10" x14ac:dyDescent="0.25">
      <c r="A914" t="s">
        <v>8</v>
      </c>
      <c r="B914" t="s">
        <v>1226</v>
      </c>
      <c r="C914" t="s">
        <v>1227</v>
      </c>
      <c r="D914">
        <v>1</v>
      </c>
      <c r="E914" t="s">
        <v>10</v>
      </c>
      <c r="F914" t="s">
        <v>11</v>
      </c>
      <c r="G914" s="1"/>
      <c r="H914" t="str">
        <f>"3700920102330"</f>
        <v>3700920102330</v>
      </c>
      <c r="J914" t="s">
        <v>1219</v>
      </c>
    </row>
    <row r="915" spans="1:10" x14ac:dyDescent="0.25">
      <c r="A915" t="s">
        <v>8</v>
      </c>
      <c r="B915" t="s">
        <v>1228</v>
      </c>
      <c r="C915" t="s">
        <v>1229</v>
      </c>
      <c r="D915">
        <v>1</v>
      </c>
      <c r="E915" t="s">
        <v>10</v>
      </c>
      <c r="F915" t="s">
        <v>11</v>
      </c>
      <c r="G915" s="1"/>
      <c r="H915" t="str">
        <f>"3700920102491"</f>
        <v>3700920102491</v>
      </c>
      <c r="J915" t="s">
        <v>1219</v>
      </c>
    </row>
    <row r="916" spans="1:10" x14ac:dyDescent="0.25">
      <c r="A916" t="s">
        <v>8</v>
      </c>
      <c r="B916">
        <v>6223050</v>
      </c>
      <c r="C916" t="s">
        <v>1230</v>
      </c>
      <c r="D916">
        <v>1</v>
      </c>
      <c r="E916" t="s">
        <v>10</v>
      </c>
      <c r="F916" t="s">
        <v>11</v>
      </c>
      <c r="G916" s="1"/>
      <c r="H916" t="str">
        <f>"3700920113527"</f>
        <v>3700920113527</v>
      </c>
      <c r="J916" t="s">
        <v>1231</v>
      </c>
    </row>
    <row r="917" spans="1:10" x14ac:dyDescent="0.25">
      <c r="A917" t="s">
        <v>8</v>
      </c>
      <c r="B917">
        <v>6223051</v>
      </c>
      <c r="C917" t="s">
        <v>1232</v>
      </c>
      <c r="D917">
        <v>1</v>
      </c>
      <c r="E917" t="s">
        <v>10</v>
      </c>
      <c r="F917" t="s">
        <v>11</v>
      </c>
      <c r="G917" s="1"/>
      <c r="H917" t="str">
        <f>"3700920113534"</f>
        <v>3700920113534</v>
      </c>
      <c r="J917" t="s">
        <v>1233</v>
      </c>
    </row>
    <row r="918" spans="1:10" x14ac:dyDescent="0.25">
      <c r="A918" t="s">
        <v>8</v>
      </c>
      <c r="B918" t="s">
        <v>1234</v>
      </c>
      <c r="C918" t="s">
        <v>1235</v>
      </c>
      <c r="D918">
        <v>1</v>
      </c>
      <c r="E918" t="s">
        <v>10</v>
      </c>
      <c r="F918" t="s">
        <v>11</v>
      </c>
      <c r="G918" s="1"/>
      <c r="H918" t="str">
        <f>"3700920102347"</f>
        <v>3700920102347</v>
      </c>
      <c r="J918" t="s">
        <v>1236</v>
      </c>
    </row>
    <row r="919" spans="1:10" x14ac:dyDescent="0.25">
      <c r="A919" t="s">
        <v>8</v>
      </c>
      <c r="B919" t="s">
        <v>1237</v>
      </c>
      <c r="C919" t="s">
        <v>1238</v>
      </c>
      <c r="D919">
        <v>1</v>
      </c>
      <c r="E919" t="s">
        <v>10</v>
      </c>
      <c r="F919" t="s">
        <v>11</v>
      </c>
      <c r="G919" s="1"/>
      <c r="H919" t="str">
        <f>"3700920102354"</f>
        <v>3700920102354</v>
      </c>
      <c r="J919" t="s">
        <v>1236</v>
      </c>
    </row>
    <row r="920" spans="1:10" x14ac:dyDescent="0.25">
      <c r="A920" t="s">
        <v>8</v>
      </c>
      <c r="B920" t="s">
        <v>1239</v>
      </c>
      <c r="C920" t="s">
        <v>1240</v>
      </c>
      <c r="D920">
        <v>1</v>
      </c>
      <c r="E920" t="s">
        <v>10</v>
      </c>
      <c r="F920" t="s">
        <v>11</v>
      </c>
      <c r="G920" s="1"/>
      <c r="H920" t="str">
        <f>"3700920102507"</f>
        <v>3700920102507</v>
      </c>
      <c r="J920" t="s">
        <v>1236</v>
      </c>
    </row>
    <row r="921" spans="1:10" x14ac:dyDescent="0.25">
      <c r="A921" t="s">
        <v>8</v>
      </c>
      <c r="B921" t="s">
        <v>1241</v>
      </c>
      <c r="C921" t="s">
        <v>1242</v>
      </c>
      <c r="D921">
        <v>1</v>
      </c>
      <c r="E921" t="s">
        <v>10</v>
      </c>
      <c r="F921" t="s">
        <v>11</v>
      </c>
      <c r="G921" s="1"/>
      <c r="H921" t="str">
        <f>"3700920102361"</f>
        <v>3700920102361</v>
      </c>
      <c r="J921" t="s">
        <v>1236</v>
      </c>
    </row>
    <row r="922" spans="1:10" x14ac:dyDescent="0.25">
      <c r="A922" t="s">
        <v>8</v>
      </c>
      <c r="B922" t="s">
        <v>1243</v>
      </c>
      <c r="C922" t="s">
        <v>1244</v>
      </c>
      <c r="D922">
        <v>1</v>
      </c>
      <c r="E922" t="s">
        <v>10</v>
      </c>
      <c r="F922" t="s">
        <v>11</v>
      </c>
      <c r="G922" s="1"/>
      <c r="H922" t="str">
        <f>"3700920102378"</f>
        <v>3700920102378</v>
      </c>
      <c r="J922" t="s">
        <v>1236</v>
      </c>
    </row>
    <row r="923" spans="1:10" x14ac:dyDescent="0.25">
      <c r="A923" t="s">
        <v>8</v>
      </c>
      <c r="B923" t="s">
        <v>1245</v>
      </c>
      <c r="C923" t="s">
        <v>1246</v>
      </c>
      <c r="D923">
        <v>1</v>
      </c>
      <c r="E923" t="s">
        <v>10</v>
      </c>
      <c r="F923" t="s">
        <v>11</v>
      </c>
      <c r="G923" s="1"/>
      <c r="H923" t="str">
        <f>"3700920102514"</f>
        <v>3700920102514</v>
      </c>
      <c r="J923" t="s">
        <v>1236</v>
      </c>
    </row>
    <row r="924" spans="1:10" x14ac:dyDescent="0.25">
      <c r="A924" t="s">
        <v>8</v>
      </c>
      <c r="B924">
        <v>6226003</v>
      </c>
      <c r="C924" t="s">
        <v>1247</v>
      </c>
      <c r="D924">
        <v>1</v>
      </c>
      <c r="E924" t="s">
        <v>10</v>
      </c>
      <c r="F924" t="s">
        <v>11</v>
      </c>
      <c r="G924" s="1"/>
      <c r="H924" t="str">
        <f>"3700920109070"</f>
        <v>3700920109070</v>
      </c>
      <c r="J924" s="1">
        <v>132</v>
      </c>
    </row>
    <row r="925" spans="1:10" x14ac:dyDescent="0.25">
      <c r="A925" t="s">
        <v>8</v>
      </c>
      <c r="B925">
        <v>6226004</v>
      </c>
      <c r="C925" t="s">
        <v>1248</v>
      </c>
      <c r="D925">
        <v>1</v>
      </c>
      <c r="E925" t="s">
        <v>10</v>
      </c>
      <c r="F925" t="s">
        <v>11</v>
      </c>
      <c r="G925" s="1"/>
      <c r="H925" t="str">
        <f>"3700920109087"</f>
        <v>3700920109087</v>
      </c>
      <c r="J925" s="1">
        <v>132</v>
      </c>
    </row>
    <row r="926" spans="1:10" x14ac:dyDescent="0.25">
      <c r="A926" t="s">
        <v>8</v>
      </c>
      <c r="B926">
        <v>6226053</v>
      </c>
      <c r="C926" t="s">
        <v>1249</v>
      </c>
      <c r="D926">
        <v>1</v>
      </c>
      <c r="E926" t="s">
        <v>10</v>
      </c>
      <c r="F926" t="s">
        <v>11</v>
      </c>
      <c r="G926" s="1"/>
      <c r="H926" t="str">
        <f>"3700920109094"</f>
        <v>3700920109094</v>
      </c>
      <c r="J926" s="1">
        <v>114</v>
      </c>
    </row>
    <row r="927" spans="1:10" x14ac:dyDescent="0.25">
      <c r="A927" t="s">
        <v>8</v>
      </c>
      <c r="B927">
        <v>6226054</v>
      </c>
      <c r="C927" t="s">
        <v>1250</v>
      </c>
      <c r="D927">
        <v>1</v>
      </c>
      <c r="E927" t="s">
        <v>10</v>
      </c>
      <c r="F927" t="s">
        <v>11</v>
      </c>
      <c r="G927" s="1"/>
      <c r="H927" t="str">
        <f>"3700920109100"</f>
        <v>3700920109100</v>
      </c>
      <c r="J927" s="1">
        <v>114</v>
      </c>
    </row>
    <row r="928" spans="1:10" x14ac:dyDescent="0.25">
      <c r="A928" t="s">
        <v>8</v>
      </c>
      <c r="B928" t="s">
        <v>1251</v>
      </c>
      <c r="C928" t="s">
        <v>1252</v>
      </c>
      <c r="D928">
        <v>1</v>
      </c>
      <c r="E928" t="s">
        <v>10</v>
      </c>
      <c r="F928" t="s">
        <v>11</v>
      </c>
      <c r="G928" s="1"/>
      <c r="H928" t="str">
        <f>"3700920102385"</f>
        <v>3700920102385</v>
      </c>
      <c r="J928" t="s">
        <v>1253</v>
      </c>
    </row>
    <row r="929" spans="1:10" x14ac:dyDescent="0.25">
      <c r="A929" t="s">
        <v>8</v>
      </c>
      <c r="B929" t="s">
        <v>1254</v>
      </c>
      <c r="C929" t="s">
        <v>1255</v>
      </c>
      <c r="D929">
        <v>1</v>
      </c>
      <c r="E929" t="s">
        <v>10</v>
      </c>
      <c r="F929" t="s">
        <v>11</v>
      </c>
      <c r="G929" s="1"/>
      <c r="H929" t="str">
        <f>"3700920102392"</f>
        <v>3700920102392</v>
      </c>
      <c r="J929" t="s">
        <v>1253</v>
      </c>
    </row>
    <row r="930" spans="1:10" x14ac:dyDescent="0.25">
      <c r="A930" t="s">
        <v>8</v>
      </c>
      <c r="B930" t="s">
        <v>1256</v>
      </c>
      <c r="C930" t="s">
        <v>1257</v>
      </c>
      <c r="D930">
        <v>1</v>
      </c>
      <c r="E930" t="s">
        <v>10</v>
      </c>
      <c r="F930" t="s">
        <v>11</v>
      </c>
      <c r="G930" s="1"/>
      <c r="H930" t="str">
        <f>"3700920102521"</f>
        <v>3700920102521</v>
      </c>
      <c r="J930" t="s">
        <v>1253</v>
      </c>
    </row>
    <row r="931" spans="1:10" x14ac:dyDescent="0.25">
      <c r="A931" t="s">
        <v>8</v>
      </c>
      <c r="B931" t="s">
        <v>1258</v>
      </c>
      <c r="C931" t="s">
        <v>1259</v>
      </c>
      <c r="D931">
        <v>1</v>
      </c>
      <c r="E931" t="s">
        <v>10</v>
      </c>
      <c r="F931" t="s">
        <v>11</v>
      </c>
      <c r="G931" s="1"/>
      <c r="H931" t="str">
        <f>"3700920102408"</f>
        <v>3700920102408</v>
      </c>
      <c r="J931" t="s">
        <v>1253</v>
      </c>
    </row>
    <row r="932" spans="1:10" x14ac:dyDescent="0.25">
      <c r="A932" t="s">
        <v>8</v>
      </c>
      <c r="B932" t="s">
        <v>1260</v>
      </c>
      <c r="C932" t="s">
        <v>1261</v>
      </c>
      <c r="D932">
        <v>1</v>
      </c>
      <c r="E932" t="s">
        <v>10</v>
      </c>
      <c r="F932" t="s">
        <v>11</v>
      </c>
      <c r="G932" s="1"/>
      <c r="H932" t="str">
        <f>"3700920102415"</f>
        <v>3700920102415</v>
      </c>
      <c r="J932" t="s">
        <v>1253</v>
      </c>
    </row>
    <row r="933" spans="1:10" x14ac:dyDescent="0.25">
      <c r="A933" t="s">
        <v>8</v>
      </c>
      <c r="B933" t="s">
        <v>1262</v>
      </c>
      <c r="C933" t="s">
        <v>1263</v>
      </c>
      <c r="D933">
        <v>1</v>
      </c>
      <c r="E933" t="s">
        <v>10</v>
      </c>
      <c r="F933" t="s">
        <v>11</v>
      </c>
      <c r="G933" s="1"/>
      <c r="H933" t="str">
        <f>"3700920102538"</f>
        <v>3700920102538</v>
      </c>
      <c r="J933" t="s">
        <v>1253</v>
      </c>
    </row>
    <row r="934" spans="1:10" x14ac:dyDescent="0.25">
      <c r="A934" t="s">
        <v>8</v>
      </c>
      <c r="B934">
        <v>6228100</v>
      </c>
      <c r="C934" t="s">
        <v>1264</v>
      </c>
      <c r="D934">
        <v>1</v>
      </c>
      <c r="E934" t="s">
        <v>10</v>
      </c>
      <c r="F934" t="s">
        <v>11</v>
      </c>
      <c r="G934" s="1"/>
      <c r="H934" t="str">
        <f>"3700920112476"</f>
        <v>3700920112476</v>
      </c>
      <c r="J934" t="s">
        <v>1265</v>
      </c>
    </row>
    <row r="935" spans="1:10" x14ac:dyDescent="0.25">
      <c r="A935" t="s">
        <v>8</v>
      </c>
      <c r="B935">
        <v>6228101</v>
      </c>
      <c r="C935" t="s">
        <v>1266</v>
      </c>
      <c r="D935">
        <v>1</v>
      </c>
      <c r="E935" t="s">
        <v>10</v>
      </c>
      <c r="F935" t="s">
        <v>11</v>
      </c>
      <c r="G935" s="1"/>
      <c r="H935" t="str">
        <f>"3700920112445"</f>
        <v>3700920112445</v>
      </c>
      <c r="J935" t="s">
        <v>1265</v>
      </c>
    </row>
    <row r="936" spans="1:10" x14ac:dyDescent="0.25">
      <c r="A936" t="s">
        <v>8</v>
      </c>
      <c r="B936">
        <v>6228300</v>
      </c>
      <c r="C936" t="s">
        <v>1267</v>
      </c>
      <c r="D936">
        <v>1</v>
      </c>
      <c r="E936" t="s">
        <v>10</v>
      </c>
      <c r="F936" t="s">
        <v>11</v>
      </c>
      <c r="G936" s="1"/>
      <c r="H936" t="str">
        <f>"3700920112483"</f>
        <v>3700920112483</v>
      </c>
      <c r="I936" s="1"/>
      <c r="J936" t="s">
        <v>1268</v>
      </c>
    </row>
    <row r="937" spans="1:10" x14ac:dyDescent="0.25">
      <c r="A937" t="s">
        <v>8</v>
      </c>
      <c r="B937">
        <v>6228301</v>
      </c>
      <c r="C937" t="s">
        <v>1269</v>
      </c>
      <c r="D937">
        <v>1</v>
      </c>
      <c r="E937" t="s">
        <v>10</v>
      </c>
      <c r="F937" t="s">
        <v>11</v>
      </c>
      <c r="G937" s="1"/>
      <c r="H937" t="str">
        <f>"3700920112452"</f>
        <v>3700920112452</v>
      </c>
      <c r="I937" s="1"/>
      <c r="J937" t="s">
        <v>1268</v>
      </c>
    </row>
    <row r="938" spans="1:10" x14ac:dyDescent="0.25">
      <c r="A938" t="s">
        <v>8</v>
      </c>
      <c r="B938">
        <v>6228500</v>
      </c>
      <c r="C938" t="s">
        <v>1270</v>
      </c>
      <c r="D938">
        <v>1</v>
      </c>
      <c r="E938" t="s">
        <v>10</v>
      </c>
      <c r="F938" t="s">
        <v>11</v>
      </c>
      <c r="G938" s="1"/>
      <c r="H938" t="str">
        <f>"3700920112490"</f>
        <v>3700920112490</v>
      </c>
      <c r="J938" t="s">
        <v>1271</v>
      </c>
    </row>
    <row r="939" spans="1:10" x14ac:dyDescent="0.25">
      <c r="A939" t="s">
        <v>8</v>
      </c>
      <c r="B939">
        <v>6228501</v>
      </c>
      <c r="C939" t="s">
        <v>1272</v>
      </c>
      <c r="D939">
        <v>1</v>
      </c>
      <c r="E939" t="s">
        <v>10</v>
      </c>
      <c r="F939" t="s">
        <v>11</v>
      </c>
      <c r="G939" s="1"/>
      <c r="H939" t="str">
        <f>"3700920112469"</f>
        <v>3700920112469</v>
      </c>
      <c r="J939" t="s">
        <v>1271</v>
      </c>
    </row>
    <row r="940" spans="1:10" x14ac:dyDescent="0.25">
      <c r="A940" t="s">
        <v>8</v>
      </c>
      <c r="B940" t="s">
        <v>1273</v>
      </c>
      <c r="C940" t="s">
        <v>1274</v>
      </c>
      <c r="D940">
        <v>1</v>
      </c>
      <c r="E940" t="s">
        <v>10</v>
      </c>
      <c r="F940" t="s">
        <v>11</v>
      </c>
      <c r="G940" s="1"/>
      <c r="H940" t="str">
        <f>"3700920113817"</f>
        <v>3700920113817</v>
      </c>
      <c r="I940" s="1"/>
      <c r="J940" t="s">
        <v>1275</v>
      </c>
    </row>
    <row r="941" spans="1:10" x14ac:dyDescent="0.25">
      <c r="A941" t="s">
        <v>8</v>
      </c>
      <c r="B941" t="s">
        <v>1276</v>
      </c>
      <c r="C941" t="s">
        <v>1277</v>
      </c>
      <c r="D941">
        <v>1</v>
      </c>
      <c r="E941" t="s">
        <v>10</v>
      </c>
      <c r="F941" t="s">
        <v>11</v>
      </c>
      <c r="G941" s="1"/>
      <c r="H941" t="str">
        <f>"3700920113824"</f>
        <v>3700920113824</v>
      </c>
      <c r="J941" t="s">
        <v>1278</v>
      </c>
    </row>
    <row r="942" spans="1:10" x14ac:dyDescent="0.25">
      <c r="A942" t="s">
        <v>8</v>
      </c>
      <c r="B942" t="s">
        <v>1279</v>
      </c>
      <c r="C942" t="s">
        <v>1280</v>
      </c>
      <c r="D942">
        <v>1</v>
      </c>
      <c r="E942" t="s">
        <v>10</v>
      </c>
      <c r="F942" t="s">
        <v>11</v>
      </c>
      <c r="G942" s="1"/>
      <c r="H942" t="str">
        <f>"3700920113831"</f>
        <v>3700920113831</v>
      </c>
      <c r="J942" t="s">
        <v>1281</v>
      </c>
    </row>
    <row r="943" spans="1:10" x14ac:dyDescent="0.25">
      <c r="A943" t="s">
        <v>8</v>
      </c>
      <c r="B943" t="s">
        <v>1282</v>
      </c>
      <c r="C943" t="s">
        <v>1283</v>
      </c>
      <c r="D943">
        <v>1</v>
      </c>
      <c r="E943" t="s">
        <v>10</v>
      </c>
      <c r="F943" t="s">
        <v>11</v>
      </c>
      <c r="G943" s="1"/>
      <c r="H943" t="str">
        <f>"3700920113848"</f>
        <v>3700920113848</v>
      </c>
      <c r="J943" t="s">
        <v>1284</v>
      </c>
    </row>
    <row r="944" spans="1:10" x14ac:dyDescent="0.25">
      <c r="A944" t="s">
        <v>8</v>
      </c>
      <c r="B944" t="s">
        <v>1285</v>
      </c>
      <c r="C944" t="s">
        <v>1286</v>
      </c>
      <c r="D944">
        <v>1</v>
      </c>
      <c r="E944" t="s">
        <v>10</v>
      </c>
      <c r="F944" t="s">
        <v>11</v>
      </c>
      <c r="G944" s="1"/>
      <c r="H944" t="str">
        <f>"3700920113855"</f>
        <v>3700920113855</v>
      </c>
      <c r="J944" t="s">
        <v>232</v>
      </c>
    </row>
    <row r="945" spans="1:10" x14ac:dyDescent="0.25">
      <c r="A945" t="s">
        <v>8</v>
      </c>
      <c r="B945" t="s">
        <v>1287</v>
      </c>
      <c r="C945" t="s">
        <v>1288</v>
      </c>
      <c r="D945">
        <v>1</v>
      </c>
      <c r="E945" t="s">
        <v>10</v>
      </c>
      <c r="F945" t="s">
        <v>11</v>
      </c>
      <c r="G945" s="1"/>
      <c r="H945" t="str">
        <f>"3700920113862"</f>
        <v>3700920113862</v>
      </c>
      <c r="J945" t="s">
        <v>1289</v>
      </c>
    </row>
    <row r="946" spans="1:10" x14ac:dyDescent="0.25">
      <c r="A946" t="s">
        <v>8</v>
      </c>
      <c r="B946" t="s">
        <v>1290</v>
      </c>
      <c r="C946" t="s">
        <v>1291</v>
      </c>
      <c r="D946">
        <v>1</v>
      </c>
      <c r="E946" t="s">
        <v>10</v>
      </c>
      <c r="F946" t="s">
        <v>11</v>
      </c>
      <c r="G946" s="1"/>
      <c r="H946" t="str">
        <f>"3700920105546"</f>
        <v>3700920105546</v>
      </c>
      <c r="J946" t="s">
        <v>1292</v>
      </c>
    </row>
    <row r="947" spans="1:10" x14ac:dyDescent="0.25">
      <c r="A947" t="s">
        <v>8</v>
      </c>
      <c r="B947" t="s">
        <v>1293</v>
      </c>
      <c r="C947" t="s">
        <v>1294</v>
      </c>
      <c r="D947">
        <v>1</v>
      </c>
      <c r="E947" t="s">
        <v>10</v>
      </c>
      <c r="F947" t="s">
        <v>11</v>
      </c>
      <c r="G947" s="1"/>
      <c r="H947" t="str">
        <f>"3700920106444"</f>
        <v>3700920106444</v>
      </c>
      <c r="J947" t="s">
        <v>1292</v>
      </c>
    </row>
    <row r="948" spans="1:10" x14ac:dyDescent="0.25">
      <c r="A948" t="s">
        <v>8</v>
      </c>
      <c r="B948" t="s">
        <v>1295</v>
      </c>
      <c r="C948" t="s">
        <v>1296</v>
      </c>
      <c r="D948">
        <v>1</v>
      </c>
      <c r="E948" t="s">
        <v>10</v>
      </c>
      <c r="F948" t="s">
        <v>11</v>
      </c>
      <c r="G948" s="1"/>
      <c r="H948" t="str">
        <f>"3700920105690"</f>
        <v>3700920105690</v>
      </c>
      <c r="J948" t="s">
        <v>1297</v>
      </c>
    </row>
    <row r="949" spans="1:10" x14ac:dyDescent="0.25">
      <c r="A949" t="s">
        <v>8</v>
      </c>
      <c r="B949" t="s">
        <v>1298</v>
      </c>
      <c r="C949" t="s">
        <v>1299</v>
      </c>
      <c r="D949">
        <v>1</v>
      </c>
      <c r="E949" t="s">
        <v>10</v>
      </c>
      <c r="F949" t="s">
        <v>11</v>
      </c>
      <c r="G949" s="1"/>
      <c r="H949" t="str">
        <f>"3700920106475"</f>
        <v>3700920106475</v>
      </c>
      <c r="J949" t="s">
        <v>1297</v>
      </c>
    </row>
    <row r="950" spans="1:10" x14ac:dyDescent="0.25">
      <c r="A950" t="s">
        <v>8</v>
      </c>
      <c r="B950" t="s">
        <v>1300</v>
      </c>
      <c r="C950" t="s">
        <v>1301</v>
      </c>
      <c r="D950">
        <v>1</v>
      </c>
      <c r="E950" t="s">
        <v>10</v>
      </c>
      <c r="F950" t="s">
        <v>11</v>
      </c>
      <c r="G950" s="1"/>
      <c r="H950" t="str">
        <f>"3700920105539"</f>
        <v>3700920105539</v>
      </c>
      <c r="J950" t="s">
        <v>1302</v>
      </c>
    </row>
    <row r="951" spans="1:10" x14ac:dyDescent="0.25">
      <c r="A951" t="s">
        <v>8</v>
      </c>
      <c r="B951" t="s">
        <v>1303</v>
      </c>
      <c r="C951" t="s">
        <v>1304</v>
      </c>
      <c r="D951">
        <v>1</v>
      </c>
      <c r="E951" t="s">
        <v>10</v>
      </c>
      <c r="F951" t="s">
        <v>11</v>
      </c>
      <c r="G951" s="1"/>
      <c r="H951" t="str">
        <f>"3700920106482"</f>
        <v>3700920106482</v>
      </c>
      <c r="J951" t="s">
        <v>1302</v>
      </c>
    </row>
    <row r="952" spans="1:10" x14ac:dyDescent="0.25">
      <c r="A952" t="s">
        <v>8</v>
      </c>
      <c r="B952" t="s">
        <v>1305</v>
      </c>
      <c r="C952" t="s">
        <v>1306</v>
      </c>
      <c r="D952">
        <v>1</v>
      </c>
      <c r="E952" t="s">
        <v>10</v>
      </c>
      <c r="F952" t="s">
        <v>11</v>
      </c>
      <c r="G952" s="1"/>
      <c r="H952" t="str">
        <f>"3700920104143"</f>
        <v>3700920104143</v>
      </c>
      <c r="I952" s="1"/>
      <c r="J952" t="s">
        <v>1307</v>
      </c>
    </row>
    <row r="953" spans="1:10" x14ac:dyDescent="0.25">
      <c r="A953" t="s">
        <v>8</v>
      </c>
      <c r="B953" t="s">
        <v>1308</v>
      </c>
      <c r="C953" t="s">
        <v>1309</v>
      </c>
      <c r="D953">
        <v>1</v>
      </c>
      <c r="E953" t="s">
        <v>10</v>
      </c>
      <c r="F953" t="s">
        <v>11</v>
      </c>
      <c r="G953" s="1"/>
      <c r="H953" t="str">
        <f>"3700920104150"</f>
        <v>3700920104150</v>
      </c>
      <c r="I953" s="1"/>
      <c r="J953" t="s">
        <v>1307</v>
      </c>
    </row>
    <row r="954" spans="1:10" x14ac:dyDescent="0.25">
      <c r="A954" t="s">
        <v>8</v>
      </c>
      <c r="B954" t="s">
        <v>1310</v>
      </c>
      <c r="C954" t="s">
        <v>1311</v>
      </c>
      <c r="D954">
        <v>1</v>
      </c>
      <c r="E954" t="s">
        <v>10</v>
      </c>
      <c r="F954" t="s">
        <v>11</v>
      </c>
      <c r="G954" s="1"/>
      <c r="H954" t="str">
        <f>"3700920104167"</f>
        <v>3700920104167</v>
      </c>
      <c r="I954" s="1"/>
      <c r="J954" t="s">
        <v>1307</v>
      </c>
    </row>
    <row r="955" spans="1:10" x14ac:dyDescent="0.25">
      <c r="A955" t="s">
        <v>8</v>
      </c>
      <c r="B955" t="s">
        <v>1312</v>
      </c>
      <c r="C955" t="s">
        <v>1313</v>
      </c>
      <c r="D955">
        <v>1</v>
      </c>
      <c r="E955" t="s">
        <v>10</v>
      </c>
      <c r="F955" t="s">
        <v>11</v>
      </c>
      <c r="G955" s="1"/>
      <c r="H955" t="str">
        <f>"3700920102446"</f>
        <v>3700920102446</v>
      </c>
      <c r="J955" t="s">
        <v>1314</v>
      </c>
    </row>
    <row r="956" spans="1:10" x14ac:dyDescent="0.25">
      <c r="A956" t="s">
        <v>8</v>
      </c>
      <c r="B956" t="s">
        <v>1315</v>
      </c>
      <c r="C956" t="s">
        <v>1316</v>
      </c>
      <c r="D956">
        <v>1</v>
      </c>
      <c r="E956" t="s">
        <v>10</v>
      </c>
      <c r="F956" t="s">
        <v>11</v>
      </c>
      <c r="G956" s="1"/>
      <c r="H956" t="str">
        <f>"3700920102453"</f>
        <v>3700920102453</v>
      </c>
      <c r="J956" t="s">
        <v>1317</v>
      </c>
    </row>
    <row r="957" spans="1:10" x14ac:dyDescent="0.25">
      <c r="A957" t="s">
        <v>8</v>
      </c>
      <c r="B957" t="s">
        <v>1318</v>
      </c>
      <c r="C957" t="s">
        <v>1319</v>
      </c>
      <c r="D957">
        <v>1</v>
      </c>
      <c r="E957" t="s">
        <v>10</v>
      </c>
      <c r="F957" t="s">
        <v>11</v>
      </c>
      <c r="G957" s="1"/>
      <c r="H957" t="str">
        <f>"3700920105805"</f>
        <v>3700920105805</v>
      </c>
      <c r="J957" t="s">
        <v>1320</v>
      </c>
    </row>
    <row r="958" spans="1:10" x14ac:dyDescent="0.25">
      <c r="A958" t="s">
        <v>8</v>
      </c>
      <c r="B958" t="s">
        <v>1321</v>
      </c>
      <c r="C958" t="s">
        <v>1322</v>
      </c>
      <c r="D958">
        <v>1</v>
      </c>
      <c r="E958" t="s">
        <v>10</v>
      </c>
      <c r="F958" t="s">
        <v>11</v>
      </c>
      <c r="G958" s="1"/>
      <c r="H958" t="str">
        <f>"3700920105904"</f>
        <v>3700920105904</v>
      </c>
      <c r="J958" t="s">
        <v>1320</v>
      </c>
    </row>
    <row r="959" spans="1:10" x14ac:dyDescent="0.25">
      <c r="A959" t="s">
        <v>8</v>
      </c>
      <c r="B959" t="s">
        <v>1323</v>
      </c>
      <c r="C959" t="s">
        <v>1324</v>
      </c>
      <c r="D959">
        <v>1</v>
      </c>
      <c r="E959" t="s">
        <v>10</v>
      </c>
      <c r="F959" t="s">
        <v>11</v>
      </c>
      <c r="G959" s="1"/>
      <c r="H959" t="str">
        <f>"3700920105553"</f>
        <v>3700920105553</v>
      </c>
      <c r="J959" t="s">
        <v>1325</v>
      </c>
    </row>
    <row r="960" spans="1:10" x14ac:dyDescent="0.25">
      <c r="A960" t="s">
        <v>8</v>
      </c>
      <c r="B960" t="s">
        <v>1326</v>
      </c>
      <c r="C960" t="s">
        <v>1327</v>
      </c>
      <c r="D960">
        <v>1</v>
      </c>
      <c r="E960" t="s">
        <v>10</v>
      </c>
      <c r="F960" t="s">
        <v>11</v>
      </c>
      <c r="G960" s="1"/>
      <c r="H960" t="str">
        <f>"3700920105911"</f>
        <v>3700920105911</v>
      </c>
      <c r="J960" t="s">
        <v>1325</v>
      </c>
    </row>
    <row r="961" spans="1:10" x14ac:dyDescent="0.25">
      <c r="A961" t="s">
        <v>8</v>
      </c>
      <c r="B961" t="s">
        <v>1328</v>
      </c>
      <c r="C961" t="s">
        <v>1329</v>
      </c>
      <c r="D961">
        <v>1</v>
      </c>
      <c r="E961" t="s">
        <v>10</v>
      </c>
      <c r="F961" t="s">
        <v>11</v>
      </c>
      <c r="G961" s="1"/>
      <c r="H961" t="str">
        <f>"3700920106215"</f>
        <v>3700920106215</v>
      </c>
      <c r="J961" t="s">
        <v>1330</v>
      </c>
    </row>
    <row r="962" spans="1:10" x14ac:dyDescent="0.25">
      <c r="A962" t="s">
        <v>8</v>
      </c>
      <c r="B962" t="s">
        <v>1331</v>
      </c>
      <c r="C962" t="s">
        <v>1332</v>
      </c>
      <c r="D962">
        <v>1</v>
      </c>
      <c r="E962" t="s">
        <v>10</v>
      </c>
      <c r="F962" t="s">
        <v>11</v>
      </c>
      <c r="G962" s="1"/>
      <c r="H962" t="str">
        <f>"3700920106222"</f>
        <v>3700920106222</v>
      </c>
      <c r="J962" t="s">
        <v>1330</v>
      </c>
    </row>
    <row r="963" spans="1:10" x14ac:dyDescent="0.25">
      <c r="A963" t="s">
        <v>8</v>
      </c>
      <c r="B963" t="s">
        <v>1333</v>
      </c>
      <c r="C963" t="s">
        <v>1334</v>
      </c>
      <c r="D963">
        <v>1</v>
      </c>
      <c r="E963" t="s">
        <v>10</v>
      </c>
      <c r="F963" t="s">
        <v>11</v>
      </c>
      <c r="G963" s="1"/>
      <c r="H963" t="str">
        <f>"3700920102798"</f>
        <v>3700920102798</v>
      </c>
      <c r="J963" t="s">
        <v>1335</v>
      </c>
    </row>
    <row r="964" spans="1:10" x14ac:dyDescent="0.25">
      <c r="A964" t="s">
        <v>8</v>
      </c>
      <c r="B964" t="s">
        <v>1336</v>
      </c>
      <c r="C964" t="s">
        <v>1337</v>
      </c>
      <c r="D964">
        <v>1</v>
      </c>
      <c r="E964" t="s">
        <v>10</v>
      </c>
      <c r="F964" t="s">
        <v>11</v>
      </c>
      <c r="G964" s="1"/>
      <c r="H964" t="str">
        <f>"3700920102804"</f>
        <v>3700920102804</v>
      </c>
      <c r="J964" t="s">
        <v>1335</v>
      </c>
    </row>
    <row r="965" spans="1:10" x14ac:dyDescent="0.25">
      <c r="A965" t="s">
        <v>8</v>
      </c>
      <c r="B965">
        <v>6230002</v>
      </c>
      <c r="C965" t="s">
        <v>1338</v>
      </c>
      <c r="D965">
        <v>1</v>
      </c>
      <c r="E965" t="s">
        <v>10</v>
      </c>
      <c r="F965" t="s">
        <v>11</v>
      </c>
      <c r="G965" s="1"/>
      <c r="H965" t="str">
        <f>"3700920145092"</f>
        <v>3700920145092</v>
      </c>
      <c r="J965" s="1">
        <v>990</v>
      </c>
    </row>
    <row r="966" spans="1:10" x14ac:dyDescent="0.25">
      <c r="A966" t="s">
        <v>8</v>
      </c>
      <c r="B966">
        <v>6230003</v>
      </c>
      <c r="C966" t="s">
        <v>1339</v>
      </c>
      <c r="D966">
        <v>1</v>
      </c>
      <c r="E966" t="s">
        <v>10</v>
      </c>
      <c r="F966" t="s">
        <v>11</v>
      </c>
      <c r="G966" s="1"/>
      <c r="H966" t="str">
        <f>"3700920145115"</f>
        <v>3700920145115</v>
      </c>
      <c r="J966" s="1">
        <v>990</v>
      </c>
    </row>
    <row r="967" spans="1:10" x14ac:dyDescent="0.25">
      <c r="A967" t="s">
        <v>8</v>
      </c>
      <c r="B967">
        <v>6230004</v>
      </c>
      <c r="C967" t="s">
        <v>1340</v>
      </c>
      <c r="D967">
        <v>1</v>
      </c>
      <c r="E967" t="s">
        <v>10</v>
      </c>
      <c r="F967" t="s">
        <v>11</v>
      </c>
      <c r="G967" s="1"/>
      <c r="H967" t="str">
        <f>"3700920145122"</f>
        <v>3700920145122</v>
      </c>
      <c r="J967" s="1">
        <v>990</v>
      </c>
    </row>
    <row r="968" spans="1:10" x14ac:dyDescent="0.25">
      <c r="A968" t="s">
        <v>8</v>
      </c>
      <c r="B968">
        <v>6230012</v>
      </c>
      <c r="C968" t="s">
        <v>1341</v>
      </c>
      <c r="D968">
        <v>1</v>
      </c>
      <c r="E968" t="s">
        <v>10</v>
      </c>
      <c r="F968" t="s">
        <v>11</v>
      </c>
      <c r="G968" s="1"/>
      <c r="H968" t="str">
        <f>"3700920145108"</f>
        <v>3700920145108</v>
      </c>
      <c r="J968" s="1">
        <v>1050</v>
      </c>
    </row>
    <row r="969" spans="1:10" x14ac:dyDescent="0.25">
      <c r="A969" t="s">
        <v>8</v>
      </c>
      <c r="B969">
        <v>6230013</v>
      </c>
      <c r="C969" t="s">
        <v>1342</v>
      </c>
      <c r="D969">
        <v>1</v>
      </c>
      <c r="E969" t="s">
        <v>10</v>
      </c>
      <c r="F969" t="s">
        <v>11</v>
      </c>
      <c r="G969" s="1"/>
      <c r="H969" t="str">
        <f>"3700920145139"</f>
        <v>3700920145139</v>
      </c>
      <c r="J969" s="1">
        <v>1050</v>
      </c>
    </row>
    <row r="970" spans="1:10" x14ac:dyDescent="0.25">
      <c r="A970" t="s">
        <v>8</v>
      </c>
      <c r="B970">
        <v>6230014</v>
      </c>
      <c r="C970" t="s">
        <v>1343</v>
      </c>
      <c r="D970">
        <v>1</v>
      </c>
      <c r="E970" t="s">
        <v>10</v>
      </c>
      <c r="F970" t="s">
        <v>11</v>
      </c>
      <c r="G970" s="1"/>
      <c r="H970" t="str">
        <f>"3700920145146"</f>
        <v>3700920145146</v>
      </c>
      <c r="J970" s="1">
        <v>1050</v>
      </c>
    </row>
    <row r="971" spans="1:10" x14ac:dyDescent="0.25">
      <c r="A971" t="s">
        <v>8</v>
      </c>
      <c r="B971">
        <v>6239004</v>
      </c>
      <c r="C971" t="s">
        <v>1344</v>
      </c>
      <c r="D971">
        <v>1</v>
      </c>
      <c r="E971" t="s">
        <v>10</v>
      </c>
      <c r="F971" t="s">
        <v>11</v>
      </c>
      <c r="G971" s="1"/>
      <c r="H971" t="str">
        <f>"3700920145184"</f>
        <v>3700920145184</v>
      </c>
      <c r="J971" t="s">
        <v>214</v>
      </c>
    </row>
    <row r="972" spans="1:10" x14ac:dyDescent="0.25">
      <c r="A972" t="s">
        <v>8</v>
      </c>
      <c r="B972">
        <v>6239005</v>
      </c>
      <c r="C972" t="s">
        <v>1345</v>
      </c>
      <c r="D972">
        <v>1</v>
      </c>
      <c r="E972" t="s">
        <v>10</v>
      </c>
      <c r="F972" t="s">
        <v>11</v>
      </c>
      <c r="G972" s="1"/>
      <c r="H972" t="str">
        <f>"3700920145191"</f>
        <v>3700920145191</v>
      </c>
      <c r="J972" t="s">
        <v>659</v>
      </c>
    </row>
    <row r="973" spans="1:10" x14ac:dyDescent="0.25">
      <c r="A973" t="s">
        <v>8</v>
      </c>
      <c r="B973">
        <v>6239006</v>
      </c>
      <c r="C973" t="s">
        <v>1346</v>
      </c>
      <c r="D973">
        <v>1</v>
      </c>
      <c r="E973" t="s">
        <v>10</v>
      </c>
      <c r="F973" t="s">
        <v>11</v>
      </c>
      <c r="G973" s="1"/>
      <c r="H973" t="str">
        <f>"3700920145207"</f>
        <v>3700920145207</v>
      </c>
      <c r="J973" t="s">
        <v>1347</v>
      </c>
    </row>
    <row r="974" spans="1:10" x14ac:dyDescent="0.25">
      <c r="A974" t="s">
        <v>8</v>
      </c>
      <c r="B974">
        <v>6250005</v>
      </c>
      <c r="C974" t="s">
        <v>1348</v>
      </c>
      <c r="D974">
        <v>1</v>
      </c>
      <c r="E974" t="s">
        <v>10</v>
      </c>
      <c r="F974" t="s">
        <v>11</v>
      </c>
      <c r="G974" s="1"/>
      <c r="H974" t="str">
        <f>"3700920140394"</f>
        <v>3700920140394</v>
      </c>
      <c r="J974" t="s">
        <v>1349</v>
      </c>
    </row>
    <row r="975" spans="1:10" x14ac:dyDescent="0.25">
      <c r="A975" t="s">
        <v>8</v>
      </c>
      <c r="B975">
        <v>6250010</v>
      </c>
      <c r="C975" t="s">
        <v>1350</v>
      </c>
      <c r="D975">
        <v>1</v>
      </c>
      <c r="E975" t="s">
        <v>10</v>
      </c>
      <c r="F975" t="s">
        <v>11</v>
      </c>
      <c r="G975" s="1"/>
      <c r="H975" t="str">
        <f>"3700920140400"</f>
        <v>3700920140400</v>
      </c>
      <c r="J975" s="1">
        <v>213</v>
      </c>
    </row>
    <row r="976" spans="1:10" x14ac:dyDescent="0.25">
      <c r="A976" t="s">
        <v>8</v>
      </c>
      <c r="B976">
        <v>6260001</v>
      </c>
      <c r="C976" t="s">
        <v>1351</v>
      </c>
      <c r="D976">
        <v>1</v>
      </c>
      <c r="E976" t="s">
        <v>10</v>
      </c>
      <c r="F976" t="s">
        <v>11</v>
      </c>
      <c r="G976" s="1"/>
      <c r="H976" t="str">
        <f>"3700920110083"</f>
        <v>3700920110083</v>
      </c>
      <c r="J976" s="1">
        <v>72</v>
      </c>
    </row>
    <row r="977" spans="1:10" x14ac:dyDescent="0.25">
      <c r="A977" t="s">
        <v>8</v>
      </c>
      <c r="B977">
        <v>6260002</v>
      </c>
      <c r="C977" t="s">
        <v>1352</v>
      </c>
      <c r="D977">
        <v>1</v>
      </c>
      <c r="E977" t="s">
        <v>10</v>
      </c>
      <c r="F977" t="s">
        <v>11</v>
      </c>
      <c r="G977" s="1"/>
      <c r="H977" t="str">
        <f>"3700920110090"</f>
        <v>3700920110090</v>
      </c>
      <c r="J977" s="1">
        <v>96</v>
      </c>
    </row>
    <row r="978" spans="1:10" x14ac:dyDescent="0.25">
      <c r="A978" t="s">
        <v>8</v>
      </c>
      <c r="B978">
        <v>6260003</v>
      </c>
      <c r="C978" t="s">
        <v>1353</v>
      </c>
      <c r="D978">
        <v>1</v>
      </c>
      <c r="E978" t="s">
        <v>10</v>
      </c>
      <c r="F978" t="s">
        <v>11</v>
      </c>
      <c r="G978" s="1"/>
      <c r="H978" t="str">
        <f>"3700920110106"</f>
        <v>3700920110106</v>
      </c>
      <c r="J978" s="1">
        <v>69</v>
      </c>
    </row>
    <row r="979" spans="1:10" x14ac:dyDescent="0.25">
      <c r="A979" t="s">
        <v>8</v>
      </c>
      <c r="B979">
        <v>6260102</v>
      </c>
      <c r="C979" t="s">
        <v>1354</v>
      </c>
      <c r="D979">
        <v>1</v>
      </c>
      <c r="E979" t="s">
        <v>10</v>
      </c>
      <c r="F979" t="s">
        <v>11</v>
      </c>
      <c r="G979" s="1"/>
      <c r="H979" t="str">
        <f>"3700920114760"</f>
        <v>3700920114760</v>
      </c>
      <c r="J979" s="1">
        <v>87</v>
      </c>
    </row>
    <row r="980" spans="1:10" x14ac:dyDescent="0.25">
      <c r="A980" t="s">
        <v>8</v>
      </c>
      <c r="B980">
        <v>6260152</v>
      </c>
      <c r="C980" t="s">
        <v>1355</v>
      </c>
      <c r="D980">
        <v>1</v>
      </c>
      <c r="E980" t="s">
        <v>10</v>
      </c>
      <c r="F980" t="s">
        <v>11</v>
      </c>
      <c r="G980" s="1"/>
      <c r="H980" t="str">
        <f>"3700920114777"</f>
        <v>3700920114777</v>
      </c>
      <c r="J980" t="s">
        <v>924</v>
      </c>
    </row>
    <row r="981" spans="1:10" x14ac:dyDescent="0.25">
      <c r="A981" t="s">
        <v>8</v>
      </c>
      <c r="B981">
        <v>6260202</v>
      </c>
      <c r="C981" t="s">
        <v>1356</v>
      </c>
      <c r="D981">
        <v>1</v>
      </c>
      <c r="E981" t="s">
        <v>10</v>
      </c>
      <c r="F981" t="s">
        <v>11</v>
      </c>
      <c r="G981" s="1"/>
      <c r="H981" t="str">
        <f>"3700920114784"</f>
        <v>3700920114784</v>
      </c>
      <c r="J981" t="s">
        <v>1357</v>
      </c>
    </row>
    <row r="982" spans="1:10" x14ac:dyDescent="0.25">
      <c r="A982" t="s">
        <v>8</v>
      </c>
      <c r="B982">
        <v>6260212</v>
      </c>
      <c r="C982" t="s">
        <v>1358</v>
      </c>
      <c r="D982">
        <v>1</v>
      </c>
      <c r="E982" t="s">
        <v>10</v>
      </c>
      <c r="F982" t="s">
        <v>11</v>
      </c>
      <c r="G982" s="1"/>
      <c r="H982" t="str">
        <f>"3700920114791"</f>
        <v>3700920114791</v>
      </c>
      <c r="J982" t="s">
        <v>1359</v>
      </c>
    </row>
    <row r="983" spans="1:10" x14ac:dyDescent="0.25">
      <c r="A983" t="s">
        <v>8</v>
      </c>
      <c r="B983">
        <v>6260222</v>
      </c>
      <c r="C983" t="s">
        <v>1360</v>
      </c>
      <c r="D983">
        <v>1</v>
      </c>
      <c r="E983" t="s">
        <v>10</v>
      </c>
      <c r="F983" t="s">
        <v>11</v>
      </c>
      <c r="G983" s="1"/>
      <c r="H983" t="str">
        <f>"3700920114814"</f>
        <v>3700920114814</v>
      </c>
      <c r="J983" s="1">
        <v>78</v>
      </c>
    </row>
    <row r="984" spans="1:10" x14ac:dyDescent="0.25">
      <c r="A984" t="s">
        <v>8</v>
      </c>
      <c r="B984">
        <v>6260232</v>
      </c>
      <c r="C984" t="s">
        <v>1361</v>
      </c>
      <c r="D984">
        <v>1</v>
      </c>
      <c r="E984" t="s">
        <v>10</v>
      </c>
      <c r="F984" t="s">
        <v>11</v>
      </c>
      <c r="G984" s="1"/>
      <c r="H984" t="str">
        <f>"3700920114807"</f>
        <v>3700920114807</v>
      </c>
      <c r="J984" t="s">
        <v>971</v>
      </c>
    </row>
    <row r="985" spans="1:10" x14ac:dyDescent="0.25">
      <c r="A985" t="s">
        <v>8</v>
      </c>
      <c r="B985">
        <v>6271010</v>
      </c>
      <c r="C985" t="s">
        <v>1362</v>
      </c>
      <c r="D985">
        <v>1</v>
      </c>
      <c r="E985" t="s">
        <v>10</v>
      </c>
      <c r="F985" t="s">
        <v>11</v>
      </c>
      <c r="G985" s="1"/>
      <c r="H985" t="str">
        <f>"3700920144767"</f>
        <v>3700920144767</v>
      </c>
      <c r="J985" t="s">
        <v>1357</v>
      </c>
    </row>
    <row r="986" spans="1:10" x14ac:dyDescent="0.25">
      <c r="A986" t="s">
        <v>8</v>
      </c>
      <c r="B986">
        <v>6271011</v>
      </c>
      <c r="C986" t="s">
        <v>1363</v>
      </c>
      <c r="D986">
        <v>1</v>
      </c>
      <c r="E986" t="s">
        <v>10</v>
      </c>
      <c r="F986" t="s">
        <v>11</v>
      </c>
      <c r="G986" s="1"/>
      <c r="H986" t="str">
        <f>"3700920140950"</f>
        <v>3700920140950</v>
      </c>
      <c r="J986" t="s">
        <v>1357</v>
      </c>
    </row>
    <row r="987" spans="1:10" x14ac:dyDescent="0.25">
      <c r="A987" t="s">
        <v>8</v>
      </c>
      <c r="B987">
        <v>6271030</v>
      </c>
      <c r="C987" t="s">
        <v>1364</v>
      </c>
      <c r="D987">
        <v>1</v>
      </c>
      <c r="E987" t="s">
        <v>10</v>
      </c>
      <c r="F987" t="s">
        <v>11</v>
      </c>
      <c r="G987" s="1"/>
      <c r="H987" t="str">
        <f>"3700920144774"</f>
        <v>3700920144774</v>
      </c>
      <c r="J987" s="1">
        <v>138</v>
      </c>
    </row>
    <row r="988" spans="1:10" x14ac:dyDescent="0.25">
      <c r="A988" t="s">
        <v>8</v>
      </c>
      <c r="B988">
        <v>6271031</v>
      </c>
      <c r="C988" t="s">
        <v>1365</v>
      </c>
      <c r="D988">
        <v>1</v>
      </c>
      <c r="E988" t="s">
        <v>10</v>
      </c>
      <c r="F988" t="s">
        <v>11</v>
      </c>
      <c r="G988" s="1"/>
      <c r="H988" t="str">
        <f>"3700920140967"</f>
        <v>3700920140967</v>
      </c>
      <c r="J988" s="1">
        <v>138</v>
      </c>
    </row>
    <row r="989" spans="1:10" x14ac:dyDescent="0.25">
      <c r="A989" t="s">
        <v>8</v>
      </c>
      <c r="B989">
        <v>6271040</v>
      </c>
      <c r="C989" t="s">
        <v>1366</v>
      </c>
      <c r="D989">
        <v>1</v>
      </c>
      <c r="E989" t="s">
        <v>10</v>
      </c>
      <c r="F989" t="s">
        <v>11</v>
      </c>
      <c r="G989" s="1"/>
      <c r="H989" t="str">
        <f>"3700920144781"</f>
        <v>3700920144781</v>
      </c>
      <c r="J989" t="s">
        <v>1367</v>
      </c>
    </row>
    <row r="990" spans="1:10" x14ac:dyDescent="0.25">
      <c r="A990" t="s">
        <v>8</v>
      </c>
      <c r="B990">
        <v>6271041</v>
      </c>
      <c r="C990" t="s">
        <v>1368</v>
      </c>
      <c r="D990">
        <v>1</v>
      </c>
      <c r="E990" t="s">
        <v>10</v>
      </c>
      <c r="F990" t="s">
        <v>11</v>
      </c>
      <c r="G990" s="1"/>
      <c r="H990" t="str">
        <f>"3700920140974"</f>
        <v>3700920140974</v>
      </c>
      <c r="J990" t="s">
        <v>1367</v>
      </c>
    </row>
    <row r="991" spans="1:10" x14ac:dyDescent="0.25">
      <c r="A991" t="s">
        <v>8</v>
      </c>
      <c r="B991">
        <v>6272010</v>
      </c>
      <c r="C991" t="s">
        <v>1369</v>
      </c>
      <c r="D991">
        <v>1</v>
      </c>
      <c r="E991" t="s">
        <v>10</v>
      </c>
      <c r="F991" t="s">
        <v>11</v>
      </c>
      <c r="G991" s="1"/>
      <c r="H991" t="str">
        <f>"3700920140981"</f>
        <v>3700920140981</v>
      </c>
      <c r="J991" t="s">
        <v>1370</v>
      </c>
    </row>
    <row r="992" spans="1:10" x14ac:dyDescent="0.25">
      <c r="A992" t="s">
        <v>8</v>
      </c>
      <c r="B992">
        <v>6272011</v>
      </c>
      <c r="C992" t="s">
        <v>1363</v>
      </c>
      <c r="D992">
        <v>1</v>
      </c>
      <c r="E992" t="s">
        <v>10</v>
      </c>
      <c r="F992" t="s">
        <v>11</v>
      </c>
      <c r="G992" s="1"/>
      <c r="H992" t="str">
        <f>"3700920140998"</f>
        <v>3700920140998</v>
      </c>
      <c r="J992" t="s">
        <v>1370</v>
      </c>
    </row>
    <row r="993" spans="1:10" x14ac:dyDescent="0.25">
      <c r="A993" t="s">
        <v>8</v>
      </c>
      <c r="B993">
        <v>6272030</v>
      </c>
      <c r="C993" t="s">
        <v>1371</v>
      </c>
      <c r="D993">
        <v>1</v>
      </c>
      <c r="E993" t="s">
        <v>10</v>
      </c>
      <c r="F993" t="s">
        <v>11</v>
      </c>
      <c r="G993" s="1"/>
      <c r="H993" t="str">
        <f>"3700920141001"</f>
        <v>3700920141001</v>
      </c>
      <c r="J993" t="s">
        <v>1372</v>
      </c>
    </row>
    <row r="994" spans="1:10" x14ac:dyDescent="0.25">
      <c r="A994" t="s">
        <v>8</v>
      </c>
      <c r="B994">
        <v>6272031</v>
      </c>
      <c r="C994" t="s">
        <v>1373</v>
      </c>
      <c r="D994">
        <v>1</v>
      </c>
      <c r="E994" t="s">
        <v>10</v>
      </c>
      <c r="F994" t="s">
        <v>11</v>
      </c>
      <c r="G994" s="1"/>
      <c r="H994" t="str">
        <f>"3700920141018"</f>
        <v>3700920141018</v>
      </c>
      <c r="J994" t="s">
        <v>1372</v>
      </c>
    </row>
    <row r="995" spans="1:10" x14ac:dyDescent="0.25">
      <c r="A995" t="s">
        <v>8</v>
      </c>
      <c r="B995">
        <v>6272040</v>
      </c>
      <c r="C995" t="s">
        <v>1374</v>
      </c>
      <c r="D995">
        <v>1</v>
      </c>
      <c r="E995" t="s">
        <v>10</v>
      </c>
      <c r="F995" t="s">
        <v>11</v>
      </c>
      <c r="G995" s="1"/>
      <c r="H995" t="str">
        <f>"3700920141025"</f>
        <v>3700920141025</v>
      </c>
      <c r="J995" s="1">
        <v>207</v>
      </c>
    </row>
    <row r="996" spans="1:10" x14ac:dyDescent="0.25">
      <c r="A996" t="s">
        <v>8</v>
      </c>
      <c r="B996">
        <v>6272041</v>
      </c>
      <c r="C996" t="s">
        <v>1368</v>
      </c>
      <c r="D996">
        <v>1</v>
      </c>
      <c r="E996" t="s">
        <v>10</v>
      </c>
      <c r="F996" t="s">
        <v>11</v>
      </c>
      <c r="G996" s="1"/>
      <c r="H996" t="str">
        <f>"3700920141032"</f>
        <v>3700920141032</v>
      </c>
      <c r="J996" s="1">
        <v>207</v>
      </c>
    </row>
    <row r="997" spans="1:10" x14ac:dyDescent="0.25">
      <c r="A997" t="s">
        <v>8</v>
      </c>
      <c r="B997">
        <v>6280210</v>
      </c>
      <c r="C997" t="s">
        <v>1375</v>
      </c>
      <c r="D997">
        <v>1</v>
      </c>
      <c r="E997" t="s">
        <v>10</v>
      </c>
      <c r="F997" t="s">
        <v>11</v>
      </c>
      <c r="G997" s="1"/>
      <c r="H997" t="str">
        <f>"3700920145450"</f>
        <v>3700920145450</v>
      </c>
      <c r="J997" t="s">
        <v>118</v>
      </c>
    </row>
    <row r="998" spans="1:10" x14ac:dyDescent="0.25">
      <c r="A998" t="s">
        <v>8</v>
      </c>
      <c r="B998">
        <v>6280310</v>
      </c>
      <c r="C998" t="s">
        <v>1376</v>
      </c>
      <c r="D998">
        <v>1</v>
      </c>
      <c r="E998" t="s">
        <v>10</v>
      </c>
      <c r="F998" t="s">
        <v>11</v>
      </c>
      <c r="G998" s="1"/>
      <c r="H998" t="str">
        <f>"3700920145467"</f>
        <v>3700920145467</v>
      </c>
      <c r="J998" t="s">
        <v>971</v>
      </c>
    </row>
    <row r="999" spans="1:10" x14ac:dyDescent="0.25">
      <c r="A999" t="s">
        <v>8</v>
      </c>
      <c r="B999">
        <v>6280400</v>
      </c>
      <c r="C999" t="s">
        <v>1377</v>
      </c>
      <c r="D999">
        <v>1</v>
      </c>
      <c r="E999" t="s">
        <v>10</v>
      </c>
      <c r="F999" t="s">
        <v>11</v>
      </c>
      <c r="G999" s="1"/>
      <c r="H999" t="str">
        <f>"3700920145474"</f>
        <v>3700920145474</v>
      </c>
      <c r="I999" s="1"/>
      <c r="J999" t="s">
        <v>1000</v>
      </c>
    </row>
    <row r="1000" spans="1:10" x14ac:dyDescent="0.25">
      <c r="A1000" t="s">
        <v>8</v>
      </c>
      <c r="B1000">
        <v>6280410</v>
      </c>
      <c r="C1000" t="s">
        <v>1378</v>
      </c>
      <c r="D1000">
        <v>1</v>
      </c>
      <c r="E1000" t="s">
        <v>10</v>
      </c>
      <c r="F1000" t="s">
        <v>11</v>
      </c>
      <c r="G1000" s="1"/>
      <c r="H1000" t="str">
        <f>"3700920148581"</f>
        <v>3700920148581</v>
      </c>
      <c r="J1000" s="1">
        <v>51</v>
      </c>
    </row>
    <row r="1001" spans="1:10" x14ac:dyDescent="0.25">
      <c r="A1001" t="s">
        <v>8</v>
      </c>
      <c r="B1001">
        <v>6290560</v>
      </c>
      <c r="C1001" t="s">
        <v>1379</v>
      </c>
      <c r="D1001">
        <v>1</v>
      </c>
      <c r="E1001" t="s">
        <v>10</v>
      </c>
      <c r="F1001" t="s">
        <v>11</v>
      </c>
      <c r="G1001" s="1"/>
      <c r="H1001" t="str">
        <f>"3700920141346"</f>
        <v>3700920141346</v>
      </c>
      <c r="J1001" s="1">
        <v>78</v>
      </c>
    </row>
    <row r="1002" spans="1:10" x14ac:dyDescent="0.25">
      <c r="A1002" t="s">
        <v>8</v>
      </c>
      <c r="B1002">
        <v>6290561</v>
      </c>
      <c r="C1002" t="s">
        <v>1380</v>
      </c>
      <c r="D1002">
        <v>1</v>
      </c>
      <c r="E1002" t="s">
        <v>10</v>
      </c>
      <c r="F1002" t="s">
        <v>11</v>
      </c>
      <c r="G1002" s="1"/>
      <c r="H1002" t="str">
        <f>"3700920141353"</f>
        <v>3700920141353</v>
      </c>
      <c r="J1002" s="1">
        <v>78</v>
      </c>
    </row>
    <row r="1003" spans="1:10" x14ac:dyDescent="0.25">
      <c r="A1003" t="s">
        <v>8</v>
      </c>
      <c r="B1003">
        <v>6300010</v>
      </c>
      <c r="C1003" t="s">
        <v>1381</v>
      </c>
      <c r="D1003">
        <v>1</v>
      </c>
      <c r="E1003" t="s">
        <v>10</v>
      </c>
      <c r="F1003" t="s">
        <v>11</v>
      </c>
      <c r="G1003" s="1"/>
      <c r="H1003" t="str">
        <f>"3700920141650"</f>
        <v>3700920141650</v>
      </c>
      <c r="J1003" s="1">
        <v>36</v>
      </c>
    </row>
    <row r="1004" spans="1:10" x14ac:dyDescent="0.25">
      <c r="A1004" t="s">
        <v>8</v>
      </c>
      <c r="B1004">
        <v>6300011</v>
      </c>
      <c r="C1004" t="s">
        <v>1382</v>
      </c>
      <c r="D1004">
        <v>1</v>
      </c>
      <c r="E1004" t="s">
        <v>10</v>
      </c>
      <c r="F1004" t="s">
        <v>11</v>
      </c>
      <c r="G1004" s="1"/>
      <c r="H1004" t="str">
        <f>"3700920141667"</f>
        <v>3700920141667</v>
      </c>
      <c r="J1004" s="1">
        <v>36</v>
      </c>
    </row>
    <row r="1005" spans="1:10" x14ac:dyDescent="0.25">
      <c r="A1005" t="s">
        <v>8</v>
      </c>
      <c r="B1005">
        <v>6300020</v>
      </c>
      <c r="C1005" t="s">
        <v>1383</v>
      </c>
      <c r="D1005">
        <v>1</v>
      </c>
      <c r="E1005" t="s">
        <v>10</v>
      </c>
      <c r="F1005" t="s">
        <v>11</v>
      </c>
      <c r="G1005" s="1"/>
      <c r="H1005" t="str">
        <f>"3700920141681"</f>
        <v>3700920141681</v>
      </c>
      <c r="J1005" s="1">
        <v>42</v>
      </c>
    </row>
    <row r="1006" spans="1:10" x14ac:dyDescent="0.25">
      <c r="A1006" t="s">
        <v>8</v>
      </c>
      <c r="B1006">
        <v>6300021</v>
      </c>
      <c r="C1006" t="s">
        <v>1384</v>
      </c>
      <c r="D1006">
        <v>1</v>
      </c>
      <c r="E1006" t="s">
        <v>10</v>
      </c>
      <c r="F1006" t="s">
        <v>11</v>
      </c>
      <c r="G1006" s="1"/>
      <c r="H1006" t="str">
        <f>"3700920141698"</f>
        <v>3700920141698</v>
      </c>
      <c r="J1006" s="1">
        <v>42</v>
      </c>
    </row>
    <row r="1007" spans="1:10" x14ac:dyDescent="0.25">
      <c r="A1007" t="s">
        <v>8</v>
      </c>
      <c r="B1007">
        <v>6300022</v>
      </c>
      <c r="C1007" t="s">
        <v>1385</v>
      </c>
      <c r="D1007">
        <v>1</v>
      </c>
      <c r="E1007" t="s">
        <v>10</v>
      </c>
      <c r="F1007" t="s">
        <v>11</v>
      </c>
      <c r="G1007" s="1"/>
      <c r="H1007" t="str">
        <f>"3700920141674"</f>
        <v>3700920141674</v>
      </c>
      <c r="J1007" s="1">
        <v>42</v>
      </c>
    </row>
    <row r="1008" spans="1:10" x14ac:dyDescent="0.25">
      <c r="A1008" t="s">
        <v>8</v>
      </c>
      <c r="B1008">
        <v>6350310</v>
      </c>
      <c r="C1008" t="s">
        <v>1386</v>
      </c>
      <c r="D1008">
        <v>1</v>
      </c>
      <c r="E1008" t="s">
        <v>10</v>
      </c>
      <c r="F1008" t="s">
        <v>11</v>
      </c>
      <c r="G1008" s="1"/>
      <c r="H1008" t="str">
        <f>"3700920142190"</f>
        <v>3700920142190</v>
      </c>
      <c r="I1008" s="1"/>
      <c r="J1008" s="1">
        <v>108</v>
      </c>
    </row>
    <row r="1009" spans="1:10" x14ac:dyDescent="0.25">
      <c r="A1009" t="s">
        <v>8</v>
      </c>
      <c r="B1009">
        <v>6350320</v>
      </c>
      <c r="C1009" t="s">
        <v>1387</v>
      </c>
      <c r="D1009">
        <v>1</v>
      </c>
      <c r="E1009" t="s">
        <v>10</v>
      </c>
      <c r="F1009" t="s">
        <v>11</v>
      </c>
      <c r="G1009" s="1"/>
      <c r="H1009" t="str">
        <f>"3700920142206"</f>
        <v>3700920142206</v>
      </c>
      <c r="I1009" s="1"/>
      <c r="J1009" s="1">
        <v>108</v>
      </c>
    </row>
    <row r="1010" spans="1:10" x14ac:dyDescent="0.25">
      <c r="A1010" t="s">
        <v>8</v>
      </c>
      <c r="B1010">
        <v>6350815</v>
      </c>
      <c r="C1010" t="s">
        <v>1388</v>
      </c>
      <c r="D1010">
        <v>1</v>
      </c>
      <c r="E1010" t="s">
        <v>10</v>
      </c>
      <c r="F1010" t="s">
        <v>11</v>
      </c>
      <c r="G1010" s="1"/>
      <c r="H1010" t="str">
        <f>"3700920147638"</f>
        <v>3700920147638</v>
      </c>
      <c r="J1010" t="s">
        <v>1389</v>
      </c>
    </row>
    <row r="1011" spans="1:10" x14ac:dyDescent="0.25">
      <c r="A1011" t="s">
        <v>8</v>
      </c>
      <c r="B1011">
        <v>6350824</v>
      </c>
      <c r="C1011" t="s">
        <v>1390</v>
      </c>
      <c r="D1011">
        <v>1</v>
      </c>
      <c r="E1011" t="s">
        <v>10</v>
      </c>
      <c r="F1011" t="s">
        <v>11</v>
      </c>
      <c r="G1011" s="1"/>
      <c r="H1011" t="str">
        <f>"3700920147645"</f>
        <v>3700920147645</v>
      </c>
      <c r="J1011" t="s">
        <v>1389</v>
      </c>
    </row>
    <row r="1012" spans="1:10" x14ac:dyDescent="0.25">
      <c r="A1012" t="s">
        <v>8</v>
      </c>
      <c r="B1012">
        <v>6401001</v>
      </c>
      <c r="C1012" t="s">
        <v>1391</v>
      </c>
      <c r="D1012">
        <v>1</v>
      </c>
      <c r="E1012" t="s">
        <v>10</v>
      </c>
      <c r="F1012" t="s">
        <v>11</v>
      </c>
      <c r="G1012" s="1"/>
      <c r="H1012" t="str">
        <f>"3700920144927"</f>
        <v>3700920144927</v>
      </c>
      <c r="J1012" t="s">
        <v>359</v>
      </c>
    </row>
    <row r="1013" spans="1:10" x14ac:dyDescent="0.25">
      <c r="A1013" t="s">
        <v>8</v>
      </c>
      <c r="B1013">
        <v>6401002</v>
      </c>
      <c r="C1013" t="s">
        <v>1392</v>
      </c>
      <c r="D1013">
        <v>1</v>
      </c>
      <c r="E1013" t="s">
        <v>10</v>
      </c>
      <c r="F1013" t="s">
        <v>11</v>
      </c>
      <c r="G1013" s="1"/>
      <c r="H1013" t="str">
        <f>"3700920144934"</f>
        <v>3700920144934</v>
      </c>
      <c r="J1013" t="s">
        <v>359</v>
      </c>
    </row>
    <row r="1014" spans="1:10" x14ac:dyDescent="0.25">
      <c r="A1014" t="s">
        <v>8</v>
      </c>
      <c r="B1014">
        <v>6401015</v>
      </c>
      <c r="C1014" t="s">
        <v>1393</v>
      </c>
      <c r="D1014">
        <v>1</v>
      </c>
      <c r="E1014" t="s">
        <v>10</v>
      </c>
      <c r="F1014" t="s">
        <v>11</v>
      </c>
      <c r="G1014" s="1"/>
      <c r="H1014" t="str">
        <f>"3700920109865"</f>
        <v>3700920109865</v>
      </c>
      <c r="J1014" t="s">
        <v>1394</v>
      </c>
    </row>
    <row r="1015" spans="1:10" x14ac:dyDescent="0.25">
      <c r="A1015" t="s">
        <v>8</v>
      </c>
      <c r="B1015">
        <v>6401030</v>
      </c>
      <c r="C1015" t="s">
        <v>1395</v>
      </c>
      <c r="D1015">
        <v>1</v>
      </c>
      <c r="E1015" t="s">
        <v>10</v>
      </c>
      <c r="F1015" t="s">
        <v>11</v>
      </c>
      <c r="G1015" s="1"/>
      <c r="H1015" t="str">
        <f>"3700920109872"</f>
        <v>3700920109872</v>
      </c>
      <c r="J1015" t="s">
        <v>1396</v>
      </c>
    </row>
    <row r="1016" spans="1:10" x14ac:dyDescent="0.25">
      <c r="A1016" t="s">
        <v>8</v>
      </c>
      <c r="B1016">
        <v>6401075</v>
      </c>
      <c r="C1016" t="s">
        <v>1397</v>
      </c>
      <c r="D1016">
        <v>1</v>
      </c>
      <c r="E1016" t="s">
        <v>10</v>
      </c>
      <c r="F1016" t="s">
        <v>11</v>
      </c>
      <c r="G1016" s="1"/>
      <c r="H1016" t="str">
        <f>"3700920109896"</f>
        <v>3700920109896</v>
      </c>
      <c r="J1016" t="s">
        <v>1398</v>
      </c>
    </row>
    <row r="1017" spans="1:10" x14ac:dyDescent="0.25">
      <c r="A1017" t="s">
        <v>8</v>
      </c>
      <c r="B1017">
        <v>6401120</v>
      </c>
      <c r="C1017" t="s">
        <v>1399</v>
      </c>
      <c r="D1017">
        <v>1</v>
      </c>
      <c r="E1017" t="s">
        <v>10</v>
      </c>
      <c r="F1017" t="s">
        <v>11</v>
      </c>
      <c r="G1017" s="1"/>
      <c r="H1017" t="str">
        <f>"3700920109889"</f>
        <v>3700920109889</v>
      </c>
      <c r="J1017" t="s">
        <v>1330</v>
      </c>
    </row>
    <row r="1018" spans="1:10" x14ac:dyDescent="0.25">
      <c r="A1018" t="s">
        <v>8</v>
      </c>
      <c r="B1018">
        <v>6401200</v>
      </c>
      <c r="C1018" t="s">
        <v>1400</v>
      </c>
      <c r="D1018">
        <v>1</v>
      </c>
      <c r="E1018" t="s">
        <v>10</v>
      </c>
      <c r="F1018" t="s">
        <v>11</v>
      </c>
      <c r="G1018" s="1"/>
      <c r="H1018" t="str">
        <f>"3700920113879"</f>
        <v>3700920113879</v>
      </c>
      <c r="J1018" t="s">
        <v>1401</v>
      </c>
    </row>
    <row r="1019" spans="1:10" x14ac:dyDescent="0.25">
      <c r="A1019" t="s">
        <v>8</v>
      </c>
      <c r="B1019">
        <v>6411030</v>
      </c>
      <c r="C1019" t="s">
        <v>1402</v>
      </c>
      <c r="D1019">
        <v>1</v>
      </c>
      <c r="E1019" t="s">
        <v>10</v>
      </c>
      <c r="F1019" t="s">
        <v>11</v>
      </c>
      <c r="G1019" s="1"/>
      <c r="H1019" t="str">
        <f>"3700920116375"</f>
        <v>3700920116375</v>
      </c>
      <c r="I1019" s="1"/>
      <c r="J1019" t="s">
        <v>1111</v>
      </c>
    </row>
    <row r="1020" spans="1:10" x14ac:dyDescent="0.25">
      <c r="A1020" t="s">
        <v>8</v>
      </c>
      <c r="B1020">
        <v>6411031</v>
      </c>
      <c r="C1020" t="s">
        <v>1403</v>
      </c>
      <c r="D1020">
        <v>1</v>
      </c>
      <c r="E1020" t="s">
        <v>10</v>
      </c>
      <c r="F1020" t="s">
        <v>11</v>
      </c>
      <c r="G1020" s="1"/>
      <c r="H1020" t="str">
        <f>"3700920116382"</f>
        <v>3700920116382</v>
      </c>
      <c r="I1020" s="1"/>
      <c r="J1020" t="s">
        <v>1111</v>
      </c>
    </row>
    <row r="1021" spans="1:10" x14ac:dyDescent="0.25">
      <c r="A1021" t="s">
        <v>8</v>
      </c>
      <c r="B1021">
        <v>6411230</v>
      </c>
      <c r="C1021" t="s">
        <v>1404</v>
      </c>
      <c r="D1021">
        <v>1</v>
      </c>
      <c r="E1021" t="s">
        <v>10</v>
      </c>
      <c r="F1021" t="s">
        <v>11</v>
      </c>
      <c r="G1021" s="1"/>
      <c r="H1021" t="str">
        <f>"3700920140639"</f>
        <v>3700920140639</v>
      </c>
      <c r="I1021" s="1"/>
      <c r="J1021" t="s">
        <v>444</v>
      </c>
    </row>
    <row r="1022" spans="1:10" x14ac:dyDescent="0.25">
      <c r="A1022" t="s">
        <v>8</v>
      </c>
      <c r="B1022">
        <v>6411231</v>
      </c>
      <c r="C1022" t="s">
        <v>1405</v>
      </c>
      <c r="D1022">
        <v>1</v>
      </c>
      <c r="E1022" t="s">
        <v>10</v>
      </c>
      <c r="F1022" t="s">
        <v>11</v>
      </c>
      <c r="G1022" s="1"/>
      <c r="H1022" t="str">
        <f>"3700920140646"</f>
        <v>3700920140646</v>
      </c>
      <c r="I1022" s="1"/>
      <c r="J1022" t="s">
        <v>444</v>
      </c>
    </row>
    <row r="1023" spans="1:10" x14ac:dyDescent="0.25">
      <c r="A1023" t="s">
        <v>8</v>
      </c>
      <c r="B1023">
        <v>6411330</v>
      </c>
      <c r="C1023" t="s">
        <v>1406</v>
      </c>
      <c r="D1023">
        <v>1</v>
      </c>
      <c r="E1023" t="s">
        <v>10</v>
      </c>
      <c r="F1023" t="s">
        <v>11</v>
      </c>
      <c r="G1023" s="1"/>
      <c r="H1023" t="str">
        <f>"3700920140653"</f>
        <v>3700920140653</v>
      </c>
      <c r="J1023" t="s">
        <v>473</v>
      </c>
    </row>
    <row r="1024" spans="1:10" x14ac:dyDescent="0.25">
      <c r="A1024" t="s">
        <v>8</v>
      </c>
      <c r="B1024">
        <v>6411331</v>
      </c>
      <c r="C1024" t="s">
        <v>1405</v>
      </c>
      <c r="D1024">
        <v>1</v>
      </c>
      <c r="E1024" t="s">
        <v>10</v>
      </c>
      <c r="F1024" t="s">
        <v>11</v>
      </c>
      <c r="G1024" s="1"/>
      <c r="H1024" t="str">
        <f>"3700920140660"</f>
        <v>3700920140660</v>
      </c>
      <c r="J1024" t="s">
        <v>473</v>
      </c>
    </row>
    <row r="1025" spans="1:10" x14ac:dyDescent="0.25">
      <c r="A1025" t="s">
        <v>8</v>
      </c>
      <c r="B1025">
        <v>6411430</v>
      </c>
      <c r="C1025" t="s">
        <v>1404</v>
      </c>
      <c r="D1025">
        <v>1</v>
      </c>
      <c r="E1025" t="s">
        <v>10</v>
      </c>
      <c r="F1025" t="s">
        <v>11</v>
      </c>
      <c r="G1025" s="1"/>
      <c r="H1025" t="str">
        <f>"3700920147652"</f>
        <v>3700920147652</v>
      </c>
      <c r="I1025" s="1"/>
      <c r="J1025" t="s">
        <v>444</v>
      </c>
    </row>
    <row r="1026" spans="1:10" x14ac:dyDescent="0.25">
      <c r="A1026" t="s">
        <v>8</v>
      </c>
      <c r="B1026">
        <v>6411431</v>
      </c>
      <c r="C1026" t="s">
        <v>1405</v>
      </c>
      <c r="D1026">
        <v>1</v>
      </c>
      <c r="E1026" t="s">
        <v>10</v>
      </c>
      <c r="F1026" t="s">
        <v>11</v>
      </c>
      <c r="G1026" s="1"/>
      <c r="H1026" t="str">
        <f>"3700920147669"</f>
        <v>3700920147669</v>
      </c>
      <c r="I1026" s="1"/>
      <c r="J1026" t="s">
        <v>444</v>
      </c>
    </row>
    <row r="1027" spans="1:10" x14ac:dyDescent="0.25">
      <c r="A1027" t="s">
        <v>8</v>
      </c>
      <c r="B1027">
        <v>6411530</v>
      </c>
      <c r="C1027" t="s">
        <v>1406</v>
      </c>
      <c r="D1027">
        <v>1</v>
      </c>
      <c r="E1027" t="s">
        <v>10</v>
      </c>
      <c r="F1027" t="s">
        <v>11</v>
      </c>
      <c r="G1027" s="1"/>
      <c r="H1027" t="str">
        <f>"3700920147676"</f>
        <v>3700920147676</v>
      </c>
      <c r="J1027" t="s">
        <v>473</v>
      </c>
    </row>
    <row r="1028" spans="1:10" x14ac:dyDescent="0.25">
      <c r="A1028" t="s">
        <v>8</v>
      </c>
      <c r="B1028">
        <v>6411531</v>
      </c>
      <c r="C1028" t="s">
        <v>1405</v>
      </c>
      <c r="D1028">
        <v>1</v>
      </c>
      <c r="E1028" t="s">
        <v>10</v>
      </c>
      <c r="F1028" t="s">
        <v>11</v>
      </c>
      <c r="G1028" s="1"/>
      <c r="H1028" t="str">
        <f>"3700920147720"</f>
        <v>3700920147720</v>
      </c>
      <c r="J1028" t="s">
        <v>473</v>
      </c>
    </row>
    <row r="1029" spans="1:10" x14ac:dyDescent="0.25">
      <c r="A1029" t="s">
        <v>8</v>
      </c>
      <c r="B1029">
        <v>6412030</v>
      </c>
      <c r="C1029" t="s">
        <v>1407</v>
      </c>
      <c r="D1029">
        <v>1</v>
      </c>
      <c r="E1029" t="s">
        <v>10</v>
      </c>
      <c r="F1029" t="s">
        <v>11</v>
      </c>
      <c r="G1029" s="1"/>
      <c r="H1029" t="str">
        <f>"3700920116399"</f>
        <v>3700920116399</v>
      </c>
      <c r="I1029" s="1"/>
      <c r="J1029" t="s">
        <v>1307</v>
      </c>
    </row>
    <row r="1030" spans="1:10" x14ac:dyDescent="0.25">
      <c r="A1030" t="s">
        <v>8</v>
      </c>
      <c r="B1030">
        <v>6412031</v>
      </c>
      <c r="C1030" t="s">
        <v>1408</v>
      </c>
      <c r="D1030">
        <v>1</v>
      </c>
      <c r="E1030" t="s">
        <v>10</v>
      </c>
      <c r="F1030" t="s">
        <v>11</v>
      </c>
      <c r="G1030" s="1"/>
      <c r="H1030" t="str">
        <f>"3700920116405"</f>
        <v>3700920116405</v>
      </c>
      <c r="I1030" s="1"/>
      <c r="J1030" t="s">
        <v>1307</v>
      </c>
    </row>
    <row r="1031" spans="1:10" x14ac:dyDescent="0.25">
      <c r="A1031" t="s">
        <v>8</v>
      </c>
      <c r="B1031">
        <v>6413030</v>
      </c>
      <c r="C1031" t="s">
        <v>1409</v>
      </c>
      <c r="D1031">
        <v>1</v>
      </c>
      <c r="E1031" t="s">
        <v>10</v>
      </c>
      <c r="F1031" t="s">
        <v>11</v>
      </c>
      <c r="G1031" s="1"/>
      <c r="H1031" t="str">
        <f>"3700920116412"</f>
        <v>3700920116412</v>
      </c>
      <c r="I1031" s="1"/>
      <c r="J1031" t="s">
        <v>1410</v>
      </c>
    </row>
    <row r="1032" spans="1:10" x14ac:dyDescent="0.25">
      <c r="A1032" t="s">
        <v>8</v>
      </c>
      <c r="B1032">
        <v>6413031</v>
      </c>
      <c r="C1032" t="s">
        <v>1411</v>
      </c>
      <c r="D1032">
        <v>1</v>
      </c>
      <c r="E1032" t="s">
        <v>10</v>
      </c>
      <c r="F1032" t="s">
        <v>11</v>
      </c>
      <c r="G1032" s="1"/>
      <c r="H1032" t="str">
        <f>"3700920116429"</f>
        <v>3700920116429</v>
      </c>
      <c r="I1032" s="1"/>
      <c r="J1032" t="s">
        <v>1410</v>
      </c>
    </row>
    <row r="1033" spans="1:10" x14ac:dyDescent="0.25">
      <c r="A1033" t="s">
        <v>8</v>
      </c>
      <c r="B1033">
        <v>6415000</v>
      </c>
      <c r="C1033" t="s">
        <v>1412</v>
      </c>
      <c r="D1033">
        <v>1</v>
      </c>
      <c r="E1033" t="s">
        <v>10</v>
      </c>
      <c r="F1033" t="s">
        <v>11</v>
      </c>
      <c r="G1033" s="1"/>
      <c r="H1033" t="str">
        <f>"3700920146280"</f>
        <v>3700920146280</v>
      </c>
      <c r="J1033" t="s">
        <v>170</v>
      </c>
    </row>
    <row r="1034" spans="1:10" x14ac:dyDescent="0.25">
      <c r="A1034" t="s">
        <v>8</v>
      </c>
      <c r="B1034">
        <v>6415001</v>
      </c>
      <c r="C1034" t="s">
        <v>1413</v>
      </c>
      <c r="D1034">
        <v>1</v>
      </c>
      <c r="E1034" t="s">
        <v>10</v>
      </c>
      <c r="F1034" t="s">
        <v>11</v>
      </c>
      <c r="G1034" s="1"/>
      <c r="H1034" t="str">
        <f>"3700920140677"</f>
        <v>3700920140677</v>
      </c>
      <c r="J1034" t="s">
        <v>170</v>
      </c>
    </row>
    <row r="1035" spans="1:10" x14ac:dyDescent="0.25">
      <c r="A1035" t="s">
        <v>8</v>
      </c>
      <c r="B1035">
        <v>6415250</v>
      </c>
      <c r="C1035" t="s">
        <v>1414</v>
      </c>
      <c r="D1035">
        <v>1</v>
      </c>
      <c r="E1035" t="s">
        <v>10</v>
      </c>
      <c r="F1035" t="s">
        <v>11</v>
      </c>
      <c r="G1035" s="1"/>
      <c r="H1035" t="str">
        <f>"3700920146297"</f>
        <v>3700920146297</v>
      </c>
      <c r="J1035" t="s">
        <v>620</v>
      </c>
    </row>
    <row r="1036" spans="1:10" x14ac:dyDescent="0.25">
      <c r="A1036" t="s">
        <v>8</v>
      </c>
      <c r="B1036">
        <v>6415251</v>
      </c>
      <c r="C1036" t="s">
        <v>1415</v>
      </c>
      <c r="D1036">
        <v>1</v>
      </c>
      <c r="E1036" t="s">
        <v>10</v>
      </c>
      <c r="F1036" t="s">
        <v>11</v>
      </c>
      <c r="G1036" s="1"/>
      <c r="H1036" t="str">
        <f>"3700920140684"</f>
        <v>3700920140684</v>
      </c>
      <c r="J1036" t="s">
        <v>620</v>
      </c>
    </row>
    <row r="1037" spans="1:10" x14ac:dyDescent="0.25">
      <c r="A1037" t="s">
        <v>8</v>
      </c>
      <c r="B1037">
        <v>6415260</v>
      </c>
      <c r="C1037" t="s">
        <v>1416</v>
      </c>
      <c r="D1037">
        <v>1</v>
      </c>
      <c r="E1037" t="s">
        <v>10</v>
      </c>
      <c r="F1037" t="s">
        <v>11</v>
      </c>
      <c r="G1037" s="1"/>
      <c r="H1037" t="str">
        <f>"3700920143012"</f>
        <v>3700920143012</v>
      </c>
      <c r="J1037" s="1">
        <v>138</v>
      </c>
    </row>
    <row r="1038" spans="1:10" x14ac:dyDescent="0.25">
      <c r="A1038" t="s">
        <v>8</v>
      </c>
      <c r="B1038">
        <v>6415261</v>
      </c>
      <c r="C1038" t="s">
        <v>1415</v>
      </c>
      <c r="D1038">
        <v>1</v>
      </c>
      <c r="E1038" t="s">
        <v>10</v>
      </c>
      <c r="F1038" t="s">
        <v>11</v>
      </c>
      <c r="G1038" s="1"/>
      <c r="H1038" t="str">
        <f>"3700920140707"</f>
        <v>3700920140707</v>
      </c>
      <c r="J1038" s="1">
        <v>138</v>
      </c>
    </row>
    <row r="1039" spans="1:10" x14ac:dyDescent="0.25">
      <c r="A1039" t="s">
        <v>8</v>
      </c>
      <c r="B1039">
        <v>6415350</v>
      </c>
      <c r="C1039" t="s">
        <v>1417</v>
      </c>
      <c r="D1039">
        <v>1</v>
      </c>
      <c r="E1039" t="s">
        <v>10</v>
      </c>
      <c r="F1039" t="s">
        <v>11</v>
      </c>
      <c r="G1039" s="1"/>
      <c r="H1039" t="str">
        <f>"3700920146303"</f>
        <v>3700920146303</v>
      </c>
      <c r="J1039" t="s">
        <v>620</v>
      </c>
    </row>
    <row r="1040" spans="1:10" x14ac:dyDescent="0.25">
      <c r="A1040" t="s">
        <v>8</v>
      </c>
      <c r="B1040">
        <v>6415351</v>
      </c>
      <c r="C1040" t="s">
        <v>1418</v>
      </c>
      <c r="D1040">
        <v>1</v>
      </c>
      <c r="E1040" t="s">
        <v>10</v>
      </c>
      <c r="F1040" t="s">
        <v>11</v>
      </c>
      <c r="G1040" s="1"/>
      <c r="H1040" t="str">
        <f>"3700920140691"</f>
        <v>3700920140691</v>
      </c>
      <c r="J1040" t="s">
        <v>620</v>
      </c>
    </row>
    <row r="1041" spans="1:10" x14ac:dyDescent="0.25">
      <c r="A1041" t="s">
        <v>8</v>
      </c>
      <c r="B1041">
        <v>6415360</v>
      </c>
      <c r="C1041" t="s">
        <v>1419</v>
      </c>
      <c r="D1041">
        <v>1</v>
      </c>
      <c r="E1041" t="s">
        <v>10</v>
      </c>
      <c r="F1041" t="s">
        <v>11</v>
      </c>
      <c r="G1041" s="1"/>
      <c r="H1041" t="str">
        <f>"3700920143005"</f>
        <v>3700920143005</v>
      </c>
      <c r="J1041" s="1">
        <v>138</v>
      </c>
    </row>
    <row r="1042" spans="1:10" x14ac:dyDescent="0.25">
      <c r="A1042" t="s">
        <v>8</v>
      </c>
      <c r="B1042">
        <v>6415361</v>
      </c>
      <c r="C1042" t="s">
        <v>1418</v>
      </c>
      <c r="D1042">
        <v>1</v>
      </c>
      <c r="E1042" t="s">
        <v>10</v>
      </c>
      <c r="F1042" t="s">
        <v>11</v>
      </c>
      <c r="G1042" s="1"/>
      <c r="H1042" t="str">
        <f>"3700920140714"</f>
        <v>3700920140714</v>
      </c>
      <c r="J1042" s="1">
        <v>138</v>
      </c>
    </row>
    <row r="1043" spans="1:10" x14ac:dyDescent="0.25">
      <c r="A1043" t="s">
        <v>8</v>
      </c>
      <c r="B1043">
        <v>6415450</v>
      </c>
      <c r="C1043" t="s">
        <v>1420</v>
      </c>
      <c r="D1043">
        <v>1</v>
      </c>
      <c r="E1043" t="s">
        <v>10</v>
      </c>
      <c r="F1043" t="s">
        <v>11</v>
      </c>
      <c r="G1043" s="1"/>
      <c r="H1043" t="str">
        <f>"3700920142954"</f>
        <v>3700920142954</v>
      </c>
      <c r="J1043" s="1">
        <v>72</v>
      </c>
    </row>
    <row r="1044" spans="1:10" x14ac:dyDescent="0.25">
      <c r="A1044" t="s">
        <v>8</v>
      </c>
      <c r="B1044">
        <v>6415451</v>
      </c>
      <c r="C1044" t="s">
        <v>1421</v>
      </c>
      <c r="D1044">
        <v>1</v>
      </c>
      <c r="E1044" t="s">
        <v>10</v>
      </c>
      <c r="F1044" t="s">
        <v>11</v>
      </c>
      <c r="G1044" s="1"/>
      <c r="H1044" t="str">
        <f>"3700920142961"</f>
        <v>3700920142961</v>
      </c>
      <c r="J1044" s="1">
        <v>72</v>
      </c>
    </row>
    <row r="1045" spans="1:10" x14ac:dyDescent="0.25">
      <c r="A1045" t="s">
        <v>8</v>
      </c>
      <c r="B1045">
        <v>6415550</v>
      </c>
      <c r="C1045" t="s">
        <v>1422</v>
      </c>
      <c r="D1045">
        <v>1</v>
      </c>
      <c r="E1045" t="s">
        <v>10</v>
      </c>
      <c r="F1045" t="s">
        <v>11</v>
      </c>
      <c r="G1045" s="1"/>
      <c r="H1045" t="str">
        <f>"3700920142978"</f>
        <v>3700920142978</v>
      </c>
      <c r="J1045" s="1">
        <v>72</v>
      </c>
    </row>
    <row r="1046" spans="1:10" x14ac:dyDescent="0.25">
      <c r="A1046" t="s">
        <v>8</v>
      </c>
      <c r="B1046">
        <v>6415551</v>
      </c>
      <c r="C1046" t="s">
        <v>1423</v>
      </c>
      <c r="D1046">
        <v>1</v>
      </c>
      <c r="E1046" t="s">
        <v>10</v>
      </c>
      <c r="F1046" t="s">
        <v>11</v>
      </c>
      <c r="G1046" s="1"/>
      <c r="H1046" t="str">
        <f>"3700920142985"</f>
        <v>3700920142985</v>
      </c>
      <c r="J1046" s="1">
        <v>72</v>
      </c>
    </row>
    <row r="1047" spans="1:10" x14ac:dyDescent="0.25">
      <c r="A1047" t="s">
        <v>8</v>
      </c>
      <c r="B1047">
        <v>6418010</v>
      </c>
      <c r="C1047" t="s">
        <v>1424</v>
      </c>
      <c r="D1047">
        <v>1</v>
      </c>
      <c r="E1047" t="s">
        <v>10</v>
      </c>
      <c r="F1047" t="s">
        <v>11</v>
      </c>
      <c r="G1047" s="1"/>
      <c r="H1047" t="str">
        <f>"3700920116436"</f>
        <v>3700920116436</v>
      </c>
      <c r="J1047" t="s">
        <v>1425</v>
      </c>
    </row>
    <row r="1048" spans="1:10" x14ac:dyDescent="0.25">
      <c r="A1048" t="s">
        <v>8</v>
      </c>
      <c r="B1048">
        <v>6418011</v>
      </c>
      <c r="C1048" t="s">
        <v>1426</v>
      </c>
      <c r="D1048">
        <v>1</v>
      </c>
      <c r="E1048" t="s">
        <v>10</v>
      </c>
      <c r="F1048" t="s">
        <v>11</v>
      </c>
      <c r="G1048" s="1"/>
      <c r="H1048" t="str">
        <f>"3700920116443"</f>
        <v>3700920116443</v>
      </c>
      <c r="J1048" t="s">
        <v>1425</v>
      </c>
    </row>
    <row r="1049" spans="1:10" x14ac:dyDescent="0.25">
      <c r="A1049" t="s">
        <v>8</v>
      </c>
      <c r="B1049">
        <v>6418020</v>
      </c>
      <c r="C1049" t="s">
        <v>1427</v>
      </c>
      <c r="D1049">
        <v>1</v>
      </c>
      <c r="E1049" t="s">
        <v>10</v>
      </c>
      <c r="F1049" t="s">
        <v>11</v>
      </c>
      <c r="G1049" s="1"/>
      <c r="H1049" t="str">
        <f>"3700920116450"</f>
        <v>3700920116450</v>
      </c>
      <c r="J1049" t="s">
        <v>1425</v>
      </c>
    </row>
    <row r="1050" spans="1:10" x14ac:dyDescent="0.25">
      <c r="A1050" t="s">
        <v>8</v>
      </c>
      <c r="B1050">
        <v>6418021</v>
      </c>
      <c r="C1050" t="s">
        <v>1428</v>
      </c>
      <c r="D1050">
        <v>1</v>
      </c>
      <c r="E1050" t="s">
        <v>10</v>
      </c>
      <c r="F1050" t="s">
        <v>11</v>
      </c>
      <c r="G1050" s="1"/>
      <c r="H1050" t="str">
        <f>"3700920116467"</f>
        <v>3700920116467</v>
      </c>
      <c r="J1050" t="s">
        <v>1425</v>
      </c>
    </row>
    <row r="1051" spans="1:10" x14ac:dyDescent="0.25">
      <c r="A1051" t="s">
        <v>8</v>
      </c>
      <c r="B1051">
        <v>6418030</v>
      </c>
      <c r="C1051" t="s">
        <v>1429</v>
      </c>
      <c r="D1051">
        <v>1</v>
      </c>
      <c r="E1051" t="s">
        <v>10</v>
      </c>
      <c r="F1051" t="s">
        <v>11</v>
      </c>
      <c r="G1051" s="1"/>
      <c r="H1051" t="str">
        <f>"3700920116474"</f>
        <v>3700920116474</v>
      </c>
      <c r="I1051" s="1"/>
      <c r="J1051" t="s">
        <v>1430</v>
      </c>
    </row>
    <row r="1052" spans="1:10" x14ac:dyDescent="0.25">
      <c r="A1052" t="s">
        <v>8</v>
      </c>
      <c r="B1052">
        <v>6418031</v>
      </c>
      <c r="C1052" t="s">
        <v>1431</v>
      </c>
      <c r="D1052">
        <v>1</v>
      </c>
      <c r="E1052" t="s">
        <v>10</v>
      </c>
      <c r="F1052" t="s">
        <v>11</v>
      </c>
      <c r="G1052" s="1"/>
      <c r="H1052" t="str">
        <f>"3700920116481"</f>
        <v>3700920116481</v>
      </c>
      <c r="I1052" s="1"/>
      <c r="J1052" t="s">
        <v>1430</v>
      </c>
    </row>
    <row r="1053" spans="1:10" x14ac:dyDescent="0.25">
      <c r="A1053" t="s">
        <v>8</v>
      </c>
      <c r="B1053">
        <v>6418040</v>
      </c>
      <c r="C1053" t="s">
        <v>1432</v>
      </c>
      <c r="D1053">
        <v>1</v>
      </c>
      <c r="E1053" t="s">
        <v>10</v>
      </c>
      <c r="F1053" t="s">
        <v>11</v>
      </c>
      <c r="G1053" s="1"/>
      <c r="H1053" t="str">
        <f>"3700920116498"</f>
        <v>3700920116498</v>
      </c>
      <c r="J1053" s="1">
        <v>15</v>
      </c>
    </row>
    <row r="1054" spans="1:10" x14ac:dyDescent="0.25">
      <c r="A1054" t="s">
        <v>8</v>
      </c>
      <c r="B1054">
        <v>6418041</v>
      </c>
      <c r="C1054" t="s">
        <v>1433</v>
      </c>
      <c r="D1054">
        <v>1</v>
      </c>
      <c r="E1054" t="s">
        <v>10</v>
      </c>
      <c r="F1054" t="s">
        <v>11</v>
      </c>
      <c r="G1054" s="1"/>
      <c r="H1054" t="str">
        <f>"3700920116504"</f>
        <v>3700920116504</v>
      </c>
      <c r="J1054" s="1">
        <v>15</v>
      </c>
    </row>
    <row r="1055" spans="1:10" x14ac:dyDescent="0.25">
      <c r="A1055" t="s">
        <v>8</v>
      </c>
      <c r="B1055">
        <v>6418050</v>
      </c>
      <c r="C1055" t="s">
        <v>1434</v>
      </c>
      <c r="D1055">
        <v>1</v>
      </c>
      <c r="E1055" t="s">
        <v>10</v>
      </c>
      <c r="F1055" t="s">
        <v>11</v>
      </c>
      <c r="G1055" s="1"/>
      <c r="H1055" t="str">
        <f>"3700920116511"</f>
        <v>3700920116511</v>
      </c>
      <c r="J1055" s="1">
        <v>15</v>
      </c>
    </row>
    <row r="1056" spans="1:10" x14ac:dyDescent="0.25">
      <c r="A1056" t="s">
        <v>8</v>
      </c>
      <c r="B1056">
        <v>6418051</v>
      </c>
      <c r="C1056" t="s">
        <v>1435</v>
      </c>
      <c r="D1056">
        <v>1</v>
      </c>
      <c r="E1056" t="s">
        <v>10</v>
      </c>
      <c r="F1056" t="s">
        <v>11</v>
      </c>
      <c r="G1056" s="1"/>
      <c r="H1056" t="str">
        <f>"3700920116528"</f>
        <v>3700920116528</v>
      </c>
      <c r="J1056" s="1">
        <v>15</v>
      </c>
    </row>
    <row r="1057" spans="1:10" x14ac:dyDescent="0.25">
      <c r="A1057" t="s">
        <v>8</v>
      </c>
      <c r="B1057">
        <v>6418060</v>
      </c>
      <c r="C1057" t="s">
        <v>1436</v>
      </c>
      <c r="D1057">
        <v>1</v>
      </c>
      <c r="E1057" t="s">
        <v>10</v>
      </c>
      <c r="F1057" t="s">
        <v>11</v>
      </c>
      <c r="G1057" s="1"/>
      <c r="H1057" t="str">
        <f>"3700920116535"</f>
        <v>3700920116535</v>
      </c>
      <c r="J1057" t="s">
        <v>1437</v>
      </c>
    </row>
    <row r="1058" spans="1:10" x14ac:dyDescent="0.25">
      <c r="A1058" t="s">
        <v>8</v>
      </c>
      <c r="B1058">
        <v>6418061</v>
      </c>
      <c r="C1058" t="s">
        <v>1438</v>
      </c>
      <c r="D1058">
        <v>1</v>
      </c>
      <c r="E1058" t="s">
        <v>10</v>
      </c>
      <c r="F1058" t="s">
        <v>11</v>
      </c>
      <c r="G1058" s="1"/>
      <c r="H1058" t="str">
        <f>"3700920116542"</f>
        <v>3700920116542</v>
      </c>
      <c r="J1058" t="s">
        <v>1437</v>
      </c>
    </row>
    <row r="1059" spans="1:10" x14ac:dyDescent="0.25">
      <c r="A1059" t="s">
        <v>8</v>
      </c>
      <c r="B1059">
        <v>6418065</v>
      </c>
      <c r="C1059" t="s">
        <v>1439</v>
      </c>
      <c r="D1059">
        <v>1</v>
      </c>
      <c r="E1059" t="s">
        <v>10</v>
      </c>
      <c r="F1059" t="s">
        <v>11</v>
      </c>
      <c r="G1059" s="1"/>
      <c r="H1059" t="str">
        <f>"3700920146310"</f>
        <v>3700920146310</v>
      </c>
      <c r="J1059" t="s">
        <v>1437</v>
      </c>
    </row>
    <row r="1060" spans="1:10" x14ac:dyDescent="0.25">
      <c r="A1060" t="s">
        <v>8</v>
      </c>
      <c r="B1060">
        <v>6418066</v>
      </c>
      <c r="C1060" t="s">
        <v>1438</v>
      </c>
      <c r="D1060">
        <v>1</v>
      </c>
      <c r="E1060" t="s">
        <v>10</v>
      </c>
      <c r="F1060" t="s">
        <v>11</v>
      </c>
      <c r="G1060" s="1"/>
      <c r="H1060" t="str">
        <f>"3700920140608"</f>
        <v>3700920140608</v>
      </c>
      <c r="J1060" t="s">
        <v>1437</v>
      </c>
    </row>
    <row r="1061" spans="1:10" x14ac:dyDescent="0.25">
      <c r="A1061" t="s">
        <v>8</v>
      </c>
      <c r="B1061">
        <v>6418070</v>
      </c>
      <c r="C1061" t="s">
        <v>1440</v>
      </c>
      <c r="D1061">
        <v>1</v>
      </c>
      <c r="E1061" t="s">
        <v>10</v>
      </c>
      <c r="F1061" t="s">
        <v>11</v>
      </c>
      <c r="G1061" s="1"/>
      <c r="H1061" t="str">
        <f>"3700920116573"</f>
        <v>3700920116573</v>
      </c>
      <c r="J1061" t="s">
        <v>1437</v>
      </c>
    </row>
    <row r="1062" spans="1:10" x14ac:dyDescent="0.25">
      <c r="A1062" t="s">
        <v>8</v>
      </c>
      <c r="B1062">
        <v>6418071</v>
      </c>
      <c r="C1062" t="s">
        <v>1441</v>
      </c>
      <c r="D1062">
        <v>1</v>
      </c>
      <c r="E1062" t="s">
        <v>10</v>
      </c>
      <c r="F1062" t="s">
        <v>11</v>
      </c>
      <c r="G1062" s="1"/>
      <c r="H1062" t="str">
        <f>"3700920116580"</f>
        <v>3700920116580</v>
      </c>
      <c r="J1062" t="s">
        <v>1437</v>
      </c>
    </row>
    <row r="1063" spans="1:10" x14ac:dyDescent="0.25">
      <c r="A1063" t="s">
        <v>8</v>
      </c>
      <c r="B1063">
        <v>6418075</v>
      </c>
      <c r="C1063" t="s">
        <v>1442</v>
      </c>
      <c r="D1063">
        <v>1</v>
      </c>
      <c r="E1063" t="s">
        <v>10</v>
      </c>
      <c r="F1063" t="s">
        <v>11</v>
      </c>
      <c r="G1063" s="1"/>
      <c r="H1063" t="str">
        <f>"3700920146327"</f>
        <v>3700920146327</v>
      </c>
      <c r="J1063" t="s">
        <v>1437</v>
      </c>
    </row>
    <row r="1064" spans="1:10" x14ac:dyDescent="0.25">
      <c r="A1064" t="s">
        <v>8</v>
      </c>
      <c r="B1064">
        <v>6418076</v>
      </c>
      <c r="C1064" t="s">
        <v>1441</v>
      </c>
      <c r="D1064">
        <v>1</v>
      </c>
      <c r="E1064" t="s">
        <v>10</v>
      </c>
      <c r="F1064" t="s">
        <v>11</v>
      </c>
      <c r="G1064" s="1"/>
      <c r="H1064" t="str">
        <f>"3700920140615"</f>
        <v>3700920140615</v>
      </c>
      <c r="J1064" t="s">
        <v>1437</v>
      </c>
    </row>
    <row r="1065" spans="1:10" x14ac:dyDescent="0.25">
      <c r="A1065" t="s">
        <v>8</v>
      </c>
      <c r="B1065">
        <v>6418080</v>
      </c>
      <c r="C1065" t="s">
        <v>1443</v>
      </c>
      <c r="D1065">
        <v>1</v>
      </c>
      <c r="E1065" t="s">
        <v>10</v>
      </c>
      <c r="F1065" t="s">
        <v>11</v>
      </c>
      <c r="G1065" s="1"/>
      <c r="H1065" t="str">
        <f>"3700920116559"</f>
        <v>3700920116559</v>
      </c>
      <c r="I1065" s="1"/>
      <c r="J1065" s="1">
        <v>27</v>
      </c>
    </row>
    <row r="1066" spans="1:10" x14ac:dyDescent="0.25">
      <c r="A1066" t="s">
        <v>8</v>
      </c>
      <c r="B1066">
        <v>6418081</v>
      </c>
      <c r="C1066" t="s">
        <v>1444</v>
      </c>
      <c r="D1066">
        <v>1</v>
      </c>
      <c r="E1066" t="s">
        <v>10</v>
      </c>
      <c r="F1066" t="s">
        <v>11</v>
      </c>
      <c r="G1066" s="1"/>
      <c r="H1066" t="str">
        <f>"3700920116566"</f>
        <v>3700920116566</v>
      </c>
      <c r="I1066" s="1"/>
      <c r="J1066" s="1">
        <v>27</v>
      </c>
    </row>
    <row r="1067" spans="1:10" x14ac:dyDescent="0.25">
      <c r="A1067" t="s">
        <v>8</v>
      </c>
      <c r="B1067">
        <v>6418200</v>
      </c>
      <c r="C1067" t="s">
        <v>1445</v>
      </c>
      <c r="D1067">
        <v>1</v>
      </c>
      <c r="E1067" t="s">
        <v>10</v>
      </c>
      <c r="F1067" t="s">
        <v>11</v>
      </c>
      <c r="G1067" s="1"/>
      <c r="H1067" t="str">
        <f>"3700920116597"</f>
        <v>3700920116597</v>
      </c>
      <c r="J1067" t="s">
        <v>1446</v>
      </c>
    </row>
    <row r="1068" spans="1:10" x14ac:dyDescent="0.25">
      <c r="A1068" t="s">
        <v>8</v>
      </c>
      <c r="B1068">
        <v>6418201</v>
      </c>
      <c r="C1068" t="s">
        <v>1445</v>
      </c>
      <c r="D1068">
        <v>1</v>
      </c>
      <c r="E1068" t="s">
        <v>10</v>
      </c>
      <c r="F1068" t="s">
        <v>11</v>
      </c>
      <c r="G1068" s="1"/>
      <c r="H1068" t="str">
        <f>"3700920116603"</f>
        <v>3700920116603</v>
      </c>
      <c r="J1068" t="s">
        <v>1446</v>
      </c>
    </row>
    <row r="1069" spans="1:10" x14ac:dyDescent="0.25">
      <c r="A1069" t="s">
        <v>8</v>
      </c>
      <c r="B1069">
        <v>6418310</v>
      </c>
      <c r="C1069" t="s">
        <v>1447</v>
      </c>
      <c r="D1069">
        <v>1</v>
      </c>
      <c r="E1069" t="s">
        <v>10</v>
      </c>
      <c r="F1069" t="s">
        <v>11</v>
      </c>
      <c r="G1069" s="1"/>
      <c r="H1069" t="str">
        <f>"3700920116610"</f>
        <v>3700920116610</v>
      </c>
      <c r="J1069" t="s">
        <v>149</v>
      </c>
    </row>
    <row r="1070" spans="1:10" x14ac:dyDescent="0.25">
      <c r="A1070" t="s">
        <v>8</v>
      </c>
      <c r="B1070">
        <v>6418311</v>
      </c>
      <c r="C1070" t="s">
        <v>1448</v>
      </c>
      <c r="D1070">
        <v>1</v>
      </c>
      <c r="E1070" t="s">
        <v>10</v>
      </c>
      <c r="F1070" t="s">
        <v>11</v>
      </c>
      <c r="G1070" s="1"/>
      <c r="H1070" t="str">
        <f>"3700920116627"</f>
        <v>3700920116627</v>
      </c>
      <c r="J1070" t="s">
        <v>149</v>
      </c>
    </row>
    <row r="1071" spans="1:10" x14ac:dyDescent="0.25">
      <c r="A1071" t="s">
        <v>8</v>
      </c>
      <c r="B1071">
        <v>6418320</v>
      </c>
      <c r="C1071" t="s">
        <v>1447</v>
      </c>
      <c r="D1071">
        <v>1</v>
      </c>
      <c r="E1071" t="s">
        <v>10</v>
      </c>
      <c r="F1071" t="s">
        <v>11</v>
      </c>
      <c r="G1071" s="1"/>
      <c r="H1071" t="str">
        <f>"3700920146334"</f>
        <v>3700920146334</v>
      </c>
      <c r="J1071" t="s">
        <v>149</v>
      </c>
    </row>
    <row r="1072" spans="1:10" x14ac:dyDescent="0.25">
      <c r="A1072" t="s">
        <v>8</v>
      </c>
      <c r="B1072">
        <v>6418321</v>
      </c>
      <c r="C1072" t="s">
        <v>1447</v>
      </c>
      <c r="D1072">
        <v>1</v>
      </c>
      <c r="E1072" t="s">
        <v>10</v>
      </c>
      <c r="F1072" t="s">
        <v>11</v>
      </c>
      <c r="G1072" s="1"/>
      <c r="H1072" t="str">
        <f>"3700920140622"</f>
        <v>3700920140622</v>
      </c>
      <c r="J1072" t="s">
        <v>149</v>
      </c>
    </row>
    <row r="1073" spans="1:10" x14ac:dyDescent="0.25">
      <c r="A1073" t="s">
        <v>8</v>
      </c>
      <c r="B1073">
        <v>6418330</v>
      </c>
      <c r="C1073" t="s">
        <v>1449</v>
      </c>
      <c r="D1073">
        <v>1</v>
      </c>
      <c r="E1073" t="s">
        <v>10</v>
      </c>
      <c r="F1073" t="s">
        <v>11</v>
      </c>
      <c r="G1073" s="1"/>
      <c r="H1073" t="str">
        <f>"3700920116634"</f>
        <v>3700920116634</v>
      </c>
      <c r="J1073" t="s">
        <v>942</v>
      </c>
    </row>
    <row r="1074" spans="1:10" x14ac:dyDescent="0.25">
      <c r="A1074" t="s">
        <v>8</v>
      </c>
      <c r="B1074">
        <v>6418331</v>
      </c>
      <c r="C1074" t="s">
        <v>1450</v>
      </c>
      <c r="D1074">
        <v>1</v>
      </c>
      <c r="E1074" t="s">
        <v>10</v>
      </c>
      <c r="F1074" t="s">
        <v>11</v>
      </c>
      <c r="G1074" s="1"/>
      <c r="H1074" t="str">
        <f>"3700920116641"</f>
        <v>3700920116641</v>
      </c>
      <c r="J1074" t="s">
        <v>942</v>
      </c>
    </row>
    <row r="1075" spans="1:10" x14ac:dyDescent="0.25">
      <c r="A1075" t="s">
        <v>8</v>
      </c>
      <c r="B1075">
        <v>6418400</v>
      </c>
      <c r="C1075" t="s">
        <v>1451</v>
      </c>
      <c r="D1075">
        <v>1</v>
      </c>
      <c r="E1075" t="s">
        <v>10</v>
      </c>
      <c r="F1075" t="s">
        <v>11</v>
      </c>
      <c r="G1075" s="1"/>
      <c r="H1075" t="str">
        <f>"3700920116658"</f>
        <v>3700920116658</v>
      </c>
      <c r="J1075" t="s">
        <v>149</v>
      </c>
    </row>
    <row r="1076" spans="1:10" x14ac:dyDescent="0.25">
      <c r="A1076" t="s">
        <v>8</v>
      </c>
      <c r="B1076">
        <v>6418401</v>
      </c>
      <c r="C1076" t="s">
        <v>1452</v>
      </c>
      <c r="D1076">
        <v>1</v>
      </c>
      <c r="E1076" t="s">
        <v>10</v>
      </c>
      <c r="F1076" t="s">
        <v>11</v>
      </c>
      <c r="G1076" s="1"/>
      <c r="H1076" t="str">
        <f>"3700920116665"</f>
        <v>3700920116665</v>
      </c>
      <c r="J1076" t="s">
        <v>149</v>
      </c>
    </row>
    <row r="1077" spans="1:10" x14ac:dyDescent="0.25">
      <c r="A1077" t="s">
        <v>8</v>
      </c>
      <c r="B1077">
        <v>6418500</v>
      </c>
      <c r="C1077" t="s">
        <v>1453</v>
      </c>
      <c r="D1077">
        <v>1</v>
      </c>
      <c r="E1077" t="s">
        <v>10</v>
      </c>
      <c r="F1077" t="s">
        <v>11</v>
      </c>
      <c r="G1077" s="1"/>
      <c r="H1077" t="str">
        <f>"3700920116672"</f>
        <v>3700920116672</v>
      </c>
      <c r="J1077" t="s">
        <v>1131</v>
      </c>
    </row>
    <row r="1078" spans="1:10" x14ac:dyDescent="0.25">
      <c r="A1078" t="s">
        <v>8</v>
      </c>
      <c r="B1078">
        <v>6418501</v>
      </c>
      <c r="C1078" t="s">
        <v>1454</v>
      </c>
      <c r="D1078">
        <v>1</v>
      </c>
      <c r="E1078" t="s">
        <v>10</v>
      </c>
      <c r="F1078" t="s">
        <v>11</v>
      </c>
      <c r="G1078" s="1"/>
      <c r="H1078" t="str">
        <f>"3700920116689"</f>
        <v>3700920116689</v>
      </c>
      <c r="J1078" t="s">
        <v>1131</v>
      </c>
    </row>
    <row r="1079" spans="1:10" x14ac:dyDescent="0.25">
      <c r="A1079" t="s">
        <v>8</v>
      </c>
      <c r="B1079">
        <v>6418520</v>
      </c>
      <c r="C1079" t="s">
        <v>1455</v>
      </c>
      <c r="D1079">
        <v>1</v>
      </c>
      <c r="E1079" t="s">
        <v>10</v>
      </c>
      <c r="F1079" t="s">
        <v>11</v>
      </c>
      <c r="G1079" s="1"/>
      <c r="H1079" t="str">
        <f>"3700920116696"</f>
        <v>3700920116696</v>
      </c>
      <c r="J1079" t="s">
        <v>1456</v>
      </c>
    </row>
    <row r="1080" spans="1:10" x14ac:dyDescent="0.25">
      <c r="A1080" t="s">
        <v>8</v>
      </c>
      <c r="B1080">
        <v>6418521</v>
      </c>
      <c r="C1080" t="s">
        <v>1457</v>
      </c>
      <c r="D1080">
        <v>1</v>
      </c>
      <c r="E1080" t="s">
        <v>10</v>
      </c>
      <c r="F1080" t="s">
        <v>11</v>
      </c>
      <c r="G1080" s="1"/>
      <c r="H1080" t="str">
        <f>"3700920116702"</f>
        <v>3700920116702</v>
      </c>
      <c r="J1080" t="s">
        <v>1456</v>
      </c>
    </row>
    <row r="1081" spans="1:10" x14ac:dyDescent="0.25">
      <c r="A1081" t="s">
        <v>8</v>
      </c>
      <c r="B1081">
        <v>6425120</v>
      </c>
      <c r="C1081" t="s">
        <v>1458</v>
      </c>
      <c r="D1081">
        <v>1</v>
      </c>
      <c r="E1081" t="s">
        <v>10</v>
      </c>
      <c r="F1081" t="s">
        <v>11</v>
      </c>
      <c r="G1081" s="1"/>
      <c r="H1081" t="str">
        <f>"3700920141964"</f>
        <v>3700920141964</v>
      </c>
      <c r="J1081" t="s">
        <v>473</v>
      </c>
    </row>
    <row r="1082" spans="1:10" x14ac:dyDescent="0.25">
      <c r="A1082" t="s">
        <v>8</v>
      </c>
      <c r="B1082">
        <v>6425121</v>
      </c>
      <c r="C1082" t="s">
        <v>1459</v>
      </c>
      <c r="D1082">
        <v>1</v>
      </c>
      <c r="E1082" t="s">
        <v>10</v>
      </c>
      <c r="F1082" t="s">
        <v>11</v>
      </c>
      <c r="G1082" s="1"/>
      <c r="H1082" t="str">
        <f>"3700920141971"</f>
        <v>3700920141971</v>
      </c>
      <c r="J1082" t="s">
        <v>473</v>
      </c>
    </row>
    <row r="1083" spans="1:10" x14ac:dyDescent="0.25">
      <c r="A1083" t="s">
        <v>8</v>
      </c>
      <c r="B1083">
        <v>6425130</v>
      </c>
      <c r="C1083" t="s">
        <v>1460</v>
      </c>
      <c r="D1083">
        <v>1</v>
      </c>
      <c r="E1083" t="s">
        <v>10</v>
      </c>
      <c r="F1083" t="s">
        <v>11</v>
      </c>
      <c r="G1083" s="1"/>
      <c r="H1083" t="str">
        <f>"3700920141988"</f>
        <v>3700920141988</v>
      </c>
      <c r="J1083" t="s">
        <v>473</v>
      </c>
    </row>
    <row r="1084" spans="1:10" x14ac:dyDescent="0.25">
      <c r="A1084" t="s">
        <v>8</v>
      </c>
      <c r="B1084">
        <v>6425131</v>
      </c>
      <c r="C1084" t="s">
        <v>1461</v>
      </c>
      <c r="D1084">
        <v>1</v>
      </c>
      <c r="E1084" t="s">
        <v>10</v>
      </c>
      <c r="F1084" t="s">
        <v>11</v>
      </c>
      <c r="G1084" s="1"/>
      <c r="H1084" t="str">
        <f>"3700920141995"</f>
        <v>3700920141995</v>
      </c>
      <c r="J1084" t="s">
        <v>473</v>
      </c>
    </row>
    <row r="1085" spans="1:10" x14ac:dyDescent="0.25">
      <c r="A1085" t="s">
        <v>8</v>
      </c>
      <c r="B1085">
        <v>6425200</v>
      </c>
      <c r="C1085" t="s">
        <v>1462</v>
      </c>
      <c r="D1085">
        <v>1</v>
      </c>
      <c r="E1085" t="s">
        <v>10</v>
      </c>
      <c r="F1085" t="s">
        <v>11</v>
      </c>
      <c r="G1085" s="1"/>
      <c r="H1085" t="str">
        <f>"3700920143111"</f>
        <v>3700920143111</v>
      </c>
      <c r="J1085" t="s">
        <v>573</v>
      </c>
    </row>
    <row r="1086" spans="1:10" x14ac:dyDescent="0.25">
      <c r="A1086" t="s">
        <v>8</v>
      </c>
      <c r="B1086">
        <v>6425201</v>
      </c>
      <c r="C1086" t="s">
        <v>1463</v>
      </c>
      <c r="D1086">
        <v>1</v>
      </c>
      <c r="E1086" t="s">
        <v>10</v>
      </c>
      <c r="F1086" t="s">
        <v>11</v>
      </c>
      <c r="G1086" s="1"/>
      <c r="H1086" t="str">
        <f>"3700920141704"</f>
        <v>3700920141704</v>
      </c>
      <c r="J1086" t="s">
        <v>573</v>
      </c>
    </row>
    <row r="1087" spans="1:10" x14ac:dyDescent="0.25">
      <c r="A1087" t="s">
        <v>8</v>
      </c>
      <c r="B1087">
        <v>6425320</v>
      </c>
      <c r="C1087" t="s">
        <v>1464</v>
      </c>
      <c r="D1087">
        <v>1</v>
      </c>
      <c r="E1087" t="s">
        <v>10</v>
      </c>
      <c r="F1087" t="s">
        <v>11</v>
      </c>
      <c r="G1087" s="1"/>
      <c r="H1087" t="str">
        <f>"3700920142213"</f>
        <v>3700920142213</v>
      </c>
      <c r="J1087" t="s">
        <v>92</v>
      </c>
    </row>
    <row r="1088" spans="1:10" x14ac:dyDescent="0.25">
      <c r="A1088" t="s">
        <v>8</v>
      </c>
      <c r="B1088">
        <v>6425321</v>
      </c>
      <c r="C1088" t="s">
        <v>1465</v>
      </c>
      <c r="D1088">
        <v>1</v>
      </c>
      <c r="E1088" t="s">
        <v>10</v>
      </c>
      <c r="F1088" t="s">
        <v>11</v>
      </c>
      <c r="G1088" s="1"/>
      <c r="H1088" t="str">
        <f>"3700920142220"</f>
        <v>3700920142220</v>
      </c>
      <c r="J1088" t="s">
        <v>92</v>
      </c>
    </row>
    <row r="1089" spans="1:10" x14ac:dyDescent="0.25">
      <c r="A1089" t="s">
        <v>8</v>
      </c>
      <c r="B1089">
        <v>6425330</v>
      </c>
      <c r="C1089" t="s">
        <v>1466</v>
      </c>
      <c r="D1089">
        <v>1</v>
      </c>
      <c r="E1089" t="s">
        <v>10</v>
      </c>
      <c r="F1089" t="s">
        <v>11</v>
      </c>
      <c r="G1089" s="1"/>
      <c r="H1089" t="str">
        <f>"3700920142237"</f>
        <v>3700920142237</v>
      </c>
      <c r="J1089" t="s">
        <v>92</v>
      </c>
    </row>
    <row r="1090" spans="1:10" x14ac:dyDescent="0.25">
      <c r="A1090" t="s">
        <v>8</v>
      </c>
      <c r="B1090">
        <v>6425331</v>
      </c>
      <c r="C1090" t="s">
        <v>1467</v>
      </c>
      <c r="D1090">
        <v>1</v>
      </c>
      <c r="E1090" t="s">
        <v>10</v>
      </c>
      <c r="F1090" t="s">
        <v>11</v>
      </c>
      <c r="G1090" s="1"/>
      <c r="H1090" t="str">
        <f>"3700920142244"</f>
        <v>3700920142244</v>
      </c>
      <c r="J1090" t="s">
        <v>92</v>
      </c>
    </row>
    <row r="1091" spans="1:10" x14ac:dyDescent="0.25">
      <c r="A1091" t="s">
        <v>8</v>
      </c>
      <c r="B1091">
        <v>6425400</v>
      </c>
      <c r="C1091" t="s">
        <v>1468</v>
      </c>
      <c r="D1091">
        <v>1</v>
      </c>
      <c r="E1091" t="s">
        <v>10</v>
      </c>
      <c r="F1091" t="s">
        <v>11</v>
      </c>
      <c r="G1091" s="1"/>
      <c r="H1091" t="str">
        <f>"3700920146365"</f>
        <v>3700920146365</v>
      </c>
      <c r="J1091" t="s">
        <v>624</v>
      </c>
    </row>
    <row r="1092" spans="1:10" x14ac:dyDescent="0.25">
      <c r="A1092" t="s">
        <v>8</v>
      </c>
      <c r="B1092">
        <v>6425401</v>
      </c>
      <c r="C1092" t="s">
        <v>1469</v>
      </c>
      <c r="D1092">
        <v>1</v>
      </c>
      <c r="E1092" t="s">
        <v>10</v>
      </c>
      <c r="F1092" t="s">
        <v>11</v>
      </c>
      <c r="G1092" s="1"/>
      <c r="H1092" t="str">
        <f>"3700920141711"</f>
        <v>3700920141711</v>
      </c>
      <c r="J1092" t="s">
        <v>624</v>
      </c>
    </row>
    <row r="1093" spans="1:10" x14ac:dyDescent="0.25">
      <c r="A1093" t="s">
        <v>8</v>
      </c>
      <c r="B1093">
        <v>6425720</v>
      </c>
      <c r="C1093" t="s">
        <v>1470</v>
      </c>
      <c r="D1093">
        <v>1</v>
      </c>
      <c r="E1093" t="s">
        <v>10</v>
      </c>
      <c r="F1093" t="s">
        <v>11</v>
      </c>
      <c r="G1093" s="1"/>
      <c r="H1093" t="str">
        <f>"3700920142022"</f>
        <v>3700920142022</v>
      </c>
      <c r="J1093" s="1">
        <v>84</v>
      </c>
    </row>
    <row r="1094" spans="1:10" x14ac:dyDescent="0.25">
      <c r="A1094" t="s">
        <v>8</v>
      </c>
      <c r="B1094">
        <v>6425721</v>
      </c>
      <c r="C1094" t="s">
        <v>1471</v>
      </c>
      <c r="D1094">
        <v>1</v>
      </c>
      <c r="E1094" t="s">
        <v>10</v>
      </c>
      <c r="F1094" t="s">
        <v>11</v>
      </c>
      <c r="G1094" s="1"/>
      <c r="H1094" t="str">
        <f>"3700920142039"</f>
        <v>3700920142039</v>
      </c>
      <c r="J1094" s="1">
        <v>84</v>
      </c>
    </row>
    <row r="1095" spans="1:10" x14ac:dyDescent="0.25">
      <c r="A1095" t="s">
        <v>8</v>
      </c>
      <c r="B1095">
        <v>6425730</v>
      </c>
      <c r="C1095" t="s">
        <v>1472</v>
      </c>
      <c r="D1095">
        <v>1</v>
      </c>
      <c r="E1095" t="s">
        <v>10</v>
      </c>
      <c r="F1095" t="s">
        <v>11</v>
      </c>
      <c r="G1095" s="1"/>
      <c r="H1095" t="str">
        <f>"3700920142046"</f>
        <v>3700920142046</v>
      </c>
      <c r="J1095" s="1">
        <v>84</v>
      </c>
    </row>
    <row r="1096" spans="1:10" x14ac:dyDescent="0.25">
      <c r="A1096" t="s">
        <v>8</v>
      </c>
      <c r="B1096">
        <v>6425731</v>
      </c>
      <c r="C1096" t="s">
        <v>1473</v>
      </c>
      <c r="D1096">
        <v>1</v>
      </c>
      <c r="E1096" t="s">
        <v>10</v>
      </c>
      <c r="F1096" t="s">
        <v>11</v>
      </c>
      <c r="G1096" s="1"/>
      <c r="H1096" t="str">
        <f>"3700920142053"</f>
        <v>3700920142053</v>
      </c>
      <c r="J1096" s="1">
        <v>84</v>
      </c>
    </row>
    <row r="1097" spans="1:10" x14ac:dyDescent="0.25">
      <c r="A1097" t="s">
        <v>8</v>
      </c>
      <c r="B1097">
        <v>6425750</v>
      </c>
      <c r="C1097" t="s">
        <v>1470</v>
      </c>
      <c r="D1097">
        <v>1</v>
      </c>
      <c r="E1097" t="s">
        <v>10</v>
      </c>
      <c r="F1097" t="s">
        <v>11</v>
      </c>
      <c r="G1097" s="1"/>
      <c r="H1097" t="str">
        <f>"3700920142077"</f>
        <v>3700920142077</v>
      </c>
      <c r="J1097" s="1">
        <v>99</v>
      </c>
    </row>
    <row r="1098" spans="1:10" x14ac:dyDescent="0.25">
      <c r="A1098" t="s">
        <v>8</v>
      </c>
      <c r="B1098">
        <v>6425751</v>
      </c>
      <c r="C1098" t="s">
        <v>1471</v>
      </c>
      <c r="D1098">
        <v>1</v>
      </c>
      <c r="E1098" t="s">
        <v>10</v>
      </c>
      <c r="F1098" t="s">
        <v>11</v>
      </c>
      <c r="G1098" s="1"/>
      <c r="H1098" t="str">
        <f>"3700920142060"</f>
        <v>3700920142060</v>
      </c>
      <c r="J1098" s="1">
        <v>99</v>
      </c>
    </row>
    <row r="1099" spans="1:10" x14ac:dyDescent="0.25">
      <c r="A1099" t="s">
        <v>8</v>
      </c>
      <c r="B1099">
        <v>6425760</v>
      </c>
      <c r="C1099" t="s">
        <v>1472</v>
      </c>
      <c r="D1099">
        <v>1</v>
      </c>
      <c r="E1099" t="s">
        <v>10</v>
      </c>
      <c r="F1099" t="s">
        <v>11</v>
      </c>
      <c r="G1099" s="1"/>
      <c r="H1099" t="str">
        <f>"3700920142091"</f>
        <v>3700920142091</v>
      </c>
      <c r="J1099" s="1">
        <v>99</v>
      </c>
    </row>
    <row r="1100" spans="1:10" x14ac:dyDescent="0.25">
      <c r="A1100" t="s">
        <v>8</v>
      </c>
      <c r="B1100">
        <v>6425761</v>
      </c>
      <c r="C1100" t="s">
        <v>1473</v>
      </c>
      <c r="D1100">
        <v>1</v>
      </c>
      <c r="E1100" t="s">
        <v>10</v>
      </c>
      <c r="F1100" t="s">
        <v>11</v>
      </c>
      <c r="G1100" s="1"/>
      <c r="H1100" t="str">
        <f>"3700920142084"</f>
        <v>3700920142084</v>
      </c>
      <c r="J1100" s="1">
        <v>99</v>
      </c>
    </row>
    <row r="1101" spans="1:10" x14ac:dyDescent="0.25">
      <c r="A1101" t="s">
        <v>8</v>
      </c>
      <c r="B1101">
        <v>6425850</v>
      </c>
      <c r="C1101" t="s">
        <v>1474</v>
      </c>
      <c r="D1101">
        <v>1</v>
      </c>
      <c r="E1101" t="s">
        <v>10</v>
      </c>
      <c r="F1101" t="s">
        <v>11</v>
      </c>
      <c r="G1101" s="1"/>
      <c r="H1101" t="str">
        <f>"3700920147737"</f>
        <v>3700920147737</v>
      </c>
      <c r="J1101" t="s">
        <v>974</v>
      </c>
    </row>
    <row r="1102" spans="1:10" x14ac:dyDescent="0.25">
      <c r="A1102" t="s">
        <v>8</v>
      </c>
      <c r="B1102">
        <v>6425851</v>
      </c>
      <c r="C1102" t="s">
        <v>1475</v>
      </c>
      <c r="D1102">
        <v>1</v>
      </c>
      <c r="E1102" t="s">
        <v>10</v>
      </c>
      <c r="F1102" t="s">
        <v>11</v>
      </c>
      <c r="G1102" s="1"/>
      <c r="H1102" t="str">
        <f>"3700920147744"</f>
        <v>3700920147744</v>
      </c>
      <c r="J1102" t="s">
        <v>974</v>
      </c>
    </row>
    <row r="1103" spans="1:10" x14ac:dyDescent="0.25">
      <c r="A1103" t="s">
        <v>8</v>
      </c>
      <c r="B1103">
        <v>6425860</v>
      </c>
      <c r="C1103" t="s">
        <v>1476</v>
      </c>
      <c r="D1103">
        <v>1</v>
      </c>
      <c r="E1103" t="s">
        <v>10</v>
      </c>
      <c r="F1103" t="s">
        <v>11</v>
      </c>
      <c r="G1103" s="1"/>
      <c r="H1103" t="str">
        <f>"3700920147751"</f>
        <v>3700920147751</v>
      </c>
      <c r="J1103" t="s">
        <v>974</v>
      </c>
    </row>
    <row r="1104" spans="1:10" x14ac:dyDescent="0.25">
      <c r="A1104" t="s">
        <v>8</v>
      </c>
      <c r="B1104">
        <v>6425861</v>
      </c>
      <c r="C1104" t="s">
        <v>1477</v>
      </c>
      <c r="D1104">
        <v>1</v>
      </c>
      <c r="E1104" t="s">
        <v>10</v>
      </c>
      <c r="F1104" t="s">
        <v>11</v>
      </c>
      <c r="G1104" s="1"/>
      <c r="H1104" t="str">
        <f>"3700920147706"</f>
        <v>3700920147706</v>
      </c>
      <c r="J1104" t="s">
        <v>974</v>
      </c>
    </row>
    <row r="1105" spans="1:10" x14ac:dyDescent="0.25">
      <c r="A1105" t="s">
        <v>8</v>
      </c>
      <c r="B1105">
        <v>6426000</v>
      </c>
      <c r="C1105" t="s">
        <v>1478</v>
      </c>
      <c r="D1105">
        <v>1</v>
      </c>
      <c r="E1105" t="s">
        <v>10</v>
      </c>
      <c r="F1105" t="s">
        <v>11</v>
      </c>
      <c r="G1105" s="1"/>
      <c r="H1105" t="str">
        <f>"3700920141926"</f>
        <v>3700920141926</v>
      </c>
      <c r="J1105" t="s">
        <v>1479</v>
      </c>
    </row>
    <row r="1106" spans="1:10" x14ac:dyDescent="0.25">
      <c r="A1106" t="s">
        <v>8</v>
      </c>
      <c r="B1106">
        <v>6426001</v>
      </c>
      <c r="C1106" t="s">
        <v>1480</v>
      </c>
      <c r="D1106">
        <v>1</v>
      </c>
      <c r="E1106" t="s">
        <v>10</v>
      </c>
      <c r="F1106" t="s">
        <v>11</v>
      </c>
      <c r="G1106" s="1"/>
      <c r="H1106" t="str">
        <f>"3700920141933"</f>
        <v>3700920141933</v>
      </c>
      <c r="J1106" t="s">
        <v>1479</v>
      </c>
    </row>
    <row r="1107" spans="1:10" x14ac:dyDescent="0.25">
      <c r="A1107" t="s">
        <v>8</v>
      </c>
      <c r="B1107">
        <v>6426010</v>
      </c>
      <c r="C1107" t="s">
        <v>1481</v>
      </c>
      <c r="D1107">
        <v>1</v>
      </c>
      <c r="E1107" t="s">
        <v>10</v>
      </c>
      <c r="F1107" t="s">
        <v>11</v>
      </c>
      <c r="G1107" s="1"/>
      <c r="H1107" t="str">
        <f>"3700920141858"</f>
        <v>3700920141858</v>
      </c>
      <c r="J1107" t="s">
        <v>1479</v>
      </c>
    </row>
    <row r="1108" spans="1:10" x14ac:dyDescent="0.25">
      <c r="A1108" t="s">
        <v>8</v>
      </c>
      <c r="B1108">
        <v>6426011</v>
      </c>
      <c r="C1108" t="s">
        <v>1482</v>
      </c>
      <c r="D1108">
        <v>1</v>
      </c>
      <c r="E1108" t="s">
        <v>10</v>
      </c>
      <c r="F1108" t="s">
        <v>11</v>
      </c>
      <c r="G1108" s="1"/>
      <c r="H1108" t="str">
        <f>"3700920141865"</f>
        <v>3700920141865</v>
      </c>
      <c r="J1108" t="s">
        <v>1479</v>
      </c>
    </row>
    <row r="1109" spans="1:10" x14ac:dyDescent="0.25">
      <c r="A1109" t="s">
        <v>8</v>
      </c>
      <c r="B1109">
        <v>6426060</v>
      </c>
      <c r="C1109" t="s">
        <v>1483</v>
      </c>
      <c r="D1109">
        <v>1</v>
      </c>
      <c r="E1109" t="s">
        <v>10</v>
      </c>
      <c r="F1109" t="s">
        <v>11</v>
      </c>
      <c r="G1109" s="1"/>
      <c r="H1109" t="str">
        <f>"3700920143029"</f>
        <v>3700920143029</v>
      </c>
      <c r="J1109" t="s">
        <v>1484</v>
      </c>
    </row>
    <row r="1110" spans="1:10" x14ac:dyDescent="0.25">
      <c r="A1110" t="s">
        <v>8</v>
      </c>
      <c r="B1110">
        <v>6426061</v>
      </c>
      <c r="C1110" t="s">
        <v>1485</v>
      </c>
      <c r="D1110">
        <v>1</v>
      </c>
      <c r="E1110" t="s">
        <v>10</v>
      </c>
      <c r="F1110" t="s">
        <v>11</v>
      </c>
      <c r="G1110" s="1"/>
      <c r="H1110" t="str">
        <f>"3700920141728"</f>
        <v>3700920141728</v>
      </c>
      <c r="J1110" t="s">
        <v>1484</v>
      </c>
    </row>
    <row r="1111" spans="1:10" x14ac:dyDescent="0.25">
      <c r="A1111" t="s">
        <v>8</v>
      </c>
      <c r="B1111">
        <v>6426800</v>
      </c>
      <c r="C1111" t="s">
        <v>1486</v>
      </c>
      <c r="D1111">
        <v>1</v>
      </c>
      <c r="E1111" t="s">
        <v>10</v>
      </c>
      <c r="F1111" t="s">
        <v>11</v>
      </c>
      <c r="G1111" s="1"/>
      <c r="H1111" t="str">
        <f>"3700920141872"</f>
        <v>3700920141872</v>
      </c>
      <c r="J1111" t="s">
        <v>1487</v>
      </c>
    </row>
    <row r="1112" spans="1:10" x14ac:dyDescent="0.25">
      <c r="A1112" t="s">
        <v>8</v>
      </c>
      <c r="B1112">
        <v>6426801</v>
      </c>
      <c r="C1112" t="s">
        <v>1488</v>
      </c>
      <c r="D1112">
        <v>1</v>
      </c>
      <c r="E1112" t="s">
        <v>10</v>
      </c>
      <c r="F1112" t="s">
        <v>11</v>
      </c>
      <c r="G1112" s="1"/>
      <c r="H1112" t="str">
        <f>"3700920141889"</f>
        <v>3700920141889</v>
      </c>
      <c r="J1112" t="s">
        <v>1487</v>
      </c>
    </row>
    <row r="1113" spans="1:10" x14ac:dyDescent="0.25">
      <c r="A1113" t="s">
        <v>8</v>
      </c>
      <c r="B1113">
        <v>6426805</v>
      </c>
      <c r="C1113" t="s">
        <v>1489</v>
      </c>
      <c r="D1113">
        <v>1</v>
      </c>
      <c r="E1113" t="s">
        <v>10</v>
      </c>
      <c r="F1113" t="s">
        <v>11</v>
      </c>
      <c r="G1113" s="1"/>
      <c r="H1113" t="str">
        <f>"3700920141896"</f>
        <v>3700920141896</v>
      </c>
      <c r="J1113" t="s">
        <v>1487</v>
      </c>
    </row>
    <row r="1114" spans="1:10" x14ac:dyDescent="0.25">
      <c r="A1114" t="s">
        <v>8</v>
      </c>
      <c r="B1114">
        <v>6426807</v>
      </c>
      <c r="C1114" t="s">
        <v>1490</v>
      </c>
      <c r="D1114">
        <v>1</v>
      </c>
      <c r="E1114" t="s">
        <v>10</v>
      </c>
      <c r="F1114" t="s">
        <v>11</v>
      </c>
      <c r="G1114" s="1"/>
      <c r="H1114" t="str">
        <f>"3700920141902"</f>
        <v>3700920141902</v>
      </c>
      <c r="J1114" t="s">
        <v>1491</v>
      </c>
    </row>
    <row r="1115" spans="1:10" x14ac:dyDescent="0.25">
      <c r="A1115" t="s">
        <v>8</v>
      </c>
      <c r="B1115">
        <v>6426808</v>
      </c>
      <c r="C1115" t="s">
        <v>1492</v>
      </c>
      <c r="D1115">
        <v>1</v>
      </c>
      <c r="E1115" t="s">
        <v>10</v>
      </c>
      <c r="F1115" t="s">
        <v>11</v>
      </c>
      <c r="G1115" s="1"/>
      <c r="H1115" t="str">
        <f>"3700920141919"</f>
        <v>3700920141919</v>
      </c>
      <c r="J1115" t="s">
        <v>1491</v>
      </c>
    </row>
    <row r="1116" spans="1:10" x14ac:dyDescent="0.25">
      <c r="A1116" t="s">
        <v>8</v>
      </c>
      <c r="B1116">
        <v>6428000</v>
      </c>
      <c r="C1116" t="s">
        <v>1493</v>
      </c>
      <c r="D1116">
        <v>1</v>
      </c>
      <c r="E1116" t="s">
        <v>10</v>
      </c>
      <c r="F1116" t="s">
        <v>11</v>
      </c>
      <c r="G1116" s="1"/>
      <c r="H1116" t="str">
        <f>"3700920143104"</f>
        <v>3700920143104</v>
      </c>
      <c r="I1116" s="1"/>
      <c r="J1116" t="s">
        <v>229</v>
      </c>
    </row>
    <row r="1117" spans="1:10" x14ac:dyDescent="0.25">
      <c r="A1117" t="s">
        <v>8</v>
      </c>
      <c r="B1117">
        <v>6428003</v>
      </c>
      <c r="C1117" t="s">
        <v>1494</v>
      </c>
      <c r="D1117">
        <v>1</v>
      </c>
      <c r="E1117" t="s">
        <v>10</v>
      </c>
      <c r="F1117" t="s">
        <v>11</v>
      </c>
      <c r="G1117" s="1"/>
      <c r="H1117" t="str">
        <f>"3700920143098"</f>
        <v>3700920143098</v>
      </c>
      <c r="I1117" s="1"/>
      <c r="J1117" t="s">
        <v>229</v>
      </c>
    </row>
    <row r="1118" spans="1:10" x14ac:dyDescent="0.25">
      <c r="A1118" t="s">
        <v>8</v>
      </c>
      <c r="B1118">
        <v>6428010</v>
      </c>
      <c r="C1118" t="s">
        <v>1495</v>
      </c>
      <c r="D1118">
        <v>1</v>
      </c>
      <c r="E1118" t="s">
        <v>10</v>
      </c>
      <c r="F1118" t="s">
        <v>11</v>
      </c>
      <c r="G1118" s="1"/>
      <c r="H1118" t="str">
        <f>"3700920143081"</f>
        <v>3700920143081</v>
      </c>
      <c r="J1118" s="1">
        <v>6</v>
      </c>
    </row>
    <row r="1119" spans="1:10" x14ac:dyDescent="0.25">
      <c r="A1119" t="s">
        <v>8</v>
      </c>
      <c r="B1119">
        <v>6428013</v>
      </c>
      <c r="C1119" t="s">
        <v>1496</v>
      </c>
      <c r="D1119">
        <v>1</v>
      </c>
      <c r="E1119" t="s">
        <v>10</v>
      </c>
      <c r="F1119" t="s">
        <v>11</v>
      </c>
      <c r="G1119" s="1"/>
      <c r="H1119" t="str">
        <f>"3700920143074"</f>
        <v>3700920143074</v>
      </c>
      <c r="J1119" s="1">
        <v>6</v>
      </c>
    </row>
    <row r="1120" spans="1:10" x14ac:dyDescent="0.25">
      <c r="A1120" t="s">
        <v>8</v>
      </c>
      <c r="B1120">
        <v>6428045</v>
      </c>
      <c r="C1120" t="s">
        <v>1497</v>
      </c>
      <c r="D1120">
        <v>1</v>
      </c>
      <c r="E1120" t="s">
        <v>10</v>
      </c>
      <c r="F1120" t="s">
        <v>11</v>
      </c>
      <c r="G1120" s="1"/>
      <c r="H1120" t="str">
        <f>"3700920143067"</f>
        <v>3700920143067</v>
      </c>
      <c r="I1120" s="1"/>
      <c r="J1120" t="s">
        <v>229</v>
      </c>
    </row>
    <row r="1121" spans="1:10" x14ac:dyDescent="0.25">
      <c r="A1121" t="s">
        <v>8</v>
      </c>
      <c r="B1121">
        <v>6428055</v>
      </c>
      <c r="C1121" t="s">
        <v>1498</v>
      </c>
      <c r="D1121">
        <v>1</v>
      </c>
      <c r="E1121" t="s">
        <v>10</v>
      </c>
      <c r="F1121" t="s">
        <v>11</v>
      </c>
      <c r="G1121" s="1"/>
      <c r="H1121" t="str">
        <f>"3700920143050"</f>
        <v>3700920143050</v>
      </c>
      <c r="J1121" s="1">
        <v>6</v>
      </c>
    </row>
    <row r="1122" spans="1:10" x14ac:dyDescent="0.25">
      <c r="A1122" t="s">
        <v>8</v>
      </c>
      <c r="B1122">
        <v>6428090</v>
      </c>
      <c r="C1122" t="s">
        <v>1499</v>
      </c>
      <c r="D1122">
        <v>1</v>
      </c>
      <c r="E1122" t="s">
        <v>10</v>
      </c>
      <c r="F1122" t="s">
        <v>11</v>
      </c>
      <c r="G1122" s="1"/>
      <c r="H1122" t="str">
        <f>"3700920143043"</f>
        <v>3700920143043</v>
      </c>
      <c r="J1122" t="s">
        <v>1500</v>
      </c>
    </row>
    <row r="1123" spans="1:10" x14ac:dyDescent="0.25">
      <c r="A1123" t="s">
        <v>8</v>
      </c>
      <c r="B1123">
        <v>6428091</v>
      </c>
      <c r="C1123" t="s">
        <v>1501</v>
      </c>
      <c r="D1123">
        <v>1</v>
      </c>
      <c r="E1123" t="s">
        <v>10</v>
      </c>
      <c r="F1123" t="s">
        <v>11</v>
      </c>
      <c r="G1123" s="1"/>
      <c r="H1123" t="str">
        <f>"3700920143036"</f>
        <v>3700920143036</v>
      </c>
      <c r="J1123" t="s">
        <v>1500</v>
      </c>
    </row>
    <row r="1124" spans="1:10" x14ac:dyDescent="0.25">
      <c r="A1124" t="s">
        <v>8</v>
      </c>
      <c r="B1124">
        <v>6428110</v>
      </c>
      <c r="C1124" t="s">
        <v>1502</v>
      </c>
      <c r="D1124">
        <v>1</v>
      </c>
      <c r="E1124" t="s">
        <v>10</v>
      </c>
      <c r="F1124" t="s">
        <v>11</v>
      </c>
      <c r="G1124" s="1"/>
      <c r="H1124" t="str">
        <f>"3700920142008"</f>
        <v>3700920142008</v>
      </c>
      <c r="J1124" t="s">
        <v>264</v>
      </c>
    </row>
    <row r="1125" spans="1:10" x14ac:dyDescent="0.25">
      <c r="A1125" t="s">
        <v>8</v>
      </c>
      <c r="B1125">
        <v>6428111</v>
      </c>
      <c r="C1125" t="s">
        <v>1503</v>
      </c>
      <c r="D1125">
        <v>1</v>
      </c>
      <c r="E1125" t="s">
        <v>10</v>
      </c>
      <c r="F1125" t="s">
        <v>11</v>
      </c>
      <c r="G1125" s="1"/>
      <c r="H1125" t="str">
        <f>"3700920142015"</f>
        <v>3700920142015</v>
      </c>
      <c r="J1125" t="s">
        <v>264</v>
      </c>
    </row>
    <row r="1126" spans="1:10" x14ac:dyDescent="0.25">
      <c r="A1126" t="s">
        <v>8</v>
      </c>
      <c r="B1126">
        <v>64451016</v>
      </c>
      <c r="C1126" t="s">
        <v>1504</v>
      </c>
      <c r="D1126">
        <v>1</v>
      </c>
      <c r="E1126" t="s">
        <v>10</v>
      </c>
      <c r="F1126" t="s">
        <v>11</v>
      </c>
      <c r="G1126" s="1"/>
      <c r="H1126" t="str">
        <f>"8019162063916"</f>
        <v>8019162063916</v>
      </c>
      <c r="J1126" t="s">
        <v>1505</v>
      </c>
    </row>
    <row r="1127" spans="1:10" x14ac:dyDescent="0.25">
      <c r="A1127" t="s">
        <v>8</v>
      </c>
      <c r="B1127">
        <v>64452016</v>
      </c>
      <c r="C1127" t="s">
        <v>1504</v>
      </c>
      <c r="D1127">
        <v>1</v>
      </c>
      <c r="E1127" t="s">
        <v>10</v>
      </c>
      <c r="F1127" t="s">
        <v>11</v>
      </c>
      <c r="G1127" s="1"/>
      <c r="H1127" t="str">
        <f>"8019162063954"</f>
        <v>8019162063954</v>
      </c>
      <c r="J1127" t="s">
        <v>1506</v>
      </c>
    </row>
    <row r="1128" spans="1:10" x14ac:dyDescent="0.25">
      <c r="A1128" t="s">
        <v>8</v>
      </c>
      <c r="B1128">
        <v>64453016</v>
      </c>
      <c r="C1128" t="s">
        <v>1504</v>
      </c>
      <c r="D1128">
        <v>1</v>
      </c>
      <c r="E1128" t="s">
        <v>10</v>
      </c>
      <c r="F1128" t="s">
        <v>11</v>
      </c>
      <c r="G1128" s="1"/>
      <c r="H1128" t="str">
        <f>"8019162063978"</f>
        <v>8019162063978</v>
      </c>
      <c r="J1128" t="s">
        <v>720</v>
      </c>
    </row>
    <row r="1129" spans="1:10" x14ac:dyDescent="0.25">
      <c r="A1129" t="s">
        <v>8</v>
      </c>
      <c r="B1129">
        <v>64461030</v>
      </c>
      <c r="C1129" t="s">
        <v>1507</v>
      </c>
      <c r="D1129">
        <v>1</v>
      </c>
      <c r="E1129" t="s">
        <v>10</v>
      </c>
      <c r="F1129" t="s">
        <v>11</v>
      </c>
      <c r="G1129" s="1"/>
      <c r="H1129" t="str">
        <f>"8019162063701"</f>
        <v>8019162063701</v>
      </c>
      <c r="J1129" t="s">
        <v>1508</v>
      </c>
    </row>
    <row r="1130" spans="1:10" x14ac:dyDescent="0.25">
      <c r="A1130" t="s">
        <v>8</v>
      </c>
      <c r="B1130">
        <v>64462030</v>
      </c>
      <c r="C1130" t="s">
        <v>1507</v>
      </c>
      <c r="D1130">
        <v>1</v>
      </c>
      <c r="E1130" t="s">
        <v>10</v>
      </c>
      <c r="F1130" t="s">
        <v>11</v>
      </c>
      <c r="G1130" s="1"/>
      <c r="H1130" t="str">
        <f>"8019162063800"</f>
        <v>8019162063800</v>
      </c>
      <c r="I1130" s="1"/>
      <c r="J1130" t="s">
        <v>898</v>
      </c>
    </row>
    <row r="1131" spans="1:10" x14ac:dyDescent="0.25">
      <c r="A1131" t="s">
        <v>8</v>
      </c>
      <c r="B1131">
        <v>64463030</v>
      </c>
      <c r="C1131" t="s">
        <v>1507</v>
      </c>
      <c r="D1131">
        <v>1</v>
      </c>
      <c r="E1131" t="s">
        <v>10</v>
      </c>
      <c r="F1131" t="s">
        <v>11</v>
      </c>
      <c r="G1131" s="1"/>
      <c r="H1131" t="str">
        <f>"8019162063817"</f>
        <v>8019162063817</v>
      </c>
      <c r="J1131" t="s">
        <v>1509</v>
      </c>
    </row>
    <row r="1132" spans="1:10" x14ac:dyDescent="0.25">
      <c r="A1132" t="s">
        <v>8</v>
      </c>
      <c r="B1132">
        <v>64511030</v>
      </c>
      <c r="C1132" t="s">
        <v>1510</v>
      </c>
      <c r="D1132">
        <v>1</v>
      </c>
      <c r="E1132" t="s">
        <v>10</v>
      </c>
      <c r="F1132" t="s">
        <v>11</v>
      </c>
      <c r="G1132" s="1"/>
      <c r="H1132" t="str">
        <f>"8019163198303"</f>
        <v>8019163198303</v>
      </c>
      <c r="J1132" t="s">
        <v>66</v>
      </c>
    </row>
    <row r="1133" spans="1:10" x14ac:dyDescent="0.25">
      <c r="A1133" t="s">
        <v>8</v>
      </c>
      <c r="B1133">
        <v>64511130</v>
      </c>
      <c r="C1133" t="s">
        <v>1511</v>
      </c>
      <c r="D1133">
        <v>1</v>
      </c>
      <c r="E1133" t="s">
        <v>10</v>
      </c>
      <c r="F1133" t="s">
        <v>11</v>
      </c>
      <c r="G1133" s="1"/>
      <c r="H1133" t="str">
        <f>"3700920113886"</f>
        <v>3700920113886</v>
      </c>
      <c r="J1133" t="s">
        <v>66</v>
      </c>
    </row>
    <row r="1134" spans="1:10" x14ac:dyDescent="0.25">
      <c r="A1134" t="s">
        <v>8</v>
      </c>
      <c r="B1134">
        <v>64520030</v>
      </c>
      <c r="C1134" t="s">
        <v>1512</v>
      </c>
      <c r="D1134">
        <v>1</v>
      </c>
      <c r="E1134" t="s">
        <v>10</v>
      </c>
      <c r="F1134" t="s">
        <v>11</v>
      </c>
      <c r="G1134" s="1"/>
      <c r="H1134" t="str">
        <f>"8019163198068"</f>
        <v>8019163198068</v>
      </c>
      <c r="J1134" t="s">
        <v>1513</v>
      </c>
    </row>
    <row r="1135" spans="1:10" x14ac:dyDescent="0.25">
      <c r="A1135" t="s">
        <v>8</v>
      </c>
      <c r="B1135">
        <v>64530030</v>
      </c>
      <c r="C1135" t="s">
        <v>1514</v>
      </c>
      <c r="D1135">
        <v>1</v>
      </c>
      <c r="E1135" t="s">
        <v>10</v>
      </c>
      <c r="F1135" t="s">
        <v>11</v>
      </c>
      <c r="G1135" s="1"/>
      <c r="H1135" t="str">
        <f>"8019162063794"</f>
        <v>8019162063794</v>
      </c>
      <c r="J1135" t="s">
        <v>1515</v>
      </c>
    </row>
    <row r="1136" spans="1:10" x14ac:dyDescent="0.25">
      <c r="A1136" t="s">
        <v>8</v>
      </c>
      <c r="B1136">
        <v>64541030</v>
      </c>
      <c r="C1136" t="s">
        <v>1516</v>
      </c>
      <c r="D1136">
        <v>1</v>
      </c>
      <c r="E1136" t="s">
        <v>10</v>
      </c>
      <c r="F1136" t="s">
        <v>11</v>
      </c>
      <c r="G1136" s="1"/>
      <c r="H1136" t="str">
        <f>"8019162063770"</f>
        <v>8019162063770</v>
      </c>
      <c r="J1136" t="s">
        <v>409</v>
      </c>
    </row>
    <row r="1137" spans="1:10" x14ac:dyDescent="0.25">
      <c r="A1137" t="s">
        <v>8</v>
      </c>
      <c r="B1137">
        <v>64551030</v>
      </c>
      <c r="C1137" t="s">
        <v>1517</v>
      </c>
      <c r="D1137">
        <v>1</v>
      </c>
      <c r="E1137" t="s">
        <v>10</v>
      </c>
      <c r="F1137" t="s">
        <v>11</v>
      </c>
      <c r="G1137" s="1"/>
      <c r="H1137" t="str">
        <f>"8019163198204"</f>
        <v>8019163198204</v>
      </c>
      <c r="J1137" t="s">
        <v>1518</v>
      </c>
    </row>
    <row r="1138" spans="1:10" x14ac:dyDescent="0.25">
      <c r="A1138" t="s">
        <v>8</v>
      </c>
      <c r="B1138">
        <v>64551130</v>
      </c>
      <c r="C1138" t="s">
        <v>1519</v>
      </c>
      <c r="D1138">
        <v>1</v>
      </c>
      <c r="E1138" t="s">
        <v>10</v>
      </c>
      <c r="F1138" t="s">
        <v>11</v>
      </c>
      <c r="G1138" s="1"/>
      <c r="H1138" t="str">
        <f>"8019163198235"</f>
        <v>8019163198235</v>
      </c>
      <c r="J1138" t="s">
        <v>1518</v>
      </c>
    </row>
    <row r="1139" spans="1:10" x14ac:dyDescent="0.25">
      <c r="A1139" t="s">
        <v>8</v>
      </c>
      <c r="B1139">
        <v>64580030</v>
      </c>
      <c r="C1139" t="s">
        <v>1520</v>
      </c>
      <c r="D1139">
        <v>1</v>
      </c>
      <c r="E1139" t="s">
        <v>10</v>
      </c>
      <c r="F1139" t="s">
        <v>11</v>
      </c>
      <c r="G1139" s="1"/>
      <c r="H1139" t="str">
        <f>"8019163198136"</f>
        <v>8019163198136</v>
      </c>
      <c r="I1139" s="1"/>
      <c r="J1139" t="s">
        <v>113</v>
      </c>
    </row>
    <row r="1140" spans="1:10" x14ac:dyDescent="0.25">
      <c r="A1140" t="s">
        <v>8</v>
      </c>
      <c r="B1140">
        <v>64592030</v>
      </c>
      <c r="C1140" t="s">
        <v>1521</v>
      </c>
      <c r="D1140">
        <v>1</v>
      </c>
      <c r="E1140" t="s">
        <v>10</v>
      </c>
      <c r="F1140" t="s">
        <v>11</v>
      </c>
      <c r="G1140" s="1"/>
      <c r="H1140" t="str">
        <f>"8019163198167"</f>
        <v>8019163198167</v>
      </c>
      <c r="I1140" s="1"/>
      <c r="J1140" t="s">
        <v>113</v>
      </c>
    </row>
    <row r="1141" spans="1:10" x14ac:dyDescent="0.25">
      <c r="A1141" t="s">
        <v>8</v>
      </c>
      <c r="B1141">
        <v>64600030</v>
      </c>
      <c r="C1141" t="s">
        <v>1522</v>
      </c>
      <c r="D1141">
        <v>1</v>
      </c>
      <c r="E1141" t="s">
        <v>10</v>
      </c>
      <c r="F1141" t="s">
        <v>11</v>
      </c>
      <c r="G1141" s="1"/>
      <c r="H1141" t="str">
        <f>"8019163198174"</f>
        <v>8019163198174</v>
      </c>
      <c r="J1141" t="s">
        <v>1523</v>
      </c>
    </row>
    <row r="1142" spans="1:10" x14ac:dyDescent="0.25">
      <c r="A1142" t="s">
        <v>8</v>
      </c>
      <c r="B1142">
        <v>64801030</v>
      </c>
      <c r="C1142" t="s">
        <v>1524</v>
      </c>
      <c r="D1142">
        <v>1</v>
      </c>
      <c r="E1142" t="s">
        <v>10</v>
      </c>
      <c r="F1142" t="s">
        <v>11</v>
      </c>
      <c r="G1142" s="1"/>
      <c r="H1142" t="str">
        <f>"8019163199492"</f>
        <v>8019163199492</v>
      </c>
      <c r="J1142" s="1">
        <v>9</v>
      </c>
    </row>
    <row r="1143" spans="1:10" x14ac:dyDescent="0.25">
      <c r="A1143" t="s">
        <v>8</v>
      </c>
      <c r="B1143">
        <v>64801130</v>
      </c>
      <c r="C1143" t="s">
        <v>1524</v>
      </c>
      <c r="D1143">
        <v>1</v>
      </c>
      <c r="E1143" t="s">
        <v>10</v>
      </c>
      <c r="F1143" t="s">
        <v>11</v>
      </c>
      <c r="G1143" s="1"/>
      <c r="H1143" t="str">
        <f>"8019163199508"</f>
        <v>8019163199508</v>
      </c>
      <c r="J1143" s="1">
        <v>9</v>
      </c>
    </row>
    <row r="1144" spans="1:10" x14ac:dyDescent="0.25">
      <c r="A1144" t="s">
        <v>8</v>
      </c>
      <c r="B1144">
        <v>64810030</v>
      </c>
      <c r="C1144" t="s">
        <v>1524</v>
      </c>
      <c r="D1144">
        <v>1</v>
      </c>
      <c r="E1144" t="s">
        <v>10</v>
      </c>
      <c r="F1144" t="s">
        <v>11</v>
      </c>
      <c r="G1144" s="1"/>
      <c r="H1144" t="str">
        <f>"8019163199485"</f>
        <v>8019163199485</v>
      </c>
      <c r="I1144" s="1"/>
      <c r="J1144" t="s">
        <v>1525</v>
      </c>
    </row>
    <row r="1145" spans="1:10" x14ac:dyDescent="0.25">
      <c r="A1145" t="s">
        <v>8</v>
      </c>
      <c r="B1145">
        <v>64830030</v>
      </c>
      <c r="C1145" t="s">
        <v>1526</v>
      </c>
      <c r="D1145">
        <v>1</v>
      </c>
      <c r="E1145" t="s">
        <v>10</v>
      </c>
      <c r="F1145" t="s">
        <v>11</v>
      </c>
      <c r="G1145" s="1"/>
      <c r="H1145" t="str">
        <f>"8019163199478"</f>
        <v>8019163199478</v>
      </c>
      <c r="J1145" t="s">
        <v>12</v>
      </c>
    </row>
    <row r="1146" spans="1:10" x14ac:dyDescent="0.25">
      <c r="A1146" t="s">
        <v>8</v>
      </c>
      <c r="B1146">
        <v>64841030</v>
      </c>
      <c r="C1146" t="s">
        <v>1527</v>
      </c>
      <c r="D1146">
        <v>1</v>
      </c>
      <c r="E1146" t="s">
        <v>10</v>
      </c>
      <c r="F1146" t="s">
        <v>11</v>
      </c>
      <c r="G1146" s="1"/>
      <c r="H1146" t="str">
        <f>"3700920113893"</f>
        <v>3700920113893</v>
      </c>
      <c r="J1146" t="s">
        <v>1528</v>
      </c>
    </row>
    <row r="1147" spans="1:10" x14ac:dyDescent="0.25">
      <c r="A1147" t="s">
        <v>8</v>
      </c>
      <c r="B1147">
        <v>64841130</v>
      </c>
      <c r="C1147" t="s">
        <v>1529</v>
      </c>
      <c r="D1147">
        <v>1</v>
      </c>
      <c r="E1147" t="s">
        <v>10</v>
      </c>
      <c r="F1147" t="s">
        <v>11</v>
      </c>
      <c r="G1147" s="1"/>
      <c r="H1147" t="str">
        <f>"3700920113909"</f>
        <v>3700920113909</v>
      </c>
      <c r="J1147" t="s">
        <v>1528</v>
      </c>
    </row>
    <row r="1148" spans="1:10" x14ac:dyDescent="0.25">
      <c r="A1148" t="s">
        <v>8</v>
      </c>
      <c r="B1148">
        <v>6500605</v>
      </c>
      <c r="C1148" t="s">
        <v>1530</v>
      </c>
      <c r="D1148">
        <v>1</v>
      </c>
      <c r="E1148" t="s">
        <v>10</v>
      </c>
      <c r="F1148" t="s">
        <v>11</v>
      </c>
      <c r="G1148" s="1"/>
      <c r="H1148" t="str">
        <f>"3700920146631"</f>
        <v>3700920146631</v>
      </c>
      <c r="J1148" s="1">
        <v>63</v>
      </c>
    </row>
    <row r="1149" spans="1:10" x14ac:dyDescent="0.25">
      <c r="A1149" t="s">
        <v>8</v>
      </c>
      <c r="B1149">
        <v>6500905</v>
      </c>
      <c r="C1149" t="s">
        <v>1530</v>
      </c>
      <c r="D1149">
        <v>1</v>
      </c>
      <c r="E1149" t="s">
        <v>10</v>
      </c>
      <c r="F1149" t="s">
        <v>11</v>
      </c>
      <c r="G1149" s="1"/>
      <c r="H1149" t="str">
        <f>"3700920146648"</f>
        <v>3700920146648</v>
      </c>
      <c r="J1149" s="1">
        <v>84</v>
      </c>
    </row>
    <row r="1150" spans="1:10" x14ac:dyDescent="0.25">
      <c r="A1150" t="s">
        <v>8</v>
      </c>
      <c r="B1150">
        <v>6501205</v>
      </c>
      <c r="C1150" t="s">
        <v>1530</v>
      </c>
      <c r="D1150">
        <v>1</v>
      </c>
      <c r="E1150" t="s">
        <v>10</v>
      </c>
      <c r="F1150" t="s">
        <v>11</v>
      </c>
      <c r="G1150" s="1"/>
      <c r="H1150" t="str">
        <f>"3700920146655"</f>
        <v>3700920146655</v>
      </c>
      <c r="J1150" t="s">
        <v>1531</v>
      </c>
    </row>
    <row r="1151" spans="1:10" x14ac:dyDescent="0.25">
      <c r="A1151" t="s">
        <v>8</v>
      </c>
      <c r="B1151">
        <v>6502005</v>
      </c>
      <c r="C1151" t="s">
        <v>1530</v>
      </c>
      <c r="D1151">
        <v>1</v>
      </c>
      <c r="E1151" t="s">
        <v>10</v>
      </c>
      <c r="F1151" t="s">
        <v>11</v>
      </c>
      <c r="G1151" s="1"/>
      <c r="H1151" t="str">
        <f>"3700920146662"</f>
        <v>3700920146662</v>
      </c>
      <c r="J1151" t="s">
        <v>1532</v>
      </c>
    </row>
    <row r="1152" spans="1:10" x14ac:dyDescent="0.25">
      <c r="A1152" t="s">
        <v>8</v>
      </c>
      <c r="B1152">
        <v>6607060</v>
      </c>
      <c r="C1152" t="s">
        <v>1533</v>
      </c>
      <c r="D1152">
        <v>1</v>
      </c>
      <c r="E1152" t="s">
        <v>10</v>
      </c>
      <c r="F1152" t="s">
        <v>11</v>
      </c>
      <c r="G1152" s="1"/>
      <c r="H1152" t="str">
        <f>"3700920110779"</f>
        <v>3700920110779</v>
      </c>
      <c r="J1152" t="s">
        <v>1534</v>
      </c>
    </row>
    <row r="1153" spans="1:10" x14ac:dyDescent="0.25">
      <c r="A1153" t="s">
        <v>8</v>
      </c>
      <c r="B1153">
        <v>6607120</v>
      </c>
      <c r="C1153" t="s">
        <v>1535</v>
      </c>
      <c r="D1153">
        <v>1</v>
      </c>
      <c r="E1153" t="s">
        <v>10</v>
      </c>
      <c r="F1153" t="s">
        <v>11</v>
      </c>
      <c r="G1153" s="1"/>
      <c r="H1153" t="str">
        <f>"3700920110786"</f>
        <v>3700920110786</v>
      </c>
      <c r="J1153" t="s">
        <v>1536</v>
      </c>
    </row>
    <row r="1154" spans="1:10" x14ac:dyDescent="0.25">
      <c r="A1154" t="s">
        <v>8</v>
      </c>
      <c r="B1154">
        <v>6607200</v>
      </c>
      <c r="C1154" t="s">
        <v>1537</v>
      </c>
      <c r="D1154">
        <v>1</v>
      </c>
      <c r="E1154" t="s">
        <v>10</v>
      </c>
      <c r="F1154" t="s">
        <v>11</v>
      </c>
      <c r="G1154" s="1"/>
      <c r="H1154" t="str">
        <f>"3700920110793"</f>
        <v>3700920110793</v>
      </c>
      <c r="J1154" t="s">
        <v>1538</v>
      </c>
    </row>
    <row r="1155" spans="1:10" x14ac:dyDescent="0.25">
      <c r="A1155" t="s">
        <v>8</v>
      </c>
      <c r="B1155">
        <v>6701501</v>
      </c>
      <c r="C1155" t="s">
        <v>1539</v>
      </c>
      <c r="D1155">
        <v>1</v>
      </c>
      <c r="E1155" t="s">
        <v>10</v>
      </c>
      <c r="F1155" t="s">
        <v>11</v>
      </c>
      <c r="G1155" s="1"/>
      <c r="H1155" t="str">
        <f>"3700920109315"</f>
        <v>3700920109315</v>
      </c>
      <c r="J1155" t="s">
        <v>1540</v>
      </c>
    </row>
    <row r="1156" spans="1:10" x14ac:dyDescent="0.25">
      <c r="A1156" t="s">
        <v>8</v>
      </c>
      <c r="B1156">
        <v>6701502</v>
      </c>
      <c r="C1156" t="s">
        <v>1541</v>
      </c>
      <c r="D1156">
        <v>1</v>
      </c>
      <c r="E1156" t="s">
        <v>10</v>
      </c>
      <c r="F1156" t="s">
        <v>11</v>
      </c>
      <c r="G1156" s="1"/>
      <c r="H1156" t="str">
        <f>"3700920109322"</f>
        <v>3700920109322</v>
      </c>
      <c r="J1156" t="s">
        <v>1540</v>
      </c>
    </row>
    <row r="1157" spans="1:10" x14ac:dyDescent="0.25">
      <c r="A1157" t="s">
        <v>8</v>
      </c>
      <c r="B1157">
        <v>6701503</v>
      </c>
      <c r="C1157" t="s">
        <v>1542</v>
      </c>
      <c r="D1157">
        <v>1</v>
      </c>
      <c r="E1157" t="s">
        <v>10</v>
      </c>
      <c r="F1157" t="s">
        <v>11</v>
      </c>
      <c r="G1157" s="1"/>
      <c r="H1157" t="str">
        <f>"3700920109339"</f>
        <v>3700920109339</v>
      </c>
      <c r="J1157" t="s">
        <v>1540</v>
      </c>
    </row>
    <row r="1158" spans="1:10" x14ac:dyDescent="0.25">
      <c r="A1158" t="s">
        <v>8</v>
      </c>
      <c r="B1158">
        <v>6701504</v>
      </c>
      <c r="C1158" t="s">
        <v>1543</v>
      </c>
      <c r="D1158">
        <v>1</v>
      </c>
      <c r="E1158" t="s">
        <v>10</v>
      </c>
      <c r="F1158" t="s">
        <v>11</v>
      </c>
      <c r="G1158" s="1"/>
      <c r="H1158" t="str">
        <f>"3700920109346"</f>
        <v>3700920109346</v>
      </c>
      <c r="J1158" t="s">
        <v>1540</v>
      </c>
    </row>
    <row r="1159" spans="1:10" x14ac:dyDescent="0.25">
      <c r="A1159" t="s">
        <v>8</v>
      </c>
      <c r="B1159">
        <v>6709001</v>
      </c>
      <c r="C1159" t="s">
        <v>1544</v>
      </c>
      <c r="D1159">
        <v>1</v>
      </c>
      <c r="E1159" t="s">
        <v>10</v>
      </c>
      <c r="F1159" t="s">
        <v>11</v>
      </c>
      <c r="G1159" s="1"/>
      <c r="H1159" t="str">
        <f>"3700920109353"</f>
        <v>3700920109353</v>
      </c>
      <c r="J1159" t="s">
        <v>1545</v>
      </c>
    </row>
    <row r="1160" spans="1:10" x14ac:dyDescent="0.25">
      <c r="A1160" t="s">
        <v>8</v>
      </c>
      <c r="B1160">
        <v>6709002</v>
      </c>
      <c r="C1160" t="s">
        <v>1546</v>
      </c>
      <c r="D1160">
        <v>1</v>
      </c>
      <c r="E1160" t="s">
        <v>10</v>
      </c>
      <c r="F1160" t="s">
        <v>11</v>
      </c>
      <c r="G1160" s="1"/>
      <c r="H1160" t="str">
        <f>"3700920109360"</f>
        <v>3700920109360</v>
      </c>
      <c r="J1160" t="s">
        <v>1547</v>
      </c>
    </row>
    <row r="1161" spans="1:10" x14ac:dyDescent="0.25">
      <c r="A1161" t="s">
        <v>8</v>
      </c>
      <c r="B1161">
        <v>6709003</v>
      </c>
      <c r="C1161" t="s">
        <v>1548</v>
      </c>
      <c r="D1161">
        <v>1</v>
      </c>
      <c r="E1161" t="s">
        <v>10</v>
      </c>
      <c r="F1161" t="s">
        <v>11</v>
      </c>
      <c r="G1161" s="1"/>
      <c r="H1161" t="str">
        <f>"3700920109377"</f>
        <v>3700920109377</v>
      </c>
      <c r="J1161" t="s">
        <v>1547</v>
      </c>
    </row>
    <row r="1162" spans="1:10" x14ac:dyDescent="0.25">
      <c r="A1162" t="s">
        <v>8</v>
      </c>
      <c r="B1162">
        <v>6750060</v>
      </c>
      <c r="C1162" t="s">
        <v>1549</v>
      </c>
      <c r="D1162">
        <v>1</v>
      </c>
      <c r="E1162" t="s">
        <v>10</v>
      </c>
      <c r="F1162" t="s">
        <v>11</v>
      </c>
      <c r="G1162" s="1"/>
      <c r="H1162" t="str">
        <f>"3700920141155"</f>
        <v>3700920141155</v>
      </c>
      <c r="J1162" s="1">
        <v>93</v>
      </c>
    </row>
    <row r="1163" spans="1:10" x14ac:dyDescent="0.25">
      <c r="A1163" t="s">
        <v>8</v>
      </c>
      <c r="B1163">
        <v>6750061</v>
      </c>
      <c r="C1163" t="s">
        <v>1550</v>
      </c>
      <c r="D1163">
        <v>1</v>
      </c>
      <c r="E1163" t="s">
        <v>10</v>
      </c>
      <c r="F1163" t="s">
        <v>11</v>
      </c>
      <c r="G1163" s="1"/>
      <c r="H1163" t="str">
        <f>"3700920141179"</f>
        <v>3700920141179</v>
      </c>
      <c r="J1163" s="1">
        <v>93</v>
      </c>
    </row>
    <row r="1164" spans="1:10" x14ac:dyDescent="0.25">
      <c r="A1164" t="s">
        <v>8</v>
      </c>
      <c r="B1164">
        <v>6750102</v>
      </c>
      <c r="C1164" t="s">
        <v>1551</v>
      </c>
      <c r="D1164">
        <v>1</v>
      </c>
      <c r="E1164" t="s">
        <v>10</v>
      </c>
      <c r="F1164" t="s">
        <v>11</v>
      </c>
      <c r="G1164" s="1"/>
      <c r="H1164" t="str">
        <f>"3700920115453"</f>
        <v>3700920115453</v>
      </c>
      <c r="J1164" s="1">
        <v>210</v>
      </c>
    </row>
    <row r="1165" spans="1:10" x14ac:dyDescent="0.25">
      <c r="A1165" t="s">
        <v>8</v>
      </c>
      <c r="B1165">
        <v>6750120</v>
      </c>
      <c r="C1165" t="s">
        <v>1552</v>
      </c>
      <c r="D1165">
        <v>1</v>
      </c>
      <c r="E1165" t="s">
        <v>10</v>
      </c>
      <c r="F1165" t="s">
        <v>11</v>
      </c>
      <c r="G1165" s="1"/>
      <c r="H1165" t="str">
        <f>"3700920141162"</f>
        <v>3700920141162</v>
      </c>
      <c r="J1165" s="1">
        <v>123</v>
      </c>
    </row>
    <row r="1166" spans="1:10" x14ac:dyDescent="0.25">
      <c r="A1166" t="s">
        <v>8</v>
      </c>
      <c r="B1166">
        <v>6750121</v>
      </c>
      <c r="C1166" t="s">
        <v>1553</v>
      </c>
      <c r="D1166">
        <v>1</v>
      </c>
      <c r="E1166" t="s">
        <v>10</v>
      </c>
      <c r="F1166" t="s">
        <v>11</v>
      </c>
      <c r="G1166" s="1"/>
      <c r="H1166" t="str">
        <f>"3700920141322"</f>
        <v>3700920141322</v>
      </c>
      <c r="J1166" s="1">
        <v>123</v>
      </c>
    </row>
    <row r="1167" spans="1:10" x14ac:dyDescent="0.25">
      <c r="A1167" t="s">
        <v>8</v>
      </c>
      <c r="B1167">
        <v>6803002</v>
      </c>
      <c r="C1167" t="s">
        <v>1554</v>
      </c>
      <c r="D1167">
        <v>1</v>
      </c>
      <c r="E1167" t="s">
        <v>10</v>
      </c>
      <c r="F1167" t="s">
        <v>11</v>
      </c>
      <c r="G1167" s="1"/>
      <c r="H1167" t="str">
        <f>"3700920110113"</f>
        <v>3700920110113</v>
      </c>
      <c r="J1167" t="s">
        <v>1555</v>
      </c>
    </row>
    <row r="1168" spans="1:10" x14ac:dyDescent="0.25">
      <c r="A1168" t="s">
        <v>8</v>
      </c>
      <c r="B1168">
        <v>6803004</v>
      </c>
      <c r="C1168" t="s">
        <v>1556</v>
      </c>
      <c r="D1168">
        <v>1</v>
      </c>
      <c r="E1168" t="s">
        <v>10</v>
      </c>
      <c r="F1168" t="s">
        <v>11</v>
      </c>
      <c r="G1168" s="1"/>
      <c r="H1168" t="str">
        <f>"3700920109216"</f>
        <v>3700920109216</v>
      </c>
      <c r="J1168" t="s">
        <v>1557</v>
      </c>
    </row>
    <row r="1169" spans="1:10" x14ac:dyDescent="0.25">
      <c r="A1169" t="s">
        <v>8</v>
      </c>
      <c r="B1169">
        <v>6803031</v>
      </c>
      <c r="C1169" t="s">
        <v>1558</v>
      </c>
      <c r="D1169">
        <v>1</v>
      </c>
      <c r="E1169" t="s">
        <v>10</v>
      </c>
      <c r="F1169" t="s">
        <v>11</v>
      </c>
      <c r="G1169" s="1"/>
      <c r="H1169" t="str">
        <f>"3700920116801"</f>
        <v>3700920116801</v>
      </c>
      <c r="J1169" t="s">
        <v>1559</v>
      </c>
    </row>
    <row r="1170" spans="1:10" x14ac:dyDescent="0.25">
      <c r="A1170" t="s">
        <v>8</v>
      </c>
      <c r="B1170">
        <v>6803032</v>
      </c>
      <c r="C1170" t="s">
        <v>1560</v>
      </c>
      <c r="D1170">
        <v>1</v>
      </c>
      <c r="E1170" t="s">
        <v>10</v>
      </c>
      <c r="F1170" t="s">
        <v>11</v>
      </c>
      <c r="G1170" s="1"/>
      <c r="H1170" t="str">
        <f>"3700920144910"</f>
        <v>3700920144910</v>
      </c>
      <c r="J1170" t="s">
        <v>1559</v>
      </c>
    </row>
    <row r="1171" spans="1:10" x14ac:dyDescent="0.25">
      <c r="A1171" t="s">
        <v>8</v>
      </c>
      <c r="B1171">
        <v>6803033</v>
      </c>
      <c r="C1171" t="s">
        <v>1561</v>
      </c>
      <c r="D1171">
        <v>1</v>
      </c>
      <c r="E1171" t="s">
        <v>10</v>
      </c>
      <c r="F1171" t="s">
        <v>11</v>
      </c>
      <c r="G1171" s="1"/>
      <c r="H1171" t="str">
        <f>"3700920116795"</f>
        <v>3700920116795</v>
      </c>
      <c r="J1171" t="s">
        <v>1562</v>
      </c>
    </row>
    <row r="1172" spans="1:10" x14ac:dyDescent="0.25">
      <c r="A1172" t="s">
        <v>8</v>
      </c>
      <c r="B1172">
        <v>6803034</v>
      </c>
      <c r="C1172" t="s">
        <v>1563</v>
      </c>
      <c r="D1172">
        <v>1</v>
      </c>
      <c r="E1172" t="s">
        <v>10</v>
      </c>
      <c r="F1172" t="s">
        <v>11</v>
      </c>
      <c r="G1172" s="1"/>
      <c r="H1172" t="str">
        <f>"3700920145320"</f>
        <v>3700920145320</v>
      </c>
      <c r="J1172" t="s">
        <v>1562</v>
      </c>
    </row>
    <row r="1173" spans="1:10" x14ac:dyDescent="0.25">
      <c r="A1173" t="s">
        <v>8</v>
      </c>
      <c r="B1173">
        <v>6805050</v>
      </c>
      <c r="C1173" t="s">
        <v>1564</v>
      </c>
      <c r="D1173">
        <v>1</v>
      </c>
      <c r="E1173" t="s">
        <v>10</v>
      </c>
      <c r="F1173" t="s">
        <v>11</v>
      </c>
      <c r="G1173" s="1"/>
      <c r="H1173" t="str">
        <f>"3700920115255"</f>
        <v>3700920115255</v>
      </c>
      <c r="J1173" t="s">
        <v>336</v>
      </c>
    </row>
    <row r="1174" spans="1:10" x14ac:dyDescent="0.25">
      <c r="A1174" t="s">
        <v>8</v>
      </c>
      <c r="B1174">
        <v>6805051</v>
      </c>
      <c r="C1174" t="s">
        <v>1565</v>
      </c>
      <c r="D1174">
        <v>1</v>
      </c>
      <c r="E1174" t="s">
        <v>10</v>
      </c>
      <c r="F1174" t="s">
        <v>11</v>
      </c>
      <c r="G1174" s="1"/>
      <c r="H1174" t="str">
        <f>"3700920145238"</f>
        <v>3700920145238</v>
      </c>
      <c r="J1174" t="s">
        <v>336</v>
      </c>
    </row>
    <row r="1175" spans="1:10" x14ac:dyDescent="0.25">
      <c r="A1175" t="s">
        <v>8</v>
      </c>
      <c r="B1175">
        <v>6805052</v>
      </c>
      <c r="C1175" t="s">
        <v>1566</v>
      </c>
      <c r="D1175">
        <v>1</v>
      </c>
      <c r="E1175" t="s">
        <v>10</v>
      </c>
      <c r="F1175" t="s">
        <v>11</v>
      </c>
      <c r="G1175" s="1"/>
      <c r="H1175" t="str">
        <f>"3700920148093"</f>
        <v>3700920148093</v>
      </c>
      <c r="J1175" t="s">
        <v>336</v>
      </c>
    </row>
    <row r="1176" spans="1:10" x14ac:dyDescent="0.25">
      <c r="A1176" t="s">
        <v>8</v>
      </c>
      <c r="B1176">
        <v>6805060</v>
      </c>
      <c r="C1176" t="s">
        <v>1567</v>
      </c>
      <c r="D1176">
        <v>1</v>
      </c>
      <c r="E1176" t="s">
        <v>10</v>
      </c>
      <c r="F1176" t="s">
        <v>11</v>
      </c>
      <c r="G1176" s="1"/>
      <c r="H1176" t="str">
        <f>"3700920148550"</f>
        <v>3700920148550</v>
      </c>
      <c r="J1176" s="1">
        <v>42</v>
      </c>
    </row>
    <row r="1177" spans="1:10" x14ac:dyDescent="0.25">
      <c r="A1177" t="s">
        <v>8</v>
      </c>
      <c r="B1177">
        <v>6805061</v>
      </c>
      <c r="C1177" t="s">
        <v>1568</v>
      </c>
      <c r="D1177">
        <v>1</v>
      </c>
      <c r="E1177" t="s">
        <v>10</v>
      </c>
      <c r="F1177" t="s">
        <v>11</v>
      </c>
      <c r="G1177" s="1"/>
      <c r="H1177" t="str">
        <f>"3700920148529"</f>
        <v>3700920148529</v>
      </c>
      <c r="J1177" s="1">
        <v>42</v>
      </c>
    </row>
    <row r="1178" spans="1:10" x14ac:dyDescent="0.25">
      <c r="A1178" t="s">
        <v>8</v>
      </c>
      <c r="B1178">
        <v>6805100</v>
      </c>
      <c r="C1178" t="s">
        <v>1569</v>
      </c>
      <c r="D1178">
        <v>1</v>
      </c>
      <c r="E1178" t="s">
        <v>10</v>
      </c>
      <c r="F1178" t="s">
        <v>11</v>
      </c>
      <c r="G1178" s="1"/>
      <c r="H1178" t="str">
        <f>"3700920115262"</f>
        <v>3700920115262</v>
      </c>
      <c r="J1178" t="s">
        <v>117</v>
      </c>
    </row>
    <row r="1179" spans="1:10" x14ac:dyDescent="0.25">
      <c r="A1179" t="s">
        <v>8</v>
      </c>
      <c r="B1179">
        <v>6805101</v>
      </c>
      <c r="C1179" t="s">
        <v>1570</v>
      </c>
      <c r="D1179">
        <v>1</v>
      </c>
      <c r="E1179" t="s">
        <v>10</v>
      </c>
      <c r="F1179" t="s">
        <v>11</v>
      </c>
      <c r="G1179" s="1"/>
      <c r="H1179" t="str">
        <f>"3700920145245"</f>
        <v>3700920145245</v>
      </c>
      <c r="J1179" t="s">
        <v>117</v>
      </c>
    </row>
    <row r="1180" spans="1:10" x14ac:dyDescent="0.25">
      <c r="A1180" t="s">
        <v>8</v>
      </c>
      <c r="B1180">
        <v>6805102</v>
      </c>
      <c r="C1180" t="s">
        <v>1571</v>
      </c>
      <c r="D1180">
        <v>1</v>
      </c>
      <c r="E1180" t="s">
        <v>10</v>
      </c>
      <c r="F1180" t="s">
        <v>11</v>
      </c>
      <c r="G1180" s="1"/>
      <c r="H1180" t="str">
        <f>"3700920148109"</f>
        <v>3700920148109</v>
      </c>
      <c r="J1180" t="s">
        <v>117</v>
      </c>
    </row>
    <row r="1181" spans="1:10" x14ac:dyDescent="0.25">
      <c r="A1181" t="s">
        <v>8</v>
      </c>
      <c r="B1181">
        <v>6805160</v>
      </c>
      <c r="C1181" t="s">
        <v>1572</v>
      </c>
      <c r="D1181">
        <v>1</v>
      </c>
      <c r="E1181" t="s">
        <v>10</v>
      </c>
      <c r="F1181" t="s">
        <v>11</v>
      </c>
      <c r="G1181" s="1"/>
      <c r="H1181" t="str">
        <f>"3700920148543"</f>
        <v>3700920148543</v>
      </c>
      <c r="I1181" s="1"/>
      <c r="J1181" t="s">
        <v>1000</v>
      </c>
    </row>
    <row r="1182" spans="1:10" x14ac:dyDescent="0.25">
      <c r="A1182" t="s">
        <v>8</v>
      </c>
      <c r="B1182">
        <v>6805161</v>
      </c>
      <c r="C1182" t="s">
        <v>1573</v>
      </c>
      <c r="D1182">
        <v>1</v>
      </c>
      <c r="E1182" t="s">
        <v>10</v>
      </c>
      <c r="F1182" t="s">
        <v>11</v>
      </c>
      <c r="G1182" s="1"/>
      <c r="H1182" t="str">
        <f>"3700920148512"</f>
        <v>3700920148512</v>
      </c>
      <c r="I1182" s="1"/>
      <c r="J1182" t="s">
        <v>1000</v>
      </c>
    </row>
    <row r="1183" spans="1:10" x14ac:dyDescent="0.25">
      <c r="A1183" t="s">
        <v>8</v>
      </c>
      <c r="B1183">
        <v>6805260</v>
      </c>
      <c r="C1183" t="s">
        <v>1574</v>
      </c>
      <c r="D1183">
        <v>1</v>
      </c>
      <c r="E1183" t="s">
        <v>10</v>
      </c>
      <c r="F1183" t="s">
        <v>11</v>
      </c>
      <c r="G1183" s="1"/>
      <c r="H1183" t="str">
        <f>"3700920148536"</f>
        <v>3700920148536</v>
      </c>
      <c r="J1183" t="s">
        <v>1370</v>
      </c>
    </row>
    <row r="1184" spans="1:10" x14ac:dyDescent="0.25">
      <c r="A1184" t="s">
        <v>8</v>
      </c>
      <c r="B1184">
        <v>6805261</v>
      </c>
      <c r="C1184" t="s">
        <v>1575</v>
      </c>
      <c r="D1184">
        <v>1</v>
      </c>
      <c r="E1184" t="s">
        <v>10</v>
      </c>
      <c r="F1184" t="s">
        <v>11</v>
      </c>
      <c r="G1184" s="1"/>
      <c r="H1184" t="str">
        <f>"3700920148505"</f>
        <v>3700920148505</v>
      </c>
      <c r="J1184" t="s">
        <v>1370</v>
      </c>
    </row>
    <row r="1185" spans="1:10" x14ac:dyDescent="0.25">
      <c r="A1185" t="s">
        <v>8</v>
      </c>
      <c r="B1185">
        <v>6805500</v>
      </c>
      <c r="C1185" t="s">
        <v>1576</v>
      </c>
      <c r="D1185">
        <v>1</v>
      </c>
      <c r="E1185" t="s">
        <v>10</v>
      </c>
      <c r="F1185" t="s">
        <v>11</v>
      </c>
      <c r="G1185" s="1"/>
      <c r="H1185" t="str">
        <f>"3700920115972"</f>
        <v>3700920115972</v>
      </c>
      <c r="J1185" t="s">
        <v>1577</v>
      </c>
    </row>
    <row r="1186" spans="1:10" x14ac:dyDescent="0.25">
      <c r="A1186" t="s">
        <v>8</v>
      </c>
      <c r="B1186">
        <v>6809001</v>
      </c>
      <c r="C1186" t="s">
        <v>1578</v>
      </c>
      <c r="D1186">
        <v>1</v>
      </c>
      <c r="E1186" t="s">
        <v>10</v>
      </c>
      <c r="F1186" t="s">
        <v>11</v>
      </c>
      <c r="G1186" s="1"/>
      <c r="H1186" t="str">
        <f>"3700920145252"</f>
        <v>3700920145252</v>
      </c>
      <c r="J1186" t="s">
        <v>1579</v>
      </c>
    </row>
    <row r="1187" spans="1:10" x14ac:dyDescent="0.25">
      <c r="A1187" t="s">
        <v>8</v>
      </c>
      <c r="B1187">
        <v>6809002</v>
      </c>
      <c r="C1187" t="s">
        <v>1580</v>
      </c>
      <c r="D1187">
        <v>1</v>
      </c>
      <c r="E1187" t="s">
        <v>10</v>
      </c>
      <c r="F1187" t="s">
        <v>11</v>
      </c>
      <c r="G1187" s="1"/>
      <c r="H1187" t="str">
        <f>"3700920115279"</f>
        <v>3700920115279</v>
      </c>
      <c r="J1187" t="s">
        <v>1579</v>
      </c>
    </row>
    <row r="1188" spans="1:10" x14ac:dyDescent="0.25">
      <c r="A1188" t="s">
        <v>8</v>
      </c>
      <c r="B1188">
        <v>6809003</v>
      </c>
      <c r="C1188" t="s">
        <v>1581</v>
      </c>
      <c r="D1188">
        <v>1</v>
      </c>
      <c r="E1188" t="s">
        <v>10</v>
      </c>
      <c r="F1188" t="s">
        <v>11</v>
      </c>
      <c r="G1188" s="1"/>
      <c r="H1188" t="str">
        <f>"3700920148215"</f>
        <v>3700920148215</v>
      </c>
      <c r="J1188" t="s">
        <v>370</v>
      </c>
    </row>
    <row r="1189" spans="1:10" x14ac:dyDescent="0.25">
      <c r="A1189" t="s">
        <v>8</v>
      </c>
      <c r="B1189">
        <v>6809004</v>
      </c>
      <c r="C1189" t="s">
        <v>1582</v>
      </c>
      <c r="D1189">
        <v>1</v>
      </c>
      <c r="E1189" t="s">
        <v>10</v>
      </c>
      <c r="F1189" t="s">
        <v>11</v>
      </c>
      <c r="G1189" s="1"/>
      <c r="H1189" t="str">
        <f>"3700920148208"</f>
        <v>3700920148208</v>
      </c>
      <c r="I1189" s="1"/>
      <c r="J1189" t="s">
        <v>229</v>
      </c>
    </row>
    <row r="1190" spans="1:10" x14ac:dyDescent="0.25">
      <c r="A1190" t="s">
        <v>8</v>
      </c>
      <c r="B1190">
        <v>6809005</v>
      </c>
      <c r="C1190" t="s">
        <v>1583</v>
      </c>
      <c r="D1190">
        <v>1</v>
      </c>
      <c r="E1190" t="s">
        <v>10</v>
      </c>
      <c r="F1190" t="s">
        <v>11</v>
      </c>
      <c r="G1190" s="1"/>
      <c r="H1190" t="str">
        <f>"3700920148222"</f>
        <v>3700920148222</v>
      </c>
      <c r="I1190" s="1"/>
      <c r="J1190" t="s">
        <v>26</v>
      </c>
    </row>
    <row r="1191" spans="1:10" x14ac:dyDescent="0.25">
      <c r="A1191" t="s">
        <v>8</v>
      </c>
      <c r="B1191">
        <v>6809006</v>
      </c>
      <c r="C1191" t="s">
        <v>1583</v>
      </c>
      <c r="D1191">
        <v>1</v>
      </c>
      <c r="E1191" t="s">
        <v>10</v>
      </c>
      <c r="F1191" t="s">
        <v>11</v>
      </c>
      <c r="G1191" s="1"/>
      <c r="H1191" t="str">
        <f>"3700920148239"</f>
        <v>3700920148239</v>
      </c>
      <c r="I1191" s="1"/>
      <c r="J1191" t="s">
        <v>26</v>
      </c>
    </row>
    <row r="1192" spans="1:10" x14ac:dyDescent="0.25">
      <c r="A1192" t="s">
        <v>8</v>
      </c>
      <c r="B1192">
        <v>6809007</v>
      </c>
      <c r="C1192" t="s">
        <v>1584</v>
      </c>
      <c r="D1192">
        <v>1</v>
      </c>
      <c r="E1192" t="s">
        <v>10</v>
      </c>
      <c r="F1192" t="s">
        <v>11</v>
      </c>
      <c r="G1192" s="1"/>
      <c r="H1192" t="str">
        <f>"3700920148246"</f>
        <v>3700920148246</v>
      </c>
      <c r="J1192" t="s">
        <v>101</v>
      </c>
    </row>
    <row r="1193" spans="1:10" x14ac:dyDescent="0.25">
      <c r="A1193" t="s">
        <v>8</v>
      </c>
      <c r="B1193">
        <v>6809008</v>
      </c>
      <c r="C1193" t="s">
        <v>1584</v>
      </c>
      <c r="D1193">
        <v>1</v>
      </c>
      <c r="E1193" t="s">
        <v>10</v>
      </c>
      <c r="F1193" t="s">
        <v>11</v>
      </c>
      <c r="G1193" s="1"/>
      <c r="H1193" t="str">
        <f>"3700920148253"</f>
        <v>3700920148253</v>
      </c>
      <c r="J1193" t="s">
        <v>101</v>
      </c>
    </row>
    <row r="1194" spans="1:10" x14ac:dyDescent="0.25">
      <c r="A1194" t="s">
        <v>8</v>
      </c>
      <c r="B1194">
        <v>6809010</v>
      </c>
      <c r="C1194" t="s">
        <v>1585</v>
      </c>
      <c r="D1194">
        <v>1</v>
      </c>
      <c r="E1194" t="s">
        <v>10</v>
      </c>
      <c r="F1194" t="s">
        <v>11</v>
      </c>
      <c r="G1194" s="1"/>
      <c r="H1194" t="str">
        <f>"3700920148260"</f>
        <v>3700920148260</v>
      </c>
      <c r="I1194" s="1"/>
      <c r="J1194" t="s">
        <v>1111</v>
      </c>
    </row>
    <row r="1195" spans="1:10" x14ac:dyDescent="0.25">
      <c r="A1195" t="s">
        <v>8</v>
      </c>
      <c r="B1195">
        <v>6809011</v>
      </c>
      <c r="C1195" t="s">
        <v>1585</v>
      </c>
      <c r="D1195">
        <v>1</v>
      </c>
      <c r="E1195" t="s">
        <v>10</v>
      </c>
      <c r="F1195" t="s">
        <v>11</v>
      </c>
      <c r="G1195" s="1"/>
      <c r="H1195" t="str">
        <f>"3700920148277"</f>
        <v>3700920148277</v>
      </c>
      <c r="I1195" s="1"/>
      <c r="J1195" t="s">
        <v>1111</v>
      </c>
    </row>
    <row r="1196" spans="1:10" x14ac:dyDescent="0.25">
      <c r="A1196" t="s">
        <v>8</v>
      </c>
      <c r="B1196">
        <v>6809012</v>
      </c>
      <c r="C1196" t="s">
        <v>1586</v>
      </c>
      <c r="D1196">
        <v>1</v>
      </c>
      <c r="E1196" t="s">
        <v>10</v>
      </c>
      <c r="F1196" t="s">
        <v>11</v>
      </c>
      <c r="G1196" s="1"/>
      <c r="H1196" t="str">
        <f>"3700920148499"</f>
        <v>3700920148499</v>
      </c>
      <c r="J1196" t="s">
        <v>1579</v>
      </c>
    </row>
    <row r="1197" spans="1:10" x14ac:dyDescent="0.25">
      <c r="A1197" t="s">
        <v>8</v>
      </c>
      <c r="B1197">
        <v>6809013</v>
      </c>
      <c r="C1197" t="s">
        <v>1587</v>
      </c>
      <c r="D1197">
        <v>1</v>
      </c>
      <c r="E1197" t="s">
        <v>10</v>
      </c>
      <c r="F1197" t="s">
        <v>11</v>
      </c>
      <c r="G1197" s="1"/>
      <c r="H1197" t="str">
        <f>"3700920148482"</f>
        <v>3700920148482</v>
      </c>
      <c r="J1197" t="s">
        <v>1579</v>
      </c>
    </row>
    <row r="1198" spans="1:10" x14ac:dyDescent="0.25">
      <c r="A1198" t="s">
        <v>8</v>
      </c>
      <c r="B1198">
        <v>6809900</v>
      </c>
      <c r="C1198" t="s">
        <v>1588</v>
      </c>
      <c r="D1198">
        <v>1</v>
      </c>
      <c r="E1198" t="s">
        <v>10</v>
      </c>
      <c r="F1198" t="s">
        <v>11</v>
      </c>
      <c r="G1198" s="1"/>
      <c r="H1198" t="str">
        <f>"3700920113916"</f>
        <v>3700920113916</v>
      </c>
      <c r="J1198" t="s">
        <v>1589</v>
      </c>
    </row>
    <row r="1199" spans="1:10" x14ac:dyDescent="0.25">
      <c r="A1199" t="s">
        <v>8</v>
      </c>
      <c r="B1199">
        <v>6900001</v>
      </c>
      <c r="C1199" t="s">
        <v>1590</v>
      </c>
      <c r="D1199">
        <v>1</v>
      </c>
      <c r="E1199" t="s">
        <v>10</v>
      </c>
      <c r="F1199" t="s">
        <v>11</v>
      </c>
      <c r="G1199" s="1"/>
      <c r="H1199" t="str">
        <f>"3700920108912"</f>
        <v>3700920108912</v>
      </c>
      <c r="I1199" s="1"/>
      <c r="J1199" s="1">
        <v>54</v>
      </c>
    </row>
    <row r="1200" spans="1:10" x14ac:dyDescent="0.25">
      <c r="A1200" t="s">
        <v>8</v>
      </c>
      <c r="B1200">
        <v>6900002</v>
      </c>
      <c r="C1200" t="s">
        <v>1591</v>
      </c>
      <c r="D1200">
        <v>1</v>
      </c>
      <c r="E1200" t="s">
        <v>10</v>
      </c>
      <c r="F1200" t="s">
        <v>11</v>
      </c>
      <c r="G1200" s="1"/>
      <c r="H1200" t="str">
        <f>"3700920110137"</f>
        <v>3700920110137</v>
      </c>
      <c r="J1200" s="1">
        <v>51</v>
      </c>
    </row>
    <row r="1201" spans="1:10" x14ac:dyDescent="0.25">
      <c r="A1201" t="s">
        <v>8</v>
      </c>
      <c r="B1201">
        <v>6909000</v>
      </c>
      <c r="C1201" t="s">
        <v>1592</v>
      </c>
      <c r="D1201">
        <v>1</v>
      </c>
      <c r="E1201" t="s">
        <v>10</v>
      </c>
      <c r="F1201" t="s">
        <v>11</v>
      </c>
      <c r="G1201" s="1"/>
      <c r="H1201" t="str">
        <f>"3700920109155"</f>
        <v>3700920109155</v>
      </c>
      <c r="J1201" s="1">
        <v>9</v>
      </c>
    </row>
    <row r="1202" spans="1:10" x14ac:dyDescent="0.25">
      <c r="A1202" t="s">
        <v>8</v>
      </c>
      <c r="B1202">
        <v>6910032</v>
      </c>
      <c r="C1202" t="s">
        <v>1593</v>
      </c>
      <c r="D1202">
        <v>1</v>
      </c>
      <c r="E1202" t="s">
        <v>10</v>
      </c>
      <c r="F1202" t="s">
        <v>11</v>
      </c>
      <c r="G1202" s="1"/>
      <c r="H1202" t="str">
        <f>"3700920141100"</f>
        <v>3700920141100</v>
      </c>
      <c r="J1202" t="s">
        <v>43</v>
      </c>
    </row>
    <row r="1203" spans="1:10" x14ac:dyDescent="0.25">
      <c r="A1203" t="s">
        <v>8</v>
      </c>
      <c r="B1203">
        <v>6910033</v>
      </c>
      <c r="C1203" t="s">
        <v>1594</v>
      </c>
      <c r="D1203">
        <v>1</v>
      </c>
      <c r="E1203" t="s">
        <v>10</v>
      </c>
      <c r="F1203" t="s">
        <v>11</v>
      </c>
      <c r="G1203" s="1"/>
      <c r="H1203" t="str">
        <f>"3700920141117"</f>
        <v>3700920141117</v>
      </c>
      <c r="J1203" t="s">
        <v>43</v>
      </c>
    </row>
    <row r="1204" spans="1:10" x14ac:dyDescent="0.25">
      <c r="A1204" t="s">
        <v>8</v>
      </c>
      <c r="B1204">
        <v>6910062</v>
      </c>
      <c r="C1204" t="s">
        <v>1595</v>
      </c>
      <c r="D1204">
        <v>1</v>
      </c>
      <c r="E1204" t="s">
        <v>10</v>
      </c>
      <c r="F1204" t="s">
        <v>11</v>
      </c>
      <c r="G1204" s="1"/>
      <c r="H1204" t="str">
        <f>"3700920141124"</f>
        <v>3700920141124</v>
      </c>
      <c r="J1204" t="s">
        <v>1596</v>
      </c>
    </row>
    <row r="1205" spans="1:10" x14ac:dyDescent="0.25">
      <c r="A1205" t="s">
        <v>8</v>
      </c>
      <c r="B1205">
        <v>6910063</v>
      </c>
      <c r="C1205" t="s">
        <v>1597</v>
      </c>
      <c r="D1205">
        <v>1</v>
      </c>
      <c r="E1205" t="s">
        <v>10</v>
      </c>
      <c r="F1205" t="s">
        <v>11</v>
      </c>
      <c r="G1205" s="1"/>
      <c r="H1205" t="str">
        <f>"3700920141131"</f>
        <v>3700920141131</v>
      </c>
      <c r="J1205" t="s">
        <v>1596</v>
      </c>
    </row>
    <row r="1206" spans="1:10" x14ac:dyDescent="0.25">
      <c r="A1206" t="s">
        <v>8</v>
      </c>
      <c r="B1206">
        <v>6910100</v>
      </c>
      <c r="C1206" t="s">
        <v>1598</v>
      </c>
      <c r="D1206">
        <v>1</v>
      </c>
      <c r="E1206" t="s">
        <v>10</v>
      </c>
      <c r="F1206" t="s">
        <v>11</v>
      </c>
      <c r="G1206" s="1"/>
      <c r="H1206" t="str">
        <f>"3700920141148"</f>
        <v>3700920141148</v>
      </c>
      <c r="J1206" s="1">
        <v>63</v>
      </c>
    </row>
    <row r="1207" spans="1:10" x14ac:dyDescent="0.25">
      <c r="A1207" t="s">
        <v>8</v>
      </c>
      <c r="B1207">
        <v>7001021</v>
      </c>
      <c r="C1207" t="s">
        <v>1599</v>
      </c>
      <c r="D1207">
        <v>1</v>
      </c>
      <c r="E1207" t="s">
        <v>10</v>
      </c>
      <c r="F1207" t="s">
        <v>11</v>
      </c>
      <c r="G1207" s="1"/>
      <c r="H1207" t="str">
        <f>"3700920109919"</f>
        <v>3700920109919</v>
      </c>
      <c r="J1207" s="1">
        <v>255</v>
      </c>
    </row>
    <row r="1208" spans="1:10" x14ac:dyDescent="0.25">
      <c r="A1208" t="s">
        <v>8</v>
      </c>
      <c r="B1208">
        <v>7001022</v>
      </c>
      <c r="C1208" t="s">
        <v>1600</v>
      </c>
      <c r="D1208">
        <v>1</v>
      </c>
      <c r="E1208" t="s">
        <v>10</v>
      </c>
      <c r="F1208" t="s">
        <v>11</v>
      </c>
      <c r="G1208" s="1"/>
      <c r="H1208" t="str">
        <f>"3700920109926"</f>
        <v>3700920109926</v>
      </c>
      <c r="J1208" s="1">
        <v>255</v>
      </c>
    </row>
    <row r="1209" spans="1:10" x14ac:dyDescent="0.25">
      <c r="A1209" t="s">
        <v>8</v>
      </c>
      <c r="B1209">
        <v>7001023</v>
      </c>
      <c r="C1209" t="s">
        <v>1601</v>
      </c>
      <c r="D1209">
        <v>1</v>
      </c>
      <c r="E1209" t="s">
        <v>10</v>
      </c>
      <c r="F1209" t="s">
        <v>11</v>
      </c>
      <c r="G1209" s="1"/>
      <c r="H1209" t="str">
        <f>"3700920109933"</f>
        <v>3700920109933</v>
      </c>
      <c r="I1209" s="1"/>
      <c r="J1209" s="1">
        <v>270</v>
      </c>
    </row>
    <row r="1210" spans="1:10" x14ac:dyDescent="0.25">
      <c r="A1210" t="s">
        <v>8</v>
      </c>
      <c r="B1210">
        <v>7001041</v>
      </c>
      <c r="C1210" t="s">
        <v>1602</v>
      </c>
      <c r="D1210">
        <v>1</v>
      </c>
      <c r="E1210" t="s">
        <v>10</v>
      </c>
      <c r="F1210" t="s">
        <v>11</v>
      </c>
      <c r="G1210" s="1"/>
      <c r="H1210" t="str">
        <f>"3700920109940"</f>
        <v>3700920109940</v>
      </c>
      <c r="J1210" s="1">
        <v>372</v>
      </c>
    </row>
    <row r="1211" spans="1:10" x14ac:dyDescent="0.25">
      <c r="A1211" t="s">
        <v>8</v>
      </c>
      <c r="B1211">
        <v>7001042</v>
      </c>
      <c r="C1211" t="s">
        <v>1603</v>
      </c>
      <c r="D1211">
        <v>1</v>
      </c>
      <c r="E1211" t="s">
        <v>10</v>
      </c>
      <c r="F1211" t="s">
        <v>11</v>
      </c>
      <c r="G1211" s="1"/>
      <c r="H1211" t="str">
        <f>"3700920109957"</f>
        <v>3700920109957</v>
      </c>
      <c r="J1211" s="1">
        <v>372</v>
      </c>
    </row>
    <row r="1212" spans="1:10" x14ac:dyDescent="0.25">
      <c r="A1212" t="s">
        <v>8</v>
      </c>
      <c r="B1212">
        <v>7001043</v>
      </c>
      <c r="C1212" t="s">
        <v>1604</v>
      </c>
      <c r="D1212">
        <v>1</v>
      </c>
      <c r="E1212" t="s">
        <v>10</v>
      </c>
      <c r="F1212" t="s">
        <v>11</v>
      </c>
      <c r="G1212" s="1"/>
      <c r="H1212" t="str">
        <f>"3700920109964"</f>
        <v>3700920109964</v>
      </c>
      <c r="J1212" s="1">
        <v>393</v>
      </c>
    </row>
    <row r="1213" spans="1:10" x14ac:dyDescent="0.25">
      <c r="A1213" t="s">
        <v>8</v>
      </c>
      <c r="B1213">
        <v>7001061</v>
      </c>
      <c r="C1213" t="s">
        <v>1605</v>
      </c>
      <c r="D1213">
        <v>1</v>
      </c>
      <c r="E1213" t="s">
        <v>10</v>
      </c>
      <c r="F1213" t="s">
        <v>11</v>
      </c>
      <c r="G1213" s="1"/>
      <c r="H1213" t="str">
        <f>"3700920109971"</f>
        <v>3700920109971</v>
      </c>
      <c r="J1213" s="1">
        <v>498</v>
      </c>
    </row>
    <row r="1214" spans="1:10" x14ac:dyDescent="0.25">
      <c r="A1214" t="s">
        <v>8</v>
      </c>
      <c r="B1214">
        <v>7001062</v>
      </c>
      <c r="C1214" t="s">
        <v>1606</v>
      </c>
      <c r="D1214">
        <v>1</v>
      </c>
      <c r="E1214" t="s">
        <v>10</v>
      </c>
      <c r="F1214" t="s">
        <v>11</v>
      </c>
      <c r="G1214" s="1"/>
      <c r="H1214" t="str">
        <f>"3700920109988"</f>
        <v>3700920109988</v>
      </c>
      <c r="J1214" s="1">
        <v>498</v>
      </c>
    </row>
    <row r="1215" spans="1:10" x14ac:dyDescent="0.25">
      <c r="A1215" t="s">
        <v>8</v>
      </c>
      <c r="B1215">
        <v>7001063</v>
      </c>
      <c r="C1215" t="s">
        <v>1607</v>
      </c>
      <c r="D1215">
        <v>1</v>
      </c>
      <c r="E1215" t="s">
        <v>10</v>
      </c>
      <c r="F1215" t="s">
        <v>11</v>
      </c>
      <c r="G1215" s="1"/>
      <c r="H1215" t="str">
        <f>"3700920109995"</f>
        <v>3700920109995</v>
      </c>
      <c r="J1215" s="1">
        <v>516</v>
      </c>
    </row>
    <row r="1216" spans="1:10" x14ac:dyDescent="0.25">
      <c r="A1216" t="s">
        <v>8</v>
      </c>
      <c r="B1216">
        <v>7001101</v>
      </c>
      <c r="C1216" t="s">
        <v>1608</v>
      </c>
      <c r="D1216">
        <v>1</v>
      </c>
      <c r="E1216" t="s">
        <v>10</v>
      </c>
      <c r="F1216" t="s">
        <v>11</v>
      </c>
      <c r="G1216" s="1"/>
      <c r="H1216" t="str">
        <f>"3700920110007"</f>
        <v>3700920110007</v>
      </c>
      <c r="J1216" t="s">
        <v>1609</v>
      </c>
    </row>
    <row r="1217" spans="1:10" x14ac:dyDescent="0.25">
      <c r="A1217" t="s">
        <v>8</v>
      </c>
      <c r="B1217">
        <v>7001102</v>
      </c>
      <c r="C1217" t="s">
        <v>1610</v>
      </c>
      <c r="D1217">
        <v>1</v>
      </c>
      <c r="E1217" t="s">
        <v>10</v>
      </c>
      <c r="F1217" t="s">
        <v>11</v>
      </c>
      <c r="G1217" s="1"/>
      <c r="H1217" t="str">
        <f>"3700920110014"</f>
        <v>3700920110014</v>
      </c>
      <c r="J1217" t="s">
        <v>1609</v>
      </c>
    </row>
    <row r="1218" spans="1:10" x14ac:dyDescent="0.25">
      <c r="A1218" t="s">
        <v>8</v>
      </c>
      <c r="B1218">
        <v>7001103</v>
      </c>
      <c r="C1218" t="s">
        <v>1611</v>
      </c>
      <c r="D1218">
        <v>1</v>
      </c>
      <c r="E1218" t="s">
        <v>10</v>
      </c>
      <c r="F1218" t="s">
        <v>11</v>
      </c>
      <c r="G1218" s="1"/>
      <c r="H1218" t="str">
        <f>"3700920110021"</f>
        <v>3700920110021</v>
      </c>
      <c r="J1218" s="1">
        <v>474</v>
      </c>
    </row>
    <row r="1219" spans="1:10" x14ac:dyDescent="0.25">
      <c r="A1219" t="s">
        <v>8</v>
      </c>
      <c r="B1219">
        <v>7001311</v>
      </c>
      <c r="C1219" t="s">
        <v>1612</v>
      </c>
      <c r="D1219">
        <v>1</v>
      </c>
      <c r="E1219" t="s">
        <v>10</v>
      </c>
      <c r="F1219" t="s">
        <v>11</v>
      </c>
      <c r="G1219" s="1"/>
      <c r="H1219" t="str">
        <f>"3700920113923"</f>
        <v>3700920113923</v>
      </c>
      <c r="J1219" t="s">
        <v>1372</v>
      </c>
    </row>
    <row r="1220" spans="1:10" x14ac:dyDescent="0.25">
      <c r="A1220" t="s">
        <v>8</v>
      </c>
      <c r="B1220">
        <v>7001312</v>
      </c>
      <c r="C1220" t="s">
        <v>1613</v>
      </c>
      <c r="D1220">
        <v>1</v>
      </c>
      <c r="E1220" t="s">
        <v>10</v>
      </c>
      <c r="F1220" t="s">
        <v>11</v>
      </c>
      <c r="G1220" s="1"/>
      <c r="H1220" t="str">
        <f>"3700920113930"</f>
        <v>3700920113930</v>
      </c>
      <c r="J1220" t="s">
        <v>1372</v>
      </c>
    </row>
    <row r="1221" spans="1:10" x14ac:dyDescent="0.25">
      <c r="A1221" t="s">
        <v>8</v>
      </c>
      <c r="B1221">
        <v>7001313</v>
      </c>
      <c r="C1221" t="s">
        <v>1614</v>
      </c>
      <c r="D1221">
        <v>1</v>
      </c>
      <c r="E1221" t="s">
        <v>10</v>
      </c>
      <c r="F1221" t="s">
        <v>11</v>
      </c>
      <c r="G1221" s="1"/>
      <c r="H1221" t="str">
        <f>"3700920113947"</f>
        <v>3700920113947</v>
      </c>
      <c r="J1221" t="s">
        <v>1615</v>
      </c>
    </row>
    <row r="1222" spans="1:10" x14ac:dyDescent="0.25">
      <c r="A1222" t="s">
        <v>8</v>
      </c>
      <c r="B1222">
        <v>7001321</v>
      </c>
      <c r="C1222" t="s">
        <v>1612</v>
      </c>
      <c r="D1222">
        <v>1</v>
      </c>
      <c r="E1222" t="s">
        <v>10</v>
      </c>
      <c r="F1222" t="s">
        <v>11</v>
      </c>
      <c r="G1222" s="1"/>
      <c r="H1222" t="str">
        <f>"3700920113954"</f>
        <v>3700920113954</v>
      </c>
      <c r="J1222" t="s">
        <v>1616</v>
      </c>
    </row>
    <row r="1223" spans="1:10" x14ac:dyDescent="0.25">
      <c r="A1223" t="s">
        <v>8</v>
      </c>
      <c r="B1223">
        <v>7001322</v>
      </c>
      <c r="C1223" t="s">
        <v>1613</v>
      </c>
      <c r="D1223">
        <v>1</v>
      </c>
      <c r="E1223" t="s">
        <v>10</v>
      </c>
      <c r="F1223" t="s">
        <v>11</v>
      </c>
      <c r="G1223" s="1"/>
      <c r="H1223" t="str">
        <f>"3700920113961"</f>
        <v>3700920113961</v>
      </c>
      <c r="J1223" t="s">
        <v>1616</v>
      </c>
    </row>
    <row r="1224" spans="1:10" x14ac:dyDescent="0.25">
      <c r="A1224" t="s">
        <v>8</v>
      </c>
      <c r="B1224">
        <v>7001323</v>
      </c>
      <c r="C1224" t="s">
        <v>1614</v>
      </c>
      <c r="D1224">
        <v>1</v>
      </c>
      <c r="E1224" t="s">
        <v>10</v>
      </c>
      <c r="F1224" t="s">
        <v>11</v>
      </c>
      <c r="G1224" s="1"/>
      <c r="H1224" t="str">
        <f>"3700920113978"</f>
        <v>3700920113978</v>
      </c>
      <c r="J1224" t="s">
        <v>1617</v>
      </c>
    </row>
    <row r="1225" spans="1:10" x14ac:dyDescent="0.25">
      <c r="A1225" t="s">
        <v>8</v>
      </c>
      <c r="B1225">
        <v>7001511</v>
      </c>
      <c r="C1225" t="s">
        <v>1618</v>
      </c>
      <c r="D1225">
        <v>1</v>
      </c>
      <c r="E1225" t="s">
        <v>10</v>
      </c>
      <c r="F1225" t="s">
        <v>11</v>
      </c>
      <c r="G1225" s="1"/>
      <c r="H1225" t="str">
        <f>"3700920113985"</f>
        <v>3700920113985</v>
      </c>
      <c r="J1225" s="1">
        <v>234</v>
      </c>
    </row>
    <row r="1226" spans="1:10" x14ac:dyDescent="0.25">
      <c r="A1226" t="s">
        <v>8</v>
      </c>
      <c r="B1226">
        <v>7001512</v>
      </c>
      <c r="C1226" t="s">
        <v>1619</v>
      </c>
      <c r="D1226">
        <v>1</v>
      </c>
      <c r="E1226" t="s">
        <v>10</v>
      </c>
      <c r="F1226" t="s">
        <v>11</v>
      </c>
      <c r="G1226" s="1"/>
      <c r="H1226" t="str">
        <f>"3700920113992"</f>
        <v>3700920113992</v>
      </c>
      <c r="J1226" s="1">
        <v>234</v>
      </c>
    </row>
    <row r="1227" spans="1:10" x14ac:dyDescent="0.25">
      <c r="A1227" t="s">
        <v>8</v>
      </c>
      <c r="B1227">
        <v>7001513</v>
      </c>
      <c r="C1227" t="s">
        <v>1620</v>
      </c>
      <c r="D1227">
        <v>1</v>
      </c>
      <c r="E1227" t="s">
        <v>10</v>
      </c>
      <c r="F1227" t="s">
        <v>11</v>
      </c>
      <c r="G1227" s="1"/>
      <c r="H1227" t="str">
        <f>"3700920114005"</f>
        <v>3700920114005</v>
      </c>
      <c r="J1227" t="s">
        <v>1617</v>
      </c>
    </row>
    <row r="1228" spans="1:10" x14ac:dyDescent="0.25">
      <c r="A1228" t="s">
        <v>8</v>
      </c>
      <c r="B1228">
        <v>7001521</v>
      </c>
      <c r="C1228" t="s">
        <v>1621</v>
      </c>
      <c r="D1228">
        <v>1</v>
      </c>
      <c r="E1228" t="s">
        <v>10</v>
      </c>
      <c r="F1228" t="s">
        <v>11</v>
      </c>
      <c r="G1228" s="1"/>
      <c r="H1228" t="str">
        <f>"3700920114012"</f>
        <v>3700920114012</v>
      </c>
      <c r="J1228" t="s">
        <v>1622</v>
      </c>
    </row>
    <row r="1229" spans="1:10" x14ac:dyDescent="0.25">
      <c r="A1229" t="s">
        <v>8</v>
      </c>
      <c r="B1229">
        <v>7001522</v>
      </c>
      <c r="C1229" t="s">
        <v>1623</v>
      </c>
      <c r="D1229">
        <v>1</v>
      </c>
      <c r="E1229" t="s">
        <v>10</v>
      </c>
      <c r="F1229" t="s">
        <v>11</v>
      </c>
      <c r="G1229" s="1"/>
      <c r="H1229" t="str">
        <f>"3700920114029"</f>
        <v>3700920114029</v>
      </c>
      <c r="J1229" t="s">
        <v>1622</v>
      </c>
    </row>
    <row r="1230" spans="1:10" x14ac:dyDescent="0.25">
      <c r="A1230" t="s">
        <v>8</v>
      </c>
      <c r="B1230">
        <v>7001523</v>
      </c>
      <c r="C1230" t="s">
        <v>1624</v>
      </c>
      <c r="D1230">
        <v>1</v>
      </c>
      <c r="E1230" t="s">
        <v>10</v>
      </c>
      <c r="F1230" t="s">
        <v>11</v>
      </c>
      <c r="G1230" s="1"/>
      <c r="H1230" t="str">
        <f>"3700920114036"</f>
        <v>3700920114036</v>
      </c>
      <c r="J1230" s="1">
        <v>399</v>
      </c>
    </row>
    <row r="1231" spans="1:10" x14ac:dyDescent="0.25">
      <c r="A1231" t="s">
        <v>8</v>
      </c>
      <c r="B1231">
        <v>7001940</v>
      </c>
      <c r="C1231" t="s">
        <v>1625</v>
      </c>
      <c r="D1231">
        <v>1</v>
      </c>
      <c r="E1231" t="s">
        <v>10</v>
      </c>
      <c r="F1231" t="s">
        <v>11</v>
      </c>
      <c r="G1231" s="1"/>
      <c r="H1231" t="str">
        <f>"3700920114043"</f>
        <v>3700920114043</v>
      </c>
      <c r="J1231" t="s">
        <v>214</v>
      </c>
    </row>
    <row r="1232" spans="1:10" x14ac:dyDescent="0.25">
      <c r="A1232" t="s">
        <v>8</v>
      </c>
      <c r="B1232">
        <v>7001960</v>
      </c>
      <c r="C1232" t="s">
        <v>1626</v>
      </c>
      <c r="D1232">
        <v>1</v>
      </c>
      <c r="E1232" t="s">
        <v>10</v>
      </c>
      <c r="F1232" t="s">
        <v>11</v>
      </c>
      <c r="G1232" s="1"/>
      <c r="H1232" t="str">
        <f>"3700920114050"</f>
        <v>3700920114050</v>
      </c>
      <c r="J1232" t="s">
        <v>1627</v>
      </c>
    </row>
    <row r="1233" spans="1:10" x14ac:dyDescent="0.25">
      <c r="A1233" t="s">
        <v>8</v>
      </c>
      <c r="B1233">
        <v>7105020</v>
      </c>
      <c r="C1233" t="s">
        <v>1628</v>
      </c>
      <c r="D1233">
        <v>1</v>
      </c>
      <c r="E1233" t="s">
        <v>10</v>
      </c>
      <c r="F1233" t="s">
        <v>11</v>
      </c>
      <c r="G1233" s="1"/>
      <c r="H1233" t="str">
        <f>"3700920142107"</f>
        <v>3700920142107</v>
      </c>
      <c r="J1233" s="1">
        <v>45</v>
      </c>
    </row>
    <row r="1234" spans="1:10" x14ac:dyDescent="0.25">
      <c r="A1234" t="s">
        <v>8</v>
      </c>
      <c r="B1234">
        <v>7105021</v>
      </c>
      <c r="C1234" t="s">
        <v>1629</v>
      </c>
      <c r="D1234">
        <v>1</v>
      </c>
      <c r="E1234" t="s">
        <v>10</v>
      </c>
      <c r="F1234" t="s">
        <v>11</v>
      </c>
      <c r="G1234" s="1"/>
      <c r="H1234" t="str">
        <f>"3700920142114"</f>
        <v>3700920142114</v>
      </c>
      <c r="J1234" s="1">
        <v>45</v>
      </c>
    </row>
    <row r="1235" spans="1:10" x14ac:dyDescent="0.25">
      <c r="A1235" t="s">
        <v>8</v>
      </c>
      <c r="B1235">
        <v>7105030</v>
      </c>
      <c r="C1235" t="s">
        <v>1630</v>
      </c>
      <c r="D1235">
        <v>1</v>
      </c>
      <c r="E1235" t="s">
        <v>10</v>
      </c>
      <c r="F1235" t="s">
        <v>11</v>
      </c>
      <c r="G1235" s="1"/>
      <c r="H1235" t="str">
        <f>"3700920142121"</f>
        <v>3700920142121</v>
      </c>
      <c r="J1235" s="1">
        <v>45</v>
      </c>
    </row>
    <row r="1236" spans="1:10" x14ac:dyDescent="0.25">
      <c r="A1236" t="s">
        <v>8</v>
      </c>
      <c r="B1236">
        <v>7105031</v>
      </c>
      <c r="C1236" t="s">
        <v>1631</v>
      </c>
      <c r="D1236">
        <v>1</v>
      </c>
      <c r="E1236" t="s">
        <v>10</v>
      </c>
      <c r="F1236" t="s">
        <v>11</v>
      </c>
      <c r="G1236" s="1"/>
      <c r="H1236" t="str">
        <f>"3700920142138"</f>
        <v>3700920142138</v>
      </c>
      <c r="J1236" s="1">
        <v>45</v>
      </c>
    </row>
    <row r="1237" spans="1:10" x14ac:dyDescent="0.25">
      <c r="A1237" t="s">
        <v>8</v>
      </c>
      <c r="B1237">
        <v>7106010</v>
      </c>
      <c r="C1237" t="s">
        <v>1632</v>
      </c>
      <c r="D1237">
        <v>1</v>
      </c>
      <c r="E1237" t="s">
        <v>10</v>
      </c>
      <c r="F1237" t="s">
        <v>11</v>
      </c>
      <c r="G1237" s="1"/>
      <c r="H1237" t="str">
        <f>"3700920146785"</f>
        <v>3700920146785</v>
      </c>
      <c r="J1237" s="1">
        <v>21</v>
      </c>
    </row>
    <row r="1238" spans="1:10" x14ac:dyDescent="0.25">
      <c r="A1238" t="s">
        <v>8</v>
      </c>
      <c r="B1238">
        <v>7106040</v>
      </c>
      <c r="C1238" t="s">
        <v>1633</v>
      </c>
      <c r="D1238">
        <v>1</v>
      </c>
      <c r="E1238" t="s">
        <v>10</v>
      </c>
      <c r="F1238" t="s">
        <v>11</v>
      </c>
      <c r="G1238" s="1"/>
      <c r="H1238" t="str">
        <f>"3700920146792"</f>
        <v>3700920146792</v>
      </c>
      <c r="J1238" t="s">
        <v>990</v>
      </c>
    </row>
    <row r="1239" spans="1:10" x14ac:dyDescent="0.25">
      <c r="A1239" t="s">
        <v>8</v>
      </c>
      <c r="B1239">
        <v>7106060</v>
      </c>
      <c r="C1239" t="s">
        <v>1634</v>
      </c>
      <c r="D1239">
        <v>1</v>
      </c>
      <c r="E1239" t="s">
        <v>10</v>
      </c>
      <c r="F1239" t="s">
        <v>11</v>
      </c>
      <c r="G1239" s="1"/>
      <c r="H1239" t="str">
        <f>"3700920146808"</f>
        <v>3700920146808</v>
      </c>
      <c r="J1239" t="s">
        <v>278</v>
      </c>
    </row>
    <row r="1240" spans="1:10" x14ac:dyDescent="0.25">
      <c r="A1240" t="s">
        <v>8</v>
      </c>
      <c r="B1240">
        <v>7106080</v>
      </c>
      <c r="C1240" t="s">
        <v>1635</v>
      </c>
      <c r="D1240">
        <v>1</v>
      </c>
      <c r="E1240" t="s">
        <v>10</v>
      </c>
      <c r="F1240" t="s">
        <v>11</v>
      </c>
      <c r="G1240" s="1"/>
      <c r="H1240" t="str">
        <f>"3700920146815"</f>
        <v>3700920146815</v>
      </c>
      <c r="J1240" t="s">
        <v>124</v>
      </c>
    </row>
    <row r="1241" spans="1:10" x14ac:dyDescent="0.25">
      <c r="A1241" t="s">
        <v>8</v>
      </c>
      <c r="B1241">
        <v>7107011</v>
      </c>
      <c r="C1241" t="s">
        <v>1636</v>
      </c>
      <c r="D1241">
        <v>1</v>
      </c>
      <c r="E1241" t="s">
        <v>10</v>
      </c>
      <c r="F1241" t="s">
        <v>11</v>
      </c>
      <c r="G1241" s="1"/>
      <c r="H1241" t="str">
        <f>"3700920146822"</f>
        <v>3700920146822</v>
      </c>
      <c r="J1241" t="s">
        <v>1637</v>
      </c>
    </row>
    <row r="1242" spans="1:10" x14ac:dyDescent="0.25">
      <c r="A1242" t="s">
        <v>8</v>
      </c>
      <c r="B1242">
        <v>7107012</v>
      </c>
      <c r="C1242" t="s">
        <v>1636</v>
      </c>
      <c r="D1242">
        <v>1</v>
      </c>
      <c r="E1242" t="s">
        <v>10</v>
      </c>
      <c r="F1242" t="s">
        <v>11</v>
      </c>
      <c r="G1242" s="1"/>
      <c r="H1242" t="str">
        <f>"3700920146839"</f>
        <v>3700920146839</v>
      </c>
      <c r="J1242" t="s">
        <v>1637</v>
      </c>
    </row>
    <row r="1243" spans="1:10" x14ac:dyDescent="0.25">
      <c r="A1243" t="s">
        <v>8</v>
      </c>
      <c r="B1243">
        <v>7107013</v>
      </c>
      <c r="C1243" t="s">
        <v>1636</v>
      </c>
      <c r="D1243">
        <v>1</v>
      </c>
      <c r="E1243" t="s">
        <v>10</v>
      </c>
      <c r="F1243" t="s">
        <v>11</v>
      </c>
      <c r="G1243" s="1"/>
      <c r="H1243" t="str">
        <f>"3700920146846"</f>
        <v>3700920146846</v>
      </c>
      <c r="J1243" t="s">
        <v>12</v>
      </c>
    </row>
    <row r="1244" spans="1:10" x14ac:dyDescent="0.25">
      <c r="A1244" t="s">
        <v>8</v>
      </c>
      <c r="B1244">
        <v>7107014</v>
      </c>
      <c r="C1244" t="s">
        <v>1636</v>
      </c>
      <c r="D1244">
        <v>1</v>
      </c>
      <c r="E1244" t="s">
        <v>10</v>
      </c>
      <c r="F1244" t="s">
        <v>11</v>
      </c>
      <c r="G1244" s="1"/>
      <c r="H1244" t="str">
        <f>"3700920146853"</f>
        <v>3700920146853</v>
      </c>
      <c r="J1244" t="s">
        <v>12</v>
      </c>
    </row>
    <row r="1245" spans="1:10" x14ac:dyDescent="0.25">
      <c r="A1245" t="s">
        <v>8</v>
      </c>
      <c r="B1245">
        <v>7107015</v>
      </c>
      <c r="C1245" t="s">
        <v>1636</v>
      </c>
      <c r="D1245">
        <v>1</v>
      </c>
      <c r="E1245" t="s">
        <v>10</v>
      </c>
      <c r="F1245" t="s">
        <v>11</v>
      </c>
      <c r="G1245" s="1"/>
      <c r="H1245" t="str">
        <f>"3700920146860"</f>
        <v>3700920146860</v>
      </c>
      <c r="J1245" s="1">
        <v>6</v>
      </c>
    </row>
    <row r="1246" spans="1:10" x14ac:dyDescent="0.25">
      <c r="A1246" t="s">
        <v>8</v>
      </c>
      <c r="B1246">
        <v>7107017</v>
      </c>
      <c r="C1246" t="s">
        <v>1636</v>
      </c>
      <c r="D1246">
        <v>1</v>
      </c>
      <c r="E1246" t="s">
        <v>10</v>
      </c>
      <c r="F1246" t="s">
        <v>11</v>
      </c>
      <c r="G1246" s="1"/>
      <c r="H1246" t="str">
        <f>"3700920146877"</f>
        <v>3700920146877</v>
      </c>
      <c r="J1246" s="1">
        <v>42</v>
      </c>
    </row>
    <row r="1247" spans="1:10" x14ac:dyDescent="0.25">
      <c r="A1247" t="s">
        <v>8</v>
      </c>
      <c r="B1247">
        <v>7107018</v>
      </c>
      <c r="C1247" t="s">
        <v>1636</v>
      </c>
      <c r="D1247">
        <v>1</v>
      </c>
      <c r="E1247" t="s">
        <v>10</v>
      </c>
      <c r="F1247" t="s">
        <v>11</v>
      </c>
      <c r="G1247" s="1"/>
      <c r="H1247" t="str">
        <f>"3700920146884"</f>
        <v>3700920146884</v>
      </c>
      <c r="J1247" s="1">
        <v>42</v>
      </c>
    </row>
    <row r="1248" spans="1:10" x14ac:dyDescent="0.25">
      <c r="A1248" t="s">
        <v>8</v>
      </c>
      <c r="B1248">
        <v>7107041</v>
      </c>
      <c r="C1248" t="s">
        <v>1638</v>
      </c>
      <c r="D1248">
        <v>1</v>
      </c>
      <c r="E1248" t="s">
        <v>10</v>
      </c>
      <c r="F1248" t="s">
        <v>11</v>
      </c>
      <c r="G1248" s="1"/>
      <c r="H1248" t="str">
        <f>"3700920146891"</f>
        <v>3700920146891</v>
      </c>
      <c r="I1248" s="1"/>
      <c r="J1248" t="s">
        <v>1639</v>
      </c>
    </row>
    <row r="1249" spans="1:10" x14ac:dyDescent="0.25">
      <c r="A1249" t="s">
        <v>8</v>
      </c>
      <c r="B1249">
        <v>7107042</v>
      </c>
      <c r="C1249" t="s">
        <v>1638</v>
      </c>
      <c r="D1249">
        <v>1</v>
      </c>
      <c r="E1249" t="s">
        <v>10</v>
      </c>
      <c r="F1249" t="s">
        <v>11</v>
      </c>
      <c r="G1249" s="1"/>
      <c r="H1249" t="str">
        <f>"3700920146907"</f>
        <v>3700920146907</v>
      </c>
      <c r="I1249" s="1"/>
      <c r="J1249" t="s">
        <v>1639</v>
      </c>
    </row>
    <row r="1250" spans="1:10" x14ac:dyDescent="0.25">
      <c r="A1250" t="s">
        <v>8</v>
      </c>
      <c r="B1250">
        <v>7107043</v>
      </c>
      <c r="C1250" t="s">
        <v>1638</v>
      </c>
      <c r="D1250">
        <v>1</v>
      </c>
      <c r="E1250" t="s">
        <v>10</v>
      </c>
      <c r="F1250" t="s">
        <v>11</v>
      </c>
      <c r="G1250" s="1"/>
      <c r="H1250" t="str">
        <f>"3700920146914"</f>
        <v>3700920146914</v>
      </c>
      <c r="J1250" t="s">
        <v>162</v>
      </c>
    </row>
    <row r="1251" spans="1:10" x14ac:dyDescent="0.25">
      <c r="A1251" t="s">
        <v>8</v>
      </c>
      <c r="B1251">
        <v>7107044</v>
      </c>
      <c r="C1251" t="s">
        <v>1638</v>
      </c>
      <c r="D1251">
        <v>1</v>
      </c>
      <c r="E1251" t="s">
        <v>10</v>
      </c>
      <c r="F1251" t="s">
        <v>11</v>
      </c>
      <c r="G1251" s="1"/>
      <c r="H1251" t="str">
        <f>"3700920146921"</f>
        <v>3700920146921</v>
      </c>
      <c r="J1251" t="s">
        <v>162</v>
      </c>
    </row>
    <row r="1252" spans="1:10" x14ac:dyDescent="0.25">
      <c r="A1252" t="s">
        <v>8</v>
      </c>
      <c r="B1252">
        <v>7107045</v>
      </c>
      <c r="C1252" t="s">
        <v>1638</v>
      </c>
      <c r="D1252">
        <v>1</v>
      </c>
      <c r="E1252" t="s">
        <v>10</v>
      </c>
      <c r="F1252" t="s">
        <v>11</v>
      </c>
      <c r="G1252" s="1"/>
      <c r="H1252" t="str">
        <f>"3700920146938"</f>
        <v>3700920146938</v>
      </c>
      <c r="J1252" t="s">
        <v>258</v>
      </c>
    </row>
    <row r="1253" spans="1:10" x14ac:dyDescent="0.25">
      <c r="A1253" t="s">
        <v>8</v>
      </c>
      <c r="B1253">
        <v>7107047</v>
      </c>
      <c r="C1253" t="s">
        <v>1638</v>
      </c>
      <c r="D1253">
        <v>1</v>
      </c>
      <c r="E1253" t="s">
        <v>10</v>
      </c>
      <c r="F1253" t="s">
        <v>11</v>
      </c>
      <c r="G1253" s="1"/>
      <c r="H1253" t="str">
        <f>"3700920146945"</f>
        <v>3700920146945</v>
      </c>
      <c r="J1253" t="s">
        <v>914</v>
      </c>
    </row>
    <row r="1254" spans="1:10" x14ac:dyDescent="0.25">
      <c r="A1254" t="s">
        <v>8</v>
      </c>
      <c r="B1254">
        <v>7107048</v>
      </c>
      <c r="C1254" t="s">
        <v>1638</v>
      </c>
      <c r="D1254">
        <v>1</v>
      </c>
      <c r="E1254" t="s">
        <v>10</v>
      </c>
      <c r="F1254" t="s">
        <v>11</v>
      </c>
      <c r="G1254" s="1"/>
      <c r="H1254" t="str">
        <f>"3700920146952"</f>
        <v>3700920146952</v>
      </c>
      <c r="J1254" t="s">
        <v>914</v>
      </c>
    </row>
    <row r="1255" spans="1:10" x14ac:dyDescent="0.25">
      <c r="A1255" t="s">
        <v>8</v>
      </c>
      <c r="B1255">
        <v>7107061</v>
      </c>
      <c r="C1255" t="s">
        <v>1640</v>
      </c>
      <c r="D1255">
        <v>1</v>
      </c>
      <c r="E1255" t="s">
        <v>10</v>
      </c>
      <c r="F1255" t="s">
        <v>11</v>
      </c>
      <c r="G1255" s="1"/>
      <c r="H1255" t="str">
        <f>"3700920146969"</f>
        <v>3700920146969</v>
      </c>
      <c r="J1255" s="1">
        <v>3</v>
      </c>
    </row>
    <row r="1256" spans="1:10" x14ac:dyDescent="0.25">
      <c r="A1256" t="s">
        <v>8</v>
      </c>
      <c r="B1256">
        <v>7107062</v>
      </c>
      <c r="C1256" t="s">
        <v>1640</v>
      </c>
      <c r="D1256">
        <v>1</v>
      </c>
      <c r="E1256" t="s">
        <v>10</v>
      </c>
      <c r="F1256" t="s">
        <v>11</v>
      </c>
      <c r="G1256" s="1"/>
      <c r="H1256" t="str">
        <f>"3700920146976"</f>
        <v>3700920146976</v>
      </c>
      <c r="J1256" s="1">
        <v>3</v>
      </c>
    </row>
    <row r="1257" spans="1:10" x14ac:dyDescent="0.25">
      <c r="A1257" t="s">
        <v>8</v>
      </c>
      <c r="B1257">
        <v>7107063</v>
      </c>
      <c r="C1257" t="s">
        <v>1640</v>
      </c>
      <c r="D1257">
        <v>1</v>
      </c>
      <c r="E1257" t="s">
        <v>10</v>
      </c>
      <c r="F1257" t="s">
        <v>11</v>
      </c>
      <c r="G1257" s="1"/>
      <c r="H1257" t="str">
        <f>"3700920146983"</f>
        <v>3700920146983</v>
      </c>
      <c r="J1257" s="1">
        <v>3</v>
      </c>
    </row>
    <row r="1258" spans="1:10" x14ac:dyDescent="0.25">
      <c r="A1258" t="s">
        <v>8</v>
      </c>
      <c r="B1258">
        <v>7107064</v>
      </c>
      <c r="C1258" t="s">
        <v>1640</v>
      </c>
      <c r="D1258">
        <v>1</v>
      </c>
      <c r="E1258" t="s">
        <v>10</v>
      </c>
      <c r="F1258" t="s">
        <v>11</v>
      </c>
      <c r="G1258" s="1"/>
      <c r="H1258" t="str">
        <f>"3700920146990"</f>
        <v>3700920146990</v>
      </c>
      <c r="J1258" s="1">
        <v>3</v>
      </c>
    </row>
    <row r="1259" spans="1:10" x14ac:dyDescent="0.25">
      <c r="A1259" t="s">
        <v>8</v>
      </c>
      <c r="B1259">
        <v>7107065</v>
      </c>
      <c r="C1259" t="s">
        <v>1640</v>
      </c>
      <c r="D1259">
        <v>1</v>
      </c>
      <c r="E1259" t="s">
        <v>10</v>
      </c>
      <c r="F1259" t="s">
        <v>11</v>
      </c>
      <c r="G1259" s="1"/>
      <c r="H1259" t="str">
        <f>"3700920147003"</f>
        <v>3700920147003</v>
      </c>
      <c r="J1259" s="1">
        <v>9</v>
      </c>
    </row>
    <row r="1260" spans="1:10" x14ac:dyDescent="0.25">
      <c r="A1260" t="s">
        <v>8</v>
      </c>
      <c r="B1260">
        <v>7107067</v>
      </c>
      <c r="C1260" t="s">
        <v>1640</v>
      </c>
      <c r="D1260">
        <v>1</v>
      </c>
      <c r="E1260" t="s">
        <v>10</v>
      </c>
      <c r="F1260" t="s">
        <v>11</v>
      </c>
      <c r="G1260" s="1"/>
      <c r="H1260" t="str">
        <f>"3700920147010"</f>
        <v>3700920147010</v>
      </c>
      <c r="J1260" t="s">
        <v>1641</v>
      </c>
    </row>
    <row r="1261" spans="1:10" x14ac:dyDescent="0.25">
      <c r="A1261" t="s">
        <v>8</v>
      </c>
      <c r="B1261">
        <v>7107068</v>
      </c>
      <c r="C1261" t="s">
        <v>1640</v>
      </c>
      <c r="D1261">
        <v>1</v>
      </c>
      <c r="E1261" t="s">
        <v>10</v>
      </c>
      <c r="F1261" t="s">
        <v>11</v>
      </c>
      <c r="G1261" s="1"/>
      <c r="H1261" t="str">
        <f>"3700920147027"</f>
        <v>3700920147027</v>
      </c>
      <c r="J1261" t="s">
        <v>1641</v>
      </c>
    </row>
    <row r="1262" spans="1:10" x14ac:dyDescent="0.25">
      <c r="A1262" t="s">
        <v>8</v>
      </c>
      <c r="B1262">
        <v>7107081</v>
      </c>
      <c r="C1262" t="s">
        <v>1642</v>
      </c>
      <c r="D1262">
        <v>1</v>
      </c>
      <c r="E1262" t="s">
        <v>10</v>
      </c>
      <c r="F1262" t="s">
        <v>11</v>
      </c>
      <c r="G1262" s="1"/>
      <c r="H1262" t="str">
        <f>"3700920147034"</f>
        <v>3700920147034</v>
      </c>
      <c r="J1262" t="s">
        <v>1643</v>
      </c>
    </row>
    <row r="1263" spans="1:10" x14ac:dyDescent="0.25">
      <c r="A1263" t="s">
        <v>8</v>
      </c>
      <c r="B1263">
        <v>7107082</v>
      </c>
      <c r="C1263" t="s">
        <v>1642</v>
      </c>
      <c r="D1263">
        <v>1</v>
      </c>
      <c r="E1263" t="s">
        <v>10</v>
      </c>
      <c r="F1263" t="s">
        <v>11</v>
      </c>
      <c r="G1263" s="1"/>
      <c r="H1263" t="str">
        <f>"3700920147041"</f>
        <v>3700920147041</v>
      </c>
      <c r="J1263" t="s">
        <v>1643</v>
      </c>
    </row>
    <row r="1264" spans="1:10" x14ac:dyDescent="0.25">
      <c r="A1264" t="s">
        <v>8</v>
      </c>
      <c r="B1264">
        <v>7107083</v>
      </c>
      <c r="C1264" t="s">
        <v>1642</v>
      </c>
      <c r="D1264">
        <v>1</v>
      </c>
      <c r="E1264" t="s">
        <v>10</v>
      </c>
      <c r="F1264" t="s">
        <v>11</v>
      </c>
      <c r="G1264" s="1"/>
      <c r="H1264" t="str">
        <f>"3700920147058"</f>
        <v>3700920147058</v>
      </c>
      <c r="J1264" t="s">
        <v>370</v>
      </c>
    </row>
    <row r="1265" spans="1:10" x14ac:dyDescent="0.25">
      <c r="A1265" t="s">
        <v>8</v>
      </c>
      <c r="B1265">
        <v>7107084</v>
      </c>
      <c r="C1265" t="s">
        <v>1642</v>
      </c>
      <c r="D1265">
        <v>1</v>
      </c>
      <c r="E1265" t="s">
        <v>10</v>
      </c>
      <c r="F1265" t="s">
        <v>11</v>
      </c>
      <c r="G1265" s="1"/>
      <c r="H1265" t="str">
        <f>"3700920147065"</f>
        <v>3700920147065</v>
      </c>
      <c r="J1265" t="s">
        <v>370</v>
      </c>
    </row>
    <row r="1266" spans="1:10" x14ac:dyDescent="0.25">
      <c r="A1266" t="s">
        <v>8</v>
      </c>
      <c r="B1266">
        <v>7107085</v>
      </c>
      <c r="C1266" t="s">
        <v>1642</v>
      </c>
      <c r="D1266">
        <v>1</v>
      </c>
      <c r="E1266" t="s">
        <v>10</v>
      </c>
      <c r="F1266" t="s">
        <v>11</v>
      </c>
      <c r="G1266" s="1"/>
      <c r="H1266" t="str">
        <f>"3700920147072"</f>
        <v>3700920147072</v>
      </c>
      <c r="I1266" s="1"/>
      <c r="J1266" t="s">
        <v>1644</v>
      </c>
    </row>
    <row r="1267" spans="1:10" x14ac:dyDescent="0.25">
      <c r="A1267" t="s">
        <v>8</v>
      </c>
      <c r="B1267">
        <v>7107087</v>
      </c>
      <c r="C1267" t="s">
        <v>1642</v>
      </c>
      <c r="D1267">
        <v>1</v>
      </c>
      <c r="E1267" t="s">
        <v>10</v>
      </c>
      <c r="F1267" t="s">
        <v>11</v>
      </c>
      <c r="G1267" s="1"/>
      <c r="H1267" t="str">
        <f>"3700920147089"</f>
        <v>3700920147089</v>
      </c>
      <c r="J1267" t="s">
        <v>1645</v>
      </c>
    </row>
    <row r="1268" spans="1:10" x14ac:dyDescent="0.25">
      <c r="A1268" t="s">
        <v>8</v>
      </c>
      <c r="B1268">
        <v>7107088</v>
      </c>
      <c r="C1268" t="s">
        <v>1642</v>
      </c>
      <c r="D1268">
        <v>1</v>
      </c>
      <c r="E1268" t="s">
        <v>10</v>
      </c>
      <c r="F1268" t="s">
        <v>11</v>
      </c>
      <c r="G1268" s="1"/>
      <c r="H1268" t="str">
        <f>"3700920147096"</f>
        <v>3700920147096</v>
      </c>
      <c r="J1268" t="s">
        <v>1645</v>
      </c>
    </row>
    <row r="1269" spans="1:10" x14ac:dyDescent="0.25">
      <c r="A1269" t="s">
        <v>8</v>
      </c>
      <c r="B1269">
        <v>7108010</v>
      </c>
      <c r="C1269" t="s">
        <v>1646</v>
      </c>
      <c r="D1269">
        <v>1</v>
      </c>
      <c r="E1269" t="s">
        <v>10</v>
      </c>
      <c r="F1269" t="s">
        <v>11</v>
      </c>
      <c r="G1269" s="1"/>
      <c r="H1269" t="str">
        <f>"3700920147102"</f>
        <v>3700920147102</v>
      </c>
      <c r="J1269" t="s">
        <v>1647</v>
      </c>
    </row>
    <row r="1270" spans="1:10" x14ac:dyDescent="0.25">
      <c r="A1270" t="s">
        <v>8</v>
      </c>
      <c r="B1270">
        <v>7108015</v>
      </c>
      <c r="C1270" t="s">
        <v>1648</v>
      </c>
      <c r="D1270">
        <v>1</v>
      </c>
      <c r="E1270" t="s">
        <v>10</v>
      </c>
      <c r="F1270" t="s">
        <v>11</v>
      </c>
      <c r="G1270" s="1"/>
      <c r="H1270" t="str">
        <f>"3700920147119"</f>
        <v>3700920147119</v>
      </c>
      <c r="I1270" s="1"/>
      <c r="J1270" t="s">
        <v>1649</v>
      </c>
    </row>
    <row r="1271" spans="1:10" x14ac:dyDescent="0.25">
      <c r="A1271" t="s">
        <v>8</v>
      </c>
      <c r="B1271">
        <v>7108019</v>
      </c>
      <c r="C1271" t="s">
        <v>1650</v>
      </c>
      <c r="D1271">
        <v>1</v>
      </c>
      <c r="E1271" t="s">
        <v>10</v>
      </c>
      <c r="F1271" t="s">
        <v>11</v>
      </c>
      <c r="G1271" s="1"/>
      <c r="H1271" t="str">
        <f>"3700920147164"</f>
        <v>3700920147164</v>
      </c>
      <c r="J1271" s="1">
        <v>39</v>
      </c>
    </row>
    <row r="1272" spans="1:10" x14ac:dyDescent="0.25">
      <c r="A1272" t="s">
        <v>8</v>
      </c>
      <c r="B1272">
        <v>7108040</v>
      </c>
      <c r="C1272" t="s">
        <v>1651</v>
      </c>
      <c r="D1272">
        <v>1</v>
      </c>
      <c r="E1272" t="s">
        <v>10</v>
      </c>
      <c r="F1272" t="s">
        <v>11</v>
      </c>
      <c r="G1272" s="1"/>
      <c r="H1272" t="str">
        <f>"3700920147126"</f>
        <v>3700920147126</v>
      </c>
      <c r="J1272" t="s">
        <v>1647</v>
      </c>
    </row>
    <row r="1273" spans="1:10" x14ac:dyDescent="0.25">
      <c r="A1273" t="s">
        <v>8</v>
      </c>
      <c r="B1273">
        <v>7108060</v>
      </c>
      <c r="C1273" t="s">
        <v>1652</v>
      </c>
      <c r="D1273">
        <v>1</v>
      </c>
      <c r="E1273" t="s">
        <v>10</v>
      </c>
      <c r="F1273" t="s">
        <v>11</v>
      </c>
      <c r="G1273" s="1"/>
      <c r="H1273" t="str">
        <f>"3700920147133"</f>
        <v>3700920147133</v>
      </c>
      <c r="J1273" t="s">
        <v>1647</v>
      </c>
    </row>
    <row r="1274" spans="1:10" x14ac:dyDescent="0.25">
      <c r="A1274" t="s">
        <v>8</v>
      </c>
      <c r="B1274">
        <v>7108080</v>
      </c>
      <c r="C1274" t="s">
        <v>1653</v>
      </c>
      <c r="D1274">
        <v>1</v>
      </c>
      <c r="E1274" t="s">
        <v>10</v>
      </c>
      <c r="F1274" t="s">
        <v>11</v>
      </c>
      <c r="G1274" s="1"/>
      <c r="H1274" t="str">
        <f>"3700920147140"</f>
        <v>3700920147140</v>
      </c>
      <c r="J1274" t="s">
        <v>1647</v>
      </c>
    </row>
    <row r="1275" spans="1:10" x14ac:dyDescent="0.25">
      <c r="A1275" t="s">
        <v>8</v>
      </c>
      <c r="B1275">
        <v>7108085</v>
      </c>
      <c r="C1275" t="s">
        <v>1654</v>
      </c>
      <c r="D1275">
        <v>1</v>
      </c>
      <c r="E1275" t="s">
        <v>10</v>
      </c>
      <c r="F1275" t="s">
        <v>11</v>
      </c>
      <c r="G1275" s="1"/>
      <c r="H1275" t="str">
        <f>"3700920147157"</f>
        <v>3700920147157</v>
      </c>
      <c r="I1275" s="1"/>
      <c r="J1275" t="s">
        <v>1649</v>
      </c>
    </row>
    <row r="1276" spans="1:10" x14ac:dyDescent="0.25">
      <c r="A1276" t="s">
        <v>8</v>
      </c>
      <c r="B1276">
        <v>74839916</v>
      </c>
      <c r="C1276" t="s">
        <v>1655</v>
      </c>
      <c r="D1276">
        <v>1</v>
      </c>
      <c r="E1276" t="s">
        <v>10</v>
      </c>
      <c r="F1276" t="s">
        <v>11</v>
      </c>
      <c r="G1276" s="1"/>
      <c r="H1276" t="str">
        <f>"8019163219718"</f>
        <v>8019163219718</v>
      </c>
      <c r="J1276" t="s">
        <v>1656</v>
      </c>
    </row>
    <row r="1277" spans="1:10" x14ac:dyDescent="0.25">
      <c r="A1277" t="s">
        <v>8</v>
      </c>
      <c r="B1277">
        <v>7511030</v>
      </c>
      <c r="C1277" t="s">
        <v>1657</v>
      </c>
      <c r="D1277">
        <v>1</v>
      </c>
      <c r="E1277" t="s">
        <v>10</v>
      </c>
      <c r="F1277" t="s">
        <v>11</v>
      </c>
      <c r="G1277" s="1"/>
      <c r="H1277" t="str">
        <f>"3700920111875"</f>
        <v>3700920111875</v>
      </c>
      <c r="J1277" s="1">
        <v>21</v>
      </c>
    </row>
    <row r="1278" spans="1:10" x14ac:dyDescent="0.25">
      <c r="A1278" t="s">
        <v>8</v>
      </c>
      <c r="B1278">
        <v>7511031</v>
      </c>
      <c r="C1278" t="s">
        <v>1658</v>
      </c>
      <c r="D1278">
        <v>1</v>
      </c>
      <c r="E1278" t="s">
        <v>10</v>
      </c>
      <c r="F1278" t="s">
        <v>11</v>
      </c>
      <c r="G1278" s="1"/>
      <c r="H1278" t="str">
        <f>"3700920111882"</f>
        <v>3700920111882</v>
      </c>
      <c r="J1278" s="1">
        <v>21</v>
      </c>
    </row>
    <row r="1279" spans="1:10" x14ac:dyDescent="0.25">
      <c r="A1279" t="s">
        <v>8</v>
      </c>
      <c r="B1279">
        <v>7512030</v>
      </c>
      <c r="C1279" t="s">
        <v>1659</v>
      </c>
      <c r="D1279">
        <v>1</v>
      </c>
      <c r="E1279" t="s">
        <v>10</v>
      </c>
      <c r="F1279" t="s">
        <v>11</v>
      </c>
      <c r="G1279" s="1"/>
      <c r="H1279" t="str">
        <f>"3700920111899"</f>
        <v>3700920111899</v>
      </c>
      <c r="J1279" t="s">
        <v>170</v>
      </c>
    </row>
    <row r="1280" spans="1:10" x14ac:dyDescent="0.25">
      <c r="A1280" t="s">
        <v>8</v>
      </c>
      <c r="B1280">
        <v>7512031</v>
      </c>
      <c r="C1280" t="s">
        <v>1660</v>
      </c>
      <c r="D1280">
        <v>1</v>
      </c>
      <c r="E1280" t="s">
        <v>10</v>
      </c>
      <c r="F1280" t="s">
        <v>11</v>
      </c>
      <c r="G1280" s="1"/>
      <c r="H1280" t="str">
        <f>"3700920111905"</f>
        <v>3700920111905</v>
      </c>
      <c r="J1280" t="s">
        <v>170</v>
      </c>
    </row>
    <row r="1281" spans="1:10" x14ac:dyDescent="0.25">
      <c r="A1281" t="s">
        <v>8</v>
      </c>
      <c r="B1281">
        <v>7513030</v>
      </c>
      <c r="C1281" t="s">
        <v>1661</v>
      </c>
      <c r="D1281">
        <v>1</v>
      </c>
      <c r="E1281" t="s">
        <v>10</v>
      </c>
      <c r="F1281" t="s">
        <v>11</v>
      </c>
      <c r="G1281" s="1"/>
      <c r="H1281" t="str">
        <f>"3700920111912"</f>
        <v>3700920111912</v>
      </c>
      <c r="J1281" t="s">
        <v>118</v>
      </c>
    </row>
    <row r="1282" spans="1:10" x14ac:dyDescent="0.25">
      <c r="A1282" t="s">
        <v>8</v>
      </c>
      <c r="B1282">
        <v>7513031</v>
      </c>
      <c r="C1282" t="s">
        <v>1662</v>
      </c>
      <c r="D1282">
        <v>1</v>
      </c>
      <c r="E1282" t="s">
        <v>10</v>
      </c>
      <c r="F1282" t="s">
        <v>11</v>
      </c>
      <c r="G1282" s="1"/>
      <c r="H1282" t="str">
        <f>"3700920111929"</f>
        <v>3700920111929</v>
      </c>
      <c r="J1282" t="s">
        <v>118</v>
      </c>
    </row>
    <row r="1283" spans="1:10" x14ac:dyDescent="0.25">
      <c r="A1283" t="s">
        <v>8</v>
      </c>
      <c r="B1283">
        <v>7518010</v>
      </c>
      <c r="C1283" t="s">
        <v>1663</v>
      </c>
      <c r="D1283">
        <v>1</v>
      </c>
      <c r="E1283" t="s">
        <v>10</v>
      </c>
      <c r="F1283" t="s">
        <v>11</v>
      </c>
      <c r="G1283" s="1"/>
      <c r="H1283" t="str">
        <f>"3700920111936"</f>
        <v>3700920111936</v>
      </c>
      <c r="J1283" t="s">
        <v>243</v>
      </c>
    </row>
    <row r="1284" spans="1:10" x14ac:dyDescent="0.25">
      <c r="A1284" t="s">
        <v>8</v>
      </c>
      <c r="B1284">
        <v>7518011</v>
      </c>
      <c r="C1284" t="s">
        <v>1664</v>
      </c>
      <c r="D1284">
        <v>1</v>
      </c>
      <c r="E1284" t="s">
        <v>10</v>
      </c>
      <c r="F1284" t="s">
        <v>11</v>
      </c>
      <c r="G1284" s="1"/>
      <c r="H1284" t="str">
        <f>"3700920111943"</f>
        <v>3700920111943</v>
      </c>
      <c r="J1284" t="s">
        <v>243</v>
      </c>
    </row>
    <row r="1285" spans="1:10" x14ac:dyDescent="0.25">
      <c r="A1285" t="s">
        <v>8</v>
      </c>
      <c r="B1285">
        <v>7518020</v>
      </c>
      <c r="C1285" t="s">
        <v>1665</v>
      </c>
      <c r="D1285">
        <v>1</v>
      </c>
      <c r="E1285" t="s">
        <v>10</v>
      </c>
      <c r="F1285" t="s">
        <v>11</v>
      </c>
      <c r="G1285" s="1"/>
      <c r="H1285" t="str">
        <f>"3700920111950"</f>
        <v>3700920111950</v>
      </c>
      <c r="J1285" t="s">
        <v>243</v>
      </c>
    </row>
    <row r="1286" spans="1:10" x14ac:dyDescent="0.25">
      <c r="A1286" t="s">
        <v>8</v>
      </c>
      <c r="B1286">
        <v>7518021</v>
      </c>
      <c r="C1286" t="s">
        <v>1666</v>
      </c>
      <c r="D1286">
        <v>1</v>
      </c>
      <c r="E1286" t="s">
        <v>10</v>
      </c>
      <c r="F1286" t="s">
        <v>11</v>
      </c>
      <c r="G1286" s="1"/>
      <c r="H1286" t="str">
        <f>"3700920111967"</f>
        <v>3700920111967</v>
      </c>
      <c r="J1286" t="s">
        <v>243</v>
      </c>
    </row>
    <row r="1287" spans="1:10" x14ac:dyDescent="0.25">
      <c r="A1287" t="s">
        <v>8</v>
      </c>
      <c r="B1287">
        <v>7518030</v>
      </c>
      <c r="C1287" t="s">
        <v>1667</v>
      </c>
      <c r="D1287">
        <v>1</v>
      </c>
      <c r="E1287" t="s">
        <v>10</v>
      </c>
      <c r="F1287" t="s">
        <v>11</v>
      </c>
      <c r="G1287" s="1"/>
      <c r="H1287" t="str">
        <f>"3700920111974"</f>
        <v>3700920111974</v>
      </c>
      <c r="J1287" s="1">
        <v>15</v>
      </c>
    </row>
    <row r="1288" spans="1:10" x14ac:dyDescent="0.25">
      <c r="A1288" t="s">
        <v>8</v>
      </c>
      <c r="B1288">
        <v>7518031</v>
      </c>
      <c r="C1288" t="s">
        <v>1668</v>
      </c>
      <c r="D1288">
        <v>1</v>
      </c>
      <c r="E1288" t="s">
        <v>10</v>
      </c>
      <c r="F1288" t="s">
        <v>11</v>
      </c>
      <c r="G1288" s="1"/>
      <c r="H1288" t="str">
        <f>"3700920111981"</f>
        <v>3700920111981</v>
      </c>
      <c r="J1288" s="1">
        <v>15</v>
      </c>
    </row>
    <row r="1289" spans="1:10" x14ac:dyDescent="0.25">
      <c r="A1289" t="s">
        <v>8</v>
      </c>
      <c r="B1289">
        <v>7518040</v>
      </c>
      <c r="C1289" t="s">
        <v>1669</v>
      </c>
      <c r="D1289">
        <v>1</v>
      </c>
      <c r="E1289" t="s">
        <v>10</v>
      </c>
      <c r="F1289" t="s">
        <v>11</v>
      </c>
      <c r="G1289" s="1"/>
      <c r="H1289" t="str">
        <f>"3700920111998"</f>
        <v>3700920111998</v>
      </c>
      <c r="I1289" s="1"/>
      <c r="J1289" t="s">
        <v>26</v>
      </c>
    </row>
    <row r="1290" spans="1:10" x14ac:dyDescent="0.25">
      <c r="A1290" t="s">
        <v>8</v>
      </c>
      <c r="B1290">
        <v>7518041</v>
      </c>
      <c r="C1290" t="s">
        <v>1670</v>
      </c>
      <c r="D1290">
        <v>1</v>
      </c>
      <c r="E1290" t="s">
        <v>10</v>
      </c>
      <c r="F1290" t="s">
        <v>11</v>
      </c>
      <c r="G1290" s="1"/>
      <c r="H1290" t="str">
        <f>"3700920112001"</f>
        <v>3700920112001</v>
      </c>
      <c r="I1290" s="1"/>
      <c r="J1290" t="s">
        <v>26</v>
      </c>
    </row>
    <row r="1291" spans="1:10" x14ac:dyDescent="0.25">
      <c r="A1291" t="s">
        <v>8</v>
      </c>
      <c r="B1291">
        <v>7518050</v>
      </c>
      <c r="C1291" t="s">
        <v>1671</v>
      </c>
      <c r="D1291">
        <v>1</v>
      </c>
      <c r="E1291" t="s">
        <v>10</v>
      </c>
      <c r="F1291" t="s">
        <v>11</v>
      </c>
      <c r="G1291" s="1"/>
      <c r="H1291" t="str">
        <f>"3700920112018"</f>
        <v>3700920112018</v>
      </c>
      <c r="I1291" s="1"/>
      <c r="J1291" t="s">
        <v>26</v>
      </c>
    </row>
    <row r="1292" spans="1:10" x14ac:dyDescent="0.25">
      <c r="A1292" t="s">
        <v>8</v>
      </c>
      <c r="B1292">
        <v>7518051</v>
      </c>
      <c r="C1292" t="s">
        <v>1672</v>
      </c>
      <c r="D1292">
        <v>1</v>
      </c>
      <c r="E1292" t="s">
        <v>10</v>
      </c>
      <c r="F1292" t="s">
        <v>11</v>
      </c>
      <c r="G1292" s="1"/>
      <c r="H1292" t="str">
        <f>"3700920112025"</f>
        <v>3700920112025</v>
      </c>
      <c r="I1292" s="1"/>
      <c r="J1292" t="s">
        <v>26</v>
      </c>
    </row>
    <row r="1293" spans="1:10" x14ac:dyDescent="0.25">
      <c r="A1293" t="s">
        <v>8</v>
      </c>
      <c r="B1293">
        <v>7518060</v>
      </c>
      <c r="C1293" t="s">
        <v>1673</v>
      </c>
      <c r="D1293">
        <v>1</v>
      </c>
      <c r="E1293" t="s">
        <v>10</v>
      </c>
      <c r="F1293" t="s">
        <v>11</v>
      </c>
      <c r="G1293" s="1"/>
      <c r="H1293" t="str">
        <f>"3700920112032"</f>
        <v>3700920112032</v>
      </c>
      <c r="J1293" s="1">
        <v>24</v>
      </c>
    </row>
    <row r="1294" spans="1:10" x14ac:dyDescent="0.25">
      <c r="A1294" t="s">
        <v>8</v>
      </c>
      <c r="B1294">
        <v>7518061</v>
      </c>
      <c r="C1294" t="s">
        <v>1674</v>
      </c>
      <c r="D1294">
        <v>1</v>
      </c>
      <c r="E1294" t="s">
        <v>10</v>
      </c>
      <c r="F1294" t="s">
        <v>11</v>
      </c>
      <c r="G1294" s="1"/>
      <c r="H1294" t="str">
        <f>"3700920112049"</f>
        <v>3700920112049</v>
      </c>
      <c r="J1294" s="1">
        <v>24</v>
      </c>
    </row>
    <row r="1295" spans="1:10" x14ac:dyDescent="0.25">
      <c r="A1295" t="s">
        <v>8</v>
      </c>
      <c r="B1295">
        <v>7518070</v>
      </c>
      <c r="C1295" t="s">
        <v>1675</v>
      </c>
      <c r="D1295">
        <v>1</v>
      </c>
      <c r="E1295" t="s">
        <v>10</v>
      </c>
      <c r="F1295" t="s">
        <v>11</v>
      </c>
      <c r="G1295" s="1"/>
      <c r="H1295" t="str">
        <f>"3700920112056"</f>
        <v>3700920112056</v>
      </c>
      <c r="J1295" s="1">
        <v>24</v>
      </c>
    </row>
    <row r="1296" spans="1:10" x14ac:dyDescent="0.25">
      <c r="A1296" t="s">
        <v>8</v>
      </c>
      <c r="B1296">
        <v>7518071</v>
      </c>
      <c r="C1296" t="s">
        <v>1676</v>
      </c>
      <c r="D1296">
        <v>1</v>
      </c>
      <c r="E1296" t="s">
        <v>10</v>
      </c>
      <c r="F1296" t="s">
        <v>11</v>
      </c>
      <c r="G1296" s="1"/>
      <c r="H1296" t="str">
        <f>"3700920112063"</f>
        <v>3700920112063</v>
      </c>
      <c r="J1296" s="1">
        <v>24</v>
      </c>
    </row>
    <row r="1297" spans="1:10" x14ac:dyDescent="0.25">
      <c r="A1297" t="s">
        <v>8</v>
      </c>
      <c r="B1297">
        <v>7518080</v>
      </c>
      <c r="C1297" t="s">
        <v>1677</v>
      </c>
      <c r="D1297">
        <v>1</v>
      </c>
      <c r="E1297" t="s">
        <v>10</v>
      </c>
      <c r="F1297" t="s">
        <v>11</v>
      </c>
      <c r="G1297" s="1"/>
      <c r="H1297" t="str">
        <f>"3700920112070"</f>
        <v>3700920112070</v>
      </c>
      <c r="I1297" s="1"/>
      <c r="J1297" s="1">
        <v>27</v>
      </c>
    </row>
    <row r="1298" spans="1:10" x14ac:dyDescent="0.25">
      <c r="A1298" t="s">
        <v>8</v>
      </c>
      <c r="B1298">
        <v>7518081</v>
      </c>
      <c r="C1298" t="s">
        <v>1678</v>
      </c>
      <c r="D1298">
        <v>1</v>
      </c>
      <c r="E1298" t="s">
        <v>10</v>
      </c>
      <c r="F1298" t="s">
        <v>11</v>
      </c>
      <c r="G1298" s="1"/>
      <c r="H1298" t="str">
        <f>"3700920112087"</f>
        <v>3700920112087</v>
      </c>
      <c r="I1298" s="1"/>
      <c r="J1298" s="1">
        <v>27</v>
      </c>
    </row>
    <row r="1299" spans="1:10" x14ac:dyDescent="0.25">
      <c r="A1299" t="s">
        <v>8</v>
      </c>
      <c r="B1299">
        <v>7518090</v>
      </c>
      <c r="C1299" t="s">
        <v>1679</v>
      </c>
      <c r="D1299">
        <v>1</v>
      </c>
      <c r="E1299" t="s">
        <v>10</v>
      </c>
      <c r="F1299" t="s">
        <v>11</v>
      </c>
      <c r="G1299" s="1"/>
      <c r="H1299" t="str">
        <f>"3700920112094"</f>
        <v>3700920112094</v>
      </c>
      <c r="I1299" s="1"/>
      <c r="J1299" s="1">
        <v>27</v>
      </c>
    </row>
    <row r="1300" spans="1:10" x14ac:dyDescent="0.25">
      <c r="A1300" t="s">
        <v>8</v>
      </c>
      <c r="B1300">
        <v>7518091</v>
      </c>
      <c r="C1300" t="s">
        <v>1680</v>
      </c>
      <c r="D1300">
        <v>1</v>
      </c>
      <c r="E1300" t="s">
        <v>10</v>
      </c>
      <c r="F1300" t="s">
        <v>11</v>
      </c>
      <c r="G1300" s="1"/>
      <c r="H1300" t="str">
        <f>"3700920112100"</f>
        <v>3700920112100</v>
      </c>
      <c r="I1300" s="1"/>
      <c r="J1300" s="1">
        <v>27</v>
      </c>
    </row>
    <row r="1301" spans="1:10" x14ac:dyDescent="0.25">
      <c r="A1301" t="s">
        <v>8</v>
      </c>
      <c r="B1301">
        <v>7518140</v>
      </c>
      <c r="C1301" t="s">
        <v>1681</v>
      </c>
      <c r="D1301">
        <v>1</v>
      </c>
      <c r="E1301" t="s">
        <v>10</v>
      </c>
      <c r="F1301" t="s">
        <v>11</v>
      </c>
      <c r="G1301" s="1"/>
      <c r="H1301" t="str">
        <f>"3700920142169"</f>
        <v>3700920142169</v>
      </c>
      <c r="J1301" t="s">
        <v>359</v>
      </c>
    </row>
    <row r="1302" spans="1:10" x14ac:dyDescent="0.25">
      <c r="A1302" t="s">
        <v>8</v>
      </c>
      <c r="B1302">
        <v>7518141</v>
      </c>
      <c r="C1302" t="s">
        <v>1682</v>
      </c>
      <c r="D1302">
        <v>1</v>
      </c>
      <c r="E1302" t="s">
        <v>10</v>
      </c>
      <c r="F1302" t="s">
        <v>11</v>
      </c>
      <c r="G1302" s="1"/>
      <c r="H1302" t="str">
        <f>"3700920142176"</f>
        <v>3700920142176</v>
      </c>
      <c r="J1302" t="s">
        <v>359</v>
      </c>
    </row>
    <row r="1303" spans="1:10" x14ac:dyDescent="0.25">
      <c r="A1303" t="s">
        <v>8</v>
      </c>
      <c r="B1303">
        <v>7518190</v>
      </c>
      <c r="C1303" t="s">
        <v>1683</v>
      </c>
      <c r="D1303">
        <v>1</v>
      </c>
      <c r="E1303" t="s">
        <v>10</v>
      </c>
      <c r="F1303" t="s">
        <v>11</v>
      </c>
      <c r="G1303" s="1"/>
      <c r="H1303" t="str">
        <f>"3700920112117"</f>
        <v>3700920112117</v>
      </c>
      <c r="J1303" s="1">
        <v>24</v>
      </c>
    </row>
    <row r="1304" spans="1:10" x14ac:dyDescent="0.25">
      <c r="A1304" t="s">
        <v>8</v>
      </c>
      <c r="B1304">
        <v>7518191</v>
      </c>
      <c r="C1304" t="s">
        <v>1684</v>
      </c>
      <c r="D1304">
        <v>1</v>
      </c>
      <c r="E1304" t="s">
        <v>10</v>
      </c>
      <c r="F1304" t="s">
        <v>11</v>
      </c>
      <c r="G1304" s="1"/>
      <c r="H1304" t="str">
        <f>"3700920112124"</f>
        <v>3700920112124</v>
      </c>
      <c r="J1304" s="1">
        <v>24</v>
      </c>
    </row>
    <row r="1305" spans="1:10" x14ac:dyDescent="0.25">
      <c r="A1305" t="s">
        <v>8</v>
      </c>
      <c r="B1305">
        <v>7518200</v>
      </c>
      <c r="C1305" t="s">
        <v>1685</v>
      </c>
      <c r="D1305">
        <v>1</v>
      </c>
      <c r="E1305" t="s">
        <v>10</v>
      </c>
      <c r="F1305" t="s">
        <v>11</v>
      </c>
      <c r="G1305" s="1"/>
      <c r="H1305" t="str">
        <f>"3700920112131"</f>
        <v>3700920112131</v>
      </c>
      <c r="J1305" t="s">
        <v>409</v>
      </c>
    </row>
    <row r="1306" spans="1:10" x14ac:dyDescent="0.25">
      <c r="A1306" t="s">
        <v>8</v>
      </c>
      <c r="B1306">
        <v>7518201</v>
      </c>
      <c r="C1306" t="s">
        <v>1686</v>
      </c>
      <c r="D1306">
        <v>1</v>
      </c>
      <c r="E1306" t="s">
        <v>10</v>
      </c>
      <c r="F1306" t="s">
        <v>11</v>
      </c>
      <c r="G1306" s="1"/>
      <c r="H1306" t="str">
        <f>"3700920112148"</f>
        <v>3700920112148</v>
      </c>
      <c r="J1306" t="s">
        <v>409</v>
      </c>
    </row>
    <row r="1307" spans="1:10" x14ac:dyDescent="0.25">
      <c r="A1307" t="s">
        <v>8</v>
      </c>
      <c r="B1307">
        <v>7518300</v>
      </c>
      <c r="C1307" t="s">
        <v>1687</v>
      </c>
      <c r="D1307">
        <v>1</v>
      </c>
      <c r="E1307" t="s">
        <v>10</v>
      </c>
      <c r="F1307" t="s">
        <v>11</v>
      </c>
      <c r="G1307" s="1"/>
      <c r="H1307" t="str">
        <f>"3700920112155"</f>
        <v>3700920112155</v>
      </c>
      <c r="J1307" t="s">
        <v>66</v>
      </c>
    </row>
    <row r="1308" spans="1:10" x14ac:dyDescent="0.25">
      <c r="A1308" t="s">
        <v>8</v>
      </c>
      <c r="B1308">
        <v>7518301</v>
      </c>
      <c r="C1308" t="s">
        <v>1687</v>
      </c>
      <c r="D1308">
        <v>1</v>
      </c>
      <c r="E1308" t="s">
        <v>10</v>
      </c>
      <c r="F1308" t="s">
        <v>11</v>
      </c>
      <c r="G1308" s="1"/>
      <c r="H1308" t="str">
        <f>"3700920112162"</f>
        <v>3700920112162</v>
      </c>
      <c r="J1308" t="s">
        <v>66</v>
      </c>
    </row>
    <row r="1309" spans="1:10" x14ac:dyDescent="0.25">
      <c r="A1309" t="s">
        <v>8</v>
      </c>
      <c r="B1309">
        <v>7518310</v>
      </c>
      <c r="C1309" t="s">
        <v>1687</v>
      </c>
      <c r="D1309">
        <v>1</v>
      </c>
      <c r="E1309" t="s">
        <v>10</v>
      </c>
      <c r="F1309" t="s">
        <v>11</v>
      </c>
      <c r="G1309" s="1"/>
      <c r="H1309" t="str">
        <f>"3700920112179"</f>
        <v>3700920112179</v>
      </c>
      <c r="I1309" s="1"/>
      <c r="J1309" t="s">
        <v>1644</v>
      </c>
    </row>
    <row r="1310" spans="1:10" x14ac:dyDescent="0.25">
      <c r="A1310" t="s">
        <v>8</v>
      </c>
      <c r="B1310">
        <v>7518311</v>
      </c>
      <c r="C1310" t="s">
        <v>1687</v>
      </c>
      <c r="D1310">
        <v>1</v>
      </c>
      <c r="E1310" t="s">
        <v>10</v>
      </c>
      <c r="F1310" t="s">
        <v>11</v>
      </c>
      <c r="G1310" s="1"/>
      <c r="H1310" t="str">
        <f>"3700920112186"</f>
        <v>3700920112186</v>
      </c>
      <c r="I1310" s="1"/>
      <c r="J1310" t="s">
        <v>1644</v>
      </c>
    </row>
    <row r="1311" spans="1:10" x14ac:dyDescent="0.25">
      <c r="A1311" t="s">
        <v>8</v>
      </c>
      <c r="B1311">
        <v>7518330</v>
      </c>
      <c r="C1311" t="s">
        <v>1688</v>
      </c>
      <c r="D1311">
        <v>1</v>
      </c>
      <c r="E1311" t="s">
        <v>10</v>
      </c>
      <c r="F1311" t="s">
        <v>11</v>
      </c>
      <c r="G1311" s="1"/>
      <c r="H1311" t="str">
        <f>"3700920112193"</f>
        <v>3700920112193</v>
      </c>
      <c r="J1311" s="1">
        <v>3</v>
      </c>
    </row>
    <row r="1312" spans="1:10" x14ac:dyDescent="0.25">
      <c r="A1312" t="s">
        <v>8</v>
      </c>
      <c r="B1312">
        <v>7518331</v>
      </c>
      <c r="C1312" t="s">
        <v>1689</v>
      </c>
      <c r="D1312">
        <v>1</v>
      </c>
      <c r="E1312" t="s">
        <v>10</v>
      </c>
      <c r="F1312" t="s">
        <v>11</v>
      </c>
      <c r="G1312" s="1"/>
      <c r="H1312" t="str">
        <f>"3700920112209"</f>
        <v>3700920112209</v>
      </c>
      <c r="J1312" s="1">
        <v>3</v>
      </c>
    </row>
    <row r="1313" spans="1:10" x14ac:dyDescent="0.25">
      <c r="A1313" t="s">
        <v>8</v>
      </c>
      <c r="B1313">
        <v>7518340</v>
      </c>
      <c r="C1313" t="s">
        <v>1690</v>
      </c>
      <c r="D1313">
        <v>1</v>
      </c>
      <c r="E1313" t="s">
        <v>10</v>
      </c>
      <c r="F1313" t="s">
        <v>11</v>
      </c>
      <c r="G1313" s="1"/>
      <c r="H1313" t="str">
        <f>"3700920112216"</f>
        <v>3700920112216</v>
      </c>
      <c r="I1313" s="1"/>
      <c r="J1313" t="s">
        <v>229</v>
      </c>
    </row>
    <row r="1314" spans="1:10" x14ac:dyDescent="0.25">
      <c r="A1314" t="s">
        <v>8</v>
      </c>
      <c r="B1314">
        <v>7518341</v>
      </c>
      <c r="C1314" t="s">
        <v>1691</v>
      </c>
      <c r="D1314">
        <v>1</v>
      </c>
      <c r="E1314" t="s">
        <v>10</v>
      </c>
      <c r="F1314" t="s">
        <v>11</v>
      </c>
      <c r="G1314" s="1"/>
      <c r="H1314" t="str">
        <f>"3700920112223"</f>
        <v>3700920112223</v>
      </c>
      <c r="I1314" s="1"/>
      <c r="J1314" t="s">
        <v>229</v>
      </c>
    </row>
    <row r="1315" spans="1:10" x14ac:dyDescent="0.25">
      <c r="A1315" t="s">
        <v>8</v>
      </c>
      <c r="B1315">
        <v>7518400</v>
      </c>
      <c r="C1315" t="s">
        <v>1692</v>
      </c>
      <c r="D1315">
        <v>1</v>
      </c>
      <c r="E1315" t="s">
        <v>10</v>
      </c>
      <c r="F1315" t="s">
        <v>11</v>
      </c>
      <c r="G1315" s="1"/>
      <c r="H1315" t="str">
        <f>"3700920112230"</f>
        <v>3700920112230</v>
      </c>
      <c r="J1315" t="s">
        <v>243</v>
      </c>
    </row>
    <row r="1316" spans="1:10" x14ac:dyDescent="0.25">
      <c r="A1316" t="s">
        <v>8</v>
      </c>
      <c r="B1316">
        <v>7518401</v>
      </c>
      <c r="C1316" t="s">
        <v>1693</v>
      </c>
      <c r="D1316">
        <v>1</v>
      </c>
      <c r="E1316" t="s">
        <v>10</v>
      </c>
      <c r="F1316" t="s">
        <v>11</v>
      </c>
      <c r="G1316" s="1"/>
      <c r="H1316" t="str">
        <f>"3700920112247"</f>
        <v>3700920112247</v>
      </c>
      <c r="J1316" t="s">
        <v>243</v>
      </c>
    </row>
    <row r="1317" spans="1:10" x14ac:dyDescent="0.25">
      <c r="A1317" t="s">
        <v>8</v>
      </c>
      <c r="B1317">
        <v>7518500</v>
      </c>
      <c r="C1317" t="s">
        <v>1694</v>
      </c>
      <c r="D1317">
        <v>1</v>
      </c>
      <c r="E1317" t="s">
        <v>10</v>
      </c>
      <c r="F1317" t="s">
        <v>11</v>
      </c>
      <c r="G1317" s="1"/>
      <c r="H1317" t="str">
        <f>"3700920112254"</f>
        <v>3700920112254</v>
      </c>
      <c r="J1317" t="s">
        <v>162</v>
      </c>
    </row>
    <row r="1318" spans="1:10" x14ac:dyDescent="0.25">
      <c r="A1318" t="s">
        <v>8</v>
      </c>
      <c r="B1318">
        <v>7518501</v>
      </c>
      <c r="C1318" t="s">
        <v>1695</v>
      </c>
      <c r="D1318">
        <v>1</v>
      </c>
      <c r="E1318" t="s">
        <v>10</v>
      </c>
      <c r="F1318" t="s">
        <v>11</v>
      </c>
      <c r="G1318" s="1"/>
      <c r="H1318" t="str">
        <f>"3700920112261"</f>
        <v>3700920112261</v>
      </c>
      <c r="J1318" t="s">
        <v>162</v>
      </c>
    </row>
    <row r="1319" spans="1:10" x14ac:dyDescent="0.25">
      <c r="A1319" t="s">
        <v>8</v>
      </c>
      <c r="B1319">
        <v>7518520</v>
      </c>
      <c r="C1319" t="s">
        <v>1696</v>
      </c>
      <c r="D1319">
        <v>1</v>
      </c>
      <c r="E1319" t="s">
        <v>10</v>
      </c>
      <c r="F1319" t="s">
        <v>11</v>
      </c>
      <c r="G1319" s="1"/>
      <c r="H1319" t="str">
        <f>"3700920112278"</f>
        <v>3700920112278</v>
      </c>
      <c r="J1319" t="s">
        <v>1697</v>
      </c>
    </row>
    <row r="1320" spans="1:10" x14ac:dyDescent="0.25">
      <c r="A1320" t="s">
        <v>8</v>
      </c>
      <c r="B1320">
        <v>7518521</v>
      </c>
      <c r="C1320" t="s">
        <v>1698</v>
      </c>
      <c r="D1320">
        <v>1</v>
      </c>
      <c r="E1320" t="s">
        <v>10</v>
      </c>
      <c r="F1320" t="s">
        <v>11</v>
      </c>
      <c r="G1320" s="1"/>
      <c r="H1320" t="str">
        <f>"3700920112285"</f>
        <v>3700920112285</v>
      </c>
      <c r="J1320" t="s">
        <v>1697</v>
      </c>
    </row>
    <row r="1321" spans="1:10" x14ac:dyDescent="0.25">
      <c r="A1321" t="s">
        <v>8</v>
      </c>
      <c r="B1321">
        <v>75228916</v>
      </c>
      <c r="C1321" t="s">
        <v>1699</v>
      </c>
      <c r="D1321">
        <v>1</v>
      </c>
      <c r="E1321" t="s">
        <v>10</v>
      </c>
      <c r="F1321" t="s">
        <v>11</v>
      </c>
      <c r="G1321" s="1"/>
      <c r="H1321" t="str">
        <f>"8019163620552"</f>
        <v>8019163620552</v>
      </c>
      <c r="J1321" t="s">
        <v>1700</v>
      </c>
    </row>
    <row r="1322" spans="1:10" x14ac:dyDescent="0.25">
      <c r="A1322" t="s">
        <v>8</v>
      </c>
      <c r="B1322">
        <v>75258916</v>
      </c>
      <c r="C1322" t="s">
        <v>1701</v>
      </c>
      <c r="D1322">
        <v>1</v>
      </c>
      <c r="E1322" t="s">
        <v>10</v>
      </c>
      <c r="F1322" t="s">
        <v>11</v>
      </c>
      <c r="G1322" s="1"/>
      <c r="H1322" t="str">
        <f>"3700920114067"</f>
        <v>3700920114067</v>
      </c>
      <c r="J1322" t="s">
        <v>1702</v>
      </c>
    </row>
    <row r="1323" spans="1:10" x14ac:dyDescent="0.25">
      <c r="A1323" t="s">
        <v>8</v>
      </c>
      <c r="B1323">
        <v>75368916</v>
      </c>
      <c r="C1323" t="s">
        <v>1703</v>
      </c>
      <c r="D1323">
        <v>1</v>
      </c>
      <c r="E1323" t="s">
        <v>10</v>
      </c>
      <c r="F1323" t="s">
        <v>11</v>
      </c>
      <c r="G1323" s="1"/>
      <c r="H1323" t="str">
        <f>"8019163197481"</f>
        <v>8019163197481</v>
      </c>
      <c r="J1323" t="s">
        <v>1704</v>
      </c>
    </row>
    <row r="1324" spans="1:10" x14ac:dyDescent="0.25">
      <c r="A1324" t="s">
        <v>8</v>
      </c>
      <c r="B1324">
        <v>75378916</v>
      </c>
      <c r="C1324" t="s">
        <v>1705</v>
      </c>
      <c r="D1324">
        <v>1</v>
      </c>
      <c r="E1324" t="s">
        <v>10</v>
      </c>
      <c r="F1324" t="s">
        <v>11</v>
      </c>
      <c r="G1324" s="1"/>
      <c r="H1324" t="str">
        <f>"8019163203045"</f>
        <v>8019163203045</v>
      </c>
      <c r="J1324" t="s">
        <v>1706</v>
      </c>
    </row>
    <row r="1325" spans="1:10" x14ac:dyDescent="0.25">
      <c r="A1325" t="s">
        <v>8</v>
      </c>
      <c r="B1325">
        <v>75478916</v>
      </c>
      <c r="C1325" t="s">
        <v>1707</v>
      </c>
      <c r="D1325">
        <v>1</v>
      </c>
      <c r="E1325" t="s">
        <v>10</v>
      </c>
      <c r="F1325" t="s">
        <v>11</v>
      </c>
      <c r="G1325" s="1"/>
      <c r="H1325" t="str">
        <f>"8019163235329"</f>
        <v>8019163235329</v>
      </c>
      <c r="J1325" t="s">
        <v>1708</v>
      </c>
    </row>
    <row r="1326" spans="1:10" x14ac:dyDescent="0.25">
      <c r="A1326" t="s">
        <v>8</v>
      </c>
      <c r="B1326">
        <v>75488916</v>
      </c>
      <c r="C1326" t="s">
        <v>1709</v>
      </c>
      <c r="D1326">
        <v>1</v>
      </c>
      <c r="E1326" t="s">
        <v>10</v>
      </c>
      <c r="F1326" t="s">
        <v>11</v>
      </c>
      <c r="G1326" s="1"/>
      <c r="H1326" t="str">
        <f>"3700920114074"</f>
        <v>3700920114074</v>
      </c>
      <c r="J1326" t="s">
        <v>1710</v>
      </c>
    </row>
    <row r="1327" spans="1:10" x14ac:dyDescent="0.25">
      <c r="A1327" t="s">
        <v>8</v>
      </c>
      <c r="B1327">
        <v>77006116</v>
      </c>
      <c r="C1327" t="s">
        <v>1711</v>
      </c>
      <c r="D1327">
        <v>1</v>
      </c>
      <c r="E1327" t="s">
        <v>10</v>
      </c>
      <c r="F1327" t="s">
        <v>11</v>
      </c>
      <c r="G1327" s="1"/>
      <c r="H1327" t="str">
        <f>"8019163230416"</f>
        <v>8019163230416</v>
      </c>
      <c r="J1327" t="s">
        <v>974</v>
      </c>
    </row>
    <row r="1328" spans="1:10" x14ac:dyDescent="0.25">
      <c r="A1328" t="s">
        <v>8</v>
      </c>
      <c r="B1328">
        <v>77006121</v>
      </c>
      <c r="C1328" t="s">
        <v>1712</v>
      </c>
      <c r="D1328">
        <v>1</v>
      </c>
      <c r="E1328" t="s">
        <v>10</v>
      </c>
      <c r="F1328" t="s">
        <v>11</v>
      </c>
      <c r="G1328" s="1"/>
      <c r="H1328" t="str">
        <f>"8019163230423"</f>
        <v>8019163230423</v>
      </c>
      <c r="J1328" t="s">
        <v>974</v>
      </c>
    </row>
    <row r="1329" spans="1:10" x14ac:dyDescent="0.25">
      <c r="A1329" t="s">
        <v>8</v>
      </c>
      <c r="B1329" t="s">
        <v>1713</v>
      </c>
      <c r="C1329" t="s">
        <v>1714</v>
      </c>
      <c r="D1329">
        <v>1</v>
      </c>
      <c r="E1329" t="s">
        <v>10</v>
      </c>
      <c r="F1329" t="s">
        <v>11</v>
      </c>
      <c r="G1329" s="1"/>
      <c r="H1329" t="str">
        <f>"8019163230430"</f>
        <v>8019163230430</v>
      </c>
      <c r="J1329" s="1">
        <v>123</v>
      </c>
    </row>
    <row r="1330" spans="1:10" x14ac:dyDescent="0.25">
      <c r="A1330" t="s">
        <v>8</v>
      </c>
      <c r="B1330" t="s">
        <v>1715</v>
      </c>
      <c r="C1330" t="s">
        <v>1716</v>
      </c>
      <c r="D1330">
        <v>1</v>
      </c>
      <c r="E1330" t="s">
        <v>10</v>
      </c>
      <c r="F1330" t="s">
        <v>11</v>
      </c>
      <c r="G1330" s="1"/>
      <c r="H1330" t="str">
        <f>"8019163230447"</f>
        <v>8019163230447</v>
      </c>
      <c r="J1330" s="1">
        <v>123</v>
      </c>
    </row>
    <row r="1331" spans="1:10" x14ac:dyDescent="0.25">
      <c r="A1331" t="s">
        <v>8</v>
      </c>
      <c r="B1331">
        <v>7801013</v>
      </c>
      <c r="C1331" t="s">
        <v>1717</v>
      </c>
      <c r="D1331">
        <v>1</v>
      </c>
      <c r="E1331" t="s">
        <v>10</v>
      </c>
      <c r="F1331" t="s">
        <v>11</v>
      </c>
      <c r="G1331" s="1"/>
      <c r="H1331" t="str">
        <f>"3700920112346"</f>
        <v>3700920112346</v>
      </c>
      <c r="J1331" t="s">
        <v>1718</v>
      </c>
    </row>
    <row r="1332" spans="1:10" x14ac:dyDescent="0.25">
      <c r="A1332" t="s">
        <v>8</v>
      </c>
      <c r="B1332">
        <v>7801023</v>
      </c>
      <c r="C1332" t="s">
        <v>1719</v>
      </c>
      <c r="D1332">
        <v>1</v>
      </c>
      <c r="E1332" t="s">
        <v>10</v>
      </c>
      <c r="F1332" t="s">
        <v>11</v>
      </c>
      <c r="G1332" s="1"/>
      <c r="H1332" t="str">
        <f>"3700920112353"</f>
        <v>3700920112353</v>
      </c>
      <c r="J1332" t="s">
        <v>1718</v>
      </c>
    </row>
    <row r="1333" spans="1:10" x14ac:dyDescent="0.25">
      <c r="A1333" t="s">
        <v>8</v>
      </c>
      <c r="B1333">
        <v>7801513</v>
      </c>
      <c r="C1333" t="s">
        <v>1720</v>
      </c>
      <c r="D1333">
        <v>1</v>
      </c>
      <c r="E1333" t="s">
        <v>10</v>
      </c>
      <c r="F1333" t="s">
        <v>11</v>
      </c>
      <c r="G1333" s="1"/>
      <c r="H1333" t="str">
        <f>"3700920116245"</f>
        <v>3700920116245</v>
      </c>
      <c r="J1333" t="s">
        <v>1721</v>
      </c>
    </row>
    <row r="1334" spans="1:10" x14ac:dyDescent="0.25">
      <c r="A1334" t="s">
        <v>8</v>
      </c>
      <c r="B1334">
        <v>7801523</v>
      </c>
      <c r="C1334" t="s">
        <v>1722</v>
      </c>
      <c r="D1334">
        <v>1</v>
      </c>
      <c r="E1334" t="s">
        <v>10</v>
      </c>
      <c r="F1334" t="s">
        <v>11</v>
      </c>
      <c r="G1334" s="1"/>
      <c r="H1334" t="str">
        <f>"3700920116238"</f>
        <v>3700920116238</v>
      </c>
      <c r="J1334" t="s">
        <v>1721</v>
      </c>
    </row>
    <row r="1335" spans="1:10" x14ac:dyDescent="0.25">
      <c r="A1335" t="s">
        <v>8</v>
      </c>
      <c r="B1335">
        <v>7802013</v>
      </c>
      <c r="C1335" t="s">
        <v>1723</v>
      </c>
      <c r="D1335">
        <v>1</v>
      </c>
      <c r="E1335" t="s">
        <v>10</v>
      </c>
      <c r="F1335" t="s">
        <v>11</v>
      </c>
      <c r="G1335" s="1"/>
      <c r="H1335" t="str">
        <f>"3700920112360"</f>
        <v>3700920112360</v>
      </c>
      <c r="J1335" t="s">
        <v>1724</v>
      </c>
    </row>
    <row r="1336" spans="1:10" x14ac:dyDescent="0.25">
      <c r="A1336" t="s">
        <v>8</v>
      </c>
      <c r="B1336">
        <v>7802023</v>
      </c>
      <c r="C1336" t="s">
        <v>1725</v>
      </c>
      <c r="D1336">
        <v>1</v>
      </c>
      <c r="E1336" t="s">
        <v>10</v>
      </c>
      <c r="F1336" t="s">
        <v>11</v>
      </c>
      <c r="G1336" s="1"/>
      <c r="H1336" t="str">
        <f>"3700920112377"</f>
        <v>3700920112377</v>
      </c>
      <c r="J1336" t="s">
        <v>1724</v>
      </c>
    </row>
    <row r="1337" spans="1:10" x14ac:dyDescent="0.25">
      <c r="A1337" t="s">
        <v>8</v>
      </c>
      <c r="B1337">
        <v>7804013</v>
      </c>
      <c r="C1337" t="s">
        <v>1726</v>
      </c>
      <c r="D1337">
        <v>1</v>
      </c>
      <c r="E1337" t="s">
        <v>10</v>
      </c>
      <c r="F1337" t="s">
        <v>11</v>
      </c>
      <c r="G1337" s="1"/>
      <c r="H1337" t="str">
        <f>"3700920112384"</f>
        <v>3700920112384</v>
      </c>
      <c r="I1337" s="1"/>
      <c r="J1337" t="s">
        <v>903</v>
      </c>
    </row>
    <row r="1338" spans="1:10" x14ac:dyDescent="0.25">
      <c r="A1338" t="s">
        <v>8</v>
      </c>
      <c r="B1338">
        <v>7804023</v>
      </c>
      <c r="C1338" t="s">
        <v>1727</v>
      </c>
      <c r="D1338">
        <v>1</v>
      </c>
      <c r="E1338" t="s">
        <v>10</v>
      </c>
      <c r="F1338" t="s">
        <v>11</v>
      </c>
      <c r="G1338" s="1"/>
      <c r="H1338" t="str">
        <f>"3700920112391"</f>
        <v>3700920112391</v>
      </c>
      <c r="I1338" s="1"/>
      <c r="J1338" t="s">
        <v>903</v>
      </c>
    </row>
    <row r="1339" spans="1:10" x14ac:dyDescent="0.25">
      <c r="A1339" t="s">
        <v>8</v>
      </c>
      <c r="B1339">
        <v>7806013</v>
      </c>
      <c r="C1339" t="s">
        <v>1728</v>
      </c>
      <c r="D1339">
        <v>1</v>
      </c>
      <c r="E1339" t="s">
        <v>10</v>
      </c>
      <c r="F1339" t="s">
        <v>11</v>
      </c>
      <c r="G1339" s="1"/>
      <c r="H1339" t="str">
        <f>"3700920112292"</f>
        <v>3700920112292</v>
      </c>
      <c r="I1339" s="1"/>
      <c r="J1339" s="1">
        <v>108</v>
      </c>
    </row>
    <row r="1340" spans="1:10" x14ac:dyDescent="0.25">
      <c r="A1340" t="s">
        <v>8</v>
      </c>
      <c r="B1340">
        <v>7806023</v>
      </c>
      <c r="C1340" t="s">
        <v>1729</v>
      </c>
      <c r="D1340">
        <v>1</v>
      </c>
      <c r="E1340" t="s">
        <v>10</v>
      </c>
      <c r="F1340" t="s">
        <v>11</v>
      </c>
      <c r="G1340" s="1"/>
      <c r="H1340" t="str">
        <f>"3700920112308"</f>
        <v>3700920112308</v>
      </c>
      <c r="I1340" s="1"/>
      <c r="J1340" s="1">
        <v>108</v>
      </c>
    </row>
    <row r="1341" spans="1:10" x14ac:dyDescent="0.25">
      <c r="A1341" t="s">
        <v>8</v>
      </c>
      <c r="B1341">
        <v>7808001</v>
      </c>
      <c r="C1341" t="s">
        <v>1730</v>
      </c>
      <c r="D1341">
        <v>1</v>
      </c>
      <c r="E1341" t="s">
        <v>10</v>
      </c>
      <c r="F1341" t="s">
        <v>11</v>
      </c>
      <c r="G1341" s="1"/>
      <c r="H1341" t="str">
        <f>"3700920112315"</f>
        <v>3700920112315</v>
      </c>
      <c r="J1341" t="s">
        <v>1487</v>
      </c>
    </row>
    <row r="1342" spans="1:10" x14ac:dyDescent="0.25">
      <c r="A1342" t="s">
        <v>8</v>
      </c>
      <c r="B1342">
        <v>7808002</v>
      </c>
      <c r="C1342" t="s">
        <v>1730</v>
      </c>
      <c r="D1342">
        <v>1</v>
      </c>
      <c r="E1342" t="s">
        <v>10</v>
      </c>
      <c r="F1342" t="s">
        <v>11</v>
      </c>
      <c r="G1342" s="1"/>
      <c r="H1342" t="str">
        <f>"3700920112322"</f>
        <v>3700920112322</v>
      </c>
      <c r="J1342" t="s">
        <v>1487</v>
      </c>
    </row>
    <row r="1343" spans="1:10" x14ac:dyDescent="0.25">
      <c r="A1343" t="s">
        <v>8</v>
      </c>
      <c r="B1343">
        <v>7808003</v>
      </c>
      <c r="C1343" t="s">
        <v>1730</v>
      </c>
      <c r="D1343">
        <v>1</v>
      </c>
      <c r="E1343" t="s">
        <v>10</v>
      </c>
      <c r="F1343" t="s">
        <v>11</v>
      </c>
      <c r="G1343" s="1"/>
      <c r="H1343" t="str">
        <f>"3700920112339"</f>
        <v>3700920112339</v>
      </c>
      <c r="J1343" t="s">
        <v>1487</v>
      </c>
    </row>
    <row r="1344" spans="1:10" x14ac:dyDescent="0.25">
      <c r="A1344" t="s">
        <v>8</v>
      </c>
      <c r="B1344">
        <v>7808051</v>
      </c>
      <c r="C1344" t="s">
        <v>1731</v>
      </c>
      <c r="D1344">
        <v>1</v>
      </c>
      <c r="E1344" t="s">
        <v>10</v>
      </c>
      <c r="F1344" t="s">
        <v>11</v>
      </c>
      <c r="G1344" s="1"/>
      <c r="H1344" t="str">
        <f>"3700920114715"</f>
        <v>3700920114715</v>
      </c>
      <c r="J1344" t="s">
        <v>374</v>
      </c>
    </row>
    <row r="1345" spans="1:10" x14ac:dyDescent="0.25">
      <c r="A1345" t="s">
        <v>8</v>
      </c>
      <c r="B1345">
        <v>7808052</v>
      </c>
      <c r="C1345" t="s">
        <v>1732</v>
      </c>
      <c r="D1345">
        <v>1</v>
      </c>
      <c r="E1345" t="s">
        <v>10</v>
      </c>
      <c r="F1345" t="s">
        <v>11</v>
      </c>
      <c r="G1345" s="1"/>
      <c r="H1345" t="str">
        <f>"3700920114722"</f>
        <v>3700920114722</v>
      </c>
      <c r="J1345" t="s">
        <v>374</v>
      </c>
    </row>
    <row r="1346" spans="1:10" x14ac:dyDescent="0.25">
      <c r="A1346" t="s">
        <v>8</v>
      </c>
      <c r="B1346">
        <v>7808053</v>
      </c>
      <c r="C1346" t="s">
        <v>1733</v>
      </c>
      <c r="D1346">
        <v>1</v>
      </c>
      <c r="E1346" t="s">
        <v>10</v>
      </c>
      <c r="F1346" t="s">
        <v>11</v>
      </c>
      <c r="G1346" s="1"/>
      <c r="H1346" t="str">
        <f>"3700920114739"</f>
        <v>3700920114739</v>
      </c>
      <c r="J1346" t="s">
        <v>374</v>
      </c>
    </row>
    <row r="1347" spans="1:10" x14ac:dyDescent="0.25">
      <c r="A1347" t="s">
        <v>8</v>
      </c>
      <c r="B1347">
        <v>7810250</v>
      </c>
      <c r="C1347" t="s">
        <v>1734</v>
      </c>
      <c r="D1347">
        <v>1</v>
      </c>
      <c r="E1347" t="s">
        <v>10</v>
      </c>
      <c r="F1347" t="s">
        <v>11</v>
      </c>
      <c r="G1347" s="1"/>
      <c r="H1347" t="str">
        <f>"3700920140424"</f>
        <v>3700920140424</v>
      </c>
      <c r="J1347" s="1">
        <v>21</v>
      </c>
    </row>
    <row r="1348" spans="1:10" x14ac:dyDescent="0.25">
      <c r="A1348" t="s">
        <v>8</v>
      </c>
      <c r="B1348">
        <v>7810251</v>
      </c>
      <c r="C1348" t="s">
        <v>1735</v>
      </c>
      <c r="D1348">
        <v>1</v>
      </c>
      <c r="E1348" t="s">
        <v>10</v>
      </c>
      <c r="F1348" t="s">
        <v>11</v>
      </c>
      <c r="G1348" s="1"/>
      <c r="H1348" t="str">
        <f>"3700920140431"</f>
        <v>3700920140431</v>
      </c>
      <c r="J1348" s="1">
        <v>21</v>
      </c>
    </row>
    <row r="1349" spans="1:10" x14ac:dyDescent="0.25">
      <c r="A1349" t="s">
        <v>8</v>
      </c>
      <c r="B1349">
        <v>7810500</v>
      </c>
      <c r="C1349" t="s">
        <v>1736</v>
      </c>
      <c r="D1349">
        <v>1</v>
      </c>
      <c r="E1349" t="s">
        <v>10</v>
      </c>
      <c r="F1349" t="s">
        <v>11</v>
      </c>
      <c r="G1349" s="1"/>
      <c r="H1349" t="str">
        <f>"3700920140448"</f>
        <v>3700920140448</v>
      </c>
      <c r="J1349" s="1">
        <v>39</v>
      </c>
    </row>
    <row r="1350" spans="1:10" x14ac:dyDescent="0.25">
      <c r="A1350" t="s">
        <v>8</v>
      </c>
      <c r="B1350">
        <v>7810501</v>
      </c>
      <c r="C1350" t="s">
        <v>1737</v>
      </c>
      <c r="D1350">
        <v>1</v>
      </c>
      <c r="E1350" t="s">
        <v>10</v>
      </c>
      <c r="F1350" t="s">
        <v>11</v>
      </c>
      <c r="G1350" s="1"/>
      <c r="H1350" t="str">
        <f>"3700920140455"</f>
        <v>3700920140455</v>
      </c>
      <c r="J1350" s="1">
        <v>39</v>
      </c>
    </row>
    <row r="1351" spans="1:10" x14ac:dyDescent="0.25">
      <c r="A1351" t="s">
        <v>8</v>
      </c>
      <c r="B1351">
        <v>7810750</v>
      </c>
      <c r="C1351" t="s">
        <v>1738</v>
      </c>
      <c r="D1351">
        <v>1</v>
      </c>
      <c r="E1351" t="s">
        <v>10</v>
      </c>
      <c r="F1351" t="s">
        <v>11</v>
      </c>
      <c r="G1351" s="1"/>
      <c r="H1351" t="str">
        <f>"3700920140462"</f>
        <v>3700920140462</v>
      </c>
      <c r="J1351" t="s">
        <v>1739</v>
      </c>
    </row>
    <row r="1352" spans="1:10" x14ac:dyDescent="0.25">
      <c r="A1352" t="s">
        <v>8</v>
      </c>
      <c r="B1352">
        <v>7810751</v>
      </c>
      <c r="C1352" t="s">
        <v>1740</v>
      </c>
      <c r="D1352">
        <v>1</v>
      </c>
      <c r="E1352" t="s">
        <v>10</v>
      </c>
      <c r="F1352" t="s">
        <v>11</v>
      </c>
      <c r="G1352" s="1"/>
      <c r="H1352" t="str">
        <f>"3700920140479"</f>
        <v>3700920140479</v>
      </c>
      <c r="J1352" t="s">
        <v>1739</v>
      </c>
    </row>
    <row r="1353" spans="1:10" x14ac:dyDescent="0.25">
      <c r="A1353" t="s">
        <v>8</v>
      </c>
      <c r="B1353">
        <v>7811000</v>
      </c>
      <c r="C1353" t="s">
        <v>1741</v>
      </c>
      <c r="D1353">
        <v>1</v>
      </c>
      <c r="E1353" t="s">
        <v>10</v>
      </c>
      <c r="F1353" t="s">
        <v>11</v>
      </c>
      <c r="G1353" s="1"/>
      <c r="H1353" t="str">
        <f>"3700920140486"</f>
        <v>3700920140486</v>
      </c>
      <c r="J1353" s="1">
        <v>72</v>
      </c>
    </row>
    <row r="1354" spans="1:10" x14ac:dyDescent="0.25">
      <c r="A1354" t="s">
        <v>8</v>
      </c>
      <c r="B1354">
        <v>7811001</v>
      </c>
      <c r="C1354" t="s">
        <v>1742</v>
      </c>
      <c r="D1354">
        <v>1</v>
      </c>
      <c r="E1354" t="s">
        <v>10</v>
      </c>
      <c r="F1354" t="s">
        <v>11</v>
      </c>
      <c r="G1354" s="1"/>
      <c r="H1354" t="str">
        <f>"3700920140493"</f>
        <v>3700920140493</v>
      </c>
      <c r="J1354" s="1">
        <v>72</v>
      </c>
    </row>
    <row r="1355" spans="1:10" x14ac:dyDescent="0.25">
      <c r="A1355" t="s">
        <v>8</v>
      </c>
      <c r="B1355">
        <v>7811500</v>
      </c>
      <c r="C1355" t="s">
        <v>1743</v>
      </c>
      <c r="D1355">
        <v>1</v>
      </c>
      <c r="E1355" t="s">
        <v>10</v>
      </c>
      <c r="F1355" t="s">
        <v>11</v>
      </c>
      <c r="G1355" s="1"/>
      <c r="H1355" t="str">
        <f>"3700920140585"</f>
        <v>3700920140585</v>
      </c>
      <c r="J1355" t="s">
        <v>1559</v>
      </c>
    </row>
    <row r="1356" spans="1:10" x14ac:dyDescent="0.25">
      <c r="A1356" t="s">
        <v>8</v>
      </c>
      <c r="B1356">
        <v>7811501</v>
      </c>
      <c r="C1356" t="s">
        <v>1744</v>
      </c>
      <c r="D1356">
        <v>1</v>
      </c>
      <c r="E1356" t="s">
        <v>10</v>
      </c>
      <c r="F1356" t="s">
        <v>11</v>
      </c>
      <c r="G1356" s="1"/>
      <c r="H1356" t="str">
        <f>"3700920140592"</f>
        <v>3700920140592</v>
      </c>
      <c r="J1356" t="s">
        <v>1559</v>
      </c>
    </row>
    <row r="1357" spans="1:10" x14ac:dyDescent="0.25">
      <c r="A1357" t="s">
        <v>8</v>
      </c>
      <c r="B1357">
        <v>7815000</v>
      </c>
      <c r="C1357" t="s">
        <v>1745</v>
      </c>
      <c r="D1357">
        <v>1</v>
      </c>
      <c r="E1357" t="s">
        <v>10</v>
      </c>
      <c r="F1357" t="s">
        <v>11</v>
      </c>
      <c r="G1357" s="1"/>
      <c r="H1357" t="str">
        <f>"3700920140523"</f>
        <v>3700920140523</v>
      </c>
      <c r="J1357" t="s">
        <v>246</v>
      </c>
    </row>
    <row r="1358" spans="1:10" x14ac:dyDescent="0.25">
      <c r="A1358" t="s">
        <v>8</v>
      </c>
      <c r="B1358">
        <v>7815001</v>
      </c>
      <c r="C1358" t="s">
        <v>1746</v>
      </c>
      <c r="D1358">
        <v>1</v>
      </c>
      <c r="E1358" t="s">
        <v>10</v>
      </c>
      <c r="F1358" t="s">
        <v>11</v>
      </c>
      <c r="G1358" s="1"/>
      <c r="H1358" t="str">
        <f>"3700920140530"</f>
        <v>3700920140530</v>
      </c>
      <c r="J1358" t="s">
        <v>246</v>
      </c>
    </row>
    <row r="1359" spans="1:10" x14ac:dyDescent="0.25">
      <c r="A1359" t="s">
        <v>8</v>
      </c>
      <c r="B1359">
        <v>7815010</v>
      </c>
      <c r="C1359" t="s">
        <v>1747</v>
      </c>
      <c r="D1359">
        <v>1</v>
      </c>
      <c r="E1359" t="s">
        <v>10</v>
      </c>
      <c r="F1359" t="s">
        <v>11</v>
      </c>
      <c r="G1359" s="1"/>
      <c r="H1359" t="str">
        <f>"3700920140547"</f>
        <v>3700920140547</v>
      </c>
      <c r="J1359" t="s">
        <v>246</v>
      </c>
    </row>
    <row r="1360" spans="1:10" x14ac:dyDescent="0.25">
      <c r="A1360" t="s">
        <v>8</v>
      </c>
      <c r="B1360">
        <v>7815011</v>
      </c>
      <c r="C1360" t="s">
        <v>1748</v>
      </c>
      <c r="D1360">
        <v>1</v>
      </c>
      <c r="E1360" t="s">
        <v>10</v>
      </c>
      <c r="F1360" t="s">
        <v>11</v>
      </c>
      <c r="G1360" s="1"/>
      <c r="H1360" t="str">
        <f>"3700920140554"</f>
        <v>3700920140554</v>
      </c>
      <c r="J1360" t="s">
        <v>246</v>
      </c>
    </row>
    <row r="1361" spans="1:10" x14ac:dyDescent="0.25">
      <c r="A1361" t="s">
        <v>8</v>
      </c>
      <c r="B1361">
        <v>7815030</v>
      </c>
      <c r="C1361" t="s">
        <v>1749</v>
      </c>
      <c r="D1361">
        <v>1</v>
      </c>
      <c r="E1361" t="s">
        <v>10</v>
      </c>
      <c r="F1361" t="s">
        <v>11</v>
      </c>
      <c r="G1361" s="1"/>
      <c r="H1361" t="str">
        <f>"3700920140561"</f>
        <v>3700920140561</v>
      </c>
      <c r="J1361" t="s">
        <v>355</v>
      </c>
    </row>
    <row r="1362" spans="1:10" x14ac:dyDescent="0.25">
      <c r="A1362" t="s">
        <v>8</v>
      </c>
      <c r="B1362">
        <v>7815031</v>
      </c>
      <c r="C1362" t="s">
        <v>1750</v>
      </c>
      <c r="D1362">
        <v>1</v>
      </c>
      <c r="E1362" t="s">
        <v>10</v>
      </c>
      <c r="F1362" t="s">
        <v>11</v>
      </c>
      <c r="G1362" s="1"/>
      <c r="H1362" t="str">
        <f>"3700920148574"</f>
        <v>3700920148574</v>
      </c>
      <c r="J1362" t="s">
        <v>355</v>
      </c>
    </row>
    <row r="1363" spans="1:10" x14ac:dyDescent="0.25">
      <c r="A1363" t="s">
        <v>8</v>
      </c>
      <c r="B1363">
        <v>7818000</v>
      </c>
      <c r="C1363" t="s">
        <v>1751</v>
      </c>
      <c r="D1363">
        <v>1</v>
      </c>
      <c r="E1363" t="s">
        <v>10</v>
      </c>
      <c r="F1363" t="s">
        <v>11</v>
      </c>
      <c r="G1363" s="1"/>
      <c r="H1363" t="str">
        <f>"DEMOSTBL"</f>
        <v>DEMOSTBL</v>
      </c>
      <c r="J1363" s="1">
        <v>66</v>
      </c>
    </row>
    <row r="1364" spans="1:10" x14ac:dyDescent="0.25">
      <c r="A1364" t="s">
        <v>8</v>
      </c>
      <c r="B1364">
        <v>7818001</v>
      </c>
      <c r="C1364" t="s">
        <v>1751</v>
      </c>
      <c r="D1364">
        <v>1</v>
      </c>
      <c r="E1364" t="s">
        <v>10</v>
      </c>
      <c r="F1364" t="s">
        <v>11</v>
      </c>
      <c r="G1364" s="1"/>
      <c r="H1364" t="str">
        <f>"DEMOSTNL"</f>
        <v>DEMOSTNL</v>
      </c>
      <c r="J1364" s="1">
        <v>66</v>
      </c>
    </row>
    <row r="1365" spans="1:10" x14ac:dyDescent="0.25">
      <c r="A1365" t="s">
        <v>8</v>
      </c>
      <c r="B1365">
        <v>8040600</v>
      </c>
      <c r="C1365" t="s">
        <v>1752</v>
      </c>
      <c r="D1365">
        <v>1</v>
      </c>
      <c r="E1365" t="s">
        <v>10</v>
      </c>
      <c r="F1365" t="s">
        <v>11</v>
      </c>
      <c r="G1365" s="1"/>
      <c r="H1365" t="str">
        <f>"3700920104693"</f>
        <v>3700920104693</v>
      </c>
      <c r="J1365" s="1">
        <v>117</v>
      </c>
    </row>
    <row r="1366" spans="1:10" x14ac:dyDescent="0.25">
      <c r="A1366" t="s">
        <v>8</v>
      </c>
      <c r="B1366">
        <v>8040611</v>
      </c>
      <c r="C1366" t="s">
        <v>1753</v>
      </c>
      <c r="D1366">
        <v>1</v>
      </c>
      <c r="E1366" t="s">
        <v>10</v>
      </c>
      <c r="F1366" t="s">
        <v>11</v>
      </c>
      <c r="G1366" s="1"/>
      <c r="H1366" t="str">
        <f>"3700920104709"</f>
        <v>3700920104709</v>
      </c>
      <c r="J1366" s="1">
        <v>117</v>
      </c>
    </row>
    <row r="1367" spans="1:10" x14ac:dyDescent="0.25">
      <c r="A1367" t="s">
        <v>8</v>
      </c>
      <c r="B1367">
        <v>8040620</v>
      </c>
      <c r="C1367" t="s">
        <v>1754</v>
      </c>
      <c r="D1367">
        <v>1</v>
      </c>
      <c r="E1367" t="s">
        <v>10</v>
      </c>
      <c r="F1367" t="s">
        <v>11</v>
      </c>
      <c r="G1367" s="1"/>
      <c r="H1367" t="str">
        <f>"3700920104884"</f>
        <v>3700920104884</v>
      </c>
      <c r="J1367" s="1">
        <v>117</v>
      </c>
    </row>
    <row r="1368" spans="1:10" x14ac:dyDescent="0.25">
      <c r="A1368" t="s">
        <v>8</v>
      </c>
      <c r="B1368">
        <v>8040631</v>
      </c>
      <c r="C1368" t="s">
        <v>1755</v>
      </c>
      <c r="D1368">
        <v>1</v>
      </c>
      <c r="E1368" t="s">
        <v>10</v>
      </c>
      <c r="F1368" t="s">
        <v>11</v>
      </c>
      <c r="G1368" s="1"/>
      <c r="H1368" t="str">
        <f>"3700920104891"</f>
        <v>3700920104891</v>
      </c>
      <c r="J1368" s="1">
        <v>117</v>
      </c>
    </row>
    <row r="1369" spans="1:10" x14ac:dyDescent="0.25">
      <c r="A1369" t="s">
        <v>8</v>
      </c>
      <c r="B1369">
        <v>8041000</v>
      </c>
      <c r="C1369" t="s">
        <v>1756</v>
      </c>
      <c r="D1369">
        <v>1</v>
      </c>
      <c r="E1369" t="s">
        <v>10</v>
      </c>
      <c r="F1369" t="s">
        <v>11</v>
      </c>
      <c r="G1369" s="1"/>
      <c r="H1369" t="str">
        <f>"3700920104716"</f>
        <v>3700920104716</v>
      </c>
      <c r="J1369" s="1">
        <v>147</v>
      </c>
    </row>
    <row r="1370" spans="1:10" x14ac:dyDescent="0.25">
      <c r="A1370" t="s">
        <v>8</v>
      </c>
      <c r="B1370">
        <v>8041011</v>
      </c>
      <c r="C1370" t="s">
        <v>1757</v>
      </c>
      <c r="D1370">
        <v>1</v>
      </c>
      <c r="E1370" t="s">
        <v>10</v>
      </c>
      <c r="F1370" t="s">
        <v>11</v>
      </c>
      <c r="G1370" s="1"/>
      <c r="H1370" t="str">
        <f>"3700920104723"</f>
        <v>3700920104723</v>
      </c>
      <c r="J1370" s="1">
        <v>147</v>
      </c>
    </row>
    <row r="1371" spans="1:10" x14ac:dyDescent="0.25">
      <c r="A1371" t="s">
        <v>8</v>
      </c>
      <c r="B1371">
        <v>8041020</v>
      </c>
      <c r="C1371" t="s">
        <v>1758</v>
      </c>
      <c r="D1371">
        <v>1</v>
      </c>
      <c r="E1371" t="s">
        <v>10</v>
      </c>
      <c r="F1371" t="s">
        <v>11</v>
      </c>
      <c r="G1371" s="1"/>
      <c r="H1371" t="str">
        <f>"3700920104907"</f>
        <v>3700920104907</v>
      </c>
      <c r="J1371" s="1">
        <v>147</v>
      </c>
    </row>
    <row r="1372" spans="1:10" x14ac:dyDescent="0.25">
      <c r="A1372" t="s">
        <v>8</v>
      </c>
      <c r="B1372">
        <v>8041031</v>
      </c>
      <c r="C1372" t="s">
        <v>1759</v>
      </c>
      <c r="D1372">
        <v>1</v>
      </c>
      <c r="E1372" t="s">
        <v>10</v>
      </c>
      <c r="F1372" t="s">
        <v>11</v>
      </c>
      <c r="G1372" s="1"/>
      <c r="H1372" t="str">
        <f>"3700920104914"</f>
        <v>3700920104914</v>
      </c>
      <c r="J1372" s="1">
        <v>147</v>
      </c>
    </row>
    <row r="1373" spans="1:10" x14ac:dyDescent="0.25">
      <c r="A1373" t="s">
        <v>8</v>
      </c>
      <c r="B1373">
        <v>9101092</v>
      </c>
      <c r="C1373" t="s">
        <v>1760</v>
      </c>
      <c r="D1373">
        <v>1</v>
      </c>
      <c r="E1373" t="s">
        <v>10</v>
      </c>
      <c r="F1373" t="s">
        <v>11</v>
      </c>
      <c r="G1373" s="1"/>
      <c r="H1373" t="str">
        <f>"3700920146686"</f>
        <v>3700920146686</v>
      </c>
      <c r="J1373" t="s">
        <v>128</v>
      </c>
    </row>
    <row r="1374" spans="1:10" x14ac:dyDescent="0.25">
      <c r="A1374" t="s">
        <v>8</v>
      </c>
      <c r="B1374" t="s">
        <v>1761</v>
      </c>
      <c r="C1374" t="s">
        <v>1762</v>
      </c>
      <c r="D1374">
        <v>1</v>
      </c>
      <c r="E1374" t="s">
        <v>10</v>
      </c>
      <c r="F1374" t="s">
        <v>11</v>
      </c>
      <c r="G1374" s="1"/>
      <c r="H1374" t="str">
        <f>"8019163253064"</f>
        <v>8019163253064</v>
      </c>
      <c r="I1374" s="1"/>
      <c r="J1374" t="s">
        <v>1763</v>
      </c>
    </row>
    <row r="1375" spans="1:10" x14ac:dyDescent="0.25">
      <c r="A1375" t="s">
        <v>8</v>
      </c>
      <c r="B1375" t="s">
        <v>1764</v>
      </c>
      <c r="C1375" t="s">
        <v>1765</v>
      </c>
      <c r="D1375">
        <v>1</v>
      </c>
      <c r="E1375" t="s">
        <v>10</v>
      </c>
      <c r="F1375" t="s">
        <v>11</v>
      </c>
      <c r="G1375" s="1"/>
      <c r="H1375" t="str">
        <f>""</f>
        <v/>
      </c>
      <c r="J1375" t="s">
        <v>1766</v>
      </c>
    </row>
    <row r="1376" spans="1:10" x14ac:dyDescent="0.25">
      <c r="A1376" t="s">
        <v>8</v>
      </c>
      <c r="B1376" t="s">
        <v>1767</v>
      </c>
      <c r="C1376" t="s">
        <v>1768</v>
      </c>
      <c r="D1376">
        <v>1</v>
      </c>
      <c r="E1376" t="s">
        <v>10</v>
      </c>
      <c r="F1376" t="s">
        <v>11</v>
      </c>
      <c r="G1376" s="1"/>
      <c r="H1376" t="str">
        <f>""</f>
        <v/>
      </c>
      <c r="J1376" t="s">
        <v>1766</v>
      </c>
    </row>
    <row r="1377" spans="1:10" x14ac:dyDescent="0.25">
      <c r="A1377" t="s">
        <v>8</v>
      </c>
      <c r="B1377" t="s">
        <v>1769</v>
      </c>
      <c r="C1377" t="s">
        <v>1770</v>
      </c>
      <c r="D1377">
        <v>1</v>
      </c>
      <c r="E1377" t="s">
        <v>10</v>
      </c>
      <c r="F1377" t="s">
        <v>11</v>
      </c>
      <c r="G1377" s="1"/>
      <c r="H1377" t="str">
        <f>""</f>
        <v/>
      </c>
      <c r="J1377" t="s">
        <v>1766</v>
      </c>
    </row>
    <row r="1378" spans="1:10" x14ac:dyDescent="0.25">
      <c r="A1378" t="s">
        <v>8</v>
      </c>
      <c r="B1378" t="s">
        <v>1771</v>
      </c>
      <c r="C1378" t="s">
        <v>1772</v>
      </c>
      <c r="D1378">
        <v>1</v>
      </c>
      <c r="E1378" t="s">
        <v>10</v>
      </c>
      <c r="F1378" t="s">
        <v>11</v>
      </c>
      <c r="G1378" s="1"/>
      <c r="H1378" t="str">
        <f>""</f>
        <v/>
      </c>
      <c r="J1378" t="s">
        <v>1773</v>
      </c>
    </row>
    <row r="1379" spans="1:10" x14ac:dyDescent="0.25">
      <c r="A1379" t="s">
        <v>8</v>
      </c>
      <c r="B1379" t="s">
        <v>1774</v>
      </c>
      <c r="C1379" t="s">
        <v>1775</v>
      </c>
      <c r="D1379">
        <v>1</v>
      </c>
      <c r="E1379" t="s">
        <v>10</v>
      </c>
      <c r="F1379" t="s">
        <v>11</v>
      </c>
      <c r="G1379" s="1"/>
      <c r="H1379" t="str">
        <f>""</f>
        <v/>
      </c>
      <c r="J1379" t="s">
        <v>1773</v>
      </c>
    </row>
    <row r="1380" spans="1:10" x14ac:dyDescent="0.25">
      <c r="A1380" t="s">
        <v>8</v>
      </c>
      <c r="B1380" t="s">
        <v>1776</v>
      </c>
      <c r="C1380" t="s">
        <v>1777</v>
      </c>
      <c r="D1380">
        <v>1</v>
      </c>
      <c r="E1380" t="s">
        <v>10</v>
      </c>
      <c r="F1380" t="s">
        <v>11</v>
      </c>
      <c r="G1380" s="1"/>
      <c r="H1380" t="str">
        <f>""</f>
        <v/>
      </c>
      <c r="J1380" t="s">
        <v>1773</v>
      </c>
    </row>
    <row r="1381" spans="1:10" x14ac:dyDescent="0.25">
      <c r="A1381" t="s">
        <v>8</v>
      </c>
      <c r="B1381" t="s">
        <v>1778</v>
      </c>
      <c r="C1381" t="s">
        <v>1779</v>
      </c>
      <c r="D1381">
        <v>1</v>
      </c>
      <c r="E1381" t="s">
        <v>10</v>
      </c>
      <c r="F1381" t="s">
        <v>11</v>
      </c>
      <c r="G1381" s="1"/>
      <c r="H1381" t="str">
        <f>""</f>
        <v/>
      </c>
      <c r="J1381" t="s">
        <v>1780</v>
      </c>
    </row>
    <row r="1382" spans="1:10" x14ac:dyDescent="0.25">
      <c r="A1382" t="s">
        <v>8</v>
      </c>
      <c r="B1382" t="s">
        <v>1781</v>
      </c>
      <c r="C1382" t="s">
        <v>1782</v>
      </c>
      <c r="D1382">
        <v>1</v>
      </c>
      <c r="E1382" t="s">
        <v>10</v>
      </c>
      <c r="F1382" t="s">
        <v>11</v>
      </c>
      <c r="G1382" s="1"/>
      <c r="H1382" t="str">
        <f>""</f>
        <v/>
      </c>
      <c r="J1382" t="s">
        <v>1780</v>
      </c>
    </row>
    <row r="1383" spans="1:10" x14ac:dyDescent="0.25">
      <c r="A1383" t="s">
        <v>8</v>
      </c>
      <c r="B1383" t="s">
        <v>1783</v>
      </c>
      <c r="C1383" t="s">
        <v>1784</v>
      </c>
      <c r="D1383">
        <v>1</v>
      </c>
      <c r="E1383" t="s">
        <v>10</v>
      </c>
      <c r="F1383" t="s">
        <v>11</v>
      </c>
      <c r="G1383" s="1"/>
      <c r="H1383" t="str">
        <f>""</f>
        <v/>
      </c>
      <c r="J1383" t="s">
        <v>1780</v>
      </c>
    </row>
    <row r="1384" spans="1:10" x14ac:dyDescent="0.25">
      <c r="A1384" t="s">
        <v>8</v>
      </c>
      <c r="B1384" t="s">
        <v>1785</v>
      </c>
      <c r="C1384" t="s">
        <v>1786</v>
      </c>
      <c r="D1384">
        <v>1</v>
      </c>
      <c r="E1384" t="s">
        <v>10</v>
      </c>
      <c r="F1384" t="s">
        <v>11</v>
      </c>
      <c r="G1384" s="1"/>
      <c r="H1384" t="str">
        <f>""</f>
        <v/>
      </c>
      <c r="J1384" t="s">
        <v>1787</v>
      </c>
    </row>
    <row r="1385" spans="1:10" x14ac:dyDescent="0.25">
      <c r="A1385" t="s">
        <v>8</v>
      </c>
      <c r="B1385" t="s">
        <v>1788</v>
      </c>
      <c r="C1385" t="s">
        <v>1789</v>
      </c>
      <c r="D1385">
        <v>1</v>
      </c>
      <c r="E1385" t="s">
        <v>10</v>
      </c>
      <c r="F1385" t="s">
        <v>11</v>
      </c>
      <c r="G1385" s="1"/>
      <c r="H1385" t="str">
        <f>""</f>
        <v/>
      </c>
      <c r="J1385" t="s">
        <v>1787</v>
      </c>
    </row>
    <row r="1386" spans="1:10" x14ac:dyDescent="0.25">
      <c r="A1386" t="s">
        <v>8</v>
      </c>
      <c r="B1386" t="s">
        <v>1790</v>
      </c>
      <c r="C1386" t="s">
        <v>1791</v>
      </c>
      <c r="D1386">
        <v>1</v>
      </c>
      <c r="E1386" t="s">
        <v>10</v>
      </c>
      <c r="F1386" t="s">
        <v>11</v>
      </c>
      <c r="G1386" s="1"/>
      <c r="H1386" t="str">
        <f>""</f>
        <v/>
      </c>
      <c r="J1386" t="s">
        <v>1787</v>
      </c>
    </row>
    <row r="1387" spans="1:10" x14ac:dyDescent="0.25">
      <c r="A1387" t="s">
        <v>8</v>
      </c>
      <c r="B1387" t="s">
        <v>1792</v>
      </c>
      <c r="C1387" t="s">
        <v>1793</v>
      </c>
      <c r="D1387">
        <v>1</v>
      </c>
      <c r="E1387" t="s">
        <v>10</v>
      </c>
      <c r="F1387" t="s">
        <v>11</v>
      </c>
      <c r="G1387" s="1"/>
      <c r="H1387" t="str">
        <f>""</f>
        <v/>
      </c>
      <c r="J1387" t="s">
        <v>1794</v>
      </c>
    </row>
    <row r="1388" spans="1:10" x14ac:dyDescent="0.25">
      <c r="A1388" t="s">
        <v>8</v>
      </c>
      <c r="B1388" t="s">
        <v>1795</v>
      </c>
      <c r="C1388" t="s">
        <v>1796</v>
      </c>
      <c r="D1388">
        <v>1</v>
      </c>
      <c r="E1388" t="s">
        <v>10</v>
      </c>
      <c r="F1388" t="s">
        <v>11</v>
      </c>
      <c r="G1388" s="1"/>
      <c r="H1388" t="str">
        <f>""</f>
        <v/>
      </c>
      <c r="J1388" t="s">
        <v>1794</v>
      </c>
    </row>
    <row r="1389" spans="1:10" x14ac:dyDescent="0.25">
      <c r="A1389" t="s">
        <v>8</v>
      </c>
      <c r="B1389" t="s">
        <v>1797</v>
      </c>
      <c r="C1389" t="s">
        <v>1798</v>
      </c>
      <c r="D1389">
        <v>1</v>
      </c>
      <c r="E1389" t="s">
        <v>10</v>
      </c>
      <c r="F1389" t="s">
        <v>11</v>
      </c>
      <c r="G1389" s="1"/>
      <c r="H1389" t="str">
        <f>""</f>
        <v/>
      </c>
      <c r="J1389" t="s">
        <v>1794</v>
      </c>
    </row>
    <row r="1390" spans="1:10" x14ac:dyDescent="0.25">
      <c r="A1390" t="s">
        <v>8</v>
      </c>
      <c r="B1390" t="s">
        <v>1799</v>
      </c>
      <c r="C1390" t="s">
        <v>472</v>
      </c>
      <c r="D1390">
        <v>1</v>
      </c>
      <c r="E1390" t="s">
        <v>10</v>
      </c>
      <c r="F1390" t="s">
        <v>11</v>
      </c>
      <c r="G1390" s="1"/>
      <c r="H1390" t="str">
        <f>""</f>
        <v/>
      </c>
      <c r="J1390" t="s">
        <v>1800</v>
      </c>
    </row>
    <row r="1391" spans="1:10" x14ac:dyDescent="0.25">
      <c r="A1391" t="s">
        <v>8</v>
      </c>
      <c r="B1391" t="s">
        <v>1801</v>
      </c>
      <c r="C1391" t="s">
        <v>1802</v>
      </c>
      <c r="D1391">
        <v>1</v>
      </c>
      <c r="E1391" t="s">
        <v>10</v>
      </c>
      <c r="F1391" t="s">
        <v>11</v>
      </c>
      <c r="G1391" s="1"/>
      <c r="H1391" t="str">
        <f>""</f>
        <v/>
      </c>
      <c r="J1391" t="s">
        <v>1803</v>
      </c>
    </row>
    <row r="1392" spans="1:10" x14ac:dyDescent="0.25">
      <c r="A1392" t="s">
        <v>8</v>
      </c>
      <c r="B1392" t="s">
        <v>1804</v>
      </c>
      <c r="C1392" t="s">
        <v>1805</v>
      </c>
      <c r="D1392">
        <v>1</v>
      </c>
      <c r="E1392" t="s">
        <v>10</v>
      </c>
      <c r="F1392" t="s">
        <v>11</v>
      </c>
      <c r="G1392" s="1"/>
      <c r="H1392" t="str">
        <f>""</f>
        <v/>
      </c>
      <c r="J1392" t="s">
        <v>1803</v>
      </c>
    </row>
    <row r="1393" spans="1:10" x14ac:dyDescent="0.25">
      <c r="A1393" t="s">
        <v>8</v>
      </c>
      <c r="B1393" t="s">
        <v>1806</v>
      </c>
      <c r="C1393" t="s">
        <v>1807</v>
      </c>
      <c r="D1393">
        <v>1</v>
      </c>
      <c r="E1393" t="s">
        <v>10</v>
      </c>
      <c r="F1393" t="s">
        <v>11</v>
      </c>
      <c r="G1393" s="1"/>
      <c r="H1393" t="str">
        <f>""</f>
        <v/>
      </c>
      <c r="J1393" t="s">
        <v>1803</v>
      </c>
    </row>
    <row r="1394" spans="1:10" x14ac:dyDescent="0.25">
      <c r="A1394" t="s">
        <v>8</v>
      </c>
      <c r="B1394" t="s">
        <v>1808</v>
      </c>
      <c r="C1394" t="s">
        <v>1809</v>
      </c>
      <c r="D1394">
        <v>1</v>
      </c>
      <c r="E1394" t="s">
        <v>10</v>
      </c>
      <c r="F1394" t="s">
        <v>11</v>
      </c>
      <c r="G1394" s="1"/>
      <c r="H1394" t="str">
        <f>""</f>
        <v/>
      </c>
      <c r="J1394" t="s">
        <v>1811</v>
      </c>
    </row>
    <row r="1395" spans="1:10" x14ac:dyDescent="0.25">
      <c r="A1395" t="s">
        <v>8</v>
      </c>
      <c r="B1395" t="s">
        <v>1812</v>
      </c>
      <c r="C1395" t="s">
        <v>1813</v>
      </c>
      <c r="D1395">
        <v>1</v>
      </c>
      <c r="E1395" t="s">
        <v>10</v>
      </c>
      <c r="F1395" t="s">
        <v>11</v>
      </c>
      <c r="G1395" s="1"/>
      <c r="H1395" t="str">
        <f>""</f>
        <v/>
      </c>
      <c r="J1395" t="s">
        <v>1811</v>
      </c>
    </row>
    <row r="1396" spans="1:10" x14ac:dyDescent="0.25">
      <c r="A1396" t="s">
        <v>8</v>
      </c>
      <c r="B1396" t="s">
        <v>1814</v>
      </c>
      <c r="C1396" t="s">
        <v>1815</v>
      </c>
      <c r="D1396">
        <v>1</v>
      </c>
      <c r="E1396" t="s">
        <v>10</v>
      </c>
      <c r="F1396" t="s">
        <v>11</v>
      </c>
      <c r="G1396" s="1"/>
      <c r="H1396" t="str">
        <f>""</f>
        <v/>
      </c>
      <c r="J1396" t="s">
        <v>1811</v>
      </c>
    </row>
    <row r="1397" spans="1:10" x14ac:dyDescent="0.25">
      <c r="A1397" t="s">
        <v>8</v>
      </c>
      <c r="B1397" t="s">
        <v>1816</v>
      </c>
      <c r="C1397" t="s">
        <v>1817</v>
      </c>
      <c r="D1397">
        <v>1</v>
      </c>
      <c r="E1397" t="s">
        <v>10</v>
      </c>
      <c r="F1397" t="s">
        <v>11</v>
      </c>
      <c r="G1397" s="1"/>
      <c r="H1397" t="str">
        <f>""</f>
        <v/>
      </c>
      <c r="J1397" t="s">
        <v>1773</v>
      </c>
    </row>
    <row r="1398" spans="1:10" x14ac:dyDescent="0.25">
      <c r="A1398" t="s">
        <v>8</v>
      </c>
      <c r="B1398" t="s">
        <v>1818</v>
      </c>
      <c r="C1398" t="s">
        <v>1819</v>
      </c>
      <c r="D1398">
        <v>1</v>
      </c>
      <c r="E1398" t="s">
        <v>10</v>
      </c>
      <c r="F1398" t="s">
        <v>11</v>
      </c>
      <c r="G1398" s="1"/>
      <c r="H1398" t="str">
        <f>""</f>
        <v/>
      </c>
      <c r="J1398" t="s">
        <v>1773</v>
      </c>
    </row>
    <row r="1399" spans="1:10" x14ac:dyDescent="0.25">
      <c r="A1399" t="s">
        <v>8</v>
      </c>
      <c r="B1399" t="s">
        <v>1820</v>
      </c>
      <c r="C1399" t="s">
        <v>1821</v>
      </c>
      <c r="D1399">
        <v>1</v>
      </c>
      <c r="E1399" t="s">
        <v>10</v>
      </c>
      <c r="F1399" t="s">
        <v>11</v>
      </c>
      <c r="G1399" s="1"/>
      <c r="H1399" t="str">
        <f>""</f>
        <v/>
      </c>
      <c r="J1399" t="s">
        <v>1773</v>
      </c>
    </row>
    <row r="1400" spans="1:10" x14ac:dyDescent="0.25">
      <c r="A1400" t="s">
        <v>8</v>
      </c>
      <c r="B1400" t="s">
        <v>1822</v>
      </c>
      <c r="C1400" t="s">
        <v>1823</v>
      </c>
      <c r="D1400">
        <v>1</v>
      </c>
      <c r="E1400" t="s">
        <v>10</v>
      </c>
      <c r="F1400" t="s">
        <v>11</v>
      </c>
      <c r="G1400" s="1"/>
      <c r="H1400" t="str">
        <f>""</f>
        <v/>
      </c>
      <c r="J1400" t="s">
        <v>1824</v>
      </c>
    </row>
    <row r="1401" spans="1:10" x14ac:dyDescent="0.25">
      <c r="A1401" t="s">
        <v>8</v>
      </c>
      <c r="B1401" t="s">
        <v>1825</v>
      </c>
      <c r="C1401" t="s">
        <v>1826</v>
      </c>
      <c r="D1401">
        <v>1</v>
      </c>
      <c r="E1401" t="s">
        <v>10</v>
      </c>
      <c r="F1401" t="s">
        <v>11</v>
      </c>
      <c r="G1401" s="1"/>
      <c r="H1401" t="str">
        <f>""</f>
        <v/>
      </c>
      <c r="J1401" t="s">
        <v>1824</v>
      </c>
    </row>
    <row r="1402" spans="1:10" x14ac:dyDescent="0.25">
      <c r="A1402" t="s">
        <v>8</v>
      </c>
      <c r="B1402" t="s">
        <v>1827</v>
      </c>
      <c r="C1402" t="s">
        <v>1828</v>
      </c>
      <c r="D1402">
        <v>1</v>
      </c>
      <c r="E1402" t="s">
        <v>10</v>
      </c>
      <c r="F1402" t="s">
        <v>11</v>
      </c>
      <c r="G1402" s="1"/>
      <c r="H1402" t="str">
        <f>""</f>
        <v/>
      </c>
      <c r="J1402" t="s">
        <v>1824</v>
      </c>
    </row>
    <row r="1403" spans="1:10" x14ac:dyDescent="0.25">
      <c r="A1403" t="s">
        <v>8</v>
      </c>
      <c r="B1403" t="s">
        <v>1829</v>
      </c>
      <c r="C1403" t="s">
        <v>1830</v>
      </c>
      <c r="D1403">
        <v>1</v>
      </c>
      <c r="E1403" t="s">
        <v>10</v>
      </c>
      <c r="F1403" t="s">
        <v>11</v>
      </c>
      <c r="G1403" s="1"/>
      <c r="H1403" t="str">
        <f>""</f>
        <v/>
      </c>
      <c r="J1403" t="s">
        <v>1831</v>
      </c>
    </row>
    <row r="1404" spans="1:10" x14ac:dyDescent="0.25">
      <c r="A1404" t="s">
        <v>8</v>
      </c>
      <c r="B1404" t="s">
        <v>1832</v>
      </c>
      <c r="C1404" t="s">
        <v>1833</v>
      </c>
      <c r="D1404">
        <v>1</v>
      </c>
      <c r="E1404" t="s">
        <v>10</v>
      </c>
      <c r="F1404" t="s">
        <v>11</v>
      </c>
      <c r="G1404" s="1"/>
      <c r="H1404" t="str">
        <f>""</f>
        <v/>
      </c>
      <c r="J1404" t="s">
        <v>1831</v>
      </c>
    </row>
    <row r="1405" spans="1:10" x14ac:dyDescent="0.25">
      <c r="A1405" t="s">
        <v>8</v>
      </c>
      <c r="B1405" t="s">
        <v>1834</v>
      </c>
      <c r="C1405" t="s">
        <v>1835</v>
      </c>
      <c r="D1405">
        <v>1</v>
      </c>
      <c r="E1405" t="s">
        <v>10</v>
      </c>
      <c r="F1405" t="s">
        <v>11</v>
      </c>
      <c r="G1405" s="1"/>
      <c r="H1405" t="str">
        <f>""</f>
        <v/>
      </c>
      <c r="J1405" t="s">
        <v>1831</v>
      </c>
    </row>
    <row r="1406" spans="1:10" x14ac:dyDescent="0.25">
      <c r="A1406" t="s">
        <v>8</v>
      </c>
      <c r="B1406" t="s">
        <v>1836</v>
      </c>
      <c r="C1406" t="s">
        <v>1837</v>
      </c>
      <c r="D1406">
        <v>1</v>
      </c>
      <c r="E1406" t="s">
        <v>10</v>
      </c>
      <c r="F1406" t="s">
        <v>11</v>
      </c>
      <c r="G1406" s="1"/>
      <c r="H1406" t="str">
        <f>""</f>
        <v/>
      </c>
      <c r="J1406" t="s">
        <v>1838</v>
      </c>
    </row>
    <row r="1407" spans="1:10" x14ac:dyDescent="0.25">
      <c r="A1407" t="s">
        <v>8</v>
      </c>
      <c r="B1407" t="s">
        <v>1839</v>
      </c>
      <c r="C1407" t="s">
        <v>1840</v>
      </c>
      <c r="D1407">
        <v>1</v>
      </c>
      <c r="E1407" t="s">
        <v>10</v>
      </c>
      <c r="F1407" t="s">
        <v>11</v>
      </c>
      <c r="G1407" s="1"/>
      <c r="H1407" t="str">
        <f>""</f>
        <v/>
      </c>
      <c r="J1407" t="s">
        <v>1838</v>
      </c>
    </row>
    <row r="1408" spans="1:10" x14ac:dyDescent="0.25">
      <c r="A1408" t="s">
        <v>8</v>
      </c>
      <c r="B1408" t="s">
        <v>1841</v>
      </c>
      <c r="C1408" t="s">
        <v>1842</v>
      </c>
      <c r="D1408">
        <v>1</v>
      </c>
      <c r="E1408" t="s">
        <v>10</v>
      </c>
      <c r="F1408" t="s">
        <v>11</v>
      </c>
      <c r="G1408" s="1"/>
      <c r="H1408" t="str">
        <f>""</f>
        <v/>
      </c>
      <c r="J1408" t="s">
        <v>1838</v>
      </c>
    </row>
    <row r="1409" spans="1:10" x14ac:dyDescent="0.25">
      <c r="A1409" t="s">
        <v>8</v>
      </c>
      <c r="B1409" t="s">
        <v>1843</v>
      </c>
      <c r="C1409" t="s">
        <v>1844</v>
      </c>
      <c r="D1409">
        <v>1</v>
      </c>
      <c r="E1409" t="s">
        <v>10</v>
      </c>
      <c r="F1409" t="s">
        <v>11</v>
      </c>
      <c r="G1409" s="1"/>
      <c r="H1409" t="str">
        <f>""</f>
        <v/>
      </c>
      <c r="J1409" t="s">
        <v>1845</v>
      </c>
    </row>
    <row r="1410" spans="1:10" x14ac:dyDescent="0.25">
      <c r="A1410" t="s">
        <v>8</v>
      </c>
      <c r="B1410" t="s">
        <v>1846</v>
      </c>
      <c r="C1410" t="s">
        <v>1847</v>
      </c>
      <c r="D1410">
        <v>1</v>
      </c>
      <c r="E1410" t="s">
        <v>10</v>
      </c>
      <c r="F1410" t="s">
        <v>11</v>
      </c>
      <c r="G1410" s="1"/>
      <c r="H1410" t="str">
        <f>""</f>
        <v/>
      </c>
      <c r="J1410" t="s">
        <v>1845</v>
      </c>
    </row>
    <row r="1411" spans="1:10" x14ac:dyDescent="0.25">
      <c r="A1411" t="s">
        <v>8</v>
      </c>
      <c r="B1411" t="s">
        <v>1848</v>
      </c>
      <c r="C1411" t="s">
        <v>1849</v>
      </c>
      <c r="D1411">
        <v>1</v>
      </c>
      <c r="E1411" t="s">
        <v>10</v>
      </c>
      <c r="F1411" t="s">
        <v>11</v>
      </c>
      <c r="G1411" s="1"/>
      <c r="H1411" t="str">
        <f>""</f>
        <v/>
      </c>
      <c r="J1411" t="s">
        <v>1845</v>
      </c>
    </row>
    <row r="1412" spans="1:10" x14ac:dyDescent="0.25">
      <c r="A1412" t="s">
        <v>8</v>
      </c>
      <c r="B1412" t="s">
        <v>1850</v>
      </c>
      <c r="C1412" t="s">
        <v>1851</v>
      </c>
      <c r="D1412">
        <v>1</v>
      </c>
      <c r="E1412" t="s">
        <v>10</v>
      </c>
      <c r="F1412" t="s">
        <v>11</v>
      </c>
      <c r="G1412" s="1"/>
      <c r="H1412" t="str">
        <f>""</f>
        <v/>
      </c>
      <c r="J1412" t="s">
        <v>1852</v>
      </c>
    </row>
    <row r="1413" spans="1:10" x14ac:dyDescent="0.25">
      <c r="A1413" t="s">
        <v>8</v>
      </c>
      <c r="B1413" t="s">
        <v>1853</v>
      </c>
      <c r="C1413" t="s">
        <v>1854</v>
      </c>
      <c r="D1413">
        <v>1</v>
      </c>
      <c r="E1413" t="s">
        <v>10</v>
      </c>
      <c r="F1413" t="s">
        <v>11</v>
      </c>
      <c r="G1413" s="1"/>
      <c r="H1413" t="str">
        <f>""</f>
        <v/>
      </c>
      <c r="J1413" t="s">
        <v>1852</v>
      </c>
    </row>
    <row r="1414" spans="1:10" x14ac:dyDescent="0.25">
      <c r="A1414" t="s">
        <v>8</v>
      </c>
      <c r="B1414" t="s">
        <v>1855</v>
      </c>
      <c r="C1414" t="s">
        <v>1856</v>
      </c>
      <c r="D1414">
        <v>1</v>
      </c>
      <c r="E1414" t="s">
        <v>10</v>
      </c>
      <c r="F1414" t="s">
        <v>11</v>
      </c>
      <c r="G1414" s="1"/>
      <c r="H1414" t="str">
        <f>""</f>
        <v/>
      </c>
      <c r="J1414" t="s">
        <v>1852</v>
      </c>
    </row>
    <row r="1415" spans="1:10" x14ac:dyDescent="0.25">
      <c r="A1415" t="s">
        <v>8</v>
      </c>
      <c r="B1415" t="s">
        <v>1857</v>
      </c>
      <c r="C1415" t="s">
        <v>1858</v>
      </c>
      <c r="D1415">
        <v>1</v>
      </c>
      <c r="E1415" t="s">
        <v>10</v>
      </c>
      <c r="F1415" t="s">
        <v>11</v>
      </c>
      <c r="G1415" s="1"/>
      <c r="H1415" t="str">
        <f>""</f>
        <v/>
      </c>
      <c r="J1415" t="s">
        <v>1860</v>
      </c>
    </row>
    <row r="1416" spans="1:10" x14ac:dyDescent="0.25">
      <c r="A1416" t="s">
        <v>8</v>
      </c>
      <c r="B1416" t="s">
        <v>1861</v>
      </c>
      <c r="C1416" t="s">
        <v>1862</v>
      </c>
      <c r="D1416">
        <v>1</v>
      </c>
      <c r="E1416" t="s">
        <v>10</v>
      </c>
      <c r="F1416" t="s">
        <v>11</v>
      </c>
      <c r="G1416" s="1"/>
      <c r="H1416" t="str">
        <f>""</f>
        <v/>
      </c>
      <c r="J1416" t="s">
        <v>1860</v>
      </c>
    </row>
    <row r="1417" spans="1:10" x14ac:dyDescent="0.25">
      <c r="A1417" t="s">
        <v>8</v>
      </c>
      <c r="B1417" t="s">
        <v>1863</v>
      </c>
      <c r="C1417" t="s">
        <v>1864</v>
      </c>
      <c r="D1417">
        <v>1</v>
      </c>
      <c r="E1417" t="s">
        <v>10</v>
      </c>
      <c r="F1417" t="s">
        <v>11</v>
      </c>
      <c r="G1417" s="1"/>
      <c r="H1417" t="str">
        <f>""</f>
        <v/>
      </c>
      <c r="J1417" t="s">
        <v>1860</v>
      </c>
    </row>
    <row r="1418" spans="1:10" x14ac:dyDescent="0.25">
      <c r="A1418" t="s">
        <v>8</v>
      </c>
      <c r="B1418" t="s">
        <v>1865</v>
      </c>
      <c r="C1418" t="s">
        <v>1866</v>
      </c>
      <c r="D1418">
        <v>1</v>
      </c>
      <c r="E1418" t="s">
        <v>10</v>
      </c>
      <c r="F1418" t="s">
        <v>11</v>
      </c>
      <c r="G1418" s="1"/>
      <c r="H1418" t="str">
        <f>""</f>
        <v/>
      </c>
      <c r="J1418" t="s">
        <v>1867</v>
      </c>
    </row>
    <row r="1419" spans="1:10" x14ac:dyDescent="0.25">
      <c r="A1419" t="s">
        <v>8</v>
      </c>
      <c r="B1419" t="s">
        <v>1868</v>
      </c>
      <c r="C1419" t="s">
        <v>1869</v>
      </c>
      <c r="D1419">
        <v>1</v>
      </c>
      <c r="E1419" t="s">
        <v>10</v>
      </c>
      <c r="F1419" t="s">
        <v>11</v>
      </c>
      <c r="G1419" s="1"/>
      <c r="H1419" t="str">
        <f>""</f>
        <v/>
      </c>
      <c r="J1419" t="s">
        <v>1867</v>
      </c>
    </row>
    <row r="1420" spans="1:10" x14ac:dyDescent="0.25">
      <c r="A1420" t="s">
        <v>8</v>
      </c>
      <c r="B1420" t="s">
        <v>1870</v>
      </c>
      <c r="C1420" t="s">
        <v>1871</v>
      </c>
      <c r="D1420">
        <v>1</v>
      </c>
      <c r="E1420" t="s">
        <v>10</v>
      </c>
      <c r="F1420" t="s">
        <v>11</v>
      </c>
      <c r="G1420" s="1"/>
      <c r="H1420" t="str">
        <f>""</f>
        <v/>
      </c>
      <c r="J1420" t="s">
        <v>1867</v>
      </c>
    </row>
    <row r="1421" spans="1:10" x14ac:dyDescent="0.25">
      <c r="A1421" t="s">
        <v>8</v>
      </c>
      <c r="B1421" t="s">
        <v>1872</v>
      </c>
      <c r="C1421" t="s">
        <v>1873</v>
      </c>
      <c r="D1421">
        <v>1</v>
      </c>
      <c r="E1421" t="s">
        <v>10</v>
      </c>
      <c r="F1421" t="s">
        <v>11</v>
      </c>
      <c r="G1421" s="1"/>
      <c r="H1421" t="str">
        <f>""</f>
        <v/>
      </c>
      <c r="J1421" t="s">
        <v>660</v>
      </c>
    </row>
    <row r="1422" spans="1:10" x14ac:dyDescent="0.25">
      <c r="A1422" t="s">
        <v>8</v>
      </c>
      <c r="B1422" t="s">
        <v>1874</v>
      </c>
      <c r="C1422" t="s">
        <v>1875</v>
      </c>
      <c r="D1422">
        <v>1</v>
      </c>
      <c r="E1422" t="s">
        <v>10</v>
      </c>
      <c r="F1422" t="s">
        <v>11</v>
      </c>
      <c r="G1422" s="1"/>
      <c r="H1422" t="str">
        <f>""</f>
        <v/>
      </c>
      <c r="J1422" t="s">
        <v>660</v>
      </c>
    </row>
    <row r="1423" spans="1:10" x14ac:dyDescent="0.25">
      <c r="A1423" t="s">
        <v>8</v>
      </c>
      <c r="B1423" t="s">
        <v>1876</v>
      </c>
      <c r="C1423" t="s">
        <v>1877</v>
      </c>
      <c r="D1423">
        <v>1</v>
      </c>
      <c r="E1423" t="s">
        <v>10</v>
      </c>
      <c r="F1423" t="s">
        <v>11</v>
      </c>
      <c r="G1423" s="1"/>
      <c r="H1423" t="str">
        <f>""</f>
        <v/>
      </c>
      <c r="J1423" t="s">
        <v>660</v>
      </c>
    </row>
    <row r="1424" spans="1:10" x14ac:dyDescent="0.25">
      <c r="A1424" t="s">
        <v>8</v>
      </c>
      <c r="B1424" t="s">
        <v>1878</v>
      </c>
      <c r="C1424" t="s">
        <v>1879</v>
      </c>
      <c r="D1424">
        <v>1</v>
      </c>
      <c r="E1424" t="s">
        <v>10</v>
      </c>
      <c r="F1424" t="s">
        <v>11</v>
      </c>
      <c r="G1424" s="1"/>
      <c r="H1424" t="str">
        <f>""</f>
        <v/>
      </c>
      <c r="J1424" t="s">
        <v>1794</v>
      </c>
    </row>
    <row r="1425" spans="1:10" x14ac:dyDescent="0.25">
      <c r="A1425" t="s">
        <v>8</v>
      </c>
      <c r="B1425" t="s">
        <v>1880</v>
      </c>
      <c r="C1425" t="s">
        <v>1881</v>
      </c>
      <c r="D1425">
        <v>1</v>
      </c>
      <c r="E1425" t="s">
        <v>10</v>
      </c>
      <c r="F1425" t="s">
        <v>11</v>
      </c>
      <c r="G1425" s="1"/>
      <c r="H1425" t="str">
        <f>""</f>
        <v/>
      </c>
      <c r="J1425" t="s">
        <v>1794</v>
      </c>
    </row>
    <row r="1426" spans="1:10" x14ac:dyDescent="0.25">
      <c r="A1426" t="s">
        <v>8</v>
      </c>
      <c r="B1426" t="s">
        <v>1882</v>
      </c>
      <c r="C1426" t="s">
        <v>1883</v>
      </c>
      <c r="D1426">
        <v>1</v>
      </c>
      <c r="E1426" t="s">
        <v>10</v>
      </c>
      <c r="F1426" t="s">
        <v>11</v>
      </c>
      <c r="G1426" s="1"/>
      <c r="H1426" t="str">
        <f>""</f>
        <v/>
      </c>
      <c r="J1426" t="s">
        <v>1794</v>
      </c>
    </row>
    <row r="1427" spans="1:10" x14ac:dyDescent="0.25">
      <c r="A1427" t="s">
        <v>8</v>
      </c>
      <c r="B1427" t="s">
        <v>1884</v>
      </c>
      <c r="C1427" t="s">
        <v>1885</v>
      </c>
      <c r="D1427">
        <v>1</v>
      </c>
      <c r="E1427" t="s">
        <v>10</v>
      </c>
      <c r="F1427" t="s">
        <v>11</v>
      </c>
      <c r="G1427" s="1"/>
      <c r="H1427" t="str">
        <f>""</f>
        <v/>
      </c>
      <c r="J1427" t="s">
        <v>1794</v>
      </c>
    </row>
    <row r="1428" spans="1:10" x14ac:dyDescent="0.25">
      <c r="A1428" t="s">
        <v>8</v>
      </c>
      <c r="B1428" t="s">
        <v>1886</v>
      </c>
      <c r="C1428" t="s">
        <v>1887</v>
      </c>
      <c r="D1428">
        <v>1</v>
      </c>
      <c r="E1428" t="s">
        <v>10</v>
      </c>
      <c r="F1428" t="s">
        <v>11</v>
      </c>
      <c r="G1428" s="1"/>
      <c r="H1428" t="str">
        <f>""</f>
        <v/>
      </c>
      <c r="J1428" t="s">
        <v>1888</v>
      </c>
    </row>
    <row r="1429" spans="1:10" x14ac:dyDescent="0.25">
      <c r="A1429" t="s">
        <v>8</v>
      </c>
      <c r="B1429" t="s">
        <v>1889</v>
      </c>
      <c r="C1429" t="s">
        <v>1890</v>
      </c>
      <c r="D1429">
        <v>1</v>
      </c>
      <c r="E1429" t="s">
        <v>10</v>
      </c>
      <c r="F1429" t="s">
        <v>11</v>
      </c>
      <c r="G1429" s="1"/>
      <c r="H1429" t="str">
        <f>""</f>
        <v/>
      </c>
      <c r="J1429" t="s">
        <v>1888</v>
      </c>
    </row>
    <row r="1430" spans="1:10" x14ac:dyDescent="0.25">
      <c r="A1430" t="s">
        <v>8</v>
      </c>
      <c r="B1430" t="s">
        <v>1891</v>
      </c>
      <c r="C1430" t="s">
        <v>1892</v>
      </c>
      <c r="D1430">
        <v>1</v>
      </c>
      <c r="E1430" t="s">
        <v>10</v>
      </c>
      <c r="F1430" t="s">
        <v>11</v>
      </c>
      <c r="G1430" s="1"/>
      <c r="H1430" t="str">
        <f>""</f>
        <v/>
      </c>
      <c r="J1430" t="s">
        <v>1888</v>
      </c>
    </row>
    <row r="1431" spans="1:10" x14ac:dyDescent="0.25">
      <c r="A1431" t="s">
        <v>8</v>
      </c>
      <c r="B1431" t="s">
        <v>1893</v>
      </c>
      <c r="C1431" t="s">
        <v>1894</v>
      </c>
      <c r="D1431">
        <v>1</v>
      </c>
      <c r="E1431" t="s">
        <v>10</v>
      </c>
      <c r="F1431" t="s">
        <v>11</v>
      </c>
      <c r="G1431" s="1"/>
      <c r="H1431" t="str">
        <f>""</f>
        <v/>
      </c>
      <c r="J1431" t="s">
        <v>1895</v>
      </c>
    </row>
    <row r="1432" spans="1:10" x14ac:dyDescent="0.25">
      <c r="A1432" t="s">
        <v>8</v>
      </c>
      <c r="B1432" t="s">
        <v>1896</v>
      </c>
      <c r="C1432" t="s">
        <v>1897</v>
      </c>
      <c r="D1432">
        <v>1</v>
      </c>
      <c r="E1432" t="s">
        <v>10</v>
      </c>
      <c r="F1432" t="s">
        <v>11</v>
      </c>
      <c r="G1432" s="1"/>
      <c r="H1432" t="str">
        <f>""</f>
        <v/>
      </c>
      <c r="J1432" t="s">
        <v>1895</v>
      </c>
    </row>
    <row r="1433" spans="1:10" x14ac:dyDescent="0.25">
      <c r="A1433" t="s">
        <v>8</v>
      </c>
      <c r="B1433" t="s">
        <v>1898</v>
      </c>
      <c r="C1433" t="s">
        <v>1899</v>
      </c>
      <c r="D1433">
        <v>1</v>
      </c>
      <c r="E1433" t="s">
        <v>10</v>
      </c>
      <c r="F1433" t="s">
        <v>11</v>
      </c>
      <c r="G1433" s="1"/>
      <c r="H1433" t="str">
        <f>""</f>
        <v/>
      </c>
      <c r="J1433" t="s">
        <v>1895</v>
      </c>
    </row>
    <row r="1434" spans="1:10" x14ac:dyDescent="0.25">
      <c r="A1434" t="s">
        <v>8</v>
      </c>
      <c r="B1434" t="s">
        <v>1900</v>
      </c>
      <c r="C1434" t="s">
        <v>1901</v>
      </c>
      <c r="D1434">
        <v>1</v>
      </c>
      <c r="E1434" t="s">
        <v>10</v>
      </c>
      <c r="F1434" t="s">
        <v>11</v>
      </c>
      <c r="G1434" s="1"/>
      <c r="H1434" t="str">
        <f>""</f>
        <v/>
      </c>
      <c r="J1434" t="s">
        <v>1902</v>
      </c>
    </row>
    <row r="1435" spans="1:10" x14ac:dyDescent="0.25">
      <c r="A1435" t="s">
        <v>8</v>
      </c>
      <c r="B1435" t="s">
        <v>1903</v>
      </c>
      <c r="C1435" t="s">
        <v>1904</v>
      </c>
      <c r="D1435">
        <v>1</v>
      </c>
      <c r="E1435" t="s">
        <v>10</v>
      </c>
      <c r="F1435" t="s">
        <v>11</v>
      </c>
      <c r="G1435" s="1"/>
      <c r="H1435" t="str">
        <f>""</f>
        <v/>
      </c>
      <c r="J1435" t="s">
        <v>1902</v>
      </c>
    </row>
    <row r="1436" spans="1:10" x14ac:dyDescent="0.25">
      <c r="A1436" t="s">
        <v>8</v>
      </c>
      <c r="B1436" t="s">
        <v>1905</v>
      </c>
      <c r="C1436" t="s">
        <v>1906</v>
      </c>
      <c r="D1436">
        <v>1</v>
      </c>
      <c r="E1436" t="s">
        <v>10</v>
      </c>
      <c r="F1436" t="s">
        <v>11</v>
      </c>
      <c r="G1436" s="1"/>
      <c r="H1436" t="str">
        <f>""</f>
        <v/>
      </c>
      <c r="J1436" t="s">
        <v>1902</v>
      </c>
    </row>
    <row r="1437" spans="1:10" x14ac:dyDescent="0.25">
      <c r="A1437" t="s">
        <v>8</v>
      </c>
      <c r="B1437" t="s">
        <v>1907</v>
      </c>
      <c r="C1437" t="s">
        <v>1908</v>
      </c>
      <c r="D1437">
        <v>1</v>
      </c>
      <c r="E1437" t="s">
        <v>10</v>
      </c>
      <c r="F1437" t="s">
        <v>11</v>
      </c>
      <c r="G1437" s="1"/>
      <c r="H1437" t="str">
        <f>""</f>
        <v/>
      </c>
      <c r="J1437" t="s">
        <v>1909</v>
      </c>
    </row>
    <row r="1438" spans="1:10" x14ac:dyDescent="0.25">
      <c r="A1438" t="s">
        <v>8</v>
      </c>
      <c r="B1438" t="s">
        <v>1910</v>
      </c>
      <c r="C1438" t="s">
        <v>1911</v>
      </c>
      <c r="D1438">
        <v>1</v>
      </c>
      <c r="E1438" t="s">
        <v>10</v>
      </c>
      <c r="F1438" t="s">
        <v>11</v>
      </c>
      <c r="G1438" s="1"/>
      <c r="H1438" t="str">
        <f>""</f>
        <v/>
      </c>
      <c r="J1438" t="s">
        <v>1909</v>
      </c>
    </row>
    <row r="1439" spans="1:10" x14ac:dyDescent="0.25">
      <c r="A1439" t="s">
        <v>8</v>
      </c>
      <c r="B1439" t="s">
        <v>1912</v>
      </c>
      <c r="C1439" t="s">
        <v>1913</v>
      </c>
      <c r="D1439">
        <v>1</v>
      </c>
      <c r="E1439" t="s">
        <v>10</v>
      </c>
      <c r="F1439" t="s">
        <v>11</v>
      </c>
      <c r="G1439" s="1"/>
      <c r="H1439" t="str">
        <f>""</f>
        <v/>
      </c>
      <c r="J1439" t="s">
        <v>1909</v>
      </c>
    </row>
    <row r="1440" spans="1:10" x14ac:dyDescent="0.25">
      <c r="A1440" t="s">
        <v>8</v>
      </c>
      <c r="B1440" t="s">
        <v>1914</v>
      </c>
      <c r="C1440" t="s">
        <v>1915</v>
      </c>
      <c r="D1440">
        <v>1</v>
      </c>
      <c r="E1440" t="s">
        <v>10</v>
      </c>
      <c r="F1440" t="s">
        <v>11</v>
      </c>
      <c r="G1440" s="1"/>
      <c r="H1440" t="str">
        <f>""</f>
        <v/>
      </c>
      <c r="J1440" t="s">
        <v>1916</v>
      </c>
    </row>
    <row r="1441" spans="1:10" x14ac:dyDescent="0.25">
      <c r="A1441" t="s">
        <v>8</v>
      </c>
      <c r="B1441" t="s">
        <v>1917</v>
      </c>
      <c r="C1441" t="s">
        <v>1918</v>
      </c>
      <c r="D1441">
        <v>1</v>
      </c>
      <c r="E1441" t="s">
        <v>10</v>
      </c>
      <c r="F1441" t="s">
        <v>11</v>
      </c>
      <c r="G1441" s="1"/>
      <c r="H1441" t="str">
        <f>""</f>
        <v/>
      </c>
      <c r="J1441" t="s">
        <v>1916</v>
      </c>
    </row>
    <row r="1442" spans="1:10" x14ac:dyDescent="0.25">
      <c r="A1442" t="s">
        <v>8</v>
      </c>
      <c r="B1442" t="s">
        <v>1919</v>
      </c>
      <c r="C1442" t="s">
        <v>1920</v>
      </c>
      <c r="D1442">
        <v>1</v>
      </c>
      <c r="E1442" t="s">
        <v>10</v>
      </c>
      <c r="F1442" t="s">
        <v>11</v>
      </c>
      <c r="G1442" s="1"/>
      <c r="H1442" t="str">
        <f>""</f>
        <v/>
      </c>
      <c r="J1442" t="s">
        <v>1916</v>
      </c>
    </row>
    <row r="1443" spans="1:10" x14ac:dyDescent="0.25">
      <c r="A1443" t="s">
        <v>8</v>
      </c>
      <c r="B1443" t="s">
        <v>1921</v>
      </c>
      <c r="C1443" t="s">
        <v>1922</v>
      </c>
      <c r="D1443">
        <v>1</v>
      </c>
      <c r="E1443" t="s">
        <v>10</v>
      </c>
      <c r="F1443" t="s">
        <v>11</v>
      </c>
      <c r="G1443" s="1"/>
      <c r="H1443" t="str">
        <f>""</f>
        <v/>
      </c>
      <c r="J1443" t="s">
        <v>128</v>
      </c>
    </row>
    <row r="1444" spans="1:10" x14ac:dyDescent="0.25">
      <c r="A1444" t="s">
        <v>8</v>
      </c>
      <c r="B1444" t="s">
        <v>1923</v>
      </c>
      <c r="C1444" t="s">
        <v>1924</v>
      </c>
      <c r="D1444">
        <v>1</v>
      </c>
      <c r="E1444" t="s">
        <v>10</v>
      </c>
      <c r="F1444" t="s">
        <v>11</v>
      </c>
      <c r="G1444" s="1"/>
      <c r="H1444" t="str">
        <f>""</f>
        <v/>
      </c>
      <c r="J1444" t="s">
        <v>128</v>
      </c>
    </row>
    <row r="1445" spans="1:10" x14ac:dyDescent="0.25">
      <c r="A1445" t="s">
        <v>8</v>
      </c>
      <c r="B1445" t="s">
        <v>1925</v>
      </c>
      <c r="C1445" t="s">
        <v>1926</v>
      </c>
      <c r="D1445">
        <v>1</v>
      </c>
      <c r="E1445" t="s">
        <v>10</v>
      </c>
      <c r="F1445" t="s">
        <v>11</v>
      </c>
      <c r="G1445" s="1"/>
      <c r="H1445" t="str">
        <f>""</f>
        <v/>
      </c>
      <c r="J1445" t="s">
        <v>128</v>
      </c>
    </row>
    <row r="1446" spans="1:10" x14ac:dyDescent="0.25">
      <c r="A1446" t="s">
        <v>8</v>
      </c>
      <c r="B1446" t="s">
        <v>1927</v>
      </c>
      <c r="C1446" t="s">
        <v>1928</v>
      </c>
      <c r="D1446">
        <v>1</v>
      </c>
      <c r="E1446" t="s">
        <v>10</v>
      </c>
      <c r="F1446" t="s">
        <v>11</v>
      </c>
      <c r="G1446" s="1"/>
      <c r="H1446" t="str">
        <f>""</f>
        <v/>
      </c>
      <c r="J1446" t="s">
        <v>114</v>
      </c>
    </row>
    <row r="1447" spans="1:10" x14ac:dyDescent="0.25">
      <c r="A1447" t="s">
        <v>8</v>
      </c>
      <c r="B1447" t="s">
        <v>1929</v>
      </c>
      <c r="C1447" t="s">
        <v>1930</v>
      </c>
      <c r="D1447">
        <v>1</v>
      </c>
      <c r="E1447" t="s">
        <v>10</v>
      </c>
      <c r="F1447" t="s">
        <v>11</v>
      </c>
      <c r="G1447" s="1"/>
      <c r="H1447" t="str">
        <f>""</f>
        <v/>
      </c>
      <c r="J1447" t="s">
        <v>114</v>
      </c>
    </row>
    <row r="1448" spans="1:10" x14ac:dyDescent="0.25">
      <c r="A1448" t="s">
        <v>8</v>
      </c>
      <c r="B1448" t="s">
        <v>1931</v>
      </c>
      <c r="C1448" t="s">
        <v>1932</v>
      </c>
      <c r="D1448">
        <v>1</v>
      </c>
      <c r="E1448" t="s">
        <v>10</v>
      </c>
      <c r="F1448" t="s">
        <v>11</v>
      </c>
      <c r="G1448" s="1"/>
      <c r="H1448" t="str">
        <f>""</f>
        <v/>
      </c>
      <c r="J1448" t="s">
        <v>114</v>
      </c>
    </row>
    <row r="1449" spans="1:10" x14ac:dyDescent="0.25">
      <c r="A1449" t="s">
        <v>8</v>
      </c>
      <c r="B1449" t="s">
        <v>1933</v>
      </c>
      <c r="C1449" t="s">
        <v>1934</v>
      </c>
      <c r="D1449">
        <v>1</v>
      </c>
      <c r="E1449" t="s">
        <v>10</v>
      </c>
      <c r="F1449" t="s">
        <v>11</v>
      </c>
      <c r="G1449" s="1"/>
      <c r="H1449" t="str">
        <f>""</f>
        <v/>
      </c>
      <c r="J1449" t="s">
        <v>1935</v>
      </c>
    </row>
    <row r="1450" spans="1:10" x14ac:dyDescent="0.25">
      <c r="A1450" t="s">
        <v>8</v>
      </c>
      <c r="B1450" t="s">
        <v>1936</v>
      </c>
      <c r="C1450" t="s">
        <v>1937</v>
      </c>
      <c r="D1450">
        <v>1</v>
      </c>
      <c r="E1450" t="s">
        <v>10</v>
      </c>
      <c r="F1450" t="s">
        <v>11</v>
      </c>
      <c r="G1450" s="1"/>
      <c r="H1450" t="str">
        <f>""</f>
        <v/>
      </c>
      <c r="J1450" t="s">
        <v>1935</v>
      </c>
    </row>
    <row r="1451" spans="1:10" x14ac:dyDescent="0.25">
      <c r="A1451" t="s">
        <v>8</v>
      </c>
      <c r="B1451" t="s">
        <v>1938</v>
      </c>
      <c r="C1451" t="s">
        <v>1939</v>
      </c>
      <c r="D1451">
        <v>1</v>
      </c>
      <c r="E1451" t="s">
        <v>10</v>
      </c>
      <c r="F1451" t="s">
        <v>11</v>
      </c>
      <c r="G1451" s="1"/>
      <c r="H1451" t="str">
        <f>""</f>
        <v/>
      </c>
      <c r="J1451" t="s">
        <v>1935</v>
      </c>
    </row>
    <row r="1452" spans="1:10" x14ac:dyDescent="0.25">
      <c r="A1452" t="s">
        <v>8</v>
      </c>
      <c r="B1452" t="s">
        <v>1940</v>
      </c>
      <c r="C1452" t="s">
        <v>1941</v>
      </c>
      <c r="D1452">
        <v>1</v>
      </c>
      <c r="E1452" t="s">
        <v>10</v>
      </c>
      <c r="F1452" t="s">
        <v>11</v>
      </c>
      <c r="G1452" s="1"/>
      <c r="H1452" t="str">
        <f>""</f>
        <v/>
      </c>
      <c r="J1452" t="s">
        <v>1942</v>
      </c>
    </row>
    <row r="1453" spans="1:10" x14ac:dyDescent="0.25">
      <c r="A1453" t="s">
        <v>8</v>
      </c>
      <c r="B1453" t="s">
        <v>1943</v>
      </c>
      <c r="C1453" t="s">
        <v>1944</v>
      </c>
      <c r="D1453">
        <v>1</v>
      </c>
      <c r="E1453" t="s">
        <v>10</v>
      </c>
      <c r="F1453" t="s">
        <v>11</v>
      </c>
      <c r="G1453" s="1"/>
      <c r="H1453" t="str">
        <f>""</f>
        <v/>
      </c>
      <c r="J1453" t="s">
        <v>1942</v>
      </c>
    </row>
    <row r="1454" spans="1:10" x14ac:dyDescent="0.25">
      <c r="A1454" t="s">
        <v>8</v>
      </c>
      <c r="B1454" t="s">
        <v>1945</v>
      </c>
      <c r="C1454" t="s">
        <v>1946</v>
      </c>
      <c r="D1454">
        <v>1</v>
      </c>
      <c r="E1454" t="s">
        <v>10</v>
      </c>
      <c r="F1454" t="s">
        <v>11</v>
      </c>
      <c r="G1454" s="1"/>
      <c r="H1454" t="str">
        <f>""</f>
        <v/>
      </c>
      <c r="J1454" t="s">
        <v>1942</v>
      </c>
    </row>
    <row r="1455" spans="1:10" x14ac:dyDescent="0.25">
      <c r="A1455" t="s">
        <v>8</v>
      </c>
      <c r="B1455" t="s">
        <v>1947</v>
      </c>
      <c r="C1455" t="s">
        <v>1948</v>
      </c>
      <c r="D1455">
        <v>1</v>
      </c>
      <c r="E1455" t="s">
        <v>10</v>
      </c>
      <c r="F1455" t="s">
        <v>11</v>
      </c>
      <c r="G1455" s="1"/>
      <c r="H1455" t="str">
        <f>""</f>
        <v/>
      </c>
      <c r="J1455" t="s">
        <v>1859</v>
      </c>
    </row>
    <row r="1456" spans="1:10" x14ac:dyDescent="0.25">
      <c r="A1456" t="s">
        <v>8</v>
      </c>
      <c r="B1456" t="s">
        <v>1949</v>
      </c>
      <c r="C1456" t="s">
        <v>1950</v>
      </c>
      <c r="D1456">
        <v>1</v>
      </c>
      <c r="E1456" t="s">
        <v>10</v>
      </c>
      <c r="F1456" t="s">
        <v>11</v>
      </c>
      <c r="G1456" s="1"/>
      <c r="H1456" t="str">
        <f>""</f>
        <v/>
      </c>
      <c r="J1456" t="s">
        <v>1859</v>
      </c>
    </row>
    <row r="1457" spans="1:10" x14ac:dyDescent="0.25">
      <c r="A1457" t="s">
        <v>8</v>
      </c>
      <c r="B1457" t="s">
        <v>1951</v>
      </c>
      <c r="C1457" t="s">
        <v>1952</v>
      </c>
      <c r="D1457">
        <v>1</v>
      </c>
      <c r="E1457" t="s">
        <v>10</v>
      </c>
      <c r="F1457" t="s">
        <v>11</v>
      </c>
      <c r="G1457" s="1"/>
      <c r="H1457" t="str">
        <f>""</f>
        <v/>
      </c>
      <c r="J1457" t="s">
        <v>1859</v>
      </c>
    </row>
    <row r="1458" spans="1:10" x14ac:dyDescent="0.25">
      <c r="A1458" t="s">
        <v>8</v>
      </c>
      <c r="B1458" t="s">
        <v>1953</v>
      </c>
      <c r="C1458" t="s">
        <v>1954</v>
      </c>
      <c r="D1458">
        <v>1</v>
      </c>
      <c r="E1458" t="s">
        <v>10</v>
      </c>
      <c r="F1458" t="s">
        <v>11</v>
      </c>
      <c r="G1458" s="1"/>
      <c r="H1458" t="str">
        <f>""</f>
        <v/>
      </c>
      <c r="I1458" s="1"/>
      <c r="J1458" t="s">
        <v>653</v>
      </c>
    </row>
    <row r="1459" spans="1:10" x14ac:dyDescent="0.25">
      <c r="A1459" t="s">
        <v>8</v>
      </c>
      <c r="B1459" t="s">
        <v>1955</v>
      </c>
      <c r="C1459" t="s">
        <v>1956</v>
      </c>
      <c r="D1459">
        <v>1</v>
      </c>
      <c r="E1459" t="s">
        <v>10</v>
      </c>
      <c r="F1459" t="s">
        <v>11</v>
      </c>
      <c r="G1459" s="1"/>
      <c r="H1459" t="str">
        <f>""</f>
        <v/>
      </c>
      <c r="I1459" s="1"/>
      <c r="J1459" t="s">
        <v>653</v>
      </c>
    </row>
    <row r="1460" spans="1:10" x14ac:dyDescent="0.25">
      <c r="A1460" t="s">
        <v>8</v>
      </c>
      <c r="B1460" t="s">
        <v>1957</v>
      </c>
      <c r="C1460" t="s">
        <v>1958</v>
      </c>
      <c r="D1460">
        <v>1</v>
      </c>
      <c r="E1460" t="s">
        <v>10</v>
      </c>
      <c r="F1460" t="s">
        <v>11</v>
      </c>
      <c r="G1460" s="1"/>
      <c r="H1460" t="str">
        <f>""</f>
        <v/>
      </c>
      <c r="I1460" s="1"/>
      <c r="J1460" t="s">
        <v>653</v>
      </c>
    </row>
    <row r="1461" spans="1:10" x14ac:dyDescent="0.25">
      <c r="A1461" t="s">
        <v>8</v>
      </c>
      <c r="B1461" t="s">
        <v>1959</v>
      </c>
      <c r="C1461" t="s">
        <v>1960</v>
      </c>
      <c r="D1461">
        <v>1</v>
      </c>
      <c r="E1461" t="s">
        <v>10</v>
      </c>
      <c r="F1461" t="s">
        <v>11</v>
      </c>
      <c r="G1461" s="1"/>
      <c r="H1461" t="str">
        <f>""</f>
        <v/>
      </c>
      <c r="J1461" t="s">
        <v>1961</v>
      </c>
    </row>
    <row r="1462" spans="1:10" x14ac:dyDescent="0.25">
      <c r="A1462" t="s">
        <v>8</v>
      </c>
      <c r="B1462" t="s">
        <v>1962</v>
      </c>
      <c r="C1462" t="s">
        <v>1963</v>
      </c>
      <c r="D1462">
        <v>1</v>
      </c>
      <c r="E1462" t="s">
        <v>10</v>
      </c>
      <c r="F1462" t="s">
        <v>11</v>
      </c>
      <c r="G1462" s="1"/>
      <c r="H1462" t="str">
        <f>""</f>
        <v/>
      </c>
      <c r="J1462" t="s">
        <v>1961</v>
      </c>
    </row>
    <row r="1463" spans="1:10" x14ac:dyDescent="0.25">
      <c r="A1463" t="s">
        <v>8</v>
      </c>
      <c r="B1463" t="s">
        <v>1964</v>
      </c>
      <c r="C1463" t="s">
        <v>1965</v>
      </c>
      <c r="D1463">
        <v>1</v>
      </c>
      <c r="E1463" t="s">
        <v>10</v>
      </c>
      <c r="F1463" t="s">
        <v>11</v>
      </c>
      <c r="G1463" s="1"/>
      <c r="H1463" t="str">
        <f>""</f>
        <v/>
      </c>
      <c r="J1463" t="s">
        <v>1961</v>
      </c>
    </row>
    <row r="1464" spans="1:10" x14ac:dyDescent="0.25">
      <c r="A1464" t="s">
        <v>8</v>
      </c>
      <c r="B1464" t="s">
        <v>1966</v>
      </c>
      <c r="C1464" t="s">
        <v>1967</v>
      </c>
      <c r="D1464">
        <v>1</v>
      </c>
      <c r="E1464" t="s">
        <v>10</v>
      </c>
      <c r="F1464" t="s">
        <v>11</v>
      </c>
      <c r="G1464" s="1"/>
      <c r="H1464" t="str">
        <f>""</f>
        <v/>
      </c>
      <c r="J1464" t="s">
        <v>1968</v>
      </c>
    </row>
    <row r="1465" spans="1:10" x14ac:dyDescent="0.25">
      <c r="A1465" t="s">
        <v>8</v>
      </c>
      <c r="B1465" t="s">
        <v>1969</v>
      </c>
      <c r="C1465" t="s">
        <v>1970</v>
      </c>
      <c r="D1465">
        <v>1</v>
      </c>
      <c r="E1465" t="s">
        <v>10</v>
      </c>
      <c r="F1465" t="s">
        <v>11</v>
      </c>
      <c r="G1465" s="1"/>
      <c r="H1465" t="str">
        <f>""</f>
        <v/>
      </c>
      <c r="J1465" t="s">
        <v>1968</v>
      </c>
    </row>
    <row r="1466" spans="1:10" x14ac:dyDescent="0.25">
      <c r="A1466" t="s">
        <v>8</v>
      </c>
      <c r="B1466" t="s">
        <v>1971</v>
      </c>
      <c r="C1466" t="s">
        <v>1972</v>
      </c>
      <c r="D1466">
        <v>1</v>
      </c>
      <c r="E1466" t="s">
        <v>10</v>
      </c>
      <c r="F1466" t="s">
        <v>11</v>
      </c>
      <c r="G1466" s="1"/>
      <c r="H1466" t="str">
        <f>""</f>
        <v/>
      </c>
      <c r="J1466" t="s">
        <v>1968</v>
      </c>
    </row>
    <row r="1467" spans="1:10" x14ac:dyDescent="0.25">
      <c r="A1467" t="s">
        <v>8</v>
      </c>
      <c r="B1467" t="s">
        <v>1973</v>
      </c>
      <c r="C1467" t="s">
        <v>1974</v>
      </c>
      <c r="D1467">
        <v>1</v>
      </c>
      <c r="E1467" t="s">
        <v>10</v>
      </c>
      <c r="F1467" t="s">
        <v>11</v>
      </c>
      <c r="G1467" s="1"/>
      <c r="H1467" t="str">
        <f>""</f>
        <v/>
      </c>
      <c r="J1467" t="s">
        <v>1975</v>
      </c>
    </row>
    <row r="1468" spans="1:10" x14ac:dyDescent="0.25">
      <c r="A1468" t="s">
        <v>8</v>
      </c>
      <c r="B1468" t="s">
        <v>1976</v>
      </c>
      <c r="C1468" t="s">
        <v>1977</v>
      </c>
      <c r="D1468">
        <v>1</v>
      </c>
      <c r="E1468" t="s">
        <v>10</v>
      </c>
      <c r="F1468" t="s">
        <v>11</v>
      </c>
      <c r="G1468" s="1"/>
      <c r="H1468" t="str">
        <f>""</f>
        <v/>
      </c>
      <c r="J1468" t="s">
        <v>1975</v>
      </c>
    </row>
    <row r="1469" spans="1:10" x14ac:dyDescent="0.25">
      <c r="A1469" t="s">
        <v>8</v>
      </c>
      <c r="B1469" t="s">
        <v>1978</v>
      </c>
      <c r="C1469" t="s">
        <v>1979</v>
      </c>
      <c r="D1469">
        <v>1</v>
      </c>
      <c r="E1469" t="s">
        <v>10</v>
      </c>
      <c r="F1469" t="s">
        <v>11</v>
      </c>
      <c r="G1469" s="1"/>
      <c r="H1469" t="str">
        <f>""</f>
        <v/>
      </c>
      <c r="J1469" t="s">
        <v>1975</v>
      </c>
    </row>
    <row r="1470" spans="1:10" x14ac:dyDescent="0.25">
      <c r="A1470" t="s">
        <v>8</v>
      </c>
      <c r="B1470" t="s">
        <v>1980</v>
      </c>
      <c r="C1470" t="s">
        <v>1981</v>
      </c>
      <c r="D1470">
        <v>1</v>
      </c>
      <c r="E1470" t="s">
        <v>10</v>
      </c>
      <c r="F1470" t="s">
        <v>11</v>
      </c>
      <c r="G1470" s="1"/>
      <c r="H1470" t="str">
        <f>""</f>
        <v/>
      </c>
      <c r="J1470" t="s">
        <v>1982</v>
      </c>
    </row>
    <row r="1471" spans="1:10" x14ac:dyDescent="0.25">
      <c r="A1471" t="s">
        <v>8</v>
      </c>
      <c r="B1471" t="s">
        <v>1983</v>
      </c>
      <c r="C1471" t="s">
        <v>1984</v>
      </c>
      <c r="D1471">
        <v>1</v>
      </c>
      <c r="E1471" t="s">
        <v>10</v>
      </c>
      <c r="F1471" t="s">
        <v>11</v>
      </c>
      <c r="G1471" s="1"/>
      <c r="H1471" t="str">
        <f>""</f>
        <v/>
      </c>
      <c r="J1471" t="s">
        <v>1982</v>
      </c>
    </row>
    <row r="1472" spans="1:10" x14ac:dyDescent="0.25">
      <c r="A1472" t="s">
        <v>8</v>
      </c>
      <c r="B1472" t="s">
        <v>1985</v>
      </c>
      <c r="C1472" t="s">
        <v>1986</v>
      </c>
      <c r="D1472">
        <v>1</v>
      </c>
      <c r="E1472" t="s">
        <v>10</v>
      </c>
      <c r="F1472" t="s">
        <v>11</v>
      </c>
      <c r="G1472" s="1"/>
      <c r="H1472" t="str">
        <f>""</f>
        <v/>
      </c>
      <c r="J1472" t="s">
        <v>1982</v>
      </c>
    </row>
    <row r="1473" spans="1:10" x14ac:dyDescent="0.25">
      <c r="A1473" t="s">
        <v>8</v>
      </c>
      <c r="B1473" t="s">
        <v>1987</v>
      </c>
      <c r="C1473" t="s">
        <v>1988</v>
      </c>
      <c r="D1473">
        <v>1</v>
      </c>
      <c r="E1473" t="s">
        <v>10</v>
      </c>
      <c r="F1473" t="s">
        <v>11</v>
      </c>
      <c r="G1473" s="1"/>
      <c r="H1473" t="str">
        <f>""</f>
        <v/>
      </c>
      <c r="J1473" t="s">
        <v>1989</v>
      </c>
    </row>
    <row r="1474" spans="1:10" x14ac:dyDescent="0.25">
      <c r="A1474" t="s">
        <v>8</v>
      </c>
      <c r="B1474" t="s">
        <v>1990</v>
      </c>
      <c r="C1474" t="s">
        <v>1991</v>
      </c>
      <c r="D1474">
        <v>1</v>
      </c>
      <c r="E1474" t="s">
        <v>10</v>
      </c>
      <c r="F1474" t="s">
        <v>11</v>
      </c>
      <c r="G1474" s="1"/>
      <c r="H1474" t="str">
        <f>""</f>
        <v/>
      </c>
      <c r="J1474" t="s">
        <v>1989</v>
      </c>
    </row>
    <row r="1475" spans="1:10" x14ac:dyDescent="0.25">
      <c r="A1475" t="s">
        <v>8</v>
      </c>
      <c r="B1475" t="s">
        <v>1992</v>
      </c>
      <c r="C1475" t="s">
        <v>1993</v>
      </c>
      <c r="D1475">
        <v>1</v>
      </c>
      <c r="E1475" t="s">
        <v>10</v>
      </c>
      <c r="F1475" t="s">
        <v>11</v>
      </c>
      <c r="G1475" s="1"/>
      <c r="H1475" t="str">
        <f>""</f>
        <v/>
      </c>
      <c r="J1475" t="s">
        <v>1989</v>
      </c>
    </row>
    <row r="1476" spans="1:10" x14ac:dyDescent="0.25">
      <c r="A1476" t="s">
        <v>8</v>
      </c>
      <c r="B1476" t="s">
        <v>1994</v>
      </c>
      <c r="C1476" t="s">
        <v>1995</v>
      </c>
      <c r="D1476">
        <v>1</v>
      </c>
      <c r="E1476" t="s">
        <v>10</v>
      </c>
      <c r="F1476" t="s">
        <v>11</v>
      </c>
      <c r="G1476" s="1"/>
      <c r="H1476" t="str">
        <f>""</f>
        <v/>
      </c>
      <c r="J1476" t="s">
        <v>1996</v>
      </c>
    </row>
    <row r="1477" spans="1:10" x14ac:dyDescent="0.25">
      <c r="A1477" t="s">
        <v>8</v>
      </c>
      <c r="B1477" t="s">
        <v>1997</v>
      </c>
      <c r="C1477" t="s">
        <v>1998</v>
      </c>
      <c r="D1477">
        <v>1</v>
      </c>
      <c r="E1477" t="s">
        <v>10</v>
      </c>
      <c r="F1477" t="s">
        <v>11</v>
      </c>
      <c r="G1477" s="1"/>
      <c r="H1477" t="str">
        <f>""</f>
        <v/>
      </c>
      <c r="J1477" t="s">
        <v>1996</v>
      </c>
    </row>
    <row r="1478" spans="1:10" x14ac:dyDescent="0.25">
      <c r="A1478" t="s">
        <v>8</v>
      </c>
      <c r="B1478" t="s">
        <v>1999</v>
      </c>
      <c r="C1478" t="s">
        <v>2000</v>
      </c>
      <c r="D1478">
        <v>1</v>
      </c>
      <c r="E1478" t="s">
        <v>10</v>
      </c>
      <c r="F1478" t="s">
        <v>11</v>
      </c>
      <c r="G1478" s="1"/>
      <c r="H1478" t="str">
        <f>""</f>
        <v/>
      </c>
      <c r="J1478" t="s">
        <v>1996</v>
      </c>
    </row>
    <row r="1479" spans="1:10" x14ac:dyDescent="0.25">
      <c r="A1479" t="s">
        <v>8</v>
      </c>
      <c r="B1479" t="s">
        <v>2001</v>
      </c>
      <c r="C1479" t="s">
        <v>2002</v>
      </c>
      <c r="D1479">
        <v>1</v>
      </c>
      <c r="E1479" t="s">
        <v>10</v>
      </c>
      <c r="F1479" t="s">
        <v>11</v>
      </c>
      <c r="G1479" s="1"/>
      <c r="H1479" t="str">
        <f>""</f>
        <v/>
      </c>
      <c r="J1479" t="s">
        <v>2003</v>
      </c>
    </row>
    <row r="1480" spans="1:10" x14ac:dyDescent="0.25">
      <c r="A1480" t="s">
        <v>8</v>
      </c>
      <c r="B1480" t="s">
        <v>2004</v>
      </c>
      <c r="C1480" t="s">
        <v>2005</v>
      </c>
      <c r="D1480">
        <v>1</v>
      </c>
      <c r="E1480" t="s">
        <v>10</v>
      </c>
      <c r="F1480" t="s">
        <v>11</v>
      </c>
      <c r="G1480" s="1"/>
      <c r="H1480" t="str">
        <f>""</f>
        <v/>
      </c>
      <c r="J1480" t="s">
        <v>836</v>
      </c>
    </row>
    <row r="1481" spans="1:10" x14ac:dyDescent="0.25">
      <c r="A1481" t="s">
        <v>8</v>
      </c>
      <c r="B1481" t="s">
        <v>2006</v>
      </c>
      <c r="C1481" t="s">
        <v>2007</v>
      </c>
      <c r="D1481">
        <v>1</v>
      </c>
      <c r="E1481" t="s">
        <v>10</v>
      </c>
      <c r="F1481" t="s">
        <v>11</v>
      </c>
      <c r="G1481" s="1"/>
      <c r="H1481" t="str">
        <f>""</f>
        <v/>
      </c>
      <c r="J1481" t="s">
        <v>836</v>
      </c>
    </row>
    <row r="1482" spans="1:10" x14ac:dyDescent="0.25">
      <c r="A1482" t="s">
        <v>8</v>
      </c>
      <c r="B1482" t="s">
        <v>2008</v>
      </c>
      <c r="C1482" t="s">
        <v>2009</v>
      </c>
      <c r="D1482">
        <v>1</v>
      </c>
      <c r="E1482" t="s">
        <v>10</v>
      </c>
      <c r="F1482" t="s">
        <v>11</v>
      </c>
      <c r="G1482" s="1"/>
      <c r="H1482" t="str">
        <f>""</f>
        <v/>
      </c>
      <c r="J1482" t="s">
        <v>836</v>
      </c>
    </row>
    <row r="1483" spans="1:10" x14ac:dyDescent="0.25">
      <c r="A1483" t="s">
        <v>8</v>
      </c>
      <c r="B1483" t="s">
        <v>2010</v>
      </c>
      <c r="C1483" t="s">
        <v>2011</v>
      </c>
      <c r="D1483">
        <v>1</v>
      </c>
      <c r="E1483" t="s">
        <v>10</v>
      </c>
      <c r="F1483" t="s">
        <v>11</v>
      </c>
      <c r="G1483" s="1"/>
      <c r="H1483" t="str">
        <f>""</f>
        <v/>
      </c>
      <c r="J1483" t="s">
        <v>836</v>
      </c>
    </row>
    <row r="1484" spans="1:10" x14ac:dyDescent="0.25">
      <c r="A1484" t="s">
        <v>8</v>
      </c>
      <c r="B1484" t="s">
        <v>2012</v>
      </c>
      <c r="C1484" t="s">
        <v>2013</v>
      </c>
      <c r="D1484">
        <v>1</v>
      </c>
      <c r="E1484" t="s">
        <v>10</v>
      </c>
      <c r="F1484" t="s">
        <v>11</v>
      </c>
      <c r="G1484" s="1"/>
      <c r="H1484" t="str">
        <f>""</f>
        <v/>
      </c>
      <c r="J1484" t="s">
        <v>2014</v>
      </c>
    </row>
    <row r="1485" spans="1:10" x14ac:dyDescent="0.25">
      <c r="A1485" t="s">
        <v>8</v>
      </c>
      <c r="B1485" t="s">
        <v>2015</v>
      </c>
      <c r="C1485" t="s">
        <v>2016</v>
      </c>
      <c r="D1485">
        <v>1</v>
      </c>
      <c r="E1485" t="s">
        <v>10</v>
      </c>
      <c r="F1485" t="s">
        <v>11</v>
      </c>
      <c r="G1485" s="1"/>
      <c r="H1485" t="str">
        <f>""</f>
        <v/>
      </c>
      <c r="J1485" t="s">
        <v>2014</v>
      </c>
    </row>
    <row r="1486" spans="1:10" x14ac:dyDescent="0.25">
      <c r="A1486" t="s">
        <v>8</v>
      </c>
      <c r="B1486" t="s">
        <v>2017</v>
      </c>
      <c r="C1486" t="s">
        <v>2018</v>
      </c>
      <c r="D1486">
        <v>1</v>
      </c>
      <c r="E1486" t="s">
        <v>10</v>
      </c>
      <c r="F1486" t="s">
        <v>11</v>
      </c>
      <c r="G1486" s="1"/>
      <c r="H1486" t="str">
        <f>""</f>
        <v/>
      </c>
      <c r="J1486" t="s">
        <v>1810</v>
      </c>
    </row>
    <row r="1487" spans="1:10" x14ac:dyDescent="0.25">
      <c r="A1487" t="s">
        <v>8</v>
      </c>
      <c r="B1487" t="s">
        <v>2019</v>
      </c>
      <c r="C1487" t="s">
        <v>2020</v>
      </c>
      <c r="D1487">
        <v>1</v>
      </c>
      <c r="E1487" t="s">
        <v>10</v>
      </c>
      <c r="F1487" t="s">
        <v>11</v>
      </c>
      <c r="G1487" s="1"/>
      <c r="H1487" t="str">
        <f>""</f>
        <v/>
      </c>
      <c r="J1487" t="s">
        <v>1810</v>
      </c>
    </row>
    <row r="1488" spans="1:10" x14ac:dyDescent="0.25">
      <c r="A1488" t="s">
        <v>8</v>
      </c>
      <c r="B1488" t="s">
        <v>2021</v>
      </c>
      <c r="C1488" t="s">
        <v>2022</v>
      </c>
      <c r="D1488">
        <v>1</v>
      </c>
      <c r="E1488" t="s">
        <v>10</v>
      </c>
      <c r="F1488" t="s">
        <v>11</v>
      </c>
      <c r="G1488" s="1"/>
      <c r="H1488" t="str">
        <f>""</f>
        <v/>
      </c>
      <c r="J1488" t="s">
        <v>2023</v>
      </c>
    </row>
    <row r="1489" spans="1:10" x14ac:dyDescent="0.25">
      <c r="A1489" t="s">
        <v>8</v>
      </c>
      <c r="B1489" t="s">
        <v>2024</v>
      </c>
      <c r="C1489" t="s">
        <v>2025</v>
      </c>
      <c r="D1489">
        <v>1</v>
      </c>
      <c r="E1489" t="s">
        <v>10</v>
      </c>
      <c r="F1489" t="s">
        <v>11</v>
      </c>
      <c r="G1489" s="1"/>
      <c r="H1489" t="str">
        <f>""</f>
        <v/>
      </c>
      <c r="J1489" t="s">
        <v>2023</v>
      </c>
    </row>
    <row r="1490" spans="1:10" x14ac:dyDescent="0.25">
      <c r="A1490" t="s">
        <v>8</v>
      </c>
      <c r="B1490" t="s">
        <v>2026</v>
      </c>
      <c r="C1490" t="s">
        <v>2027</v>
      </c>
      <c r="D1490">
        <v>1</v>
      </c>
      <c r="E1490" t="s">
        <v>10</v>
      </c>
      <c r="F1490" t="s">
        <v>11</v>
      </c>
      <c r="G1490" s="1"/>
      <c r="H1490" t="str">
        <f>""</f>
        <v/>
      </c>
      <c r="J1490" t="s">
        <v>2023</v>
      </c>
    </row>
    <row r="1491" spans="1:10" x14ac:dyDescent="0.25">
      <c r="A1491" t="s">
        <v>8</v>
      </c>
      <c r="B1491" t="s">
        <v>2028</v>
      </c>
      <c r="C1491" t="s">
        <v>2029</v>
      </c>
      <c r="D1491">
        <v>1</v>
      </c>
      <c r="E1491" t="s">
        <v>10</v>
      </c>
      <c r="F1491" t="s">
        <v>11</v>
      </c>
      <c r="G1491" s="1"/>
      <c r="H1491" t="str">
        <f>""</f>
        <v/>
      </c>
      <c r="J1491" t="s">
        <v>2030</v>
      </c>
    </row>
    <row r="1492" spans="1:10" x14ac:dyDescent="0.25">
      <c r="A1492" t="s">
        <v>8</v>
      </c>
      <c r="B1492" t="s">
        <v>2031</v>
      </c>
      <c r="C1492" t="s">
        <v>2032</v>
      </c>
      <c r="D1492">
        <v>1</v>
      </c>
      <c r="E1492" t="s">
        <v>10</v>
      </c>
      <c r="F1492" t="s">
        <v>11</v>
      </c>
      <c r="G1492" s="1"/>
      <c r="H1492" t="str">
        <f>""</f>
        <v/>
      </c>
      <c r="J1492" t="s">
        <v>2030</v>
      </c>
    </row>
    <row r="1493" spans="1:10" x14ac:dyDescent="0.25">
      <c r="A1493" t="s">
        <v>8</v>
      </c>
      <c r="B1493" t="s">
        <v>2033</v>
      </c>
      <c r="C1493" t="s">
        <v>2034</v>
      </c>
      <c r="D1493">
        <v>1</v>
      </c>
      <c r="E1493" t="s">
        <v>10</v>
      </c>
      <c r="F1493" t="s">
        <v>11</v>
      </c>
      <c r="G1493" s="1"/>
      <c r="H1493" t="str">
        <f>""</f>
        <v/>
      </c>
      <c r="J1493" t="s">
        <v>2030</v>
      </c>
    </row>
    <row r="1494" spans="1:10" x14ac:dyDescent="0.25">
      <c r="A1494" t="s">
        <v>8</v>
      </c>
      <c r="B1494" t="s">
        <v>2035</v>
      </c>
      <c r="C1494" t="s">
        <v>2036</v>
      </c>
      <c r="D1494">
        <v>1</v>
      </c>
      <c r="E1494" t="s">
        <v>10</v>
      </c>
      <c r="F1494" t="s">
        <v>11</v>
      </c>
      <c r="G1494" s="1"/>
      <c r="H1494" t="str">
        <f>""</f>
        <v/>
      </c>
      <c r="J1494" t="s">
        <v>2037</v>
      </c>
    </row>
    <row r="1495" spans="1:10" x14ac:dyDescent="0.25">
      <c r="A1495" t="s">
        <v>8</v>
      </c>
      <c r="B1495" t="s">
        <v>2038</v>
      </c>
      <c r="C1495" t="s">
        <v>2039</v>
      </c>
      <c r="D1495">
        <v>1</v>
      </c>
      <c r="E1495" t="s">
        <v>10</v>
      </c>
      <c r="F1495" t="s">
        <v>11</v>
      </c>
      <c r="G1495" s="1"/>
      <c r="H1495" t="str">
        <f>""</f>
        <v/>
      </c>
      <c r="J1495" t="s">
        <v>2037</v>
      </c>
    </row>
    <row r="1496" spans="1:10" x14ac:dyDescent="0.25">
      <c r="A1496" t="s">
        <v>8</v>
      </c>
      <c r="B1496" t="s">
        <v>2040</v>
      </c>
      <c r="C1496" t="s">
        <v>2041</v>
      </c>
      <c r="D1496">
        <v>1</v>
      </c>
      <c r="E1496" t="s">
        <v>10</v>
      </c>
      <c r="F1496" t="s">
        <v>11</v>
      </c>
      <c r="G1496" s="1"/>
      <c r="H1496" t="str">
        <f>""</f>
        <v/>
      </c>
      <c r="J1496" t="s">
        <v>2037</v>
      </c>
    </row>
    <row r="1497" spans="1:10" x14ac:dyDescent="0.25">
      <c r="A1497" t="s">
        <v>8</v>
      </c>
      <c r="B1497" t="s">
        <v>2042</v>
      </c>
      <c r="C1497" t="s">
        <v>2043</v>
      </c>
      <c r="D1497">
        <v>1</v>
      </c>
      <c r="E1497" t="s">
        <v>10</v>
      </c>
      <c r="F1497" t="s">
        <v>11</v>
      </c>
      <c r="G1497" s="1"/>
      <c r="H1497" t="str">
        <f>""</f>
        <v/>
      </c>
      <c r="J1497" t="s">
        <v>2044</v>
      </c>
    </row>
    <row r="1498" spans="1:10" x14ac:dyDescent="0.25">
      <c r="A1498" t="s">
        <v>8</v>
      </c>
      <c r="B1498" t="s">
        <v>2045</v>
      </c>
      <c r="C1498" t="s">
        <v>2046</v>
      </c>
      <c r="D1498">
        <v>1</v>
      </c>
      <c r="E1498" t="s">
        <v>10</v>
      </c>
      <c r="F1498" t="s">
        <v>11</v>
      </c>
      <c r="G1498" s="1"/>
      <c r="H1498" t="str">
        <f>""</f>
        <v/>
      </c>
      <c r="J1498" t="s">
        <v>2044</v>
      </c>
    </row>
    <row r="1499" spans="1:10" x14ac:dyDescent="0.25">
      <c r="A1499" t="s">
        <v>8</v>
      </c>
      <c r="B1499" t="s">
        <v>2047</v>
      </c>
      <c r="C1499" t="s">
        <v>2048</v>
      </c>
      <c r="D1499">
        <v>1</v>
      </c>
      <c r="E1499" t="s">
        <v>10</v>
      </c>
      <c r="F1499" t="s">
        <v>11</v>
      </c>
      <c r="G1499" s="1"/>
      <c r="H1499" t="str">
        <f>""</f>
        <v/>
      </c>
      <c r="J1499" t="s">
        <v>2044</v>
      </c>
    </row>
    <row r="1500" spans="1:10" x14ac:dyDescent="0.25">
      <c r="A1500" t="s">
        <v>8</v>
      </c>
      <c r="B1500" t="s">
        <v>2049</v>
      </c>
      <c r="C1500" t="s">
        <v>2050</v>
      </c>
      <c r="D1500">
        <v>1</v>
      </c>
      <c r="E1500" t="s">
        <v>10</v>
      </c>
      <c r="F1500" t="s">
        <v>11</v>
      </c>
      <c r="G1500" s="1"/>
      <c r="H1500" t="str">
        <f>""</f>
        <v/>
      </c>
      <c r="J1500" t="s">
        <v>2051</v>
      </c>
    </row>
    <row r="1501" spans="1:10" x14ac:dyDescent="0.25">
      <c r="A1501" t="s">
        <v>8</v>
      </c>
      <c r="B1501" t="s">
        <v>2052</v>
      </c>
      <c r="C1501" t="s">
        <v>2053</v>
      </c>
      <c r="D1501">
        <v>1</v>
      </c>
      <c r="E1501" t="s">
        <v>10</v>
      </c>
      <c r="F1501" t="s">
        <v>11</v>
      </c>
      <c r="G1501" s="1"/>
      <c r="H1501" t="str">
        <f>""</f>
        <v/>
      </c>
      <c r="J1501" t="s">
        <v>2051</v>
      </c>
    </row>
    <row r="1502" spans="1:10" x14ac:dyDescent="0.25">
      <c r="A1502" t="s">
        <v>8</v>
      </c>
      <c r="B1502" t="s">
        <v>2054</v>
      </c>
      <c r="C1502" t="s">
        <v>2055</v>
      </c>
      <c r="D1502">
        <v>1</v>
      </c>
      <c r="E1502" t="s">
        <v>10</v>
      </c>
      <c r="F1502" t="s">
        <v>11</v>
      </c>
      <c r="G1502" s="1"/>
      <c r="H1502" t="str">
        <f>""</f>
        <v/>
      </c>
      <c r="J1502" t="s">
        <v>2051</v>
      </c>
    </row>
    <row r="1503" spans="1:10" x14ac:dyDescent="0.25">
      <c r="A1503" t="s">
        <v>8</v>
      </c>
      <c r="B1503" t="s">
        <v>2056</v>
      </c>
      <c r="C1503" t="s">
        <v>2057</v>
      </c>
      <c r="D1503">
        <v>1</v>
      </c>
      <c r="E1503" t="s">
        <v>10</v>
      </c>
      <c r="F1503" t="s">
        <v>11</v>
      </c>
      <c r="G1503" s="1"/>
      <c r="H1503" t="str">
        <f>""</f>
        <v/>
      </c>
      <c r="J1503" t="s">
        <v>2051</v>
      </c>
    </row>
    <row r="1504" spans="1:10" x14ac:dyDescent="0.25">
      <c r="A1504" t="s">
        <v>8</v>
      </c>
      <c r="B1504" t="s">
        <v>2058</v>
      </c>
      <c r="C1504" t="s">
        <v>2059</v>
      </c>
      <c r="D1504">
        <v>1</v>
      </c>
      <c r="E1504" t="s">
        <v>10</v>
      </c>
      <c r="F1504" t="s">
        <v>11</v>
      </c>
      <c r="G1504" s="1"/>
      <c r="H1504" t="str">
        <f>""</f>
        <v/>
      </c>
      <c r="J1504" t="s">
        <v>127</v>
      </c>
    </row>
    <row r="1505" spans="1:10" x14ac:dyDescent="0.25">
      <c r="A1505" t="s">
        <v>8</v>
      </c>
      <c r="B1505" t="s">
        <v>2060</v>
      </c>
      <c r="C1505" t="s">
        <v>2061</v>
      </c>
      <c r="D1505">
        <v>1</v>
      </c>
      <c r="E1505" t="s">
        <v>10</v>
      </c>
      <c r="F1505" t="s">
        <v>11</v>
      </c>
      <c r="G1505" s="1"/>
      <c r="H1505" t="str">
        <f>""</f>
        <v/>
      </c>
      <c r="J1505" t="s">
        <v>2062</v>
      </c>
    </row>
    <row r="1506" spans="1:10" x14ac:dyDescent="0.25">
      <c r="A1506" t="s">
        <v>8</v>
      </c>
      <c r="B1506" t="s">
        <v>2063</v>
      </c>
      <c r="C1506" t="s">
        <v>2064</v>
      </c>
      <c r="D1506">
        <v>1</v>
      </c>
      <c r="E1506" t="s">
        <v>10</v>
      </c>
      <c r="F1506" t="s">
        <v>11</v>
      </c>
      <c r="G1506" s="1"/>
      <c r="H1506" t="str">
        <f>""</f>
        <v/>
      </c>
      <c r="J1506" t="s">
        <v>2065</v>
      </c>
    </row>
    <row r="1507" spans="1:10" x14ac:dyDescent="0.25">
      <c r="A1507" t="s">
        <v>8</v>
      </c>
      <c r="B1507" t="s">
        <v>2066</v>
      </c>
      <c r="C1507" t="s">
        <v>2067</v>
      </c>
      <c r="D1507">
        <v>1</v>
      </c>
      <c r="E1507" t="s">
        <v>10</v>
      </c>
      <c r="F1507" t="s">
        <v>11</v>
      </c>
      <c r="G1507" s="1"/>
      <c r="H1507" t="str">
        <f>""</f>
        <v/>
      </c>
      <c r="J1507" t="s">
        <v>2068</v>
      </c>
    </row>
    <row r="1508" spans="1:10" x14ac:dyDescent="0.25">
      <c r="A1508" t="s">
        <v>8</v>
      </c>
      <c r="B1508" t="s">
        <v>2069</v>
      </c>
      <c r="C1508" t="s">
        <v>2070</v>
      </c>
      <c r="D1508">
        <v>1</v>
      </c>
      <c r="E1508" t="s">
        <v>10</v>
      </c>
      <c r="F1508" t="s">
        <v>11</v>
      </c>
      <c r="G1508" s="1"/>
      <c r="H1508" t="str">
        <f>""</f>
        <v/>
      </c>
      <c r="J1508" t="s">
        <v>2071</v>
      </c>
    </row>
    <row r="1509" spans="1:10" x14ac:dyDescent="0.25">
      <c r="A1509" t="s">
        <v>8</v>
      </c>
      <c r="B1509" t="s">
        <v>2072</v>
      </c>
      <c r="C1509" t="s">
        <v>2073</v>
      </c>
      <c r="D1509">
        <v>1</v>
      </c>
      <c r="E1509" t="s">
        <v>10</v>
      </c>
      <c r="F1509" t="s">
        <v>11</v>
      </c>
      <c r="G1509" s="1"/>
      <c r="H1509" t="str">
        <f>""</f>
        <v/>
      </c>
      <c r="J1509" t="s">
        <v>2074</v>
      </c>
    </row>
    <row r="1510" spans="1:10" x14ac:dyDescent="0.25">
      <c r="A1510" t="s">
        <v>8</v>
      </c>
      <c r="B1510" t="s">
        <v>2075</v>
      </c>
      <c r="C1510" t="s">
        <v>2076</v>
      </c>
      <c r="D1510">
        <v>1</v>
      </c>
      <c r="E1510" t="s">
        <v>10</v>
      </c>
      <c r="F1510" t="s">
        <v>11</v>
      </c>
      <c r="G1510" s="1"/>
      <c r="H1510" t="str">
        <f>""</f>
        <v/>
      </c>
      <c r="J1510" t="s">
        <v>2074</v>
      </c>
    </row>
    <row r="1511" spans="1:10" x14ac:dyDescent="0.25">
      <c r="A1511" t="s">
        <v>8</v>
      </c>
      <c r="B1511" t="s">
        <v>2077</v>
      </c>
      <c r="C1511" t="s">
        <v>2078</v>
      </c>
      <c r="D1511">
        <v>1</v>
      </c>
      <c r="E1511" t="s">
        <v>10</v>
      </c>
      <c r="F1511" t="s">
        <v>11</v>
      </c>
      <c r="G1511" s="1"/>
      <c r="H1511" t="str">
        <f>""</f>
        <v/>
      </c>
      <c r="J1511" t="s">
        <v>2079</v>
      </c>
    </row>
    <row r="1512" spans="1:10" x14ac:dyDescent="0.25">
      <c r="A1512" t="s">
        <v>8</v>
      </c>
      <c r="B1512" t="s">
        <v>2080</v>
      </c>
      <c r="C1512" t="s">
        <v>2081</v>
      </c>
      <c r="D1512">
        <v>1</v>
      </c>
      <c r="E1512" t="s">
        <v>10</v>
      </c>
      <c r="F1512" t="s">
        <v>11</v>
      </c>
      <c r="G1512" s="1"/>
      <c r="H1512" t="str">
        <f>""</f>
        <v/>
      </c>
      <c r="J1512" t="s">
        <v>2082</v>
      </c>
    </row>
    <row r="1513" spans="1:10" x14ac:dyDescent="0.25">
      <c r="A1513" t="s">
        <v>8</v>
      </c>
      <c r="B1513" t="s">
        <v>2083</v>
      </c>
      <c r="C1513" t="s">
        <v>2084</v>
      </c>
      <c r="D1513">
        <v>1</v>
      </c>
      <c r="E1513" t="s">
        <v>10</v>
      </c>
      <c r="F1513" t="s">
        <v>11</v>
      </c>
      <c r="G1513" s="1"/>
      <c r="H1513" t="str">
        <f>""</f>
        <v/>
      </c>
      <c r="J1513" t="s">
        <v>2068</v>
      </c>
    </row>
    <row r="1514" spans="1:10" x14ac:dyDescent="0.25">
      <c r="A1514" t="s">
        <v>8</v>
      </c>
      <c r="B1514" t="s">
        <v>2085</v>
      </c>
      <c r="C1514" t="s">
        <v>2086</v>
      </c>
      <c r="D1514">
        <v>1</v>
      </c>
      <c r="E1514" t="s">
        <v>10</v>
      </c>
      <c r="F1514" t="s">
        <v>11</v>
      </c>
      <c r="G1514" s="1"/>
      <c r="H1514" t="str">
        <f>""</f>
        <v/>
      </c>
      <c r="J1514" t="s">
        <v>1860</v>
      </c>
    </row>
    <row r="1515" spans="1:10" x14ac:dyDescent="0.25">
      <c r="A1515" t="s">
        <v>8</v>
      </c>
      <c r="B1515" t="s">
        <v>2087</v>
      </c>
      <c r="C1515" t="s">
        <v>2088</v>
      </c>
      <c r="D1515">
        <v>1</v>
      </c>
      <c r="E1515" t="s">
        <v>10</v>
      </c>
      <c r="F1515" t="s">
        <v>11</v>
      </c>
      <c r="G1515" s="1"/>
      <c r="H1515" t="str">
        <f>""</f>
        <v/>
      </c>
      <c r="J1515" t="s">
        <v>1860</v>
      </c>
    </row>
    <row r="1516" spans="1:10" x14ac:dyDescent="0.25">
      <c r="A1516" t="s">
        <v>8</v>
      </c>
      <c r="B1516" t="s">
        <v>2089</v>
      </c>
      <c r="C1516" t="s">
        <v>2090</v>
      </c>
      <c r="D1516">
        <v>1</v>
      </c>
      <c r="E1516" t="s">
        <v>10</v>
      </c>
      <c r="F1516" t="s">
        <v>11</v>
      </c>
      <c r="G1516" s="1"/>
      <c r="H1516" t="str">
        <f>""</f>
        <v/>
      </c>
      <c r="J1516" t="s">
        <v>1860</v>
      </c>
    </row>
    <row r="1517" spans="1:10" x14ac:dyDescent="0.25">
      <c r="A1517" t="s">
        <v>8</v>
      </c>
      <c r="B1517" t="s">
        <v>2091</v>
      </c>
      <c r="C1517" t="s">
        <v>2092</v>
      </c>
      <c r="D1517">
        <v>1</v>
      </c>
      <c r="E1517" t="s">
        <v>10</v>
      </c>
      <c r="F1517" t="s">
        <v>11</v>
      </c>
      <c r="G1517" s="1"/>
      <c r="H1517" t="str">
        <f>""</f>
        <v/>
      </c>
      <c r="J1517" t="s">
        <v>1860</v>
      </c>
    </row>
    <row r="1518" spans="1:10" x14ac:dyDescent="0.25">
      <c r="A1518" t="s">
        <v>8</v>
      </c>
      <c r="B1518" t="s">
        <v>2093</v>
      </c>
      <c r="C1518" t="s">
        <v>2094</v>
      </c>
      <c r="D1518">
        <v>1</v>
      </c>
      <c r="E1518" t="s">
        <v>10</v>
      </c>
      <c r="F1518" t="s">
        <v>11</v>
      </c>
      <c r="G1518" s="1"/>
      <c r="H1518" t="str">
        <f>""</f>
        <v/>
      </c>
      <c r="J1518" t="s">
        <v>2095</v>
      </c>
    </row>
    <row r="1519" spans="1:10" x14ac:dyDescent="0.25">
      <c r="A1519" t="s">
        <v>8</v>
      </c>
      <c r="B1519" t="s">
        <v>2096</v>
      </c>
      <c r="C1519" t="s">
        <v>2097</v>
      </c>
      <c r="D1519">
        <v>1</v>
      </c>
      <c r="E1519" t="s">
        <v>10</v>
      </c>
      <c r="F1519" t="s">
        <v>11</v>
      </c>
      <c r="G1519" s="1"/>
      <c r="H1519" t="str">
        <f>""</f>
        <v/>
      </c>
      <c r="J1519" t="s">
        <v>2095</v>
      </c>
    </row>
    <row r="1520" spans="1:10" x14ac:dyDescent="0.25">
      <c r="A1520" t="s">
        <v>8</v>
      </c>
      <c r="B1520" t="s">
        <v>2098</v>
      </c>
      <c r="C1520" t="s">
        <v>2099</v>
      </c>
      <c r="D1520">
        <v>1</v>
      </c>
      <c r="E1520" t="s">
        <v>10</v>
      </c>
      <c r="F1520" t="s">
        <v>11</v>
      </c>
      <c r="G1520" s="1"/>
      <c r="H1520" t="str">
        <f>""</f>
        <v/>
      </c>
      <c r="J1520" t="s">
        <v>2095</v>
      </c>
    </row>
    <row r="1521" spans="1:10" x14ac:dyDescent="0.25">
      <c r="A1521" t="s">
        <v>8</v>
      </c>
      <c r="B1521" t="s">
        <v>2100</v>
      </c>
      <c r="C1521" t="s">
        <v>2101</v>
      </c>
      <c r="D1521">
        <v>1</v>
      </c>
      <c r="E1521" t="s">
        <v>10</v>
      </c>
      <c r="F1521" t="s">
        <v>11</v>
      </c>
      <c r="G1521" s="1"/>
      <c r="H1521" t="str">
        <f>""</f>
        <v/>
      </c>
      <c r="J1521" t="s">
        <v>2102</v>
      </c>
    </row>
    <row r="1522" spans="1:10" x14ac:dyDescent="0.25">
      <c r="A1522" t="s">
        <v>8</v>
      </c>
      <c r="B1522" t="s">
        <v>2103</v>
      </c>
      <c r="C1522" t="s">
        <v>2104</v>
      </c>
      <c r="D1522">
        <v>1</v>
      </c>
      <c r="E1522" t="s">
        <v>10</v>
      </c>
      <c r="F1522" t="s">
        <v>11</v>
      </c>
      <c r="G1522" s="1"/>
      <c r="H1522" t="str">
        <f>""</f>
        <v/>
      </c>
      <c r="J1522" t="s">
        <v>2102</v>
      </c>
    </row>
    <row r="1523" spans="1:10" x14ac:dyDescent="0.25">
      <c r="A1523" t="s">
        <v>8</v>
      </c>
      <c r="B1523" t="s">
        <v>2105</v>
      </c>
      <c r="C1523" t="s">
        <v>2106</v>
      </c>
      <c r="D1523">
        <v>1</v>
      </c>
      <c r="E1523" t="s">
        <v>10</v>
      </c>
      <c r="F1523" t="s">
        <v>11</v>
      </c>
      <c r="G1523" s="1"/>
      <c r="H1523" t="str">
        <f>""</f>
        <v/>
      </c>
      <c r="J1523" t="s">
        <v>2102</v>
      </c>
    </row>
    <row r="1524" spans="1:10" x14ac:dyDescent="0.25">
      <c r="A1524" t="s">
        <v>8</v>
      </c>
      <c r="B1524" t="s">
        <v>2107</v>
      </c>
      <c r="C1524" t="s">
        <v>2108</v>
      </c>
      <c r="D1524">
        <v>1</v>
      </c>
      <c r="E1524" t="s">
        <v>10</v>
      </c>
      <c r="F1524" t="s">
        <v>11</v>
      </c>
      <c r="G1524" s="1"/>
      <c r="H1524" t="str">
        <f>""</f>
        <v/>
      </c>
      <c r="J1524" t="s">
        <v>1810</v>
      </c>
    </row>
    <row r="1525" spans="1:10" x14ac:dyDescent="0.25">
      <c r="A1525" t="s">
        <v>8</v>
      </c>
      <c r="B1525" t="s">
        <v>2109</v>
      </c>
      <c r="C1525" t="s">
        <v>2110</v>
      </c>
      <c r="D1525">
        <v>1</v>
      </c>
      <c r="E1525" t="s">
        <v>10</v>
      </c>
      <c r="F1525" t="s">
        <v>11</v>
      </c>
      <c r="G1525" s="1"/>
      <c r="H1525" t="str">
        <f>""</f>
        <v/>
      </c>
      <c r="J1525" t="s">
        <v>1810</v>
      </c>
    </row>
    <row r="1526" spans="1:10" x14ac:dyDescent="0.25">
      <c r="A1526" t="s">
        <v>8</v>
      </c>
      <c r="B1526" t="s">
        <v>2111</v>
      </c>
      <c r="C1526" t="s">
        <v>2112</v>
      </c>
      <c r="D1526">
        <v>1</v>
      </c>
      <c r="E1526" t="s">
        <v>10</v>
      </c>
      <c r="F1526" t="s">
        <v>11</v>
      </c>
      <c r="G1526" s="1"/>
      <c r="H1526" t="str">
        <f>""</f>
        <v/>
      </c>
      <c r="J1526" t="s">
        <v>1810</v>
      </c>
    </row>
    <row r="1527" spans="1:10" x14ac:dyDescent="0.25">
      <c r="A1527" t="s">
        <v>8</v>
      </c>
      <c r="B1527" t="s">
        <v>2113</v>
      </c>
      <c r="C1527" t="s">
        <v>2114</v>
      </c>
      <c r="D1527">
        <v>1</v>
      </c>
      <c r="E1527" t="s">
        <v>10</v>
      </c>
      <c r="F1527" t="s">
        <v>11</v>
      </c>
      <c r="G1527" s="1"/>
      <c r="H1527" t="str">
        <f>""</f>
        <v/>
      </c>
      <c r="J1527" t="s">
        <v>2115</v>
      </c>
    </row>
    <row r="1528" spans="1:10" x14ac:dyDescent="0.25">
      <c r="A1528" t="s">
        <v>8</v>
      </c>
      <c r="B1528" t="s">
        <v>2116</v>
      </c>
      <c r="C1528" t="s">
        <v>2117</v>
      </c>
      <c r="D1528">
        <v>1</v>
      </c>
      <c r="E1528" t="s">
        <v>10</v>
      </c>
      <c r="F1528" t="s">
        <v>11</v>
      </c>
      <c r="G1528" s="1"/>
      <c r="H1528" t="str">
        <f>""</f>
        <v/>
      </c>
      <c r="J1528" t="s">
        <v>2115</v>
      </c>
    </row>
    <row r="1529" spans="1:10" x14ac:dyDescent="0.25">
      <c r="A1529" t="s">
        <v>8</v>
      </c>
      <c r="B1529" t="s">
        <v>2118</v>
      </c>
      <c r="C1529" t="s">
        <v>2119</v>
      </c>
      <c r="D1529">
        <v>1</v>
      </c>
      <c r="E1529" t="s">
        <v>10</v>
      </c>
      <c r="F1529" t="s">
        <v>11</v>
      </c>
      <c r="G1529" s="1"/>
      <c r="H1529" t="str">
        <f>""</f>
        <v/>
      </c>
      <c r="J1529" t="s">
        <v>2115</v>
      </c>
    </row>
    <row r="1530" spans="1:10" x14ac:dyDescent="0.25">
      <c r="A1530" t="s">
        <v>8</v>
      </c>
      <c r="B1530" t="s">
        <v>2120</v>
      </c>
      <c r="C1530" t="s">
        <v>2121</v>
      </c>
      <c r="D1530">
        <v>1</v>
      </c>
      <c r="E1530" t="s">
        <v>10</v>
      </c>
      <c r="F1530" t="s">
        <v>11</v>
      </c>
      <c r="G1530" s="1"/>
      <c r="H1530" t="str">
        <f>""</f>
        <v/>
      </c>
      <c r="J1530" t="s">
        <v>306</v>
      </c>
    </row>
    <row r="1531" spans="1:10" x14ac:dyDescent="0.25">
      <c r="A1531" t="s">
        <v>8</v>
      </c>
      <c r="B1531" t="s">
        <v>2122</v>
      </c>
      <c r="C1531" t="s">
        <v>2123</v>
      </c>
      <c r="D1531">
        <v>1</v>
      </c>
      <c r="E1531" t="s">
        <v>10</v>
      </c>
      <c r="F1531" t="s">
        <v>11</v>
      </c>
      <c r="G1531" s="1"/>
      <c r="H1531" t="str">
        <f>""</f>
        <v/>
      </c>
      <c r="J1531" t="s">
        <v>306</v>
      </c>
    </row>
    <row r="1532" spans="1:10" x14ac:dyDescent="0.25">
      <c r="A1532" t="s">
        <v>8</v>
      </c>
      <c r="B1532" t="s">
        <v>2124</v>
      </c>
      <c r="C1532" t="s">
        <v>2125</v>
      </c>
      <c r="D1532">
        <v>1</v>
      </c>
      <c r="E1532" t="s">
        <v>10</v>
      </c>
      <c r="F1532" t="s">
        <v>11</v>
      </c>
      <c r="G1532" s="1"/>
      <c r="H1532" t="str">
        <f>""</f>
        <v/>
      </c>
      <c r="J1532" t="s">
        <v>306</v>
      </c>
    </row>
    <row r="1533" spans="1:10" x14ac:dyDescent="0.25">
      <c r="A1533" t="s">
        <v>8</v>
      </c>
      <c r="B1533" t="s">
        <v>2126</v>
      </c>
      <c r="C1533" t="s">
        <v>2127</v>
      </c>
      <c r="D1533">
        <v>1</v>
      </c>
      <c r="E1533" t="s">
        <v>10</v>
      </c>
      <c r="F1533" t="s">
        <v>11</v>
      </c>
      <c r="G1533" s="1"/>
      <c r="H1533" t="str">
        <f>"3700920114081"</f>
        <v>3700920114081</v>
      </c>
      <c r="J1533" t="s">
        <v>478</v>
      </c>
    </row>
    <row r="1534" spans="1:10" x14ac:dyDescent="0.25">
      <c r="A1534" t="s">
        <v>8</v>
      </c>
      <c r="B1534" t="s">
        <v>2128</v>
      </c>
      <c r="C1534" t="s">
        <v>2129</v>
      </c>
      <c r="D1534">
        <v>1</v>
      </c>
      <c r="E1534" t="s">
        <v>10</v>
      </c>
      <c r="F1534" t="s">
        <v>11</v>
      </c>
      <c r="G1534" s="1"/>
      <c r="H1534" t="str">
        <f>"6410014520939"</f>
        <v>6410014520939</v>
      </c>
      <c r="J1534" t="s">
        <v>990</v>
      </c>
    </row>
    <row r="1535" spans="1:10" x14ac:dyDescent="0.25">
      <c r="A1535" t="s">
        <v>8</v>
      </c>
      <c r="B1535" t="s">
        <v>2130</v>
      </c>
      <c r="C1535" t="s">
        <v>2131</v>
      </c>
      <c r="D1535">
        <v>1</v>
      </c>
      <c r="E1535" t="s">
        <v>10</v>
      </c>
      <c r="F1535" t="s">
        <v>11</v>
      </c>
      <c r="G1535" s="1"/>
      <c r="H1535" t="str">
        <f>"6410014530938"</f>
        <v>6410014530938</v>
      </c>
      <c r="J1535" t="s">
        <v>990</v>
      </c>
    </row>
    <row r="1536" spans="1:10" x14ac:dyDescent="0.25">
      <c r="A1536" t="s">
        <v>8</v>
      </c>
      <c r="B1536" t="s">
        <v>2132</v>
      </c>
      <c r="C1536" t="s">
        <v>2133</v>
      </c>
      <c r="D1536">
        <v>1</v>
      </c>
      <c r="E1536" t="s">
        <v>10</v>
      </c>
      <c r="F1536" t="s">
        <v>11</v>
      </c>
      <c r="G1536" s="1"/>
      <c r="H1536" t="str">
        <f>"3700920110830"</f>
        <v>3700920110830</v>
      </c>
      <c r="J1536" t="s">
        <v>521</v>
      </c>
    </row>
    <row r="1537" spans="1:10" x14ac:dyDescent="0.25">
      <c r="A1537" t="s">
        <v>8</v>
      </c>
      <c r="B1537" t="s">
        <v>2134</v>
      </c>
      <c r="C1537" t="s">
        <v>2135</v>
      </c>
      <c r="D1537">
        <v>1</v>
      </c>
      <c r="E1537" t="s">
        <v>10</v>
      </c>
      <c r="F1537" t="s">
        <v>11</v>
      </c>
      <c r="G1537" s="1"/>
      <c r="H1537" t="str">
        <f>"3700920109032"</f>
        <v>3700920109032</v>
      </c>
      <c r="J1537" t="s">
        <v>421</v>
      </c>
    </row>
    <row r="1538" spans="1:10" x14ac:dyDescent="0.25">
      <c r="A1538" t="s">
        <v>8</v>
      </c>
      <c r="B1538" t="s">
        <v>2136</v>
      </c>
      <c r="C1538" t="s">
        <v>2137</v>
      </c>
      <c r="D1538">
        <v>1</v>
      </c>
      <c r="E1538" t="s">
        <v>10</v>
      </c>
      <c r="F1538" t="s">
        <v>11</v>
      </c>
      <c r="G1538" s="1"/>
      <c r="H1538" t="str">
        <f>"3700920109049"</f>
        <v>3700920109049</v>
      </c>
      <c r="J1538" t="s">
        <v>411</v>
      </c>
    </row>
    <row r="1539" spans="1:10" x14ac:dyDescent="0.25">
      <c r="A1539" t="s">
        <v>8</v>
      </c>
      <c r="B1539" t="s">
        <v>2138</v>
      </c>
      <c r="C1539" t="s">
        <v>2139</v>
      </c>
      <c r="D1539">
        <v>1</v>
      </c>
      <c r="E1539" t="s">
        <v>10</v>
      </c>
      <c r="F1539" t="s">
        <v>11</v>
      </c>
      <c r="G1539" s="1"/>
      <c r="H1539" t="str">
        <f>"3700920109056"</f>
        <v>3700920109056</v>
      </c>
      <c r="J1539" s="1">
        <v>51</v>
      </c>
    </row>
    <row r="1540" spans="1:10" x14ac:dyDescent="0.25">
      <c r="A1540" t="s">
        <v>8</v>
      </c>
      <c r="B1540" t="s">
        <v>2140</v>
      </c>
      <c r="C1540" t="s">
        <v>2141</v>
      </c>
      <c r="D1540">
        <v>1</v>
      </c>
      <c r="E1540" t="s">
        <v>10</v>
      </c>
      <c r="F1540" t="s">
        <v>11</v>
      </c>
      <c r="G1540" s="1"/>
      <c r="H1540" t="str">
        <f>"3700920109063"</f>
        <v>3700920109063</v>
      </c>
      <c r="I1540" s="1"/>
      <c r="J1540" t="s">
        <v>482</v>
      </c>
    </row>
    <row r="1541" spans="1:10" x14ac:dyDescent="0.25">
      <c r="A1541" t="s">
        <v>8</v>
      </c>
      <c r="B1541" t="s">
        <v>2142</v>
      </c>
      <c r="C1541" t="s">
        <v>2143</v>
      </c>
      <c r="D1541">
        <v>1</v>
      </c>
      <c r="E1541" t="s">
        <v>10</v>
      </c>
      <c r="F1541" t="s">
        <v>11</v>
      </c>
      <c r="G1541" s="1"/>
      <c r="H1541" t="str">
        <f>"3700920110847"</f>
        <v>3700920110847</v>
      </c>
      <c r="J1541" t="s">
        <v>403</v>
      </c>
    </row>
    <row r="1542" spans="1:10" x14ac:dyDescent="0.25">
      <c r="A1542" t="s">
        <v>8</v>
      </c>
      <c r="B1542" t="s">
        <v>2144</v>
      </c>
      <c r="C1542" t="s">
        <v>2145</v>
      </c>
      <c r="D1542">
        <v>1</v>
      </c>
      <c r="E1542" t="s">
        <v>10</v>
      </c>
      <c r="F1542" t="s">
        <v>11</v>
      </c>
      <c r="G1542" s="1"/>
      <c r="H1542" t="str">
        <f>"3700920114098"</f>
        <v>3700920114098</v>
      </c>
      <c r="J1542" t="s">
        <v>2146</v>
      </c>
    </row>
    <row r="1543" spans="1:10" x14ac:dyDescent="0.25">
      <c r="A1543" t="s">
        <v>8</v>
      </c>
      <c r="B1543" t="s">
        <v>2147</v>
      </c>
      <c r="C1543" t="s">
        <v>2148</v>
      </c>
      <c r="D1543">
        <v>1</v>
      </c>
      <c r="E1543" t="s">
        <v>10</v>
      </c>
      <c r="F1543" t="s">
        <v>11</v>
      </c>
      <c r="G1543" s="1"/>
      <c r="H1543" t="str">
        <f>"3700920106703"</f>
        <v>3700920106703</v>
      </c>
      <c r="I1543" s="1"/>
      <c r="J1543" t="s">
        <v>1410</v>
      </c>
    </row>
    <row r="1544" spans="1:10" x14ac:dyDescent="0.25">
      <c r="A1544" t="s">
        <v>8</v>
      </c>
      <c r="B1544" t="s">
        <v>2149</v>
      </c>
      <c r="C1544" t="s">
        <v>2150</v>
      </c>
      <c r="D1544">
        <v>1</v>
      </c>
      <c r="E1544" t="s">
        <v>10</v>
      </c>
      <c r="F1544" t="s">
        <v>11</v>
      </c>
      <c r="G1544" s="1"/>
      <c r="H1544" t="str">
        <f>"3700920106710"</f>
        <v>3700920106710</v>
      </c>
      <c r="I1544" s="1"/>
      <c r="J1544" t="s">
        <v>1410</v>
      </c>
    </row>
    <row r="1545" spans="1:10" x14ac:dyDescent="0.25">
      <c r="A1545" t="s">
        <v>8</v>
      </c>
      <c r="B1545" t="s">
        <v>2151</v>
      </c>
      <c r="C1545" t="s">
        <v>2152</v>
      </c>
      <c r="D1545">
        <v>1</v>
      </c>
      <c r="E1545" t="s">
        <v>10</v>
      </c>
      <c r="F1545" t="s">
        <v>11</v>
      </c>
      <c r="G1545" s="1"/>
      <c r="H1545" t="str">
        <f>"3700920106727"</f>
        <v>3700920106727</v>
      </c>
      <c r="I1545" s="1"/>
      <c r="J1545" t="s">
        <v>1410</v>
      </c>
    </row>
    <row r="1546" spans="1:10" x14ac:dyDescent="0.25">
      <c r="A1546" t="s">
        <v>8</v>
      </c>
      <c r="B1546" t="s">
        <v>2153</v>
      </c>
      <c r="C1546" t="s">
        <v>2150</v>
      </c>
      <c r="D1546">
        <v>1</v>
      </c>
      <c r="E1546" t="s">
        <v>10</v>
      </c>
      <c r="F1546" t="s">
        <v>11</v>
      </c>
      <c r="G1546" s="1"/>
      <c r="H1546" t="str">
        <f>"3700920106734"</f>
        <v>3700920106734</v>
      </c>
      <c r="J1546" t="s">
        <v>336</v>
      </c>
    </row>
    <row r="1547" spans="1:10" x14ac:dyDescent="0.25">
      <c r="A1547" t="s">
        <v>8</v>
      </c>
      <c r="B1547" t="s">
        <v>2154</v>
      </c>
      <c r="C1547" t="s">
        <v>2155</v>
      </c>
      <c r="D1547">
        <v>1</v>
      </c>
      <c r="E1547" t="s">
        <v>10</v>
      </c>
      <c r="F1547" t="s">
        <v>11</v>
      </c>
      <c r="G1547" s="1"/>
      <c r="H1547" t="str">
        <f>"3700920106741"</f>
        <v>3700920106741</v>
      </c>
      <c r="J1547" t="s">
        <v>919</v>
      </c>
    </row>
    <row r="1548" spans="1:10" x14ac:dyDescent="0.25">
      <c r="A1548" t="s">
        <v>8</v>
      </c>
      <c r="B1548" t="s">
        <v>2156</v>
      </c>
      <c r="C1548" t="s">
        <v>2157</v>
      </c>
      <c r="D1548">
        <v>1</v>
      </c>
      <c r="E1548" t="s">
        <v>10</v>
      </c>
      <c r="F1548" t="s">
        <v>11</v>
      </c>
      <c r="G1548" s="1"/>
      <c r="H1548" t="str">
        <f>"3700920106758"</f>
        <v>3700920106758</v>
      </c>
      <c r="J1548" t="s">
        <v>919</v>
      </c>
    </row>
    <row r="1549" spans="1:10" x14ac:dyDescent="0.25">
      <c r="A1549" t="s">
        <v>8</v>
      </c>
      <c r="B1549" t="s">
        <v>2158</v>
      </c>
      <c r="C1549" t="s">
        <v>2159</v>
      </c>
      <c r="D1549">
        <v>1</v>
      </c>
      <c r="E1549" t="s">
        <v>10</v>
      </c>
      <c r="F1549" t="s">
        <v>11</v>
      </c>
      <c r="G1549" s="1"/>
      <c r="H1549" t="str">
        <f>"3700920106765"</f>
        <v>3700920106765</v>
      </c>
      <c r="J1549" t="s">
        <v>919</v>
      </c>
    </row>
    <row r="1550" spans="1:10" x14ac:dyDescent="0.25">
      <c r="A1550" t="s">
        <v>8</v>
      </c>
      <c r="B1550" t="s">
        <v>2160</v>
      </c>
      <c r="C1550" t="s">
        <v>2161</v>
      </c>
      <c r="D1550">
        <v>1</v>
      </c>
      <c r="E1550" t="s">
        <v>10</v>
      </c>
      <c r="F1550" t="s">
        <v>11</v>
      </c>
      <c r="G1550" s="1"/>
      <c r="H1550" t="str">
        <f>"3700920106772"</f>
        <v>3700920106772</v>
      </c>
      <c r="J1550" t="s">
        <v>919</v>
      </c>
    </row>
    <row r="1551" spans="1:10" x14ac:dyDescent="0.25">
      <c r="A1551" t="s">
        <v>8</v>
      </c>
      <c r="B1551" t="s">
        <v>2162</v>
      </c>
      <c r="C1551" t="s">
        <v>2163</v>
      </c>
      <c r="D1551">
        <v>1</v>
      </c>
      <c r="E1551" t="s">
        <v>10</v>
      </c>
      <c r="F1551" t="s">
        <v>11</v>
      </c>
      <c r="G1551" s="1"/>
      <c r="H1551" t="str">
        <f>"3700920106789"</f>
        <v>3700920106789</v>
      </c>
      <c r="J1551" t="s">
        <v>919</v>
      </c>
    </row>
    <row r="1552" spans="1:10" x14ac:dyDescent="0.25">
      <c r="A1552" t="s">
        <v>8</v>
      </c>
      <c r="B1552" t="s">
        <v>2164</v>
      </c>
      <c r="C1552" t="s">
        <v>2165</v>
      </c>
      <c r="D1552">
        <v>1</v>
      </c>
      <c r="E1552" t="s">
        <v>10</v>
      </c>
      <c r="F1552" t="s">
        <v>11</v>
      </c>
      <c r="G1552" s="1"/>
      <c r="H1552" t="str">
        <f>"3700920106796"</f>
        <v>3700920106796</v>
      </c>
      <c r="I1552" s="1"/>
      <c r="J1552" t="s">
        <v>351</v>
      </c>
    </row>
    <row r="1553" spans="1:10" x14ac:dyDescent="0.25">
      <c r="A1553" t="s">
        <v>8</v>
      </c>
      <c r="B1553" t="s">
        <v>2166</v>
      </c>
      <c r="C1553" t="s">
        <v>2163</v>
      </c>
      <c r="D1553">
        <v>1</v>
      </c>
      <c r="E1553" t="s">
        <v>10</v>
      </c>
      <c r="F1553" t="s">
        <v>11</v>
      </c>
      <c r="G1553" s="1"/>
      <c r="H1553" t="str">
        <f>"3700920106802"</f>
        <v>3700920106802</v>
      </c>
      <c r="I1553" s="1"/>
      <c r="J1553" t="s">
        <v>351</v>
      </c>
    </row>
    <row r="1554" spans="1:10" x14ac:dyDescent="0.25">
      <c r="A1554" t="s">
        <v>8</v>
      </c>
      <c r="B1554" t="s">
        <v>2167</v>
      </c>
      <c r="C1554" t="s">
        <v>2168</v>
      </c>
      <c r="D1554">
        <v>1</v>
      </c>
      <c r="E1554" t="s">
        <v>10</v>
      </c>
      <c r="F1554" t="s">
        <v>11</v>
      </c>
      <c r="G1554" s="1"/>
      <c r="H1554" t="str">
        <f>"3700920106819"</f>
        <v>3700920106819</v>
      </c>
      <c r="I1554" s="1"/>
      <c r="J1554" t="s">
        <v>351</v>
      </c>
    </row>
    <row r="1555" spans="1:10" x14ac:dyDescent="0.25">
      <c r="A1555" t="s">
        <v>8</v>
      </c>
      <c r="B1555" t="s">
        <v>2169</v>
      </c>
      <c r="C1555" t="s">
        <v>2170</v>
      </c>
      <c r="D1555">
        <v>1</v>
      </c>
      <c r="E1555" t="s">
        <v>10</v>
      </c>
      <c r="F1555" t="s">
        <v>11</v>
      </c>
      <c r="G1555" s="1"/>
      <c r="H1555" t="str">
        <f>"3700920106628"</f>
        <v>3700920106628</v>
      </c>
      <c r="J1555" s="1">
        <v>75</v>
      </c>
    </row>
    <row r="1556" spans="1:10" x14ac:dyDescent="0.25">
      <c r="A1556" t="s">
        <v>8</v>
      </c>
      <c r="B1556" t="s">
        <v>2171</v>
      </c>
      <c r="C1556" t="s">
        <v>2172</v>
      </c>
      <c r="D1556">
        <v>1</v>
      </c>
      <c r="E1556" t="s">
        <v>10</v>
      </c>
      <c r="F1556" t="s">
        <v>11</v>
      </c>
      <c r="G1556" s="1"/>
      <c r="H1556" t="str">
        <f>"3700920106826"</f>
        <v>3700920106826</v>
      </c>
      <c r="J1556" t="s">
        <v>403</v>
      </c>
    </row>
    <row r="1557" spans="1:10" x14ac:dyDescent="0.25">
      <c r="A1557" t="s">
        <v>8</v>
      </c>
      <c r="B1557" t="s">
        <v>2173</v>
      </c>
      <c r="C1557" t="s">
        <v>2174</v>
      </c>
      <c r="D1557">
        <v>1</v>
      </c>
      <c r="E1557" t="s">
        <v>10</v>
      </c>
      <c r="F1557" t="s">
        <v>11</v>
      </c>
      <c r="G1557" s="1"/>
      <c r="H1557" t="str">
        <f>"3700920106833"</f>
        <v>3700920106833</v>
      </c>
      <c r="J1557" t="s">
        <v>2175</v>
      </c>
    </row>
    <row r="1558" spans="1:10" x14ac:dyDescent="0.25">
      <c r="A1558" t="s">
        <v>8</v>
      </c>
      <c r="B1558" t="s">
        <v>2176</v>
      </c>
      <c r="C1558" t="s">
        <v>2172</v>
      </c>
      <c r="D1558">
        <v>1</v>
      </c>
      <c r="E1558" t="s">
        <v>10</v>
      </c>
      <c r="F1558" t="s">
        <v>11</v>
      </c>
      <c r="G1558" s="1"/>
      <c r="H1558" t="str">
        <f>"3700920106840"</f>
        <v>3700920106840</v>
      </c>
      <c r="J1558" t="s">
        <v>2175</v>
      </c>
    </row>
    <row r="1559" spans="1:10" x14ac:dyDescent="0.25">
      <c r="A1559" t="s">
        <v>8</v>
      </c>
      <c r="B1559" t="s">
        <v>2177</v>
      </c>
      <c r="C1559" t="s">
        <v>2178</v>
      </c>
      <c r="D1559">
        <v>1</v>
      </c>
      <c r="E1559" t="s">
        <v>10</v>
      </c>
      <c r="F1559" t="s">
        <v>11</v>
      </c>
      <c r="G1559" s="1"/>
      <c r="H1559" t="str">
        <f>"3700920106857"</f>
        <v>3700920106857</v>
      </c>
      <c r="J1559" t="s">
        <v>2175</v>
      </c>
    </row>
    <row r="1560" spans="1:10" x14ac:dyDescent="0.25">
      <c r="A1560" t="s">
        <v>8</v>
      </c>
      <c r="B1560" t="s">
        <v>2179</v>
      </c>
      <c r="C1560" t="s">
        <v>2180</v>
      </c>
      <c r="D1560">
        <v>1</v>
      </c>
      <c r="E1560" t="s">
        <v>10</v>
      </c>
      <c r="F1560" t="s">
        <v>11</v>
      </c>
      <c r="G1560" s="1"/>
      <c r="H1560" t="str">
        <f>"3700920106864"</f>
        <v>3700920106864</v>
      </c>
      <c r="J1560" s="1">
        <v>72</v>
      </c>
    </row>
    <row r="1561" spans="1:10" x14ac:dyDescent="0.25">
      <c r="A1561" t="s">
        <v>8</v>
      </c>
      <c r="B1561" t="s">
        <v>2181</v>
      </c>
      <c r="C1561" t="s">
        <v>2182</v>
      </c>
      <c r="D1561">
        <v>1</v>
      </c>
      <c r="E1561" t="s">
        <v>10</v>
      </c>
      <c r="F1561" t="s">
        <v>11</v>
      </c>
      <c r="G1561" s="1"/>
      <c r="H1561" t="str">
        <f>"3700920106871"</f>
        <v>3700920106871</v>
      </c>
      <c r="J1561" t="s">
        <v>382</v>
      </c>
    </row>
    <row r="1562" spans="1:10" x14ac:dyDescent="0.25">
      <c r="A1562" t="s">
        <v>8</v>
      </c>
      <c r="B1562" t="s">
        <v>2183</v>
      </c>
      <c r="C1562" t="s">
        <v>2184</v>
      </c>
      <c r="D1562">
        <v>1</v>
      </c>
      <c r="E1562" t="s">
        <v>10</v>
      </c>
      <c r="F1562" t="s">
        <v>11</v>
      </c>
      <c r="G1562" s="1"/>
      <c r="H1562" t="str">
        <f>"3700920106888"</f>
        <v>3700920106888</v>
      </c>
      <c r="I1562" s="1"/>
      <c r="J1562" t="s">
        <v>351</v>
      </c>
    </row>
    <row r="1563" spans="1:10" x14ac:dyDescent="0.25">
      <c r="A1563" t="s">
        <v>8</v>
      </c>
      <c r="B1563" t="s">
        <v>2185</v>
      </c>
      <c r="C1563" t="s">
        <v>2184</v>
      </c>
      <c r="D1563">
        <v>1</v>
      </c>
      <c r="E1563" t="s">
        <v>10</v>
      </c>
      <c r="F1563" t="s">
        <v>11</v>
      </c>
      <c r="G1563" s="1"/>
      <c r="H1563" t="str">
        <f>"3700920106895"</f>
        <v>3700920106895</v>
      </c>
      <c r="J1563" t="s">
        <v>2186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Export_Tarifs_YESSS_15-36-10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martinez</dc:creator>
  <cp:lastModifiedBy>quentin martinez</cp:lastModifiedBy>
  <dcterms:created xsi:type="dcterms:W3CDTF">2026-10-22T13:37:09Z</dcterms:created>
  <dcterms:modified xsi:type="dcterms:W3CDTF">2026-10-22T13:44:50Z</dcterms:modified>
</cp:coreProperties>
</file>