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C90B322E-5BA3-4B4A-BC54-DA198284B40F}" xr6:coauthVersionLast="47" xr6:coauthVersionMax="47" xr10:uidLastSave="{00000000-0000-0000-0000-000000000000}"/>
  <bookViews>
    <workbookView xWindow="-48480" yWindow="1695" windowWidth="38700" windowHeight="15285" xr2:uid="{9A1886D6-3CEA-46EB-883B-D4B7C99F080B}"/>
  </bookViews>
  <sheets>
    <sheet name="Export_Tarifs_YESSS_15-34-13" sheetId="1" r:id="rId1"/>
  </sheets>
  <calcPr calcId="0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</calcChain>
</file>

<file path=xl/sharedStrings.xml><?xml version="1.0" encoding="utf-8"?>
<sst xmlns="http://schemas.openxmlformats.org/spreadsheetml/2006/main" count="6457" uniqueCount="2290">
  <si>
    <t>fournisseur</t>
  </si>
  <si>
    <t>reference</t>
  </si>
  <si>
    <t>libelle</t>
  </si>
  <si>
    <t>unite_de_vente</t>
  </si>
  <si>
    <t>fam_code</t>
  </si>
  <si>
    <t>fam_libelle</t>
  </si>
  <si>
    <t>pdt_code_ean</t>
  </si>
  <si>
    <t>prix_client</t>
  </si>
  <si>
    <t>LEGRAND S.N.C.</t>
  </si>
  <si>
    <t>Interrupteur ou va - et - vient témoin sans neutre Céliane 4A maxi</t>
  </si>
  <si>
    <t xml:space="preserve">LGA1060M05 </t>
  </si>
  <si>
    <t>PROG.CELIANE FONCT.EVOL.</t>
  </si>
  <si>
    <t>51.8404€</t>
  </si>
  <si>
    <t>Interrupteur à clé 2 positions Céliane 2NO 10A 230V</t>
  </si>
  <si>
    <t>82.882€</t>
  </si>
  <si>
    <t>Poussoir à tirage - Céliane - 6A - à équiper</t>
  </si>
  <si>
    <t>29.9918€</t>
  </si>
  <si>
    <t>Prise de courant standard Français Céliane 16A 250V 2P+T détrompage</t>
  </si>
  <si>
    <t>11.1244€</t>
  </si>
  <si>
    <t>Prise haut-parleur - Céliane - à équiper- en intérieur</t>
  </si>
  <si>
    <t>10.034€</t>
  </si>
  <si>
    <t>Prise télévision Céliane réseau câblé AFORM double F à visser</t>
  </si>
  <si>
    <t>45.124€</t>
  </si>
  <si>
    <t>Thermostat d'ambiance Céliane  -  plage de réglage de 10°C à 30°C  -  8A maximum</t>
  </si>
  <si>
    <t>113.39€</t>
  </si>
  <si>
    <t>Interrupteur avec ventilation retardée Céliane 250W 250VA</t>
  </si>
  <si>
    <t>120.06€</t>
  </si>
  <si>
    <t>Interrupteur à badge Céliane 230V 50Hz à 60Hz</t>
  </si>
  <si>
    <t>63.336€</t>
  </si>
  <si>
    <t>Relais pour commandes groupées de volets Céliane</t>
  </si>
  <si>
    <t>58.812€</t>
  </si>
  <si>
    <t>Enjoliveur Céliane pour interrupteur à clé 2 positions  -  Blanc</t>
  </si>
  <si>
    <t>3.3176€</t>
  </si>
  <si>
    <t>Enjoliveur large Céliane pour interrupteur , va - et - vient ou poussoir 5 commandes  -  Blanc</t>
  </si>
  <si>
    <t>14.1868€</t>
  </si>
  <si>
    <t>Enjoliveur Céliane doigt large pour interrupteur bipolaire  -  Blanc</t>
  </si>
  <si>
    <t>5.684€</t>
  </si>
  <si>
    <t>Enjoliveur Céliane doigt large pour interrupteur bipolaire à voyant  -  Blanc</t>
  </si>
  <si>
    <t>9.164€</t>
  </si>
  <si>
    <t>Enjoliveur Céliane pour variateur 3 fils 1000W  -  Blanc</t>
  </si>
  <si>
    <t>14.1926€</t>
  </si>
  <si>
    <t>Enjoliveur Céliane pour interrupteur temporisé ou interrupteur et ventilation  -  Blanc</t>
  </si>
  <si>
    <t>Enjoliveur Céliane pour interrupteur horaire programmable  -  Blanc</t>
  </si>
  <si>
    <t>3.306€</t>
  </si>
  <si>
    <t>Enjoliveur Céliane pour commande effleurement  -  Blanc</t>
  </si>
  <si>
    <t>Enjoliveur Céliane pour détecteur de balisage  -  Blanc</t>
  </si>
  <si>
    <t>3.335€</t>
  </si>
  <si>
    <t>Enjoliveur Céliane pour quadruple prise de courant 2P+T à puits précablée compacte  -  Blanc</t>
  </si>
  <si>
    <t>14.3028€</t>
  </si>
  <si>
    <t>Enjoliveur Céliane pour prise rasoir  -  Blanc</t>
  </si>
  <si>
    <t>14.3202€</t>
  </si>
  <si>
    <t>Enjoliveur Céliane pour parafoudre  -  Blanc</t>
  </si>
  <si>
    <t>Enjoliveur Céliane pour poussoir à clé 3 positions  -  Blanc</t>
  </si>
  <si>
    <t>Enjoliveur Céliane pour interrupteur volets avec programmation journalière  -  Blanc</t>
  </si>
  <si>
    <t>9.1582€</t>
  </si>
  <si>
    <t>Enjoliveur Céliane pour interrupteur à clé pour BAES  -  Blanc</t>
  </si>
  <si>
    <t>Enjoliveur Céliane pour carillon d'ambiance  -  Blanc</t>
  </si>
  <si>
    <t>Enjoliveur Céliane interrupteur à badge pour hôtel  -  blanc</t>
  </si>
  <si>
    <t>15.4918€</t>
  </si>
  <si>
    <t>Enjoliveur Céliane pour prise haut parleur simple  -  Blanc</t>
  </si>
  <si>
    <t>Enjoliveur Céliane pour prise haut parleur double  -  Blanc</t>
  </si>
  <si>
    <t>3.3118€</t>
  </si>
  <si>
    <t>Enjoliveur Céliane pour prises RCA  -  Blanc</t>
  </si>
  <si>
    <t>Enjoliveur Céliane - diffusion sonore entrée source + alimentation - blanc</t>
  </si>
  <si>
    <t>Enjoliveur Céliane - diffusion sonore commande locale avec afficheur - blanc</t>
  </si>
  <si>
    <t>Enjoliveur Céliane - extension tuner et intercommunication - blanc</t>
  </si>
  <si>
    <t>Enjoliveur Céliane pour haut parleur  -  Blanc</t>
  </si>
  <si>
    <t>Enjoliveur Céliane - alimentation pour tuner avec HP intégré - blanc</t>
  </si>
  <si>
    <t>Enjoliveur Céliane pour prise téléphone pour réseau mixte et basique  -  Blanc</t>
  </si>
  <si>
    <t>3.4336€</t>
  </si>
  <si>
    <t>Enjoliveur Céliane pour prise téléphone RJ45 et TV simple  -  Blanc</t>
  </si>
  <si>
    <t>Enjoliveur Céliane pour thermostat d'ambiance  -  Blanc</t>
  </si>
  <si>
    <t>3.3466€</t>
  </si>
  <si>
    <t>Enjoliveur Céliane - thermostat / programmateur chauffage - blanc</t>
  </si>
  <si>
    <t>Enjoliveur Céliane pour sonde pour thermostat  -  Blanc</t>
  </si>
  <si>
    <t>Enjoliveur Céliane pour thermostat fil pilote  -  Blanc</t>
  </si>
  <si>
    <t>5.7246€</t>
  </si>
  <si>
    <t>Enjoliveur Céliane pour prise RJ45  -  Blanc</t>
  </si>
  <si>
    <t>3.4278€</t>
  </si>
  <si>
    <t>Enjoliveur Céliane pour prise double RJ45  -  Blanc</t>
  </si>
  <si>
    <t>5.8928€</t>
  </si>
  <si>
    <t>Enjoliveur Céliane - switch cuivre Ethernet - blanc</t>
  </si>
  <si>
    <t>Enjoliveur Céliane pour prise pour réseaux câblés typeF à visser  -  Blanc</t>
  </si>
  <si>
    <t>Enjoliveur Céliane pour prise simple pour réseau Optimum  -  Blanc</t>
  </si>
  <si>
    <t>5.887€</t>
  </si>
  <si>
    <t>Enjoliveur Céliane pour interrupteur à clé 2 positions  -  finition titane</t>
  </si>
  <si>
    <t>5.1504€</t>
  </si>
  <si>
    <t>Enjoliveur large Céliane pour interrupteur , va - et - vient ou poussoir 5 commandes  -  finition ti</t>
  </si>
  <si>
    <t>16.1066€</t>
  </si>
  <si>
    <t>Enjoliveur doigt large Céliane pour interrupteur bipolaire  -  finition titane</t>
  </si>
  <si>
    <t>7.4994€</t>
  </si>
  <si>
    <t>Enjoliveur doigt large Céliane pour interrupteur bipolaire à voyant  -  finition titane</t>
  </si>
  <si>
    <t>10.962€</t>
  </si>
  <si>
    <t>Enjoliveur Céliane pour interrupteur temporisé ou pour interrupteur et ventilation  -  finition tita</t>
  </si>
  <si>
    <t>7.4936€</t>
  </si>
  <si>
    <t>Enjoliveur Céliane pour interrupteur horaire programmable  -  finition titane</t>
  </si>
  <si>
    <t>Enjoliveur Céliane pour commande tactile verre Kaolin  -  finition titane</t>
  </si>
  <si>
    <t>38.5758€</t>
  </si>
  <si>
    <t>Enjoliveur Céliane pour commande à effleurement  -  finition titane</t>
  </si>
  <si>
    <t>5.1388€</t>
  </si>
  <si>
    <t>Enjoliveur Céliane pour détecteur de balisage  -  finition titane</t>
  </si>
  <si>
    <t>Enjoliveur Céliane pour quadruple prise de courant 2P+T à puits précablée compacte  -  finition tita</t>
  </si>
  <si>
    <t>17.8814€</t>
  </si>
  <si>
    <t>Enjoliveur Céliane pour prise rasoir  -  finition titane</t>
  </si>
  <si>
    <t>Enjoliveur Céliane pour parafoudre  -  finition titane</t>
  </si>
  <si>
    <t>Enjoliveur Céliane pour poussoir à clé 3 positions  -  finition titane</t>
  </si>
  <si>
    <t>5.1562€</t>
  </si>
  <si>
    <t>Enjoliveur Céliane pour interrupteur volets avec programmation journalière  -  finition titane</t>
  </si>
  <si>
    <t>10.9794€</t>
  </si>
  <si>
    <t>Enjoliveur Céliane pour interrupteur à clé pour BAES  -  finition titane</t>
  </si>
  <si>
    <t>Enjoliveur Céliane pour carillon d'ambiance  -  finition titane</t>
  </si>
  <si>
    <t>7.5052€</t>
  </si>
  <si>
    <t>Enjoliveur Céliane pour prise haut parleur simple  -  finition titane</t>
  </si>
  <si>
    <t>Enjoliveur Céliane pour prise haut parleur double  -  finition titane</t>
  </si>
  <si>
    <t>Enjoliveur Céliane pour prises RCA  -  finition titane</t>
  </si>
  <si>
    <t>Enjoliveur Céliane pour tuner - finition titane</t>
  </si>
  <si>
    <t>Enjoliveur Céliane - diffusion sonore entrée source + alimentation - titane</t>
  </si>
  <si>
    <t>Enjoliveur Céliane - diffusion sonore commande locale avec afficheur - titane</t>
  </si>
  <si>
    <t>Enjoliveur Céliane - extension tuner et interrupteur communication - titane</t>
  </si>
  <si>
    <t>Enjoliveur Céliane pour haut parleur  -  finition titane</t>
  </si>
  <si>
    <t>Enjoliveur Céliane pour prise téléphone pour réseau mixte et basique  -  finition titane</t>
  </si>
  <si>
    <t>5.307€</t>
  </si>
  <si>
    <t>Enjoliveur Céliane pour prise téléphone RJ45 et TV simple  -  finition titane</t>
  </si>
  <si>
    <t>Enjoliveur Céliane pour thermostat d'ambiance  -  finition titane</t>
  </si>
  <si>
    <t>5.191€</t>
  </si>
  <si>
    <t>Enjoliveur Céliane - thermostat / programmateur chauffage - titane</t>
  </si>
  <si>
    <t>Enjoliveur Céliane pour sonde pour thermostat  -  finition titane</t>
  </si>
  <si>
    <t>Enjoliveur Céliane pour thermostat fil pilote  -  finition titane</t>
  </si>
  <si>
    <t>7.5516€</t>
  </si>
  <si>
    <t>Enjoliveur Céliane pour prise RJ45  -  finition titane</t>
  </si>
  <si>
    <t>5.3012€</t>
  </si>
  <si>
    <t>Enjoliveur Céliane pour prise double RJ45  -  finition titane</t>
  </si>
  <si>
    <t>7.7604€</t>
  </si>
  <si>
    <t>Enjoliveur Céliane - switch cuivre Ethernet - titane</t>
  </si>
  <si>
    <t>Enjoliveur Céliane pour prise pour réseaux câblés typeF à visser  -  finition titane</t>
  </si>
  <si>
    <t>Enjoliveur Céliane pour prise simple pour réseau Optimum  -  finition titane</t>
  </si>
  <si>
    <t>Cadre saillie Céliane 1 poste - finition blanc</t>
  </si>
  <si>
    <t>11.8262€</t>
  </si>
  <si>
    <t>Cadre saillie Céliane 2 postes horizontal ou vertical blanc</t>
  </si>
  <si>
    <t>23.6582€</t>
  </si>
  <si>
    <t>Cadre saillie Céliane 1 poste - finition titane</t>
  </si>
  <si>
    <t>13.9316€</t>
  </si>
  <si>
    <t>Cadre saillie Céliane 2 postes horizontal ou vertical titane</t>
  </si>
  <si>
    <t>27.8574€</t>
  </si>
  <si>
    <t>Cordon pour mécanisme à tirage 1,5 mètres</t>
  </si>
  <si>
    <t>16.4894€</t>
  </si>
  <si>
    <t>Poussoir Céliane 6A contact NO bornes libre de potentiel</t>
  </si>
  <si>
    <t>10.9156€</t>
  </si>
  <si>
    <t>Prise de courant standard germanique Céliane 16A 250V 2P+T contact latéral</t>
  </si>
  <si>
    <t>8.6536€</t>
  </si>
  <si>
    <t>Prise de courant standard américain Céliane 15A 2P+T</t>
  </si>
  <si>
    <t>12.6498€</t>
  </si>
  <si>
    <t>Prise audio jack 3.5mm - pour Céliane- en intérieur</t>
  </si>
  <si>
    <t>47.3918€</t>
  </si>
  <si>
    <t>Enjoliveur antimicrobien Céliane pour interrupteur , va - et - vient ou poussoir  -  Blanc</t>
  </si>
  <si>
    <t>3.3408€</t>
  </si>
  <si>
    <t>Enjoliveur antimicrobien Céliane pour double interrupteur , va - et - vient ou poussoir  -  Blanc</t>
  </si>
  <si>
    <t>6.844€</t>
  </si>
  <si>
    <t>Enjoliveur antimicrobien Céliane pour interrupteur , va - et - vient ou poussoir avec voyant  -  Bla</t>
  </si>
  <si>
    <t>10.324€</t>
  </si>
  <si>
    <t xml:space="preserve">Enjoliveur antimicrobien Céliane pour double interrupteur , va - et - vient ou poussoir avec voyant </t>
  </si>
  <si>
    <t>11.1766€</t>
  </si>
  <si>
    <t>Enjoliveur antimicrobien Céliane pour prise de courant 2P ou 2P+T  -  Blanc</t>
  </si>
  <si>
    <t>3.2886€</t>
  </si>
  <si>
    <t>Enjoliveur antimicrobien Céliane pour prise téléphone réseau mixte ou basique  -  Blanc</t>
  </si>
  <si>
    <t>5.3186€</t>
  </si>
  <si>
    <t>Enjoliveur antimicrobien Céliane pour prise télévision mâle ou typeF à visser  -  Blanc</t>
  </si>
  <si>
    <t>3.3814€</t>
  </si>
  <si>
    <t>Enjoliveur antimicrobien Céliane pour interrupteur ou poussoir de volets roulants  -  Blanc</t>
  </si>
  <si>
    <t>10.353€</t>
  </si>
  <si>
    <t>Enjoliveur Céliane pour interrupteur , va - et - vient ou poussoir porte étiquette  -  Blanc</t>
  </si>
  <si>
    <t>15.4802€</t>
  </si>
  <si>
    <t>Enjoliveur Céliane pour interrupteur , va - et - vient ou poussoir 5 commandes avec voyant  -  Blanc</t>
  </si>
  <si>
    <t>Enjoliveur Céliane pour prise de courant 2P+T à puits germanique  -  Blanc</t>
  </si>
  <si>
    <t>Enjoliveur Céliane pour prise de courant 2P+T à puits britannique  -  Blanc</t>
  </si>
  <si>
    <t>Enjoliveur Céliane pour prise de courant 2P+T à puits américain  -  Blanc</t>
  </si>
  <si>
    <t>Enjoliveur Céliane pour double prises RCA  -  Blanc</t>
  </si>
  <si>
    <t>Enjoliveur Céliane pour prise vidéo HD15  -  Blanc</t>
  </si>
  <si>
    <t>5.6724€</t>
  </si>
  <si>
    <t>Enjoliveur Céliane pour prise audio et video HDMI  -  Blanc</t>
  </si>
  <si>
    <t>Enjoliveur Céliane pour interrupteur , va - et - vient ou poussoir porte étiquette  -  finition tita</t>
  </si>
  <si>
    <t>17.2898€</t>
  </si>
  <si>
    <t>Enjoliveur Céliane pour interrupteur , va - et - vient ou poussoir 5 commandes avec voyant  -  finit</t>
  </si>
  <si>
    <t>17.922€</t>
  </si>
  <si>
    <t>Enjoliveur Céliane pour commande tactile verre  -  finition graphite</t>
  </si>
  <si>
    <t>Enjoliveur Céliane pour prise de courant 2P+T à puits germanique  -  finition titane</t>
  </si>
  <si>
    <t>Enjoliveur Céliane pour prise de courant 2P+T à puits britannique  -  finition titane</t>
  </si>
  <si>
    <t>Enjoliveur Céliane pour prise de courant 2P+T à puits américain  -  finition titane</t>
  </si>
  <si>
    <t>Enjoliveur Céliane pour double prises RCA  -  finition titane</t>
  </si>
  <si>
    <t>Enjoliveur Céliane pour prise vidéo HD15  -  finition titane</t>
  </si>
  <si>
    <t>7.4878€</t>
  </si>
  <si>
    <t>Enjoliveur Céliane pour prise audio et video HDMI  -  finition titane</t>
  </si>
  <si>
    <t>Plaque Céliane 1 poste blanc antimicrobien</t>
  </si>
  <si>
    <t>5.1272€</t>
  </si>
  <si>
    <t>Plaque Céliane 2 postes blanc antimicrobien</t>
  </si>
  <si>
    <t>10.2312€</t>
  </si>
  <si>
    <t>Plaque Céliane 3 postes blanc antimicrobien</t>
  </si>
  <si>
    <t>15.3584€</t>
  </si>
  <si>
    <t>Prise USB femelle - à connecter - Céliane</t>
  </si>
  <si>
    <t>63.626€</t>
  </si>
  <si>
    <t>Enjoliveur Céliane pour prise USB  -  Blanc</t>
  </si>
  <si>
    <t>3.3234€</t>
  </si>
  <si>
    <t>Enjoliveur Céliane pour prise USB  -  finition titane</t>
  </si>
  <si>
    <t>Poussoir d'appel avec indicateur lumineux 6A 230V</t>
  </si>
  <si>
    <t>44.5846€</t>
  </si>
  <si>
    <t>Enjoliveur simple Céliane IP44 pour référence 067001 ou 067031  -  Blanc</t>
  </si>
  <si>
    <t>4.8546€</t>
  </si>
  <si>
    <t>Enjoliveur simple à voyant Céliane IP44 pour référence 067001 ou 067031  -  Blanc</t>
  </si>
  <si>
    <t>30.5312€</t>
  </si>
  <si>
    <t>Enjoliveur double à voyant Céliane IP44 pour référence 067001 ou 067031  -  Blanc</t>
  </si>
  <si>
    <t>33.901€</t>
  </si>
  <si>
    <t>Enjoliveur avec porte étiquette Céliane IP44 pour référence 067001 ou 067031  -  Blanc</t>
  </si>
  <si>
    <t>38.7092€</t>
  </si>
  <si>
    <t>Enjoliveur Céliane pour commande de volets roulants pour hôtel  -  Blanc</t>
  </si>
  <si>
    <t>Enjoliveur Céliane pour commande de stores  -  Blanc</t>
  </si>
  <si>
    <t>16.64€</t>
  </si>
  <si>
    <t>9.1698€</t>
  </si>
  <si>
    <t xml:space="preserve">Enjoliveur Céliane pour interrupteur ou va - et - vient avec symbole Ne pas déranger pour hôtel  -  </t>
  </si>
  <si>
    <t>15.5324€</t>
  </si>
  <si>
    <t>Enjoliveur Céliane pour interrupteur ou poussoir de commande générale pour hôtel  -  Blanc</t>
  </si>
  <si>
    <t>Enjoliveur Céliane pour commande de lampes de chevets pour hôtel  -  Blanc</t>
  </si>
  <si>
    <t>5.6956€</t>
  </si>
  <si>
    <t>Enjoliveur Céliane pour commande de lampes d'entrée ou bureau pour hôtel  -  Blanc</t>
  </si>
  <si>
    <t>Enjoliveur Céliane pour attenuateur 25W  -  Blanc</t>
  </si>
  <si>
    <t>Enjoliveur Céliane pour prise HD15 et jack  -  Blanc</t>
  </si>
  <si>
    <t>Enjoliveur Céliane pour prise enrouleur RJ45  -  Blanc</t>
  </si>
  <si>
    <t>14.297€</t>
  </si>
  <si>
    <t>Enjoliveur Céliane pour commande de volets roulants pour hôtel  -  finition titane</t>
  </si>
  <si>
    <t>Enjoliveur Céliane pour commande de stores  -  finition titane</t>
  </si>
  <si>
    <t>10.9852€</t>
  </si>
  <si>
    <t>Enjoliveur Céliane pour interrupteur ou va - et - vient avec symbole Ne pas déranger  -  finition ti</t>
  </si>
  <si>
    <t>Enjoliveur Céliane pour interrupteur ou poussoir de commande générale hôtel  -  finition titane</t>
  </si>
  <si>
    <t>Enjoliveur Céliane pour commande de lampes de chevets pour hôtel  -  finition titane</t>
  </si>
  <si>
    <t>Enjoliveur Céliane pour commande de lampes d'entrée ou bureau pour hôtel  -  finition titane</t>
  </si>
  <si>
    <t>Enjoliveur Céliane pour attenuateur 25W  -  finition titane</t>
  </si>
  <si>
    <t>Enjoliveur Céliane pour prise HD15 et jack  -  finition titane</t>
  </si>
  <si>
    <t>Enjoliveur Céliane pour prise enrouleur RJ45  -  finition titane</t>
  </si>
  <si>
    <t>Plaque Céliane IP44 2 postes - Finition blanc</t>
  </si>
  <si>
    <t>18.009€</t>
  </si>
  <si>
    <t>Enjoliveur Céliane pour variateur pour ventilateur  -  finition titane</t>
  </si>
  <si>
    <t>Enjoliveur Céliane pour variateur pour ventilateur  -  Blanc</t>
  </si>
  <si>
    <t>Enjoliveur simple Céliane IP44 pour sortie de câble  -  Blanc</t>
  </si>
  <si>
    <t>12.2438€</t>
  </si>
  <si>
    <t>Enjoliveur Céliane pour prise banana simple  -  Blanc</t>
  </si>
  <si>
    <t>Enjoliveur Céliane détecteur avec bouton poussoir  -  titane</t>
  </si>
  <si>
    <t>4.3848€</t>
  </si>
  <si>
    <t>Prise USB femelle pré - connectorisée Céliane</t>
  </si>
  <si>
    <t>67.28€</t>
  </si>
  <si>
    <t>Interrupteur à badge RFID Céliane 230V 50Hz à 60Hz</t>
  </si>
  <si>
    <t>85.376€</t>
  </si>
  <si>
    <t>Enjoliveur Céliane pour prise XLR femelle  -  finition titane</t>
  </si>
  <si>
    <t>Prise XLR femelle - Céliane - à équiper- en intérieur</t>
  </si>
  <si>
    <t>56.2484€</t>
  </si>
  <si>
    <t>Enjoliveur Céliane pour prise optique  -  Blanc</t>
  </si>
  <si>
    <t>Enjoliveur Céliane pour prise banana double  -  finition titane</t>
  </si>
  <si>
    <t>Enjoliveur Céliane pour prise XLR femelle  -  Blanc</t>
  </si>
  <si>
    <t>Prise TV - SAT Céliane étoile blindée  -  Classe A compatible 4G Lte</t>
  </si>
  <si>
    <t>22.0806€</t>
  </si>
  <si>
    <t>Enjoliveur Céliane pour prise banana double  -  Blanc</t>
  </si>
  <si>
    <t>Prise audio et vidéo HDMI typeA Céliane pré - connectorisée</t>
  </si>
  <si>
    <t>44.6542€</t>
  </si>
  <si>
    <t>Enjoliveur Céliane pour prise banana simple  -  finition titane</t>
  </si>
  <si>
    <t>Enjoliveur Céliane pour prise TV - SAT  -  finition titane</t>
  </si>
  <si>
    <t>Prise HT banana - Céliane - à équiper- en intérieur</t>
  </si>
  <si>
    <t>42.6184€</t>
  </si>
  <si>
    <t>Prise HD15 femelle et jack 3,5mm pré - connectorisée Céliane</t>
  </si>
  <si>
    <t>71.746€</t>
  </si>
  <si>
    <t>Enjoliveur Céliane pour prise TV - SAT  -  Blanc</t>
  </si>
  <si>
    <t>Chargeur double USB Céliane typeA 2,4A 12W</t>
  </si>
  <si>
    <t>32.2422€</t>
  </si>
  <si>
    <t>Enjoliveur Céliane pour chargeur double USB Type - A  -  finition titane</t>
  </si>
  <si>
    <t>5.1156€</t>
  </si>
  <si>
    <t>Enjoliveur Céliane pour chargeur double USB Type - A  -  Blanc</t>
  </si>
  <si>
    <t>Enjoliveur Céliane pour spot pour escalier  -  Blanc</t>
  </si>
  <si>
    <t>Enjoliveur Céliane pour spot pour escalier  -  finition titane</t>
  </si>
  <si>
    <t>5.1852€</t>
  </si>
  <si>
    <t>Enjoliveur Céliane pour prise quadruple pour réseau Optimum auto  -  Blanc</t>
  </si>
  <si>
    <t>Enjoliveur Céliane pour prise quadruple pour réseau Optimum auto  -  finition titane</t>
  </si>
  <si>
    <t>Enjoliveur large Céliane pour interrupteur , va - et - vient ou poussoir lumineux  -  Blanc</t>
  </si>
  <si>
    <t>Enjoliveur large Céliane pour interrupteur , va - et - vient ou poussoir lumineux  -  finition titan</t>
  </si>
  <si>
    <t>Couronne lumineuse 230V Céliane fonction témoin ou lumineux</t>
  </si>
  <si>
    <t>24.737€</t>
  </si>
  <si>
    <t>Enjoliveur large Céliane pour interrupteur , va - et - vient ou poussoir lumineux  -  finition graph</t>
  </si>
  <si>
    <t>Permutateur - Céliane - 10AX - à équiper - en intérieur</t>
  </si>
  <si>
    <t>27.5268€</t>
  </si>
  <si>
    <t>Interrupteur bipolaire - Céliane - 10AX- à équiper</t>
  </si>
  <si>
    <t>20.3116€</t>
  </si>
  <si>
    <t>Prise de courant et chargeur double USB Type - A 2,4A précâblées Céliane</t>
  </si>
  <si>
    <t>37.2128€</t>
  </si>
  <si>
    <t>Prise de courant double 2P+T précâblée standard français Céliane</t>
  </si>
  <si>
    <t>10.2718€</t>
  </si>
  <si>
    <t>Prise de courant triple 2P+T précâblée standard français Céliane</t>
  </si>
  <si>
    <t>15.428€</t>
  </si>
  <si>
    <t>Prise de courant quadruple 2P+T compacte précâblée standard français Céliane</t>
  </si>
  <si>
    <t>20.5958€</t>
  </si>
  <si>
    <t>Enjoliveur à volet Céliane IP44 pour prise de courant 2P+T  -  Blanc</t>
  </si>
  <si>
    <t>4.7734€</t>
  </si>
  <si>
    <t>Enjoliveur Céliane pour prise haut parleur simple  -  finition graphite</t>
  </si>
  <si>
    <t>Enjoliveur Céliane pour prise haut parleur double  -  finition graphite</t>
  </si>
  <si>
    <t>Enjoliveur Céliane pour prise audio et video HDMI  -  finition graphite</t>
  </si>
  <si>
    <t>Enjoliveur Céliane pour interface Bluetooth  -  finition graphite</t>
  </si>
  <si>
    <t>Enjoliveur Céliane pour prises RCA  -  finition graphite</t>
  </si>
  <si>
    <t>Enjoliveur Céliane pour double prises RCA  -  finition graphite</t>
  </si>
  <si>
    <t>Enjoliveur Céliane pour tuner - Finition graphite</t>
  </si>
  <si>
    <t>Enjoliveur Céliane - diffusion sonore entrée source + alimentation - graphite</t>
  </si>
  <si>
    <t>Enjoliveur Céliane pour prise banana simple  -  finition graphite</t>
  </si>
  <si>
    <t>Enjoliveur Céliane - diffusion sonore commande locale avec afficheur - graphite</t>
  </si>
  <si>
    <t>Enjoliveur Céliane pour prise banana double  -  finition graphite</t>
  </si>
  <si>
    <t>Enjoliveur Céliane - alimentation pour tuner avec HP intégré - graphite</t>
  </si>
  <si>
    <t>Enjoliveur Céliane pour prise pour réseaux câblés typeF à visser  -  finition graphite</t>
  </si>
  <si>
    <t>Enjoliveur large Céliane pour interrupteur , va - et - vient ou poussoir 5 commandes  -  finition gr</t>
  </si>
  <si>
    <t>Enjoliveur Céliane interrupteur à badge  -  graphite</t>
  </si>
  <si>
    <t>17.313€</t>
  </si>
  <si>
    <t>Enjoliveur Céliane pour prise de courant 2P+T Surface à voyant  -  finition graphite</t>
  </si>
  <si>
    <t>7.5168€</t>
  </si>
  <si>
    <t>Enjoliveur Céliane pour prise de courant 2P+T Surface et chargeur USB semi encastré  -  finition gra</t>
  </si>
  <si>
    <t>Enjoliveur large Céliane - Interrupteur/va-et-vient Intuition - graphite</t>
  </si>
  <si>
    <t>Station d'accueil Céliane pour smartphone - graphite</t>
  </si>
  <si>
    <t>Enjoliveur Céliane pour interrupteur horaire programmable  -  finition graphite</t>
  </si>
  <si>
    <t>Enjoliveur Céliane pour variateur 3 fils 1000W  -  finition graphite</t>
  </si>
  <si>
    <t>16.1356€</t>
  </si>
  <si>
    <t>Enjoliveur Céliane pour prise rasoir  -  finition graphite</t>
  </si>
  <si>
    <t>Enjoliveur Céliane pour interrupteur temporisé ou interrupteur et ventilation  -  finition graphite</t>
  </si>
  <si>
    <t>Enjoliveur Céliane pour prise téléphone pour réseau mixte et basique  -  finition graphite</t>
  </si>
  <si>
    <t>Enjoliveur Céliane pour prise téléphone RJ45 et TV simple  -  finition graphite</t>
  </si>
  <si>
    <t>Enjoliveur Céliane pour commande à effleurement  -  finition graphite</t>
  </si>
  <si>
    <t>Enjoliveur Céliane pour prise USB  -  finition graphite</t>
  </si>
  <si>
    <t>5.133€</t>
  </si>
  <si>
    <t>Enjoliveur Céliane pour prise double RJ45  -  finition graphite</t>
  </si>
  <si>
    <t>Enjoliveur Céliane pour commande de volets roulants pour hôtel  -  finition graphite</t>
  </si>
  <si>
    <t>Enjoliveur Céliane pour interrupteur volets avec programmation journalière  -  finition graphite</t>
  </si>
  <si>
    <t>Enjoliveur Céliane pour lampe débrochable autonome  -  finition graphite</t>
  </si>
  <si>
    <t>5.1446€</t>
  </si>
  <si>
    <t>Enjoliveur Céliane pour thermostat d'ambiance  -  finition graphite</t>
  </si>
  <si>
    <t>Enjoliveur Céliane pour prise simple pour réseau Optimum  -  finition graphite</t>
  </si>
  <si>
    <t>Enjoliveur Céliane - thermostat / programmateur chauffage - graphite</t>
  </si>
  <si>
    <t>Enjoliveur Céliane pour thermostat fil pilote  -  finition graphite</t>
  </si>
  <si>
    <t>Enjoliveur Céliane pour prise quadruple pour réseau Optimum auto  -  finition graphite</t>
  </si>
  <si>
    <t>Enjoliveur Céliane pour prise TV - SAT  -  finition graphite</t>
  </si>
  <si>
    <t>Enjoliveur large Céliane - Interrupteur/va-et-vient Intuition - blanc</t>
  </si>
  <si>
    <t>Enjoliveur Céliane pour lampe débrochable autonome  -  Blanc</t>
  </si>
  <si>
    <t>Enjoliveur Céliane pour prise de courant 2P+T à puits  -  Blanc</t>
  </si>
  <si>
    <t>1.2818€</t>
  </si>
  <si>
    <t>Enjoliveur Céliane pour quadruple prise de courant 2P+T Surface précablée compacte  -  Blanc</t>
  </si>
  <si>
    <t>14.3086€</t>
  </si>
  <si>
    <t>Enjoliveur Céliane pour prise de courant 2P+T Surface et chargeur USB semi encastré  -  Blanc</t>
  </si>
  <si>
    <t>Enjoliveur Céliane pour interface Bluetooth  -  Blanc</t>
  </si>
  <si>
    <t>Station d'accueil Céliane pour smartphone - blanc</t>
  </si>
  <si>
    <t>15.486€</t>
  </si>
  <si>
    <t>Enjoliveur large Céliane - Interrupteur/va-et-vient Intuition - titane</t>
  </si>
  <si>
    <t>Enjoliveur Céliane pour lampe débrochable autonome  -  finition titane</t>
  </si>
  <si>
    <t>Enjoliveur Céliane pour prise de courant 2P+T à puits  -  finition titane</t>
  </si>
  <si>
    <t>5.61€</t>
  </si>
  <si>
    <t>3.0914€</t>
  </si>
  <si>
    <t>Enjoliveur Céliane pour quadruple prise de courant 2P+T Surface précablée compacte  -  finition tita</t>
  </si>
  <si>
    <t>17.8988€</t>
  </si>
  <si>
    <t>Enjoliveur Céliane pour prise de courant 2P+T Surface et chargeur USB semi encastré  -  finition tit</t>
  </si>
  <si>
    <t>Station d'accueil Céliane pour smartphone - titane</t>
  </si>
  <si>
    <t>Cadre saillie Céliane 3 postes horizontal ou vertical blanc</t>
  </si>
  <si>
    <t>35.5308€</t>
  </si>
  <si>
    <t>Cadre saillie Céliane 3 postes horizontal ou vertical titane</t>
  </si>
  <si>
    <t>41.7774€</t>
  </si>
  <si>
    <t>Enjoliveur Céliane pour prise de courant 2P+T à puits germanique  -  finition graphite</t>
  </si>
  <si>
    <t>Enjoliveur Céliane pour prise de courant 2P+T à puits américain  -  finition graphite</t>
  </si>
  <si>
    <t>Enjoliveur Céliane pour atténuateur 25W  -  finition graphite</t>
  </si>
  <si>
    <t>Enjoliveur Céliane pour prise audio jack 3,5mm  -  finition graphite</t>
  </si>
  <si>
    <t>Enjoliveur Céliane pour prise HD15 et Jack 3,5mm  -  finition graphite</t>
  </si>
  <si>
    <t>Enjoliveur Céliane - extension tuner et interrupteur communication - graphite</t>
  </si>
  <si>
    <t>Enjoliveur Céliane pour haut - parleur  -  finition graphite</t>
  </si>
  <si>
    <t>Enjoliveur Céliane pour inter variateur pour ventilateur  -  finition graphite</t>
  </si>
  <si>
    <t>7.7024€</t>
  </si>
  <si>
    <t>Enjoliveur Céliane - switch cuivre Ethernet - graphite</t>
  </si>
  <si>
    <t>Enjoliveur Céliane pour prise vidéo HD15  -  finition graphite</t>
  </si>
  <si>
    <t>Enjoliveur Céliane pour quadruple prise de courant 2P+T à puits précâblée compacte  -  finition grap</t>
  </si>
  <si>
    <t>Enjoliveur Céliane pour interrupteur à clé pour BAES  -  finition graphite</t>
  </si>
  <si>
    <t>Enjoliveur Céliane pour prise XLR femelle  -  finition graphite</t>
  </si>
  <si>
    <t>Enjoliveur Céliane pour prise de courant 2P+T à puits britannique  -  finition graphite</t>
  </si>
  <si>
    <t>Enjoliveur Céliane pour sonde pour thermostat  -  finition graphite</t>
  </si>
  <si>
    <t>Enjoliveur Céliane pour parafoudre  -  finition graphite</t>
  </si>
  <si>
    <t>Enjoliveur Céliane pour spot pour escalier  -  finition graphite</t>
  </si>
  <si>
    <t>Enjoliveur Céliane pour poussoir à clé 3 positions  -  finition graphite</t>
  </si>
  <si>
    <t>Enjoliveur Céliane pour prise enrouleur RJ45  -  finition graphite</t>
  </si>
  <si>
    <t>Enjoliveur Céliane pour interrupteur ou poussoir de commande générale pour hôtel  -  finition graphi</t>
  </si>
  <si>
    <t>Enjoliveur Céliane pour commande de lampes d'entrée ou bureau pour hôtel  -  finition graphite</t>
  </si>
  <si>
    <t>Enjoliveur Céliane pour commande de lampes de chevets pour hôtel  -  finition graphite</t>
  </si>
  <si>
    <t>Enjoliveur Céliane pour commande de stores  -  finition graphite</t>
  </si>
  <si>
    <t>Enjoliveur Céliane pour carillon d'ambiance  -  finition graphite</t>
  </si>
  <si>
    <t>7.511€</t>
  </si>
  <si>
    <t>Enjoliveur Céliane pour prise optique SC - APC  -  finition graphite</t>
  </si>
  <si>
    <t>Chargeur double USB Céliane typeA et typeC 3A</t>
  </si>
  <si>
    <t>32.1552€</t>
  </si>
  <si>
    <t>Prise double USB - Céliane - Type-C 3A 15W</t>
  </si>
  <si>
    <t>32.1436€</t>
  </si>
  <si>
    <t>Poussoir inverseur Céliane 6A contact NO - NF ou poussoir VMC</t>
  </si>
  <si>
    <t xml:space="preserve">LGA1059M05 </t>
  </si>
  <si>
    <t>PROG.CELIANE FONCT.20/80</t>
  </si>
  <si>
    <t>9.024€</t>
  </si>
  <si>
    <t>Prise de courant standard Français Céliane 16A 250V 2P</t>
  </si>
  <si>
    <t>4.5072€</t>
  </si>
  <si>
    <t>Prise de courant standard Français Céliane 16A 250V 2P+T bornes automatiques</t>
  </si>
  <si>
    <t>3.864€</t>
  </si>
  <si>
    <t>Prise de courant standard Français Céliane 16A 250V 2P+T bornes à vis</t>
  </si>
  <si>
    <t>5.7408€</t>
  </si>
  <si>
    <t>Sortie de cable Céliane livrée avec serre - câbles</t>
  </si>
  <si>
    <t>7.0992€</t>
  </si>
  <si>
    <t>Sortie de cable Céliane bornes automatiques face avant livrées avec serre - câbles</t>
  </si>
  <si>
    <t>18.984€</t>
  </si>
  <si>
    <t>Prise téléphone - Gamme Céliane - 8 contacts</t>
  </si>
  <si>
    <t>11.7648€</t>
  </si>
  <si>
    <t>Prise télévision Céliane simple typeF à visser compatible 4G et Lte</t>
  </si>
  <si>
    <t>9.5232€</t>
  </si>
  <si>
    <t>Prise TV - R - SAT Céliane étoile blindée  -  Classe A compatible 4G Lte – radio FM et DAB+</t>
  </si>
  <si>
    <t>25.4976€</t>
  </si>
  <si>
    <t>Interrupteur pour volets roulants Céliane commande directe de moteur 6A 250V~</t>
  </si>
  <si>
    <t>22.5456€</t>
  </si>
  <si>
    <t>Poussoir pour volets roulants Céliane commande par boitier d'automatisme 6A 250V~</t>
  </si>
  <si>
    <t>57.78€</t>
  </si>
  <si>
    <t>26.3472€</t>
  </si>
  <si>
    <t>Enjoliveur large Céliane pour interrupteur , va - et - vient ou poussoir Soft  -  Blanc</t>
  </si>
  <si>
    <t>1.0848€</t>
  </si>
  <si>
    <t>Enjoliveur large Céliane pour double interrupteur , va - et - vient ou poussoir  -  Blanc</t>
  </si>
  <si>
    <t>4.0032€</t>
  </si>
  <si>
    <t>Enjoliveur large Céliane pour toutes commandes d'éclairage standard  -  Blanc</t>
  </si>
  <si>
    <t>6.8112€</t>
  </si>
  <si>
    <t>Enjoliveur large Céliane pour double interrupteur , va - et - vient ou poussoir avec voyant  -  Blan</t>
  </si>
  <si>
    <t>7.5888€</t>
  </si>
  <si>
    <t>Enjoliveur Céliane pour prise de courant 2P+T Surface  -  Blanc</t>
  </si>
  <si>
    <t>1.0608€</t>
  </si>
  <si>
    <t>Enjoliveur Céliane pour sortie de câble  -  Blanc</t>
  </si>
  <si>
    <t>2.736€</t>
  </si>
  <si>
    <t>Obturateur - Céliane - finition blanc- à équiper</t>
  </si>
  <si>
    <t>Enjoliveur Céliane pour commande pour volets roulants , stores ou fenêtre de toit  -  Blanc</t>
  </si>
  <si>
    <t>7.0656€</t>
  </si>
  <si>
    <t>Enjoliveur Céliane pour prise téléphone 8 contacts  -  Blanc</t>
  </si>
  <si>
    <t>84.672€</t>
  </si>
  <si>
    <t>Enjoliveur Céliane pour prise télévision simple mâle ou typeF à visser  -  Blanc</t>
  </si>
  <si>
    <t>1.1136€</t>
  </si>
  <si>
    <t>Enjoliveur Céliane pour prise TV - R - SAT  -  Blanc</t>
  </si>
  <si>
    <t>2.7408€</t>
  </si>
  <si>
    <t>Enjoliveur large Céliane pour interrupteur , va - et - vient ou poussoir Soft  -  finition titane</t>
  </si>
  <si>
    <t>2.5824€</t>
  </si>
  <si>
    <t>Enjoliveur large Céliane pour double interrupteur , va - et - vient ou poussoir  -  finition titane</t>
  </si>
  <si>
    <t>5.496€</t>
  </si>
  <si>
    <t>Enjoliveur large Céliane pour double interrupteur , va - et - vient ou poussoir avec voyant  -  fini</t>
  </si>
  <si>
    <t>9.072€</t>
  </si>
  <si>
    <t>Enjoliveur Céliane pour commande VMC  -  finition titane</t>
  </si>
  <si>
    <t>4.2432€</t>
  </si>
  <si>
    <t>Enjoliveur Céliane pour prise de courant 2P+T Surface  -  finition titane</t>
  </si>
  <si>
    <t>2.5632€</t>
  </si>
  <si>
    <t>Enjoliveur Céliane pour sortie de câble  -  finition titane</t>
  </si>
  <si>
    <t>4.2336€</t>
  </si>
  <si>
    <t>Obturateur - Céliane - Finition titane- à équiper</t>
  </si>
  <si>
    <t>Enjoliveur Céliane pour commande pour volets roulants , stores ou fenêtre de toit  -  finition titan</t>
  </si>
  <si>
    <t>8.568€</t>
  </si>
  <si>
    <t>Enjoliveur Céliane pour prise téléphone 8 contacts  -  finition titane</t>
  </si>
  <si>
    <t>2.3472€</t>
  </si>
  <si>
    <t>Enjoliveur Céliane pour prise télévision simple mâle ou typeF à visser  -  finition titane</t>
  </si>
  <si>
    <t>2.6112€</t>
  </si>
  <si>
    <t>Enjoliveur Céliane pour prise TV - R - SAT  -  finition titane</t>
  </si>
  <si>
    <t>4.2384€</t>
  </si>
  <si>
    <t>Poussoir pour volets roulants Céliane commande directe 6A 250V~</t>
  </si>
  <si>
    <t>24.3072€</t>
  </si>
  <si>
    <t>Enjoliveur étroit Céliane pour interrupteur , va - et - vient ou poussoir Soft  -  Blanc</t>
  </si>
  <si>
    <t>1.0944€</t>
  </si>
  <si>
    <t>Enjoliveur étroit Céliane pour double interrupteur , va - et - vient ou poussoir  -  Blanc</t>
  </si>
  <si>
    <t>Enjoliveur étroit Céliane pour interrupteur , va - et - vient ou poussoir lumineux  -  Blanc</t>
  </si>
  <si>
    <t>6.816€</t>
  </si>
  <si>
    <t>Enjoliveur étroit Céliane pour interrupteur , va - et - vient ou poussoir Soft  -  finition titane</t>
  </si>
  <si>
    <t>2.6016€</t>
  </si>
  <si>
    <t>Enjoliveur étroit Céliane pour double interrupteur , va - et - vient ou poussoir  -  finition titane</t>
  </si>
  <si>
    <t>Enjoliveur étroit Céliane pour interrupteur , va - et - vient ou poussoir lumineux  -  finition tita</t>
  </si>
  <si>
    <t>8.3136€</t>
  </si>
  <si>
    <t>Enjoliveur étroit Céliane pour interrupteur , va - et - vient ou poussoir lumineux  -  finition grap</t>
  </si>
  <si>
    <t>8.328€</t>
  </si>
  <si>
    <t>Enjoliveur large Céliane pour interrupteur , va - et - vient ou poussoir Soft  -  finition graphite</t>
  </si>
  <si>
    <t>2.5872€</t>
  </si>
  <si>
    <t>Enjoliveur large Céliane pour double interrupteur , va - et - vient ou poussoir  -  finition graphit</t>
  </si>
  <si>
    <t>Enjoliveur large Céliane pour toutes commandes d'éclairage standard  -  finition graphite</t>
  </si>
  <si>
    <t>Enjoliveur Céliane pour double interrupteur , va - et - vient ou poussoir à voyant  -  finition grap</t>
  </si>
  <si>
    <t>Enjoliveur Céliane pour prise de courant 2P+T Surface  -  finition graphite</t>
  </si>
  <si>
    <t>Enjoliveur Céliane pour prise de courant 2P+T à puits  -  finition graphite</t>
  </si>
  <si>
    <t>2.5584€</t>
  </si>
  <si>
    <t>Enjoliveur Céliane doigt large pour interrupteur bipolaire  -  finition graphite</t>
  </si>
  <si>
    <t>6.2016€</t>
  </si>
  <si>
    <t>Enjoliveur Céliane doigt large pour interrupteur bipolaire à voyant  -  finition graphite</t>
  </si>
  <si>
    <t>Enjoliveur Céliane pour interrupteur , va - et - vient ou poussoir porte étiquette  -  finition grap</t>
  </si>
  <si>
    <t>14.3088€</t>
  </si>
  <si>
    <t>Enjoliveur Céliane pour prise téléphone 8 contacts  -  finition graphite</t>
  </si>
  <si>
    <t>Enjoliveur Céliane pour sortie de câble  -  finition graphite</t>
  </si>
  <si>
    <t>Obturateur - Céliane - finition graphite- à équiper</t>
  </si>
  <si>
    <t>Enjoliveur Céliane commande pour volets roulants ou stores ou fenêtre de toit  -  finition graphite</t>
  </si>
  <si>
    <t>Enjoliveur Céliane pour commande VMC  -  finition graphite</t>
  </si>
  <si>
    <t>Enjoliveur Céliane pour prise télévision simple mâle ou typeF à visser  -  finition graphite</t>
  </si>
  <si>
    <t>2.6304€</t>
  </si>
  <si>
    <t>Enjoliveur Céliane pour prise TV - R - SAT  -  finition graphite</t>
  </si>
  <si>
    <t>4.2864€</t>
  </si>
  <si>
    <t>Enjoliveur Céliane pour prise de courant 2P+T Surface rouge pour repérage</t>
  </si>
  <si>
    <t>2.568€</t>
  </si>
  <si>
    <t>Enjoliveur Céliane pour prise de courant 2P+T Surface à voyant  -  Blanc</t>
  </si>
  <si>
    <t>4.7184€</t>
  </si>
  <si>
    <t>Enjoliveur Céliane pour prise de courant 2P+T Surface à voyant  -  finition titane</t>
  </si>
  <si>
    <t>6.2304€</t>
  </si>
  <si>
    <t>Interrupteur automatique de balisage Céliane 20lux</t>
  </si>
  <si>
    <t xml:space="preserve">LGA1274M05 </t>
  </si>
  <si>
    <t>DÉTECT AUTO APPAREILLAGE RÉSI</t>
  </si>
  <si>
    <t>107.706€</t>
  </si>
  <si>
    <t>Interrupteur ou va et vient ou commande de VMC Céliane Complet - 10 AX - 230 V alternatif</t>
  </si>
  <si>
    <t xml:space="preserve">LGA1064M05 </t>
  </si>
  <si>
    <t>PROG CELIANE PREMONT BLC</t>
  </si>
  <si>
    <t>9.4424€</t>
  </si>
  <si>
    <t>Double interrupteur ou va-et-vient Céliane 10AX avec enjoliveur blanc et support</t>
  </si>
  <si>
    <t>19.2212€</t>
  </si>
  <si>
    <t>Interrupteur ou va-et-vient à voyant Céliane 10AX enjoliveur blanc et support</t>
  </si>
  <si>
    <t>25.8158€</t>
  </si>
  <si>
    <t>VA ET VIENT + POUSSOIR INVERSEUR COMPLET BLANC</t>
  </si>
  <si>
    <t>23.606€</t>
  </si>
  <si>
    <t>Prise de courant standard Français Céliane Complet - 16A - 250V - 2P+T - bornes auto</t>
  </si>
  <si>
    <t>7.7314€</t>
  </si>
  <si>
    <t>Sortie de câble - Céliane - Finition blanc</t>
  </si>
  <si>
    <t>13.7344€</t>
  </si>
  <si>
    <t>Poussoir inverseur à voyant Céliane 6A avec enjoliveur blanc et support</t>
  </si>
  <si>
    <t>30.3688€</t>
  </si>
  <si>
    <t>Prise téléphone 8 contacts en T Céliane avec enjoliveur blanc et support</t>
  </si>
  <si>
    <t>17.632€</t>
  </si>
  <si>
    <t>Interrupteur pour volets roulants et stores Céliane enjoliveur blanc et support</t>
  </si>
  <si>
    <t>37.468€</t>
  </si>
  <si>
    <t>Poussoir pour volets roulants Céliane avec enjoliveur blanc et support</t>
  </si>
  <si>
    <t>44.6426€</t>
  </si>
  <si>
    <t>PRISE TV SIMPLE DIAMETRE 9,52 MALE COMPL  BLANC</t>
  </si>
  <si>
    <t>13.369€</t>
  </si>
  <si>
    <t>Prise TV RD SAT Céliane avec enjoliveur blanc et support</t>
  </si>
  <si>
    <t>35.8498€</t>
  </si>
  <si>
    <t>Obturateur Céliane avec enjoliveur blanc et support</t>
  </si>
  <si>
    <t>Prise téléphone RJ45 Céliane avec enjoliveur blanc et support</t>
  </si>
  <si>
    <t>20.4508€</t>
  </si>
  <si>
    <t>Va-et-vient témoin Céliane avec enjoliveur blanc et support</t>
  </si>
  <si>
    <t>33.0716€</t>
  </si>
  <si>
    <t>Prise de courant standard 2P+T Céliane 16A avec enjoliveur blanc et support</t>
  </si>
  <si>
    <t>CELIANE CHARGEUR 2 USB A+A 2.4A 12W BLANC COMP</t>
  </si>
  <si>
    <t>37.2244€</t>
  </si>
  <si>
    <t>Poussoir avec porte-étiquette Céliane avec enjoliveur blanc et support</t>
  </si>
  <si>
    <t>27.8806€</t>
  </si>
  <si>
    <t>Poussoir VMC Céliane avec enjoliveur blanc et support</t>
  </si>
  <si>
    <t>15.9616€</t>
  </si>
  <si>
    <t>Double va-et-vient 10AX Céliane - avec enjoliveur titane</t>
  </si>
  <si>
    <t xml:space="preserve">LGA1065M05 </t>
  </si>
  <si>
    <t>PROG CELIANE PREMONT TIT</t>
  </si>
  <si>
    <t>20.9786€</t>
  </si>
  <si>
    <t>VA ET VIENT 10 AX A VOYANT COMPLET TITAN E</t>
  </si>
  <si>
    <t>27.7356€</t>
  </si>
  <si>
    <t>VA ET VIENT + POUSSOIR INVERSEUR COMPLET  TITANE</t>
  </si>
  <si>
    <t>25.6708€</t>
  </si>
  <si>
    <t>PRISE 2P+T BORNES AUTOMATIQUES COMPLET T ITANE</t>
  </si>
  <si>
    <t>9.657€</t>
  </si>
  <si>
    <t>Sortie de câble Céliane avec enjoliveur titane et support</t>
  </si>
  <si>
    <t>15.6832€</t>
  </si>
  <si>
    <t>Poussoir inverseur Céliane 6A avec enjoliveur titane et support</t>
  </si>
  <si>
    <t>15.892€</t>
  </si>
  <si>
    <t>PRISE TELEPHONE 8 CONTACTS COMPLET TITAN E</t>
  </si>
  <si>
    <t>19.923€</t>
  </si>
  <si>
    <t>INTERRUPTEUR VOLETS ROULANTS / STORES / BANNES COMPLET TITANE</t>
  </si>
  <si>
    <t>39.3588€</t>
  </si>
  <si>
    <t>POUSSOIR VOLETS ROULANTS / STORES / BANN ES COMPLET TITANE</t>
  </si>
  <si>
    <t>54.5142€</t>
  </si>
  <si>
    <t>Prise TV simple mâle Céliane avec enjoliveur titane et support</t>
  </si>
  <si>
    <t>15.3816€</t>
  </si>
  <si>
    <t>Prise TV R SAT Céliane avec enjoliveur titane et support</t>
  </si>
  <si>
    <t>37.7638€</t>
  </si>
  <si>
    <t>PRISE TELEPHONE RJ45 CAT.5E FTP COMPLET TITANE</t>
  </si>
  <si>
    <t>22.8752€</t>
  </si>
  <si>
    <t>Va-et-vient témoin Céliane avec enjoliveur titane et support</t>
  </si>
  <si>
    <t>34.9624€</t>
  </si>
  <si>
    <t>Prise 2P+T Céliane avec enjoliveur titane et support</t>
  </si>
  <si>
    <t>9.6512€</t>
  </si>
  <si>
    <t>CELIANE CHARGEUR 2 USB A+A 2.4A 12W TITANE COMP</t>
  </si>
  <si>
    <t>39.1384€</t>
  </si>
  <si>
    <t>Poussoir VMC Céliane avec enjoliveur titane et support</t>
  </si>
  <si>
    <t>17.777€</t>
  </si>
  <si>
    <t>Enjoliveur Céliane pour commande pour télévariateur  -  Blanc</t>
  </si>
  <si>
    <t xml:space="preserve">LGA3105M05 </t>
  </si>
  <si>
    <t>AUTRES FONCT.CPL/IR/RADIO</t>
  </si>
  <si>
    <t>9.81€</t>
  </si>
  <si>
    <t>Enjoliveur Céliane pour interrupteur individuel radio - RTS Somfy  -  Blanc</t>
  </si>
  <si>
    <t>Enjoliveur Céliane pour commande pour télévariateur  -  finition titane</t>
  </si>
  <si>
    <t>11.76€</t>
  </si>
  <si>
    <t>Enjoliveur Céliane pour interrupteur individuel radio - RTS Somfy  -  finition titane</t>
  </si>
  <si>
    <t>11.766€</t>
  </si>
  <si>
    <t>Coupleur de phase CPL - 2 modules DIN - Lexic</t>
  </si>
  <si>
    <t>177.36€</t>
  </si>
  <si>
    <t>Etiquettes avec pictogramme pour repérage des fonctions Céliane blanc</t>
  </si>
  <si>
    <t>7.584€</t>
  </si>
  <si>
    <t>Etiquettes avec pictogramme pour repérage des fonctions Céliane graphite</t>
  </si>
  <si>
    <t>Enjoliveur Céliane pour commande pour télévariateur  -  finition graphite</t>
  </si>
  <si>
    <t>Plaque Céliane Laqué 3 postes pour rénovation entraxe 57mm  -  finition Blanc</t>
  </si>
  <si>
    <t xml:space="preserve">LGA1041M05 </t>
  </si>
  <si>
    <t>PROG.CELIANE LAQUE</t>
  </si>
  <si>
    <t>6.583€</t>
  </si>
  <si>
    <t>Plaque Céliane Laqué 2x2 postes  -  finition Blanc</t>
  </si>
  <si>
    <t>8.8044€</t>
  </si>
  <si>
    <t>Plaque Céliane Laqué 2x3 postes  -  finition Blanc</t>
  </si>
  <si>
    <t>13.2182€</t>
  </si>
  <si>
    <t>Plaque Céliane Laqué 1 poste  -  finition Blanc</t>
  </si>
  <si>
    <t>1.9952€</t>
  </si>
  <si>
    <t>Plaque Céliane Laqué 2 postes  -  finition Blanc</t>
  </si>
  <si>
    <t>3.9904€</t>
  </si>
  <si>
    <t>Plaque Céliane Laqué 4 postes  -  finition Blanc</t>
  </si>
  <si>
    <t>7.9866€</t>
  </si>
  <si>
    <t>Plaque Céliane Laqué 4 à 5 modules  -  finition Blanc</t>
  </si>
  <si>
    <t>5.9856€</t>
  </si>
  <si>
    <t>Plaque Céliane Laqué 6 à 8 modules  -  finition Blanc</t>
  </si>
  <si>
    <t>7.9576€</t>
  </si>
  <si>
    <t>Plaque Céliane Laqué 1 poste  -  finition Gris perle</t>
  </si>
  <si>
    <t>Plaque Céliane Laqué 2 postes  -  finition Gris perle</t>
  </si>
  <si>
    <t>Plaque Céliane Laqué 4 postes  -  finition Gris perle</t>
  </si>
  <si>
    <t>Plaque Céliane Laqué 1 poste  -  finition Ivoire</t>
  </si>
  <si>
    <t>Plaque Céliane Laqué 2 postes  -  finition Ivoire</t>
  </si>
  <si>
    <t>Plaque Céliane Laqué 3 postes  -  finition Ivoire</t>
  </si>
  <si>
    <t>Plaque Céliane Laqué 4 postes  -  finition Ivoire</t>
  </si>
  <si>
    <t>Plaque Céliane Laqué 3 postes  -  finition Galet</t>
  </si>
  <si>
    <t>Plaque Céliane Laqué 2 postes  -  finition Noir</t>
  </si>
  <si>
    <t>Plaque Céliane Laqué 4 postes  -  finition Noir</t>
  </si>
  <si>
    <t>Plaque Céliane Métal 1 module  -  finition Titane</t>
  </si>
  <si>
    <t xml:space="preserve">LGA1061M05 </t>
  </si>
  <si>
    <t>PROG.CELIANE METAL</t>
  </si>
  <si>
    <t>16.1936€</t>
  </si>
  <si>
    <t>Plaque Céliane Métal 3 postes  -  finition Titane</t>
  </si>
  <si>
    <t>31.6274€</t>
  </si>
  <si>
    <t>Plaque Céliane Métal 4 postes  -  finition Titane</t>
  </si>
  <si>
    <t>42.224€</t>
  </si>
  <si>
    <t>Plaque Céliane Métal 4 à 5 modules  -  finition Titane</t>
  </si>
  <si>
    <t>31.726€</t>
  </si>
  <si>
    <t>Plaque Céliane Métal 6 à 8 modules  -  finition Titane</t>
  </si>
  <si>
    <t>42.0964€</t>
  </si>
  <si>
    <t>Plaque Céliane Métal grand format  -  finition Titane</t>
  </si>
  <si>
    <t>45.5648€</t>
  </si>
  <si>
    <t>Plaque Céliane Métal 2 postes pour rénovation entraxe 57mm  -  finition Titane</t>
  </si>
  <si>
    <t>23.2754€</t>
  </si>
  <si>
    <t>Plaque Céliane Métal 2 postes  -  finition Aluminium</t>
  </si>
  <si>
    <t>21.1468€</t>
  </si>
  <si>
    <t>Plaque Céliane Métal 4 postes  -  finition Aluminium</t>
  </si>
  <si>
    <t>42.1776€</t>
  </si>
  <si>
    <t>Plaque Céliane Métal 4 à 5 modules  -  finition Aluminium</t>
  </si>
  <si>
    <t>Plaque Céliane Métal 6 à 8 modules  -  finition Aluminium</t>
  </si>
  <si>
    <t>42.0616€</t>
  </si>
  <si>
    <t>Plaque Céliane Métal 2 postes pour rénovation entraxe 57mm  -  finition Aluminium</t>
  </si>
  <si>
    <t>Plaque Céliane Métal 3 postes pour rénovation entraxe 57mm  -  finition Aluminium</t>
  </si>
  <si>
    <t>34.8406€</t>
  </si>
  <si>
    <t>Plaque Céliane Métal 2x2 postes  -  finition Titane</t>
  </si>
  <si>
    <t>46.8872€</t>
  </si>
  <si>
    <t>Plaque Céliane Métal 2x2 postes  -  finition Carbone</t>
  </si>
  <si>
    <t>46.69€</t>
  </si>
  <si>
    <t>Plaque Céliane Métal 1 poste  -  finition Tungstène</t>
  </si>
  <si>
    <t>10.5792€</t>
  </si>
  <si>
    <t>Plaque Céliane Métal 3 postes  -  finition Tungstène</t>
  </si>
  <si>
    <t>Plaque Céliane Métal 4 postes  -  finition Tungstène</t>
  </si>
  <si>
    <t>Plaque Céliane Métal 4 à 5 modules  -  finition Tungstène</t>
  </si>
  <si>
    <t>Plaque Céliane Métal 6 à 8 modules  -  finition Tungstène</t>
  </si>
  <si>
    <t>Plaque Céliane Métal 2 postes pour rénovation entraxe 57mm  -  finition Tungstène</t>
  </si>
  <si>
    <t>Plaque Céliane Métal 3 postes pour rénovation entraxe 57mm  -  finition Tungstène</t>
  </si>
  <si>
    <t>34.8€</t>
  </si>
  <si>
    <t>Plaque Céliane Métal 1 poste  -  finition Carbone</t>
  </si>
  <si>
    <t>10.5676€</t>
  </si>
  <si>
    <t>Plaque Céliane Métal 2 postes  -  finition Carbone</t>
  </si>
  <si>
    <t>Plaque Céliane Métal 3 postes  -  finition Carbone</t>
  </si>
  <si>
    <t>Plaque Céliane Métal 4 postes  -  finition Carbone</t>
  </si>
  <si>
    <t>42.34€</t>
  </si>
  <si>
    <t>Plaque Céliane Métal 4 à 5 modules  -  finition Carbone</t>
  </si>
  <si>
    <t>Plaque Céliane Métal 6 à 8 modules  -  finition Carbone</t>
  </si>
  <si>
    <t>Plaque Céliane Métal 2 postes pour rénovation entraxe 57mm  -  finition Carbone</t>
  </si>
  <si>
    <t>Plaque Céliane Métal 3 postes pour rénovation entraxe 57mm  -  finition Carbone</t>
  </si>
  <si>
    <t>34.9044€</t>
  </si>
  <si>
    <t>Plaque Céliane Métal 2x3 postes  -  finition Carbone</t>
  </si>
  <si>
    <t>69.716€</t>
  </si>
  <si>
    <t>Plaque Céliane Métal 1 poste  -  finition Copper</t>
  </si>
  <si>
    <t>Plaque Céliane Métal 2 postes  -  finition Copper</t>
  </si>
  <si>
    <t>Plaque Céliane Métal 3 postes  -  finition Copper</t>
  </si>
  <si>
    <t>Plaque Céliane Métal 4 postes  -  finition Copper</t>
  </si>
  <si>
    <t>Plaque Céliane Métal 2 postes pour rénovation entraxe 57mm  -  finition Copper</t>
  </si>
  <si>
    <t>Plaque Céliane Métal 2x3 postes  -  finition Aluminium</t>
  </si>
  <si>
    <t>68.962€</t>
  </si>
  <si>
    <t>Plaque Céliane Métal 2x2 postes  -  finition Aluminium</t>
  </si>
  <si>
    <t>46.5276€</t>
  </si>
  <si>
    <t>Plaque Céliane Métal 2x2 postes  -  finition Tungstène</t>
  </si>
  <si>
    <t>46.5044€</t>
  </si>
  <si>
    <t>Plaque Céliane Métal 2x3 postes  -  finition Tungstène</t>
  </si>
  <si>
    <t>Plaque Céliane Laqué 3 postes pour rénovation entraxe 57mm  -  finition Copper</t>
  </si>
  <si>
    <t>Plaque Céliane Métal 4 à 5 modules  -  finition Copper</t>
  </si>
  <si>
    <t>Plaque Céliane Métal 6 à 8 modules  -  finition Copper</t>
  </si>
  <si>
    <t>Plaque Céliane Métal 2x2 postes  -  finition Copper</t>
  </si>
  <si>
    <t>46.4638€</t>
  </si>
  <si>
    <t>Plaque Céliane Métal 2x3 postes  -  finition Copper</t>
  </si>
  <si>
    <t>Plaque Céliane Métal 1 poste  -  finition Nuit d'Encre</t>
  </si>
  <si>
    <t>Plaque Céliane Métal 2 postes  -  finition Nuit d'Encre</t>
  </si>
  <si>
    <t>Plaque Céliane Métal 3 postes  -  finition Nuit d'Encre</t>
  </si>
  <si>
    <t>31.755€</t>
  </si>
  <si>
    <t>Plaque Céliane Métal 4 postes  -  finition Nuit d'Encre</t>
  </si>
  <si>
    <t>42.3632€</t>
  </si>
  <si>
    <t>Plaque Céliane Métal 2 postes  -  finition Laiton</t>
  </si>
  <si>
    <t>Plaque Céliane Métal 3 postes  -  finition Laiton</t>
  </si>
  <si>
    <t>31.668€</t>
  </si>
  <si>
    <t>Plaque Céliane Métal 4 postes  -  finition Laiton</t>
  </si>
  <si>
    <t>Plaque Céliane Matières 2 postes  -  finition Inox Brossé</t>
  </si>
  <si>
    <t xml:space="preserve">LGA1062M05 </t>
  </si>
  <si>
    <t>PROG.CELIANE MATIERES</t>
  </si>
  <si>
    <t>63.278€</t>
  </si>
  <si>
    <t>Plaque Céliane Matières 4 à 5 modules  -  finition Inox Brossé</t>
  </si>
  <si>
    <t>94.83€</t>
  </si>
  <si>
    <t>Plaque Céliane Matières 6 à 8 modules  -  finition Inox Brossé</t>
  </si>
  <si>
    <t>126.324€</t>
  </si>
  <si>
    <t>Plaque Céliane Matières 3 postes pour rénovation entraxe 57mm  -  finition Inox Brossé</t>
  </si>
  <si>
    <t>104.4€</t>
  </si>
  <si>
    <t>Plaque Céliane Matières 1 poste  -  finition Nickel Velours</t>
  </si>
  <si>
    <t>Plaque Céliane Matières 2 postes  -  finition Nickel Velours</t>
  </si>
  <si>
    <t>Plaque Céliane Matières 4 postes  -  finition Nickel Velours</t>
  </si>
  <si>
    <t>126.73€</t>
  </si>
  <si>
    <t>Plaque Céliane Matières 4 à 5 modules  -  finition Nickel Velours</t>
  </si>
  <si>
    <t>Plaque Céliane Matières 2 postes pour rénovation entraxe 57mm  -  finition Nickel Velours</t>
  </si>
  <si>
    <t>69.774€</t>
  </si>
  <si>
    <t>Plaque Céliane Matières 3 postes pour rénovation entraxe 57mm  -  finition Nickel Velours</t>
  </si>
  <si>
    <t>Plaque Céliane Matières 1 poste  -  finition Teinté Wengué</t>
  </si>
  <si>
    <t>Plaque Céliane Matières 2 postes  -  finition Teinté Wengué</t>
  </si>
  <si>
    <t>63.452€</t>
  </si>
  <si>
    <t>Plaque Céliane Matières 3 postes  -  finition Teinté Wengué</t>
  </si>
  <si>
    <t>95.062€</t>
  </si>
  <si>
    <t>Plaque Céliane Matières 4 postes  -  finition Teinté Wengué</t>
  </si>
  <si>
    <t>126.962€</t>
  </si>
  <si>
    <t>Plaque Céliane Matières 4 à 5 modules  -  finition Teinté Wengué</t>
  </si>
  <si>
    <t>Plaque Céliane Matières 2 postes pour rénovation entraxe 57mm  -  finition Teinté Wengué</t>
  </si>
  <si>
    <t>Plaque Céliane Matières 1 poste  -  finition Erable</t>
  </si>
  <si>
    <t>Plaque Céliane Matières 2 postes  -  finition Erable</t>
  </si>
  <si>
    <t>63.51€</t>
  </si>
  <si>
    <t>Plaque Céliane Matières 3 postes  -  finition Erable</t>
  </si>
  <si>
    <t>Plaque Céliane Matières 4 postes  -  finition Erable</t>
  </si>
  <si>
    <t>Plaque Céliane Matières 4 à 5 modules  -  finition Erable</t>
  </si>
  <si>
    <t>Plaque Céliane Matières 2 postes pour rénovation entraxe 57mm  -  finition Erable</t>
  </si>
  <si>
    <t>Plaque Céliane Matières 3 postes pour rénovation entraxe 57mm  -  finition Erable</t>
  </si>
  <si>
    <t>104.69€</t>
  </si>
  <si>
    <t>Plaque Céliane Matières 2 postes  -  finition Acajou</t>
  </si>
  <si>
    <t>Plaque Céliane Matières 3 postes  -  finition Acajou</t>
  </si>
  <si>
    <t>Plaque Céliane Matières 4 postes  -  finition Acajou</t>
  </si>
  <si>
    <t>126.556€</t>
  </si>
  <si>
    <t>Plaque Céliane Matières 1 poste  -  finition Verre Kaolin</t>
  </si>
  <si>
    <t>42.2936€</t>
  </si>
  <si>
    <t>Plaque Céliane Matières 2 postes  -  finition Verre Kaolin</t>
  </si>
  <si>
    <t>84.68€</t>
  </si>
  <si>
    <t>Plaque Céliane Matières 4 postes  -  finition Verre Kaolin</t>
  </si>
  <si>
    <t>169.476€</t>
  </si>
  <si>
    <t>Plaque Céliane Matières 4 à 5 modules  -  finition Verre Kaolin</t>
  </si>
  <si>
    <t>126.846€</t>
  </si>
  <si>
    <t>Plaque Céliane Matières 1 poste  -  finition Verre Piano</t>
  </si>
  <si>
    <t>42.3284€</t>
  </si>
  <si>
    <t>Plaque Céliane Matières 2 postes  -  finition Verre Piano</t>
  </si>
  <si>
    <t>84.622€</t>
  </si>
  <si>
    <t>Plaque Céliane Matières 3 postes  -  finition Verre Piano</t>
  </si>
  <si>
    <t>127.02€</t>
  </si>
  <si>
    <t>Plaque Céliane Matières 4 postes  -  finition Verre Piano</t>
  </si>
  <si>
    <t>169.418€</t>
  </si>
  <si>
    <t>Plaque Céliane Matières 4 à 5 modules  -  finition Verre Piano</t>
  </si>
  <si>
    <t>Plaque Céliane Matières 1 poste  -  finition Verre Miroir</t>
  </si>
  <si>
    <t>42.3458€</t>
  </si>
  <si>
    <t>Plaque Céliane Matières 2 postes  -  finition Verre Miroir</t>
  </si>
  <si>
    <t>Plaque Céliane Matières 3 postes  -  finition Verre Miroir</t>
  </si>
  <si>
    <t>Plaque Céliane Matières 4 postes  -  finition Verre Miroir</t>
  </si>
  <si>
    <t>Plaque Céliane Matières 4 à 5 modules  -  finition Verre Miroir</t>
  </si>
  <si>
    <t>Plaque Céliane Matières 1 poste  -  finition Songe ( porcelaine )</t>
  </si>
  <si>
    <t>78.996€</t>
  </si>
  <si>
    <t>Plaque Céliane Matières 2 postes  -  finition Songe ( porcelaine )</t>
  </si>
  <si>
    <t>157.876€</t>
  </si>
  <si>
    <t>Plaque Céliane Matières 2 postes  -  finition Ardoise</t>
  </si>
  <si>
    <t>118.552€</t>
  </si>
  <si>
    <t>Plaque Céliane Matières 3 postes  -  finition Ardoise</t>
  </si>
  <si>
    <t>178.06€</t>
  </si>
  <si>
    <t>Plaque Céliane Matières 4 à 5 modules  -  finition Ardoise</t>
  </si>
  <si>
    <t>177.886€</t>
  </si>
  <si>
    <t>Plaque Céliane Matières 2 postes  -  finition Bronze Doré</t>
  </si>
  <si>
    <t>Plaque Céliane Matières 3 postes  -  finition Bronze Doré</t>
  </si>
  <si>
    <t>94.946€</t>
  </si>
  <si>
    <t>Plaque Céliane Matières 4 postes  -  finition Bronze Doré</t>
  </si>
  <si>
    <t>Plaque Céliane Matières 4 à 5 modules  -  finition Bronze Doré</t>
  </si>
  <si>
    <t>92.8€</t>
  </si>
  <si>
    <t>Plaque Céliane Matières 1 poste  -  finition Corian® Cannelé</t>
  </si>
  <si>
    <t>Plaque Céliane Matières 3 postes  -  finition Corian® Cannelé</t>
  </si>
  <si>
    <t>Plaque Céliane Matières 4 postes  -  finition Corian® Cannelé</t>
  </si>
  <si>
    <t>169.244€</t>
  </si>
  <si>
    <t>Plaque Céliane Matières 4 à 5 modules  -  finition Corian® Cannelé</t>
  </si>
  <si>
    <t>Plaque Céliane Matières 1 poste  -  finition Corian® Gougé</t>
  </si>
  <si>
    <t>Plaque Céliane Matières 2 postes  -  finition Corian® Gougé</t>
  </si>
  <si>
    <t>Plaque Céliane Matières 3 postes  -  finition Corian® Gougé</t>
  </si>
  <si>
    <t>Plaque Céliane Matières 4 postes  -  finition Corian® Gougé</t>
  </si>
  <si>
    <t>Plaque Céliane Matières 4 à 5 modules  -  finition Corian® Gougé</t>
  </si>
  <si>
    <t>Plaque Céliane Matières 1 poste  -  finition Chêne Blanchi</t>
  </si>
  <si>
    <t>Plaque Céliane Matières 2 postes  -  finition Chêne Blanchi</t>
  </si>
  <si>
    <t>Plaque Céliane Matières 3 postes  -  finition Chêne Blanchi</t>
  </si>
  <si>
    <t>94.888€</t>
  </si>
  <si>
    <t>Plaque Céliane Matières 4 postes  -  finition Chêne Blanchi</t>
  </si>
  <si>
    <t>126.672€</t>
  </si>
  <si>
    <t>Plaque Céliane Matières 4 à 5 modules  -  finition Chêne Blanchi</t>
  </si>
  <si>
    <t>Plaque Céliane Matières 2 postes pour rénovation entraxe 57mm  -  finition Chêne Blanchi</t>
  </si>
  <si>
    <t>69.6€</t>
  </si>
  <si>
    <t>Plaque Céliane Matières 1 poste  -  finition Cuir Pixel</t>
  </si>
  <si>
    <t>42.456€</t>
  </si>
  <si>
    <t>Plaque Céliane Matières 2 postes  -  finition Cuir Pixel</t>
  </si>
  <si>
    <t>84.854€</t>
  </si>
  <si>
    <t>Plaque Céliane Matières 3 postes  -  finition Cuir Pixel</t>
  </si>
  <si>
    <t>Poussoir coup de poing arrêt d'urgence Mosaic 2 modules NO+NF 3A 250V~ déverrouillable par clé  -  r</t>
  </si>
  <si>
    <t xml:space="preserve">LGB1251M05 </t>
  </si>
  <si>
    <t>PROG.MOSAIC AUTRES FONCT.</t>
  </si>
  <si>
    <t>106.68€</t>
  </si>
  <si>
    <t>Poussoir coup de poing arrêt d'urgence Mosaic 2 modules NO+NF 3A 250V~ déverrouillable par 1/4 de to</t>
  </si>
  <si>
    <t>92.52€</t>
  </si>
  <si>
    <t xml:space="preserve">Interrupteur à clé pour BAES Mosaic 2 modules en complément de la télécommande référence 003900  -  </t>
  </si>
  <si>
    <t>122.7€</t>
  </si>
  <si>
    <t>Thermostat d'ambiance électronique Mosaic 2 modules avec alimentation 230V~ 50Hz ou 60Hz  -  blanc</t>
  </si>
  <si>
    <t>162.24€</t>
  </si>
  <si>
    <t>Interrupteur ou va - et - vient à tirage 10AX 250V~ Mosaic 1 module avec voyant  -  blanc</t>
  </si>
  <si>
    <t>38.856€</t>
  </si>
  <si>
    <t>Poussoir 500W maximum Mosaic pour 1 volet roulant  -  blanc</t>
  </si>
  <si>
    <t>41.688€</t>
  </si>
  <si>
    <t>Interrupteur de volets roulants 500W maximum Mosaic 2 modules  -  blanc</t>
  </si>
  <si>
    <t>36.954€</t>
  </si>
  <si>
    <t>Poussoir inverseur à tirage 6A 250V~ Mosaic 2 modules  -  blanc</t>
  </si>
  <si>
    <t>31.788€</t>
  </si>
  <si>
    <t xml:space="preserve">Interrupteur à clé RONIS n°601 Mosaic 2 modules avec 2 positions par contact inverseur 6A 250V~  -  </t>
  </si>
  <si>
    <t>146.46€</t>
  </si>
  <si>
    <t>Interrupteur à clé RONIS n°601 Mosaic 2 modules avec 3 positions par inverseur 6A 250V~  -  blanc</t>
  </si>
  <si>
    <t>147.84€</t>
  </si>
  <si>
    <t>Interrupteur à clé barillet européen Mosaic 2 modules avec 2 positions par contact bipolaire 6A 250V</t>
  </si>
  <si>
    <t>83.82€</t>
  </si>
  <si>
    <t>Poussoir à clé Mosaic 2 modules avec 3 positions par inverseur avec position arrêt 6A 250V~  -  blan</t>
  </si>
  <si>
    <t>84.78€</t>
  </si>
  <si>
    <t>Module anti - arrachement Mosaic 1 module pour cordons Ø4 à Ø8mm  -  blanc antimicrobien</t>
  </si>
  <si>
    <t>38.094€</t>
  </si>
  <si>
    <t>Prise de courant Mosaic - 2P+T - 2 modules - rouge antimicrobien sans détrompage</t>
  </si>
  <si>
    <t>7.836€</t>
  </si>
  <si>
    <t>Prise de courant 2P TBT 3A 15W Mosaic 1 module avec connexion par bornes à vis  -  blanc antimicrobi</t>
  </si>
  <si>
    <t>11.868€</t>
  </si>
  <si>
    <t>Prise de courant 2P+T à puits germanique spéciale 4mm² et repiquage Mosaic 2 modules avec bornes à v</t>
  </si>
  <si>
    <t>9.18€</t>
  </si>
  <si>
    <t>Prise de courant 2P+T à puits germanique à détrompage Mosaic 2 modules avec connexion par bornes à v</t>
  </si>
  <si>
    <t>12.474€</t>
  </si>
  <si>
    <t>Prise de courant sans terre standard US Mosaic 1 module - blanc</t>
  </si>
  <si>
    <t>12.774€</t>
  </si>
  <si>
    <t>Prise de courant 2P+T 15A standard US Mosaic 2 modules  -  blanc</t>
  </si>
  <si>
    <t>13.35€</t>
  </si>
  <si>
    <t>Prise de courant 2P+T 13A standard britannique Mosaic 2 modules  -  blanc</t>
  </si>
  <si>
    <t>12.654€</t>
  </si>
  <si>
    <t>Prise de courant 2P+T type 13 standard suisse Mosaic 2 modules  -  blanc</t>
  </si>
  <si>
    <t>22.998€</t>
  </si>
  <si>
    <t>Prise de courant 2P+T 10A ou 16A standard italien Mosaic 2 modules  -  blanc</t>
  </si>
  <si>
    <t>11.664€</t>
  </si>
  <si>
    <t>Parasurtenseur 16A 250V~ Mosaic 2 modules  -  blanc</t>
  </si>
  <si>
    <t>137.52€</t>
  </si>
  <si>
    <t>Module de rechange pour parasurtenseur Mosaic référence 077540</t>
  </si>
  <si>
    <t>Sortie de câbles 10A Mosaic 2 modules avec borniers et serre - câbles  -  blanc</t>
  </si>
  <si>
    <t>32.784€</t>
  </si>
  <si>
    <t>Sortie de fil Ø8mm Mosaic 1 module  -  blanc</t>
  </si>
  <si>
    <t>14.262€</t>
  </si>
  <si>
    <t>Dérivateur 20A Mosaic 2 modules avec 3 bornes pour faciliter la dérivation  -  blanc</t>
  </si>
  <si>
    <t>74.1€</t>
  </si>
  <si>
    <t>Interrupteur variateur pour ballast 1V à 10V Mosaic 2 modules avec neutre  -  blanc</t>
  </si>
  <si>
    <t>79.38€</t>
  </si>
  <si>
    <t>Hublot de balisage Mosaic 2 modules pour balisage de plinthe  -  blanc</t>
  </si>
  <si>
    <t>49.536€</t>
  </si>
  <si>
    <t>Plastron Mosaic 2 modules avec porte - repère transparent pour 1 connecteur Systimax simple  -  blan</t>
  </si>
  <si>
    <t>17.22€</t>
  </si>
  <si>
    <t>Plastron Mosaic 2 modules avec porte - repère transparent pour 2 connecteurs UTP Systimax  -  blanc</t>
  </si>
  <si>
    <t>25.956€</t>
  </si>
  <si>
    <t>Prise RJ11 4 contacts Mosaic 1 module  -  blanc</t>
  </si>
  <si>
    <t>13.392€</t>
  </si>
  <si>
    <t>Prise RJ11 4 contacts Mosaic 2 modules  -  blanc</t>
  </si>
  <si>
    <t>16.014€</t>
  </si>
  <si>
    <t>Prise RJ12 Mosaic - 6 contacts - 2 modules - blanc</t>
  </si>
  <si>
    <t>19.68€</t>
  </si>
  <si>
    <t>Prise téléphone 8 contacts Mosaic 2 modules  -  blanc</t>
  </si>
  <si>
    <t>14.784€</t>
  </si>
  <si>
    <t xml:space="preserve">Prise haut - parleur Mosaic 2 modules avec bornier 4mm² pour liaison audio stéréo de haut - parleur </t>
  </si>
  <si>
    <t>20.736€</t>
  </si>
  <si>
    <t>Prise 2 RCA femelle Mosaic 1 module pour liaison audio stéréo  -  blanc</t>
  </si>
  <si>
    <t>74.94€</t>
  </si>
  <si>
    <t>Prise 3 RCA femelle Mosaic 1 module pour liaison vidéo composite et audio stéréo  -  blanc</t>
  </si>
  <si>
    <t>91.68€</t>
  </si>
  <si>
    <t>Prise XLR 3 pôles femelle Mosaic 2 modules pour liaison stéréo de tout périphérique  -  blanc</t>
  </si>
  <si>
    <t>66.96€</t>
  </si>
  <si>
    <t>Prise XLR 3 pôles mâle Mosaic 2 modules pour liaison stéréo de tout périphérique  -  blanc</t>
  </si>
  <si>
    <t>67.08€</t>
  </si>
  <si>
    <t>Prise HD 15 femelle à visser Mosaic 2 modules  -  blanc</t>
  </si>
  <si>
    <t>80.34€</t>
  </si>
  <si>
    <t>Prise BNC 75 femelle 1 module pour liaison vidéo composite de tout périphérique  -  blanc</t>
  </si>
  <si>
    <t>82.56€</t>
  </si>
  <si>
    <t>Prise Speakon 4 contacts Mosaic 2 modules pour le branchement d'enceintes de puissance  -  blanc</t>
  </si>
  <si>
    <t>94.14€</t>
  </si>
  <si>
    <t>Prise USB 2.0 femelle à visser Mosaic 1 module  -  blanc</t>
  </si>
  <si>
    <t>44.88€</t>
  </si>
  <si>
    <t>Prise Jack femelle 3,5mm à visser Mosaic 1 module  -  blanc</t>
  </si>
  <si>
    <t>51.93€</t>
  </si>
  <si>
    <t>Prise SUB D 9 contacts Mosaic 2 modules avec connecteur à visser pour liaison série typeRS232  -  bl</t>
  </si>
  <si>
    <t>86.04€</t>
  </si>
  <si>
    <t>Prise télévision typeF Mosaic 2 modules  -  blanc</t>
  </si>
  <si>
    <t>12.354€</t>
  </si>
  <si>
    <t>Prise TV - R - SAT Mosaic FM et DAB+ 2 modules  -  blanc</t>
  </si>
  <si>
    <t>35.412€</t>
  </si>
  <si>
    <t>Obturateur Batibox pour supports références 080252 , 080258 et 080264 équipés de 4 modules</t>
  </si>
  <si>
    <t>2.634€</t>
  </si>
  <si>
    <t>Obturateur Batibox pour supports références 080253 et 080266 équipés de 6 modules</t>
  </si>
  <si>
    <t>3.732€</t>
  </si>
  <si>
    <t>Obturateur Batibox pour support référence 080254 équipé de 10 modules</t>
  </si>
  <si>
    <t>4.35€</t>
  </si>
  <si>
    <t>Porte - étiquette Mosaic transparent galbé</t>
  </si>
  <si>
    <t>8.928€</t>
  </si>
  <si>
    <t>Porte - étiquette Mosaic transparent plat</t>
  </si>
  <si>
    <t>8.958€</t>
  </si>
  <si>
    <t>Poussoir 500W maximum Mosaic pour 1 volet roulant  -  alu</t>
  </si>
  <si>
    <t>43.392€</t>
  </si>
  <si>
    <t>Interrupteur de volets roulants 500W maximum Mosaic 2 modules  -  alu</t>
  </si>
  <si>
    <t>38.334€</t>
  </si>
  <si>
    <t>Obturateur Mosaic 1 module - finition alu</t>
  </si>
  <si>
    <t>3.444€</t>
  </si>
  <si>
    <t>Obturateur Mosaic 2 modules - finition alu</t>
  </si>
  <si>
    <t>5.118€</t>
  </si>
  <si>
    <t>Cadre saillie profondeur 46mm Mosaic pour 2x5 ou 2x2x2 modules et support référence 080264</t>
  </si>
  <si>
    <t>20.766€</t>
  </si>
  <si>
    <t>Cadre saillie profondeur 46mm Mosaic pour 2x6 , 2x8 ou 2x3x2 modules et support référence 080266</t>
  </si>
  <si>
    <t>24.306€</t>
  </si>
  <si>
    <t>Cadre saillie profondeur 40mm Mosaic pour 3x2 modules vertical et support référence 080253</t>
  </si>
  <si>
    <t>11.748€</t>
  </si>
  <si>
    <t>Cadre saillie profondeur 40mm Mosaic pour 10 ou 4x2 modules horizontal et support référence 080254</t>
  </si>
  <si>
    <t>20.178€</t>
  </si>
  <si>
    <t>Cadre saillie profondeur 40mm Mosaic pour 3 modules et support référence 080259</t>
  </si>
  <si>
    <t>20.676€</t>
  </si>
  <si>
    <t>Support de plaque étroit pour paroi mince Batibox 1 module  -  blanc</t>
  </si>
  <si>
    <t>6.954€</t>
  </si>
  <si>
    <t>Support de plaque étroit pour paroi mince Batibox 2 modules  -  blanc</t>
  </si>
  <si>
    <t>4.284€</t>
  </si>
  <si>
    <t>Support de plaque étroit pour paroi mince Batibox 2x1 module vertical  -  blanc</t>
  </si>
  <si>
    <t>23.79€</t>
  </si>
  <si>
    <t>Badge porte - clé pour utilisation avec interrupteur à badge porte - étiquette</t>
  </si>
  <si>
    <t>25.464€</t>
  </si>
  <si>
    <t>Embout serre - câbles pour prise spéciale goulotte à clippage direct Mosaic</t>
  </si>
  <si>
    <t>13.872€</t>
  </si>
  <si>
    <t>Lampe pour fonction lumineuse pour Appareillage saillie version étroite 24V incandescent blanc</t>
  </si>
  <si>
    <t>9.582€</t>
  </si>
  <si>
    <t>Prise de courant 2P+T à manipulation facile Mosaic 5 modules  -  blanc antimicrobien</t>
  </si>
  <si>
    <t>54.144€</t>
  </si>
  <si>
    <t>Prise de courant 2P+T Surface Mosaic 2 modules avec connexion par bornes automatiques  -  rouge anti</t>
  </si>
  <si>
    <t>7.548€</t>
  </si>
  <si>
    <t>Voyant de balisage autonome Mosaic 2 modules  -  blanc</t>
  </si>
  <si>
    <t>51.366€</t>
  </si>
  <si>
    <t>Plastron Mosaic 2 modules avec porte - repère transparent pour 1 connecteur Infra+  -  blanc</t>
  </si>
  <si>
    <t>17.13€</t>
  </si>
  <si>
    <t xml:space="preserve">Prise de courant 2P+T à puits germanique Mosaic 2 modules avec connexion par bornes à vis  -  blanc </t>
  </si>
  <si>
    <t>11.16€</t>
  </si>
  <si>
    <t>Obturateur Mosaic 1 module  -  blanc antimicrobien</t>
  </si>
  <si>
    <t>3.438€</t>
  </si>
  <si>
    <t>Obturateur Mosaic 2 modules  -  blanc antimicrobien</t>
  </si>
  <si>
    <t>Prise TV - R Mosaic 2 modules pour maintenance d'installation  -  blanc</t>
  </si>
  <si>
    <t>27.582€</t>
  </si>
  <si>
    <t>Prise téléphone 8 contacts Mosaic 2 modules  -  alu</t>
  </si>
  <si>
    <t>16.488€</t>
  </si>
  <si>
    <t>Prise 3 RCA femelle Mosaic 1 module pour liaison vidéo composite et audio stéréo  -  alu</t>
  </si>
  <si>
    <t>92.34€</t>
  </si>
  <si>
    <t>Prise XLR 3 pôles femelle Mosaic 2 modules pour liaison stéréo de tout périphérique  -  alu</t>
  </si>
  <si>
    <t>67.74€</t>
  </si>
  <si>
    <t>Prise télévision Ø9,52mm mâle Mosaic 2 modules  -  alu</t>
  </si>
  <si>
    <t>12.45€</t>
  </si>
  <si>
    <t>Prise TV - R - SAT Mosaic FM et DAB+ 2 modules  -  alu</t>
  </si>
  <si>
    <t>37.116€</t>
  </si>
  <si>
    <t>Cadre saillie profondeur 46mm Mosaic pour 2x10 modules et support référence 080268</t>
  </si>
  <si>
    <t>29.304€</t>
  </si>
  <si>
    <t>Support de plaque étroit pour paroi mince Batibox 1 module  -  alu</t>
  </si>
  <si>
    <t>7.902€</t>
  </si>
  <si>
    <t>Support de plaque étroit pour paroi mince Batibox 2 modules  -  alu</t>
  </si>
  <si>
    <t>Prise pour rasoir IP24 IK04 Mosaic 5 modules  -  blanc</t>
  </si>
  <si>
    <t>Interrupteur à badge mécanique Mosaic 2 modules  -  blanc</t>
  </si>
  <si>
    <t>72.24€</t>
  </si>
  <si>
    <t xml:space="preserve">Prise haut - parleur Mosaic 1 module avec bornier 4mm² pour liaison audio stéréo de haut - parleur  </t>
  </si>
  <si>
    <t>Prise Jack femelle 3,5mm à souder Mosaic 1 module  -  blanc</t>
  </si>
  <si>
    <t>33.168€</t>
  </si>
  <si>
    <t>Prise HD 15 femelle + Jack 3,5mm à visser Mosaic 2 modules  -  blanc</t>
  </si>
  <si>
    <t>73.92€</t>
  </si>
  <si>
    <t>Prise RJ11 4 contacts Mosaic 1 module  -  alu</t>
  </si>
  <si>
    <t>14.268€</t>
  </si>
  <si>
    <t>Prise de courant 2P+T à puits germanique à volet Mosaic 2 modules avec bornes à vis  -  blanc antimi</t>
  </si>
  <si>
    <t>8.904€</t>
  </si>
  <si>
    <t xml:space="preserve">Prise de courant 2P+T à puits germanique Mosaic 2 modules avec connexion par bornes à vis  -  rouge </t>
  </si>
  <si>
    <t>10.056€</t>
  </si>
  <si>
    <t>Prise équipotentielle Mosaic 1 module  -  blanc antimicrobien</t>
  </si>
  <si>
    <t>Prise de courant 2P+T Surface Mosaic 2 modules avec connexion par bornes automatiques  -  vert antim</t>
  </si>
  <si>
    <t>Interrupteur de volets roulants 500W maximum Mosaic 2 modules  -  blanc antimicrobien</t>
  </si>
  <si>
    <t>Interrupteur avec neutre à commande tactile Mosaic 2 modules  -  blanc antimicrobien</t>
  </si>
  <si>
    <t>69.54€</t>
  </si>
  <si>
    <t>Atténuateur de ligne 100V 25W Mosaic 2 modules  -  blanc</t>
  </si>
  <si>
    <t>151.98€</t>
  </si>
  <si>
    <t>14.61€</t>
  </si>
  <si>
    <t>Enjoliveur Mosaic pour appareil modulaire 2 modules 17,5mm avec capot de protection transparent amov</t>
  </si>
  <si>
    <t>16.14€</t>
  </si>
  <si>
    <t>Prise HD 15 femelle préconnectorisée Mosaic 1 module  -  blanc</t>
  </si>
  <si>
    <t>50.796€</t>
  </si>
  <si>
    <t>Adaptateur Mosaic pour intégration mécanisme Mosaic 50mm 1 module - Blanc</t>
  </si>
  <si>
    <t>2.058€</t>
  </si>
  <si>
    <t>Adaptateur pour remplacer un ancien mécanisme Mosaic 50x50mm sans changer la plaque et le support  -</t>
  </si>
  <si>
    <t>2.082€</t>
  </si>
  <si>
    <t>Chargeur USB Type - A 1,1A 5,5W Mosaic 1 module 230V ou 5V=  -  alu</t>
  </si>
  <si>
    <t>34.098€</t>
  </si>
  <si>
    <t>Prise Jack femelle 3,5mm préconnectorisée Mosaic 1 module  -  alu</t>
  </si>
  <si>
    <t>56.892€</t>
  </si>
  <si>
    <t>Prise HDMI typeA version 1.4 préconnectorisée Mosaic 1 module  -  alu</t>
  </si>
  <si>
    <t>52.134€</t>
  </si>
  <si>
    <t>Prise Display port préconnectorisée Mosaic 1 module  -  blanc</t>
  </si>
  <si>
    <t>51.012€</t>
  </si>
  <si>
    <t>Prise HD 15 femelle préconnectorisée Mosaic 1 module  -  alu</t>
  </si>
  <si>
    <t>51.54€</t>
  </si>
  <si>
    <t>Prise Jack femelle 3,5mm préconnectorisée Mosaic 1 module  -  blanc</t>
  </si>
  <si>
    <t>56.142€</t>
  </si>
  <si>
    <t>Prise HDMI typeA version 1.4 préconnectorisée Mosaic 1 module  -  blanc</t>
  </si>
  <si>
    <t>51.384€</t>
  </si>
  <si>
    <t>Chargeur USB Type - A 1,1A 5,5W Mosaic 1 module 230V ou 5V=  -  blanc</t>
  </si>
  <si>
    <t>33.216€</t>
  </si>
  <si>
    <t>Chargeur 2 USB Type - A 2,4A 12W Mosaic 2 modules 230V ou 5V=  -  alu</t>
  </si>
  <si>
    <t>36.726€</t>
  </si>
  <si>
    <t>Poussoir 500W maximum Mosaic pour 1 ou plusieurs volets roulants  -  alu</t>
  </si>
  <si>
    <t>42.162€</t>
  </si>
  <si>
    <t>Chargeur 2 USB Type - A 2,4A 12W Mosaic 2 modules 230V ou 5V=  -  blanc</t>
  </si>
  <si>
    <t>35.346€</t>
  </si>
  <si>
    <t>Poussoir 500W maximum Mosaic pour 1 ou plusieurs volets roulants  -  blanc</t>
  </si>
  <si>
    <t>40.452€</t>
  </si>
  <si>
    <t>Variateur de couleurs Mosaic 1 zone pour ballasts et drivers DALI  -  blanc</t>
  </si>
  <si>
    <t>240.18€</t>
  </si>
  <si>
    <t>Prise USB 3.0 femelle préconnectorisée Mosaic 1 module  -  blanc</t>
  </si>
  <si>
    <t>50.118€</t>
  </si>
  <si>
    <t>Prise 2 RCA femelle préconnectorisée Mosaic 1 module pour liaison audio stéréo  -  blanc</t>
  </si>
  <si>
    <t>83.04€</t>
  </si>
  <si>
    <t>Prise télévision Ø9,52mm mâle Mosaic 1 module  -  blanc</t>
  </si>
  <si>
    <t>9.996€</t>
  </si>
  <si>
    <t>Va-et-vient Intuition Mosaic - extinction automatique - 2 modules - blanc</t>
  </si>
  <si>
    <t>32.004€</t>
  </si>
  <si>
    <t>Extendeur USB Type - A DATA femelle Mosaic pour le transfert de données</t>
  </si>
  <si>
    <t>199.38€</t>
  </si>
  <si>
    <t>Va-et-vient Intuition Mosaic - extinction automatique - 2 modules - alu</t>
  </si>
  <si>
    <t>33.708€</t>
  </si>
  <si>
    <t xml:space="preserve">Prise de courant 2P+T Surface + chargeur 2 USB Type - A 2,4A 12W Mosaic 2x2 modules 230V ou 5V=  -  </t>
  </si>
  <si>
    <t>43.356€</t>
  </si>
  <si>
    <t>Prise 2P+T Surface Mosaic 2 modules avec connexion par bornes automatiques alu</t>
  </si>
  <si>
    <t>Double prise de courant 2P+T Surface précâblées Mosaic 2x2 modules  -  alu</t>
  </si>
  <si>
    <t>15.102€</t>
  </si>
  <si>
    <t>Triple prise de courant 2P+T Surface précâblées Mosaic 3x2 modules  -  alu</t>
  </si>
  <si>
    <t>22.656€</t>
  </si>
  <si>
    <t>45.24€</t>
  </si>
  <si>
    <t>Prise TV - R - SAT - SAT Mosaic 2 modules  -  blanc</t>
  </si>
  <si>
    <t>35.316€</t>
  </si>
  <si>
    <t>Prise TV-SAT Mosaic - 1 module - finition blanc</t>
  </si>
  <si>
    <t>30.042€</t>
  </si>
  <si>
    <t>Prise télévision typeF Mosaic 1 module  -  blanc</t>
  </si>
  <si>
    <t>11.232€</t>
  </si>
  <si>
    <t>Sortie de câbles Mosaic 2 modules avec serre - câbles pour câble Ø12mm maximum et Ø4mm minimum  -  a</t>
  </si>
  <si>
    <t>11.406€</t>
  </si>
  <si>
    <t>Chargeur 2 USB Type - C 3A 15W Mosaic 2 modules 230V ou 5V=  -  alu</t>
  </si>
  <si>
    <t>Chargeur USB Type - A + USB Type - C 3A 15W Mosaic 2 modules 230V ou 5V=  -  alu</t>
  </si>
  <si>
    <t>Obturateur Mosaic  -1 module - finitin blanc</t>
  </si>
  <si>
    <t xml:space="preserve">LGB1259M05 </t>
  </si>
  <si>
    <t>PROG.MOSAIC FONCT. 20/80</t>
  </si>
  <si>
    <t>2.4567€</t>
  </si>
  <si>
    <t>Obturateur Mosaic - 2 modules - finition blanc</t>
  </si>
  <si>
    <t>Prise de courant 2P Mosaic 2 modules avec connexion par bornes automatiques  -  blanc</t>
  </si>
  <si>
    <t>6.0591€</t>
  </si>
  <si>
    <t xml:space="preserve">Prise de courant 2P+T spécial repiquage et 4mm² Mosaic 2 modules avec connexion par bornes à vis  - </t>
  </si>
  <si>
    <t>8.2479€</t>
  </si>
  <si>
    <t>Prise 2P+T à détrompage Mosaic avec connexion par bornes à vis 2 modules - rouge</t>
  </si>
  <si>
    <t>10.887€</t>
  </si>
  <si>
    <t>Prise de courant 2P+T à détrompage avec voyant Mosaic 2 modules avec bornes à vis  -  rouge antimicr</t>
  </si>
  <si>
    <t>23.199€</t>
  </si>
  <si>
    <t>Prise de courant 2P+T avec volet Mosaic 2 modules avec connexion par bornes automatiques  -  blanc</t>
  </si>
  <si>
    <t>13.8111€</t>
  </si>
  <si>
    <t>PRISE 2P+T F/B ESTHETIQUE, SECURITE, HYGIENE</t>
  </si>
  <si>
    <t>7.3758€</t>
  </si>
  <si>
    <t>Sortie de câbles Mosaic 2 modules avec serre - câbles pour câble Ø12mm maximum et Ø4mm minimum  -  b</t>
  </si>
  <si>
    <t>9.6159€</t>
  </si>
  <si>
    <t>Prise télévision Ø9,52mm mâle Mosaic 2 modules  -  blanc</t>
  </si>
  <si>
    <t>10.5051€</t>
  </si>
  <si>
    <t>Plaque Mosaic 2 modules avec membrane étanche IP44  -  blanc antimicrobien</t>
  </si>
  <si>
    <t>15.0651€</t>
  </si>
  <si>
    <t>Cadre saillie profondeur 30mm Mosaic pour 2 modules et support référence 080251</t>
  </si>
  <si>
    <t>3.7563€</t>
  </si>
  <si>
    <t>Cadre saillie profondeur 40mm Mosaic pour 2 modules et support référence 080251</t>
  </si>
  <si>
    <t>3.9159€</t>
  </si>
  <si>
    <t>Cadre saillie profondeur 40mm Mosaic pour 5 ou 2x2 modules vertical et support référence 080252</t>
  </si>
  <si>
    <t>7.7349€</t>
  </si>
  <si>
    <t>Cadre saillie profondeur 40mm Mosaic pour 4 , 5 ou 2x2 modules horizontal et support référence 08025</t>
  </si>
  <si>
    <t>7.7976€</t>
  </si>
  <si>
    <t>Cadre saillie profondeur 40mm Mosaic pour 6 , 8 ou 3x2 modules horizontal et support référence 08025</t>
  </si>
  <si>
    <t>15.6807€</t>
  </si>
  <si>
    <t>Détrompeur pour fiche et prise de courant 2P+T</t>
  </si>
  <si>
    <t>Détecteur infrarouge de balisage Mosaic 2 modules  -  blanc</t>
  </si>
  <si>
    <t xml:space="preserve">LGB3275M05 </t>
  </si>
  <si>
    <t>DÉTECT AUTO APP. TERTIAIRE</t>
  </si>
  <si>
    <t>124.605€</t>
  </si>
  <si>
    <t xml:space="preserve">Plastron Mosaic 2 modules avec porte - repère transparent pour 1 connecteur format Keystone simple  </t>
  </si>
  <si>
    <t xml:space="preserve">LGB3253M05 </t>
  </si>
  <si>
    <t>PRODUITS KEYSTONE</t>
  </si>
  <si>
    <t>6.266€</t>
  </si>
  <si>
    <t>Plastron Mosaic 2 modules avec porte - repère transparent pour 2 connecteurs format Keystone  -  bla</t>
  </si>
  <si>
    <t>5.4015€</t>
  </si>
  <si>
    <t>Support à vis pour Mosaic , Céliane ou Soliroc pour  -  1 module</t>
  </si>
  <si>
    <t xml:space="preserve">LGA1052M05 </t>
  </si>
  <si>
    <t>SUPPORTS PROGRAMMES APP.</t>
  </si>
  <si>
    <t>5.7304€</t>
  </si>
  <si>
    <t>Support à vis pour Mosaic , Céliane ou Soliroc pour 1 poste ou  -  2 modules</t>
  </si>
  <si>
    <t>1.7806€</t>
  </si>
  <si>
    <t>Support à vis pour Mosaic , Céliane ou Soliroc pour 2 postes ou 4 à 5 modules</t>
  </si>
  <si>
    <t>4.1412€</t>
  </si>
  <si>
    <t>Support à vis pour Mosaic , Céliane ou Soliroc pour 3 postes ou 6 à 8 modules</t>
  </si>
  <si>
    <t>8.787€</t>
  </si>
  <si>
    <t>Support à vis pour Mosaic , Céliane ou Soliroc pour 4 postes ou 10 modules</t>
  </si>
  <si>
    <t>11.1882€</t>
  </si>
  <si>
    <t>Support universel Batibox - pour 3 modules</t>
  </si>
  <si>
    <t>8.2882€</t>
  </si>
  <si>
    <t>Support à griffes pour Mosaic , Céliane ou Soliroc pour 1 poste ou  -  2 modules</t>
  </si>
  <si>
    <t>3.7526€</t>
  </si>
  <si>
    <t>Support à vis pour Mosaic , Céliane ou Soliroc pour 2x2 postes ou 2x4 à 5 modules</t>
  </si>
  <si>
    <t>14.2042€</t>
  </si>
  <si>
    <t>Support à vis pour Mosaic , Céliane ou Soliroc pour 2x3 postes ou 2x6 à 8 modules</t>
  </si>
  <si>
    <t>16.1472€</t>
  </si>
  <si>
    <t>Support à griffes longues pour Mosaic , Céliane ou Soliroc pour 1 poste ou 2 modules</t>
  </si>
  <si>
    <t>4.3616€</t>
  </si>
  <si>
    <t>Support universel Batibox pour 2x10 modules</t>
  </si>
  <si>
    <t>18.7398€</t>
  </si>
  <si>
    <t>Rehausse pour support fixation Batibox pour montage en entraxe 71mm</t>
  </si>
  <si>
    <t>1.7284€</t>
  </si>
  <si>
    <t>Rehausse pour support fixation Batibox pour montage en entraxe 57mm</t>
  </si>
  <si>
    <t>1.7574€</t>
  </si>
  <si>
    <t>Lot de 100 supports universels Batibox 2 modules pour 1 poste référence 080251</t>
  </si>
  <si>
    <t>Voyant témoin 230V Céliane pour câblage existant 3mA  -  pour mécanismes Mosaic et Céliane</t>
  </si>
  <si>
    <t>12.644€</t>
  </si>
  <si>
    <t>Voyant lumineux 230V 0,15mA  -  pour mécanismes Mosaic et Céliane</t>
  </si>
  <si>
    <t>9.5062€</t>
  </si>
  <si>
    <t>Voyant lumineux 12V , 24V ou 48V  -  pour mécanismes Mosaic et Céliane</t>
  </si>
  <si>
    <t>Voyant témoin 230V Céliane pour câblage phase distribuée 3mA  -  pour mécanismes Mosaic et Céliane</t>
  </si>
  <si>
    <t>Voyant témoin vert 2,4mA 230V avec 2 fils à câbler pour interrupteur 20AX et prise de courant</t>
  </si>
  <si>
    <t>13.2704€</t>
  </si>
  <si>
    <t>Prise de courant 2P+T à bornes automatiques Appareillage saillie complet  -  blanc</t>
  </si>
  <si>
    <t xml:space="preserve">LGA1063M05 </t>
  </si>
  <si>
    <t>ASL FONCTIONS 20/80</t>
  </si>
  <si>
    <t>7.7064€</t>
  </si>
  <si>
    <t>Prise téléphone 8 contacts Appareillage saillie complet  -  blanc</t>
  </si>
  <si>
    <t>17.6757€</t>
  </si>
  <si>
    <t>Prise télévision simple mâle Appareillage saillie complet  -  blanc</t>
  </si>
  <si>
    <t>14.1645€</t>
  </si>
  <si>
    <t>Boîte de dérivation Appareillage saillie complet  -  blanc</t>
  </si>
  <si>
    <t>7.6266€</t>
  </si>
  <si>
    <t>Cadre saillie 1 poste Appareillage saillie blanc</t>
  </si>
  <si>
    <t>2.6106€</t>
  </si>
  <si>
    <t>Cadre saillie 2 postes Appareillage saillie blanc</t>
  </si>
  <si>
    <t>5.6259€</t>
  </si>
  <si>
    <t>Prise téléphone 8 contacts Appareillage saillie composable  -  blanc</t>
  </si>
  <si>
    <t>15.3102€</t>
  </si>
  <si>
    <t>Prise télévision simple mâle Appareillage saillie composable  -  blanc</t>
  </si>
  <si>
    <t>14.991€</t>
  </si>
  <si>
    <t>Boîte de dérivation Appareillage saillie composable  -  blanc</t>
  </si>
  <si>
    <t>5.8026€</t>
  </si>
  <si>
    <t>Prise TV - R - SAT Appareillage saillie complet  -  blanc</t>
  </si>
  <si>
    <t xml:space="preserve">LGA1051M05 </t>
  </si>
  <si>
    <t>ASL AUTRES FONCTIONS</t>
  </si>
  <si>
    <t>44.0452€</t>
  </si>
  <si>
    <t>Voyant de signalisation Appareillage saillie complet  -  blanc</t>
  </si>
  <si>
    <t>19.314€</t>
  </si>
  <si>
    <t>Interrupteur temporisé sans neutre à voyant Appareillage saillie complet  -  blanc</t>
  </si>
  <si>
    <t>58.638€</t>
  </si>
  <si>
    <t>Prise de courant 2x2P+T précâblée Appareillage saillie complet  -  blanc</t>
  </si>
  <si>
    <t>27.5732€</t>
  </si>
  <si>
    <t>Va - et - vient Appareillage saillie complet version étroite</t>
  </si>
  <si>
    <t>14.7494€</t>
  </si>
  <si>
    <t>Poussoir Appareillage saillie complet version étroite</t>
  </si>
  <si>
    <t>16.9128€</t>
  </si>
  <si>
    <t>Va - et - vient à voyant Appareillage saillie complet version étroite</t>
  </si>
  <si>
    <t>19.1574€</t>
  </si>
  <si>
    <t>Poussoir à voyant Appareillage saillie complet version étroite</t>
  </si>
  <si>
    <t>18.9428€</t>
  </si>
  <si>
    <t>Cadre saillie 3 postes Appareillage saillie blanc</t>
  </si>
  <si>
    <t>9.947€</t>
  </si>
  <si>
    <t>Permutateur Appareillage saillie composable  -  blanc</t>
  </si>
  <si>
    <t>22.881€</t>
  </si>
  <si>
    <t>Prise de courant 2P Appareillage saillie composable  -  blanc</t>
  </si>
  <si>
    <t>5.8754€</t>
  </si>
  <si>
    <t>Prise TV - R - SAT Appareillage saillie composable  -  blanc</t>
  </si>
  <si>
    <t>38.9818€</t>
  </si>
  <si>
    <t>Prise TV - R - SAT terminale Appareillage saillie composable  -  blanc</t>
  </si>
  <si>
    <t>40.8204€</t>
  </si>
  <si>
    <t>Voyant de signalisation Appareillage saillie composable</t>
  </si>
  <si>
    <t>17.5334€</t>
  </si>
  <si>
    <t>Prise de courant 2x2P+T précâblée Appareillage saillie composable  -  blanc</t>
  </si>
  <si>
    <t>24.2904€</t>
  </si>
  <si>
    <t>Diffuseur pour voyant de signalisation Appareillage saillie  -  vert</t>
  </si>
  <si>
    <t>7.337€</t>
  </si>
  <si>
    <t>Diffuseur pour voyant de signalisation Appareillage saillie  -  rouge</t>
  </si>
  <si>
    <t>7.2384€</t>
  </si>
  <si>
    <t>Thermostat d\'ambiance mécanique en saillie</t>
  </si>
  <si>
    <t>68.382€</t>
  </si>
  <si>
    <t>Jeux de 8 étiquettes pour identification de circuits spécialisés</t>
  </si>
  <si>
    <t>1.8792€</t>
  </si>
  <si>
    <t>Plaque obturation pour Jupiter encastré droit 1 poste blanc</t>
  </si>
  <si>
    <t>8.903€</t>
  </si>
  <si>
    <t>Plaque obturation pour Jupiter encastré droit 2 postes blanc</t>
  </si>
  <si>
    <t>11.6522€</t>
  </si>
  <si>
    <t>Prise télévision simple typeF à visser Appareillage saillie complet  -  blanc</t>
  </si>
  <si>
    <t>17.2144€</t>
  </si>
  <si>
    <t>Prise télévision typeF Appareillage saillie composable  -  blanc</t>
  </si>
  <si>
    <t>14.9582€</t>
  </si>
  <si>
    <t>Prise de courant 2P+T à détrompage Appareillage saillie composable  -  blanc</t>
  </si>
  <si>
    <t>27.231€</t>
  </si>
  <si>
    <t>Prise TV - R - SAT passage Appareillage saillie composable  -  blanc</t>
  </si>
  <si>
    <t>37.8102€</t>
  </si>
  <si>
    <t>Sortie câble 20A ou 32A 95x95mm pour câble Ø17mm à Ø19mm fixation vis ou griffes</t>
  </si>
  <si>
    <t xml:space="preserve">LGC103M05 </t>
  </si>
  <si>
    <t>BLOCS MULTI.RALLON.FICHES</t>
  </si>
  <si>
    <t>8.268€</t>
  </si>
  <si>
    <t>Interrupteur à bascule 2A 250V~ à touche luminescente et coupure bipolaire  -  vieil or</t>
  </si>
  <si>
    <t>7.284€</t>
  </si>
  <si>
    <t>Interrupteur à bascule 2A 250V~ à touche luminescente et coupure bipolaire  -  blanc</t>
  </si>
  <si>
    <t>6.936€</t>
  </si>
  <si>
    <t>Interrupteur à bascule 2A 250V~ à touche luminescente et coupure bipolaire  -  noir</t>
  </si>
  <si>
    <t>7.392€</t>
  </si>
  <si>
    <t>Interrupteur à bascule 2A 250V~ à touche de couleur et coupure bipolaire  -  vieil or</t>
  </si>
  <si>
    <t>6.642€</t>
  </si>
  <si>
    <t>Interrupteur à bascule 2A 250V~ à touche de couleur et coupure bipolaire  -  noir</t>
  </si>
  <si>
    <t>6.036€</t>
  </si>
  <si>
    <t>Prise à encastrer pour plinthe 2P 16A 250V~ blanc</t>
  </si>
  <si>
    <t>14.196€</t>
  </si>
  <si>
    <t>Prise à encastrer pour plinthe 2P+T 16A 250V~ blanc</t>
  </si>
  <si>
    <t>16.638€</t>
  </si>
  <si>
    <t>Socle 2P+T à vis avec éclips de protection dimensions 80x80mm</t>
  </si>
  <si>
    <t>21.336€</t>
  </si>
  <si>
    <t>Socle 3P+T à vis avec éclips de protection dimensions 80x80mm</t>
  </si>
  <si>
    <t>25.122€</t>
  </si>
  <si>
    <t>Socle 3P+N+T à vis avec éclips de protection dimensions 80x80mm</t>
  </si>
  <si>
    <t>28.026€</t>
  </si>
  <si>
    <t>Socle 2P+T à griffes avec éclips de protection dimensions 80x80mm</t>
  </si>
  <si>
    <t>29.652€</t>
  </si>
  <si>
    <t>Cadre saillie 1 poste pour références 055422 , 055425 , 055427 , 090134 , 090136 et 090138  -  ivoir</t>
  </si>
  <si>
    <t>4.992€</t>
  </si>
  <si>
    <t>Socle 2P+T à vis avec éclips de protection dimensions 95x95mm</t>
  </si>
  <si>
    <t>27.702€</t>
  </si>
  <si>
    <t>Socle 3P+T à vis avec éclips de protection dimensions 95x95mm</t>
  </si>
  <si>
    <t>35.604€</t>
  </si>
  <si>
    <t>Socle 3P+N+T à vis avec éclips de protection dimensions 95x95mm</t>
  </si>
  <si>
    <t>37.038€</t>
  </si>
  <si>
    <t>Socle 2P+T 32A - avec éclips de protection</t>
  </si>
  <si>
    <t>43.914€</t>
  </si>
  <si>
    <t>Socle 3P+T 32A . avec éclips de protection</t>
  </si>
  <si>
    <t>54.096€</t>
  </si>
  <si>
    <t>Socle 3P+N+T 32A avec éclips de protection</t>
  </si>
  <si>
    <t>61.14€</t>
  </si>
  <si>
    <t>Cadre saillie 1 poste pour socle et sortie de câbles 100x100x36mm</t>
  </si>
  <si>
    <t>9.036€</t>
  </si>
  <si>
    <t>Prise protégée 2P+T + 2 prises RJ45 avec parafoudre</t>
  </si>
  <si>
    <t>28.824€</t>
  </si>
  <si>
    <t>Câble pour réseaux locaux LCS³ catégorie5e F/UTP 4 paires torsadées - 305m</t>
  </si>
  <si>
    <t xml:space="preserve">LGB3236M05 </t>
  </si>
  <si>
    <t>CABLES CUIVRE CAT5/6</t>
  </si>
  <si>
    <t>1.5795€</t>
  </si>
  <si>
    <t>Doubleur saillie de RJ45 à télévision et réseau informatique ou téléphone</t>
  </si>
  <si>
    <t xml:space="preserve">LGB3229M05 </t>
  </si>
  <si>
    <t>AUTRES VDI</t>
  </si>
  <si>
    <t>68.64€</t>
  </si>
  <si>
    <t>Collier auto-agrippant noir largeur 16mm et longueur 150mm</t>
  </si>
  <si>
    <t>2.613€</t>
  </si>
  <si>
    <t>Collier auto-agrippant noir largeur 16mm et longueur 300mm</t>
  </si>
  <si>
    <t>3.6335€</t>
  </si>
  <si>
    <t>Collier à témoin de serrage largeur 15mm et longueur 180mm</t>
  </si>
  <si>
    <t>120.77€</t>
  </si>
  <si>
    <t>Collier à témoin de serrage largeur 15mm et longueur 225mm</t>
  </si>
  <si>
    <t>1.43€</t>
  </si>
  <si>
    <t>Collier à témoin de serrage largeur 15mm et longueur 320mm</t>
  </si>
  <si>
    <t>1.989€</t>
  </si>
  <si>
    <t>Dénudeur pour câbles à paires torsadées et fibre optique</t>
  </si>
  <si>
    <t>70.46€</t>
  </si>
  <si>
    <t>Fiche RJ11 4 contacts largeur 9,65mm pour câble rond</t>
  </si>
  <si>
    <t>2.0865€</t>
  </si>
  <si>
    <t>Fiche RJ12 6 contacts largeur 9,65mm pour câble rond</t>
  </si>
  <si>
    <t>2.626€</t>
  </si>
  <si>
    <t>Fiche RJ45 catégorie5e 8 contacts largeur 11,7mm pour câble rond</t>
  </si>
  <si>
    <t>2.522€</t>
  </si>
  <si>
    <t>Fiche RJ45 catégorie5e 9 contacts largeur 11,7mm pour câble rond</t>
  </si>
  <si>
    <t>4.7775€</t>
  </si>
  <si>
    <t>Manchon noir pour fiches RJ45 pour câble rond</t>
  </si>
  <si>
    <t>2.8275€</t>
  </si>
  <si>
    <t>Manchon blanc pour fiches RJ45 pour câble rond</t>
  </si>
  <si>
    <t>2.886€</t>
  </si>
  <si>
    <t>Pince à sertir pour fiches RJ45 à 2 points de sertissage en acier haute résistance</t>
  </si>
  <si>
    <t>601.575€</t>
  </si>
  <si>
    <t>Stylo feutre noir indélébile pour repérage</t>
  </si>
  <si>
    <t xml:space="preserve">LGB2144M05 </t>
  </si>
  <si>
    <t>BORNES VIKING</t>
  </si>
  <si>
    <t>8.4€</t>
  </si>
  <si>
    <t>Interrupteur-contacteur de porte 2A 250V~</t>
  </si>
  <si>
    <t xml:space="preserve">LG52820M05 </t>
  </si>
  <si>
    <t>AUTRE GD</t>
  </si>
  <si>
    <t>21.133€</t>
  </si>
  <si>
    <t>Griffes - Mosaic - pour encastrement profond</t>
  </si>
  <si>
    <t>17.934€</t>
  </si>
  <si>
    <t>Cache-prises de courant - 6 caches pour prise sans terre</t>
  </si>
  <si>
    <t>3.948€</t>
  </si>
  <si>
    <t>Cache-prises de courant - 4 caches pour prise avec terre</t>
  </si>
  <si>
    <t>4.991€</t>
  </si>
  <si>
    <t>Double prise de sol inox étanche IP44 clapet de protection + boite à encastrer</t>
  </si>
  <si>
    <t>117.81€</t>
  </si>
  <si>
    <t>Prise de sol inox étanche IP44 avec clapet de protection + boite à encastrer</t>
  </si>
  <si>
    <t>65.401€</t>
  </si>
  <si>
    <t>Sonnette Salsa avec porte - étiquette IP30 IK06</t>
  </si>
  <si>
    <t xml:space="preserve">LGA3348M05 </t>
  </si>
  <si>
    <t>CARILLONS</t>
  </si>
  <si>
    <t>24.947€</t>
  </si>
  <si>
    <t>Sonnette Salsa pour huisserie - IP30 IK06</t>
  </si>
  <si>
    <t>18.8565€</t>
  </si>
  <si>
    <t>Sonnette Salsa avec porte - étiquette IP44 IK06</t>
  </si>
  <si>
    <t>33.371€</t>
  </si>
  <si>
    <t>Prise téléphone saillie idem modèle France Télécom 721291M</t>
  </si>
  <si>
    <t xml:space="preserve">LGA2017M05 </t>
  </si>
  <si>
    <t>ACCESSOIRES TABLEAU COM.</t>
  </si>
  <si>
    <t>9.58€</t>
  </si>
  <si>
    <t>Cordon de brassage et utilisateurs RJ45 LCS³ catégorie5e F/UTP écranté impédance 100ohms  -  longueu</t>
  </si>
  <si>
    <t xml:space="preserve">LGB3243M05 </t>
  </si>
  <si>
    <t>CORDONS</t>
  </si>
  <si>
    <t>7.1175€</t>
  </si>
  <si>
    <t>9.9645€</t>
  </si>
  <si>
    <t>12.8115€</t>
  </si>
  <si>
    <t>17.797€</t>
  </si>
  <si>
    <t>Cordon utilisateur pour réseau multimédia 2 embouts RJ45 catégorie6 S/FTP  -  longueur 2m</t>
  </si>
  <si>
    <t>10.959€</t>
  </si>
  <si>
    <t>Cordon utilisateur pour réseau multimédia 2 embouts RJ45 catégorie6 S/FTP  -  longueur 3m</t>
  </si>
  <si>
    <t>14.092€</t>
  </si>
  <si>
    <t xml:space="preserve">Cordon de brassage et utilisateurs RJ45 LCS³ catégorie6 S/FTP blindé impédance 100ohms  -  longueur </t>
  </si>
  <si>
    <t>19.5715€</t>
  </si>
  <si>
    <t>Cordon RJ45/dégainé pour boîte de distribution de zone LCS² catégorie6 U/UTP écranté impédance 100oh</t>
  </si>
  <si>
    <t>64.259€</t>
  </si>
  <si>
    <t>96.07€</t>
  </si>
  <si>
    <t>127.53€</t>
  </si>
  <si>
    <t>Cordon de brassage et utilisateurs RJ45 LCS³ catégorie6 F/UTP écranté impédance 100ohms  -  longueur</t>
  </si>
  <si>
    <t>Cordon de brassage et utilisateurs RJ45 LCS³ catégorie6 U/UTP sans écran impédance 100ohms  -  longu</t>
  </si>
  <si>
    <t>16.328€</t>
  </si>
  <si>
    <t>Cordon de brassage et utilisateurs RJ45 LCS³ catégorie6A S/FTP blindé impédance 100ohms  -  longueur</t>
  </si>
  <si>
    <t>10.179€</t>
  </si>
  <si>
    <t>14.248€</t>
  </si>
  <si>
    <t>18.3235€</t>
  </si>
  <si>
    <t>25.4475€</t>
  </si>
  <si>
    <t>Cordon RJ45/dégainé pour boîte de distribution de zone LCS² catégorie6 F/UTP écranté impédance 100oh</t>
  </si>
  <si>
    <t>63.947€</t>
  </si>
  <si>
    <t>103.025€</t>
  </si>
  <si>
    <t>138.45€</t>
  </si>
  <si>
    <t xml:space="preserve">Cordon RJ45/RJ45 pour boîte de distribution de zone LCS² catégorie6 U/UTP écranté impédance 100ohms </t>
  </si>
  <si>
    <t>82.55€</t>
  </si>
  <si>
    <t>142.35€</t>
  </si>
  <si>
    <t>176.475€</t>
  </si>
  <si>
    <t xml:space="preserve">Cordon RJ45/RJ45 pour boîte de distribution de zone LCS² catégorie6 F/UTP écranté impédance 100ohms </t>
  </si>
  <si>
    <t>81.185€</t>
  </si>
  <si>
    <t>135.655€</t>
  </si>
  <si>
    <t>173.81€</t>
  </si>
  <si>
    <t>Cordon HDMI raccordt prise HDMI à terminal audio et vidéo longueur 10m</t>
  </si>
  <si>
    <t>105.04€</t>
  </si>
  <si>
    <t>12.9935€</t>
  </si>
  <si>
    <t>11.2515€</t>
  </si>
  <si>
    <t>28.1255€</t>
  </si>
  <si>
    <t>10.1075€</t>
  </si>
  <si>
    <t>31.85€</t>
  </si>
  <si>
    <t>19.669€</t>
  </si>
  <si>
    <t>20.2475€</t>
  </si>
  <si>
    <t>7.2215€</t>
  </si>
  <si>
    <t>14.157€</t>
  </si>
  <si>
    <t>15.7495€</t>
  </si>
  <si>
    <t>11.011€</t>
  </si>
  <si>
    <t>18.0505€</t>
  </si>
  <si>
    <t>7.865€</t>
  </si>
  <si>
    <t>Kit de 200 bagues couleurs clipsables pour repérage des cordons RJ45 LCS³</t>
  </si>
  <si>
    <t>239.135€</t>
  </si>
  <si>
    <t>Socle saillie 2P+T 20A - Plexo - finition gris</t>
  </si>
  <si>
    <t xml:space="preserve">LGA1045M05 </t>
  </si>
  <si>
    <t>PROG.PLEXO AUTRES FONCT.</t>
  </si>
  <si>
    <t>56.7762€</t>
  </si>
  <si>
    <t>Prise de courant 2P+T 20A à fixer sur boîte Ø67mm Plexo complet IP44 encastré  -  gris</t>
  </si>
  <si>
    <t>33.3674€</t>
  </si>
  <si>
    <t>Prise étanche 3P+T à volet Plexo 20A 400V IP44 IK08 saillie - gris</t>
  </si>
  <si>
    <t>58.928€</t>
  </si>
  <si>
    <t>Prise de courant 3P+T 20A à fixer sur boîte Ø67mm Plexo complet IP44 encastré  -  gris</t>
  </si>
  <si>
    <t>34.249€</t>
  </si>
  <si>
    <t>Prise étanche 3P+N+T à volet Plexo 20A 400V IP44 IK08 saillie - gris</t>
  </si>
  <si>
    <t>62.234€</t>
  </si>
  <si>
    <t>Prise de courant 3P+N+T 20A à fixer sur boîte Ø67mm Plexo complet IP44 encastré  -  gris</t>
  </si>
  <si>
    <t>38.7962€</t>
  </si>
  <si>
    <t>Prise étanche 2P+T 32A Plexo complet IP44 saillie - gris</t>
  </si>
  <si>
    <t>78.822€</t>
  </si>
  <si>
    <t>Prise 3P+T 32A Plexo complet IP55 saillie  -  gris</t>
  </si>
  <si>
    <t>83.056€</t>
  </si>
  <si>
    <t>Prise 3P+T+N 32A Plexo complet IP55 saillie  -  gris</t>
  </si>
  <si>
    <t>88.16€</t>
  </si>
  <si>
    <t>Prise de courant 2P+T éclips montage en plastron format réduit</t>
  </si>
  <si>
    <t>17.3188€</t>
  </si>
  <si>
    <t>Cadre étanche Plexo pour pose en saillie références 055703 , 055706 et 055708</t>
  </si>
  <si>
    <t>10.0398€</t>
  </si>
  <si>
    <t>Prise de courant 3P+T - éclips de protection Plexo IP66 complet 20A 400V~ - gris</t>
  </si>
  <si>
    <t>55.5814€</t>
  </si>
  <si>
    <t>Prise de courant 3P+N+T avec éclips Plexo IP66 complet 20A 400V~ - gris</t>
  </si>
  <si>
    <t>60.378€</t>
  </si>
  <si>
    <t>Interrupteur ou va-et-vient étanche à voyant Plexo IP66 complet 10A 250V~ - gris</t>
  </si>
  <si>
    <t>35.4612€</t>
  </si>
  <si>
    <t>Poussoir étanche NO+NF à voyant Plexo IP66 complet 6A 250V~ - gris</t>
  </si>
  <si>
    <t>43.9176€</t>
  </si>
  <si>
    <t>Interrupteur/va-et-vient bipolaire à voyant Plexo IP66 complet 10A 250V~ - gris</t>
  </si>
  <si>
    <t>48.8012€</t>
  </si>
  <si>
    <t>Prise de courant 2P+T volet IP66 fiche engagée Plexo complet 16A 250V~ - gris</t>
  </si>
  <si>
    <t>57.2518€</t>
  </si>
  <si>
    <t>Prise de courant étanche 2P+T avec volet Plexo IP66 complet 16A 250V~ - gris</t>
  </si>
  <si>
    <t>35.5946€</t>
  </si>
  <si>
    <t>Interrupteur ou va-et-vient étanche à voyant 10A Plexo IP66 composable - gris</t>
  </si>
  <si>
    <t>20.6828€</t>
  </si>
  <si>
    <t>Poussoir étanche NO+NF à voyant Plexo IP66 composable 6A 250V~ - gris</t>
  </si>
  <si>
    <t>29.319€</t>
  </si>
  <si>
    <t>Interrupteur ou va-et-vient bipolaire à voyant 10A Plexo IP66 composable - gris</t>
  </si>
  <si>
    <t>34.4404€</t>
  </si>
  <si>
    <t>Prise de courant 2P+T volet IP66 fiche engagée Plexo composable 16A 250V~ - gris</t>
  </si>
  <si>
    <t>Prise de courant étanche 2P+T avec volet Plexo IP66 composable 16A 250V~ - gris</t>
  </si>
  <si>
    <t>19.9636€</t>
  </si>
  <si>
    <t>Adaptateur étanche Plexo IP66 composable pour mécanismes 2 modules Mosaic - gris</t>
  </si>
  <si>
    <t>28.1648€</t>
  </si>
  <si>
    <t>Boîtier étanche 1 poste Plexo IP66 composable - gris</t>
  </si>
  <si>
    <t>17.8698€</t>
  </si>
  <si>
    <t>Boîtier étanche 2 postes verticaux Plexo IP66 composable - gris</t>
  </si>
  <si>
    <t>32.9208€</t>
  </si>
  <si>
    <t>Boîtier étanche 2 postes horizontaux Plexo IP66 composable - gris</t>
  </si>
  <si>
    <t>32.0508€</t>
  </si>
  <si>
    <t>Prise étanche 2P+T 20A Plexo complet IP55 saillie - gris</t>
  </si>
  <si>
    <t>38.802€</t>
  </si>
  <si>
    <t>Prise étanche 3P+T 20A Plexo complet IP55 saillie - gris</t>
  </si>
  <si>
    <t>39.6836€</t>
  </si>
  <si>
    <t>Prise étanche 3P+T+N 20A Plexo complet IP55 saillie - gris</t>
  </si>
  <si>
    <t>43.4942€</t>
  </si>
  <si>
    <t>Barillet européen avec 3 clés pour Plexo , Céliane et Mosaic</t>
  </si>
  <si>
    <t xml:space="preserve">LGA1095M05 </t>
  </si>
  <si>
    <t>NEW PLEXO AUTRES FONCT.</t>
  </si>
  <si>
    <t>53.4261€</t>
  </si>
  <si>
    <t>Prise RJ45 catégorie6 FTP 9 contacts Appareillage saillie complet  -  blanc</t>
  </si>
  <si>
    <t xml:space="preserve">LGA1226M05 </t>
  </si>
  <si>
    <t>PRISES RJ 45 PROG.ASL</t>
  </si>
  <si>
    <t>23.7974€</t>
  </si>
  <si>
    <t>Prise RJ45 catégorie5e UTP 8 contacts Appareillage saillie complet  -  blanc</t>
  </si>
  <si>
    <t>21.7964€</t>
  </si>
  <si>
    <t>Prise RJ45 catégorie5e FTP 9 contacts Appareillage saillie complet  -  blanc</t>
  </si>
  <si>
    <t>23.5886€</t>
  </si>
  <si>
    <t>Prise RJ45 catégorie6 UTP 8 contacts Appareillage saillie composable  -  blanc</t>
  </si>
  <si>
    <t>18.386€</t>
  </si>
  <si>
    <t>Prise RJ45 catégorie6 FTP 9 contacts Appareillage saillie composable  -  blanc</t>
  </si>
  <si>
    <t>19.604€</t>
  </si>
  <si>
    <t>Prise RJ45 catégorie5e UTP 8 contacts Appareillage saillie composable  -  blanc</t>
  </si>
  <si>
    <t>Prise RJ45 catégorie5e FTP 9 contacts Appareillage saillie composable  -  blanc</t>
  </si>
  <si>
    <t>19.3836€</t>
  </si>
  <si>
    <t>Socle 2P+T 32A avec éclips de protection et étiquette avec Gencod</t>
  </si>
  <si>
    <t xml:space="preserve">LG52900M05 </t>
  </si>
  <si>
    <t>FICHES+CONNECTEURS GD</t>
  </si>
  <si>
    <t>48.097€</t>
  </si>
  <si>
    <t>Socle 3P+T à vis avec éclips de protection 80x80mm - étiquette avec Gencod</t>
  </si>
  <si>
    <t>27.391€</t>
  </si>
  <si>
    <t>Socle 3P+N+T à vis avec éclips 80x80mm - étiquette avec Gencod</t>
  </si>
  <si>
    <t>30.73€</t>
  </si>
  <si>
    <t>Prise de courant de puissance saillie étanche - 20A - 2 alvéoles - Gris</t>
  </si>
  <si>
    <t xml:space="preserve">LG51950M05 </t>
  </si>
  <si>
    <t>PLEXO GD</t>
  </si>
  <si>
    <t>36.281€</t>
  </si>
  <si>
    <t>Prise de courant de puissance saillie étanche - 20A - 3 alvéoles - gris</t>
  </si>
  <si>
    <t>39.816€</t>
  </si>
  <si>
    <t>Prise de courant de puissance saillie étanche - 20A - 4 alvéoles - gris</t>
  </si>
  <si>
    <t>42.14€</t>
  </si>
  <si>
    <t>Outil de verrouillage - pour vis inviolables</t>
  </si>
  <si>
    <t xml:space="preserve">LGC343M05 </t>
  </si>
  <si>
    <t>BOITES ETANCHES</t>
  </si>
  <si>
    <t>29.364€</t>
  </si>
  <si>
    <t>Epanouisseur 6 fibres pour gainage fibre optique</t>
  </si>
  <si>
    <t xml:space="preserve">LGB3219M05 </t>
  </si>
  <si>
    <t>FIBRE ET JARRETIERE OPTIQUE</t>
  </si>
  <si>
    <t>93.47€</t>
  </si>
  <si>
    <t>Epanouisseur 12 fibres pour gainage fibre optique</t>
  </si>
  <si>
    <t>Gaine thermorétractable 40mm pour pigtail - sachet de 50 gaines</t>
  </si>
  <si>
    <t>78.195€</t>
  </si>
  <si>
    <t>Cordon optique simplex SC/APC - longueur 2m</t>
  </si>
  <si>
    <t>74.685€</t>
  </si>
  <si>
    <t>Prise traversée fibre optique 2xST Mosaic 2 modules à porte - repère transparent et connexion à baïo</t>
  </si>
  <si>
    <t xml:space="preserve">LGB3220M05 </t>
  </si>
  <si>
    <t>TIROIR ET TRAVERSEE OPTIQUE</t>
  </si>
  <si>
    <t>48.711€</t>
  </si>
  <si>
    <t>Prise traversée fibre optique 2xSC Mosaic 2 modules avec porte - repère transparent et connexion pus</t>
  </si>
  <si>
    <t>40.3455€</t>
  </si>
  <si>
    <t>Prise traversée fibre optique 2xLC Mosaic 2 modules avec porte - repère transparent et connexion pus</t>
  </si>
  <si>
    <t>44.642€</t>
  </si>
  <si>
    <t>Prise optique Céliane avec 2 traversées SC/APC simplex avec volet de protection</t>
  </si>
  <si>
    <t>32.396€</t>
  </si>
  <si>
    <t>Prise optique Niloé - 2 traversées SC/APC simplex avec volet de protection - Pur</t>
  </si>
  <si>
    <t>37.102€</t>
  </si>
  <si>
    <t>Prise traversée cuivre catégorie6 UTP Mosaic 2 modules  -  blanc</t>
  </si>
  <si>
    <t xml:space="preserve">LGB3217M05 </t>
  </si>
  <si>
    <t>PRISES RJ 45 CAT5/6  PROG.MOSAIC</t>
  </si>
  <si>
    <t>49.543€</t>
  </si>
  <si>
    <t>Prise traversée cuivre catégorie6 FTP Mosaic 2 modules  -  blanc</t>
  </si>
  <si>
    <t>75.075€</t>
  </si>
  <si>
    <t>Prise traversée cuivre catégorie6 UTP Mosaic 2 modules  -  alu</t>
  </si>
  <si>
    <t>51.2135€</t>
  </si>
  <si>
    <t>Prise traversée cuivre catégorie6 FTP Mosaic 2 modules  -  alu</t>
  </si>
  <si>
    <t>76.7€</t>
  </si>
  <si>
    <t>Prise RJ45 catégorie6 FTP Soliroc IK10 IP20</t>
  </si>
  <si>
    <t>63.0695€</t>
  </si>
  <si>
    <t>Prise RJ45 catégorie6 FTP avec volet vert Mosaic 2 modules  -  blanc</t>
  </si>
  <si>
    <t>22.464€</t>
  </si>
  <si>
    <t>Prise RJ45 catégorie6 FTP avec volet orange Mosaic 2 modules  -  blanc</t>
  </si>
  <si>
    <t>22.4315€</t>
  </si>
  <si>
    <t>Double prise RJ45 catégorie5e FTP spéciale goulotte à clippage direct Mosaic 3 modules  -  blanc</t>
  </si>
  <si>
    <t>30.524€</t>
  </si>
  <si>
    <t>Double prise RJ45 catégorie6 FTP spéciale goulotte à clippage direct Mosaic 3 modules  -  blanc</t>
  </si>
  <si>
    <t>31.6745€</t>
  </si>
  <si>
    <t>Prise RJ45 catégorie5e UTP Mosaic 1 module  -  blanc</t>
  </si>
  <si>
    <t>15.5025€</t>
  </si>
  <si>
    <t>Prise RJ45 catégorie5e FTP Mosaic 1 module  -  blanc</t>
  </si>
  <si>
    <t>17.888€</t>
  </si>
  <si>
    <t>Prise RJ45 catégorie5e UTP Mosaic 2 modules  -  blanc</t>
  </si>
  <si>
    <t>16.042€</t>
  </si>
  <si>
    <t>Prise RJ45 catégorie5e FTP Mosaic 2 modules  -  blanc</t>
  </si>
  <si>
    <t>17.9855€</t>
  </si>
  <si>
    <t>Prise RJ45 catégorie6 UTP Mosaic 1 module  -  blanc</t>
  </si>
  <si>
    <t>Prise RJ45 catégorie6 FTP Mosaic 1 module  -  blanc</t>
  </si>
  <si>
    <t>18.1155€</t>
  </si>
  <si>
    <t>Prise RJ45 catégorie6 STP blindée Mosaic 1 module  -  blanc</t>
  </si>
  <si>
    <t>24.843€</t>
  </si>
  <si>
    <t>Prise RJ45 catégorie6 UTP Mosaic 2 modules  -  blanc</t>
  </si>
  <si>
    <t>16.874€</t>
  </si>
  <si>
    <t>Prise RJ45 catégorie6 FTP Mosaic 2 modules  -  blanc</t>
  </si>
  <si>
    <t>18.2325€</t>
  </si>
  <si>
    <t>Prise RJ45 catégorie6 STP blindée Mosaic 2 modules  -  blanc</t>
  </si>
  <si>
    <t>21.0795€</t>
  </si>
  <si>
    <t>Prise RJ45 catégorie6 UTP Mosaic 1 module  -  blanc antimicrobien</t>
  </si>
  <si>
    <t>17.485€</t>
  </si>
  <si>
    <t>Prise RJ45 catégorie6 FTP Mosaic 1 module  -  blanc antimicrobien</t>
  </si>
  <si>
    <t>18.9865€</t>
  </si>
  <si>
    <t>Prise RJ45 catégorie6 STP blindée Mosaic 1 module  -  blanc antimicrobien</t>
  </si>
  <si>
    <t>25.675€</t>
  </si>
  <si>
    <t>Prise RJ45 catégorie6 UTP inclinée à 90° Mosaic 2 modules  -  blanc</t>
  </si>
  <si>
    <t>20.631€</t>
  </si>
  <si>
    <t>Prise RJ45 catégorie6 FTP inclinée à 90° Mosaic 2 modules  -  blanc</t>
  </si>
  <si>
    <t>21.6775€</t>
  </si>
  <si>
    <t>Prise RJ45 catégorie6 STP blindée inclinées à 90° Mosaic 2 modules  -  blanc</t>
  </si>
  <si>
    <t>Prise RJ45 catégorie6 UTP à accès contrôlé avec volet rouge Mosaic 2 modules  -  blanc</t>
  </si>
  <si>
    <t>30.7645€</t>
  </si>
  <si>
    <t>Prise RJ45 catégorie6 FTP à accès contrôlé avec volet rouge Mosaic 2 modules  -  blanc</t>
  </si>
  <si>
    <t>33.2475€</t>
  </si>
  <si>
    <t>Prise RJ45 catégorie6 STP blindée à accès contrôlé avec volet rouge Mosaic 2 modules  -  blanc</t>
  </si>
  <si>
    <t>45.877€</t>
  </si>
  <si>
    <t>Prise RJ45 catégorie5e FTP Mosaic 1 module  -  alu</t>
  </si>
  <si>
    <t>18.733€</t>
  </si>
  <si>
    <t>Prise RJ45 catégorie5e FTP Mosaic 2 modules  -  alu</t>
  </si>
  <si>
    <t>19.656€</t>
  </si>
  <si>
    <t>Prise RJ45 catégorie6 UTP Mosaic 1 module  -  alu</t>
  </si>
  <si>
    <t>17.4395€</t>
  </si>
  <si>
    <t>Prise RJ45 catégorie6 FTP Mosaic 1 module  -  alu</t>
  </si>
  <si>
    <t>18.9215€</t>
  </si>
  <si>
    <t>Prise RJ45 catégorie6 UTP Mosaic 2 modules  -  alu</t>
  </si>
  <si>
    <t>18.5445€</t>
  </si>
  <si>
    <t>Prise RJ45 catégorie6 FTP Mosaic 2 modules  -  alu</t>
  </si>
  <si>
    <t>19.7665€</t>
  </si>
  <si>
    <t>Prise RJ45 catégorie6 FTP inclinée à 90° Mosaic 2 modules  -  alu</t>
  </si>
  <si>
    <t>23.66€</t>
  </si>
  <si>
    <t>Prise RJ45 catégorie6 FTP inclinée à 45° Mosaic 2 modules  -  blanc</t>
  </si>
  <si>
    <t>19.1685€</t>
  </si>
  <si>
    <t>Double prise RJ45 catégorie6 FTP inclines à 45° Mosaic 2 modules  -  blanc</t>
  </si>
  <si>
    <t>33.0525€</t>
  </si>
  <si>
    <t>Prise RJ45 catégorie6 FTP avec enrouleur Mosaic 4 modules  -  blanc</t>
  </si>
  <si>
    <t>55.1395€</t>
  </si>
  <si>
    <t>Prise RJ45 catégorie6 FTP avec enrouleur Mosaic 4 modules  -  alu</t>
  </si>
  <si>
    <t>58.4805€</t>
  </si>
  <si>
    <t>Prise RJ45 catégorie6 STP inclinées à 45° Mosaic 2 modules  -  blanc</t>
  </si>
  <si>
    <t>25.987€</t>
  </si>
  <si>
    <t>Cadre Mosaic - 2 modules - profondeur 30mm</t>
  </si>
  <si>
    <t xml:space="preserve">LG51930M05 </t>
  </si>
  <si>
    <t>MOSAIC GD</t>
  </si>
  <si>
    <t>4.942€</t>
  </si>
  <si>
    <t>Cadre pour Mosaic 2 modules - profondeur 40mm</t>
  </si>
  <si>
    <t>4.634€</t>
  </si>
  <si>
    <t>Cadre Mosaic - 4 modules montage horizontal - profondeur 40mm</t>
  </si>
  <si>
    <t>9.226€</t>
  </si>
  <si>
    <t>Prise de courant avec terre spéciale rénovation Mosaic blanc - 2 modules</t>
  </si>
  <si>
    <t>9.513€</t>
  </si>
  <si>
    <t>Prise de courant sans terre Mosaic blanc - 2 modules</t>
  </si>
  <si>
    <t>7.14€</t>
  </si>
  <si>
    <t>Sortie de câble Mosaic avec serre-câble 2 modules - blanc</t>
  </si>
  <si>
    <t>11.361€</t>
  </si>
  <si>
    <t>Prise RJ45 catégorie 6 FTP Mosaic 1 module - blanc</t>
  </si>
  <si>
    <t>18.487€</t>
  </si>
  <si>
    <t>Prise RJ45 catégorie 6 FTP Mosaic 2 modules - blanc</t>
  </si>
  <si>
    <t>18.298€</t>
  </si>
  <si>
    <t>Prise TV simple mâle Mosaic 2 modules - blanc</t>
  </si>
  <si>
    <t>12.775€</t>
  </si>
  <si>
    <t>Prise téléphone en T Mosaic 8 contacts 2 modules - blanc</t>
  </si>
  <si>
    <t>17.311€</t>
  </si>
  <si>
    <t>Prise haut-parleur Mosaic 2 modules - blanc</t>
  </si>
  <si>
    <t>24.892€</t>
  </si>
  <si>
    <t>Interrupteur individuel de volets roulants Mosaic 2 modules - blanc</t>
  </si>
  <si>
    <t>43.47€</t>
  </si>
  <si>
    <t>Obturateur Mosaic 1 module - fintion blanc</t>
  </si>
  <si>
    <t>2.947€</t>
  </si>
  <si>
    <t>Obturateur Mosaic finition blanc - 2 modules</t>
  </si>
  <si>
    <t>3.962€</t>
  </si>
  <si>
    <t>Prise TV typeF à visser Mosaic blanc - 2 modules</t>
  </si>
  <si>
    <t>14.56€</t>
  </si>
  <si>
    <t>Prise de courant Surface Mosaic 2 modules - blanc</t>
  </si>
  <si>
    <t>6.531€</t>
  </si>
  <si>
    <t>Prise TV-R-SAT DAB+ Mosaic 2 modules - blanc</t>
  </si>
  <si>
    <t>41.531€</t>
  </si>
  <si>
    <t>Poussoir pour commande centralisée volets roulants Mosaic 2 modules - blanc</t>
  </si>
  <si>
    <t>48.993€</t>
  </si>
  <si>
    <t>Prise haut-parleur Mosaic 1 module - blanc</t>
  </si>
  <si>
    <t>15.932€</t>
  </si>
  <si>
    <t>Prise double USB Type-A Mosaic 3A 2 modules - blanc</t>
  </si>
  <si>
    <t>40.453€</t>
  </si>
  <si>
    <t>Cadre simple pour appareillage Mosaic - pour moulures 16mm</t>
  </si>
  <si>
    <t>15.827€</t>
  </si>
  <si>
    <t>Cadre double pour appareillage Mosaic - pour moulures 16mm</t>
  </si>
  <si>
    <t>Prise RJ45 multimédia catégorie 6 FTP Céliane - blanc avec support</t>
  </si>
  <si>
    <t xml:space="preserve">LG51940M05 </t>
  </si>
  <si>
    <t>CELIANE GD</t>
  </si>
  <si>
    <t>23.933€</t>
  </si>
  <si>
    <t>Prise RJ45 multimédia catégorie 6 FTP Céliane - titane avec support</t>
  </si>
  <si>
    <t>26.257€</t>
  </si>
  <si>
    <t>Prise RJ45 multimédia catégorie 6 FTP Céliane - Graphite</t>
  </si>
  <si>
    <t>Prise RJ45 multimédia catégorie 6 FTP avec plaque Céliane - Blanc</t>
  </si>
  <si>
    <t>25.732€</t>
  </si>
  <si>
    <t>Interrupteur ou va - et - vient 10AX 250V~ Soliroc IK10 IP55</t>
  </si>
  <si>
    <t xml:space="preserve">LGB1252M05 </t>
  </si>
  <si>
    <t>PROG.SOLIROC</t>
  </si>
  <si>
    <t>52.314€</t>
  </si>
  <si>
    <t>Interrupteur ou va - et - vient lumineux 10AX 250V~ Soliroc IK10 IP55</t>
  </si>
  <si>
    <t>60.54€</t>
  </si>
  <si>
    <t>Interrupteur ou va - et - vient repérable 10AX 250V~ Soliroc IK10 IP55</t>
  </si>
  <si>
    <t>63.6€</t>
  </si>
  <si>
    <t>Interrupteur ou va - et - vient témoin 10AX 250V~ Soliroc IK10 IP55</t>
  </si>
  <si>
    <t>70.44€</t>
  </si>
  <si>
    <t>Permutateur 10AX 250V~ Soliroc - IK10 IP55</t>
  </si>
  <si>
    <t>72.06€</t>
  </si>
  <si>
    <t>Interrupteur bipolaire Soliroc 16AX 250V~</t>
  </si>
  <si>
    <t>71.52€</t>
  </si>
  <si>
    <t>Interrupteur temporisé sans neutre 2 fils 1000W Soliroc IK10</t>
  </si>
  <si>
    <t>130.86€</t>
  </si>
  <si>
    <t>Prise de courant 2P+T à puits français avec volet 16A 250V Soliroc IK10</t>
  </si>
  <si>
    <t>60.96€</t>
  </si>
  <si>
    <t>Prise de courant 2P+T à puits français sans volet 16A 250V Soliroc IK10 IP20</t>
  </si>
  <si>
    <t>44.946€</t>
  </si>
  <si>
    <t>Prise de courant 2P+T à puits français avec volet verrouillé 16A 250V Soliroc IK10 IP55</t>
  </si>
  <si>
    <t>109.68€</t>
  </si>
  <si>
    <t>Prise de courant 2P+T à puits germanique avec éclips de protection et volet verrouillé 16A 250V Soli</t>
  </si>
  <si>
    <t>159.6€</t>
  </si>
  <si>
    <t>Poussoir inverseur NO - NF 6A 230V~ Soliroc IK10 IP55</t>
  </si>
  <si>
    <t>51.42€</t>
  </si>
  <si>
    <t>Poussoir inverseur lumineux NO 6A 230V~ Soliroc IK10 IP55</t>
  </si>
  <si>
    <t>56.922€</t>
  </si>
  <si>
    <t>Poussoir inverseur repérable NO - NF 6A 230V~ Soliroc IK10 IP55</t>
  </si>
  <si>
    <t>61.8€</t>
  </si>
  <si>
    <t>Poussoir inverseur témoin NO 6A 230V~ Soliroc IK10 IP55</t>
  </si>
  <si>
    <t>68.76€</t>
  </si>
  <si>
    <t>Sortie de câbles avec serre - câbles Soliroc IK10 IP55</t>
  </si>
  <si>
    <t>50.55€</t>
  </si>
  <si>
    <t>Plaque 1 poste - Soliroc - IK10 - antivandale</t>
  </si>
  <si>
    <t>49.158€</t>
  </si>
  <si>
    <t>Plaque 2 postes - Soliroc - IK10- antivandale</t>
  </si>
  <si>
    <t>61.68€</t>
  </si>
  <si>
    <t>Plaque 3 postes - Soliroc - IK10- antivandale</t>
  </si>
  <si>
    <t>77.76€</t>
  </si>
  <si>
    <t>Obturateur - 2 modules - Soliroc- accessoire</t>
  </si>
  <si>
    <t>36.876€</t>
  </si>
  <si>
    <t>Eclairage de circulation Soliroc IK10 IP55</t>
  </si>
  <si>
    <t>465.72€</t>
  </si>
  <si>
    <t>Signalétique lumineuse 230V~ Soliroc IK10 IP55</t>
  </si>
  <si>
    <t>109.74€</t>
  </si>
  <si>
    <t>Interrupteur à clé 2 positions 6A 250V~ Soliroc IK10 IP54</t>
  </si>
  <si>
    <t>106.98€</t>
  </si>
  <si>
    <t>Poussoir à clé 3 positions 6A 250V~ Soliroc IK10 IP54</t>
  </si>
  <si>
    <t>116.46€</t>
  </si>
  <si>
    <t>Adaptateur avec volet Soliroc IP55 IK10 pour mécanismes Mosaic 2 modules</t>
  </si>
  <si>
    <t>66.12€</t>
  </si>
  <si>
    <t>Adaptateur sans volet Soliroc IP2x pour mécanismes Mosaic 2 modules</t>
  </si>
  <si>
    <t>35.448€</t>
  </si>
  <si>
    <t>Prise télévision simple Soliroc IK10 IP20</t>
  </si>
  <si>
    <t>47.496€</t>
  </si>
  <si>
    <t>Joint de correction de surface pour plaque 1 poste Soliroc</t>
  </si>
  <si>
    <t>8.178€</t>
  </si>
  <si>
    <t>Joint de correction de surface pour plaque 2 postes Soliroc</t>
  </si>
  <si>
    <t>11.856€</t>
  </si>
  <si>
    <t>Joint de correction de surface pour plaque 3 postes Soliroc</t>
  </si>
  <si>
    <t>Cadre saillie - 1 poste - Soliroc - IK10 - antivandale</t>
  </si>
  <si>
    <t>77.88€</t>
  </si>
  <si>
    <t>Cadre saillie - 2 postes - Soliroc - IK10</t>
  </si>
  <si>
    <t>107.4€</t>
  </si>
  <si>
    <t>Jeu de 4 bouchons obturateurs de rechange Soliroc</t>
  </si>
  <si>
    <t>6.132€</t>
  </si>
  <si>
    <t>Accessoire de scellement pour plaques Soliroc</t>
  </si>
  <si>
    <t>10.266€</t>
  </si>
  <si>
    <t>Adaptateur avec volet à clé Soliroc IP55 IK10 pour mécanismes Mosaic 2 modules</t>
  </si>
  <si>
    <t>102.06€</t>
  </si>
  <si>
    <t>Télécommande infrarouge fonctions On ou Off ou variation</t>
  </si>
  <si>
    <t xml:space="preserve">LGB3273M05 </t>
  </si>
  <si>
    <t>DÉTECTEURS AUTONOMES HORS APP.</t>
  </si>
  <si>
    <t>100.945€</t>
  </si>
  <si>
    <t>Prise RJ45 - Gamme Céliane - catégorie 6 UTP</t>
  </si>
  <si>
    <t xml:space="preserve">LGA1224M05 </t>
  </si>
  <si>
    <t>PRISES RJ 45 PROG.CELIANE</t>
  </si>
  <si>
    <t>14.5754€</t>
  </si>
  <si>
    <t>Prise RJ45 Céliane catégorie6A STP blindage métal</t>
  </si>
  <si>
    <t>Prise RJ45 avec enrouleur automatique Céliane catégorie6 FTP avec cordon 1m</t>
  </si>
  <si>
    <t>44.5208€</t>
  </si>
  <si>
    <t>PRISE TELEPHONE RJ45 CAT6 STP COMPLET TITANE</t>
  </si>
  <si>
    <t>25.0676€</t>
  </si>
  <si>
    <t>Prise RJ45 catégorie6A STP à blindage métal avec volet vert Mosaic 2 modules  -  blanc</t>
  </si>
  <si>
    <t xml:space="preserve">LGB3218M05 </t>
  </si>
  <si>
    <t>PRISES RJ 45 CAT6A  PROG.MOSAIC</t>
  </si>
  <si>
    <t>30.0755€</t>
  </si>
  <si>
    <t>Prise RJ45 catégorie6A STP à blindage métal avec volet orange Mosaic 2 modules  -  blanc</t>
  </si>
  <si>
    <t>30.667€</t>
  </si>
  <si>
    <t>Prise RJ45 catégorie6A STP à blindage métal Mosaic 1 module  -  blanc</t>
  </si>
  <si>
    <t>21.4175€</t>
  </si>
  <si>
    <t>Prise RJ45 catégorie6A STP à blindage métal Mosaic 2 modules  -  blanc</t>
  </si>
  <si>
    <t>22.2235€</t>
  </si>
  <si>
    <t xml:space="preserve">Prise RJ45 catégorie6A STP à blindage métal et accès contrôlé avec volet rouge Mosaic 2 modules  -  </t>
  </si>
  <si>
    <t>44.551€</t>
  </si>
  <si>
    <t>Prise RJ45 catégorie6A STP à blindage métal Mosaic 1 module  -  alu</t>
  </si>
  <si>
    <t>Prise RJ45 catégorie6A STP à blindage métal Mosaic 2 modules  -  alu</t>
  </si>
  <si>
    <t>23.7575€</t>
  </si>
  <si>
    <t>Prise RJ45 catégorie6A STP inclinée à 45° avec blindage métal Mosaic 2 modules  -  blanc</t>
  </si>
  <si>
    <t>25.1745€</t>
  </si>
  <si>
    <t>Prise RJ45 catégorie6A STP à blindage métal Mosaic 1 module  -  blanc antimicrobien</t>
  </si>
  <si>
    <t>22.2495€</t>
  </si>
  <si>
    <t>Prise RJ45 catégorie6A STP Soliroc IK10 IP20</t>
  </si>
  <si>
    <t>65.065€</t>
  </si>
  <si>
    <t>Prise RJ45 étanche catégorie5e UTP Plexo IP55 volet fermé IK07 - gris</t>
  </si>
  <si>
    <t xml:space="preserve">LGA1227M05 </t>
  </si>
  <si>
    <t>PRISES RJ 45 PROG.PLEXO</t>
  </si>
  <si>
    <t>28.0952€</t>
  </si>
  <si>
    <t>Prise RJ45 étanche catégorie5e FTP Plexo composable IP55 gris</t>
  </si>
  <si>
    <t>29.8584€</t>
  </si>
  <si>
    <t>Prise RJ45 catégorie 6 UTP Plexo - Finition gris</t>
  </si>
  <si>
    <t>28.913€</t>
  </si>
  <si>
    <t>Prise RJ45 étanche catégorie 6 FTP Plexo composable IP55 gris</t>
  </si>
  <si>
    <t>30.1136€</t>
  </si>
  <si>
    <t>Prise RJ45 étanche catégorie6 FTP Plexo IP66 complet - gris</t>
  </si>
  <si>
    <t>80.33€</t>
  </si>
  <si>
    <t>Récepteur infrarouge actif Céliane MyHOME BUS - pour télécommande</t>
  </si>
  <si>
    <t xml:space="preserve">LGA3107M05 </t>
  </si>
  <si>
    <t>MY HOME LG</t>
  </si>
  <si>
    <t>93.48€</t>
  </si>
  <si>
    <t>Commande 4 scénarios MyHOME_Up Céliane  -  blanc</t>
  </si>
  <si>
    <t>117.06€</t>
  </si>
  <si>
    <t>Commande 4 scénarios MyHOME_Up Céliane  -  titane</t>
  </si>
  <si>
    <t>118.92€</t>
  </si>
  <si>
    <t>Sonde Céliane avec commande de dérogation MyHOME_Up</t>
  </si>
  <si>
    <t>91.92€</t>
  </si>
  <si>
    <t>Sonde pour gestion de température MyHOME_Up Céliane</t>
  </si>
  <si>
    <t>74.7€</t>
  </si>
  <si>
    <t>Enjoliveur Céliane détecteur infrarouge ( IR ) fixe  -  blanc</t>
  </si>
  <si>
    <t>3.594€</t>
  </si>
  <si>
    <t>Enjoliveur Céliane détecteur infrarouge ( IR ) fixe  -  titane</t>
  </si>
  <si>
    <t>5.772€</t>
  </si>
  <si>
    <t>Interrupteur à badge RFID MyHOME_Up Céliane</t>
  </si>
  <si>
    <t>139.32€</t>
  </si>
  <si>
    <t>Interrupteur à badge à contact MyHOME_Up Céliane</t>
  </si>
  <si>
    <t>Détecteur de mouvements BUS Céliane ( présence et luminosité ) pour espace de travail avec poussoir</t>
  </si>
  <si>
    <t>95.1€</t>
  </si>
  <si>
    <t>Enjoliveur double Céliane éclairage 2 pictogrammes  -  blanc</t>
  </si>
  <si>
    <t>6.546€</t>
  </si>
  <si>
    <t>Enjoliveur simple Céliane variation montage gauche  -  blanc</t>
  </si>
  <si>
    <t>3.858€</t>
  </si>
  <si>
    <t>Enjoliveur simple Céliane éclairage montage gauche  -  titane</t>
  </si>
  <si>
    <t>4.722€</t>
  </si>
  <si>
    <t>Enjoliveur simple Céliane variation montage droite  -  titane</t>
  </si>
  <si>
    <t>Enjoliveur simple Céliane STOP montage gauche uniquement  -  titane</t>
  </si>
  <si>
    <t>Enjoliveur double Céliane marquages GEN , ON et OFF  -  blanc</t>
  </si>
  <si>
    <t>6.588€</t>
  </si>
  <si>
    <t>Enjoliveur double Céliane variation  -  blanc</t>
  </si>
  <si>
    <t>Enjoliveur double Céliane éclairage 2 pictogrammes  -  titane</t>
  </si>
  <si>
    <t>8.172€</t>
  </si>
  <si>
    <t>Enjoliveur simple Céliane variation montage gauche  -  titane</t>
  </si>
  <si>
    <t>Enjoliveur simple Céliane marquages GEN , ON et OFF montage droite  -  blanc</t>
  </si>
  <si>
    <t>3.846€</t>
  </si>
  <si>
    <t>Enjoliveur double Céliane marquages GEN , ON et OFF  -  titane</t>
  </si>
  <si>
    <t>8.256€</t>
  </si>
  <si>
    <t>Enjoliveur double Céliane variation  -  titane</t>
  </si>
  <si>
    <t>8.184€</t>
  </si>
  <si>
    <t>Enjoliveur double Céliane éclairage 1 pictogramme  -  blanc</t>
  </si>
  <si>
    <t>6.54€</t>
  </si>
  <si>
    <t>Enjoliveur simple Céliane marquages GEN , ON et OFF montage gauche  -  blanc</t>
  </si>
  <si>
    <t>3.87€</t>
  </si>
  <si>
    <t>Enjoliveur simple Céliane sans marquage montage gauche ou droite  -  blanc</t>
  </si>
  <si>
    <t>Enjoliveur simple Céliane marquage ON et OFF montage droite  -  blanc</t>
  </si>
  <si>
    <t>3.882€</t>
  </si>
  <si>
    <t>Enjoliveur simple Céliane marquages GEN , ON et OFF montage droite  -  titane</t>
  </si>
  <si>
    <t>4.746€</t>
  </si>
  <si>
    <t>Enjoliveur simple Céliane éclairage et diffusion sonore montage droite  -  blanc</t>
  </si>
  <si>
    <t>3.852€</t>
  </si>
  <si>
    <t>Enjoliveur double Céliane sans marquage  -  blanc</t>
  </si>
  <si>
    <t>3.786€</t>
  </si>
  <si>
    <t>Enjoliveur double Céliane éclairage 1 pictogramme  -  titane</t>
  </si>
  <si>
    <t>8.202€</t>
  </si>
  <si>
    <t>Enjoliveur simple Céliane marquages GEN , ON et OFF montage gauche  -  titane</t>
  </si>
  <si>
    <t>4.698€</t>
  </si>
  <si>
    <t>Enjoliveur simple Céliane sans marquage montage gauche ou droite  -  titane</t>
  </si>
  <si>
    <t>4.716€</t>
  </si>
  <si>
    <t>Enjoliveur simple Céliane marquage ON et OFF montage droite  -  titane</t>
  </si>
  <si>
    <t>4.734€</t>
  </si>
  <si>
    <t>Enjoliveur simple Céliane éclairage et diffusion sonore montage droite  -  titane</t>
  </si>
  <si>
    <t>Enjoliveur double Céliane sans marquage  -  titane</t>
  </si>
  <si>
    <t>5.418€</t>
  </si>
  <si>
    <t>Bague Céliane pour enjoliveurs simples ou doubles  -  blanc</t>
  </si>
  <si>
    <t>3.75€</t>
  </si>
  <si>
    <t>Enjoliveur double Céliane marquage ON et OFF  -  blanc</t>
  </si>
  <si>
    <t>6.564€</t>
  </si>
  <si>
    <t>Commande MyHOME_Up Céliane spécifique pour gestion avancée de moteurs</t>
  </si>
  <si>
    <t>80.64€</t>
  </si>
  <si>
    <t>Enjoliveur simple Céliane marquage ON et OFF montage gauche  -  blanc</t>
  </si>
  <si>
    <t>Bague Céliane pour enjoliveurs simples ou doubles  -  titane</t>
  </si>
  <si>
    <t>4.566€</t>
  </si>
  <si>
    <t>Enjoliveur double Céliane marquage ON et OFF  -  titane</t>
  </si>
  <si>
    <t>8.22€</t>
  </si>
  <si>
    <t>Actionneur MyHOME_Up Céliane avec commande intégrée pour volets motorisés</t>
  </si>
  <si>
    <t>88.74€</t>
  </si>
  <si>
    <t>Enjoliveur gauche Céliane éclairage et diffusion sonore  -  blanc</t>
  </si>
  <si>
    <t>Enjoliveur simple Céliane pour volets roulants montage gauche ou droite  -  blanc</t>
  </si>
  <si>
    <t>3.876€</t>
  </si>
  <si>
    <t>Enjoliveur simple Céliane marquage ON et OFF montage gauche  -  titane</t>
  </si>
  <si>
    <t>Enjoliveur simple Céliane éclairage montage droite  -  blanc</t>
  </si>
  <si>
    <t>Enjoliveur double Céliane marquage GEN  -  blanc</t>
  </si>
  <si>
    <t>6.57€</t>
  </si>
  <si>
    <t>Enjoliveur double Céliane pour volets roulants  -  blanc</t>
  </si>
  <si>
    <t>Enjoliveur gauche Céliane éclairage et diffusion sonore  -  titane</t>
  </si>
  <si>
    <t>4.704€</t>
  </si>
  <si>
    <t>Enjoliveur simple Céliane pour volets roulants montage gauche ou droite  -  titane</t>
  </si>
  <si>
    <t>4.71€</t>
  </si>
  <si>
    <t>Enjoliveur simple Céliane éclairage montage gauche  -  blanc</t>
  </si>
  <si>
    <t>Enjoliveur simple Céliane variation montage droite  -  blanc</t>
  </si>
  <si>
    <t>Enjoliveur simple Céliane STOP montage gauche uniquement  -  blanc</t>
  </si>
  <si>
    <t>Enjoliveur simple Céliane éclairage montage droite  -  titane</t>
  </si>
  <si>
    <t>Enjoliveur double Céliane marquage GEN  -  titane</t>
  </si>
  <si>
    <t>8.244€</t>
  </si>
  <si>
    <t>Enjoliveur double Céliane marquage ON et OFF  -  graphite</t>
  </si>
  <si>
    <t>8.262€</t>
  </si>
  <si>
    <t>Enjoliveur Céliane sonde température  -  graphite</t>
  </si>
  <si>
    <t>6.234€</t>
  </si>
  <si>
    <t>Actionneur commande 2 relais MyHOME_Up Céliane</t>
  </si>
  <si>
    <t>61.74€</t>
  </si>
  <si>
    <t>Sortie de câble IP44 Niloé livré complet - finition Pur</t>
  </si>
  <si>
    <t xml:space="preserve">LGA1048M05 </t>
  </si>
  <si>
    <t>NILOE COMPO.AUTRES FONCT.</t>
  </si>
  <si>
    <t>11.5014€</t>
  </si>
  <si>
    <t>Voyant témoin 230V 3mA - interrupteur bipolaire + permutateur Mosaic/Céliane</t>
  </si>
  <si>
    <t>8.9494€</t>
  </si>
  <si>
    <t>Transformeur simple - Niloé - finition Pur</t>
  </si>
  <si>
    <t>11.803€</t>
  </si>
  <si>
    <t>Voyant lum 230V 0.15 mA - interrupteur bipolaire + permutateur Mosaic et Céliane</t>
  </si>
  <si>
    <t>9.0132€</t>
  </si>
  <si>
    <t>Platine de sol rectangulaire à équiper de mécanismes Mosaic 2 postes – doré brossé</t>
  </si>
  <si>
    <t xml:space="preserve">LGC080M05 </t>
  </si>
  <si>
    <t>PRISE DE SOL  LG</t>
  </si>
  <si>
    <t>83.28€</t>
  </si>
  <si>
    <t>Platine de sol carrée à équiper de mécanisme Mosaic 1 poste – doré brossé</t>
  </si>
  <si>
    <t>46.014€</t>
  </si>
  <si>
    <t>Platine de sol rectangulaire à équiper de mécanismes Mosaic 2 postes – inox brossé</t>
  </si>
  <si>
    <t>81.9€</t>
  </si>
  <si>
    <t>Platine de sol carrée à équiper de mécanisme Mosaic 1 poste – inox brossé</t>
  </si>
  <si>
    <t>45.996€</t>
  </si>
  <si>
    <t>Prise de sol double 2P+T Surface 16A 250V avec platine rectangulaire  -  inox brossé</t>
  </si>
  <si>
    <t>89.52€</t>
  </si>
  <si>
    <t xml:space="preserve">Prise encastrée avec volet verrouillé Green'up Access pour véhicule électrique  -  Modes 1 ou 2  -  </t>
  </si>
  <si>
    <t xml:space="preserve">LGA1412M05 </t>
  </si>
  <si>
    <t>PRISES GREEN UP</t>
  </si>
  <si>
    <t>175.395€</t>
  </si>
  <si>
    <t>Cadre simple pour appareillage apparent - pour moulures 16mm</t>
  </si>
  <si>
    <t xml:space="preserve">LG52740M05 </t>
  </si>
  <si>
    <t>DLP GD</t>
  </si>
  <si>
    <t>8.442€</t>
  </si>
  <si>
    <t>Cadre double pour appareillage apparent - pour moulures 16mm</t>
  </si>
  <si>
    <t>16.863€</t>
  </si>
  <si>
    <t>Cadre simple pour appareillage Mosaic - pour moulures 12.5mm</t>
  </si>
  <si>
    <t>14.609€</t>
  </si>
  <si>
    <t>Cadre double pour appareillage Mosaic - pour moulures 12.5mm</t>
  </si>
  <si>
    <t>28.791€</t>
  </si>
  <si>
    <t>Cadre simple pour appareillage saillie pour moulures hauteur 12.5mm</t>
  </si>
  <si>
    <t>5.369€</t>
  </si>
  <si>
    <t>Cadre double pour appareillage saillie pour moulures hauteur 12.5mm</t>
  </si>
  <si>
    <t>10.85€</t>
  </si>
  <si>
    <t>Prise de courant avec terre pour moulure Appareillage Saillie - blanc</t>
  </si>
  <si>
    <t>6.671€</t>
  </si>
  <si>
    <t>Prise TV pour TNT et câble pour moulure Appareillage Saillie - Blanc</t>
  </si>
  <si>
    <t>13.727€</t>
  </si>
  <si>
    <t>Prise RJ45 multimédia pour moulure Appareillage Saillie - Blanc</t>
  </si>
  <si>
    <t>20.356€</t>
  </si>
  <si>
    <t>Cadre simple pour appareillage apparent - pour plinthe 80x20mm</t>
  </si>
  <si>
    <t>9.086€</t>
  </si>
  <si>
    <t>Cadre double pour appareillage apparent - pour plinthe 80x20mm</t>
  </si>
  <si>
    <t>20.657€</t>
  </si>
  <si>
    <t>Prise TV pour satellite pour moulure Appareillage Saillie - Blanc</t>
  </si>
  <si>
    <t>16.758€</t>
  </si>
  <si>
    <t>Plaque Céliane Poudré 1 poste  -  finition Craie</t>
  </si>
  <si>
    <t xml:space="preserve">LGA1042M05 </t>
  </si>
  <si>
    <t>PROG.CELIANE POUDRE</t>
  </si>
  <si>
    <t>5.7014€</t>
  </si>
  <si>
    <t>Plaque Céliane Poudré 2 postes  -  finition Craie</t>
  </si>
  <si>
    <t>11.4028€</t>
  </si>
  <si>
    <t>Plaque Céliane Poudré 3 postes  -  finition Craie</t>
  </si>
  <si>
    <t>17.1042€</t>
  </si>
  <si>
    <t>Plaque Céliane Poudré 4 postes  -  finition Craie</t>
  </si>
  <si>
    <t>22.8056€</t>
  </si>
  <si>
    <t>Plaque Céliane Poudré 4 à 5 modules  -  finition Craie</t>
  </si>
  <si>
    <t>Plaque Céliane Poudré 6 à 8 modules  -  finition Craie</t>
  </si>
  <si>
    <t>22.7534€</t>
  </si>
  <si>
    <t>Plaque Céliane Poudré 2 postes pour rénovation entraxe 57mm  -  finition Craie</t>
  </si>
  <si>
    <t>12.5454€</t>
  </si>
  <si>
    <t>Plaque Céliane Poudré 3 postes pour rénovation entraxe 57mm  -  finition Craie</t>
  </si>
  <si>
    <t>18.821€</t>
  </si>
  <si>
    <t>Plaque Céliane Poudré 1 poste  -  finition Argile</t>
  </si>
  <si>
    <t>Plaque Céliane Poudré 2 postes  -  finition Argile</t>
  </si>
  <si>
    <t>Plaque Céliane Poudré 3 postes  -  finition Argile</t>
  </si>
  <si>
    <t>Plaque Céliane Poudré 4 postes  -  finition Argile</t>
  </si>
  <si>
    <t>Plaque Céliane Poudré 6 à 8 modules  -  finition Argile</t>
  </si>
  <si>
    <t>Plaque Céliane Poudré 2 postes pour rénovation entraxe 57mm  -  finition Argile</t>
  </si>
  <si>
    <t>Plaque Céliane Poudré 3 postes pour rénovation entraxe 57mm  -  finition Argile</t>
  </si>
  <si>
    <t>Plaque Céliane Poudré 1 poste  -  finition Grès</t>
  </si>
  <si>
    <t>Plaque Céliane Poudré 2 postes  -  finition Grès</t>
  </si>
  <si>
    <t>Plaque Céliane Poudré 3 postes  -  finition Grès</t>
  </si>
  <si>
    <t>Plaque Céliane Poudré 4 à 5 modules  -  finition Grès</t>
  </si>
  <si>
    <t>Plaque Céliane Poudré 6 à 8 modules  -  finition Grès</t>
  </si>
  <si>
    <t>Plaque Céliane Poudré 2 postes pour rénovation entraxe 57mm  -  finition Grès</t>
  </si>
  <si>
    <t>Plaque Céliane Poudré 3 postes pour rénovation entraxe 57mm  -  finition Grès</t>
  </si>
  <si>
    <t>Plaque Céliane Poudré 1 poste  -  finition Schiste</t>
  </si>
  <si>
    <t>Plaque Céliane Poudré 2 postes  -  finition Schiste</t>
  </si>
  <si>
    <t>Plaque Céliane Poudré 3 postes  -  finition Schiste</t>
  </si>
  <si>
    <t>Plaque Céliane Poudré 4 postes  -  finition Schiste</t>
  </si>
  <si>
    <t>Plaque Céliane Poudré 4 à 5 modules  -  finition Schiste</t>
  </si>
  <si>
    <t>Plaque Céliane Poudré 6 à 8 modules  -  finition Schiste</t>
  </si>
  <si>
    <t>Plaque Céliane Poudré 2 postes pour rénovation entraxe 57mm  -  finition Schiste</t>
  </si>
  <si>
    <t>Plaque Céliane Poudré 3 postes pour rénovation entraxe 57mm  -  finition Schiste</t>
  </si>
  <si>
    <t>Plaque Céliane Poudré 1 poste  -  finition Basalte</t>
  </si>
  <si>
    <t>Plaque Céliane Poudré 2 postes  -  finition Basalte</t>
  </si>
  <si>
    <t>Plaque Céliane Poudré 3 postes  -  finition Basalte</t>
  </si>
  <si>
    <t>Plaque Céliane Poudré 4 postes  -  finition Basalte</t>
  </si>
  <si>
    <t>Plaque Céliane Poudré 4 à 5 modules  -  finition Basalte</t>
  </si>
  <si>
    <t>Plaque Céliane Poudré 6 à 8 modules  -  finition Basalte</t>
  </si>
  <si>
    <t>Plaque Céliane Poudré 2 postes pour rénovation entraxe 57mm  -  finition Basalte</t>
  </si>
  <si>
    <t>Plaque Céliane Poudré 3 postes pour rénovation entraxe 57mm  -  finition Basalte</t>
  </si>
  <si>
    <t>Plaque Céliane Poudré 1 poste  -  finition Bordeaux</t>
  </si>
  <si>
    <t>Plaque Céliane Poudré 2 postes  -  finition Bordeaux</t>
  </si>
  <si>
    <t>Plaque Céliane Poudré 3 postes  -  finition Bordeaux</t>
  </si>
  <si>
    <t>Plaque Céliane Poudré 4 postes  -  finition Bordeaux</t>
  </si>
  <si>
    <t>Plaque Céliane Poudré 1 poste  -  finition Vieux rose</t>
  </si>
  <si>
    <t>Plaque Céliane Poudré 2 postes  -  finition Vieux rose</t>
  </si>
  <si>
    <t>Plaque Céliane Poudré 3 postes  -  finition Vieux rose</t>
  </si>
  <si>
    <t>Prêt - à - poser Céliane créer un va - et - vient avec 1 commande sans fil et 1 interrupteur 230V~ l</t>
  </si>
  <si>
    <t xml:space="preserve">LGA1066M05 </t>
  </si>
  <si>
    <t>PRET A POSER CELIANE</t>
  </si>
  <si>
    <t>102.776€</t>
  </si>
  <si>
    <t>Prêt - à - poser Céliane créer une prise commandée avec 1 prise de courant et 1 commande sans fil li</t>
  </si>
  <si>
    <t>85.434€</t>
  </si>
  <si>
    <t>Prêt - à - poser Céliane créer un va - et - vient avec 2 commandes sans fil et 1 micromodule livré c</t>
  </si>
  <si>
    <t>PRET A POSER CREER UN VA&amp;VIENT-1 INTER VAR+1 CDE SS FIL CELIANE BLANC</t>
  </si>
  <si>
    <t>100.224€</t>
  </si>
  <si>
    <t>82.128€</t>
  </si>
  <si>
    <t>102.892€</t>
  </si>
  <si>
    <t>PACK EXT. PIECE CONNECT. BLANC</t>
  </si>
  <si>
    <t xml:space="preserve">LGA3113M05 </t>
  </si>
  <si>
    <t>CELIANE CONNECTE</t>
  </si>
  <si>
    <t>125.58€</t>
  </si>
  <si>
    <t>PACK EXT. PIECE CONNECT. TITAN</t>
  </si>
  <si>
    <t>131.64€</t>
  </si>
  <si>
    <t>Interrupteur ou va - et - vient dooxie 10AX 250V~ finition blanc</t>
  </si>
  <si>
    <t xml:space="preserve">LGA1071M05 </t>
  </si>
  <si>
    <t>DOOXIE COMPOSABLE 20/80</t>
  </si>
  <si>
    <t>3.9786€</t>
  </si>
  <si>
    <t>Double interrupteur ou va - et - vient dooxie 10AX 250V~ finition blanc</t>
  </si>
  <si>
    <t>9.9408€</t>
  </si>
  <si>
    <t>Poussoir simple dooxie 6A 250V~ finition blanc</t>
  </si>
  <si>
    <t>5.9736€</t>
  </si>
  <si>
    <t>Poussoir double dooxie 6A 250V~ finition blanc</t>
  </si>
  <si>
    <t>13.7199€</t>
  </si>
  <si>
    <t>Poussoir simple avec voyant lumineux dooxie 6A 250V~ finition blanc</t>
  </si>
  <si>
    <t>11.7306€</t>
  </si>
  <si>
    <t>Cadre saillie 1 poste dooxie finition blanc</t>
  </si>
  <si>
    <t>4.8279€</t>
  </si>
  <si>
    <t>Cadre saillie 2 postes dooxie finition blanc</t>
  </si>
  <si>
    <t>6.4353€</t>
  </si>
  <si>
    <t>Griffe Rapido profondeur 30mm pour fixation des appareils dooxie en rénovation</t>
  </si>
  <si>
    <t>0.7068€</t>
  </si>
  <si>
    <t>Sortie de câble IP21 dooxie livrée complète avec plaque finition blanc</t>
  </si>
  <si>
    <t>3.6708€</t>
  </si>
  <si>
    <t>Prise de courant easyréno 2P+T faible profondeur dooxie 16A finition blanc</t>
  </si>
  <si>
    <t>3.6651€</t>
  </si>
  <si>
    <t>Double prise de courant 2P+T Surface dooxie 16A précâblées finition blanc</t>
  </si>
  <si>
    <t>10.3968€</t>
  </si>
  <si>
    <t>Prise de courant 2P+T Surface dooxie 16A finition blanc</t>
  </si>
  <si>
    <t>Plaque carrée dooxie 1 poste finition blanc</t>
  </si>
  <si>
    <t>1.3224€</t>
  </si>
  <si>
    <t>Plaque carrée dooxie 2 postes finition blanc</t>
  </si>
  <si>
    <t>2.6448€</t>
  </si>
  <si>
    <t>Plaque carrée dooxie 3 postes finition blanc</t>
  </si>
  <si>
    <t>3.9672€</t>
  </si>
  <si>
    <t>Plaque carrée dooxie 4 postes finition blanc</t>
  </si>
  <si>
    <t>5.2896€</t>
  </si>
  <si>
    <t>Plaque carrée spéciale dooxie 2 postes avec entraxe 57mm finition blanc</t>
  </si>
  <si>
    <t>3.3744€</t>
  </si>
  <si>
    <t>Plaque carrée dooxie 1 poste finition blanc avec porte - étiquette</t>
  </si>
  <si>
    <t>3.5796€</t>
  </si>
  <si>
    <t>Plaque ronde dooxie 1 poste finition blanc</t>
  </si>
  <si>
    <t>1.4649€</t>
  </si>
  <si>
    <t>Poussoir commande VMC dooxie finition blanc</t>
  </si>
  <si>
    <t xml:space="preserve">LGA1072M05 </t>
  </si>
  <si>
    <t>DOOXIE COMPO.AUTRES.FONCT</t>
  </si>
  <si>
    <t>8.6826€</t>
  </si>
  <si>
    <t>Interrupteur commande VMC dooxie finition blanc</t>
  </si>
  <si>
    <t>Interrupteur ou va - et - vient avec voyant témoin dooxie 10AX 250V~ finition blanc</t>
  </si>
  <si>
    <t>10.643€</t>
  </si>
  <si>
    <t>Interrupteur ou va - et - vient avec voyant lumineux dooxie 10AX 250V~ finition blanc</t>
  </si>
  <si>
    <t>Interrupteur ou va - et - vient dooxie IP44 10AX 250V~ livré avec plaque carrée blanche</t>
  </si>
  <si>
    <t>10.8576€</t>
  </si>
  <si>
    <t>Poussoir simple avec voyant lumineux dooxie IP44 6A 250V~ livré avec plaque carrée blanche</t>
  </si>
  <si>
    <t>17.4464€</t>
  </si>
  <si>
    <t>Poussoir simple avec voyant lumineux et marquage cadenas dooxie 6A 250V~ finition blanc</t>
  </si>
  <si>
    <t>15.7354€</t>
  </si>
  <si>
    <t>Poussoir simple avec voyant lumineux et marquage sonnette dooxie 6A 250V~ finition blanc</t>
  </si>
  <si>
    <t>Commande de volets roulants dooxie finition blanc</t>
  </si>
  <si>
    <t>19.5518€</t>
  </si>
  <si>
    <t>Interrupteur à badge dooxie 10AX 250V~ finition blanc</t>
  </si>
  <si>
    <t>56.3412€</t>
  </si>
  <si>
    <t>Permutateur dooxie 10AX 250V~ finition blanc</t>
  </si>
  <si>
    <t>21.7326€</t>
  </si>
  <si>
    <t>Voyant LED lumineux 230V dooxie à raccordement par montage direct 2 fils  -  consommation 0,15mA</t>
  </si>
  <si>
    <t>6.9136€</t>
  </si>
  <si>
    <t>Obturateur dooxie  -finition blanc - avec support</t>
  </si>
  <si>
    <t>3.8512€</t>
  </si>
  <si>
    <t>Chaussette d'étanchéité à l'air dooxie pour installation basse consommation</t>
  </si>
  <si>
    <t>1.6182€</t>
  </si>
  <si>
    <t>Griffe Rapido profondeur 60mm pour fixation des appareils dooxie en rénovation dans carrelage</t>
  </si>
  <si>
    <t>0.7714€</t>
  </si>
  <si>
    <t>Griffe Rapido profondeur 40mm pour fixation des appareils dooxie en rénovation</t>
  </si>
  <si>
    <t>0.4524€</t>
  </si>
  <si>
    <t>Interrupteur ou va - et - vient dooxie 10AX 250V~ finition alu</t>
  </si>
  <si>
    <t>Double interrupteur ou va - et - vient dooxie 10AX 250V~ finition alu</t>
  </si>
  <si>
    <t>11.9132€</t>
  </si>
  <si>
    <t>Poussoir simple dooxie 6A 250V~ finition alu</t>
  </si>
  <si>
    <t>7.7778€</t>
  </si>
  <si>
    <t>Poussoir commande VMC dooxie finition alu</t>
  </si>
  <si>
    <t>10.237€</t>
  </si>
  <si>
    <t>Interrupteur commande VMC dooxie finition alu</t>
  </si>
  <si>
    <t>Poussoir double dooxie 6A 250V~ finition alu</t>
  </si>
  <si>
    <t>15.8572€</t>
  </si>
  <si>
    <t>Interrupteur ou va - et - vient avec voyant témoin dooxie 10AX 250V~ finition alu</t>
  </si>
  <si>
    <t>12.1974€</t>
  </si>
  <si>
    <t>Interrupteur ou va - et - vient avec voyant lumineux dooxie 10AX 250V~ finition alu</t>
  </si>
  <si>
    <t>Poussoir simple avec voyant lumineux dooxie 6A 250V~ finition alu</t>
  </si>
  <si>
    <t>13.7808€</t>
  </si>
  <si>
    <t>Poussoir simple avec voyant lumineux et marquage cadenas dooxie 6A 250V~ finition alu</t>
  </si>
  <si>
    <t>17.3536€</t>
  </si>
  <si>
    <t>Poussoir simple avec voyant lumineux et marquage sonnette dooxie 6A 250V~ finition alu</t>
  </si>
  <si>
    <t>Commande de volets roulants dooxie finition alu</t>
  </si>
  <si>
    <t>21.1062€</t>
  </si>
  <si>
    <t>Interrupteur à badge dooxie 10AX 250V~ finition alu</t>
  </si>
  <si>
    <t>57.8956€</t>
  </si>
  <si>
    <t>Permutateur dooxie 10AX 250V~ finition alu</t>
  </si>
  <si>
    <t>23.287€</t>
  </si>
  <si>
    <t>Cadre saillie 1 poste dooxie finition alu</t>
  </si>
  <si>
    <t>6.612€</t>
  </si>
  <si>
    <t>Cadre saillie 2 postes dooxie finition alu</t>
  </si>
  <si>
    <t>Obturateur dooxie - finition alu - avec support</t>
  </si>
  <si>
    <t>5.5042€</t>
  </si>
  <si>
    <t>Voyant LED témoin 230V dooxie à raccordement par montage direct 2 fils  -  consommation 3mA</t>
  </si>
  <si>
    <t>6.9078€</t>
  </si>
  <si>
    <t>Prise de courant 2P+T à voyant Surface dooxie 16A finition blanc</t>
  </si>
  <si>
    <t>9.0422€</t>
  </si>
  <si>
    <t>Double prise de courant compacte monobloc easyréno 2P+T dooxie 16A livrée avec plaque carrée blanche</t>
  </si>
  <si>
    <t>15.9964€</t>
  </si>
  <si>
    <t>Sortie de câble IP44 dooxie livrée complète avec plaque finition blanc</t>
  </si>
  <si>
    <t>8.9436€</t>
  </si>
  <si>
    <t>Sortie de câble standard dooxie finition blanc</t>
  </si>
  <si>
    <t>4.4834€</t>
  </si>
  <si>
    <t>Triple prise de courant 2P+T Surface dooxie 16A précâblées finition blanc</t>
  </si>
  <si>
    <t>15.4396€</t>
  </si>
  <si>
    <t>Prise de courant 2P à puits dooxie 16A finition blanc</t>
  </si>
  <si>
    <t>4.002€</t>
  </si>
  <si>
    <t>Prise de courant 2P+T à puits dooxie 16A finition blanc</t>
  </si>
  <si>
    <t>4.0078€</t>
  </si>
  <si>
    <t>Prise de courant 2P+T Surface + chargeur 2 USB Type - A dooxie 3A précâblés finition blanc</t>
  </si>
  <si>
    <t>38.251€</t>
  </si>
  <si>
    <t>Double chargeur USB Type - A dooxie 2,4A finition blanc</t>
  </si>
  <si>
    <t>29.2494€</t>
  </si>
  <si>
    <t>Prise de courant 2P+T à puits dooxie 16A IP44 livrée avec plaque carrée blanche</t>
  </si>
  <si>
    <t>10.005€</t>
  </si>
  <si>
    <t>Double chargeur USB 1 Type - A + 1 Type - C dooxie 3A finition blanc</t>
  </si>
  <si>
    <t>Prise TV type F à visser dooxie finition blanc</t>
  </si>
  <si>
    <t>10.4226€</t>
  </si>
  <si>
    <t>Prise TV simple étoile blindée dooxie finition blanc</t>
  </si>
  <si>
    <t>8.294€</t>
  </si>
  <si>
    <t>Prise TV + RJ45 catégorie6 STP compacte dooxie finition blanc</t>
  </si>
  <si>
    <t>23.9946€</t>
  </si>
  <si>
    <t>Prise TV - R - SAT 1 câble dooxie finition blanc</t>
  </si>
  <si>
    <t>24.8936€</t>
  </si>
  <si>
    <t>Prise TV-R dooxie - finition blanc - avec support</t>
  </si>
  <si>
    <t>21.7268€</t>
  </si>
  <si>
    <t>Prise TV - SAT étoile blindée dooxie finition blanc</t>
  </si>
  <si>
    <t>Prise réseau câblé AFORM type F dooxie à étoile blindée finition blanc</t>
  </si>
  <si>
    <t>31.233€</t>
  </si>
  <si>
    <t>Prise TV - SAT + RJ45 cat6 STP compacte dooxie finition blanc</t>
  </si>
  <si>
    <t>38.2858€</t>
  </si>
  <si>
    <t>Prise téléphone en T dooxie finition blanc</t>
  </si>
  <si>
    <t>11.7334€</t>
  </si>
  <si>
    <t>Prise haut - parleur simple dooxie finition blanc</t>
  </si>
  <si>
    <t>7.2442€</t>
  </si>
  <si>
    <t>Prise haut - parleur double dooxie finition blanc</t>
  </si>
  <si>
    <t>11.0142€</t>
  </si>
  <si>
    <t>Prise HDMI pré - connectorisée dooxie finition blanc</t>
  </si>
  <si>
    <t>42.7286€</t>
  </si>
  <si>
    <t>Prise de courant 2P+T à voyant Surface dooxie 16A finition alu</t>
  </si>
  <si>
    <t>10.5966€</t>
  </si>
  <si>
    <t>Sortie de câble standard dooxie finition alu</t>
  </si>
  <si>
    <t>6.0378€</t>
  </si>
  <si>
    <t>Prise de courant easyréno 2P+T faible profondeur dooxie 16A finition alu</t>
  </si>
  <si>
    <t>5.3708€</t>
  </si>
  <si>
    <t>Double prise de courant 2P+T Surface dooxie 16A précâblées finition alu</t>
  </si>
  <si>
    <t>14.413€</t>
  </si>
  <si>
    <t>Triple prise de courant 2P+T Surface dooxie 16A précâblées finition alu</t>
  </si>
  <si>
    <t>20.8046€</t>
  </si>
  <si>
    <t>Prise de courant 2P à puits dooxie 16A finition alu</t>
  </si>
  <si>
    <t>5.5506€</t>
  </si>
  <si>
    <t>Prise de courant 2P+T Surface dooxie 16A finition alu</t>
  </si>
  <si>
    <t>Prise de courant 2P+T à puits dooxie 16A finition alu</t>
  </si>
  <si>
    <t>5.5622€</t>
  </si>
  <si>
    <t>Prise de courant 2P+T Surface + chargeur 2 USB Type - A dooxie 3A précâblés finition alu</t>
  </si>
  <si>
    <t>40.7218€</t>
  </si>
  <si>
    <t>Double chargeur USB Type - A dooxie 3A finition alu</t>
  </si>
  <si>
    <t>30.8038€</t>
  </si>
  <si>
    <t>Double chargeur USB 1 Type - A + 1 Type - C dooxie 3A finition alu</t>
  </si>
  <si>
    <t>Prise TV type F à visser dooxie finition alu</t>
  </si>
  <si>
    <t>11.977€</t>
  </si>
  <si>
    <t>Prise TV simple étoile blindée dooxie finition alu</t>
  </si>
  <si>
    <t>9.8426€</t>
  </si>
  <si>
    <t>Prise TV + RJ45 catégorie6 STP compacte dooxie finition alu</t>
  </si>
  <si>
    <t>25.549€</t>
  </si>
  <si>
    <t>Prise TV - R - SAT 1 câble dooxie finition alu</t>
  </si>
  <si>
    <t>26.4422€</t>
  </si>
  <si>
    <t>Prise TV-R dooxie - finition alu - avec support</t>
  </si>
  <si>
    <t>22.8578€</t>
  </si>
  <si>
    <t>Prise TV - SAT étoile blindée dooxie finition alu</t>
  </si>
  <si>
    <t>Prise réseau câblé AFORM type F dooxie à étoile blindée finition alu</t>
  </si>
  <si>
    <t>32.1726€</t>
  </si>
  <si>
    <t>Prise TV - SAT + RJ45 catégorie6 STP compacte dooxie finition alu</t>
  </si>
  <si>
    <t>39.0862€</t>
  </si>
  <si>
    <t>Prise téléphone en T dooxie - finition alu</t>
  </si>
  <si>
    <t>13.0558€</t>
  </si>
  <si>
    <t>Prise haut - parleur simple dooxie finition alu</t>
  </si>
  <si>
    <t>Prise haut - parleur double dooxie finition alu</t>
  </si>
  <si>
    <t>12.3482€</t>
  </si>
  <si>
    <t>Prise HDMI pré - connectorisée dooxie finition alu</t>
  </si>
  <si>
    <t>44.5556€</t>
  </si>
  <si>
    <t>Prise blindée RJ45 catégorie6 STP dooxie finition blanc</t>
  </si>
  <si>
    <t xml:space="preserve">LGA1222M05 </t>
  </si>
  <si>
    <t>PRISES RJ45 PROG.DOOXIE</t>
  </si>
  <si>
    <t>19.0878€</t>
  </si>
  <si>
    <t>Prise blindée RJ45 catégorie6 FTP dooxie finition blanc</t>
  </si>
  <si>
    <t>16.733€</t>
  </si>
  <si>
    <t>Prise blindée RJ45 catégorie5e FTP dooxie finition blanc</t>
  </si>
  <si>
    <t>16.53€</t>
  </si>
  <si>
    <t>Prise blindée RJ45 catégorie6 STP dooxie finition alu</t>
  </si>
  <si>
    <t>20.474€</t>
  </si>
  <si>
    <t>Prise blindée RJ45 catégorie6 FTP dooxie finition alu</t>
  </si>
  <si>
    <t>18.125€</t>
  </si>
  <si>
    <t>Prise blindée RJ45 catégorie5e FTP dooxie finition alu</t>
  </si>
  <si>
    <t>17.9162€</t>
  </si>
  <si>
    <t>Double prise RJ45 catégorie6 STP dooxie finition blanc</t>
  </si>
  <si>
    <t>36.5632€</t>
  </si>
  <si>
    <t>Prise blindée RJ45 catégorie 6 FTP dooxie one livré avec plaque carrée blanche</t>
  </si>
  <si>
    <t>18.2236€</t>
  </si>
  <si>
    <t>Prise blindée RJ45 catégorie 5e FTP dooxie one livré avec plaque carrée blanche</t>
  </si>
  <si>
    <t>18.0148€</t>
  </si>
  <si>
    <t>Lot de 50 interrupteurs ou va - et - vient dooxie 10AX 250V~ finition blanc</t>
  </si>
  <si>
    <t xml:space="preserve">LGA1160M05 </t>
  </si>
  <si>
    <t>GROS CONDIT DOOXIE</t>
  </si>
  <si>
    <t>202.42€</t>
  </si>
  <si>
    <t>Lot de 50 prises de courant 2P+T Surface dooxie 16A finition blanc</t>
  </si>
  <si>
    <t>186.47€</t>
  </si>
  <si>
    <t>Lot de 100 plaques carrées dooxie 1 poste finition blanc</t>
  </si>
  <si>
    <t>134.444€</t>
  </si>
  <si>
    <t>Prêt - à - poser dooxie créer un va - et - vient avec 1 commande sans fil et 1 interrupteur 230V~ livré complet blanc</t>
  </si>
  <si>
    <t xml:space="preserve">LGA1075M05 </t>
  </si>
  <si>
    <t>PRET A POSER DOOXIE</t>
  </si>
  <si>
    <t>95.352€</t>
  </si>
  <si>
    <t>Prêt - à - poser dooxie créer une prise commandée avec 1 prise de courant et 1 commande sans fil livré complet blanc</t>
  </si>
  <si>
    <t>75.922€</t>
  </si>
  <si>
    <t>Prêt - à - poser dooxie centraliser un volet roulant avec 1 commande sans fil et 1 interrupteur 230V~ livré complet blanc</t>
  </si>
  <si>
    <t>97.034€</t>
  </si>
  <si>
    <t>Prêt - à - poser dooxie créer un va - et - vient avec 2 commandes sans fil et 1 micromodule livré complet blanc</t>
  </si>
  <si>
    <t>95.468€</t>
  </si>
  <si>
    <t>Interrupteur ou va - et - vient dooxie one 10AX 250V~ livré avec plaque carrée blanche et griffes</t>
  </si>
  <si>
    <t xml:space="preserve">LGA1070M05 </t>
  </si>
  <si>
    <t>DOOXIE ONE</t>
  </si>
  <si>
    <t>6.4322€</t>
  </si>
  <si>
    <t>Poussoir dooxie one 6A 250V~ livré avec plaque carrée blanche et griffes</t>
  </si>
  <si>
    <t>8.9784€</t>
  </si>
  <si>
    <t>Interrupteur ou va - et - vient avec voyant témoin dooxie one 10AX 250V~ livré avec plaque carrée blanche et griffes</t>
  </si>
  <si>
    <t>12.876€</t>
  </si>
  <si>
    <t>Poussoir simple avec voyant lumineux dooxie one 6A 250V~ livré avec plaque carrée blanche et griffes</t>
  </si>
  <si>
    <t>Double prise de courant compacte monobloc easyréno 2P+T dooxie one 16A livrée avec plaque carrée blanche et griffes</t>
  </si>
  <si>
    <t>19.401€</t>
  </si>
  <si>
    <t>Sortie de câble IP21 dooxie one livrée complète finition blanc</t>
  </si>
  <si>
    <t>4.5936€</t>
  </si>
  <si>
    <t>Prise de courant easyréno 2P+T 16A faible profondeur dooxie one livrée avec plaque carrée blanche et griffes</t>
  </si>
  <si>
    <t>6.2118€</t>
  </si>
  <si>
    <t>Prise de courant 2P à puits 16A dooxie one livrée avec plaque carrée blanche et griffes</t>
  </si>
  <si>
    <t>Prise de courant 2P+T Surface dooxie one 16A livrée avec plaque carrée blanche et griffes</t>
  </si>
  <si>
    <t>6.0668€</t>
  </si>
  <si>
    <t>Prise TV étoile blindée dooxie one livrée avec plaque carrée blanche et griffes</t>
  </si>
  <si>
    <t>11.339€</t>
  </si>
  <si>
    <t>Prise TV - R - SAT 1 câble dooxie one livré avec plaque carrée blanche et griffes</t>
  </si>
  <si>
    <t>30.4384€</t>
  </si>
  <si>
    <t>Prise téléphone en T dooxie one livré avec plaque carrée blanche et griffes</t>
  </si>
  <si>
    <t>14.6914€</t>
  </si>
  <si>
    <t>Plaque carrée dooxie 1 poste finition dune</t>
  </si>
  <si>
    <t xml:space="preserve">LGA1073M05 </t>
  </si>
  <si>
    <t>DOOXIE FINITIONS</t>
  </si>
  <si>
    <t>1.6878€</t>
  </si>
  <si>
    <t>Plaque carrée dooxie 2 postes finition dune</t>
  </si>
  <si>
    <t>3.277€</t>
  </si>
  <si>
    <t>Plaque carrée dooxie 3 postes finition dune</t>
  </si>
  <si>
    <t>4.8604€</t>
  </si>
  <si>
    <t>Plaque carrée dooxie 4 postes finition dune</t>
  </si>
  <si>
    <t>6.554€</t>
  </si>
  <si>
    <t>Plaque carrée dooxie 1 poste finition plume</t>
  </si>
  <si>
    <t>Plaque carrée dooxie 2 postes finition plume</t>
  </si>
  <si>
    <t>Plaque carrée dooxie 3 postes finition plume</t>
  </si>
  <si>
    <t>Plaque carrée dooxie 4 postes finition plume</t>
  </si>
  <si>
    <t>Plaque carrée dooxie 1 poste finition blanc avec bague effet chrome</t>
  </si>
  <si>
    <t>3.4858€</t>
  </si>
  <si>
    <t>Plaque carrée dooxie 2 postes finition blanc avec bague effet chrome</t>
  </si>
  <si>
    <t>Plaque carrée dooxie 3 postes finition blanc avec bague effet chrome</t>
  </si>
  <si>
    <t>10.4574€</t>
  </si>
  <si>
    <t>Plaque carrée dooxie 1 poste finition effet aluminium</t>
  </si>
  <si>
    <t>Plaque carrée dooxie 2 postes finition effet aluminium</t>
  </si>
  <si>
    <t>Plaque carrée dooxie 3 postes finition effet aluminium</t>
  </si>
  <si>
    <t>Plaque carrée dooxie 4 postes finition effet aluminium</t>
  </si>
  <si>
    <t>13.949€</t>
  </si>
  <si>
    <t>Plaque carrée dooxie 1 poste finition effet inox brossé</t>
  </si>
  <si>
    <t>5.104€</t>
  </si>
  <si>
    <t>Plaque carrée dooxie 2 postes finition effet inox brossé</t>
  </si>
  <si>
    <t>10.2138€</t>
  </si>
  <si>
    <t>Plaque carrée dooxie 3 postes finition effet inox brossé</t>
  </si>
  <si>
    <t>15.3178€</t>
  </si>
  <si>
    <t>Plaque carrée dooxie 1 poste finition effet bois ébène</t>
  </si>
  <si>
    <t>Plaque carrée dooxie 2 postes finition effet bois ébène</t>
  </si>
  <si>
    <t>Plaque carrée dooxie 3 postes finition effet bois ébène</t>
  </si>
  <si>
    <t>Plaque carrée dooxie 1 poste IP44 finition blanc</t>
  </si>
  <si>
    <t>6.9716€</t>
  </si>
  <si>
    <t>Plaque carrée dooxie 1 poste avec volet IP44 IK07</t>
  </si>
  <si>
    <t>Plaque ronde dooxie 1 poste finition dune</t>
  </si>
  <si>
    <t>Plaque ronde dooxie 1 poste finition plume</t>
  </si>
  <si>
    <t>Plaque ronde dooxie 1 poste finition blanc avec bague effet chrome</t>
  </si>
  <si>
    <t>Plaque ronde dooxie 1 poste finition effet aluminium</t>
  </si>
  <si>
    <t>Plaque ronde dooxie 1 poste finition noir velours</t>
  </si>
  <si>
    <t>Plaque ronde dooxie 1 poste finition effet inox brossé</t>
  </si>
  <si>
    <t>Plaque ronde dooxie 1 poste finition effet bois ébène</t>
  </si>
  <si>
    <t>Plaque carrée dooxie 1 poste finition noir velours</t>
  </si>
  <si>
    <t xml:space="preserve">LG51980M05 </t>
  </si>
  <si>
    <t>DOOXIE GD</t>
  </si>
  <si>
    <t>Plaque carrée dooxie 2 postes finition noir velours</t>
  </si>
  <si>
    <t>7.812€</t>
  </si>
  <si>
    <t>Plaque carrée dooxie 3 postes finition noir velours</t>
  </si>
  <si>
    <t>11.683€</t>
  </si>
  <si>
    <t>Plaque carrée dooxie 4 postes finition noir velours</t>
  </si>
  <si>
    <t>15.533€</t>
  </si>
  <si>
    <t>1.806€</t>
  </si>
  <si>
    <t>3.64€</t>
  </si>
  <si>
    <t>5.397€</t>
  </si>
  <si>
    <t>7.469€</t>
  </si>
  <si>
    <t>Lot de 100 bouchons RE - Ø16mm - IP40 - en plastique</t>
  </si>
  <si>
    <t xml:space="preserve">LGC1H1M05 </t>
  </si>
  <si>
    <t>ACCESSOIRES CONDUITS</t>
  </si>
  <si>
    <t>61.2€</t>
  </si>
  <si>
    <t>Lot de 500 bouchons RE - Ø16mm - IP40 - en plastique</t>
  </si>
  <si>
    <t>60.18€</t>
  </si>
  <si>
    <t>Lot de 100 bouchons RE - Ø20mm - IP40 - en plastique</t>
  </si>
  <si>
    <t>80.94€</t>
  </si>
  <si>
    <t>Lot de 500 bouchons RE - Ø20mm - IP40 - en plastique</t>
  </si>
  <si>
    <t>78.42€</t>
  </si>
  <si>
    <t>Lot de 60 bouchons RE - Ø25mm - IP40 - en plastique</t>
  </si>
  <si>
    <t>161.82€</t>
  </si>
  <si>
    <t>Lot de 40 bouchons RE - Ø32mm - IP40 - en plastique</t>
  </si>
  <si>
    <t>243.6€</t>
  </si>
  <si>
    <t>Lot de 200 bouchons RE - Ø32mm - IP40 - en plastique</t>
  </si>
  <si>
    <t>237.6€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</si>
</sst>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C72B-6619-453F-A83D-690F946CE450}">
  <dimension ref="A1:I1291"/>
  <sheetViews>
    <sheetView tabSelected="1" workbookViewId="0">
      <selection activeCell="G1" sqref="G1:G1048576"/>
    </sheetView>
  </sheetViews>
  <sheetFormatPr baseColWidth="10" defaultRowHeight="15" x14ac:dyDescent="0.25"/>
  <cols>
    <col min="5" max="5" width="12.28515625" bestFit="1" customWidth="1"/>
    <col min="6" max="6" width="33.85546875" bestFit="1" customWidth="1"/>
    <col min="8" max="8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67007</v>
      </c>
      <c r="C2" t="s">
        <v>9</v>
      </c>
      <c r="D2">
        <v>1</v>
      </c>
      <c r="E2" t="s">
        <v>10</v>
      </c>
      <c r="F2" t="s">
        <v>11</v>
      </c>
      <c r="G2" s="1"/>
      <c r="H2" t="str">
        <f>"3245060670078"</f>
        <v>3245060670078</v>
      </c>
      <c r="I2" t="s">
        <v>12</v>
      </c>
    </row>
    <row r="3" spans="1:9" x14ac:dyDescent="0.25">
      <c r="A3" t="s">
        <v>8</v>
      </c>
      <c r="B3">
        <v>67009</v>
      </c>
      <c r="C3" t="s">
        <v>13</v>
      </c>
      <c r="D3">
        <v>1</v>
      </c>
      <c r="E3" t="s">
        <v>10</v>
      </c>
      <c r="F3" t="s">
        <v>11</v>
      </c>
      <c r="G3" s="1"/>
      <c r="H3" t="str">
        <f>"3245060670092"</f>
        <v>3245060670092</v>
      </c>
      <c r="I3" t="s">
        <v>14</v>
      </c>
    </row>
    <row r="4" spans="1:9" x14ac:dyDescent="0.25">
      <c r="A4" t="s">
        <v>8</v>
      </c>
      <c r="B4">
        <v>67038</v>
      </c>
      <c r="C4" t="s">
        <v>15</v>
      </c>
      <c r="D4">
        <v>1</v>
      </c>
      <c r="E4" t="s">
        <v>10</v>
      </c>
      <c r="F4" t="s">
        <v>11</v>
      </c>
      <c r="G4" s="1"/>
      <c r="H4" t="str">
        <f>"3245060670382"</f>
        <v>3245060670382</v>
      </c>
      <c r="I4" t="s">
        <v>16</v>
      </c>
    </row>
    <row r="5" spans="1:9" x14ac:dyDescent="0.25">
      <c r="A5" t="s">
        <v>8</v>
      </c>
      <c r="B5">
        <v>67114</v>
      </c>
      <c r="C5" t="s">
        <v>17</v>
      </c>
      <c r="D5">
        <v>1</v>
      </c>
      <c r="E5" t="s">
        <v>10</v>
      </c>
      <c r="F5" t="s">
        <v>11</v>
      </c>
      <c r="G5" s="1"/>
      <c r="H5" t="str">
        <f>"3245060671143"</f>
        <v>3245060671143</v>
      </c>
      <c r="I5" t="s">
        <v>18</v>
      </c>
    </row>
    <row r="6" spans="1:9" x14ac:dyDescent="0.25">
      <c r="A6" t="s">
        <v>8</v>
      </c>
      <c r="B6">
        <v>67311</v>
      </c>
      <c r="C6" t="s">
        <v>19</v>
      </c>
      <c r="D6">
        <v>1</v>
      </c>
      <c r="E6" t="s">
        <v>10</v>
      </c>
      <c r="F6" t="s">
        <v>11</v>
      </c>
      <c r="G6" s="1"/>
      <c r="H6" t="str">
        <f>"3245060673116"</f>
        <v>3245060673116</v>
      </c>
      <c r="I6" t="s">
        <v>20</v>
      </c>
    </row>
    <row r="7" spans="1:9" x14ac:dyDescent="0.25">
      <c r="A7" t="s">
        <v>8</v>
      </c>
      <c r="B7">
        <v>67399</v>
      </c>
      <c r="C7" t="s">
        <v>21</v>
      </c>
      <c r="D7">
        <v>1</v>
      </c>
      <c r="E7" t="s">
        <v>10</v>
      </c>
      <c r="F7" t="s">
        <v>11</v>
      </c>
      <c r="G7" s="1"/>
      <c r="H7" t="str">
        <f>"3245060673994"</f>
        <v>3245060673994</v>
      </c>
      <c r="I7" t="s">
        <v>22</v>
      </c>
    </row>
    <row r="8" spans="1:9" x14ac:dyDescent="0.25">
      <c r="A8" t="s">
        <v>8</v>
      </c>
      <c r="B8">
        <v>67400</v>
      </c>
      <c r="C8" t="s">
        <v>23</v>
      </c>
      <c r="D8">
        <v>1</v>
      </c>
      <c r="E8" t="s">
        <v>10</v>
      </c>
      <c r="F8" t="s">
        <v>11</v>
      </c>
      <c r="G8" s="1"/>
      <c r="H8" t="str">
        <f>"4010957674007"</f>
        <v>4010957674007</v>
      </c>
      <c r="I8" t="s">
        <v>24</v>
      </c>
    </row>
    <row r="9" spans="1:9" x14ac:dyDescent="0.25">
      <c r="A9" t="s">
        <v>8</v>
      </c>
      <c r="B9">
        <v>67423</v>
      </c>
      <c r="C9" t="s">
        <v>25</v>
      </c>
      <c r="D9">
        <v>1</v>
      </c>
      <c r="E9" t="s">
        <v>10</v>
      </c>
      <c r="F9" t="s">
        <v>11</v>
      </c>
      <c r="G9" s="1"/>
      <c r="H9" t="str">
        <f>"4010957674236"</f>
        <v>4010957674236</v>
      </c>
      <c r="I9" t="s">
        <v>26</v>
      </c>
    </row>
    <row r="10" spans="1:9" x14ac:dyDescent="0.25">
      <c r="A10" t="s">
        <v>8</v>
      </c>
      <c r="B10">
        <v>67563</v>
      </c>
      <c r="C10" t="s">
        <v>27</v>
      </c>
      <c r="D10">
        <v>1</v>
      </c>
      <c r="E10" t="s">
        <v>10</v>
      </c>
      <c r="F10" t="s">
        <v>11</v>
      </c>
      <c r="G10" s="1"/>
      <c r="H10" t="str">
        <f>"3245060675639"</f>
        <v>3245060675639</v>
      </c>
      <c r="I10" t="s">
        <v>28</v>
      </c>
    </row>
    <row r="11" spans="1:9" x14ac:dyDescent="0.25">
      <c r="A11" t="s">
        <v>8</v>
      </c>
      <c r="B11">
        <v>67622</v>
      </c>
      <c r="C11" t="s">
        <v>29</v>
      </c>
      <c r="D11">
        <v>1</v>
      </c>
      <c r="E11" t="s">
        <v>10</v>
      </c>
      <c r="F11" t="s">
        <v>11</v>
      </c>
      <c r="G11" s="1"/>
      <c r="H11" t="str">
        <f>"4010957676223"</f>
        <v>4010957676223</v>
      </c>
      <c r="I11" t="s">
        <v>30</v>
      </c>
    </row>
    <row r="12" spans="1:9" x14ac:dyDescent="0.25">
      <c r="A12" t="s">
        <v>8</v>
      </c>
      <c r="B12">
        <v>68009</v>
      </c>
      <c r="C12" t="s">
        <v>31</v>
      </c>
      <c r="D12">
        <v>1</v>
      </c>
      <c r="E12" t="s">
        <v>10</v>
      </c>
      <c r="F12" t="s">
        <v>11</v>
      </c>
      <c r="G12" s="1"/>
      <c r="H12" t="str">
        <f>"3245060680091"</f>
        <v>3245060680091</v>
      </c>
      <c r="I12" t="s">
        <v>32</v>
      </c>
    </row>
    <row r="13" spans="1:9" x14ac:dyDescent="0.25">
      <c r="A13" t="s">
        <v>8</v>
      </c>
      <c r="B13">
        <v>68011</v>
      </c>
      <c r="C13" t="s">
        <v>33</v>
      </c>
      <c r="D13">
        <v>1</v>
      </c>
      <c r="E13" t="s">
        <v>10</v>
      </c>
      <c r="F13" t="s">
        <v>11</v>
      </c>
      <c r="G13" s="1"/>
      <c r="H13" t="str">
        <f>"3245060680114"</f>
        <v>3245060680114</v>
      </c>
      <c r="I13" t="s">
        <v>34</v>
      </c>
    </row>
    <row r="14" spans="1:9" x14ac:dyDescent="0.25">
      <c r="A14" t="s">
        <v>8</v>
      </c>
      <c r="B14">
        <v>68021</v>
      </c>
      <c r="C14" t="s">
        <v>35</v>
      </c>
      <c r="D14">
        <v>1</v>
      </c>
      <c r="E14" t="s">
        <v>10</v>
      </c>
      <c r="F14" t="s">
        <v>11</v>
      </c>
      <c r="G14" s="1"/>
      <c r="H14" t="str">
        <f>"3245060680213"</f>
        <v>3245060680213</v>
      </c>
      <c r="I14" t="s">
        <v>36</v>
      </c>
    </row>
    <row r="15" spans="1:9" x14ac:dyDescent="0.25">
      <c r="A15" t="s">
        <v>8</v>
      </c>
      <c r="B15">
        <v>68023</v>
      </c>
      <c r="C15" t="s">
        <v>37</v>
      </c>
      <c r="D15">
        <v>1</v>
      </c>
      <c r="E15" t="s">
        <v>10</v>
      </c>
      <c r="F15" t="s">
        <v>11</v>
      </c>
      <c r="G15" s="1"/>
      <c r="H15" t="str">
        <f>"3245060680237"</f>
        <v>3245060680237</v>
      </c>
      <c r="I15" t="s">
        <v>38</v>
      </c>
    </row>
    <row r="16" spans="1:9" x14ac:dyDescent="0.25">
      <c r="A16" t="s">
        <v>8</v>
      </c>
      <c r="B16">
        <v>68033</v>
      </c>
      <c r="C16" t="s">
        <v>39</v>
      </c>
      <c r="D16">
        <v>1</v>
      </c>
      <c r="E16" t="s">
        <v>10</v>
      </c>
      <c r="F16" t="s">
        <v>11</v>
      </c>
      <c r="G16" s="1"/>
      <c r="H16" t="str">
        <f>"3245060680336"</f>
        <v>3245060680336</v>
      </c>
      <c r="I16" t="s">
        <v>40</v>
      </c>
    </row>
    <row r="17" spans="1:9" x14ac:dyDescent="0.25">
      <c r="A17" t="s">
        <v>8</v>
      </c>
      <c r="B17">
        <v>68037</v>
      </c>
      <c r="C17" t="s">
        <v>41</v>
      </c>
      <c r="D17">
        <v>1</v>
      </c>
      <c r="E17" t="s">
        <v>10</v>
      </c>
      <c r="F17" t="s">
        <v>11</v>
      </c>
      <c r="G17" s="1"/>
      <c r="H17" t="str">
        <f>"3245060680374"</f>
        <v>3245060680374</v>
      </c>
      <c r="I17" t="s">
        <v>36</v>
      </c>
    </row>
    <row r="18" spans="1:9" x14ac:dyDescent="0.25">
      <c r="A18" t="s">
        <v>8</v>
      </c>
      <c r="B18">
        <v>68038</v>
      </c>
      <c r="C18" t="s">
        <v>42</v>
      </c>
      <c r="D18">
        <v>1</v>
      </c>
      <c r="E18" t="s">
        <v>10</v>
      </c>
      <c r="F18" t="s">
        <v>11</v>
      </c>
      <c r="G18" s="1"/>
      <c r="H18" t="str">
        <f>"3245060680381"</f>
        <v>3245060680381</v>
      </c>
      <c r="I18" t="s">
        <v>43</v>
      </c>
    </row>
    <row r="19" spans="1:9" x14ac:dyDescent="0.25">
      <c r="A19" t="s">
        <v>8</v>
      </c>
      <c r="B19">
        <v>68049</v>
      </c>
      <c r="C19" t="s">
        <v>44</v>
      </c>
      <c r="D19">
        <v>1</v>
      </c>
      <c r="E19" t="s">
        <v>10</v>
      </c>
      <c r="F19" t="s">
        <v>11</v>
      </c>
      <c r="G19" s="1"/>
      <c r="H19" t="str">
        <f>"3245060680497"</f>
        <v>3245060680497</v>
      </c>
      <c r="I19" t="s">
        <v>32</v>
      </c>
    </row>
    <row r="20" spans="1:9" x14ac:dyDescent="0.25">
      <c r="A20" t="s">
        <v>8</v>
      </c>
      <c r="B20">
        <v>68051</v>
      </c>
      <c r="C20" t="s">
        <v>45</v>
      </c>
      <c r="D20">
        <v>1</v>
      </c>
      <c r="E20" t="s">
        <v>10</v>
      </c>
      <c r="F20" t="s">
        <v>11</v>
      </c>
      <c r="G20" s="1"/>
      <c r="H20" t="str">
        <f>"3245060680510"</f>
        <v>3245060680510</v>
      </c>
      <c r="I20" t="s">
        <v>46</v>
      </c>
    </row>
    <row r="21" spans="1:9" x14ac:dyDescent="0.25">
      <c r="A21" t="s">
        <v>8</v>
      </c>
      <c r="B21">
        <v>68125</v>
      </c>
      <c r="C21" t="s">
        <v>47</v>
      </c>
      <c r="D21">
        <v>1</v>
      </c>
      <c r="E21" t="s">
        <v>10</v>
      </c>
      <c r="F21" t="s">
        <v>11</v>
      </c>
      <c r="G21" s="1"/>
      <c r="H21" t="str">
        <f>"3245060681258"</f>
        <v>3245060681258</v>
      </c>
      <c r="I21" t="s">
        <v>48</v>
      </c>
    </row>
    <row r="22" spans="1:9" x14ac:dyDescent="0.25">
      <c r="A22" t="s">
        <v>8</v>
      </c>
      <c r="B22">
        <v>68135</v>
      </c>
      <c r="C22" t="s">
        <v>49</v>
      </c>
      <c r="D22">
        <v>1</v>
      </c>
      <c r="E22" t="s">
        <v>10</v>
      </c>
      <c r="F22" t="s">
        <v>11</v>
      </c>
      <c r="G22" s="1"/>
      <c r="H22" t="str">
        <f>"3245060681357"</f>
        <v>3245060681357</v>
      </c>
      <c r="I22" t="s">
        <v>50</v>
      </c>
    </row>
    <row r="23" spans="1:9" x14ac:dyDescent="0.25">
      <c r="A23" t="s">
        <v>8</v>
      </c>
      <c r="B23">
        <v>68147</v>
      </c>
      <c r="C23" t="s">
        <v>51</v>
      </c>
      <c r="D23">
        <v>1</v>
      </c>
      <c r="E23" t="s">
        <v>10</v>
      </c>
      <c r="F23" t="s">
        <v>11</v>
      </c>
      <c r="G23" s="1"/>
      <c r="H23" t="str">
        <f>"3245060681470"</f>
        <v>3245060681470</v>
      </c>
      <c r="I23" t="s">
        <v>43</v>
      </c>
    </row>
    <row r="24" spans="1:9" x14ac:dyDescent="0.25">
      <c r="A24" t="s">
        <v>8</v>
      </c>
      <c r="B24">
        <v>68157</v>
      </c>
      <c r="C24" t="s">
        <v>52</v>
      </c>
      <c r="D24">
        <v>1</v>
      </c>
      <c r="E24" t="s">
        <v>10</v>
      </c>
      <c r="F24" t="s">
        <v>11</v>
      </c>
      <c r="G24" s="1"/>
      <c r="H24" t="str">
        <f>"3245060681579"</f>
        <v>3245060681579</v>
      </c>
      <c r="I24" t="s">
        <v>32</v>
      </c>
    </row>
    <row r="25" spans="1:9" x14ac:dyDescent="0.25">
      <c r="A25" t="s">
        <v>8</v>
      </c>
      <c r="B25">
        <v>68159</v>
      </c>
      <c r="C25" t="s">
        <v>53</v>
      </c>
      <c r="D25">
        <v>1</v>
      </c>
      <c r="E25" t="s">
        <v>10</v>
      </c>
      <c r="F25" t="s">
        <v>11</v>
      </c>
      <c r="G25" s="1"/>
      <c r="H25" t="str">
        <f>"3245060681593"</f>
        <v>3245060681593</v>
      </c>
      <c r="I25" t="s">
        <v>54</v>
      </c>
    </row>
    <row r="26" spans="1:9" x14ac:dyDescent="0.25">
      <c r="A26" t="s">
        <v>8</v>
      </c>
      <c r="B26">
        <v>68199</v>
      </c>
      <c r="C26" t="s">
        <v>55</v>
      </c>
      <c r="D26">
        <v>1</v>
      </c>
      <c r="E26" t="s">
        <v>10</v>
      </c>
      <c r="F26" t="s">
        <v>11</v>
      </c>
      <c r="G26" s="1"/>
      <c r="H26" t="str">
        <f>"3245060681999"</f>
        <v>3245060681999</v>
      </c>
      <c r="I26" t="s">
        <v>46</v>
      </c>
    </row>
    <row r="27" spans="1:9" x14ac:dyDescent="0.25">
      <c r="A27" t="s">
        <v>8</v>
      </c>
      <c r="B27">
        <v>68201</v>
      </c>
      <c r="C27" t="s">
        <v>56</v>
      </c>
      <c r="D27">
        <v>1</v>
      </c>
      <c r="E27" t="s">
        <v>10</v>
      </c>
      <c r="F27" t="s">
        <v>11</v>
      </c>
      <c r="G27" s="1"/>
      <c r="H27" t="str">
        <f>"3245060682019"</f>
        <v>3245060682019</v>
      </c>
      <c r="I27" t="s">
        <v>36</v>
      </c>
    </row>
    <row r="28" spans="1:9" x14ac:dyDescent="0.25">
      <c r="A28" t="s">
        <v>8</v>
      </c>
      <c r="B28">
        <v>68209</v>
      </c>
      <c r="C28" t="s">
        <v>57</v>
      </c>
      <c r="D28">
        <v>1</v>
      </c>
      <c r="E28" t="s">
        <v>10</v>
      </c>
      <c r="F28" t="s">
        <v>11</v>
      </c>
      <c r="G28" s="1"/>
      <c r="H28" t="str">
        <f>"3245060682095"</f>
        <v>3245060682095</v>
      </c>
      <c r="I28" t="s">
        <v>58</v>
      </c>
    </row>
    <row r="29" spans="1:9" x14ac:dyDescent="0.25">
      <c r="A29" t="s">
        <v>8</v>
      </c>
      <c r="B29">
        <v>68211</v>
      </c>
      <c r="C29" t="s">
        <v>59</v>
      </c>
      <c r="D29">
        <v>1</v>
      </c>
      <c r="E29" t="s">
        <v>10</v>
      </c>
      <c r="F29" t="s">
        <v>11</v>
      </c>
      <c r="G29" s="1"/>
      <c r="H29" t="str">
        <f>"3245060682118"</f>
        <v>3245060682118</v>
      </c>
      <c r="I29" t="s">
        <v>32</v>
      </c>
    </row>
    <row r="30" spans="1:9" x14ac:dyDescent="0.25">
      <c r="A30" t="s">
        <v>8</v>
      </c>
      <c r="B30">
        <v>68212</v>
      </c>
      <c r="C30" t="s">
        <v>60</v>
      </c>
      <c r="D30">
        <v>1</v>
      </c>
      <c r="E30" t="s">
        <v>10</v>
      </c>
      <c r="F30" t="s">
        <v>11</v>
      </c>
      <c r="G30" s="1"/>
      <c r="H30" t="str">
        <f>"3245060682125"</f>
        <v>3245060682125</v>
      </c>
      <c r="I30" t="s">
        <v>61</v>
      </c>
    </row>
    <row r="31" spans="1:9" x14ac:dyDescent="0.25">
      <c r="A31" t="s">
        <v>8</v>
      </c>
      <c r="B31">
        <v>68213</v>
      </c>
      <c r="C31" t="s">
        <v>62</v>
      </c>
      <c r="D31">
        <v>1</v>
      </c>
      <c r="E31" t="s">
        <v>10</v>
      </c>
      <c r="F31" t="s">
        <v>11</v>
      </c>
      <c r="G31" s="1"/>
      <c r="H31" t="str">
        <f>"3245060682132"</f>
        <v>3245060682132</v>
      </c>
      <c r="I31" t="s">
        <v>43</v>
      </c>
    </row>
    <row r="32" spans="1:9" x14ac:dyDescent="0.25">
      <c r="A32" t="s">
        <v>8</v>
      </c>
      <c r="B32">
        <v>68221</v>
      </c>
      <c r="C32" t="s">
        <v>63</v>
      </c>
      <c r="D32">
        <v>1</v>
      </c>
      <c r="E32" t="s">
        <v>10</v>
      </c>
      <c r="F32" t="s">
        <v>11</v>
      </c>
      <c r="G32" s="1"/>
      <c r="H32" t="str">
        <f>"3245060682217"</f>
        <v>3245060682217</v>
      </c>
      <c r="I32" t="s">
        <v>36</v>
      </c>
    </row>
    <row r="33" spans="1:9" x14ac:dyDescent="0.25">
      <c r="A33" t="s">
        <v>8</v>
      </c>
      <c r="B33">
        <v>68223</v>
      </c>
      <c r="C33" t="s">
        <v>64</v>
      </c>
      <c r="D33">
        <v>1</v>
      </c>
      <c r="E33" t="s">
        <v>10</v>
      </c>
      <c r="F33" t="s">
        <v>11</v>
      </c>
      <c r="G33" s="1"/>
      <c r="H33" t="str">
        <f>"3245060682231"</f>
        <v>3245060682231</v>
      </c>
      <c r="I33" t="s">
        <v>36</v>
      </c>
    </row>
    <row r="34" spans="1:9" x14ac:dyDescent="0.25">
      <c r="A34" t="s">
        <v>8</v>
      </c>
      <c r="B34">
        <v>68225</v>
      </c>
      <c r="C34" t="s">
        <v>65</v>
      </c>
      <c r="D34">
        <v>1</v>
      </c>
      <c r="E34" t="s">
        <v>10</v>
      </c>
      <c r="F34" t="s">
        <v>11</v>
      </c>
      <c r="G34" s="1"/>
      <c r="H34" t="str">
        <f>"3245060682255"</f>
        <v>3245060682255</v>
      </c>
      <c r="I34" t="s">
        <v>54</v>
      </c>
    </row>
    <row r="35" spans="1:9" x14ac:dyDescent="0.25">
      <c r="A35" t="s">
        <v>8</v>
      </c>
      <c r="B35">
        <v>68228</v>
      </c>
      <c r="C35" t="s">
        <v>66</v>
      </c>
      <c r="D35">
        <v>1</v>
      </c>
      <c r="E35" t="s">
        <v>10</v>
      </c>
      <c r="F35" t="s">
        <v>11</v>
      </c>
      <c r="G35" s="1"/>
      <c r="H35" t="str">
        <f>"3245060682286"</f>
        <v>3245060682286</v>
      </c>
      <c r="I35" t="s">
        <v>32</v>
      </c>
    </row>
    <row r="36" spans="1:9" x14ac:dyDescent="0.25">
      <c r="A36" t="s">
        <v>8</v>
      </c>
      <c r="B36">
        <v>68229</v>
      </c>
      <c r="C36" t="s">
        <v>67</v>
      </c>
      <c r="D36">
        <v>1</v>
      </c>
      <c r="E36" t="s">
        <v>10</v>
      </c>
      <c r="F36" t="s">
        <v>11</v>
      </c>
      <c r="G36" s="1"/>
      <c r="H36" t="str">
        <f>"3245060682293"</f>
        <v>3245060682293</v>
      </c>
      <c r="I36" t="s">
        <v>32</v>
      </c>
    </row>
    <row r="37" spans="1:9" x14ac:dyDescent="0.25">
      <c r="A37" t="s">
        <v>8</v>
      </c>
      <c r="B37">
        <v>68237</v>
      </c>
      <c r="C37" t="s">
        <v>68</v>
      </c>
      <c r="D37">
        <v>1</v>
      </c>
      <c r="E37" t="s">
        <v>10</v>
      </c>
      <c r="F37" t="s">
        <v>11</v>
      </c>
      <c r="G37" s="1"/>
      <c r="H37" t="str">
        <f>"3245060682378"</f>
        <v>3245060682378</v>
      </c>
      <c r="I37" t="s">
        <v>69</v>
      </c>
    </row>
    <row r="38" spans="1:9" x14ac:dyDescent="0.25">
      <c r="A38" t="s">
        <v>8</v>
      </c>
      <c r="B38">
        <v>68239</v>
      </c>
      <c r="C38" t="s">
        <v>70</v>
      </c>
      <c r="D38">
        <v>1</v>
      </c>
      <c r="E38" t="s">
        <v>10</v>
      </c>
      <c r="F38" t="s">
        <v>11</v>
      </c>
      <c r="G38" s="1"/>
      <c r="H38" t="str">
        <f>"3245060682392"</f>
        <v>3245060682392</v>
      </c>
      <c r="I38" t="s">
        <v>61</v>
      </c>
    </row>
    <row r="39" spans="1:9" x14ac:dyDescent="0.25">
      <c r="A39" t="s">
        <v>8</v>
      </c>
      <c r="B39">
        <v>68240</v>
      </c>
      <c r="C39" t="s">
        <v>71</v>
      </c>
      <c r="D39">
        <v>1</v>
      </c>
      <c r="E39" t="s">
        <v>10</v>
      </c>
      <c r="F39" t="s">
        <v>11</v>
      </c>
      <c r="G39" s="1"/>
      <c r="H39" t="str">
        <f>"3245060682408"</f>
        <v>3245060682408</v>
      </c>
      <c r="I39" t="s">
        <v>72</v>
      </c>
    </row>
    <row r="40" spans="1:9" x14ac:dyDescent="0.25">
      <c r="A40" t="s">
        <v>8</v>
      </c>
      <c r="B40">
        <v>68242</v>
      </c>
      <c r="C40" t="s">
        <v>73</v>
      </c>
      <c r="D40">
        <v>1</v>
      </c>
      <c r="E40" t="s">
        <v>10</v>
      </c>
      <c r="F40" t="s">
        <v>11</v>
      </c>
      <c r="G40" s="1"/>
      <c r="H40" t="str">
        <f>"3245060682422"</f>
        <v>3245060682422</v>
      </c>
      <c r="I40" t="s">
        <v>48</v>
      </c>
    </row>
    <row r="41" spans="1:9" x14ac:dyDescent="0.25">
      <c r="A41" t="s">
        <v>8</v>
      </c>
      <c r="B41">
        <v>68243</v>
      </c>
      <c r="C41" t="s">
        <v>74</v>
      </c>
      <c r="D41">
        <v>1</v>
      </c>
      <c r="E41" t="s">
        <v>10</v>
      </c>
      <c r="F41" t="s">
        <v>11</v>
      </c>
      <c r="G41" s="1"/>
      <c r="H41" t="str">
        <f>"3245060682439"</f>
        <v>3245060682439</v>
      </c>
      <c r="I41" t="s">
        <v>32</v>
      </c>
    </row>
    <row r="42" spans="1:9" x14ac:dyDescent="0.25">
      <c r="A42" t="s">
        <v>8</v>
      </c>
      <c r="B42">
        <v>68245</v>
      </c>
      <c r="C42" t="s">
        <v>75</v>
      </c>
      <c r="D42">
        <v>1</v>
      </c>
      <c r="E42" t="s">
        <v>10</v>
      </c>
      <c r="F42" t="s">
        <v>11</v>
      </c>
      <c r="G42" s="1"/>
      <c r="H42" t="str">
        <f>"3245060682453"</f>
        <v>3245060682453</v>
      </c>
      <c r="I42" t="s">
        <v>76</v>
      </c>
    </row>
    <row r="43" spans="1:9" x14ac:dyDescent="0.25">
      <c r="A43" t="s">
        <v>8</v>
      </c>
      <c r="B43">
        <v>68251</v>
      </c>
      <c r="C43" t="s">
        <v>77</v>
      </c>
      <c r="D43">
        <v>1</v>
      </c>
      <c r="E43" t="s">
        <v>10</v>
      </c>
      <c r="F43" t="s">
        <v>11</v>
      </c>
      <c r="G43" s="1"/>
      <c r="H43" t="str">
        <f>"3245060682514"</f>
        <v>3245060682514</v>
      </c>
      <c r="I43" t="s">
        <v>78</v>
      </c>
    </row>
    <row r="44" spans="1:9" x14ac:dyDescent="0.25">
      <c r="A44" t="s">
        <v>8</v>
      </c>
      <c r="B44">
        <v>68252</v>
      </c>
      <c r="C44" t="s">
        <v>79</v>
      </c>
      <c r="D44">
        <v>1</v>
      </c>
      <c r="E44" t="s">
        <v>10</v>
      </c>
      <c r="F44" t="s">
        <v>11</v>
      </c>
      <c r="G44" s="1"/>
      <c r="H44" t="str">
        <f>"3245060682521"</f>
        <v>3245060682521</v>
      </c>
      <c r="I44" t="s">
        <v>80</v>
      </c>
    </row>
    <row r="45" spans="1:9" x14ac:dyDescent="0.25">
      <c r="A45" t="s">
        <v>8</v>
      </c>
      <c r="B45">
        <v>68254</v>
      </c>
      <c r="C45" t="s">
        <v>81</v>
      </c>
      <c r="D45">
        <v>1</v>
      </c>
      <c r="E45" t="s">
        <v>10</v>
      </c>
      <c r="F45" t="s">
        <v>11</v>
      </c>
      <c r="G45" s="1"/>
      <c r="H45" t="str">
        <f>"3245060682545"</f>
        <v>3245060682545</v>
      </c>
      <c r="I45" t="s">
        <v>48</v>
      </c>
    </row>
    <row r="46" spans="1:9" x14ac:dyDescent="0.25">
      <c r="A46" t="s">
        <v>8</v>
      </c>
      <c r="B46">
        <v>68287</v>
      </c>
      <c r="C46" t="s">
        <v>82</v>
      </c>
      <c r="D46">
        <v>1</v>
      </c>
      <c r="E46" t="s">
        <v>10</v>
      </c>
      <c r="F46" t="s">
        <v>11</v>
      </c>
      <c r="G46" s="1"/>
      <c r="H46" t="str">
        <f>"3245060682873"</f>
        <v>3245060682873</v>
      </c>
      <c r="I46" t="s">
        <v>43</v>
      </c>
    </row>
    <row r="47" spans="1:9" x14ac:dyDescent="0.25">
      <c r="A47" t="s">
        <v>8</v>
      </c>
      <c r="B47">
        <v>68291</v>
      </c>
      <c r="C47" t="s">
        <v>83</v>
      </c>
      <c r="D47">
        <v>1</v>
      </c>
      <c r="E47" t="s">
        <v>10</v>
      </c>
      <c r="F47" t="s">
        <v>11</v>
      </c>
      <c r="G47" s="1"/>
      <c r="H47" t="str">
        <f>"3245060682910"</f>
        <v>3245060682910</v>
      </c>
      <c r="I47" t="s">
        <v>84</v>
      </c>
    </row>
    <row r="48" spans="1:9" x14ac:dyDescent="0.25">
      <c r="A48" t="s">
        <v>8</v>
      </c>
      <c r="B48">
        <v>68309</v>
      </c>
      <c r="C48" t="s">
        <v>85</v>
      </c>
      <c r="D48">
        <v>1</v>
      </c>
      <c r="E48" t="s">
        <v>10</v>
      </c>
      <c r="F48" t="s">
        <v>11</v>
      </c>
      <c r="G48" s="1"/>
      <c r="H48" t="str">
        <f>"3245060683092"</f>
        <v>3245060683092</v>
      </c>
      <c r="I48" t="s">
        <v>86</v>
      </c>
    </row>
    <row r="49" spans="1:9" x14ac:dyDescent="0.25">
      <c r="A49" t="s">
        <v>8</v>
      </c>
      <c r="B49">
        <v>68311</v>
      </c>
      <c r="C49" t="s">
        <v>87</v>
      </c>
      <c r="D49">
        <v>1</v>
      </c>
      <c r="E49" t="s">
        <v>10</v>
      </c>
      <c r="F49" t="s">
        <v>11</v>
      </c>
      <c r="G49" s="1"/>
      <c r="H49" t="str">
        <f>"3245060683115"</f>
        <v>3245060683115</v>
      </c>
      <c r="I49" t="s">
        <v>88</v>
      </c>
    </row>
    <row r="50" spans="1:9" x14ac:dyDescent="0.25">
      <c r="A50" t="s">
        <v>8</v>
      </c>
      <c r="B50">
        <v>68321</v>
      </c>
      <c r="C50" t="s">
        <v>89</v>
      </c>
      <c r="D50">
        <v>1</v>
      </c>
      <c r="E50" t="s">
        <v>10</v>
      </c>
      <c r="F50" t="s">
        <v>11</v>
      </c>
      <c r="G50" s="1"/>
      <c r="H50" t="str">
        <f>"3245060683214"</f>
        <v>3245060683214</v>
      </c>
      <c r="I50" t="s">
        <v>90</v>
      </c>
    </row>
    <row r="51" spans="1:9" x14ac:dyDescent="0.25">
      <c r="A51" t="s">
        <v>8</v>
      </c>
      <c r="B51">
        <v>68323</v>
      </c>
      <c r="C51" t="s">
        <v>91</v>
      </c>
      <c r="D51">
        <v>1</v>
      </c>
      <c r="E51" t="s">
        <v>10</v>
      </c>
      <c r="F51" t="s">
        <v>11</v>
      </c>
      <c r="G51" s="1"/>
      <c r="H51" t="str">
        <f>"3245060683238"</f>
        <v>3245060683238</v>
      </c>
      <c r="I51" t="s">
        <v>92</v>
      </c>
    </row>
    <row r="52" spans="1:9" x14ac:dyDescent="0.25">
      <c r="A52" t="s">
        <v>8</v>
      </c>
      <c r="B52">
        <v>68337</v>
      </c>
      <c r="C52" t="s">
        <v>93</v>
      </c>
      <c r="D52">
        <v>1</v>
      </c>
      <c r="E52" t="s">
        <v>10</v>
      </c>
      <c r="F52" t="s">
        <v>11</v>
      </c>
      <c r="G52" s="1"/>
      <c r="H52" t="str">
        <f>"3245060683375"</f>
        <v>3245060683375</v>
      </c>
      <c r="I52" t="s">
        <v>94</v>
      </c>
    </row>
    <row r="53" spans="1:9" x14ac:dyDescent="0.25">
      <c r="A53" t="s">
        <v>8</v>
      </c>
      <c r="B53">
        <v>68338</v>
      </c>
      <c r="C53" t="s">
        <v>95</v>
      </c>
      <c r="D53">
        <v>1</v>
      </c>
      <c r="E53" t="s">
        <v>10</v>
      </c>
      <c r="F53" t="s">
        <v>11</v>
      </c>
      <c r="G53" s="1"/>
      <c r="H53" t="str">
        <f>"3245060683382"</f>
        <v>3245060683382</v>
      </c>
      <c r="I53" t="s">
        <v>86</v>
      </c>
    </row>
    <row r="54" spans="1:9" x14ac:dyDescent="0.25">
      <c r="A54" t="s">
        <v>8</v>
      </c>
      <c r="B54">
        <v>68341</v>
      </c>
      <c r="C54" t="s">
        <v>96</v>
      </c>
      <c r="D54">
        <v>1</v>
      </c>
      <c r="E54" t="s">
        <v>10</v>
      </c>
      <c r="F54" t="s">
        <v>11</v>
      </c>
      <c r="G54" s="1"/>
      <c r="H54" t="str">
        <f>"3245060683412"</f>
        <v>3245060683412</v>
      </c>
      <c r="I54" t="s">
        <v>97</v>
      </c>
    </row>
    <row r="55" spans="1:9" x14ac:dyDescent="0.25">
      <c r="A55" t="s">
        <v>8</v>
      </c>
      <c r="B55">
        <v>68349</v>
      </c>
      <c r="C55" t="s">
        <v>98</v>
      </c>
      <c r="D55">
        <v>1</v>
      </c>
      <c r="E55" t="s">
        <v>10</v>
      </c>
      <c r="F55" t="s">
        <v>11</v>
      </c>
      <c r="G55" s="1"/>
      <c r="H55" t="str">
        <f>"3245060683498"</f>
        <v>3245060683498</v>
      </c>
      <c r="I55" t="s">
        <v>99</v>
      </c>
    </row>
    <row r="56" spans="1:9" x14ac:dyDescent="0.25">
      <c r="A56" t="s">
        <v>8</v>
      </c>
      <c r="B56">
        <v>68351</v>
      </c>
      <c r="C56" t="s">
        <v>100</v>
      </c>
      <c r="D56">
        <v>1</v>
      </c>
      <c r="E56" t="s">
        <v>10</v>
      </c>
      <c r="F56" t="s">
        <v>11</v>
      </c>
      <c r="G56" s="1"/>
      <c r="H56" t="str">
        <f>"3245060683511"</f>
        <v>3245060683511</v>
      </c>
      <c r="I56" t="s">
        <v>86</v>
      </c>
    </row>
    <row r="57" spans="1:9" x14ac:dyDescent="0.25">
      <c r="A57" t="s">
        <v>8</v>
      </c>
      <c r="B57">
        <v>68425</v>
      </c>
      <c r="C57" t="s">
        <v>101</v>
      </c>
      <c r="D57">
        <v>1</v>
      </c>
      <c r="E57" t="s">
        <v>10</v>
      </c>
      <c r="F57" t="s">
        <v>11</v>
      </c>
      <c r="G57" s="1"/>
      <c r="H57" t="str">
        <f>"3245060684259"</f>
        <v>3245060684259</v>
      </c>
      <c r="I57" t="s">
        <v>102</v>
      </c>
    </row>
    <row r="58" spans="1:9" x14ac:dyDescent="0.25">
      <c r="A58" t="s">
        <v>8</v>
      </c>
      <c r="B58">
        <v>68435</v>
      </c>
      <c r="C58" t="s">
        <v>103</v>
      </c>
      <c r="D58">
        <v>1</v>
      </c>
      <c r="E58" t="s">
        <v>10</v>
      </c>
      <c r="F58" t="s">
        <v>11</v>
      </c>
      <c r="G58" s="1"/>
      <c r="H58" t="str">
        <f>"3245060684358"</f>
        <v>3245060684358</v>
      </c>
      <c r="I58" t="s">
        <v>88</v>
      </c>
    </row>
    <row r="59" spans="1:9" x14ac:dyDescent="0.25">
      <c r="A59" t="s">
        <v>8</v>
      </c>
      <c r="B59">
        <v>68447</v>
      </c>
      <c r="C59" t="s">
        <v>104</v>
      </c>
      <c r="D59">
        <v>1</v>
      </c>
      <c r="E59" t="s">
        <v>10</v>
      </c>
      <c r="F59" t="s">
        <v>11</v>
      </c>
      <c r="G59" s="1"/>
      <c r="H59" t="str">
        <f>"3245060684471"</f>
        <v>3245060684471</v>
      </c>
      <c r="I59" t="s">
        <v>86</v>
      </c>
    </row>
    <row r="60" spans="1:9" x14ac:dyDescent="0.25">
      <c r="A60" t="s">
        <v>8</v>
      </c>
      <c r="B60">
        <v>68457</v>
      </c>
      <c r="C60" t="s">
        <v>105</v>
      </c>
      <c r="D60">
        <v>1</v>
      </c>
      <c r="E60" t="s">
        <v>10</v>
      </c>
      <c r="F60" t="s">
        <v>11</v>
      </c>
      <c r="G60" s="1"/>
      <c r="H60" t="str">
        <f>"3245060684570"</f>
        <v>3245060684570</v>
      </c>
      <c r="I60" t="s">
        <v>106</v>
      </c>
    </row>
    <row r="61" spans="1:9" x14ac:dyDescent="0.25">
      <c r="A61" t="s">
        <v>8</v>
      </c>
      <c r="B61">
        <v>68459</v>
      </c>
      <c r="C61" t="s">
        <v>107</v>
      </c>
      <c r="D61">
        <v>1</v>
      </c>
      <c r="E61" t="s">
        <v>10</v>
      </c>
      <c r="F61" t="s">
        <v>11</v>
      </c>
      <c r="G61" s="1"/>
      <c r="H61" t="str">
        <f>"3245060684594"</f>
        <v>3245060684594</v>
      </c>
      <c r="I61" t="s">
        <v>108</v>
      </c>
    </row>
    <row r="62" spans="1:9" x14ac:dyDescent="0.25">
      <c r="A62" t="s">
        <v>8</v>
      </c>
      <c r="B62">
        <v>68499</v>
      </c>
      <c r="C62" t="s">
        <v>109</v>
      </c>
      <c r="D62">
        <v>1</v>
      </c>
      <c r="E62" t="s">
        <v>10</v>
      </c>
      <c r="F62" t="s">
        <v>11</v>
      </c>
      <c r="G62" s="1"/>
      <c r="H62" t="str">
        <f>"3245060684990"</f>
        <v>3245060684990</v>
      </c>
      <c r="I62" t="s">
        <v>86</v>
      </c>
    </row>
    <row r="63" spans="1:9" x14ac:dyDescent="0.25">
      <c r="A63" t="s">
        <v>8</v>
      </c>
      <c r="B63">
        <v>68501</v>
      </c>
      <c r="C63" t="s">
        <v>110</v>
      </c>
      <c r="D63">
        <v>1</v>
      </c>
      <c r="E63" t="s">
        <v>10</v>
      </c>
      <c r="F63" t="s">
        <v>11</v>
      </c>
      <c r="G63" s="1"/>
      <c r="H63" t="str">
        <f>"3245060685010"</f>
        <v>3245060685010</v>
      </c>
      <c r="I63" t="s">
        <v>111</v>
      </c>
    </row>
    <row r="64" spans="1:9" x14ac:dyDescent="0.25">
      <c r="A64" t="s">
        <v>8</v>
      </c>
      <c r="B64">
        <v>68511</v>
      </c>
      <c r="C64" t="s">
        <v>112</v>
      </c>
      <c r="D64">
        <v>1</v>
      </c>
      <c r="E64" t="s">
        <v>10</v>
      </c>
      <c r="F64" t="s">
        <v>11</v>
      </c>
      <c r="G64" s="1"/>
      <c r="H64" t="str">
        <f>"3245060685119"</f>
        <v>3245060685119</v>
      </c>
      <c r="I64" t="s">
        <v>86</v>
      </c>
    </row>
    <row r="65" spans="1:9" x14ac:dyDescent="0.25">
      <c r="A65" t="s">
        <v>8</v>
      </c>
      <c r="B65">
        <v>68512</v>
      </c>
      <c r="C65" t="s">
        <v>113</v>
      </c>
      <c r="D65">
        <v>1</v>
      </c>
      <c r="E65" t="s">
        <v>10</v>
      </c>
      <c r="F65" t="s">
        <v>11</v>
      </c>
      <c r="G65" s="1"/>
      <c r="H65" t="str">
        <f>"3245060685126"</f>
        <v>3245060685126</v>
      </c>
      <c r="I65" t="s">
        <v>86</v>
      </c>
    </row>
    <row r="66" spans="1:9" x14ac:dyDescent="0.25">
      <c r="A66" t="s">
        <v>8</v>
      </c>
      <c r="B66">
        <v>68513</v>
      </c>
      <c r="C66" t="s">
        <v>114</v>
      </c>
      <c r="D66">
        <v>1</v>
      </c>
      <c r="E66" t="s">
        <v>10</v>
      </c>
      <c r="F66" t="s">
        <v>11</v>
      </c>
      <c r="G66" s="1"/>
      <c r="H66" t="str">
        <f>"3245060685133"</f>
        <v>3245060685133</v>
      </c>
      <c r="I66" t="s">
        <v>99</v>
      </c>
    </row>
    <row r="67" spans="1:9" x14ac:dyDescent="0.25">
      <c r="A67" t="s">
        <v>8</v>
      </c>
      <c r="B67">
        <v>68520</v>
      </c>
      <c r="C67" t="s">
        <v>115</v>
      </c>
      <c r="D67">
        <v>1</v>
      </c>
      <c r="E67" t="s">
        <v>10</v>
      </c>
      <c r="F67" t="s">
        <v>11</v>
      </c>
      <c r="G67" s="1"/>
      <c r="H67" t="str">
        <f>"3245060685201"</f>
        <v>3245060685201</v>
      </c>
      <c r="I67" t="s">
        <v>99</v>
      </c>
    </row>
    <row r="68" spans="1:9" x14ac:dyDescent="0.25">
      <c r="A68" t="s">
        <v>8</v>
      </c>
      <c r="B68">
        <v>68521</v>
      </c>
      <c r="C68" t="s">
        <v>116</v>
      </c>
      <c r="D68">
        <v>1</v>
      </c>
      <c r="E68" t="s">
        <v>10</v>
      </c>
      <c r="F68" t="s">
        <v>11</v>
      </c>
      <c r="G68" s="1"/>
      <c r="H68" t="str">
        <f>"3245060685218"</f>
        <v>3245060685218</v>
      </c>
      <c r="I68" t="s">
        <v>94</v>
      </c>
    </row>
    <row r="69" spans="1:9" x14ac:dyDescent="0.25">
      <c r="A69" t="s">
        <v>8</v>
      </c>
      <c r="B69">
        <v>68523</v>
      </c>
      <c r="C69" t="s">
        <v>117</v>
      </c>
      <c r="D69">
        <v>1</v>
      </c>
      <c r="E69" t="s">
        <v>10</v>
      </c>
      <c r="F69" t="s">
        <v>11</v>
      </c>
      <c r="G69" s="1"/>
      <c r="H69" t="str">
        <f>"3245060685232"</f>
        <v>3245060685232</v>
      </c>
      <c r="I69" t="s">
        <v>94</v>
      </c>
    </row>
    <row r="70" spans="1:9" x14ac:dyDescent="0.25">
      <c r="A70" t="s">
        <v>8</v>
      </c>
      <c r="B70">
        <v>68525</v>
      </c>
      <c r="C70" t="s">
        <v>118</v>
      </c>
      <c r="D70">
        <v>1</v>
      </c>
      <c r="E70" t="s">
        <v>10</v>
      </c>
      <c r="F70" t="s">
        <v>11</v>
      </c>
      <c r="G70" s="1"/>
      <c r="H70" t="str">
        <f>"3245060685256"</f>
        <v>3245060685256</v>
      </c>
      <c r="I70" t="s">
        <v>92</v>
      </c>
    </row>
    <row r="71" spans="1:9" x14ac:dyDescent="0.25">
      <c r="A71" t="s">
        <v>8</v>
      </c>
      <c r="B71">
        <v>68528</v>
      </c>
      <c r="C71" t="s">
        <v>119</v>
      </c>
      <c r="D71">
        <v>1</v>
      </c>
      <c r="E71" t="s">
        <v>10</v>
      </c>
      <c r="F71" t="s">
        <v>11</v>
      </c>
      <c r="G71" s="1"/>
      <c r="H71" t="str">
        <f>"3245060685287"</f>
        <v>3245060685287</v>
      </c>
      <c r="I71" t="s">
        <v>99</v>
      </c>
    </row>
    <row r="72" spans="1:9" x14ac:dyDescent="0.25">
      <c r="A72" t="s">
        <v>8</v>
      </c>
      <c r="B72">
        <v>68529</v>
      </c>
      <c r="C72" t="s">
        <v>67</v>
      </c>
      <c r="D72">
        <v>1</v>
      </c>
      <c r="E72" t="s">
        <v>10</v>
      </c>
      <c r="F72" t="s">
        <v>11</v>
      </c>
      <c r="G72" s="1"/>
      <c r="H72" t="str">
        <f>"3245060685294"</f>
        <v>3245060685294</v>
      </c>
      <c r="I72" t="s">
        <v>99</v>
      </c>
    </row>
    <row r="73" spans="1:9" x14ac:dyDescent="0.25">
      <c r="A73" t="s">
        <v>8</v>
      </c>
      <c r="B73">
        <v>68537</v>
      </c>
      <c r="C73" t="s">
        <v>120</v>
      </c>
      <c r="D73">
        <v>1</v>
      </c>
      <c r="E73" t="s">
        <v>10</v>
      </c>
      <c r="F73" t="s">
        <v>11</v>
      </c>
      <c r="G73" s="1"/>
      <c r="H73" t="str">
        <f>"3245060685379"</f>
        <v>3245060685379</v>
      </c>
      <c r="I73" t="s">
        <v>121</v>
      </c>
    </row>
    <row r="74" spans="1:9" x14ac:dyDescent="0.25">
      <c r="A74" t="s">
        <v>8</v>
      </c>
      <c r="B74">
        <v>68539</v>
      </c>
      <c r="C74" t="s">
        <v>122</v>
      </c>
      <c r="D74">
        <v>1</v>
      </c>
      <c r="E74" t="s">
        <v>10</v>
      </c>
      <c r="F74" t="s">
        <v>11</v>
      </c>
      <c r="G74" s="1"/>
      <c r="H74" t="str">
        <f>"3245060685393"</f>
        <v>3245060685393</v>
      </c>
      <c r="I74" t="s">
        <v>86</v>
      </c>
    </row>
    <row r="75" spans="1:9" x14ac:dyDescent="0.25">
      <c r="A75" t="s">
        <v>8</v>
      </c>
      <c r="B75">
        <v>68540</v>
      </c>
      <c r="C75" t="s">
        <v>123</v>
      </c>
      <c r="D75">
        <v>1</v>
      </c>
      <c r="E75" t="s">
        <v>10</v>
      </c>
      <c r="F75" t="s">
        <v>11</v>
      </c>
      <c r="G75" s="1"/>
      <c r="H75" t="str">
        <f>"3245060685409"</f>
        <v>3245060685409</v>
      </c>
      <c r="I75" t="s">
        <v>124</v>
      </c>
    </row>
    <row r="76" spans="1:9" x14ac:dyDescent="0.25">
      <c r="A76" t="s">
        <v>8</v>
      </c>
      <c r="B76">
        <v>68542</v>
      </c>
      <c r="C76" t="s">
        <v>125</v>
      </c>
      <c r="D76">
        <v>1</v>
      </c>
      <c r="E76" t="s">
        <v>10</v>
      </c>
      <c r="F76" t="s">
        <v>11</v>
      </c>
      <c r="G76" s="1"/>
      <c r="H76" t="str">
        <f>"3245060685423"</f>
        <v>3245060685423</v>
      </c>
      <c r="I76" t="s">
        <v>88</v>
      </c>
    </row>
    <row r="77" spans="1:9" x14ac:dyDescent="0.25">
      <c r="A77" t="s">
        <v>8</v>
      </c>
      <c r="B77">
        <v>68543</v>
      </c>
      <c r="C77" t="s">
        <v>126</v>
      </c>
      <c r="D77">
        <v>1</v>
      </c>
      <c r="E77" t="s">
        <v>10</v>
      </c>
      <c r="F77" t="s">
        <v>11</v>
      </c>
      <c r="G77" s="1"/>
      <c r="H77" t="str">
        <f>"3245060685430"</f>
        <v>3245060685430</v>
      </c>
      <c r="I77" t="s">
        <v>99</v>
      </c>
    </row>
    <row r="78" spans="1:9" x14ac:dyDescent="0.25">
      <c r="A78" t="s">
        <v>8</v>
      </c>
      <c r="B78">
        <v>68545</v>
      </c>
      <c r="C78" t="s">
        <v>127</v>
      </c>
      <c r="D78">
        <v>1</v>
      </c>
      <c r="E78" t="s">
        <v>10</v>
      </c>
      <c r="F78" t="s">
        <v>11</v>
      </c>
      <c r="G78" s="1"/>
      <c r="H78" t="str">
        <f>"3245060685454"</f>
        <v>3245060685454</v>
      </c>
      <c r="I78" t="s">
        <v>128</v>
      </c>
    </row>
    <row r="79" spans="1:9" x14ac:dyDescent="0.25">
      <c r="A79" t="s">
        <v>8</v>
      </c>
      <c r="B79">
        <v>68551</v>
      </c>
      <c r="C79" t="s">
        <v>129</v>
      </c>
      <c r="D79">
        <v>1</v>
      </c>
      <c r="E79" t="s">
        <v>10</v>
      </c>
      <c r="F79" t="s">
        <v>11</v>
      </c>
      <c r="G79" s="1"/>
      <c r="H79" t="str">
        <f>"3245060685515"</f>
        <v>3245060685515</v>
      </c>
      <c r="I79" t="s">
        <v>130</v>
      </c>
    </row>
    <row r="80" spans="1:9" x14ac:dyDescent="0.25">
      <c r="A80" t="s">
        <v>8</v>
      </c>
      <c r="B80">
        <v>68552</v>
      </c>
      <c r="C80" t="s">
        <v>131</v>
      </c>
      <c r="D80">
        <v>1</v>
      </c>
      <c r="E80" t="s">
        <v>10</v>
      </c>
      <c r="F80" t="s">
        <v>11</v>
      </c>
      <c r="G80" s="1"/>
      <c r="H80" t="str">
        <f>"3245060685522"</f>
        <v>3245060685522</v>
      </c>
      <c r="I80" t="s">
        <v>132</v>
      </c>
    </row>
    <row r="81" spans="1:9" x14ac:dyDescent="0.25">
      <c r="A81" t="s">
        <v>8</v>
      </c>
      <c r="B81">
        <v>68554</v>
      </c>
      <c r="C81" t="s">
        <v>133</v>
      </c>
      <c r="D81">
        <v>1</v>
      </c>
      <c r="E81" t="s">
        <v>10</v>
      </c>
      <c r="F81" t="s">
        <v>11</v>
      </c>
      <c r="G81" s="1"/>
      <c r="H81" t="str">
        <f>"3245060685546"</f>
        <v>3245060685546</v>
      </c>
      <c r="I81" t="s">
        <v>88</v>
      </c>
    </row>
    <row r="82" spans="1:9" x14ac:dyDescent="0.25">
      <c r="A82" t="s">
        <v>8</v>
      </c>
      <c r="B82">
        <v>68587</v>
      </c>
      <c r="C82" t="s">
        <v>134</v>
      </c>
      <c r="D82">
        <v>1</v>
      </c>
      <c r="E82" t="s">
        <v>10</v>
      </c>
      <c r="F82" t="s">
        <v>11</v>
      </c>
      <c r="G82" s="1"/>
      <c r="H82" t="str">
        <f>"3245060685874"</f>
        <v>3245060685874</v>
      </c>
      <c r="I82" t="s">
        <v>99</v>
      </c>
    </row>
    <row r="83" spans="1:9" x14ac:dyDescent="0.25">
      <c r="A83" t="s">
        <v>8</v>
      </c>
      <c r="B83">
        <v>68591</v>
      </c>
      <c r="C83" t="s">
        <v>135</v>
      </c>
      <c r="D83">
        <v>1</v>
      </c>
      <c r="E83" t="s">
        <v>10</v>
      </c>
      <c r="F83" t="s">
        <v>11</v>
      </c>
      <c r="G83" s="1"/>
      <c r="H83" t="str">
        <f>"3245060685911"</f>
        <v>3245060685911</v>
      </c>
      <c r="I83" t="s">
        <v>132</v>
      </c>
    </row>
    <row r="84" spans="1:9" x14ac:dyDescent="0.25">
      <c r="A84" t="s">
        <v>8</v>
      </c>
      <c r="B84">
        <v>80241</v>
      </c>
      <c r="C84" t="s">
        <v>136</v>
      </c>
      <c r="D84">
        <v>1</v>
      </c>
      <c r="E84" t="s">
        <v>10</v>
      </c>
      <c r="F84" t="s">
        <v>11</v>
      </c>
      <c r="G84" s="1"/>
      <c r="H84" t="str">
        <f>"3245060802417"</f>
        <v>3245060802417</v>
      </c>
      <c r="I84" t="s">
        <v>137</v>
      </c>
    </row>
    <row r="85" spans="1:9" x14ac:dyDescent="0.25">
      <c r="A85" t="s">
        <v>8</v>
      </c>
      <c r="B85">
        <v>80242</v>
      </c>
      <c r="C85" t="s">
        <v>138</v>
      </c>
      <c r="D85">
        <v>1</v>
      </c>
      <c r="E85" t="s">
        <v>10</v>
      </c>
      <c r="F85" t="s">
        <v>11</v>
      </c>
      <c r="G85" s="1"/>
      <c r="H85" t="str">
        <f>"3245060802424"</f>
        <v>3245060802424</v>
      </c>
      <c r="I85" t="s">
        <v>139</v>
      </c>
    </row>
    <row r="86" spans="1:9" x14ac:dyDescent="0.25">
      <c r="A86" t="s">
        <v>8</v>
      </c>
      <c r="B86">
        <v>80244</v>
      </c>
      <c r="C86" t="s">
        <v>140</v>
      </c>
      <c r="D86">
        <v>1</v>
      </c>
      <c r="E86" t="s">
        <v>10</v>
      </c>
      <c r="F86" t="s">
        <v>11</v>
      </c>
      <c r="G86" s="1"/>
      <c r="H86" t="str">
        <f>"3245060802448"</f>
        <v>3245060802448</v>
      </c>
      <c r="I86" t="s">
        <v>141</v>
      </c>
    </row>
    <row r="87" spans="1:9" x14ac:dyDescent="0.25">
      <c r="A87" t="s">
        <v>8</v>
      </c>
      <c r="B87">
        <v>80245</v>
      </c>
      <c r="C87" t="s">
        <v>142</v>
      </c>
      <c r="D87">
        <v>1</v>
      </c>
      <c r="E87" t="s">
        <v>10</v>
      </c>
      <c r="F87" t="s">
        <v>11</v>
      </c>
      <c r="H87" t="str">
        <f>"3245060802455"</f>
        <v>3245060802455</v>
      </c>
      <c r="I87" t="s">
        <v>143</v>
      </c>
    </row>
    <row r="88" spans="1:9" x14ac:dyDescent="0.25">
      <c r="A88" t="s">
        <v>8</v>
      </c>
      <c r="B88">
        <v>89805</v>
      </c>
      <c r="C88" t="s">
        <v>144</v>
      </c>
      <c r="D88">
        <v>1</v>
      </c>
      <c r="E88" t="s">
        <v>10</v>
      </c>
      <c r="F88" t="s">
        <v>11</v>
      </c>
      <c r="G88" s="1"/>
      <c r="H88" t="str">
        <f>"3245060898052"</f>
        <v>3245060898052</v>
      </c>
      <c r="I88" t="s">
        <v>145</v>
      </c>
    </row>
    <row r="89" spans="1:9" x14ac:dyDescent="0.25">
      <c r="A89" t="s">
        <v>8</v>
      </c>
      <c r="B89">
        <v>67034</v>
      </c>
      <c r="C89" t="s">
        <v>146</v>
      </c>
      <c r="D89">
        <v>1</v>
      </c>
      <c r="E89" t="s">
        <v>10</v>
      </c>
      <c r="F89" t="s">
        <v>11</v>
      </c>
      <c r="G89" s="1"/>
      <c r="H89" t="str">
        <f>"3245060670344"</f>
        <v>3245060670344</v>
      </c>
      <c r="I89" t="s">
        <v>147</v>
      </c>
    </row>
    <row r="90" spans="1:9" x14ac:dyDescent="0.25">
      <c r="A90" t="s">
        <v>8</v>
      </c>
      <c r="B90">
        <v>67153</v>
      </c>
      <c r="C90" t="s">
        <v>148</v>
      </c>
      <c r="D90">
        <v>1</v>
      </c>
      <c r="E90" t="s">
        <v>10</v>
      </c>
      <c r="F90" t="s">
        <v>11</v>
      </c>
      <c r="G90" s="1"/>
      <c r="H90" t="str">
        <f>"3245060671532"</f>
        <v>3245060671532</v>
      </c>
      <c r="I90" t="s">
        <v>149</v>
      </c>
    </row>
    <row r="91" spans="1:9" x14ac:dyDescent="0.25">
      <c r="A91" t="s">
        <v>8</v>
      </c>
      <c r="B91">
        <v>67157</v>
      </c>
      <c r="C91" t="s">
        <v>150</v>
      </c>
      <c r="D91">
        <v>1</v>
      </c>
      <c r="E91" t="s">
        <v>10</v>
      </c>
      <c r="F91" t="s">
        <v>11</v>
      </c>
      <c r="G91" s="1"/>
      <c r="H91" t="str">
        <f>"3245060671570"</f>
        <v>3245060671570</v>
      </c>
      <c r="I91" t="s">
        <v>151</v>
      </c>
    </row>
    <row r="92" spans="1:9" x14ac:dyDescent="0.25">
      <c r="A92" t="s">
        <v>8</v>
      </c>
      <c r="B92">
        <v>67318</v>
      </c>
      <c r="C92" t="s">
        <v>152</v>
      </c>
      <c r="D92">
        <v>1</v>
      </c>
      <c r="E92" t="s">
        <v>10</v>
      </c>
      <c r="F92" t="s">
        <v>11</v>
      </c>
      <c r="G92" s="1"/>
      <c r="H92" t="str">
        <f>"3245060673185"</f>
        <v>3245060673185</v>
      </c>
      <c r="I92" t="s">
        <v>153</v>
      </c>
    </row>
    <row r="93" spans="1:9" x14ac:dyDescent="0.25">
      <c r="A93" t="s">
        <v>8</v>
      </c>
      <c r="B93">
        <v>67740</v>
      </c>
      <c r="C93" t="s">
        <v>154</v>
      </c>
      <c r="D93">
        <v>1</v>
      </c>
      <c r="E93" t="s">
        <v>10</v>
      </c>
      <c r="F93" t="s">
        <v>11</v>
      </c>
      <c r="G93" s="1"/>
      <c r="H93" t="str">
        <f>"3245060677404"</f>
        <v>3245060677404</v>
      </c>
      <c r="I93" t="s">
        <v>155</v>
      </c>
    </row>
    <row r="94" spans="1:9" x14ac:dyDescent="0.25">
      <c r="A94" t="s">
        <v>8</v>
      </c>
      <c r="B94">
        <v>67741</v>
      </c>
      <c r="C94" t="s">
        <v>156</v>
      </c>
      <c r="D94">
        <v>1</v>
      </c>
      <c r="E94" t="s">
        <v>10</v>
      </c>
      <c r="F94" t="s">
        <v>11</v>
      </c>
      <c r="G94" s="1"/>
      <c r="H94" t="str">
        <f>"3245060677411"</f>
        <v>3245060677411</v>
      </c>
      <c r="I94" t="s">
        <v>157</v>
      </c>
    </row>
    <row r="95" spans="1:9" x14ac:dyDescent="0.25">
      <c r="A95" t="s">
        <v>8</v>
      </c>
      <c r="B95">
        <v>67742</v>
      </c>
      <c r="C95" t="s">
        <v>158</v>
      </c>
      <c r="D95">
        <v>1</v>
      </c>
      <c r="E95" t="s">
        <v>10</v>
      </c>
      <c r="F95" t="s">
        <v>11</v>
      </c>
      <c r="G95" s="1"/>
      <c r="H95" t="str">
        <f>"3245060677428"</f>
        <v>3245060677428</v>
      </c>
      <c r="I95" t="s">
        <v>159</v>
      </c>
    </row>
    <row r="96" spans="1:9" x14ac:dyDescent="0.25">
      <c r="A96" t="s">
        <v>8</v>
      </c>
      <c r="B96">
        <v>67743</v>
      </c>
      <c r="C96" t="s">
        <v>160</v>
      </c>
      <c r="D96">
        <v>1</v>
      </c>
      <c r="E96" t="s">
        <v>10</v>
      </c>
      <c r="F96" t="s">
        <v>11</v>
      </c>
      <c r="G96" s="1"/>
      <c r="H96" t="str">
        <f>"3245060677435"</f>
        <v>3245060677435</v>
      </c>
      <c r="I96" t="s">
        <v>161</v>
      </c>
    </row>
    <row r="97" spans="1:9" x14ac:dyDescent="0.25">
      <c r="A97" t="s">
        <v>8</v>
      </c>
      <c r="B97">
        <v>67744</v>
      </c>
      <c r="C97" t="s">
        <v>162</v>
      </c>
      <c r="D97">
        <v>1</v>
      </c>
      <c r="E97" t="s">
        <v>10</v>
      </c>
      <c r="F97" t="s">
        <v>11</v>
      </c>
      <c r="G97" s="1"/>
      <c r="H97" t="str">
        <f>"3245060677442"</f>
        <v>3245060677442</v>
      </c>
      <c r="I97" t="s">
        <v>163</v>
      </c>
    </row>
    <row r="98" spans="1:9" x14ac:dyDescent="0.25">
      <c r="A98" t="s">
        <v>8</v>
      </c>
      <c r="B98">
        <v>67746</v>
      </c>
      <c r="C98" t="s">
        <v>164</v>
      </c>
      <c r="D98">
        <v>1</v>
      </c>
      <c r="E98" t="s">
        <v>10</v>
      </c>
      <c r="F98" t="s">
        <v>11</v>
      </c>
      <c r="G98" s="1"/>
      <c r="H98" t="str">
        <f>"3245060677466"</f>
        <v>3245060677466</v>
      </c>
      <c r="I98" t="s">
        <v>165</v>
      </c>
    </row>
    <row r="99" spans="1:9" x14ac:dyDescent="0.25">
      <c r="A99" t="s">
        <v>8</v>
      </c>
      <c r="B99">
        <v>67747</v>
      </c>
      <c r="C99" t="s">
        <v>166</v>
      </c>
      <c r="D99">
        <v>1</v>
      </c>
      <c r="E99" t="s">
        <v>10</v>
      </c>
      <c r="F99" t="s">
        <v>11</v>
      </c>
      <c r="G99" s="1"/>
      <c r="H99" t="str">
        <f>"3245060677473"</f>
        <v>3245060677473</v>
      </c>
      <c r="I99" t="s">
        <v>167</v>
      </c>
    </row>
    <row r="100" spans="1:9" x14ac:dyDescent="0.25">
      <c r="A100" t="s">
        <v>8</v>
      </c>
      <c r="B100">
        <v>67749</v>
      </c>
      <c r="C100" t="s">
        <v>168</v>
      </c>
      <c r="D100">
        <v>1</v>
      </c>
      <c r="E100" t="s">
        <v>10</v>
      </c>
      <c r="F100" t="s">
        <v>11</v>
      </c>
      <c r="G100" s="1"/>
      <c r="H100" t="str">
        <f>"3245060677497"</f>
        <v>3245060677497</v>
      </c>
      <c r="I100" t="s">
        <v>169</v>
      </c>
    </row>
    <row r="101" spans="1:9" x14ac:dyDescent="0.25">
      <c r="A101" t="s">
        <v>8</v>
      </c>
      <c r="B101">
        <v>68014</v>
      </c>
      <c r="C101" t="s">
        <v>170</v>
      </c>
      <c r="D101">
        <v>1</v>
      </c>
      <c r="E101" t="s">
        <v>10</v>
      </c>
      <c r="F101" t="s">
        <v>11</v>
      </c>
      <c r="G101" s="1"/>
      <c r="H101" t="str">
        <f>"3245060680145"</f>
        <v>3245060680145</v>
      </c>
      <c r="I101" t="s">
        <v>171</v>
      </c>
    </row>
    <row r="102" spans="1:9" x14ac:dyDescent="0.25">
      <c r="A102" t="s">
        <v>8</v>
      </c>
      <c r="B102">
        <v>68020</v>
      </c>
      <c r="C102" t="s">
        <v>172</v>
      </c>
      <c r="D102">
        <v>1</v>
      </c>
      <c r="E102" t="s">
        <v>10</v>
      </c>
      <c r="F102" t="s">
        <v>11</v>
      </c>
      <c r="G102" s="1"/>
      <c r="H102" t="str">
        <f>"3245060680206"</f>
        <v>3245060680206</v>
      </c>
      <c r="I102" t="s">
        <v>40</v>
      </c>
    </row>
    <row r="103" spans="1:9" x14ac:dyDescent="0.25">
      <c r="A103" t="s">
        <v>8</v>
      </c>
      <c r="B103">
        <v>68131</v>
      </c>
      <c r="C103" t="s">
        <v>173</v>
      </c>
      <c r="D103">
        <v>1</v>
      </c>
      <c r="E103" t="s">
        <v>10</v>
      </c>
      <c r="F103" t="s">
        <v>11</v>
      </c>
      <c r="G103" s="1"/>
      <c r="H103" t="str">
        <f>"3245060681319"</f>
        <v>3245060681319</v>
      </c>
      <c r="I103" t="s">
        <v>43</v>
      </c>
    </row>
    <row r="104" spans="1:9" x14ac:dyDescent="0.25">
      <c r="A104" t="s">
        <v>8</v>
      </c>
      <c r="B104">
        <v>68133</v>
      </c>
      <c r="C104" t="s">
        <v>174</v>
      </c>
      <c r="D104">
        <v>1</v>
      </c>
      <c r="E104" t="s">
        <v>10</v>
      </c>
      <c r="F104" t="s">
        <v>11</v>
      </c>
      <c r="G104" s="1"/>
      <c r="H104" t="str">
        <f>"3245060681333"</f>
        <v>3245060681333</v>
      </c>
      <c r="I104" t="s">
        <v>43</v>
      </c>
    </row>
    <row r="105" spans="1:9" x14ac:dyDescent="0.25">
      <c r="A105" t="s">
        <v>8</v>
      </c>
      <c r="B105">
        <v>68137</v>
      </c>
      <c r="C105" t="s">
        <v>175</v>
      </c>
      <c r="D105">
        <v>1</v>
      </c>
      <c r="E105" t="s">
        <v>10</v>
      </c>
      <c r="F105" t="s">
        <v>11</v>
      </c>
      <c r="G105" s="1"/>
      <c r="H105" t="str">
        <f>"3245060681371"</f>
        <v>3245060681371</v>
      </c>
      <c r="I105" t="s">
        <v>43</v>
      </c>
    </row>
    <row r="106" spans="1:9" x14ac:dyDescent="0.25">
      <c r="A106" t="s">
        <v>8</v>
      </c>
      <c r="B106">
        <v>68214</v>
      </c>
      <c r="C106" t="s">
        <v>176</v>
      </c>
      <c r="D106">
        <v>1</v>
      </c>
      <c r="E106" t="s">
        <v>10</v>
      </c>
      <c r="F106" t="s">
        <v>11</v>
      </c>
      <c r="G106" s="1"/>
      <c r="H106" t="str">
        <f>"3245060682149"</f>
        <v>3245060682149</v>
      </c>
      <c r="I106" t="s">
        <v>43</v>
      </c>
    </row>
    <row r="107" spans="1:9" x14ac:dyDescent="0.25">
      <c r="A107" t="s">
        <v>8</v>
      </c>
      <c r="B107">
        <v>68215</v>
      </c>
      <c r="C107" t="s">
        <v>177</v>
      </c>
      <c r="D107">
        <v>1</v>
      </c>
      <c r="E107" t="s">
        <v>10</v>
      </c>
      <c r="F107" t="s">
        <v>11</v>
      </c>
      <c r="G107" s="1"/>
      <c r="H107" t="str">
        <f>"3245060682156"</f>
        <v>3245060682156</v>
      </c>
      <c r="I107" t="s">
        <v>178</v>
      </c>
    </row>
    <row r="108" spans="1:9" x14ac:dyDescent="0.25">
      <c r="A108" t="s">
        <v>8</v>
      </c>
      <c r="B108">
        <v>68216</v>
      </c>
      <c r="C108" t="s">
        <v>179</v>
      </c>
      <c r="D108">
        <v>1</v>
      </c>
      <c r="E108" t="s">
        <v>10</v>
      </c>
      <c r="F108" t="s">
        <v>11</v>
      </c>
      <c r="G108" s="1"/>
      <c r="H108" t="str">
        <f>"3245060682163"</f>
        <v>3245060682163</v>
      </c>
      <c r="I108" t="s">
        <v>178</v>
      </c>
    </row>
    <row r="109" spans="1:9" x14ac:dyDescent="0.25">
      <c r="A109" t="s">
        <v>8</v>
      </c>
      <c r="B109">
        <v>68314</v>
      </c>
      <c r="C109" t="s">
        <v>180</v>
      </c>
      <c r="D109">
        <v>1</v>
      </c>
      <c r="E109" t="s">
        <v>10</v>
      </c>
      <c r="F109" t="s">
        <v>11</v>
      </c>
      <c r="G109" s="1"/>
      <c r="H109" t="str">
        <f>"3245060683146"</f>
        <v>3245060683146</v>
      </c>
      <c r="I109" t="s">
        <v>181</v>
      </c>
    </row>
    <row r="110" spans="1:9" x14ac:dyDescent="0.25">
      <c r="A110" t="s">
        <v>8</v>
      </c>
      <c r="B110">
        <v>68320</v>
      </c>
      <c r="C110" t="s">
        <v>182</v>
      </c>
      <c r="D110">
        <v>1</v>
      </c>
      <c r="E110" t="s">
        <v>10</v>
      </c>
      <c r="F110" t="s">
        <v>11</v>
      </c>
      <c r="G110" s="1"/>
      <c r="H110" t="str">
        <f>"3245060683207"</f>
        <v>3245060683207</v>
      </c>
      <c r="I110" t="s">
        <v>183</v>
      </c>
    </row>
    <row r="111" spans="1:9" x14ac:dyDescent="0.25">
      <c r="A111" t="s">
        <v>8</v>
      </c>
      <c r="B111">
        <v>68346</v>
      </c>
      <c r="C111" t="s">
        <v>184</v>
      </c>
      <c r="D111">
        <v>1</v>
      </c>
      <c r="E111" t="s">
        <v>10</v>
      </c>
      <c r="F111" t="s">
        <v>11</v>
      </c>
      <c r="G111" s="1"/>
      <c r="H111" t="str">
        <f>"3245060683467"</f>
        <v>3245060683467</v>
      </c>
      <c r="I111" t="s">
        <v>97</v>
      </c>
    </row>
    <row r="112" spans="1:9" x14ac:dyDescent="0.25">
      <c r="A112" t="s">
        <v>8</v>
      </c>
      <c r="B112">
        <v>68431</v>
      </c>
      <c r="C112" t="s">
        <v>185</v>
      </c>
      <c r="D112">
        <v>1</v>
      </c>
      <c r="E112" t="s">
        <v>10</v>
      </c>
      <c r="F112" t="s">
        <v>11</v>
      </c>
      <c r="G112" s="1"/>
      <c r="H112" t="str">
        <f>"3245060684310"</f>
        <v>3245060684310</v>
      </c>
      <c r="I112" t="s">
        <v>99</v>
      </c>
    </row>
    <row r="113" spans="1:9" x14ac:dyDescent="0.25">
      <c r="A113" t="s">
        <v>8</v>
      </c>
      <c r="B113">
        <v>68433</v>
      </c>
      <c r="C113" t="s">
        <v>186</v>
      </c>
      <c r="D113">
        <v>1</v>
      </c>
      <c r="E113" t="s">
        <v>10</v>
      </c>
      <c r="F113" t="s">
        <v>11</v>
      </c>
      <c r="G113" s="1"/>
      <c r="H113" t="str">
        <f>"3245060684334"</f>
        <v>3245060684334</v>
      </c>
      <c r="I113" t="s">
        <v>99</v>
      </c>
    </row>
    <row r="114" spans="1:9" x14ac:dyDescent="0.25">
      <c r="A114" t="s">
        <v>8</v>
      </c>
      <c r="B114">
        <v>68437</v>
      </c>
      <c r="C114" t="s">
        <v>187</v>
      </c>
      <c r="D114">
        <v>1</v>
      </c>
      <c r="E114" t="s">
        <v>10</v>
      </c>
      <c r="F114" t="s">
        <v>11</v>
      </c>
      <c r="G114" s="1"/>
      <c r="H114" t="str">
        <f>"3245060684372"</f>
        <v>3245060684372</v>
      </c>
      <c r="I114" t="s">
        <v>99</v>
      </c>
    </row>
    <row r="115" spans="1:9" x14ac:dyDescent="0.25">
      <c r="A115" t="s">
        <v>8</v>
      </c>
      <c r="B115">
        <v>68514</v>
      </c>
      <c r="C115" t="s">
        <v>188</v>
      </c>
      <c r="D115">
        <v>1</v>
      </c>
      <c r="E115" t="s">
        <v>10</v>
      </c>
      <c r="F115" t="s">
        <v>11</v>
      </c>
      <c r="G115" s="1"/>
      <c r="H115" t="str">
        <f>"3245060685140"</f>
        <v>3245060685140</v>
      </c>
      <c r="I115" t="s">
        <v>99</v>
      </c>
    </row>
    <row r="116" spans="1:9" x14ac:dyDescent="0.25">
      <c r="A116" t="s">
        <v>8</v>
      </c>
      <c r="B116">
        <v>68515</v>
      </c>
      <c r="C116" t="s">
        <v>189</v>
      </c>
      <c r="D116">
        <v>1</v>
      </c>
      <c r="E116" t="s">
        <v>10</v>
      </c>
      <c r="F116" t="s">
        <v>11</v>
      </c>
      <c r="G116" s="1"/>
      <c r="H116" t="str">
        <f>"3245060685157"</f>
        <v>3245060685157</v>
      </c>
      <c r="I116" t="s">
        <v>190</v>
      </c>
    </row>
    <row r="117" spans="1:9" x14ac:dyDescent="0.25">
      <c r="A117" t="s">
        <v>8</v>
      </c>
      <c r="B117">
        <v>68516</v>
      </c>
      <c r="C117" t="s">
        <v>191</v>
      </c>
      <c r="D117">
        <v>1</v>
      </c>
      <c r="E117" t="s">
        <v>10</v>
      </c>
      <c r="F117" t="s">
        <v>11</v>
      </c>
      <c r="G117" s="1"/>
      <c r="H117" t="str">
        <f>"3245060685164"</f>
        <v>3245060685164</v>
      </c>
      <c r="I117" t="s">
        <v>94</v>
      </c>
    </row>
    <row r="118" spans="1:9" x14ac:dyDescent="0.25">
      <c r="A118" t="s">
        <v>8</v>
      </c>
      <c r="B118">
        <v>69001</v>
      </c>
      <c r="C118" t="s">
        <v>192</v>
      </c>
      <c r="D118">
        <v>1</v>
      </c>
      <c r="E118" t="s">
        <v>10</v>
      </c>
      <c r="F118" t="s">
        <v>11</v>
      </c>
      <c r="G118" s="1"/>
      <c r="H118" t="str">
        <f>"3245060690014"</f>
        <v>3245060690014</v>
      </c>
      <c r="I118" t="s">
        <v>193</v>
      </c>
    </row>
    <row r="119" spans="1:9" x14ac:dyDescent="0.25">
      <c r="A119" t="s">
        <v>8</v>
      </c>
      <c r="B119">
        <v>69002</v>
      </c>
      <c r="C119" t="s">
        <v>194</v>
      </c>
      <c r="D119">
        <v>1</v>
      </c>
      <c r="E119" t="s">
        <v>10</v>
      </c>
      <c r="F119" t="s">
        <v>11</v>
      </c>
      <c r="G119" s="1"/>
      <c r="H119" t="str">
        <f>"3245060690021"</f>
        <v>3245060690021</v>
      </c>
      <c r="I119" t="s">
        <v>195</v>
      </c>
    </row>
    <row r="120" spans="1:9" x14ac:dyDescent="0.25">
      <c r="A120" t="s">
        <v>8</v>
      </c>
      <c r="B120">
        <v>69003</v>
      </c>
      <c r="C120" t="s">
        <v>196</v>
      </c>
      <c r="D120">
        <v>1</v>
      </c>
      <c r="E120" t="s">
        <v>10</v>
      </c>
      <c r="F120" t="s">
        <v>11</v>
      </c>
      <c r="G120" s="1"/>
      <c r="H120" t="str">
        <f>"3245060690038"</f>
        <v>3245060690038</v>
      </c>
      <c r="I120" t="s">
        <v>197</v>
      </c>
    </row>
    <row r="121" spans="1:9" x14ac:dyDescent="0.25">
      <c r="A121" t="s">
        <v>8</v>
      </c>
      <c r="B121">
        <v>67352</v>
      </c>
      <c r="C121" t="s">
        <v>198</v>
      </c>
      <c r="D121">
        <v>1</v>
      </c>
      <c r="E121" t="s">
        <v>10</v>
      </c>
      <c r="F121" t="s">
        <v>11</v>
      </c>
      <c r="G121" s="1"/>
      <c r="H121" t="str">
        <f>"3245060673529"</f>
        <v>3245060673529</v>
      </c>
      <c r="I121" t="s">
        <v>199</v>
      </c>
    </row>
    <row r="122" spans="1:9" x14ac:dyDescent="0.25">
      <c r="A122" t="s">
        <v>8</v>
      </c>
      <c r="B122">
        <v>68253</v>
      </c>
      <c r="C122" t="s">
        <v>200</v>
      </c>
      <c r="D122">
        <v>1</v>
      </c>
      <c r="E122" t="s">
        <v>10</v>
      </c>
      <c r="F122" t="s">
        <v>11</v>
      </c>
      <c r="G122" s="1"/>
      <c r="H122" t="str">
        <f>"3245060682538"</f>
        <v>3245060682538</v>
      </c>
      <c r="I122" t="s">
        <v>201</v>
      </c>
    </row>
    <row r="123" spans="1:9" x14ac:dyDescent="0.25">
      <c r="A123" t="s">
        <v>8</v>
      </c>
      <c r="B123">
        <v>68553</v>
      </c>
      <c r="C123" t="s">
        <v>202</v>
      </c>
      <c r="D123">
        <v>1</v>
      </c>
      <c r="E123" t="s">
        <v>10</v>
      </c>
      <c r="F123" t="s">
        <v>11</v>
      </c>
      <c r="G123" s="1"/>
      <c r="H123" t="str">
        <f>"3245060685539"</f>
        <v>3245060685539</v>
      </c>
      <c r="I123" t="s">
        <v>193</v>
      </c>
    </row>
    <row r="124" spans="1:9" x14ac:dyDescent="0.25">
      <c r="A124" t="s">
        <v>8</v>
      </c>
      <c r="B124">
        <v>67560</v>
      </c>
      <c r="C124" t="s">
        <v>203</v>
      </c>
      <c r="D124">
        <v>1</v>
      </c>
      <c r="E124" t="s">
        <v>10</v>
      </c>
      <c r="F124" t="s">
        <v>11</v>
      </c>
      <c r="G124" s="1"/>
      <c r="H124" t="str">
        <f>"3245060675608"</f>
        <v>3245060675608</v>
      </c>
      <c r="I124" t="s">
        <v>204</v>
      </c>
    </row>
    <row r="125" spans="1:9" x14ac:dyDescent="0.25">
      <c r="A125" t="s">
        <v>8</v>
      </c>
      <c r="B125">
        <v>67801</v>
      </c>
      <c r="C125" t="s">
        <v>205</v>
      </c>
      <c r="D125">
        <v>1</v>
      </c>
      <c r="E125" t="s">
        <v>10</v>
      </c>
      <c r="F125" t="s">
        <v>11</v>
      </c>
      <c r="G125" s="1"/>
      <c r="H125" t="str">
        <f>"3245060678012"</f>
        <v>3245060678012</v>
      </c>
      <c r="I125" t="s">
        <v>206</v>
      </c>
    </row>
    <row r="126" spans="1:9" x14ac:dyDescent="0.25">
      <c r="A126" t="s">
        <v>8</v>
      </c>
      <c r="B126">
        <v>67803</v>
      </c>
      <c r="C126" t="s">
        <v>207</v>
      </c>
      <c r="D126">
        <v>1</v>
      </c>
      <c r="E126" t="s">
        <v>10</v>
      </c>
      <c r="F126" t="s">
        <v>11</v>
      </c>
      <c r="G126" s="1"/>
      <c r="H126" t="str">
        <f>"3245060678036"</f>
        <v>3245060678036</v>
      </c>
      <c r="I126" t="s">
        <v>208</v>
      </c>
    </row>
    <row r="127" spans="1:9" x14ac:dyDescent="0.25">
      <c r="A127" t="s">
        <v>8</v>
      </c>
      <c r="B127">
        <v>67804</v>
      </c>
      <c r="C127" t="s">
        <v>209</v>
      </c>
      <c r="D127">
        <v>1</v>
      </c>
      <c r="E127" t="s">
        <v>10</v>
      </c>
      <c r="F127" t="s">
        <v>11</v>
      </c>
      <c r="G127" s="1"/>
      <c r="H127" t="str">
        <f>"3245060678043"</f>
        <v>3245060678043</v>
      </c>
      <c r="I127" t="s">
        <v>210</v>
      </c>
    </row>
    <row r="128" spans="1:9" x14ac:dyDescent="0.25">
      <c r="A128" t="s">
        <v>8</v>
      </c>
      <c r="B128">
        <v>67805</v>
      </c>
      <c r="C128" t="s">
        <v>211</v>
      </c>
      <c r="D128">
        <v>1</v>
      </c>
      <c r="E128" t="s">
        <v>10</v>
      </c>
      <c r="F128" t="s">
        <v>11</v>
      </c>
      <c r="G128" s="1"/>
      <c r="H128" t="str">
        <f>"3245060678050"</f>
        <v>3245060678050</v>
      </c>
      <c r="I128" t="s">
        <v>212</v>
      </c>
    </row>
    <row r="129" spans="1:9" x14ac:dyDescent="0.25">
      <c r="A129" t="s">
        <v>8</v>
      </c>
      <c r="B129">
        <v>68153</v>
      </c>
      <c r="C129" t="s">
        <v>213</v>
      </c>
      <c r="D129">
        <v>1</v>
      </c>
      <c r="E129" t="s">
        <v>10</v>
      </c>
      <c r="F129" t="s">
        <v>11</v>
      </c>
      <c r="G129" s="1"/>
      <c r="H129" t="str">
        <f>"3245060681531"</f>
        <v>3245060681531</v>
      </c>
      <c r="I129" t="s">
        <v>38</v>
      </c>
    </row>
    <row r="130" spans="1:9" x14ac:dyDescent="0.25">
      <c r="A130" t="s">
        <v>8</v>
      </c>
      <c r="B130">
        <v>68154</v>
      </c>
      <c r="C130" t="s">
        <v>214</v>
      </c>
      <c r="D130">
        <v>1</v>
      </c>
      <c r="E130" t="s">
        <v>10</v>
      </c>
      <c r="F130" t="s">
        <v>11</v>
      </c>
      <c r="G130" s="1"/>
      <c r="H130" t="str">
        <f>"3245060681548"</f>
        <v>3245060681548</v>
      </c>
      <c r="I130" t="s">
        <v>216</v>
      </c>
    </row>
    <row r="131" spans="1:9" x14ac:dyDescent="0.25">
      <c r="A131" t="s">
        <v>8</v>
      </c>
      <c r="B131">
        <v>68160</v>
      </c>
      <c r="C131" t="s">
        <v>217</v>
      </c>
      <c r="D131">
        <v>1</v>
      </c>
      <c r="E131" t="s">
        <v>10</v>
      </c>
      <c r="F131" t="s">
        <v>11</v>
      </c>
      <c r="G131" s="1"/>
      <c r="H131" t="str">
        <f>"3245060681609"</f>
        <v>3245060681609</v>
      </c>
      <c r="I131" t="s">
        <v>218</v>
      </c>
    </row>
    <row r="132" spans="1:9" x14ac:dyDescent="0.25">
      <c r="A132" t="s">
        <v>8</v>
      </c>
      <c r="B132">
        <v>68190</v>
      </c>
      <c r="C132" t="s">
        <v>219</v>
      </c>
      <c r="D132">
        <v>1</v>
      </c>
      <c r="E132" t="s">
        <v>10</v>
      </c>
      <c r="F132" t="s">
        <v>11</v>
      </c>
      <c r="G132" s="1"/>
      <c r="H132" t="str">
        <f>"3245060681906"</f>
        <v>3245060681906</v>
      </c>
      <c r="I132" t="s">
        <v>36</v>
      </c>
    </row>
    <row r="133" spans="1:9" x14ac:dyDescent="0.25">
      <c r="A133" t="s">
        <v>8</v>
      </c>
      <c r="B133">
        <v>68191</v>
      </c>
      <c r="C133" t="s">
        <v>220</v>
      </c>
      <c r="D133">
        <v>1</v>
      </c>
      <c r="E133" t="s">
        <v>10</v>
      </c>
      <c r="F133" t="s">
        <v>11</v>
      </c>
      <c r="G133" s="1"/>
      <c r="H133" t="str">
        <f>"3245060681913"</f>
        <v>3245060681913</v>
      </c>
      <c r="I133" t="s">
        <v>221</v>
      </c>
    </row>
    <row r="134" spans="1:9" x14ac:dyDescent="0.25">
      <c r="A134" t="s">
        <v>8</v>
      </c>
      <c r="B134">
        <v>68192</v>
      </c>
      <c r="C134" t="s">
        <v>222</v>
      </c>
      <c r="D134">
        <v>1</v>
      </c>
      <c r="E134" t="s">
        <v>10</v>
      </c>
      <c r="F134" t="s">
        <v>11</v>
      </c>
      <c r="G134" s="1"/>
      <c r="H134" t="str">
        <f>"3245060681920"</f>
        <v>3245060681920</v>
      </c>
      <c r="I134" t="s">
        <v>54</v>
      </c>
    </row>
    <row r="135" spans="1:9" x14ac:dyDescent="0.25">
      <c r="A135" t="s">
        <v>8</v>
      </c>
      <c r="B135">
        <v>68208</v>
      </c>
      <c r="C135" t="s">
        <v>223</v>
      </c>
      <c r="D135">
        <v>1</v>
      </c>
      <c r="E135" t="s">
        <v>10</v>
      </c>
      <c r="F135" t="s">
        <v>11</v>
      </c>
      <c r="G135" s="1"/>
      <c r="H135" t="str">
        <f>"3245060682088"</f>
        <v>3245060682088</v>
      </c>
      <c r="I135" t="s">
        <v>36</v>
      </c>
    </row>
    <row r="136" spans="1:9" x14ac:dyDescent="0.25">
      <c r="A136" t="s">
        <v>8</v>
      </c>
      <c r="B136">
        <v>68219</v>
      </c>
      <c r="C136" t="s">
        <v>224</v>
      </c>
      <c r="D136">
        <v>1</v>
      </c>
      <c r="E136" t="s">
        <v>10</v>
      </c>
      <c r="F136" t="s">
        <v>11</v>
      </c>
      <c r="G136" s="1"/>
      <c r="H136" t="str">
        <f>"3245060682194"</f>
        <v>3245060682194</v>
      </c>
      <c r="I136" t="s">
        <v>46</v>
      </c>
    </row>
    <row r="137" spans="1:9" x14ac:dyDescent="0.25">
      <c r="A137" t="s">
        <v>8</v>
      </c>
      <c r="B137">
        <v>68255</v>
      </c>
      <c r="C137" t="s">
        <v>225</v>
      </c>
      <c r="D137">
        <v>1</v>
      </c>
      <c r="E137" t="s">
        <v>10</v>
      </c>
      <c r="F137" t="s">
        <v>11</v>
      </c>
      <c r="G137" s="1"/>
      <c r="H137" t="str">
        <f>"3245060682552"</f>
        <v>3245060682552</v>
      </c>
      <c r="I137" t="s">
        <v>226</v>
      </c>
    </row>
    <row r="138" spans="1:9" x14ac:dyDescent="0.25">
      <c r="A138" t="s">
        <v>8</v>
      </c>
      <c r="B138">
        <v>68453</v>
      </c>
      <c r="C138" t="s">
        <v>227</v>
      </c>
      <c r="D138">
        <v>1</v>
      </c>
      <c r="E138" t="s">
        <v>10</v>
      </c>
      <c r="F138" t="s">
        <v>11</v>
      </c>
      <c r="G138" s="1"/>
      <c r="H138" t="str">
        <f>"3245060684532"</f>
        <v>3245060684532</v>
      </c>
      <c r="I138" t="s">
        <v>92</v>
      </c>
    </row>
    <row r="139" spans="1:9" x14ac:dyDescent="0.25">
      <c r="A139" t="s">
        <v>8</v>
      </c>
      <c r="B139">
        <v>68454</v>
      </c>
      <c r="C139" t="s">
        <v>228</v>
      </c>
      <c r="D139">
        <v>1</v>
      </c>
      <c r="E139" t="s">
        <v>10</v>
      </c>
      <c r="F139" t="s">
        <v>11</v>
      </c>
      <c r="G139" s="1"/>
      <c r="H139" t="str">
        <f>"3245060684549"</f>
        <v>3245060684549</v>
      </c>
      <c r="I139" t="s">
        <v>229</v>
      </c>
    </row>
    <row r="140" spans="1:9" x14ac:dyDescent="0.25">
      <c r="A140" t="s">
        <v>8</v>
      </c>
      <c r="B140">
        <v>68460</v>
      </c>
      <c r="C140" t="s">
        <v>230</v>
      </c>
      <c r="D140">
        <v>1</v>
      </c>
      <c r="E140" t="s">
        <v>10</v>
      </c>
      <c r="F140" t="s">
        <v>11</v>
      </c>
      <c r="G140" s="1"/>
      <c r="H140" t="str">
        <f>"3245060684600"</f>
        <v>3245060684600</v>
      </c>
      <c r="I140" t="s">
        <v>181</v>
      </c>
    </row>
    <row r="141" spans="1:9" x14ac:dyDescent="0.25">
      <c r="A141" t="s">
        <v>8</v>
      </c>
      <c r="B141">
        <v>68490</v>
      </c>
      <c r="C141" t="s">
        <v>231</v>
      </c>
      <c r="D141">
        <v>1</v>
      </c>
      <c r="E141" t="s">
        <v>10</v>
      </c>
      <c r="F141" t="s">
        <v>11</v>
      </c>
      <c r="G141" s="1"/>
      <c r="H141" t="str">
        <f>"3245060684907"</f>
        <v>3245060684907</v>
      </c>
      <c r="I141" t="s">
        <v>94</v>
      </c>
    </row>
    <row r="142" spans="1:9" x14ac:dyDescent="0.25">
      <c r="A142" t="s">
        <v>8</v>
      </c>
      <c r="B142">
        <v>68491</v>
      </c>
      <c r="C142" t="s">
        <v>232</v>
      </c>
      <c r="D142">
        <v>1</v>
      </c>
      <c r="E142" t="s">
        <v>10</v>
      </c>
      <c r="F142" t="s">
        <v>11</v>
      </c>
      <c r="G142" s="1"/>
      <c r="H142" t="str">
        <f>"3245060684914"</f>
        <v>3245060684914</v>
      </c>
      <c r="I142" t="s">
        <v>111</v>
      </c>
    </row>
    <row r="143" spans="1:9" x14ac:dyDescent="0.25">
      <c r="A143" t="s">
        <v>8</v>
      </c>
      <c r="B143">
        <v>68492</v>
      </c>
      <c r="C143" t="s">
        <v>233</v>
      </c>
      <c r="D143">
        <v>1</v>
      </c>
      <c r="E143" t="s">
        <v>10</v>
      </c>
      <c r="F143" t="s">
        <v>11</v>
      </c>
      <c r="G143" s="1"/>
      <c r="H143" t="str">
        <f>"3245060684921"</f>
        <v>3245060684921</v>
      </c>
      <c r="I143" t="s">
        <v>92</v>
      </c>
    </row>
    <row r="144" spans="1:9" x14ac:dyDescent="0.25">
      <c r="A144" t="s">
        <v>8</v>
      </c>
      <c r="B144">
        <v>68508</v>
      </c>
      <c r="C144" t="s">
        <v>234</v>
      </c>
      <c r="D144">
        <v>1</v>
      </c>
      <c r="E144" t="s">
        <v>10</v>
      </c>
      <c r="F144" t="s">
        <v>11</v>
      </c>
      <c r="G144" s="1"/>
      <c r="H144" t="str">
        <f>"3245060685089"</f>
        <v>3245060685089</v>
      </c>
      <c r="I144" t="s">
        <v>94</v>
      </c>
    </row>
    <row r="145" spans="1:9" x14ac:dyDescent="0.25">
      <c r="A145" t="s">
        <v>8</v>
      </c>
      <c r="B145">
        <v>68519</v>
      </c>
      <c r="C145" t="s">
        <v>235</v>
      </c>
      <c r="D145">
        <v>1</v>
      </c>
      <c r="E145" t="s">
        <v>10</v>
      </c>
      <c r="F145" t="s">
        <v>11</v>
      </c>
      <c r="G145" s="1"/>
      <c r="H145" t="str">
        <f>"3245060685195"</f>
        <v>3245060685195</v>
      </c>
      <c r="I145" t="s">
        <v>86</v>
      </c>
    </row>
    <row r="146" spans="1:9" x14ac:dyDescent="0.25">
      <c r="A146" t="s">
        <v>8</v>
      </c>
      <c r="B146">
        <v>68555</v>
      </c>
      <c r="C146" t="s">
        <v>236</v>
      </c>
      <c r="D146">
        <v>1</v>
      </c>
      <c r="E146" t="s">
        <v>10</v>
      </c>
      <c r="F146" t="s">
        <v>11</v>
      </c>
      <c r="G146" s="1"/>
      <c r="H146" t="str">
        <f>"3245060685553"</f>
        <v>3245060685553</v>
      </c>
      <c r="I146" t="s">
        <v>88</v>
      </c>
    </row>
    <row r="147" spans="1:9" x14ac:dyDescent="0.25">
      <c r="A147" t="s">
        <v>8</v>
      </c>
      <c r="B147">
        <v>69072</v>
      </c>
      <c r="C147" t="s">
        <v>237</v>
      </c>
      <c r="D147">
        <v>1</v>
      </c>
      <c r="E147" t="s">
        <v>10</v>
      </c>
      <c r="F147" t="s">
        <v>11</v>
      </c>
      <c r="G147" s="1"/>
      <c r="H147" t="str">
        <f>"3245060690724"</f>
        <v>3245060690724</v>
      </c>
      <c r="I147" t="s">
        <v>238</v>
      </c>
    </row>
    <row r="148" spans="1:9" x14ac:dyDescent="0.25">
      <c r="A148" t="s">
        <v>8</v>
      </c>
      <c r="B148">
        <v>68388</v>
      </c>
      <c r="C148" t="s">
        <v>239</v>
      </c>
      <c r="D148">
        <v>1</v>
      </c>
      <c r="E148" t="s">
        <v>10</v>
      </c>
      <c r="F148" t="s">
        <v>11</v>
      </c>
      <c r="G148" s="1"/>
      <c r="H148" t="str">
        <f>"3245060683887"</f>
        <v>3245060683887</v>
      </c>
      <c r="I148" t="s">
        <v>111</v>
      </c>
    </row>
    <row r="149" spans="1:9" x14ac:dyDescent="0.25">
      <c r="A149" t="s">
        <v>8</v>
      </c>
      <c r="B149">
        <v>68088</v>
      </c>
      <c r="C149" t="s">
        <v>240</v>
      </c>
      <c r="D149">
        <v>1</v>
      </c>
      <c r="E149" t="s">
        <v>10</v>
      </c>
      <c r="F149" t="s">
        <v>11</v>
      </c>
      <c r="G149" s="1"/>
      <c r="H149" t="str">
        <f>"3245060680886"</f>
        <v>3245060680886</v>
      </c>
      <c r="I149" t="s">
        <v>221</v>
      </c>
    </row>
    <row r="150" spans="1:9" x14ac:dyDescent="0.25">
      <c r="A150" t="s">
        <v>8</v>
      </c>
      <c r="B150">
        <v>67806</v>
      </c>
      <c r="C150" t="s">
        <v>241</v>
      </c>
      <c r="D150">
        <v>1</v>
      </c>
      <c r="E150" t="s">
        <v>10</v>
      </c>
      <c r="F150" t="s">
        <v>11</v>
      </c>
      <c r="G150" s="1"/>
      <c r="H150" t="str">
        <f>"3245060678067"</f>
        <v>3245060678067</v>
      </c>
      <c r="I150" t="s">
        <v>242</v>
      </c>
    </row>
    <row r="151" spans="1:9" x14ac:dyDescent="0.25">
      <c r="A151" t="s">
        <v>8</v>
      </c>
      <c r="B151">
        <v>68231</v>
      </c>
      <c r="C151" t="s">
        <v>243</v>
      </c>
      <c r="D151">
        <v>1</v>
      </c>
      <c r="E151" t="s">
        <v>10</v>
      </c>
      <c r="F151" t="s">
        <v>11</v>
      </c>
      <c r="G151" s="1"/>
      <c r="H151" t="str">
        <f>"3245060682316"</f>
        <v>3245060682316</v>
      </c>
      <c r="I151" t="s">
        <v>61</v>
      </c>
    </row>
    <row r="152" spans="1:9" x14ac:dyDescent="0.25">
      <c r="A152" t="s">
        <v>8</v>
      </c>
      <c r="B152">
        <v>68594</v>
      </c>
      <c r="C152" t="s">
        <v>244</v>
      </c>
      <c r="D152">
        <v>1</v>
      </c>
      <c r="E152" t="s">
        <v>10</v>
      </c>
      <c r="F152" t="s">
        <v>11</v>
      </c>
      <c r="G152" s="1"/>
      <c r="H152" t="str">
        <f>"3245060685942"</f>
        <v>3245060685942</v>
      </c>
      <c r="I152" t="s">
        <v>245</v>
      </c>
    </row>
    <row r="153" spans="1:9" x14ac:dyDescent="0.25">
      <c r="A153" t="s">
        <v>8</v>
      </c>
      <c r="B153">
        <v>67372</v>
      </c>
      <c r="C153" t="s">
        <v>246</v>
      </c>
      <c r="D153">
        <v>1</v>
      </c>
      <c r="E153" t="s">
        <v>10</v>
      </c>
      <c r="F153" t="s">
        <v>11</v>
      </c>
      <c r="G153" s="1"/>
      <c r="H153" t="str">
        <f>"3245060673727"</f>
        <v>3245060673727</v>
      </c>
      <c r="I153" t="s">
        <v>247</v>
      </c>
    </row>
    <row r="154" spans="1:9" x14ac:dyDescent="0.25">
      <c r="A154" t="s">
        <v>8</v>
      </c>
      <c r="B154">
        <v>67564</v>
      </c>
      <c r="C154" t="s">
        <v>248</v>
      </c>
      <c r="D154">
        <v>1</v>
      </c>
      <c r="E154" t="s">
        <v>10</v>
      </c>
      <c r="F154" t="s">
        <v>11</v>
      </c>
      <c r="G154" s="1"/>
      <c r="H154" t="str">
        <f>"3245060675646"</f>
        <v>3245060675646</v>
      </c>
      <c r="I154" t="s">
        <v>249</v>
      </c>
    </row>
    <row r="155" spans="1:9" x14ac:dyDescent="0.25">
      <c r="A155" t="s">
        <v>8</v>
      </c>
      <c r="B155">
        <v>68535</v>
      </c>
      <c r="C155" t="s">
        <v>250</v>
      </c>
      <c r="D155">
        <v>1</v>
      </c>
      <c r="E155" t="s">
        <v>10</v>
      </c>
      <c r="F155" t="s">
        <v>11</v>
      </c>
      <c r="G155" s="1"/>
      <c r="H155" t="str">
        <f>"3245060685355"</f>
        <v>3245060685355</v>
      </c>
      <c r="I155" t="s">
        <v>86</v>
      </c>
    </row>
    <row r="156" spans="1:9" x14ac:dyDescent="0.25">
      <c r="A156" t="s">
        <v>8</v>
      </c>
      <c r="B156">
        <v>67335</v>
      </c>
      <c r="C156" t="s">
        <v>251</v>
      </c>
      <c r="D156">
        <v>1</v>
      </c>
      <c r="E156" t="s">
        <v>10</v>
      </c>
      <c r="F156" t="s">
        <v>11</v>
      </c>
      <c r="G156" s="1"/>
      <c r="H156" t="str">
        <f>"3245060673352"</f>
        <v>3245060673352</v>
      </c>
      <c r="I156" t="s">
        <v>252</v>
      </c>
    </row>
    <row r="157" spans="1:9" x14ac:dyDescent="0.25">
      <c r="A157" t="s">
        <v>8</v>
      </c>
      <c r="B157">
        <v>68295</v>
      </c>
      <c r="C157" t="s">
        <v>253</v>
      </c>
      <c r="D157">
        <v>1</v>
      </c>
      <c r="E157" t="s">
        <v>10</v>
      </c>
      <c r="F157" t="s">
        <v>11</v>
      </c>
      <c r="G157" s="1"/>
      <c r="H157" t="str">
        <f>"3245060682958"</f>
        <v>3245060682958</v>
      </c>
      <c r="I157" t="s">
        <v>32</v>
      </c>
    </row>
    <row r="158" spans="1:9" x14ac:dyDescent="0.25">
      <c r="A158" t="s">
        <v>8</v>
      </c>
      <c r="B158">
        <v>68532</v>
      </c>
      <c r="C158" t="s">
        <v>254</v>
      </c>
      <c r="D158">
        <v>1</v>
      </c>
      <c r="E158" t="s">
        <v>10</v>
      </c>
      <c r="F158" t="s">
        <v>11</v>
      </c>
      <c r="G158" s="1"/>
      <c r="H158" t="str">
        <f>"3245060685324"</f>
        <v>3245060685324</v>
      </c>
      <c r="I158" t="s">
        <v>86</v>
      </c>
    </row>
    <row r="159" spans="1:9" x14ac:dyDescent="0.25">
      <c r="A159" t="s">
        <v>8</v>
      </c>
      <c r="B159">
        <v>68235</v>
      </c>
      <c r="C159" t="s">
        <v>255</v>
      </c>
      <c r="D159">
        <v>1</v>
      </c>
      <c r="E159" t="s">
        <v>10</v>
      </c>
      <c r="F159" t="s">
        <v>11</v>
      </c>
      <c r="G159" s="1"/>
      <c r="H159" t="str">
        <f>"3245060682354"</f>
        <v>3245060682354</v>
      </c>
      <c r="I159" t="s">
        <v>32</v>
      </c>
    </row>
    <row r="160" spans="1:9" x14ac:dyDescent="0.25">
      <c r="A160" t="s">
        <v>8</v>
      </c>
      <c r="B160">
        <v>67392</v>
      </c>
      <c r="C160" t="s">
        <v>256</v>
      </c>
      <c r="D160">
        <v>1</v>
      </c>
      <c r="E160" t="s">
        <v>10</v>
      </c>
      <c r="F160" t="s">
        <v>11</v>
      </c>
      <c r="G160" s="1"/>
      <c r="H160" t="str">
        <f>"3245060673925"</f>
        <v>3245060673925</v>
      </c>
      <c r="I160" t="s">
        <v>257</v>
      </c>
    </row>
    <row r="161" spans="1:9" x14ac:dyDescent="0.25">
      <c r="A161" t="s">
        <v>8</v>
      </c>
      <c r="B161">
        <v>68232</v>
      </c>
      <c r="C161" t="s">
        <v>258</v>
      </c>
      <c r="D161">
        <v>1</v>
      </c>
      <c r="E161" t="s">
        <v>10</v>
      </c>
      <c r="F161" t="s">
        <v>11</v>
      </c>
      <c r="G161" s="1"/>
      <c r="H161" t="str">
        <f>"3245060682323"</f>
        <v>3245060682323</v>
      </c>
      <c r="I161" t="s">
        <v>46</v>
      </c>
    </row>
    <row r="162" spans="1:9" x14ac:dyDescent="0.25">
      <c r="A162" t="s">
        <v>8</v>
      </c>
      <c r="B162">
        <v>67377</v>
      </c>
      <c r="C162" t="s">
        <v>259</v>
      </c>
      <c r="D162">
        <v>1</v>
      </c>
      <c r="E162" t="s">
        <v>10</v>
      </c>
      <c r="F162" t="s">
        <v>11</v>
      </c>
      <c r="G162" s="1"/>
      <c r="H162" t="str">
        <f>"3245060673772"</f>
        <v>3245060673772</v>
      </c>
      <c r="I162" t="s">
        <v>260</v>
      </c>
    </row>
    <row r="163" spans="1:9" x14ac:dyDescent="0.25">
      <c r="A163" t="s">
        <v>8</v>
      </c>
      <c r="B163">
        <v>68531</v>
      </c>
      <c r="C163" t="s">
        <v>261</v>
      </c>
      <c r="D163">
        <v>1</v>
      </c>
      <c r="E163" t="s">
        <v>10</v>
      </c>
      <c r="F163" t="s">
        <v>11</v>
      </c>
      <c r="G163" s="1"/>
      <c r="H163" t="str">
        <f>"3245060685317"</f>
        <v>3245060685317</v>
      </c>
      <c r="I163" t="s">
        <v>99</v>
      </c>
    </row>
    <row r="164" spans="1:9" x14ac:dyDescent="0.25">
      <c r="A164" t="s">
        <v>8</v>
      </c>
      <c r="B164">
        <v>68597</v>
      </c>
      <c r="C164" t="s">
        <v>262</v>
      </c>
      <c r="D164">
        <v>1</v>
      </c>
      <c r="E164" t="s">
        <v>10</v>
      </c>
      <c r="F164" t="s">
        <v>11</v>
      </c>
      <c r="G164" s="1"/>
      <c r="H164" t="str">
        <f>"3245060685973"</f>
        <v>3245060685973</v>
      </c>
      <c r="I164" t="s">
        <v>99</v>
      </c>
    </row>
    <row r="165" spans="1:9" x14ac:dyDescent="0.25">
      <c r="A165" t="s">
        <v>8</v>
      </c>
      <c r="B165">
        <v>67312</v>
      </c>
      <c r="C165" t="s">
        <v>263</v>
      </c>
      <c r="D165">
        <v>1</v>
      </c>
      <c r="E165" t="s">
        <v>10</v>
      </c>
      <c r="F165" t="s">
        <v>11</v>
      </c>
      <c r="G165" s="1"/>
      <c r="H165" t="str">
        <f>"3245060673123"</f>
        <v>3245060673123</v>
      </c>
      <c r="I165" t="s">
        <v>264</v>
      </c>
    </row>
    <row r="166" spans="1:9" x14ac:dyDescent="0.25">
      <c r="A166" t="s">
        <v>8</v>
      </c>
      <c r="B166">
        <v>67376</v>
      </c>
      <c r="C166" t="s">
        <v>265</v>
      </c>
      <c r="D166">
        <v>1</v>
      </c>
      <c r="E166" t="s">
        <v>10</v>
      </c>
      <c r="F166" t="s">
        <v>11</v>
      </c>
      <c r="G166" s="1"/>
      <c r="H166" t="str">
        <f>"3245060673765"</f>
        <v>3245060673765</v>
      </c>
      <c r="I166" t="s">
        <v>266</v>
      </c>
    </row>
    <row r="167" spans="1:9" x14ac:dyDescent="0.25">
      <c r="A167" t="s">
        <v>8</v>
      </c>
      <c r="B167">
        <v>68297</v>
      </c>
      <c r="C167" t="s">
        <v>267</v>
      </c>
      <c r="D167">
        <v>1</v>
      </c>
      <c r="E167" t="s">
        <v>10</v>
      </c>
      <c r="F167" t="s">
        <v>11</v>
      </c>
      <c r="G167" s="1"/>
      <c r="H167" t="str">
        <f>"3245060682972"</f>
        <v>3245060682972</v>
      </c>
      <c r="I167" t="s">
        <v>43</v>
      </c>
    </row>
    <row r="168" spans="1:9" x14ac:dyDescent="0.25">
      <c r="A168" t="s">
        <v>8</v>
      </c>
      <c r="B168">
        <v>67462</v>
      </c>
      <c r="C168" t="s">
        <v>268</v>
      </c>
      <c r="D168">
        <v>1</v>
      </c>
      <c r="E168" t="s">
        <v>10</v>
      </c>
      <c r="F168" t="s">
        <v>11</v>
      </c>
      <c r="G168" s="1"/>
      <c r="H168" t="str">
        <f>"3245060674625"</f>
        <v>3245060674625</v>
      </c>
      <c r="I168" t="s">
        <v>269</v>
      </c>
    </row>
    <row r="169" spans="1:9" x14ac:dyDescent="0.25">
      <c r="A169" t="s">
        <v>8</v>
      </c>
      <c r="B169">
        <v>68556</v>
      </c>
      <c r="C169" t="s">
        <v>270</v>
      </c>
      <c r="D169">
        <v>1</v>
      </c>
      <c r="E169" t="s">
        <v>10</v>
      </c>
      <c r="F169" t="s">
        <v>11</v>
      </c>
      <c r="G169" s="1"/>
      <c r="H169" t="str">
        <f>"3245060685560"</f>
        <v>3245060685560</v>
      </c>
      <c r="I169" t="s">
        <v>271</v>
      </c>
    </row>
    <row r="170" spans="1:9" x14ac:dyDescent="0.25">
      <c r="A170" t="s">
        <v>8</v>
      </c>
      <c r="B170">
        <v>68256</v>
      </c>
      <c r="C170" t="s">
        <v>272</v>
      </c>
      <c r="D170">
        <v>1</v>
      </c>
      <c r="E170" t="s">
        <v>10</v>
      </c>
      <c r="F170" t="s">
        <v>11</v>
      </c>
      <c r="G170" s="1"/>
      <c r="H170" t="str">
        <f>"3245060682569"</f>
        <v>3245060682569</v>
      </c>
      <c r="I170" t="s">
        <v>43</v>
      </c>
    </row>
    <row r="171" spans="1:9" x14ac:dyDescent="0.25">
      <c r="A171" t="s">
        <v>8</v>
      </c>
      <c r="B171">
        <v>68054</v>
      </c>
      <c r="C171" t="s">
        <v>273</v>
      </c>
      <c r="D171">
        <v>1</v>
      </c>
      <c r="E171" t="s">
        <v>10</v>
      </c>
      <c r="F171" t="s">
        <v>11</v>
      </c>
      <c r="G171" s="1"/>
      <c r="H171" t="str">
        <f>"3245060680541"</f>
        <v>3245060680541</v>
      </c>
      <c r="I171" t="s">
        <v>46</v>
      </c>
    </row>
    <row r="172" spans="1:9" x14ac:dyDescent="0.25">
      <c r="A172" t="s">
        <v>8</v>
      </c>
      <c r="B172">
        <v>68354</v>
      </c>
      <c r="C172" t="s">
        <v>274</v>
      </c>
      <c r="D172">
        <v>1</v>
      </c>
      <c r="E172" t="s">
        <v>10</v>
      </c>
      <c r="F172" t="s">
        <v>11</v>
      </c>
      <c r="G172" s="1"/>
      <c r="H172" t="str">
        <f>"3245060683542"</f>
        <v>3245060683542</v>
      </c>
      <c r="I172" t="s">
        <v>275</v>
      </c>
    </row>
    <row r="173" spans="1:9" x14ac:dyDescent="0.25">
      <c r="A173" t="s">
        <v>8</v>
      </c>
      <c r="B173">
        <v>68194</v>
      </c>
      <c r="C173" t="s">
        <v>276</v>
      </c>
      <c r="D173">
        <v>1</v>
      </c>
      <c r="E173" t="s">
        <v>10</v>
      </c>
      <c r="F173" t="s">
        <v>11</v>
      </c>
      <c r="G173" s="1"/>
      <c r="H173" t="str">
        <f>"3414970358394"</f>
        <v>3414970358394</v>
      </c>
      <c r="I173" t="s">
        <v>32</v>
      </c>
    </row>
    <row r="174" spans="1:9" x14ac:dyDescent="0.25">
      <c r="A174" t="s">
        <v>8</v>
      </c>
      <c r="B174">
        <v>68494</v>
      </c>
      <c r="C174" t="s">
        <v>277</v>
      </c>
      <c r="D174">
        <v>1</v>
      </c>
      <c r="E174" t="s">
        <v>10</v>
      </c>
      <c r="F174" t="s">
        <v>11</v>
      </c>
      <c r="G174" s="1"/>
      <c r="H174" t="str">
        <f>"3414970355584"</f>
        <v>3414970355584</v>
      </c>
      <c r="I174" t="s">
        <v>106</v>
      </c>
    </row>
    <row r="175" spans="1:9" x14ac:dyDescent="0.25">
      <c r="A175" t="s">
        <v>8</v>
      </c>
      <c r="B175">
        <v>65004</v>
      </c>
      <c r="C175" t="s">
        <v>278</v>
      </c>
      <c r="D175">
        <v>1</v>
      </c>
      <c r="E175" t="s">
        <v>10</v>
      </c>
      <c r="F175" t="s">
        <v>11</v>
      </c>
      <c r="G175" s="1"/>
      <c r="H175" t="str">
        <f>"3414970486707"</f>
        <v>3414970486707</v>
      </c>
      <c r="I175" t="s">
        <v>38</v>
      </c>
    </row>
    <row r="176" spans="1:9" x14ac:dyDescent="0.25">
      <c r="A176" t="s">
        <v>8</v>
      </c>
      <c r="B176">
        <v>65104</v>
      </c>
      <c r="C176" t="s">
        <v>279</v>
      </c>
      <c r="D176">
        <v>1</v>
      </c>
      <c r="E176" t="s">
        <v>10</v>
      </c>
      <c r="F176" t="s">
        <v>11</v>
      </c>
      <c r="G176" s="1"/>
      <c r="H176" t="str">
        <f>"3414970486820"</f>
        <v>3414970486820</v>
      </c>
      <c r="I176" t="s">
        <v>92</v>
      </c>
    </row>
    <row r="177" spans="1:9" x14ac:dyDescent="0.25">
      <c r="A177" t="s">
        <v>8</v>
      </c>
      <c r="B177">
        <v>67670</v>
      </c>
      <c r="C177" t="s">
        <v>280</v>
      </c>
      <c r="D177">
        <v>1</v>
      </c>
      <c r="E177" t="s">
        <v>10</v>
      </c>
      <c r="F177" t="s">
        <v>11</v>
      </c>
      <c r="G177" s="1"/>
      <c r="H177" t="str">
        <f>"3414970500786"</f>
        <v>3414970500786</v>
      </c>
      <c r="I177" t="s">
        <v>281</v>
      </c>
    </row>
    <row r="178" spans="1:9" x14ac:dyDescent="0.25">
      <c r="A178" t="s">
        <v>8</v>
      </c>
      <c r="B178">
        <v>65204</v>
      </c>
      <c r="C178" t="s">
        <v>282</v>
      </c>
      <c r="D178">
        <v>1</v>
      </c>
      <c r="E178" t="s">
        <v>10</v>
      </c>
      <c r="F178" t="s">
        <v>11</v>
      </c>
      <c r="G178" s="1"/>
      <c r="H178" t="str">
        <f>"3414970486912"</f>
        <v>3414970486912</v>
      </c>
      <c r="I178" t="s">
        <v>92</v>
      </c>
    </row>
    <row r="179" spans="1:9" x14ac:dyDescent="0.25">
      <c r="A179" t="s">
        <v>8</v>
      </c>
      <c r="B179">
        <v>67005</v>
      </c>
      <c r="C179" t="s">
        <v>283</v>
      </c>
      <c r="D179">
        <v>1</v>
      </c>
      <c r="E179" t="s">
        <v>10</v>
      </c>
      <c r="F179" t="s">
        <v>11</v>
      </c>
      <c r="G179" s="1"/>
      <c r="H179" t="str">
        <f>"3414970487032"</f>
        <v>3414970487032</v>
      </c>
      <c r="I179" t="s">
        <v>284</v>
      </c>
    </row>
    <row r="180" spans="1:9" x14ac:dyDescent="0.25">
      <c r="A180" t="s">
        <v>8</v>
      </c>
      <c r="B180">
        <v>67020</v>
      </c>
      <c r="C180" t="s">
        <v>285</v>
      </c>
      <c r="D180">
        <v>1</v>
      </c>
      <c r="E180" t="s">
        <v>10</v>
      </c>
      <c r="F180" t="s">
        <v>11</v>
      </c>
      <c r="G180" s="1"/>
      <c r="H180" t="str">
        <f>"3414970487063"</f>
        <v>3414970487063</v>
      </c>
      <c r="I180" t="s">
        <v>286</v>
      </c>
    </row>
    <row r="181" spans="1:9" x14ac:dyDescent="0.25">
      <c r="A181" t="s">
        <v>8</v>
      </c>
      <c r="B181">
        <v>67106</v>
      </c>
      <c r="C181" t="s">
        <v>287</v>
      </c>
      <c r="D181">
        <v>1</v>
      </c>
      <c r="E181" t="s">
        <v>10</v>
      </c>
      <c r="F181" t="s">
        <v>11</v>
      </c>
      <c r="G181" s="1"/>
      <c r="H181" t="str">
        <f>"3414970487179"</f>
        <v>3414970487179</v>
      </c>
      <c r="I181" t="s">
        <v>288</v>
      </c>
    </row>
    <row r="182" spans="1:9" x14ac:dyDescent="0.25">
      <c r="A182" t="s">
        <v>8</v>
      </c>
      <c r="B182">
        <v>67124</v>
      </c>
      <c r="C182" t="s">
        <v>289</v>
      </c>
      <c r="D182">
        <v>1</v>
      </c>
      <c r="E182" t="s">
        <v>10</v>
      </c>
      <c r="F182" t="s">
        <v>11</v>
      </c>
      <c r="G182" s="1"/>
      <c r="H182" t="str">
        <f>"3245060671242"</f>
        <v>3245060671242</v>
      </c>
      <c r="I182" t="s">
        <v>290</v>
      </c>
    </row>
    <row r="183" spans="1:9" x14ac:dyDescent="0.25">
      <c r="A183" t="s">
        <v>8</v>
      </c>
      <c r="B183">
        <v>67126</v>
      </c>
      <c r="C183" t="s">
        <v>291</v>
      </c>
      <c r="D183">
        <v>1</v>
      </c>
      <c r="E183" t="s">
        <v>10</v>
      </c>
      <c r="F183" t="s">
        <v>11</v>
      </c>
      <c r="G183" s="1"/>
      <c r="H183" t="str">
        <f>"3245060671266"</f>
        <v>3245060671266</v>
      </c>
      <c r="I183" t="s">
        <v>292</v>
      </c>
    </row>
    <row r="184" spans="1:9" x14ac:dyDescent="0.25">
      <c r="A184" t="s">
        <v>8</v>
      </c>
      <c r="B184">
        <v>67128</v>
      </c>
      <c r="C184" t="s">
        <v>293</v>
      </c>
      <c r="D184">
        <v>1</v>
      </c>
      <c r="E184" t="s">
        <v>10</v>
      </c>
      <c r="F184" t="s">
        <v>11</v>
      </c>
      <c r="G184" s="1"/>
      <c r="H184" t="str">
        <f>"3245060671280"</f>
        <v>3245060671280</v>
      </c>
      <c r="I184" t="s">
        <v>294</v>
      </c>
    </row>
    <row r="185" spans="1:9" x14ac:dyDescent="0.25">
      <c r="A185" t="s">
        <v>8</v>
      </c>
      <c r="B185">
        <v>67812</v>
      </c>
      <c r="C185" t="s">
        <v>295</v>
      </c>
      <c r="D185">
        <v>1</v>
      </c>
      <c r="E185" t="s">
        <v>10</v>
      </c>
      <c r="F185" t="s">
        <v>11</v>
      </c>
      <c r="G185" s="1"/>
      <c r="H185" t="str">
        <f>"3414970487285"</f>
        <v>3414970487285</v>
      </c>
      <c r="I185" t="s">
        <v>296</v>
      </c>
    </row>
    <row r="186" spans="1:9" x14ac:dyDescent="0.25">
      <c r="A186" t="s">
        <v>8</v>
      </c>
      <c r="B186">
        <v>67813</v>
      </c>
      <c r="C186" t="s">
        <v>297</v>
      </c>
      <c r="D186">
        <v>1</v>
      </c>
      <c r="E186" t="s">
        <v>10</v>
      </c>
      <c r="F186" t="s">
        <v>11</v>
      </c>
      <c r="G186" s="1"/>
      <c r="H186" t="str">
        <f>"3414970487315"</f>
        <v>3414970487315</v>
      </c>
      <c r="I186" t="s">
        <v>99</v>
      </c>
    </row>
    <row r="187" spans="1:9" x14ac:dyDescent="0.25">
      <c r="A187" t="s">
        <v>8</v>
      </c>
      <c r="B187">
        <v>67814</v>
      </c>
      <c r="C187" t="s">
        <v>298</v>
      </c>
      <c r="D187">
        <v>1</v>
      </c>
      <c r="E187" t="s">
        <v>10</v>
      </c>
      <c r="F187" t="s">
        <v>11</v>
      </c>
      <c r="G187" s="1"/>
      <c r="H187" t="str">
        <f>"3414970487346"</f>
        <v>3414970487346</v>
      </c>
      <c r="I187" t="s">
        <v>99</v>
      </c>
    </row>
    <row r="188" spans="1:9" x14ac:dyDescent="0.25">
      <c r="A188" t="s">
        <v>8</v>
      </c>
      <c r="B188">
        <v>67816</v>
      </c>
      <c r="C188" t="s">
        <v>299</v>
      </c>
      <c r="D188">
        <v>1</v>
      </c>
      <c r="E188" t="s">
        <v>10</v>
      </c>
      <c r="F188" t="s">
        <v>11</v>
      </c>
      <c r="G188" s="1"/>
      <c r="H188" t="str">
        <f>"3414970487377"</f>
        <v>3414970487377</v>
      </c>
      <c r="I188" t="s">
        <v>190</v>
      </c>
    </row>
    <row r="189" spans="1:9" x14ac:dyDescent="0.25">
      <c r="A189" t="s">
        <v>8</v>
      </c>
      <c r="B189">
        <v>67818</v>
      </c>
      <c r="C189" t="s">
        <v>300</v>
      </c>
      <c r="D189">
        <v>1</v>
      </c>
      <c r="E189" t="s">
        <v>10</v>
      </c>
      <c r="F189" t="s">
        <v>11</v>
      </c>
      <c r="G189" s="1"/>
      <c r="H189" t="str">
        <f>"3414970574619"</f>
        <v>3414970574619</v>
      </c>
      <c r="I189" t="s">
        <v>94</v>
      </c>
    </row>
    <row r="190" spans="1:9" x14ac:dyDescent="0.25">
      <c r="A190" t="s">
        <v>8</v>
      </c>
      <c r="B190">
        <v>67863</v>
      </c>
      <c r="C190" t="s">
        <v>301</v>
      </c>
      <c r="D190">
        <v>1</v>
      </c>
      <c r="E190" t="s">
        <v>10</v>
      </c>
      <c r="F190" t="s">
        <v>11</v>
      </c>
      <c r="G190" s="1"/>
      <c r="H190" t="str">
        <f>"3414970505422"</f>
        <v>3414970505422</v>
      </c>
      <c r="I190" t="s">
        <v>99</v>
      </c>
    </row>
    <row r="191" spans="1:9" x14ac:dyDescent="0.25">
      <c r="A191" t="s">
        <v>8</v>
      </c>
      <c r="B191">
        <v>67864</v>
      </c>
      <c r="C191" t="s">
        <v>302</v>
      </c>
      <c r="D191">
        <v>1</v>
      </c>
      <c r="E191" t="s">
        <v>10</v>
      </c>
      <c r="F191" t="s">
        <v>11</v>
      </c>
      <c r="G191" s="1"/>
      <c r="H191" t="str">
        <f>"3414970505446"</f>
        <v>3414970505446</v>
      </c>
      <c r="I191" t="s">
        <v>99</v>
      </c>
    </row>
    <row r="192" spans="1:9" x14ac:dyDescent="0.25">
      <c r="A192" t="s">
        <v>8</v>
      </c>
      <c r="B192">
        <v>67870</v>
      </c>
      <c r="C192" t="s">
        <v>303</v>
      </c>
      <c r="D192">
        <v>1</v>
      </c>
      <c r="E192" t="s">
        <v>10</v>
      </c>
      <c r="F192" t="s">
        <v>11</v>
      </c>
      <c r="G192" s="1"/>
      <c r="H192" t="str">
        <f>"3414970574633"</f>
        <v>3414970574633</v>
      </c>
      <c r="I192" t="s">
        <v>99</v>
      </c>
    </row>
    <row r="193" spans="1:9" x14ac:dyDescent="0.25">
      <c r="A193" t="s">
        <v>8</v>
      </c>
      <c r="B193">
        <v>67871</v>
      </c>
      <c r="C193" t="s">
        <v>304</v>
      </c>
      <c r="D193">
        <v>1</v>
      </c>
      <c r="E193" t="s">
        <v>10</v>
      </c>
      <c r="F193" t="s">
        <v>11</v>
      </c>
      <c r="G193" s="1"/>
      <c r="H193" t="str">
        <f>"3414970487445"</f>
        <v>3414970487445</v>
      </c>
      <c r="I193" t="s">
        <v>94</v>
      </c>
    </row>
    <row r="194" spans="1:9" x14ac:dyDescent="0.25">
      <c r="A194" t="s">
        <v>8</v>
      </c>
      <c r="B194">
        <v>67872</v>
      </c>
      <c r="C194" t="s">
        <v>305</v>
      </c>
      <c r="D194">
        <v>1</v>
      </c>
      <c r="E194" t="s">
        <v>10</v>
      </c>
      <c r="F194" t="s">
        <v>11</v>
      </c>
      <c r="G194" s="1"/>
      <c r="H194" t="str">
        <f>"3414970505460"</f>
        <v>3414970505460</v>
      </c>
      <c r="I194" t="s">
        <v>99</v>
      </c>
    </row>
    <row r="195" spans="1:9" x14ac:dyDescent="0.25">
      <c r="A195" t="s">
        <v>8</v>
      </c>
      <c r="B195">
        <v>67873</v>
      </c>
      <c r="C195" t="s">
        <v>306</v>
      </c>
      <c r="D195">
        <v>1</v>
      </c>
      <c r="E195" t="s">
        <v>10</v>
      </c>
      <c r="F195" t="s">
        <v>11</v>
      </c>
      <c r="G195" s="1"/>
      <c r="H195" t="str">
        <f>"3414970487469"</f>
        <v>3414970487469</v>
      </c>
      <c r="I195" t="s">
        <v>94</v>
      </c>
    </row>
    <row r="196" spans="1:9" x14ac:dyDescent="0.25">
      <c r="A196" t="s">
        <v>8</v>
      </c>
      <c r="B196">
        <v>67874</v>
      </c>
      <c r="C196" t="s">
        <v>307</v>
      </c>
      <c r="D196">
        <v>1</v>
      </c>
      <c r="E196" t="s">
        <v>10</v>
      </c>
      <c r="F196" t="s">
        <v>11</v>
      </c>
      <c r="G196" s="1"/>
      <c r="H196" t="str">
        <f>"3414970505484"</f>
        <v>3414970505484</v>
      </c>
      <c r="I196" t="s">
        <v>86</v>
      </c>
    </row>
    <row r="197" spans="1:9" x14ac:dyDescent="0.25">
      <c r="A197" t="s">
        <v>8</v>
      </c>
      <c r="B197">
        <v>67879</v>
      </c>
      <c r="C197" t="s">
        <v>308</v>
      </c>
      <c r="D197">
        <v>1</v>
      </c>
      <c r="E197" t="s">
        <v>10</v>
      </c>
      <c r="F197" t="s">
        <v>11</v>
      </c>
      <c r="G197" s="1"/>
      <c r="H197" t="str">
        <f>"3414970505507"</f>
        <v>3414970505507</v>
      </c>
      <c r="I197" t="s">
        <v>99</v>
      </c>
    </row>
    <row r="198" spans="1:9" x14ac:dyDescent="0.25">
      <c r="A198" t="s">
        <v>8</v>
      </c>
      <c r="B198">
        <v>67887</v>
      </c>
      <c r="C198" t="s">
        <v>309</v>
      </c>
      <c r="D198">
        <v>1</v>
      </c>
      <c r="E198" t="s">
        <v>10</v>
      </c>
      <c r="F198" t="s">
        <v>11</v>
      </c>
      <c r="G198" s="1"/>
      <c r="H198" t="str">
        <f>"3414970487483"</f>
        <v>3414970487483</v>
      </c>
      <c r="I198" t="s">
        <v>99</v>
      </c>
    </row>
    <row r="199" spans="1:9" x14ac:dyDescent="0.25">
      <c r="A199" t="s">
        <v>8</v>
      </c>
      <c r="B199">
        <v>67905</v>
      </c>
      <c r="C199" t="s">
        <v>310</v>
      </c>
      <c r="D199">
        <v>1</v>
      </c>
      <c r="E199" t="s">
        <v>10</v>
      </c>
      <c r="F199" t="s">
        <v>11</v>
      </c>
      <c r="G199" s="1"/>
      <c r="H199" t="str">
        <f>"3414970487636"</f>
        <v>3414970487636</v>
      </c>
      <c r="I199" t="s">
        <v>88</v>
      </c>
    </row>
    <row r="200" spans="1:9" x14ac:dyDescent="0.25">
      <c r="A200" t="s">
        <v>8</v>
      </c>
      <c r="B200">
        <v>67909</v>
      </c>
      <c r="C200" t="s">
        <v>311</v>
      </c>
      <c r="D200">
        <v>1</v>
      </c>
      <c r="E200" t="s">
        <v>10</v>
      </c>
      <c r="F200" t="s">
        <v>11</v>
      </c>
      <c r="G200" s="1"/>
      <c r="H200" t="str">
        <f>"3414970487650"</f>
        <v>3414970487650</v>
      </c>
      <c r="I200" t="s">
        <v>312</v>
      </c>
    </row>
    <row r="201" spans="1:9" x14ac:dyDescent="0.25">
      <c r="A201" t="s">
        <v>8</v>
      </c>
      <c r="B201">
        <v>67915</v>
      </c>
      <c r="C201" t="s">
        <v>313</v>
      </c>
      <c r="D201">
        <v>1</v>
      </c>
      <c r="E201" t="s">
        <v>10</v>
      </c>
      <c r="F201" t="s">
        <v>11</v>
      </c>
      <c r="G201" s="1"/>
      <c r="H201" t="str">
        <f>"3414970487773"</f>
        <v>3414970487773</v>
      </c>
      <c r="I201" t="s">
        <v>314</v>
      </c>
    </row>
    <row r="202" spans="1:9" x14ac:dyDescent="0.25">
      <c r="A202" t="s">
        <v>8</v>
      </c>
      <c r="B202">
        <v>67916</v>
      </c>
      <c r="C202" t="s">
        <v>315</v>
      </c>
      <c r="D202">
        <v>1</v>
      </c>
      <c r="E202" t="s">
        <v>10</v>
      </c>
      <c r="F202" t="s">
        <v>11</v>
      </c>
      <c r="G202" s="1"/>
      <c r="H202" t="str">
        <f>"3414970487803"</f>
        <v>3414970487803</v>
      </c>
      <c r="I202" t="s">
        <v>102</v>
      </c>
    </row>
    <row r="203" spans="1:9" x14ac:dyDescent="0.25">
      <c r="A203" t="s">
        <v>8</v>
      </c>
      <c r="B203">
        <v>67922</v>
      </c>
      <c r="C203" t="s">
        <v>316</v>
      </c>
      <c r="D203">
        <v>1</v>
      </c>
      <c r="E203" t="s">
        <v>10</v>
      </c>
      <c r="F203" t="s">
        <v>11</v>
      </c>
      <c r="G203" s="1"/>
      <c r="H203" t="str">
        <f>"3414970487834"</f>
        <v>3414970487834</v>
      </c>
      <c r="I203" t="s">
        <v>99</v>
      </c>
    </row>
    <row r="204" spans="1:9" x14ac:dyDescent="0.25">
      <c r="A204" t="s">
        <v>8</v>
      </c>
      <c r="B204">
        <v>67924</v>
      </c>
      <c r="C204" t="s">
        <v>317</v>
      </c>
      <c r="D204">
        <v>1</v>
      </c>
      <c r="E204" t="s">
        <v>10</v>
      </c>
      <c r="F204" t="s">
        <v>11</v>
      </c>
      <c r="G204" s="1"/>
      <c r="H204" t="str">
        <f>"3414970508010"</f>
        <v>3414970508010</v>
      </c>
      <c r="I204" t="s">
        <v>181</v>
      </c>
    </row>
    <row r="205" spans="1:9" x14ac:dyDescent="0.25">
      <c r="A205" t="s">
        <v>8</v>
      </c>
      <c r="B205">
        <v>67928</v>
      </c>
      <c r="C205" t="s">
        <v>318</v>
      </c>
      <c r="D205">
        <v>1</v>
      </c>
      <c r="E205" t="s">
        <v>10</v>
      </c>
      <c r="F205" t="s">
        <v>11</v>
      </c>
      <c r="G205" s="1"/>
      <c r="H205" t="str">
        <f>"3414970487865"</f>
        <v>3414970487865</v>
      </c>
      <c r="I205" t="s">
        <v>86</v>
      </c>
    </row>
    <row r="206" spans="1:9" x14ac:dyDescent="0.25">
      <c r="A206" t="s">
        <v>8</v>
      </c>
      <c r="B206">
        <v>67933</v>
      </c>
      <c r="C206" t="s">
        <v>319</v>
      </c>
      <c r="D206">
        <v>1</v>
      </c>
      <c r="E206" t="s">
        <v>10</v>
      </c>
      <c r="F206" t="s">
        <v>11</v>
      </c>
      <c r="G206" s="1"/>
      <c r="H206" t="str">
        <f>"3414970487889"</f>
        <v>3414970487889</v>
      </c>
      <c r="I206" t="s">
        <v>320</v>
      </c>
    </row>
    <row r="207" spans="1:9" x14ac:dyDescent="0.25">
      <c r="A207" t="s">
        <v>8</v>
      </c>
      <c r="B207">
        <v>67935</v>
      </c>
      <c r="C207" t="s">
        <v>321</v>
      </c>
      <c r="D207">
        <v>1</v>
      </c>
      <c r="E207" t="s">
        <v>10</v>
      </c>
      <c r="F207" t="s">
        <v>11</v>
      </c>
      <c r="G207" s="1"/>
      <c r="H207" t="str">
        <f>"3414970487902"</f>
        <v>3414970487902</v>
      </c>
      <c r="I207" t="s">
        <v>88</v>
      </c>
    </row>
    <row r="208" spans="1:9" x14ac:dyDescent="0.25">
      <c r="A208" t="s">
        <v>8</v>
      </c>
      <c r="B208">
        <v>67936</v>
      </c>
      <c r="C208" t="s">
        <v>322</v>
      </c>
      <c r="D208">
        <v>1</v>
      </c>
      <c r="E208" t="s">
        <v>10</v>
      </c>
      <c r="F208" t="s">
        <v>11</v>
      </c>
      <c r="G208" s="1"/>
      <c r="H208" t="str">
        <f>"3414970505682"</f>
        <v>3414970505682</v>
      </c>
      <c r="I208" t="s">
        <v>90</v>
      </c>
    </row>
    <row r="209" spans="1:9" x14ac:dyDescent="0.25">
      <c r="A209" t="s">
        <v>8</v>
      </c>
      <c r="B209">
        <v>67937</v>
      </c>
      <c r="C209" t="s">
        <v>323</v>
      </c>
      <c r="D209">
        <v>1</v>
      </c>
      <c r="E209" t="s">
        <v>10</v>
      </c>
      <c r="F209" t="s">
        <v>11</v>
      </c>
      <c r="G209" s="1"/>
      <c r="H209" t="str">
        <f>"3414970487926"</f>
        <v>3414970487926</v>
      </c>
      <c r="I209" t="s">
        <v>121</v>
      </c>
    </row>
    <row r="210" spans="1:9" x14ac:dyDescent="0.25">
      <c r="A210" t="s">
        <v>8</v>
      </c>
      <c r="B210">
        <v>67939</v>
      </c>
      <c r="C210" t="s">
        <v>324</v>
      </c>
      <c r="D210">
        <v>1</v>
      </c>
      <c r="E210" t="s">
        <v>10</v>
      </c>
      <c r="F210" t="s">
        <v>11</v>
      </c>
      <c r="G210" s="1"/>
      <c r="H210" t="str">
        <f>"3414970487988"</f>
        <v>3414970487988</v>
      </c>
      <c r="I210" t="s">
        <v>99</v>
      </c>
    </row>
    <row r="211" spans="1:9" x14ac:dyDescent="0.25">
      <c r="A211" t="s">
        <v>8</v>
      </c>
      <c r="B211">
        <v>67949</v>
      </c>
      <c r="C211" t="s">
        <v>325</v>
      </c>
      <c r="D211">
        <v>1</v>
      </c>
      <c r="E211" t="s">
        <v>10</v>
      </c>
      <c r="F211" t="s">
        <v>11</v>
      </c>
      <c r="G211" s="1"/>
      <c r="H211" t="str">
        <f>"3414970505750"</f>
        <v>3414970505750</v>
      </c>
      <c r="I211" t="s">
        <v>86</v>
      </c>
    </row>
    <row r="212" spans="1:9" x14ac:dyDescent="0.25">
      <c r="A212" t="s">
        <v>8</v>
      </c>
      <c r="B212">
        <v>67950</v>
      </c>
      <c r="C212" t="s">
        <v>326</v>
      </c>
      <c r="D212">
        <v>1</v>
      </c>
      <c r="E212" t="s">
        <v>10</v>
      </c>
      <c r="F212" t="s">
        <v>11</v>
      </c>
      <c r="G212" s="1"/>
      <c r="H212" t="str">
        <f>"3414970505774"</f>
        <v>3414970505774</v>
      </c>
      <c r="I212" t="s">
        <v>327</v>
      </c>
    </row>
    <row r="213" spans="1:9" x14ac:dyDescent="0.25">
      <c r="A213" t="s">
        <v>8</v>
      </c>
      <c r="B213">
        <v>67952</v>
      </c>
      <c r="C213" t="s">
        <v>328</v>
      </c>
      <c r="D213">
        <v>1</v>
      </c>
      <c r="E213" t="s">
        <v>10</v>
      </c>
      <c r="F213" t="s">
        <v>11</v>
      </c>
      <c r="G213" s="1"/>
      <c r="H213" t="str">
        <f>"3414970488107"</f>
        <v>3414970488107</v>
      </c>
      <c r="I213" t="s">
        <v>132</v>
      </c>
    </row>
    <row r="214" spans="1:9" x14ac:dyDescent="0.25">
      <c r="A214" t="s">
        <v>8</v>
      </c>
      <c r="B214">
        <v>67953</v>
      </c>
      <c r="C214" t="s">
        <v>329</v>
      </c>
      <c r="D214">
        <v>1</v>
      </c>
      <c r="E214" t="s">
        <v>10</v>
      </c>
      <c r="F214" t="s">
        <v>11</v>
      </c>
      <c r="G214" s="1"/>
      <c r="H214" t="str">
        <f>"3414970505798"</f>
        <v>3414970505798</v>
      </c>
      <c r="I214" t="s">
        <v>108</v>
      </c>
    </row>
    <row r="215" spans="1:9" x14ac:dyDescent="0.25">
      <c r="A215" t="s">
        <v>8</v>
      </c>
      <c r="B215">
        <v>67959</v>
      </c>
      <c r="C215" t="s">
        <v>330</v>
      </c>
      <c r="D215">
        <v>1</v>
      </c>
      <c r="E215" t="s">
        <v>10</v>
      </c>
      <c r="F215" t="s">
        <v>11</v>
      </c>
      <c r="G215" s="1"/>
      <c r="H215" t="str">
        <f>"3414970488138"</f>
        <v>3414970488138</v>
      </c>
      <c r="I215" t="s">
        <v>229</v>
      </c>
    </row>
    <row r="216" spans="1:9" x14ac:dyDescent="0.25">
      <c r="A216" t="s">
        <v>8</v>
      </c>
      <c r="B216">
        <v>67968</v>
      </c>
      <c r="C216" t="s">
        <v>331</v>
      </c>
      <c r="D216">
        <v>1</v>
      </c>
      <c r="E216" t="s">
        <v>10</v>
      </c>
      <c r="F216" t="s">
        <v>11</v>
      </c>
      <c r="G216" s="1"/>
      <c r="H216" t="str">
        <f>"3414970488152"</f>
        <v>3414970488152</v>
      </c>
      <c r="I216" t="s">
        <v>332</v>
      </c>
    </row>
    <row r="217" spans="1:9" x14ac:dyDescent="0.25">
      <c r="A217" t="s">
        <v>8</v>
      </c>
      <c r="B217">
        <v>67980</v>
      </c>
      <c r="C217" t="s">
        <v>333</v>
      </c>
      <c r="D217">
        <v>1</v>
      </c>
      <c r="E217" t="s">
        <v>10</v>
      </c>
      <c r="F217" t="s">
        <v>11</v>
      </c>
      <c r="G217" s="1"/>
      <c r="H217" t="str">
        <f>"3414970505934"</f>
        <v>3414970505934</v>
      </c>
      <c r="I217" t="s">
        <v>124</v>
      </c>
    </row>
    <row r="218" spans="1:9" x14ac:dyDescent="0.25">
      <c r="A218" t="s">
        <v>8</v>
      </c>
      <c r="B218">
        <v>67990</v>
      </c>
      <c r="C218" t="s">
        <v>334</v>
      </c>
      <c r="D218">
        <v>1</v>
      </c>
      <c r="E218" t="s">
        <v>10</v>
      </c>
      <c r="F218" t="s">
        <v>11</v>
      </c>
      <c r="G218" s="1"/>
      <c r="H218" t="str">
        <f>"3414970618795"</f>
        <v>3414970618795</v>
      </c>
      <c r="I218" t="s">
        <v>94</v>
      </c>
    </row>
    <row r="219" spans="1:9" x14ac:dyDescent="0.25">
      <c r="A219" t="s">
        <v>8</v>
      </c>
      <c r="B219">
        <v>67992</v>
      </c>
      <c r="C219" t="s">
        <v>335</v>
      </c>
      <c r="D219">
        <v>1</v>
      </c>
      <c r="E219" t="s">
        <v>10</v>
      </c>
      <c r="F219" t="s">
        <v>11</v>
      </c>
      <c r="G219" s="1"/>
      <c r="H219" t="str">
        <f>"3414970488282"</f>
        <v>3414970488282</v>
      </c>
      <c r="I219" t="s">
        <v>88</v>
      </c>
    </row>
    <row r="220" spans="1:9" x14ac:dyDescent="0.25">
      <c r="A220" t="s">
        <v>8</v>
      </c>
      <c r="B220">
        <v>67993</v>
      </c>
      <c r="C220" t="s">
        <v>336</v>
      </c>
      <c r="D220">
        <v>1</v>
      </c>
      <c r="E220" t="s">
        <v>10</v>
      </c>
      <c r="F220" t="s">
        <v>11</v>
      </c>
      <c r="G220" s="1"/>
      <c r="H220" t="str">
        <f>"3414970488305"</f>
        <v>3414970488305</v>
      </c>
      <c r="I220" t="s">
        <v>128</v>
      </c>
    </row>
    <row r="221" spans="1:9" x14ac:dyDescent="0.25">
      <c r="A221" t="s">
        <v>8</v>
      </c>
      <c r="B221">
        <v>67994</v>
      </c>
      <c r="C221" t="s">
        <v>337</v>
      </c>
      <c r="D221">
        <v>1</v>
      </c>
      <c r="E221" t="s">
        <v>10</v>
      </c>
      <c r="F221" t="s">
        <v>11</v>
      </c>
      <c r="G221" s="1"/>
      <c r="H221" t="str">
        <f>"3414970618764"</f>
        <v>3414970618764</v>
      </c>
      <c r="I221" t="s">
        <v>86</v>
      </c>
    </row>
    <row r="222" spans="1:9" x14ac:dyDescent="0.25">
      <c r="A222" t="s">
        <v>8</v>
      </c>
      <c r="B222">
        <v>67997</v>
      </c>
      <c r="C222" t="s">
        <v>338</v>
      </c>
      <c r="D222">
        <v>1</v>
      </c>
      <c r="E222" t="s">
        <v>10</v>
      </c>
      <c r="F222" t="s">
        <v>11</v>
      </c>
      <c r="G222" s="1"/>
      <c r="H222" t="str">
        <f>"3414970506023"</f>
        <v>3414970506023</v>
      </c>
      <c r="I222" t="s">
        <v>99</v>
      </c>
    </row>
    <row r="223" spans="1:9" x14ac:dyDescent="0.25">
      <c r="A223" t="s">
        <v>8</v>
      </c>
      <c r="B223">
        <v>68012</v>
      </c>
      <c r="C223" t="s">
        <v>339</v>
      </c>
      <c r="D223">
        <v>1</v>
      </c>
      <c r="E223" t="s">
        <v>10</v>
      </c>
      <c r="F223" t="s">
        <v>11</v>
      </c>
      <c r="G223" s="1"/>
      <c r="H223" t="str">
        <f>"3414970488343"</f>
        <v>3414970488343</v>
      </c>
      <c r="I223" t="s">
        <v>61</v>
      </c>
    </row>
    <row r="224" spans="1:9" x14ac:dyDescent="0.25">
      <c r="A224" t="s">
        <v>8</v>
      </c>
      <c r="B224">
        <v>68068</v>
      </c>
      <c r="C224" t="s">
        <v>340</v>
      </c>
      <c r="D224">
        <v>1</v>
      </c>
      <c r="E224" t="s">
        <v>10</v>
      </c>
      <c r="F224" t="s">
        <v>11</v>
      </c>
      <c r="G224" s="1"/>
      <c r="H224" t="str">
        <f>"3414970488404"</f>
        <v>3414970488404</v>
      </c>
      <c r="I224" t="s">
        <v>32</v>
      </c>
    </row>
    <row r="225" spans="1:9" x14ac:dyDescent="0.25">
      <c r="A225" t="s">
        <v>8</v>
      </c>
      <c r="B225">
        <v>68112</v>
      </c>
      <c r="C225" t="s">
        <v>341</v>
      </c>
      <c r="D225">
        <v>1</v>
      </c>
      <c r="E225" t="s">
        <v>10</v>
      </c>
      <c r="F225" t="s">
        <v>11</v>
      </c>
      <c r="G225" s="1"/>
      <c r="H225" t="str">
        <f>"3245060681128"</f>
        <v>3245060681128</v>
      </c>
      <c r="I225" t="s">
        <v>342</v>
      </c>
    </row>
    <row r="226" spans="1:9" x14ac:dyDescent="0.25">
      <c r="A226" t="s">
        <v>8</v>
      </c>
      <c r="B226">
        <v>68114</v>
      </c>
      <c r="C226" t="s">
        <v>343</v>
      </c>
      <c r="D226">
        <v>1</v>
      </c>
      <c r="E226" t="s">
        <v>10</v>
      </c>
      <c r="F226" t="s">
        <v>11</v>
      </c>
      <c r="G226" s="1"/>
      <c r="H226" t="str">
        <f>"3245060681142"</f>
        <v>3245060681142</v>
      </c>
      <c r="I226" t="s">
        <v>344</v>
      </c>
    </row>
    <row r="227" spans="1:9" x14ac:dyDescent="0.25">
      <c r="A227" t="s">
        <v>8</v>
      </c>
      <c r="B227">
        <v>68116</v>
      </c>
      <c r="C227" t="s">
        <v>345</v>
      </c>
      <c r="D227">
        <v>1</v>
      </c>
      <c r="E227" t="s">
        <v>10</v>
      </c>
      <c r="F227" t="s">
        <v>11</v>
      </c>
      <c r="G227" s="1"/>
      <c r="H227" t="str">
        <f>"3414970488459"</f>
        <v>3414970488459</v>
      </c>
      <c r="I227" t="s">
        <v>48</v>
      </c>
    </row>
    <row r="228" spans="1:9" x14ac:dyDescent="0.25">
      <c r="A228" t="s">
        <v>8</v>
      </c>
      <c r="B228">
        <v>68218</v>
      </c>
      <c r="C228" t="s">
        <v>346</v>
      </c>
      <c r="D228">
        <v>1</v>
      </c>
      <c r="E228" t="s">
        <v>10</v>
      </c>
      <c r="F228" t="s">
        <v>11</v>
      </c>
      <c r="G228" s="1"/>
      <c r="H228" t="str">
        <f>"3414970574657"</f>
        <v>3414970574657</v>
      </c>
      <c r="I228" t="s">
        <v>36</v>
      </c>
    </row>
    <row r="229" spans="1:9" x14ac:dyDescent="0.25">
      <c r="A229" t="s">
        <v>8</v>
      </c>
      <c r="B229">
        <v>68224</v>
      </c>
      <c r="C229" t="s">
        <v>347</v>
      </c>
      <c r="D229">
        <v>1</v>
      </c>
      <c r="E229" t="s">
        <v>10</v>
      </c>
      <c r="F229" t="s">
        <v>11</v>
      </c>
      <c r="G229" s="1"/>
      <c r="H229" t="str">
        <f>"3414970488534"</f>
        <v>3414970488534</v>
      </c>
      <c r="I229" t="s">
        <v>348</v>
      </c>
    </row>
    <row r="230" spans="1:9" x14ac:dyDescent="0.25">
      <c r="A230" t="s">
        <v>8</v>
      </c>
      <c r="B230">
        <v>68312</v>
      </c>
      <c r="C230" t="s">
        <v>349</v>
      </c>
      <c r="D230">
        <v>1</v>
      </c>
      <c r="E230" t="s">
        <v>10</v>
      </c>
      <c r="F230" t="s">
        <v>11</v>
      </c>
      <c r="G230" s="1"/>
      <c r="H230" t="str">
        <f>"3414970488565"</f>
        <v>3414970488565</v>
      </c>
      <c r="I230" t="s">
        <v>99</v>
      </c>
    </row>
    <row r="231" spans="1:9" x14ac:dyDescent="0.25">
      <c r="A231" t="s">
        <v>8</v>
      </c>
      <c r="B231">
        <v>68368</v>
      </c>
      <c r="C231" t="s">
        <v>350</v>
      </c>
      <c r="D231">
        <v>1</v>
      </c>
      <c r="E231" t="s">
        <v>10</v>
      </c>
      <c r="F231" t="s">
        <v>11</v>
      </c>
      <c r="G231" s="1"/>
      <c r="H231" t="str">
        <f>"3414970488596"</f>
        <v>3414970488596</v>
      </c>
      <c r="I231" t="s">
        <v>193</v>
      </c>
    </row>
    <row r="232" spans="1:9" x14ac:dyDescent="0.25">
      <c r="A232" t="s">
        <v>8</v>
      </c>
      <c r="B232">
        <v>68412</v>
      </c>
      <c r="C232" t="s">
        <v>351</v>
      </c>
      <c r="D232">
        <v>1</v>
      </c>
      <c r="E232" t="s">
        <v>10</v>
      </c>
      <c r="F232" t="s">
        <v>11</v>
      </c>
      <c r="G232" s="1"/>
      <c r="H232" t="str">
        <f>"3245060684129"</f>
        <v>3245060684129</v>
      </c>
      <c r="I232" t="s">
        <v>353</v>
      </c>
    </row>
    <row r="233" spans="1:9" x14ac:dyDescent="0.25">
      <c r="A233" t="s">
        <v>8</v>
      </c>
      <c r="B233">
        <v>68414</v>
      </c>
      <c r="C233" t="s">
        <v>354</v>
      </c>
      <c r="D233">
        <v>1</v>
      </c>
      <c r="E233" t="s">
        <v>10</v>
      </c>
      <c r="F233" t="s">
        <v>11</v>
      </c>
      <c r="G233" s="1"/>
      <c r="H233" t="str">
        <f>"3245060684143"</f>
        <v>3245060684143</v>
      </c>
      <c r="I233" t="s">
        <v>355</v>
      </c>
    </row>
    <row r="234" spans="1:9" x14ac:dyDescent="0.25">
      <c r="A234" t="s">
        <v>8</v>
      </c>
      <c r="B234">
        <v>68416</v>
      </c>
      <c r="C234" t="s">
        <v>356</v>
      </c>
      <c r="D234">
        <v>1</v>
      </c>
      <c r="E234" t="s">
        <v>10</v>
      </c>
      <c r="F234" t="s">
        <v>11</v>
      </c>
      <c r="G234" s="1"/>
      <c r="H234" t="str">
        <f>"3414970488640"</f>
        <v>3414970488640</v>
      </c>
      <c r="I234" t="s">
        <v>102</v>
      </c>
    </row>
    <row r="235" spans="1:9" x14ac:dyDescent="0.25">
      <c r="A235" t="s">
        <v>8</v>
      </c>
      <c r="B235">
        <v>68524</v>
      </c>
      <c r="C235" t="s">
        <v>357</v>
      </c>
      <c r="D235">
        <v>1</v>
      </c>
      <c r="E235" t="s">
        <v>10</v>
      </c>
      <c r="F235" t="s">
        <v>11</v>
      </c>
      <c r="G235" s="1"/>
      <c r="H235" t="str">
        <f>"3414970488725"</f>
        <v>3414970488725</v>
      </c>
      <c r="I235" t="s">
        <v>181</v>
      </c>
    </row>
    <row r="236" spans="1:9" x14ac:dyDescent="0.25">
      <c r="A236" t="s">
        <v>8</v>
      </c>
      <c r="B236">
        <v>80243</v>
      </c>
      <c r="C236" t="s">
        <v>358</v>
      </c>
      <c r="D236">
        <v>1</v>
      </c>
      <c r="E236" t="s">
        <v>10</v>
      </c>
      <c r="F236" t="s">
        <v>11</v>
      </c>
      <c r="H236" t="str">
        <f>"3414970601872"</f>
        <v>3414970601872</v>
      </c>
      <c r="I236" t="s">
        <v>359</v>
      </c>
    </row>
    <row r="237" spans="1:9" x14ac:dyDescent="0.25">
      <c r="A237" t="s">
        <v>8</v>
      </c>
      <c r="B237">
        <v>80246</v>
      </c>
      <c r="C237" t="s">
        <v>360</v>
      </c>
      <c r="D237">
        <v>1</v>
      </c>
      <c r="E237" t="s">
        <v>10</v>
      </c>
      <c r="F237" t="s">
        <v>11</v>
      </c>
      <c r="H237" t="str">
        <f>"3414970601896"</f>
        <v>3414970601896</v>
      </c>
      <c r="I237" t="s">
        <v>361</v>
      </c>
    </row>
    <row r="238" spans="1:9" x14ac:dyDescent="0.25">
      <c r="A238" t="s">
        <v>8</v>
      </c>
      <c r="B238">
        <v>67931</v>
      </c>
      <c r="C238" t="s">
        <v>362</v>
      </c>
      <c r="D238">
        <v>1</v>
      </c>
      <c r="E238" t="s">
        <v>10</v>
      </c>
      <c r="F238" t="s">
        <v>11</v>
      </c>
      <c r="G238" s="1"/>
      <c r="H238" t="str">
        <f>"3414970505620"</f>
        <v>3414970505620</v>
      </c>
      <c r="I238" t="s">
        <v>99</v>
      </c>
    </row>
    <row r="239" spans="1:9" x14ac:dyDescent="0.25">
      <c r="A239" t="s">
        <v>8</v>
      </c>
      <c r="B239">
        <v>67967</v>
      </c>
      <c r="C239" t="s">
        <v>363</v>
      </c>
      <c r="D239">
        <v>1</v>
      </c>
      <c r="E239" t="s">
        <v>10</v>
      </c>
      <c r="F239" t="s">
        <v>11</v>
      </c>
      <c r="G239" s="1"/>
      <c r="H239" t="str">
        <f>"3414970505910"</f>
        <v>3414970505910</v>
      </c>
      <c r="I239" t="s">
        <v>99</v>
      </c>
    </row>
    <row r="240" spans="1:9" x14ac:dyDescent="0.25">
      <c r="A240" t="s">
        <v>8</v>
      </c>
      <c r="B240">
        <v>67808</v>
      </c>
      <c r="C240" t="s">
        <v>364</v>
      </c>
      <c r="D240">
        <v>1</v>
      </c>
      <c r="E240" t="s">
        <v>10</v>
      </c>
      <c r="F240" t="s">
        <v>11</v>
      </c>
      <c r="G240" s="1"/>
      <c r="H240" t="str">
        <f>"3414970709509"</f>
        <v>3414970709509</v>
      </c>
      <c r="I240" t="s">
        <v>94</v>
      </c>
    </row>
    <row r="241" spans="1:9" x14ac:dyDescent="0.25">
      <c r="A241" t="s">
        <v>8</v>
      </c>
      <c r="B241">
        <v>67817</v>
      </c>
      <c r="C241" t="s">
        <v>365</v>
      </c>
      <c r="D241">
        <v>1</v>
      </c>
      <c r="E241" t="s">
        <v>10</v>
      </c>
      <c r="F241" t="s">
        <v>11</v>
      </c>
      <c r="G241" s="1"/>
      <c r="H241" t="str">
        <f>"3414970709448"</f>
        <v>3414970709448</v>
      </c>
      <c r="I241" t="s">
        <v>190</v>
      </c>
    </row>
    <row r="242" spans="1:9" x14ac:dyDescent="0.25">
      <c r="A242" t="s">
        <v>8</v>
      </c>
      <c r="B242">
        <v>67819</v>
      </c>
      <c r="C242" t="s">
        <v>366</v>
      </c>
      <c r="D242">
        <v>1</v>
      </c>
      <c r="E242" t="s">
        <v>10</v>
      </c>
      <c r="F242" t="s">
        <v>11</v>
      </c>
      <c r="G242" s="1"/>
      <c r="H242" t="str">
        <f>"3414970709462"</f>
        <v>3414970709462</v>
      </c>
      <c r="I242" t="s">
        <v>86</v>
      </c>
    </row>
    <row r="243" spans="1:9" x14ac:dyDescent="0.25">
      <c r="A243" t="s">
        <v>8</v>
      </c>
      <c r="B243">
        <v>67826</v>
      </c>
      <c r="C243" t="s">
        <v>367</v>
      </c>
      <c r="D243">
        <v>1</v>
      </c>
      <c r="E243" t="s">
        <v>10</v>
      </c>
      <c r="F243" t="s">
        <v>11</v>
      </c>
      <c r="G243" s="1"/>
      <c r="H243" t="str">
        <f>"3414970709301"</f>
        <v>3414970709301</v>
      </c>
      <c r="I243" t="s">
        <v>92</v>
      </c>
    </row>
    <row r="244" spans="1:9" x14ac:dyDescent="0.25">
      <c r="A244" t="s">
        <v>8</v>
      </c>
      <c r="B244">
        <v>67878</v>
      </c>
      <c r="C244" t="s">
        <v>368</v>
      </c>
      <c r="D244">
        <v>1</v>
      </c>
      <c r="E244" t="s">
        <v>10</v>
      </c>
      <c r="F244" t="s">
        <v>11</v>
      </c>
      <c r="G244" s="1"/>
      <c r="H244" t="str">
        <f>"3414970697622"</f>
        <v>3414970697622</v>
      </c>
      <c r="I244" t="s">
        <v>99</v>
      </c>
    </row>
    <row r="245" spans="1:9" x14ac:dyDescent="0.25">
      <c r="A245" t="s">
        <v>8</v>
      </c>
      <c r="B245">
        <v>67907</v>
      </c>
      <c r="C245" t="s">
        <v>369</v>
      </c>
      <c r="D245">
        <v>1</v>
      </c>
      <c r="E245" t="s">
        <v>10</v>
      </c>
      <c r="F245" t="s">
        <v>11</v>
      </c>
      <c r="G245" s="1"/>
      <c r="H245" t="str">
        <f>"3414970709165"</f>
        <v>3414970709165</v>
      </c>
      <c r="I245" t="s">
        <v>370</v>
      </c>
    </row>
    <row r="246" spans="1:9" x14ac:dyDescent="0.25">
      <c r="A246" t="s">
        <v>8</v>
      </c>
      <c r="B246">
        <v>67918</v>
      </c>
      <c r="C246" t="s">
        <v>371</v>
      </c>
      <c r="D246">
        <v>1</v>
      </c>
      <c r="E246" t="s">
        <v>10</v>
      </c>
      <c r="F246" t="s">
        <v>11</v>
      </c>
      <c r="G246" s="1"/>
      <c r="H246" t="str">
        <f>"3414970709363"</f>
        <v>3414970709363</v>
      </c>
      <c r="I246" t="s">
        <v>88</v>
      </c>
    </row>
    <row r="247" spans="1:9" x14ac:dyDescent="0.25">
      <c r="A247" t="s">
        <v>8</v>
      </c>
      <c r="B247">
        <v>67919</v>
      </c>
      <c r="C247" t="s">
        <v>372</v>
      </c>
      <c r="D247">
        <v>1</v>
      </c>
      <c r="E247" t="s">
        <v>10</v>
      </c>
      <c r="F247" t="s">
        <v>11</v>
      </c>
      <c r="G247" s="1"/>
      <c r="H247" t="str">
        <f>"3414970709387"</f>
        <v>3414970709387</v>
      </c>
      <c r="I247" t="s">
        <v>190</v>
      </c>
    </row>
    <row r="248" spans="1:9" x14ac:dyDescent="0.25">
      <c r="A248" t="s">
        <v>8</v>
      </c>
      <c r="B248">
        <v>67925</v>
      </c>
      <c r="C248" t="s">
        <v>373</v>
      </c>
      <c r="D248">
        <v>1</v>
      </c>
      <c r="E248" t="s">
        <v>10</v>
      </c>
      <c r="F248" t="s">
        <v>11</v>
      </c>
      <c r="G248" s="1"/>
      <c r="H248" t="str">
        <f>"3414970709226"</f>
        <v>3414970709226</v>
      </c>
      <c r="I248" t="s">
        <v>88</v>
      </c>
    </row>
    <row r="249" spans="1:9" x14ac:dyDescent="0.25">
      <c r="A249" t="s">
        <v>8</v>
      </c>
      <c r="B249">
        <v>67929</v>
      </c>
      <c r="C249" t="s">
        <v>374</v>
      </c>
      <c r="D249">
        <v>1</v>
      </c>
      <c r="E249" t="s">
        <v>10</v>
      </c>
      <c r="F249" t="s">
        <v>11</v>
      </c>
      <c r="G249" s="1"/>
      <c r="H249" t="str">
        <f>"3414970709189"</f>
        <v>3414970709189</v>
      </c>
      <c r="I249" t="s">
        <v>86</v>
      </c>
    </row>
    <row r="250" spans="1:9" x14ac:dyDescent="0.25">
      <c r="A250" t="s">
        <v>8</v>
      </c>
      <c r="B250">
        <v>67930</v>
      </c>
      <c r="C250" t="s">
        <v>375</v>
      </c>
      <c r="D250">
        <v>1</v>
      </c>
      <c r="E250" t="s">
        <v>10</v>
      </c>
      <c r="F250" t="s">
        <v>11</v>
      </c>
      <c r="G250" s="1"/>
      <c r="H250" t="str">
        <f>"3414970709424"</f>
        <v>3414970709424</v>
      </c>
      <c r="I250" t="s">
        <v>86</v>
      </c>
    </row>
    <row r="251" spans="1:9" x14ac:dyDescent="0.25">
      <c r="A251" t="s">
        <v>8</v>
      </c>
      <c r="B251">
        <v>67932</v>
      </c>
      <c r="C251" t="s">
        <v>376</v>
      </c>
      <c r="D251">
        <v>1</v>
      </c>
      <c r="E251" t="s">
        <v>10</v>
      </c>
      <c r="F251" t="s">
        <v>11</v>
      </c>
      <c r="G251" s="1"/>
      <c r="H251" t="str">
        <f>"3414970709240"</f>
        <v>3414970709240</v>
      </c>
      <c r="I251" t="s">
        <v>86</v>
      </c>
    </row>
    <row r="252" spans="1:9" x14ac:dyDescent="0.25">
      <c r="A252" t="s">
        <v>8</v>
      </c>
      <c r="B252">
        <v>67942</v>
      </c>
      <c r="C252" t="s">
        <v>377</v>
      </c>
      <c r="D252">
        <v>1</v>
      </c>
      <c r="E252" t="s">
        <v>10</v>
      </c>
      <c r="F252" t="s">
        <v>11</v>
      </c>
      <c r="G252" s="1"/>
      <c r="H252" t="str">
        <f>"3414970709288"</f>
        <v>3414970709288</v>
      </c>
      <c r="I252" t="s">
        <v>86</v>
      </c>
    </row>
    <row r="253" spans="1:9" x14ac:dyDescent="0.25">
      <c r="A253" t="s">
        <v>8</v>
      </c>
      <c r="B253">
        <v>67947</v>
      </c>
      <c r="C253" t="s">
        <v>378</v>
      </c>
      <c r="D253">
        <v>1</v>
      </c>
      <c r="E253" t="s">
        <v>10</v>
      </c>
      <c r="F253" t="s">
        <v>11</v>
      </c>
      <c r="G253" s="1"/>
      <c r="H253" t="str">
        <f>"3414970709264"</f>
        <v>3414970709264</v>
      </c>
      <c r="I253" t="s">
        <v>86</v>
      </c>
    </row>
    <row r="254" spans="1:9" x14ac:dyDescent="0.25">
      <c r="A254" t="s">
        <v>8</v>
      </c>
      <c r="B254">
        <v>67954</v>
      </c>
      <c r="C254" t="s">
        <v>379</v>
      </c>
      <c r="D254">
        <v>1</v>
      </c>
      <c r="E254" t="s">
        <v>10</v>
      </c>
      <c r="F254" t="s">
        <v>11</v>
      </c>
      <c r="G254" s="1"/>
      <c r="H254" t="str">
        <f>"3414970709080"</f>
        <v>3414970709080</v>
      </c>
      <c r="I254" t="s">
        <v>275</v>
      </c>
    </row>
    <row r="255" spans="1:9" x14ac:dyDescent="0.25">
      <c r="A255" t="s">
        <v>8</v>
      </c>
      <c r="B255">
        <v>67957</v>
      </c>
      <c r="C255" t="s">
        <v>380</v>
      </c>
      <c r="D255">
        <v>1</v>
      </c>
      <c r="E255" t="s">
        <v>10</v>
      </c>
      <c r="F255" t="s">
        <v>11</v>
      </c>
      <c r="G255" s="1"/>
      <c r="H255" t="str">
        <f>"3414970709202"</f>
        <v>3414970709202</v>
      </c>
      <c r="I255" t="s">
        <v>106</v>
      </c>
    </row>
    <row r="256" spans="1:9" x14ac:dyDescent="0.25">
      <c r="A256" t="s">
        <v>8</v>
      </c>
      <c r="B256">
        <v>67958</v>
      </c>
      <c r="C256" t="s">
        <v>381</v>
      </c>
      <c r="D256">
        <v>1</v>
      </c>
      <c r="E256" t="s">
        <v>10</v>
      </c>
      <c r="F256" t="s">
        <v>11</v>
      </c>
      <c r="G256" s="1"/>
      <c r="H256" t="str">
        <f>"3414970709349"</f>
        <v>3414970709349</v>
      </c>
      <c r="I256" t="s">
        <v>88</v>
      </c>
    </row>
    <row r="257" spans="1:9" x14ac:dyDescent="0.25">
      <c r="A257" t="s">
        <v>8</v>
      </c>
      <c r="B257">
        <v>67960</v>
      </c>
      <c r="C257" t="s">
        <v>217</v>
      </c>
      <c r="D257">
        <v>1</v>
      </c>
      <c r="E257" t="s">
        <v>10</v>
      </c>
      <c r="F257" t="s">
        <v>11</v>
      </c>
      <c r="G257" s="1"/>
      <c r="H257" t="str">
        <f>"3414970709585"</f>
        <v>3414970709585</v>
      </c>
      <c r="I257" t="s">
        <v>181</v>
      </c>
    </row>
    <row r="258" spans="1:9" x14ac:dyDescent="0.25">
      <c r="A258" t="s">
        <v>8</v>
      </c>
      <c r="B258">
        <v>67962</v>
      </c>
      <c r="C258" t="s">
        <v>382</v>
      </c>
      <c r="D258">
        <v>1</v>
      </c>
      <c r="E258" t="s">
        <v>10</v>
      </c>
      <c r="F258" t="s">
        <v>11</v>
      </c>
      <c r="G258" s="1"/>
      <c r="H258" t="str">
        <f>"3414970709523"</f>
        <v>3414970709523</v>
      </c>
      <c r="I258" t="s">
        <v>94</v>
      </c>
    </row>
    <row r="259" spans="1:9" x14ac:dyDescent="0.25">
      <c r="A259" t="s">
        <v>8</v>
      </c>
      <c r="B259">
        <v>67963</v>
      </c>
      <c r="C259" t="s">
        <v>383</v>
      </c>
      <c r="D259">
        <v>1</v>
      </c>
      <c r="E259" t="s">
        <v>10</v>
      </c>
      <c r="F259" t="s">
        <v>11</v>
      </c>
      <c r="G259" s="1"/>
      <c r="H259" t="str">
        <f>"3414970709547"</f>
        <v>3414970709547</v>
      </c>
      <c r="I259" t="s">
        <v>92</v>
      </c>
    </row>
    <row r="260" spans="1:9" x14ac:dyDescent="0.25">
      <c r="A260" t="s">
        <v>8</v>
      </c>
      <c r="B260">
        <v>67964</v>
      </c>
      <c r="C260" t="s">
        <v>384</v>
      </c>
      <c r="D260">
        <v>1</v>
      </c>
      <c r="E260" t="s">
        <v>10</v>
      </c>
      <c r="F260" t="s">
        <v>11</v>
      </c>
      <c r="G260" s="1"/>
      <c r="H260" t="str">
        <f>"3414970709561"</f>
        <v>3414970709561</v>
      </c>
      <c r="I260" t="s">
        <v>94</v>
      </c>
    </row>
    <row r="261" spans="1:9" x14ac:dyDescent="0.25">
      <c r="A261" t="s">
        <v>8</v>
      </c>
      <c r="B261">
        <v>67965</v>
      </c>
      <c r="C261" t="s">
        <v>385</v>
      </c>
      <c r="D261">
        <v>1</v>
      </c>
      <c r="E261" t="s">
        <v>10</v>
      </c>
      <c r="F261" t="s">
        <v>11</v>
      </c>
      <c r="G261" s="1"/>
      <c r="H261" t="str">
        <f>"3414970709608"</f>
        <v>3414970709608</v>
      </c>
      <c r="I261" t="s">
        <v>92</v>
      </c>
    </row>
    <row r="262" spans="1:9" x14ac:dyDescent="0.25">
      <c r="A262" t="s">
        <v>8</v>
      </c>
      <c r="B262">
        <v>67987</v>
      </c>
      <c r="C262" t="s">
        <v>386</v>
      </c>
      <c r="D262">
        <v>1</v>
      </c>
      <c r="E262" t="s">
        <v>10</v>
      </c>
      <c r="F262" t="s">
        <v>11</v>
      </c>
      <c r="G262" s="1"/>
      <c r="H262" t="str">
        <f>"3414970709325"</f>
        <v>3414970709325</v>
      </c>
      <c r="I262" t="s">
        <v>387</v>
      </c>
    </row>
    <row r="263" spans="1:9" x14ac:dyDescent="0.25">
      <c r="A263" t="s">
        <v>8</v>
      </c>
      <c r="B263">
        <v>67995</v>
      </c>
      <c r="C263" t="s">
        <v>388</v>
      </c>
      <c r="D263">
        <v>1</v>
      </c>
      <c r="E263" t="s">
        <v>10</v>
      </c>
      <c r="F263" t="s">
        <v>11</v>
      </c>
      <c r="G263" s="1"/>
      <c r="H263" t="str">
        <f>"3414970709400"</f>
        <v>3414970709400</v>
      </c>
      <c r="I263" t="s">
        <v>86</v>
      </c>
    </row>
    <row r="264" spans="1:9" x14ac:dyDescent="0.25">
      <c r="A264" t="s">
        <v>8</v>
      </c>
      <c r="B264">
        <v>67465</v>
      </c>
      <c r="C264" t="s">
        <v>389</v>
      </c>
      <c r="D264">
        <v>1</v>
      </c>
      <c r="E264" t="s">
        <v>10</v>
      </c>
      <c r="F264" t="s">
        <v>11</v>
      </c>
      <c r="G264" s="1"/>
      <c r="H264" t="str">
        <f>"3414971003286"</f>
        <v>3414971003286</v>
      </c>
      <c r="I264" t="s">
        <v>390</v>
      </c>
    </row>
    <row r="265" spans="1:9" x14ac:dyDescent="0.25">
      <c r="A265" t="s">
        <v>8</v>
      </c>
      <c r="B265">
        <v>67466</v>
      </c>
      <c r="C265" t="s">
        <v>391</v>
      </c>
      <c r="D265">
        <v>1</v>
      </c>
      <c r="E265" t="s">
        <v>10</v>
      </c>
      <c r="F265" t="s">
        <v>11</v>
      </c>
      <c r="G265" s="1"/>
      <c r="H265" t="str">
        <f>"3414971003309"</f>
        <v>3414971003309</v>
      </c>
      <c r="I265" t="s">
        <v>392</v>
      </c>
    </row>
    <row r="266" spans="1:9" x14ac:dyDescent="0.25">
      <c r="A266" t="s">
        <v>8</v>
      </c>
      <c r="B266">
        <v>67031</v>
      </c>
      <c r="C266" t="s">
        <v>393</v>
      </c>
      <c r="D266">
        <v>1</v>
      </c>
      <c r="E266" t="s">
        <v>394</v>
      </c>
      <c r="F266" t="s">
        <v>395</v>
      </c>
      <c r="G266" s="1"/>
      <c r="H266" t="str">
        <f>"3245060670313"</f>
        <v>3245060670313</v>
      </c>
      <c r="I266" t="s">
        <v>396</v>
      </c>
    </row>
    <row r="267" spans="1:9" x14ac:dyDescent="0.25">
      <c r="A267" t="s">
        <v>8</v>
      </c>
      <c r="B267">
        <v>67110</v>
      </c>
      <c r="C267" t="s">
        <v>397</v>
      </c>
      <c r="D267">
        <v>1</v>
      </c>
      <c r="E267" t="s">
        <v>394</v>
      </c>
      <c r="F267" t="s">
        <v>395</v>
      </c>
      <c r="G267" s="1"/>
      <c r="H267" t="str">
        <f>"3245060671105"</f>
        <v>3245060671105</v>
      </c>
      <c r="I267" t="s">
        <v>398</v>
      </c>
    </row>
    <row r="268" spans="1:9" x14ac:dyDescent="0.25">
      <c r="A268" t="s">
        <v>8</v>
      </c>
      <c r="B268">
        <v>67111</v>
      </c>
      <c r="C268" t="s">
        <v>399</v>
      </c>
      <c r="D268">
        <v>1</v>
      </c>
      <c r="E268" t="s">
        <v>394</v>
      </c>
      <c r="F268" t="s">
        <v>395</v>
      </c>
      <c r="G268" s="1"/>
      <c r="H268" t="str">
        <f>"3414970338662"</f>
        <v>3414970338662</v>
      </c>
      <c r="I268" t="s">
        <v>400</v>
      </c>
    </row>
    <row r="269" spans="1:9" x14ac:dyDescent="0.25">
      <c r="A269" t="s">
        <v>8</v>
      </c>
      <c r="B269">
        <v>67113</v>
      </c>
      <c r="C269" t="s">
        <v>401</v>
      </c>
      <c r="D269">
        <v>1</v>
      </c>
      <c r="E269" t="s">
        <v>394</v>
      </c>
      <c r="F269" t="s">
        <v>395</v>
      </c>
      <c r="G269" s="1"/>
      <c r="H269" t="str">
        <f>"3245060671136"</f>
        <v>3245060671136</v>
      </c>
      <c r="I269" t="s">
        <v>402</v>
      </c>
    </row>
    <row r="270" spans="1:9" x14ac:dyDescent="0.25">
      <c r="A270" t="s">
        <v>8</v>
      </c>
      <c r="B270">
        <v>67181</v>
      </c>
      <c r="C270" t="s">
        <v>403</v>
      </c>
      <c r="D270">
        <v>1</v>
      </c>
      <c r="E270" t="s">
        <v>394</v>
      </c>
      <c r="F270" t="s">
        <v>395</v>
      </c>
      <c r="G270" s="1"/>
      <c r="H270" t="str">
        <f>"3245060671815"</f>
        <v>3245060671815</v>
      </c>
      <c r="I270" t="s">
        <v>404</v>
      </c>
    </row>
    <row r="271" spans="1:9" x14ac:dyDescent="0.25">
      <c r="A271" t="s">
        <v>8</v>
      </c>
      <c r="B271">
        <v>67183</v>
      </c>
      <c r="C271" t="s">
        <v>405</v>
      </c>
      <c r="D271">
        <v>1</v>
      </c>
      <c r="E271" t="s">
        <v>394</v>
      </c>
      <c r="F271" t="s">
        <v>395</v>
      </c>
      <c r="G271" s="1"/>
      <c r="H271" t="str">
        <f>"3245060671839"</f>
        <v>3245060671839</v>
      </c>
      <c r="I271" t="s">
        <v>406</v>
      </c>
    </row>
    <row r="272" spans="1:9" x14ac:dyDescent="0.25">
      <c r="A272" t="s">
        <v>8</v>
      </c>
      <c r="B272">
        <v>67338</v>
      </c>
      <c r="C272" t="s">
        <v>407</v>
      </c>
      <c r="D272">
        <v>1</v>
      </c>
      <c r="E272" t="s">
        <v>394</v>
      </c>
      <c r="F272" t="s">
        <v>395</v>
      </c>
      <c r="G272" s="1"/>
      <c r="H272" t="str">
        <f>"3245060673383"</f>
        <v>3245060673383</v>
      </c>
      <c r="I272" t="s">
        <v>408</v>
      </c>
    </row>
    <row r="273" spans="1:9" x14ac:dyDescent="0.25">
      <c r="A273" t="s">
        <v>8</v>
      </c>
      <c r="B273">
        <v>67380</v>
      </c>
      <c r="C273" t="s">
        <v>409</v>
      </c>
      <c r="D273">
        <v>1</v>
      </c>
      <c r="E273" t="s">
        <v>394</v>
      </c>
      <c r="F273" t="s">
        <v>395</v>
      </c>
      <c r="G273" s="1"/>
      <c r="H273" t="str">
        <f>"3245060673802"</f>
        <v>3245060673802</v>
      </c>
      <c r="I273" t="s">
        <v>410</v>
      </c>
    </row>
    <row r="274" spans="1:9" x14ac:dyDescent="0.25">
      <c r="A274" t="s">
        <v>8</v>
      </c>
      <c r="B274">
        <v>67388</v>
      </c>
      <c r="C274" t="s">
        <v>411</v>
      </c>
      <c r="D274">
        <v>1</v>
      </c>
      <c r="E274" t="s">
        <v>394</v>
      </c>
      <c r="F274" t="s">
        <v>395</v>
      </c>
      <c r="G274" s="1"/>
      <c r="H274" t="str">
        <f>"3245060673888"</f>
        <v>3245060673888</v>
      </c>
      <c r="I274" t="s">
        <v>412</v>
      </c>
    </row>
    <row r="275" spans="1:9" x14ac:dyDescent="0.25">
      <c r="A275" t="s">
        <v>8</v>
      </c>
      <c r="B275">
        <v>67601</v>
      </c>
      <c r="C275" t="s">
        <v>413</v>
      </c>
      <c r="D275">
        <v>1</v>
      </c>
      <c r="E275" t="s">
        <v>394</v>
      </c>
      <c r="F275" t="s">
        <v>395</v>
      </c>
      <c r="G275" s="1"/>
      <c r="H275" t="str">
        <f>"3245060676018"</f>
        <v>3245060676018</v>
      </c>
      <c r="I275" t="s">
        <v>414</v>
      </c>
    </row>
    <row r="276" spans="1:9" x14ac:dyDescent="0.25">
      <c r="A276" t="s">
        <v>8</v>
      </c>
      <c r="B276">
        <v>67602</v>
      </c>
      <c r="C276" t="s">
        <v>415</v>
      </c>
      <c r="D276">
        <v>1</v>
      </c>
      <c r="E276" t="s">
        <v>394</v>
      </c>
      <c r="F276" t="s">
        <v>395</v>
      </c>
      <c r="G276" s="1"/>
      <c r="H276" t="str">
        <f>"3245060676025"</f>
        <v>3245060676025</v>
      </c>
      <c r="I276" t="s">
        <v>417</v>
      </c>
    </row>
    <row r="277" spans="1:9" x14ac:dyDescent="0.25">
      <c r="A277" t="s">
        <v>8</v>
      </c>
      <c r="B277">
        <v>68001</v>
      </c>
      <c r="C277" t="s">
        <v>418</v>
      </c>
      <c r="D277">
        <v>1</v>
      </c>
      <c r="E277" t="s">
        <v>394</v>
      </c>
      <c r="F277" t="s">
        <v>395</v>
      </c>
      <c r="G277" s="1"/>
      <c r="H277" t="str">
        <f>"3245060680015"</f>
        <v>3245060680015</v>
      </c>
      <c r="I277" t="s">
        <v>419</v>
      </c>
    </row>
    <row r="278" spans="1:9" x14ac:dyDescent="0.25">
      <c r="A278" t="s">
        <v>8</v>
      </c>
      <c r="B278">
        <v>68002</v>
      </c>
      <c r="C278" t="s">
        <v>420</v>
      </c>
      <c r="D278">
        <v>1</v>
      </c>
      <c r="E278" t="s">
        <v>394</v>
      </c>
      <c r="F278" t="s">
        <v>395</v>
      </c>
      <c r="G278" s="1"/>
      <c r="H278" t="str">
        <f>"3245060680022"</f>
        <v>3245060680022</v>
      </c>
      <c r="I278" t="s">
        <v>421</v>
      </c>
    </row>
    <row r="279" spans="1:9" x14ac:dyDescent="0.25">
      <c r="A279" t="s">
        <v>8</v>
      </c>
      <c r="B279">
        <v>68003</v>
      </c>
      <c r="C279" t="s">
        <v>422</v>
      </c>
      <c r="D279">
        <v>1</v>
      </c>
      <c r="E279" t="s">
        <v>394</v>
      </c>
      <c r="F279" t="s">
        <v>395</v>
      </c>
      <c r="G279" s="1"/>
      <c r="H279" t="str">
        <f>"3245060680039"</f>
        <v>3245060680039</v>
      </c>
      <c r="I279" t="s">
        <v>423</v>
      </c>
    </row>
    <row r="280" spans="1:9" x14ac:dyDescent="0.25">
      <c r="A280" t="s">
        <v>8</v>
      </c>
      <c r="B280">
        <v>68004</v>
      </c>
      <c r="C280" t="s">
        <v>424</v>
      </c>
      <c r="D280">
        <v>1</v>
      </c>
      <c r="E280" t="s">
        <v>394</v>
      </c>
      <c r="F280" t="s">
        <v>395</v>
      </c>
      <c r="G280" s="1"/>
      <c r="H280" t="str">
        <f>"3245060680046"</f>
        <v>3245060680046</v>
      </c>
      <c r="I280" t="s">
        <v>425</v>
      </c>
    </row>
    <row r="281" spans="1:9" x14ac:dyDescent="0.25">
      <c r="A281" t="s">
        <v>8</v>
      </c>
      <c r="B281">
        <v>68111</v>
      </c>
      <c r="C281" t="s">
        <v>426</v>
      </c>
      <c r="D281">
        <v>1</v>
      </c>
      <c r="E281" t="s">
        <v>394</v>
      </c>
      <c r="F281" t="s">
        <v>395</v>
      </c>
      <c r="G281" s="1"/>
      <c r="H281" t="str">
        <f>"3245060681111"</f>
        <v>3245060681111</v>
      </c>
      <c r="I281" t="s">
        <v>427</v>
      </c>
    </row>
    <row r="282" spans="1:9" x14ac:dyDescent="0.25">
      <c r="A282" t="s">
        <v>8</v>
      </c>
      <c r="B282">
        <v>68141</v>
      </c>
      <c r="C282" t="s">
        <v>428</v>
      </c>
      <c r="D282">
        <v>1</v>
      </c>
      <c r="E282" t="s">
        <v>394</v>
      </c>
      <c r="F282" t="s">
        <v>395</v>
      </c>
      <c r="G282" s="1"/>
      <c r="H282" t="str">
        <f>"3245060681418"</f>
        <v>3245060681418</v>
      </c>
      <c r="I282" t="s">
        <v>429</v>
      </c>
    </row>
    <row r="283" spans="1:9" x14ac:dyDescent="0.25">
      <c r="A283" t="s">
        <v>8</v>
      </c>
      <c r="B283">
        <v>68143</v>
      </c>
      <c r="C283" t="s">
        <v>430</v>
      </c>
      <c r="D283">
        <v>1</v>
      </c>
      <c r="E283" t="s">
        <v>394</v>
      </c>
      <c r="F283" t="s">
        <v>395</v>
      </c>
      <c r="G283" s="1"/>
      <c r="H283" t="str">
        <f>"3245060681432"</f>
        <v>3245060681432</v>
      </c>
      <c r="I283" t="s">
        <v>429</v>
      </c>
    </row>
    <row r="284" spans="1:9" x14ac:dyDescent="0.25">
      <c r="A284" t="s">
        <v>8</v>
      </c>
      <c r="B284">
        <v>68151</v>
      </c>
      <c r="C284" t="s">
        <v>431</v>
      </c>
      <c r="D284">
        <v>1</v>
      </c>
      <c r="E284" t="s">
        <v>394</v>
      </c>
      <c r="F284" t="s">
        <v>395</v>
      </c>
      <c r="G284" s="1"/>
      <c r="H284" t="str">
        <f>"3245060681517"</f>
        <v>3245060681517</v>
      </c>
      <c r="I284" t="s">
        <v>432</v>
      </c>
    </row>
    <row r="285" spans="1:9" x14ac:dyDescent="0.25">
      <c r="A285" t="s">
        <v>8</v>
      </c>
      <c r="B285">
        <v>68238</v>
      </c>
      <c r="C285" t="s">
        <v>433</v>
      </c>
      <c r="D285">
        <v>100</v>
      </c>
      <c r="E285" t="s">
        <v>394</v>
      </c>
      <c r="F285" t="s">
        <v>395</v>
      </c>
      <c r="G285" s="1"/>
      <c r="H285" t="str">
        <f>"3245060682385"</f>
        <v>3245060682385</v>
      </c>
      <c r="I285" t="s">
        <v>434</v>
      </c>
    </row>
    <row r="286" spans="1:9" x14ac:dyDescent="0.25">
      <c r="A286" t="s">
        <v>8</v>
      </c>
      <c r="B286">
        <v>68282</v>
      </c>
      <c r="C286" t="s">
        <v>435</v>
      </c>
      <c r="D286">
        <v>1</v>
      </c>
      <c r="E286" t="s">
        <v>394</v>
      </c>
      <c r="F286" t="s">
        <v>395</v>
      </c>
      <c r="G286" s="1"/>
      <c r="H286" t="str">
        <f>"3245060682828"</f>
        <v>3245060682828</v>
      </c>
      <c r="I286" t="s">
        <v>436</v>
      </c>
    </row>
    <row r="287" spans="1:9" x14ac:dyDescent="0.25">
      <c r="A287" t="s">
        <v>8</v>
      </c>
      <c r="B287">
        <v>68285</v>
      </c>
      <c r="C287" t="s">
        <v>437</v>
      </c>
      <c r="D287">
        <v>1</v>
      </c>
      <c r="E287" t="s">
        <v>394</v>
      </c>
      <c r="F287" t="s">
        <v>395</v>
      </c>
      <c r="G287" s="1"/>
      <c r="H287" t="str">
        <f>"3245060682859"</f>
        <v>3245060682859</v>
      </c>
      <c r="I287" t="s">
        <v>438</v>
      </c>
    </row>
    <row r="288" spans="1:9" x14ac:dyDescent="0.25">
      <c r="A288" t="s">
        <v>8</v>
      </c>
      <c r="B288">
        <v>68301</v>
      </c>
      <c r="C288" t="s">
        <v>439</v>
      </c>
      <c r="D288">
        <v>1</v>
      </c>
      <c r="E288" t="s">
        <v>394</v>
      </c>
      <c r="F288" t="s">
        <v>395</v>
      </c>
      <c r="G288" s="1"/>
      <c r="H288" t="str">
        <f>"3245060683016"</f>
        <v>3245060683016</v>
      </c>
      <c r="I288" t="s">
        <v>440</v>
      </c>
    </row>
    <row r="289" spans="1:9" x14ac:dyDescent="0.25">
      <c r="A289" t="s">
        <v>8</v>
      </c>
      <c r="B289">
        <v>68302</v>
      </c>
      <c r="C289" t="s">
        <v>441</v>
      </c>
      <c r="D289">
        <v>1</v>
      </c>
      <c r="E289" t="s">
        <v>394</v>
      </c>
      <c r="F289" t="s">
        <v>395</v>
      </c>
      <c r="G289" s="1"/>
      <c r="H289" t="str">
        <f>"3245060683023"</f>
        <v>3245060683023</v>
      </c>
      <c r="I289" t="s">
        <v>442</v>
      </c>
    </row>
    <row r="290" spans="1:9" x14ac:dyDescent="0.25">
      <c r="A290" t="s">
        <v>8</v>
      </c>
      <c r="B290">
        <v>68304</v>
      </c>
      <c r="C290" t="s">
        <v>443</v>
      </c>
      <c r="D290">
        <v>1</v>
      </c>
      <c r="E290" t="s">
        <v>394</v>
      </c>
      <c r="F290" t="s">
        <v>395</v>
      </c>
      <c r="G290" s="1"/>
      <c r="H290" t="str">
        <f>"3245060683047"</f>
        <v>3245060683047</v>
      </c>
      <c r="I290" t="s">
        <v>444</v>
      </c>
    </row>
    <row r="291" spans="1:9" x14ac:dyDescent="0.25">
      <c r="A291" t="s">
        <v>8</v>
      </c>
      <c r="B291">
        <v>68361</v>
      </c>
      <c r="C291" t="s">
        <v>445</v>
      </c>
      <c r="D291">
        <v>1</v>
      </c>
      <c r="E291" t="s">
        <v>394</v>
      </c>
      <c r="F291" t="s">
        <v>395</v>
      </c>
      <c r="G291" s="1"/>
      <c r="H291" t="str">
        <f>"3245060683610"</f>
        <v>3245060683610</v>
      </c>
      <c r="I291" t="s">
        <v>446</v>
      </c>
    </row>
    <row r="292" spans="1:9" x14ac:dyDescent="0.25">
      <c r="A292" t="s">
        <v>8</v>
      </c>
      <c r="B292">
        <v>68411</v>
      </c>
      <c r="C292" t="s">
        <v>447</v>
      </c>
      <c r="D292">
        <v>1</v>
      </c>
      <c r="E292" t="s">
        <v>394</v>
      </c>
      <c r="F292" t="s">
        <v>395</v>
      </c>
      <c r="G292" s="1"/>
      <c r="H292" t="str">
        <f>"3245060684112"</f>
        <v>3245060684112</v>
      </c>
      <c r="I292" t="s">
        <v>448</v>
      </c>
    </row>
    <row r="293" spans="1:9" x14ac:dyDescent="0.25">
      <c r="A293" t="s">
        <v>8</v>
      </c>
      <c r="B293">
        <v>68441</v>
      </c>
      <c r="C293" t="s">
        <v>449</v>
      </c>
      <c r="D293">
        <v>1</v>
      </c>
      <c r="E293" t="s">
        <v>394</v>
      </c>
      <c r="F293" t="s">
        <v>395</v>
      </c>
      <c r="G293" s="1"/>
      <c r="H293" t="str">
        <f>"3245060684419"</f>
        <v>3245060684419</v>
      </c>
      <c r="I293" t="s">
        <v>450</v>
      </c>
    </row>
    <row r="294" spans="1:9" x14ac:dyDescent="0.25">
      <c r="A294" t="s">
        <v>8</v>
      </c>
      <c r="B294">
        <v>68443</v>
      </c>
      <c r="C294" t="s">
        <v>451</v>
      </c>
      <c r="D294">
        <v>1</v>
      </c>
      <c r="E294" t="s">
        <v>394</v>
      </c>
      <c r="F294" t="s">
        <v>395</v>
      </c>
      <c r="G294" s="1"/>
      <c r="H294" t="str">
        <f>"3245060684433"</f>
        <v>3245060684433</v>
      </c>
      <c r="I294" t="s">
        <v>450</v>
      </c>
    </row>
    <row r="295" spans="1:9" x14ac:dyDescent="0.25">
      <c r="A295" t="s">
        <v>8</v>
      </c>
      <c r="B295">
        <v>68451</v>
      </c>
      <c r="C295" t="s">
        <v>452</v>
      </c>
      <c r="D295">
        <v>1</v>
      </c>
      <c r="E295" t="s">
        <v>394</v>
      </c>
      <c r="F295" t="s">
        <v>395</v>
      </c>
      <c r="G295" s="1"/>
      <c r="H295" t="str">
        <f>"3245060684518"</f>
        <v>3245060684518</v>
      </c>
      <c r="I295" t="s">
        <v>453</v>
      </c>
    </row>
    <row r="296" spans="1:9" x14ac:dyDescent="0.25">
      <c r="A296" t="s">
        <v>8</v>
      </c>
      <c r="B296">
        <v>68538</v>
      </c>
      <c r="C296" t="s">
        <v>454</v>
      </c>
      <c r="D296">
        <v>1</v>
      </c>
      <c r="E296" t="s">
        <v>394</v>
      </c>
      <c r="F296" t="s">
        <v>395</v>
      </c>
      <c r="G296" s="1"/>
      <c r="H296" t="str">
        <f>"3245060685386"</f>
        <v>3245060685386</v>
      </c>
      <c r="I296" t="s">
        <v>455</v>
      </c>
    </row>
    <row r="297" spans="1:9" x14ac:dyDescent="0.25">
      <c r="A297" t="s">
        <v>8</v>
      </c>
      <c r="B297">
        <v>68582</v>
      </c>
      <c r="C297" t="s">
        <v>456</v>
      </c>
      <c r="D297">
        <v>1</v>
      </c>
      <c r="E297" t="s">
        <v>394</v>
      </c>
      <c r="F297" t="s">
        <v>395</v>
      </c>
      <c r="G297" s="1"/>
      <c r="H297" t="str">
        <f>"3245060685829"</f>
        <v>3245060685829</v>
      </c>
      <c r="I297" t="s">
        <v>457</v>
      </c>
    </row>
    <row r="298" spans="1:9" x14ac:dyDescent="0.25">
      <c r="A298" t="s">
        <v>8</v>
      </c>
      <c r="B298">
        <v>68585</v>
      </c>
      <c r="C298" t="s">
        <v>458</v>
      </c>
      <c r="D298">
        <v>1</v>
      </c>
      <c r="E298" t="s">
        <v>394</v>
      </c>
      <c r="F298" t="s">
        <v>395</v>
      </c>
      <c r="G298" s="1"/>
      <c r="H298" t="str">
        <f>"3245060685850"</f>
        <v>3245060685850</v>
      </c>
      <c r="I298" t="s">
        <v>459</v>
      </c>
    </row>
    <row r="299" spans="1:9" x14ac:dyDescent="0.25">
      <c r="A299" t="s">
        <v>8</v>
      </c>
      <c r="B299">
        <v>67603</v>
      </c>
      <c r="C299" t="s">
        <v>460</v>
      </c>
      <c r="D299">
        <v>1</v>
      </c>
      <c r="E299" t="s">
        <v>394</v>
      </c>
      <c r="F299" t="s">
        <v>395</v>
      </c>
      <c r="G299" s="1"/>
      <c r="H299" t="str">
        <f>"3245060676032"</f>
        <v>3245060676032</v>
      </c>
      <c r="I299" t="s">
        <v>461</v>
      </c>
    </row>
    <row r="300" spans="1:9" x14ac:dyDescent="0.25">
      <c r="A300" t="s">
        <v>8</v>
      </c>
      <c r="B300">
        <v>65001</v>
      </c>
      <c r="C300" t="s">
        <v>462</v>
      </c>
      <c r="D300">
        <v>1</v>
      </c>
      <c r="E300" t="s">
        <v>394</v>
      </c>
      <c r="F300" t="s">
        <v>395</v>
      </c>
      <c r="G300" s="1"/>
      <c r="H300" t="str">
        <f>"3414970486615"</f>
        <v>3414970486615</v>
      </c>
      <c r="I300" t="s">
        <v>463</v>
      </c>
    </row>
    <row r="301" spans="1:9" x14ac:dyDescent="0.25">
      <c r="A301" t="s">
        <v>8</v>
      </c>
      <c r="B301">
        <v>65002</v>
      </c>
      <c r="C301" t="s">
        <v>464</v>
      </c>
      <c r="D301">
        <v>1</v>
      </c>
      <c r="E301" t="s">
        <v>394</v>
      </c>
      <c r="F301" t="s">
        <v>395</v>
      </c>
      <c r="G301" s="1"/>
      <c r="H301" t="str">
        <f>"3414970486646"</f>
        <v>3414970486646</v>
      </c>
      <c r="I301" t="s">
        <v>421</v>
      </c>
    </row>
    <row r="302" spans="1:9" x14ac:dyDescent="0.25">
      <c r="A302" t="s">
        <v>8</v>
      </c>
      <c r="B302">
        <v>65003</v>
      </c>
      <c r="C302" t="s">
        <v>465</v>
      </c>
      <c r="D302">
        <v>1</v>
      </c>
      <c r="E302" t="s">
        <v>394</v>
      </c>
      <c r="F302" t="s">
        <v>395</v>
      </c>
      <c r="G302" s="1"/>
      <c r="H302" t="str">
        <f>"3414970486677"</f>
        <v>3414970486677</v>
      </c>
      <c r="I302" t="s">
        <v>466</v>
      </c>
    </row>
    <row r="303" spans="1:9" x14ac:dyDescent="0.25">
      <c r="A303" t="s">
        <v>8</v>
      </c>
      <c r="B303">
        <v>65101</v>
      </c>
      <c r="C303" t="s">
        <v>467</v>
      </c>
      <c r="D303">
        <v>1</v>
      </c>
      <c r="E303" t="s">
        <v>394</v>
      </c>
      <c r="F303" t="s">
        <v>395</v>
      </c>
      <c r="G303" s="1"/>
      <c r="H303" t="str">
        <f>"3414970486738"</f>
        <v>3414970486738</v>
      </c>
      <c r="I303" t="s">
        <v>468</v>
      </c>
    </row>
    <row r="304" spans="1:9" x14ac:dyDescent="0.25">
      <c r="A304" t="s">
        <v>8</v>
      </c>
      <c r="B304">
        <v>65102</v>
      </c>
      <c r="C304" t="s">
        <v>469</v>
      </c>
      <c r="D304">
        <v>1</v>
      </c>
      <c r="E304" t="s">
        <v>394</v>
      </c>
      <c r="F304" t="s">
        <v>395</v>
      </c>
      <c r="G304" s="1"/>
      <c r="H304" t="str">
        <f>"3414970486769"</f>
        <v>3414970486769</v>
      </c>
      <c r="I304" t="s">
        <v>442</v>
      </c>
    </row>
    <row r="305" spans="1:9" x14ac:dyDescent="0.25">
      <c r="A305" t="s">
        <v>8</v>
      </c>
      <c r="B305">
        <v>65103</v>
      </c>
      <c r="C305" t="s">
        <v>470</v>
      </c>
      <c r="D305">
        <v>1</v>
      </c>
      <c r="E305" t="s">
        <v>394</v>
      </c>
      <c r="F305" t="s">
        <v>395</v>
      </c>
      <c r="G305" s="1"/>
      <c r="H305" t="str">
        <f>"3414970486790"</f>
        <v>3414970486790</v>
      </c>
      <c r="I305" t="s">
        <v>471</v>
      </c>
    </row>
    <row r="306" spans="1:9" x14ac:dyDescent="0.25">
      <c r="A306" t="s">
        <v>8</v>
      </c>
      <c r="B306">
        <v>65203</v>
      </c>
      <c r="C306" t="s">
        <v>472</v>
      </c>
      <c r="D306">
        <v>1</v>
      </c>
      <c r="E306" t="s">
        <v>394</v>
      </c>
      <c r="F306" t="s">
        <v>395</v>
      </c>
      <c r="G306" s="1"/>
      <c r="H306" t="str">
        <f>"3414970486882"</f>
        <v>3414970486882</v>
      </c>
      <c r="I306" t="s">
        <v>473</v>
      </c>
    </row>
    <row r="307" spans="1:9" x14ac:dyDescent="0.25">
      <c r="A307" t="s">
        <v>8</v>
      </c>
      <c r="B307">
        <v>67901</v>
      </c>
      <c r="C307" t="s">
        <v>474</v>
      </c>
      <c r="D307">
        <v>1</v>
      </c>
      <c r="E307" t="s">
        <v>394</v>
      </c>
      <c r="F307" t="s">
        <v>395</v>
      </c>
      <c r="G307" s="1"/>
      <c r="H307" t="str">
        <f>"3414970487513"</f>
        <v>3414970487513</v>
      </c>
      <c r="I307" t="s">
        <v>475</v>
      </c>
    </row>
    <row r="308" spans="1:9" x14ac:dyDescent="0.25">
      <c r="A308" t="s">
        <v>8</v>
      </c>
      <c r="B308">
        <v>67902</v>
      </c>
      <c r="C308" t="s">
        <v>476</v>
      </c>
      <c r="D308">
        <v>1</v>
      </c>
      <c r="E308" t="s">
        <v>394</v>
      </c>
      <c r="F308" t="s">
        <v>395</v>
      </c>
      <c r="G308" s="1"/>
      <c r="H308" t="str">
        <f>"3414970487544"</f>
        <v>3414970487544</v>
      </c>
      <c r="I308" t="s">
        <v>442</v>
      </c>
    </row>
    <row r="309" spans="1:9" x14ac:dyDescent="0.25">
      <c r="A309" t="s">
        <v>8</v>
      </c>
      <c r="B309">
        <v>67903</v>
      </c>
      <c r="C309" t="s">
        <v>477</v>
      </c>
      <c r="D309">
        <v>1</v>
      </c>
      <c r="E309" t="s">
        <v>394</v>
      </c>
      <c r="F309" t="s">
        <v>395</v>
      </c>
      <c r="G309" s="1"/>
      <c r="H309" t="str">
        <f>"3414970487575"</f>
        <v>3414970487575</v>
      </c>
      <c r="I309" t="s">
        <v>471</v>
      </c>
    </row>
    <row r="310" spans="1:9" x14ac:dyDescent="0.25">
      <c r="A310" t="s">
        <v>8</v>
      </c>
      <c r="B310">
        <v>67904</v>
      </c>
      <c r="C310" t="s">
        <v>478</v>
      </c>
      <c r="D310">
        <v>1</v>
      </c>
      <c r="E310" t="s">
        <v>394</v>
      </c>
      <c r="F310" t="s">
        <v>395</v>
      </c>
      <c r="G310" s="1"/>
      <c r="H310" t="str">
        <f>"3414970487605"</f>
        <v>3414970487605</v>
      </c>
      <c r="I310" t="s">
        <v>444</v>
      </c>
    </row>
    <row r="311" spans="1:9" x14ac:dyDescent="0.25">
      <c r="A311" t="s">
        <v>8</v>
      </c>
      <c r="B311">
        <v>67911</v>
      </c>
      <c r="C311" t="s">
        <v>479</v>
      </c>
      <c r="D311">
        <v>1</v>
      </c>
      <c r="E311" t="s">
        <v>394</v>
      </c>
      <c r="F311" t="s">
        <v>395</v>
      </c>
      <c r="G311" s="1"/>
      <c r="H311" t="str">
        <f>"3414970487698"</f>
        <v>3414970487698</v>
      </c>
      <c r="I311" t="s">
        <v>448</v>
      </c>
    </row>
    <row r="312" spans="1:9" x14ac:dyDescent="0.25">
      <c r="A312" t="s">
        <v>8</v>
      </c>
      <c r="B312">
        <v>67912</v>
      </c>
      <c r="C312" t="s">
        <v>480</v>
      </c>
      <c r="D312">
        <v>1</v>
      </c>
      <c r="E312" t="s">
        <v>394</v>
      </c>
      <c r="F312" t="s">
        <v>395</v>
      </c>
      <c r="G312" s="1"/>
      <c r="H312" t="str">
        <f>"3414970487728"</f>
        <v>3414970487728</v>
      </c>
      <c r="I312" t="s">
        <v>481</v>
      </c>
    </row>
    <row r="313" spans="1:9" x14ac:dyDescent="0.25">
      <c r="A313" t="s">
        <v>8</v>
      </c>
      <c r="B313">
        <v>67921</v>
      </c>
      <c r="C313" t="s">
        <v>482</v>
      </c>
      <c r="D313">
        <v>1</v>
      </c>
      <c r="E313" t="s">
        <v>394</v>
      </c>
      <c r="F313" t="s">
        <v>395</v>
      </c>
      <c r="G313" s="1"/>
      <c r="H313" t="str">
        <f>"3414970505569"</f>
        <v>3414970505569</v>
      </c>
      <c r="I313" t="s">
        <v>483</v>
      </c>
    </row>
    <row r="314" spans="1:9" x14ac:dyDescent="0.25">
      <c r="A314" t="s">
        <v>8</v>
      </c>
      <c r="B314">
        <v>67923</v>
      </c>
      <c r="C314" t="s">
        <v>484</v>
      </c>
      <c r="D314">
        <v>1</v>
      </c>
      <c r="E314" t="s">
        <v>394</v>
      </c>
      <c r="F314" t="s">
        <v>395</v>
      </c>
      <c r="G314" s="1"/>
      <c r="H314" t="str">
        <f>"3414970505590"</f>
        <v>3414970505590</v>
      </c>
      <c r="I314" t="s">
        <v>444</v>
      </c>
    </row>
    <row r="315" spans="1:9" x14ac:dyDescent="0.25">
      <c r="A315" t="s">
        <v>8</v>
      </c>
      <c r="B315">
        <v>67934</v>
      </c>
      <c r="C315" t="s">
        <v>485</v>
      </c>
      <c r="D315">
        <v>1</v>
      </c>
      <c r="E315" t="s">
        <v>394</v>
      </c>
      <c r="F315" t="s">
        <v>395</v>
      </c>
      <c r="G315" s="1"/>
      <c r="H315" t="str">
        <f>"3414970505651"</f>
        <v>3414970505651</v>
      </c>
      <c r="I315" t="s">
        <v>486</v>
      </c>
    </row>
    <row r="316" spans="1:9" x14ac:dyDescent="0.25">
      <c r="A316" t="s">
        <v>8</v>
      </c>
      <c r="B316">
        <v>67938</v>
      </c>
      <c r="C316" t="s">
        <v>487</v>
      </c>
      <c r="D316">
        <v>1</v>
      </c>
      <c r="E316" t="s">
        <v>394</v>
      </c>
      <c r="F316" t="s">
        <v>395</v>
      </c>
      <c r="G316" s="1"/>
      <c r="H316" t="str">
        <f>"3414970487957"</f>
        <v>3414970487957</v>
      </c>
      <c r="I316" t="s">
        <v>455</v>
      </c>
    </row>
    <row r="317" spans="1:9" x14ac:dyDescent="0.25">
      <c r="A317" t="s">
        <v>8</v>
      </c>
      <c r="B317">
        <v>67941</v>
      </c>
      <c r="C317" t="s">
        <v>488</v>
      </c>
      <c r="D317">
        <v>1</v>
      </c>
      <c r="E317" t="s">
        <v>394</v>
      </c>
      <c r="F317" t="s">
        <v>395</v>
      </c>
      <c r="G317" s="1"/>
      <c r="H317" t="str">
        <f>"3414970488015"</f>
        <v>3414970488015</v>
      </c>
      <c r="I317" t="s">
        <v>450</v>
      </c>
    </row>
    <row r="318" spans="1:9" x14ac:dyDescent="0.25">
      <c r="A318" t="s">
        <v>8</v>
      </c>
      <c r="B318">
        <v>67943</v>
      </c>
      <c r="C318" t="s">
        <v>489</v>
      </c>
      <c r="D318">
        <v>1</v>
      </c>
      <c r="E318" t="s">
        <v>394</v>
      </c>
      <c r="F318" t="s">
        <v>395</v>
      </c>
      <c r="G318" s="1"/>
      <c r="H318" t="str">
        <f>"3414970488046"</f>
        <v>3414970488046</v>
      </c>
      <c r="I318" t="s">
        <v>450</v>
      </c>
    </row>
    <row r="319" spans="1:9" x14ac:dyDescent="0.25">
      <c r="A319" t="s">
        <v>8</v>
      </c>
      <c r="B319">
        <v>67955</v>
      </c>
      <c r="C319" t="s">
        <v>490</v>
      </c>
      <c r="D319">
        <v>1</v>
      </c>
      <c r="E319" t="s">
        <v>394</v>
      </c>
      <c r="F319" t="s">
        <v>395</v>
      </c>
      <c r="G319" s="1"/>
      <c r="H319" t="str">
        <f>"3414970505828"</f>
        <v>3414970505828</v>
      </c>
      <c r="I319" t="s">
        <v>453</v>
      </c>
    </row>
    <row r="320" spans="1:9" x14ac:dyDescent="0.25">
      <c r="A320" t="s">
        <v>8</v>
      </c>
      <c r="B320">
        <v>67961</v>
      </c>
      <c r="C320" t="s">
        <v>491</v>
      </c>
      <c r="D320">
        <v>1</v>
      </c>
      <c r="E320" t="s">
        <v>394</v>
      </c>
      <c r="F320" t="s">
        <v>395</v>
      </c>
      <c r="G320" s="1"/>
      <c r="H320" t="str">
        <f>"3414970505880"</f>
        <v>3414970505880</v>
      </c>
      <c r="I320" t="s">
        <v>450</v>
      </c>
    </row>
    <row r="321" spans="1:9" x14ac:dyDescent="0.25">
      <c r="A321" t="s">
        <v>8</v>
      </c>
      <c r="B321">
        <v>67982</v>
      </c>
      <c r="C321" t="s">
        <v>492</v>
      </c>
      <c r="D321">
        <v>1</v>
      </c>
      <c r="E321" t="s">
        <v>394</v>
      </c>
      <c r="F321" t="s">
        <v>395</v>
      </c>
      <c r="G321" s="1"/>
      <c r="H321" t="str">
        <f>"3414970488190"</f>
        <v>3414970488190</v>
      </c>
      <c r="I321" t="s">
        <v>493</v>
      </c>
    </row>
    <row r="322" spans="1:9" x14ac:dyDescent="0.25">
      <c r="A322" t="s">
        <v>8</v>
      </c>
      <c r="B322">
        <v>67985</v>
      </c>
      <c r="C322" t="s">
        <v>494</v>
      </c>
      <c r="D322">
        <v>1</v>
      </c>
      <c r="E322" t="s">
        <v>394</v>
      </c>
      <c r="F322" t="s">
        <v>395</v>
      </c>
      <c r="G322" s="1"/>
      <c r="H322" t="str">
        <f>"3414970488251"</f>
        <v>3414970488251</v>
      </c>
      <c r="I322" t="s">
        <v>495</v>
      </c>
    </row>
    <row r="323" spans="1:9" x14ac:dyDescent="0.25">
      <c r="A323" t="s">
        <v>8</v>
      </c>
      <c r="B323">
        <v>68040</v>
      </c>
      <c r="C323" t="s">
        <v>496</v>
      </c>
      <c r="D323">
        <v>1</v>
      </c>
      <c r="E323" t="s">
        <v>394</v>
      </c>
      <c r="F323" t="s">
        <v>395</v>
      </c>
      <c r="G323" s="1"/>
      <c r="H323" t="str">
        <f>"3414970488374"</f>
        <v>3414970488374</v>
      </c>
      <c r="I323" t="s">
        <v>497</v>
      </c>
    </row>
    <row r="324" spans="1:9" x14ac:dyDescent="0.25">
      <c r="A324" t="s">
        <v>8</v>
      </c>
      <c r="B324">
        <v>68115</v>
      </c>
      <c r="C324" t="s">
        <v>498</v>
      </c>
      <c r="D324">
        <v>1</v>
      </c>
      <c r="E324" t="s">
        <v>394</v>
      </c>
      <c r="F324" t="s">
        <v>395</v>
      </c>
      <c r="G324" s="1"/>
      <c r="H324" t="str">
        <f>"3414970488428"</f>
        <v>3414970488428</v>
      </c>
      <c r="I324" t="s">
        <v>499</v>
      </c>
    </row>
    <row r="325" spans="1:9" x14ac:dyDescent="0.25">
      <c r="A325" t="s">
        <v>8</v>
      </c>
      <c r="B325">
        <v>68415</v>
      </c>
      <c r="C325" t="s">
        <v>500</v>
      </c>
      <c r="D325">
        <v>1</v>
      </c>
      <c r="E325" t="s">
        <v>394</v>
      </c>
      <c r="F325" t="s">
        <v>395</v>
      </c>
      <c r="G325" s="1"/>
      <c r="H325" t="str">
        <f>"3414970488619"</f>
        <v>3414970488619</v>
      </c>
      <c r="I325" t="s">
        <v>501</v>
      </c>
    </row>
    <row r="326" spans="1:9" x14ac:dyDescent="0.25">
      <c r="A326" t="s">
        <v>8</v>
      </c>
      <c r="B326">
        <v>67093</v>
      </c>
      <c r="C326" t="s">
        <v>502</v>
      </c>
      <c r="D326">
        <v>1</v>
      </c>
      <c r="E326" t="s">
        <v>503</v>
      </c>
      <c r="F326" t="s">
        <v>504</v>
      </c>
      <c r="G326" s="1"/>
      <c r="H326" t="str">
        <f>"3245060670931"</f>
        <v>3245060670931</v>
      </c>
      <c r="I326" t="s">
        <v>505</v>
      </c>
    </row>
    <row r="327" spans="1:9" x14ac:dyDescent="0.25">
      <c r="A327" t="s">
        <v>8</v>
      </c>
      <c r="B327">
        <v>67701</v>
      </c>
      <c r="C327" t="s">
        <v>506</v>
      </c>
      <c r="D327">
        <v>1</v>
      </c>
      <c r="E327" t="s">
        <v>507</v>
      </c>
      <c r="F327" t="s">
        <v>508</v>
      </c>
      <c r="G327" s="1"/>
      <c r="H327" t="str">
        <f>"3245060677015"</f>
        <v>3245060677015</v>
      </c>
      <c r="I327" t="s">
        <v>509</v>
      </c>
    </row>
    <row r="328" spans="1:9" x14ac:dyDescent="0.25">
      <c r="A328" t="s">
        <v>8</v>
      </c>
      <c r="B328">
        <v>67702</v>
      </c>
      <c r="C328" t="s">
        <v>510</v>
      </c>
      <c r="D328">
        <v>1</v>
      </c>
      <c r="E328" t="s">
        <v>507</v>
      </c>
      <c r="F328" t="s">
        <v>508</v>
      </c>
      <c r="G328" s="1"/>
      <c r="H328" t="str">
        <f>"3245060677022"</f>
        <v>3245060677022</v>
      </c>
      <c r="I328" t="s">
        <v>511</v>
      </c>
    </row>
    <row r="329" spans="1:9" x14ac:dyDescent="0.25">
      <c r="A329" t="s">
        <v>8</v>
      </c>
      <c r="B329">
        <v>67703</v>
      </c>
      <c r="C329" t="s">
        <v>512</v>
      </c>
      <c r="D329">
        <v>1</v>
      </c>
      <c r="E329" t="s">
        <v>507</v>
      </c>
      <c r="F329" t="s">
        <v>508</v>
      </c>
      <c r="G329" s="1"/>
      <c r="H329" t="str">
        <f>"3245060677039"</f>
        <v>3245060677039</v>
      </c>
      <c r="I329" t="s">
        <v>513</v>
      </c>
    </row>
    <row r="330" spans="1:9" x14ac:dyDescent="0.25">
      <c r="A330" t="s">
        <v>8</v>
      </c>
      <c r="B330">
        <v>67705</v>
      </c>
      <c r="C330" t="s">
        <v>514</v>
      </c>
      <c r="D330">
        <v>1</v>
      </c>
      <c r="E330" t="s">
        <v>507</v>
      </c>
      <c r="F330" t="s">
        <v>508</v>
      </c>
      <c r="G330" s="1"/>
      <c r="H330" t="str">
        <f>"3245060677053"</f>
        <v>3245060677053</v>
      </c>
      <c r="I330" t="s">
        <v>515</v>
      </c>
    </row>
    <row r="331" spans="1:9" x14ac:dyDescent="0.25">
      <c r="A331" t="s">
        <v>8</v>
      </c>
      <c r="B331">
        <v>67711</v>
      </c>
      <c r="C331" t="s">
        <v>516</v>
      </c>
      <c r="D331">
        <v>1</v>
      </c>
      <c r="E331" t="s">
        <v>507</v>
      </c>
      <c r="F331" t="s">
        <v>508</v>
      </c>
      <c r="G331" s="1"/>
      <c r="H331" t="str">
        <f>"3245060677114"</f>
        <v>3245060677114</v>
      </c>
      <c r="I331" t="s">
        <v>517</v>
      </c>
    </row>
    <row r="332" spans="1:9" x14ac:dyDescent="0.25">
      <c r="A332" t="s">
        <v>8</v>
      </c>
      <c r="B332">
        <v>67717</v>
      </c>
      <c r="C332" t="s">
        <v>518</v>
      </c>
      <c r="D332">
        <v>1</v>
      </c>
      <c r="E332" t="s">
        <v>507</v>
      </c>
      <c r="F332" t="s">
        <v>508</v>
      </c>
      <c r="G332" s="1"/>
      <c r="H332" t="str">
        <f>"3245060677176"</f>
        <v>3245060677176</v>
      </c>
      <c r="I332" t="s">
        <v>519</v>
      </c>
    </row>
    <row r="333" spans="1:9" x14ac:dyDescent="0.25">
      <c r="A333" t="s">
        <v>8</v>
      </c>
      <c r="B333">
        <v>67733</v>
      </c>
      <c r="C333" t="s">
        <v>520</v>
      </c>
      <c r="D333">
        <v>1</v>
      </c>
      <c r="E333" t="s">
        <v>507</v>
      </c>
      <c r="F333" t="s">
        <v>508</v>
      </c>
      <c r="G333" s="1"/>
      <c r="H333" t="str">
        <f>"3245060677336"</f>
        <v>3245060677336</v>
      </c>
      <c r="I333" t="s">
        <v>521</v>
      </c>
    </row>
    <row r="334" spans="1:9" x14ac:dyDescent="0.25">
      <c r="A334" t="s">
        <v>8</v>
      </c>
      <c r="B334">
        <v>67738</v>
      </c>
      <c r="C334" t="s">
        <v>522</v>
      </c>
      <c r="D334">
        <v>1</v>
      </c>
      <c r="E334" t="s">
        <v>507</v>
      </c>
      <c r="F334" t="s">
        <v>508</v>
      </c>
      <c r="G334" s="1"/>
      <c r="H334" t="str">
        <f>"3245060677381"</f>
        <v>3245060677381</v>
      </c>
      <c r="I334" t="s">
        <v>523</v>
      </c>
    </row>
    <row r="335" spans="1:9" x14ac:dyDescent="0.25">
      <c r="A335" t="s">
        <v>8</v>
      </c>
      <c r="B335">
        <v>67751</v>
      </c>
      <c r="C335" t="s">
        <v>524</v>
      </c>
      <c r="D335">
        <v>1</v>
      </c>
      <c r="E335" t="s">
        <v>507</v>
      </c>
      <c r="F335" t="s">
        <v>508</v>
      </c>
      <c r="G335" s="1"/>
      <c r="H335" t="str">
        <f>"3245060677510"</f>
        <v>3245060677510</v>
      </c>
      <c r="I335" t="s">
        <v>525</v>
      </c>
    </row>
    <row r="336" spans="1:9" x14ac:dyDescent="0.25">
      <c r="A336" t="s">
        <v>8</v>
      </c>
      <c r="B336">
        <v>67752</v>
      </c>
      <c r="C336" t="s">
        <v>526</v>
      </c>
      <c r="D336">
        <v>1</v>
      </c>
      <c r="E336" t="s">
        <v>507</v>
      </c>
      <c r="F336" t="s">
        <v>508</v>
      </c>
      <c r="G336" s="1"/>
      <c r="H336" t="str">
        <f>"3245060677527"</f>
        <v>3245060677527</v>
      </c>
      <c r="I336" t="s">
        <v>527</v>
      </c>
    </row>
    <row r="337" spans="1:9" x14ac:dyDescent="0.25">
      <c r="A337" t="s">
        <v>8</v>
      </c>
      <c r="B337">
        <v>67782</v>
      </c>
      <c r="C337" t="s">
        <v>528</v>
      </c>
      <c r="D337">
        <v>1</v>
      </c>
      <c r="E337" t="s">
        <v>507</v>
      </c>
      <c r="F337" t="s">
        <v>508</v>
      </c>
      <c r="G337" s="1"/>
      <c r="H337" t="str">
        <f>"3245060677824"</f>
        <v>3245060677824</v>
      </c>
      <c r="I337" t="s">
        <v>529</v>
      </c>
    </row>
    <row r="338" spans="1:9" x14ac:dyDescent="0.25">
      <c r="A338" t="s">
        <v>8</v>
      </c>
      <c r="B338">
        <v>67788</v>
      </c>
      <c r="C338" t="s">
        <v>530</v>
      </c>
      <c r="D338">
        <v>1</v>
      </c>
      <c r="E338" t="s">
        <v>507</v>
      </c>
      <c r="F338" t="s">
        <v>508</v>
      </c>
      <c r="G338" s="1"/>
      <c r="H338" t="str">
        <f>"3245060677886"</f>
        <v>3245060677886</v>
      </c>
      <c r="I338" t="s">
        <v>531</v>
      </c>
    </row>
    <row r="339" spans="1:9" x14ac:dyDescent="0.25">
      <c r="A339" t="s">
        <v>8</v>
      </c>
      <c r="B339">
        <v>67795</v>
      </c>
      <c r="C339" t="s">
        <v>532</v>
      </c>
      <c r="D339">
        <v>1</v>
      </c>
      <c r="E339" t="s">
        <v>507</v>
      </c>
      <c r="F339" t="s">
        <v>508</v>
      </c>
      <c r="G339" s="1"/>
      <c r="H339" t="str">
        <f>"3245060677954"</f>
        <v>3245060677954</v>
      </c>
      <c r="I339" t="s">
        <v>99</v>
      </c>
    </row>
    <row r="340" spans="1:9" x14ac:dyDescent="0.25">
      <c r="A340" t="s">
        <v>8</v>
      </c>
      <c r="B340">
        <v>67737</v>
      </c>
      <c r="C340" t="s">
        <v>533</v>
      </c>
      <c r="D340">
        <v>1</v>
      </c>
      <c r="E340" t="s">
        <v>507</v>
      </c>
      <c r="F340" t="s">
        <v>508</v>
      </c>
      <c r="G340" s="1"/>
      <c r="H340" t="str">
        <f>"3245060677374"</f>
        <v>3245060677374</v>
      </c>
      <c r="I340" t="s">
        <v>534</v>
      </c>
    </row>
    <row r="341" spans="1:9" x14ac:dyDescent="0.25">
      <c r="A341" t="s">
        <v>8</v>
      </c>
      <c r="B341">
        <v>67704</v>
      </c>
      <c r="C341" t="s">
        <v>535</v>
      </c>
      <c r="D341">
        <v>1</v>
      </c>
      <c r="E341" t="s">
        <v>507</v>
      </c>
      <c r="F341" t="s">
        <v>508</v>
      </c>
      <c r="G341" s="1"/>
      <c r="H341" t="str">
        <f>"3414970519214"</f>
        <v>3414970519214</v>
      </c>
      <c r="I341" t="s">
        <v>536</v>
      </c>
    </row>
    <row r="342" spans="1:9" x14ac:dyDescent="0.25">
      <c r="A342" t="s">
        <v>8</v>
      </c>
      <c r="B342">
        <v>67713</v>
      </c>
      <c r="C342" t="s">
        <v>537</v>
      </c>
      <c r="D342">
        <v>1</v>
      </c>
      <c r="E342" t="s">
        <v>507</v>
      </c>
      <c r="F342" t="s">
        <v>508</v>
      </c>
      <c r="G342" s="1"/>
      <c r="H342" t="str">
        <f>"3414970519009"</f>
        <v>3414970519009</v>
      </c>
      <c r="I342" t="s">
        <v>517</v>
      </c>
    </row>
    <row r="343" spans="1:9" x14ac:dyDescent="0.25">
      <c r="A343" t="s">
        <v>8</v>
      </c>
      <c r="B343">
        <v>67715</v>
      </c>
      <c r="C343" t="s">
        <v>538</v>
      </c>
      <c r="D343">
        <v>1</v>
      </c>
      <c r="E343" t="s">
        <v>507</v>
      </c>
      <c r="F343" t="s">
        <v>508</v>
      </c>
      <c r="G343" s="1"/>
      <c r="H343" t="str">
        <f>"3414970574695"</f>
        <v>3414970574695</v>
      </c>
      <c r="I343" t="s">
        <v>539</v>
      </c>
    </row>
    <row r="344" spans="1:9" x14ac:dyDescent="0.25">
      <c r="A344" t="s">
        <v>8</v>
      </c>
      <c r="B344">
        <v>67727</v>
      </c>
      <c r="C344" t="s">
        <v>540</v>
      </c>
      <c r="D344">
        <v>1</v>
      </c>
      <c r="E344" t="s">
        <v>507</v>
      </c>
      <c r="F344" t="s">
        <v>508</v>
      </c>
      <c r="G344" s="1"/>
      <c r="H344" t="str">
        <f>"3414970519061"</f>
        <v>3414970519061</v>
      </c>
      <c r="I344" t="s">
        <v>541</v>
      </c>
    </row>
    <row r="345" spans="1:9" x14ac:dyDescent="0.25">
      <c r="A345" t="s">
        <v>8</v>
      </c>
      <c r="B345">
        <v>67729</v>
      </c>
      <c r="C345" t="s">
        <v>542</v>
      </c>
      <c r="D345">
        <v>1</v>
      </c>
      <c r="E345" t="s">
        <v>507</v>
      </c>
      <c r="F345" t="s">
        <v>508</v>
      </c>
      <c r="G345" s="1"/>
      <c r="H345" t="str">
        <f>"3414970519153"</f>
        <v>3414970519153</v>
      </c>
      <c r="I345" t="s">
        <v>543</v>
      </c>
    </row>
    <row r="346" spans="1:9" x14ac:dyDescent="0.25">
      <c r="A346" t="s">
        <v>8</v>
      </c>
      <c r="B346">
        <v>67707</v>
      </c>
      <c r="C346" t="s">
        <v>544</v>
      </c>
      <c r="D346">
        <v>1</v>
      </c>
      <c r="E346" t="s">
        <v>545</v>
      </c>
      <c r="F346" t="s">
        <v>546</v>
      </c>
      <c r="G346" s="1"/>
      <c r="H346" t="str">
        <f>"3245060677077"</f>
        <v>3245060677077</v>
      </c>
      <c r="I346" t="s">
        <v>547</v>
      </c>
    </row>
    <row r="347" spans="1:9" x14ac:dyDescent="0.25">
      <c r="A347" t="s">
        <v>8</v>
      </c>
      <c r="B347">
        <v>67708</v>
      </c>
      <c r="C347" t="s">
        <v>548</v>
      </c>
      <c r="D347">
        <v>1</v>
      </c>
      <c r="E347" t="s">
        <v>545</v>
      </c>
      <c r="F347" t="s">
        <v>546</v>
      </c>
      <c r="G347" s="1"/>
      <c r="H347" t="str">
        <f>"3245060677084"</f>
        <v>3245060677084</v>
      </c>
      <c r="I347" t="s">
        <v>549</v>
      </c>
    </row>
    <row r="348" spans="1:9" x14ac:dyDescent="0.25">
      <c r="A348" t="s">
        <v>8</v>
      </c>
      <c r="B348">
        <v>67709</v>
      </c>
      <c r="C348" t="s">
        <v>550</v>
      </c>
      <c r="D348">
        <v>1</v>
      </c>
      <c r="E348" t="s">
        <v>545</v>
      </c>
      <c r="F348" t="s">
        <v>546</v>
      </c>
      <c r="G348" s="1"/>
      <c r="H348" t="str">
        <f>"3245060677091"</f>
        <v>3245060677091</v>
      </c>
      <c r="I348" t="s">
        <v>551</v>
      </c>
    </row>
    <row r="349" spans="1:9" x14ac:dyDescent="0.25">
      <c r="A349" t="s">
        <v>8</v>
      </c>
      <c r="B349">
        <v>67712</v>
      </c>
      <c r="C349" t="s">
        <v>552</v>
      </c>
      <c r="D349">
        <v>1</v>
      </c>
      <c r="E349" t="s">
        <v>545</v>
      </c>
      <c r="F349" t="s">
        <v>546</v>
      </c>
      <c r="G349" s="1"/>
      <c r="H349" t="str">
        <f>"3245060677121"</f>
        <v>3245060677121</v>
      </c>
      <c r="I349" t="s">
        <v>553</v>
      </c>
    </row>
    <row r="350" spans="1:9" x14ac:dyDescent="0.25">
      <c r="A350" t="s">
        <v>8</v>
      </c>
      <c r="B350">
        <v>67718</v>
      </c>
      <c r="C350" t="s">
        <v>554</v>
      </c>
      <c r="D350">
        <v>1</v>
      </c>
      <c r="E350" t="s">
        <v>545</v>
      </c>
      <c r="F350" t="s">
        <v>546</v>
      </c>
      <c r="G350" s="1"/>
      <c r="H350" t="str">
        <f>"3245060677183"</f>
        <v>3245060677183</v>
      </c>
      <c r="I350" t="s">
        <v>555</v>
      </c>
    </row>
    <row r="351" spans="1:9" x14ac:dyDescent="0.25">
      <c r="A351" t="s">
        <v>8</v>
      </c>
      <c r="B351">
        <v>67732</v>
      </c>
      <c r="C351" t="s">
        <v>556</v>
      </c>
      <c r="D351">
        <v>1</v>
      </c>
      <c r="E351" t="s">
        <v>545</v>
      </c>
      <c r="F351" t="s">
        <v>546</v>
      </c>
      <c r="G351" s="1"/>
      <c r="H351" t="str">
        <f>"3245060677329"</f>
        <v>3245060677329</v>
      </c>
      <c r="I351" t="s">
        <v>557</v>
      </c>
    </row>
    <row r="352" spans="1:9" x14ac:dyDescent="0.25">
      <c r="A352" t="s">
        <v>8</v>
      </c>
      <c r="B352">
        <v>67736</v>
      </c>
      <c r="C352" t="s">
        <v>558</v>
      </c>
      <c r="D352">
        <v>1</v>
      </c>
      <c r="E352" t="s">
        <v>545</v>
      </c>
      <c r="F352" t="s">
        <v>546</v>
      </c>
      <c r="G352" s="1"/>
      <c r="H352" t="str">
        <f>"3245060677367"</f>
        <v>3245060677367</v>
      </c>
      <c r="I352" t="s">
        <v>559</v>
      </c>
    </row>
    <row r="353" spans="1:9" x14ac:dyDescent="0.25">
      <c r="A353" t="s">
        <v>8</v>
      </c>
      <c r="B353">
        <v>67753</v>
      </c>
      <c r="C353" t="s">
        <v>560</v>
      </c>
      <c r="D353">
        <v>1</v>
      </c>
      <c r="E353" t="s">
        <v>545</v>
      </c>
      <c r="F353" t="s">
        <v>546</v>
      </c>
      <c r="G353" s="1"/>
      <c r="H353" t="str">
        <f>"3245060677534"</f>
        <v>3245060677534</v>
      </c>
      <c r="I353" t="s">
        <v>561</v>
      </c>
    </row>
    <row r="354" spans="1:9" x14ac:dyDescent="0.25">
      <c r="A354" t="s">
        <v>8</v>
      </c>
      <c r="B354">
        <v>67754</v>
      </c>
      <c r="C354" t="s">
        <v>562</v>
      </c>
      <c r="D354">
        <v>1</v>
      </c>
      <c r="E354" t="s">
        <v>545</v>
      </c>
      <c r="F354" t="s">
        <v>546</v>
      </c>
      <c r="G354" s="1"/>
      <c r="H354" t="str">
        <f>"3245060677541"</f>
        <v>3245060677541</v>
      </c>
      <c r="I354" t="s">
        <v>563</v>
      </c>
    </row>
    <row r="355" spans="1:9" x14ac:dyDescent="0.25">
      <c r="A355" t="s">
        <v>8</v>
      </c>
      <c r="B355">
        <v>67783</v>
      </c>
      <c r="C355" t="s">
        <v>564</v>
      </c>
      <c r="D355">
        <v>1</v>
      </c>
      <c r="E355" t="s">
        <v>545</v>
      </c>
      <c r="F355" t="s">
        <v>546</v>
      </c>
      <c r="G355" s="1"/>
      <c r="H355" t="str">
        <f>"3245060677831"</f>
        <v>3245060677831</v>
      </c>
      <c r="I355" t="s">
        <v>565</v>
      </c>
    </row>
    <row r="356" spans="1:9" x14ac:dyDescent="0.25">
      <c r="A356" t="s">
        <v>8</v>
      </c>
      <c r="B356">
        <v>67789</v>
      </c>
      <c r="C356" t="s">
        <v>566</v>
      </c>
      <c r="D356">
        <v>1</v>
      </c>
      <c r="E356" t="s">
        <v>545</v>
      </c>
      <c r="F356" t="s">
        <v>546</v>
      </c>
      <c r="G356" s="1"/>
      <c r="H356" t="str">
        <f>"3245060677893"</f>
        <v>3245060677893</v>
      </c>
      <c r="I356" t="s">
        <v>567</v>
      </c>
    </row>
    <row r="357" spans="1:9" x14ac:dyDescent="0.25">
      <c r="A357" t="s">
        <v>8</v>
      </c>
      <c r="B357">
        <v>67735</v>
      </c>
      <c r="C357" t="s">
        <v>568</v>
      </c>
      <c r="D357">
        <v>1</v>
      </c>
      <c r="E357" t="s">
        <v>545</v>
      </c>
      <c r="F357" t="s">
        <v>546</v>
      </c>
      <c r="G357" s="1"/>
      <c r="H357" t="str">
        <f>"3245060677350"</f>
        <v>3245060677350</v>
      </c>
      <c r="I357" t="s">
        <v>569</v>
      </c>
    </row>
    <row r="358" spans="1:9" x14ac:dyDescent="0.25">
      <c r="A358" t="s">
        <v>8</v>
      </c>
      <c r="B358">
        <v>67710</v>
      </c>
      <c r="C358" t="s">
        <v>570</v>
      </c>
      <c r="D358">
        <v>1</v>
      </c>
      <c r="E358" t="s">
        <v>545</v>
      </c>
      <c r="F358" t="s">
        <v>546</v>
      </c>
      <c r="G358" s="1"/>
      <c r="H358" t="str">
        <f>"3414970519122"</f>
        <v>3414970519122</v>
      </c>
      <c r="I358" t="s">
        <v>571</v>
      </c>
    </row>
    <row r="359" spans="1:9" x14ac:dyDescent="0.25">
      <c r="A359" t="s">
        <v>8</v>
      </c>
      <c r="B359">
        <v>67714</v>
      </c>
      <c r="C359" t="s">
        <v>572</v>
      </c>
      <c r="D359">
        <v>1</v>
      </c>
      <c r="E359" t="s">
        <v>545</v>
      </c>
      <c r="F359" t="s">
        <v>546</v>
      </c>
      <c r="G359" s="1"/>
      <c r="H359" t="str">
        <f>"3414970519030"</f>
        <v>3414970519030</v>
      </c>
      <c r="I359" t="s">
        <v>573</v>
      </c>
    </row>
    <row r="360" spans="1:9" x14ac:dyDescent="0.25">
      <c r="A360" t="s">
        <v>8</v>
      </c>
      <c r="B360">
        <v>67716</v>
      </c>
      <c r="C360" t="s">
        <v>574</v>
      </c>
      <c r="D360">
        <v>1</v>
      </c>
      <c r="E360" t="s">
        <v>545</v>
      </c>
      <c r="F360" t="s">
        <v>546</v>
      </c>
      <c r="G360" s="1"/>
      <c r="H360" t="str">
        <f>"3414970574725"</f>
        <v>3414970574725</v>
      </c>
      <c r="I360" t="s">
        <v>575</v>
      </c>
    </row>
    <row r="361" spans="1:9" x14ac:dyDescent="0.25">
      <c r="A361" t="s">
        <v>8</v>
      </c>
      <c r="B361">
        <v>67730</v>
      </c>
      <c r="C361" t="s">
        <v>576</v>
      </c>
      <c r="D361">
        <v>1</v>
      </c>
      <c r="E361" t="s">
        <v>545</v>
      </c>
      <c r="F361" t="s">
        <v>546</v>
      </c>
      <c r="G361" s="1"/>
      <c r="H361" t="str">
        <f>"3414970519184"</f>
        <v>3414970519184</v>
      </c>
      <c r="I361" t="s">
        <v>577</v>
      </c>
    </row>
    <row r="362" spans="1:9" x14ac:dyDescent="0.25">
      <c r="A362" t="s">
        <v>8</v>
      </c>
      <c r="B362">
        <v>68075</v>
      </c>
      <c r="C362" t="s">
        <v>578</v>
      </c>
      <c r="D362">
        <v>1</v>
      </c>
      <c r="E362" t="s">
        <v>579</v>
      </c>
      <c r="F362" t="s">
        <v>580</v>
      </c>
      <c r="G362" s="1"/>
      <c r="H362" t="str">
        <f>"3245060680756"</f>
        <v>3245060680756</v>
      </c>
      <c r="I362" t="s">
        <v>581</v>
      </c>
    </row>
    <row r="363" spans="1:9" x14ac:dyDescent="0.25">
      <c r="A363" t="s">
        <v>8</v>
      </c>
      <c r="B363">
        <v>68179</v>
      </c>
      <c r="C363" t="s">
        <v>582</v>
      </c>
      <c r="D363">
        <v>1</v>
      </c>
      <c r="E363" t="s">
        <v>579</v>
      </c>
      <c r="F363" t="s">
        <v>580</v>
      </c>
      <c r="G363" s="1"/>
      <c r="H363" t="str">
        <f>"3245060681791"</f>
        <v>3245060681791</v>
      </c>
      <c r="I363" t="s">
        <v>581</v>
      </c>
    </row>
    <row r="364" spans="1:9" x14ac:dyDescent="0.25">
      <c r="A364" t="s">
        <v>8</v>
      </c>
      <c r="B364">
        <v>68375</v>
      </c>
      <c r="C364" t="s">
        <v>583</v>
      </c>
      <c r="D364">
        <v>1</v>
      </c>
      <c r="E364" t="s">
        <v>579</v>
      </c>
      <c r="F364" t="s">
        <v>580</v>
      </c>
      <c r="G364" s="1"/>
      <c r="H364" t="str">
        <f>"3245060683757"</f>
        <v>3245060683757</v>
      </c>
      <c r="I364" t="s">
        <v>584</v>
      </c>
    </row>
    <row r="365" spans="1:9" x14ac:dyDescent="0.25">
      <c r="A365" t="s">
        <v>8</v>
      </c>
      <c r="B365">
        <v>68479</v>
      </c>
      <c r="C365" t="s">
        <v>585</v>
      </c>
      <c r="D365">
        <v>1</v>
      </c>
      <c r="E365" t="s">
        <v>579</v>
      </c>
      <c r="F365" t="s">
        <v>580</v>
      </c>
      <c r="G365" s="1"/>
      <c r="H365" t="str">
        <f>"3245060684792"</f>
        <v>3245060684792</v>
      </c>
      <c r="I365" t="s">
        <v>586</v>
      </c>
    </row>
    <row r="366" spans="1:9" x14ac:dyDescent="0.25">
      <c r="A366" t="s">
        <v>8</v>
      </c>
      <c r="B366">
        <v>3608</v>
      </c>
      <c r="C366" t="s">
        <v>587</v>
      </c>
      <c r="D366">
        <v>1</v>
      </c>
      <c r="E366" t="s">
        <v>579</v>
      </c>
      <c r="F366" t="s">
        <v>580</v>
      </c>
      <c r="G366" s="1"/>
      <c r="H366" t="str">
        <f>"3245060036089"</f>
        <v>3245060036089</v>
      </c>
      <c r="I366" t="s">
        <v>588</v>
      </c>
    </row>
    <row r="367" spans="1:9" x14ac:dyDescent="0.25">
      <c r="A367" t="s">
        <v>8</v>
      </c>
      <c r="B367">
        <v>67698</v>
      </c>
      <c r="C367" t="s">
        <v>589</v>
      </c>
      <c r="D367">
        <v>1</v>
      </c>
      <c r="E367" t="s">
        <v>579</v>
      </c>
      <c r="F367" t="s">
        <v>580</v>
      </c>
      <c r="G367" s="1"/>
      <c r="H367" t="str">
        <f>"3245060676988"</f>
        <v>3245060676988</v>
      </c>
      <c r="I367" t="s">
        <v>590</v>
      </c>
    </row>
    <row r="368" spans="1:9" x14ac:dyDescent="0.25">
      <c r="A368" t="s">
        <v>8</v>
      </c>
      <c r="B368">
        <v>67699</v>
      </c>
      <c r="C368" t="s">
        <v>591</v>
      </c>
      <c r="D368">
        <v>1</v>
      </c>
      <c r="E368" t="s">
        <v>579</v>
      </c>
      <c r="F368" t="s">
        <v>580</v>
      </c>
      <c r="G368" s="1"/>
      <c r="H368" t="str">
        <f>"3245060676995"</f>
        <v>3245060676995</v>
      </c>
      <c r="I368" t="s">
        <v>590</v>
      </c>
    </row>
    <row r="369" spans="1:9" x14ac:dyDescent="0.25">
      <c r="A369" t="s">
        <v>8</v>
      </c>
      <c r="B369">
        <v>67975</v>
      </c>
      <c r="C369" t="s">
        <v>592</v>
      </c>
      <c r="D369">
        <v>1</v>
      </c>
      <c r="E369" t="s">
        <v>579</v>
      </c>
      <c r="F369" t="s">
        <v>580</v>
      </c>
      <c r="G369" s="1"/>
      <c r="H369" t="str">
        <f>"3414970709066"</f>
        <v>3414970709066</v>
      </c>
      <c r="I369" t="s">
        <v>584</v>
      </c>
    </row>
    <row r="370" spans="1:9" x14ac:dyDescent="0.25">
      <c r="A370" t="s">
        <v>8</v>
      </c>
      <c r="B370">
        <v>68809</v>
      </c>
      <c r="C370" t="s">
        <v>593</v>
      </c>
      <c r="D370">
        <v>1</v>
      </c>
      <c r="E370" t="s">
        <v>594</v>
      </c>
      <c r="F370" t="s">
        <v>595</v>
      </c>
      <c r="G370" s="1"/>
      <c r="H370" t="str">
        <f>"3245060688097"</f>
        <v>3245060688097</v>
      </c>
      <c r="I370" t="s">
        <v>596</v>
      </c>
    </row>
    <row r="371" spans="1:9" x14ac:dyDescent="0.25">
      <c r="A371" t="s">
        <v>8</v>
      </c>
      <c r="B371">
        <v>68608</v>
      </c>
      <c r="C371" t="s">
        <v>597</v>
      </c>
      <c r="D371">
        <v>1</v>
      </c>
      <c r="E371" t="s">
        <v>594</v>
      </c>
      <c r="F371" t="s">
        <v>595</v>
      </c>
      <c r="G371" s="1"/>
      <c r="H371" t="str">
        <f>"3245060686086"</f>
        <v>3245060686086</v>
      </c>
      <c r="I371" t="s">
        <v>598</v>
      </c>
    </row>
    <row r="372" spans="1:9" x14ac:dyDescent="0.25">
      <c r="A372" t="s">
        <v>8</v>
      </c>
      <c r="B372">
        <v>68609</v>
      </c>
      <c r="C372" t="s">
        <v>599</v>
      </c>
      <c r="D372">
        <v>1</v>
      </c>
      <c r="E372" t="s">
        <v>594</v>
      </c>
      <c r="F372" t="s">
        <v>595</v>
      </c>
      <c r="G372" s="1"/>
      <c r="H372" t="str">
        <f>"3245060686093"</f>
        <v>3245060686093</v>
      </c>
      <c r="I372" t="s">
        <v>600</v>
      </c>
    </row>
    <row r="373" spans="1:9" x14ac:dyDescent="0.25">
      <c r="A373" t="s">
        <v>8</v>
      </c>
      <c r="B373">
        <v>66631</v>
      </c>
      <c r="C373" t="s">
        <v>601</v>
      </c>
      <c r="D373">
        <v>1</v>
      </c>
      <c r="E373" t="s">
        <v>594</v>
      </c>
      <c r="F373" t="s">
        <v>595</v>
      </c>
      <c r="G373" s="1"/>
      <c r="H373" t="str">
        <f>"3245060666316"</f>
        <v>3245060666316</v>
      </c>
      <c r="I373" t="s">
        <v>602</v>
      </c>
    </row>
    <row r="374" spans="1:9" x14ac:dyDescent="0.25">
      <c r="A374" t="s">
        <v>8</v>
      </c>
      <c r="B374">
        <v>66632</v>
      </c>
      <c r="C374" t="s">
        <v>603</v>
      </c>
      <c r="D374">
        <v>1</v>
      </c>
      <c r="E374" t="s">
        <v>594</v>
      </c>
      <c r="F374" t="s">
        <v>595</v>
      </c>
      <c r="G374" s="1"/>
      <c r="H374" t="str">
        <f>"3245060666323"</f>
        <v>3245060666323</v>
      </c>
      <c r="I374" t="s">
        <v>604</v>
      </c>
    </row>
    <row r="375" spans="1:9" x14ac:dyDescent="0.25">
      <c r="A375" t="s">
        <v>8</v>
      </c>
      <c r="B375">
        <v>66634</v>
      </c>
      <c r="C375" t="s">
        <v>605</v>
      </c>
      <c r="D375">
        <v>1</v>
      </c>
      <c r="E375" t="s">
        <v>594</v>
      </c>
      <c r="F375" t="s">
        <v>595</v>
      </c>
      <c r="G375" s="1"/>
      <c r="H375" t="str">
        <f>"3245060666347"</f>
        <v>3245060666347</v>
      </c>
      <c r="I375" t="s">
        <v>606</v>
      </c>
    </row>
    <row r="376" spans="1:9" x14ac:dyDescent="0.25">
      <c r="A376" t="s">
        <v>8</v>
      </c>
      <c r="B376">
        <v>66635</v>
      </c>
      <c r="C376" t="s">
        <v>607</v>
      </c>
      <c r="D376">
        <v>1</v>
      </c>
      <c r="E376" t="s">
        <v>594</v>
      </c>
      <c r="F376" t="s">
        <v>595</v>
      </c>
      <c r="G376" s="1"/>
      <c r="H376" t="str">
        <f>"3245060666354"</f>
        <v>3245060666354</v>
      </c>
      <c r="I376" t="s">
        <v>608</v>
      </c>
    </row>
    <row r="377" spans="1:9" x14ac:dyDescent="0.25">
      <c r="A377" t="s">
        <v>8</v>
      </c>
      <c r="B377">
        <v>66636</v>
      </c>
      <c r="C377" t="s">
        <v>609</v>
      </c>
      <c r="D377">
        <v>1</v>
      </c>
      <c r="E377" t="s">
        <v>594</v>
      </c>
      <c r="F377" t="s">
        <v>595</v>
      </c>
      <c r="G377" s="1"/>
      <c r="H377" t="str">
        <f>"3245060666361"</f>
        <v>3245060666361</v>
      </c>
      <c r="I377" t="s">
        <v>610</v>
      </c>
    </row>
    <row r="378" spans="1:9" x14ac:dyDescent="0.25">
      <c r="A378" t="s">
        <v>8</v>
      </c>
      <c r="B378">
        <v>66601</v>
      </c>
      <c r="C378" t="s">
        <v>611</v>
      </c>
      <c r="D378">
        <v>1</v>
      </c>
      <c r="E378" t="s">
        <v>594</v>
      </c>
      <c r="F378" t="s">
        <v>595</v>
      </c>
      <c r="G378" s="1"/>
      <c r="H378" t="str">
        <f>"3414971003040"</f>
        <v>3414971003040</v>
      </c>
      <c r="I378" t="s">
        <v>602</v>
      </c>
    </row>
    <row r="379" spans="1:9" x14ac:dyDescent="0.25">
      <c r="A379" t="s">
        <v>8</v>
      </c>
      <c r="B379">
        <v>66602</v>
      </c>
      <c r="C379" t="s">
        <v>612</v>
      </c>
      <c r="D379">
        <v>1</v>
      </c>
      <c r="E379" t="s">
        <v>594</v>
      </c>
      <c r="F379" t="s">
        <v>595</v>
      </c>
      <c r="G379" s="1"/>
      <c r="H379" t="str">
        <f>"3414971003071"</f>
        <v>3414971003071</v>
      </c>
      <c r="I379" t="s">
        <v>604</v>
      </c>
    </row>
    <row r="380" spans="1:9" x14ac:dyDescent="0.25">
      <c r="A380" t="s">
        <v>8</v>
      </c>
      <c r="B380">
        <v>66604</v>
      </c>
      <c r="C380" t="s">
        <v>613</v>
      </c>
      <c r="D380">
        <v>1</v>
      </c>
      <c r="E380" t="s">
        <v>594</v>
      </c>
      <c r="F380" t="s">
        <v>595</v>
      </c>
      <c r="G380" s="1"/>
      <c r="H380" t="str">
        <f>"3414971003132"</f>
        <v>3414971003132</v>
      </c>
      <c r="I380" t="s">
        <v>606</v>
      </c>
    </row>
    <row r="381" spans="1:9" x14ac:dyDescent="0.25">
      <c r="A381" t="s">
        <v>8</v>
      </c>
      <c r="B381">
        <v>66621</v>
      </c>
      <c r="C381" t="s">
        <v>614</v>
      </c>
      <c r="D381">
        <v>1</v>
      </c>
      <c r="E381" t="s">
        <v>594</v>
      </c>
      <c r="F381" t="s">
        <v>595</v>
      </c>
      <c r="G381" s="1"/>
      <c r="H381" t="str">
        <f>"3414970447395"</f>
        <v>3414970447395</v>
      </c>
      <c r="I381" t="s">
        <v>602</v>
      </c>
    </row>
    <row r="382" spans="1:9" x14ac:dyDescent="0.25">
      <c r="A382" t="s">
        <v>8</v>
      </c>
      <c r="B382">
        <v>66622</v>
      </c>
      <c r="C382" t="s">
        <v>615</v>
      </c>
      <c r="D382">
        <v>1</v>
      </c>
      <c r="E382" t="s">
        <v>594</v>
      </c>
      <c r="F382" t="s">
        <v>595</v>
      </c>
      <c r="G382" s="1"/>
      <c r="H382" t="str">
        <f>"3414970447425"</f>
        <v>3414970447425</v>
      </c>
      <c r="I382" t="s">
        <v>604</v>
      </c>
    </row>
    <row r="383" spans="1:9" x14ac:dyDescent="0.25">
      <c r="A383" t="s">
        <v>8</v>
      </c>
      <c r="B383">
        <v>66623</v>
      </c>
      <c r="C383" t="s">
        <v>616</v>
      </c>
      <c r="D383">
        <v>1</v>
      </c>
      <c r="E383" t="s">
        <v>594</v>
      </c>
      <c r="F383" t="s">
        <v>595</v>
      </c>
      <c r="G383" s="1"/>
      <c r="H383" t="str">
        <f>"3414970447456"</f>
        <v>3414970447456</v>
      </c>
      <c r="I383" t="s">
        <v>608</v>
      </c>
    </row>
    <row r="384" spans="1:9" x14ac:dyDescent="0.25">
      <c r="A384" t="s">
        <v>8</v>
      </c>
      <c r="B384">
        <v>66624</v>
      </c>
      <c r="C384" t="s">
        <v>617</v>
      </c>
      <c r="D384">
        <v>1</v>
      </c>
      <c r="E384" t="s">
        <v>594</v>
      </c>
      <c r="F384" t="s">
        <v>595</v>
      </c>
      <c r="G384" s="1"/>
      <c r="H384" t="str">
        <f>"3414970447487"</f>
        <v>3414970447487</v>
      </c>
      <c r="I384" t="s">
        <v>606</v>
      </c>
    </row>
    <row r="385" spans="1:9" x14ac:dyDescent="0.25">
      <c r="A385" t="s">
        <v>8</v>
      </c>
      <c r="B385">
        <v>66613</v>
      </c>
      <c r="C385" t="s">
        <v>618</v>
      </c>
      <c r="D385">
        <v>1</v>
      </c>
      <c r="E385" t="s">
        <v>594</v>
      </c>
      <c r="F385" t="s">
        <v>595</v>
      </c>
      <c r="G385" s="1"/>
      <c r="H385" t="str">
        <f>"3414971184206"</f>
        <v>3414971184206</v>
      </c>
      <c r="I385" t="s">
        <v>608</v>
      </c>
    </row>
    <row r="386" spans="1:9" x14ac:dyDescent="0.25">
      <c r="A386" t="s">
        <v>8</v>
      </c>
      <c r="B386">
        <v>66682</v>
      </c>
      <c r="C386" t="s">
        <v>619</v>
      </c>
      <c r="D386">
        <v>1</v>
      </c>
      <c r="E386" t="s">
        <v>594</v>
      </c>
      <c r="F386" t="s">
        <v>595</v>
      </c>
      <c r="G386" s="1"/>
      <c r="H386" t="str">
        <f>"3414971184299"</f>
        <v>3414971184299</v>
      </c>
      <c r="I386" t="s">
        <v>604</v>
      </c>
    </row>
    <row r="387" spans="1:9" x14ac:dyDescent="0.25">
      <c r="A387" t="s">
        <v>8</v>
      </c>
      <c r="B387">
        <v>66684</v>
      </c>
      <c r="C387" t="s">
        <v>620</v>
      </c>
      <c r="D387">
        <v>1</v>
      </c>
      <c r="E387" t="s">
        <v>594</v>
      </c>
      <c r="F387" t="s">
        <v>595</v>
      </c>
      <c r="G387" s="1"/>
      <c r="H387" t="str">
        <f>"3414971184350"</f>
        <v>3414971184350</v>
      </c>
      <c r="I387" t="s">
        <v>606</v>
      </c>
    </row>
    <row r="388" spans="1:9" x14ac:dyDescent="0.25">
      <c r="A388" t="s">
        <v>8</v>
      </c>
      <c r="B388">
        <v>68900</v>
      </c>
      <c r="C388" t="s">
        <v>621</v>
      </c>
      <c r="D388">
        <v>1</v>
      </c>
      <c r="E388" t="s">
        <v>622</v>
      </c>
      <c r="F388" t="s">
        <v>623</v>
      </c>
      <c r="G388" s="1"/>
      <c r="H388" t="str">
        <f>"3245060689001"</f>
        <v>3245060689001</v>
      </c>
      <c r="I388" t="s">
        <v>624</v>
      </c>
    </row>
    <row r="389" spans="1:9" x14ac:dyDescent="0.25">
      <c r="A389" t="s">
        <v>8</v>
      </c>
      <c r="B389">
        <v>68903</v>
      </c>
      <c r="C389" t="s">
        <v>625</v>
      </c>
      <c r="D389">
        <v>1</v>
      </c>
      <c r="E389" t="s">
        <v>622</v>
      </c>
      <c r="F389" t="s">
        <v>623</v>
      </c>
      <c r="G389" s="1"/>
      <c r="H389" t="str">
        <f>"3245060689032"</f>
        <v>3245060689032</v>
      </c>
      <c r="I389" t="s">
        <v>626</v>
      </c>
    </row>
    <row r="390" spans="1:9" x14ac:dyDescent="0.25">
      <c r="A390" t="s">
        <v>8</v>
      </c>
      <c r="B390">
        <v>68904</v>
      </c>
      <c r="C390" t="s">
        <v>627</v>
      </c>
      <c r="D390">
        <v>1</v>
      </c>
      <c r="E390" t="s">
        <v>622</v>
      </c>
      <c r="F390" t="s">
        <v>623</v>
      </c>
      <c r="H390" t="str">
        <f>"3245060689049"</f>
        <v>3245060689049</v>
      </c>
      <c r="I390" t="s">
        <v>628</v>
      </c>
    </row>
    <row r="391" spans="1:9" x14ac:dyDescent="0.25">
      <c r="A391" t="s">
        <v>8</v>
      </c>
      <c r="B391">
        <v>68905</v>
      </c>
      <c r="C391" t="s">
        <v>629</v>
      </c>
      <c r="D391">
        <v>1</v>
      </c>
      <c r="E391" t="s">
        <v>622</v>
      </c>
      <c r="F391" t="s">
        <v>623</v>
      </c>
      <c r="G391" s="1"/>
      <c r="H391" t="str">
        <f>"3245060689056"</f>
        <v>3245060689056</v>
      </c>
      <c r="I391" t="s">
        <v>630</v>
      </c>
    </row>
    <row r="392" spans="1:9" x14ac:dyDescent="0.25">
      <c r="A392" t="s">
        <v>8</v>
      </c>
      <c r="B392">
        <v>68906</v>
      </c>
      <c r="C392" t="s">
        <v>631</v>
      </c>
      <c r="D392">
        <v>1</v>
      </c>
      <c r="E392" t="s">
        <v>622</v>
      </c>
      <c r="F392" t="s">
        <v>623</v>
      </c>
      <c r="G392" s="1"/>
      <c r="H392" t="str">
        <f>"3245060689063"</f>
        <v>3245060689063</v>
      </c>
      <c r="I392" t="s">
        <v>632</v>
      </c>
    </row>
    <row r="393" spans="1:9" x14ac:dyDescent="0.25">
      <c r="A393" t="s">
        <v>8</v>
      </c>
      <c r="B393">
        <v>68907</v>
      </c>
      <c r="C393" t="s">
        <v>633</v>
      </c>
      <c r="D393">
        <v>1</v>
      </c>
      <c r="E393" t="s">
        <v>622</v>
      </c>
      <c r="F393" t="s">
        <v>623</v>
      </c>
      <c r="G393" s="1"/>
      <c r="H393" t="str">
        <f>"3245060689070"</f>
        <v>3245060689070</v>
      </c>
      <c r="I393" t="s">
        <v>634</v>
      </c>
    </row>
    <row r="394" spans="1:9" x14ac:dyDescent="0.25">
      <c r="A394" t="s">
        <v>8</v>
      </c>
      <c r="B394">
        <v>68908</v>
      </c>
      <c r="C394" t="s">
        <v>635</v>
      </c>
      <c r="D394">
        <v>1</v>
      </c>
      <c r="E394" t="s">
        <v>622</v>
      </c>
      <c r="F394" t="s">
        <v>623</v>
      </c>
      <c r="G394" s="1"/>
      <c r="H394" t="str">
        <f>"3245060689087"</f>
        <v>3245060689087</v>
      </c>
      <c r="I394" t="s">
        <v>636</v>
      </c>
    </row>
    <row r="395" spans="1:9" x14ac:dyDescent="0.25">
      <c r="A395" t="s">
        <v>8</v>
      </c>
      <c r="B395">
        <v>68922</v>
      </c>
      <c r="C395" t="s">
        <v>637</v>
      </c>
      <c r="D395">
        <v>1</v>
      </c>
      <c r="E395" t="s">
        <v>622</v>
      </c>
      <c r="F395" t="s">
        <v>623</v>
      </c>
      <c r="G395" s="1"/>
      <c r="H395" t="str">
        <f>"3245060689223"</f>
        <v>3245060689223</v>
      </c>
      <c r="I395" t="s">
        <v>638</v>
      </c>
    </row>
    <row r="396" spans="1:9" x14ac:dyDescent="0.25">
      <c r="A396" t="s">
        <v>8</v>
      </c>
      <c r="B396">
        <v>68924</v>
      </c>
      <c r="C396" t="s">
        <v>639</v>
      </c>
      <c r="D396">
        <v>1</v>
      </c>
      <c r="E396" t="s">
        <v>622</v>
      </c>
      <c r="F396" t="s">
        <v>623</v>
      </c>
      <c r="H396" t="str">
        <f>"3245060689247"</f>
        <v>3245060689247</v>
      </c>
      <c r="I396" t="s">
        <v>640</v>
      </c>
    </row>
    <row r="397" spans="1:9" x14ac:dyDescent="0.25">
      <c r="A397" t="s">
        <v>8</v>
      </c>
      <c r="B397">
        <v>68925</v>
      </c>
      <c r="C397" t="s">
        <v>641</v>
      </c>
      <c r="D397">
        <v>1</v>
      </c>
      <c r="E397" t="s">
        <v>622</v>
      </c>
      <c r="F397" t="s">
        <v>623</v>
      </c>
      <c r="G397" s="1"/>
      <c r="H397" t="str">
        <f>"3245060689254"</f>
        <v>3245060689254</v>
      </c>
      <c r="I397" t="s">
        <v>630</v>
      </c>
    </row>
    <row r="398" spans="1:9" x14ac:dyDescent="0.25">
      <c r="A398" t="s">
        <v>8</v>
      </c>
      <c r="B398">
        <v>68926</v>
      </c>
      <c r="C398" t="s">
        <v>642</v>
      </c>
      <c r="D398">
        <v>1</v>
      </c>
      <c r="E398" t="s">
        <v>622</v>
      </c>
      <c r="F398" t="s">
        <v>623</v>
      </c>
      <c r="G398" s="1"/>
      <c r="H398" t="str">
        <f>"3245060689261"</f>
        <v>3245060689261</v>
      </c>
      <c r="I398" t="s">
        <v>643</v>
      </c>
    </row>
    <row r="399" spans="1:9" x14ac:dyDescent="0.25">
      <c r="A399" t="s">
        <v>8</v>
      </c>
      <c r="B399">
        <v>68928</v>
      </c>
      <c r="C399" t="s">
        <v>644</v>
      </c>
      <c r="D399">
        <v>1</v>
      </c>
      <c r="E399" t="s">
        <v>622</v>
      </c>
      <c r="F399" t="s">
        <v>623</v>
      </c>
      <c r="G399" s="1"/>
      <c r="H399" t="str">
        <f>"3245060689285"</f>
        <v>3245060689285</v>
      </c>
      <c r="I399" t="s">
        <v>636</v>
      </c>
    </row>
    <row r="400" spans="1:9" x14ac:dyDescent="0.25">
      <c r="A400" t="s">
        <v>8</v>
      </c>
      <c r="B400">
        <v>68929</v>
      </c>
      <c r="C400" t="s">
        <v>645</v>
      </c>
      <c r="D400">
        <v>1</v>
      </c>
      <c r="E400" t="s">
        <v>622</v>
      </c>
      <c r="F400" t="s">
        <v>623</v>
      </c>
      <c r="G400" s="1"/>
      <c r="H400" t="str">
        <f>"3245060689292"</f>
        <v>3245060689292</v>
      </c>
      <c r="I400" t="s">
        <v>646</v>
      </c>
    </row>
    <row r="401" spans="1:9" x14ac:dyDescent="0.25">
      <c r="A401" t="s">
        <v>8</v>
      </c>
      <c r="B401">
        <v>68968</v>
      </c>
      <c r="C401" t="s">
        <v>647</v>
      </c>
      <c r="D401">
        <v>1</v>
      </c>
      <c r="E401" t="s">
        <v>622</v>
      </c>
      <c r="F401" t="s">
        <v>623</v>
      </c>
      <c r="G401" s="1"/>
      <c r="H401" t="str">
        <f>"3245060689681"</f>
        <v>3245060689681</v>
      </c>
      <c r="I401" t="s">
        <v>648</v>
      </c>
    </row>
    <row r="402" spans="1:9" x14ac:dyDescent="0.25">
      <c r="A402" t="s">
        <v>8</v>
      </c>
      <c r="B402">
        <v>68950</v>
      </c>
      <c r="C402" t="s">
        <v>649</v>
      </c>
      <c r="D402">
        <v>1</v>
      </c>
      <c r="E402" t="s">
        <v>622</v>
      </c>
      <c r="F402" t="s">
        <v>623</v>
      </c>
      <c r="G402" s="1"/>
      <c r="H402" t="str">
        <f>"3414970449719"</f>
        <v>3414970449719</v>
      </c>
      <c r="I402" t="s">
        <v>650</v>
      </c>
    </row>
    <row r="403" spans="1:9" x14ac:dyDescent="0.25">
      <c r="A403" t="s">
        <v>8</v>
      </c>
      <c r="B403">
        <v>68971</v>
      </c>
      <c r="C403" t="s">
        <v>651</v>
      </c>
      <c r="D403">
        <v>1</v>
      </c>
      <c r="E403" t="s">
        <v>622</v>
      </c>
      <c r="F403" t="s">
        <v>623</v>
      </c>
      <c r="G403" s="1"/>
      <c r="H403" t="str">
        <f>"3414970449733"</f>
        <v>3414970449733</v>
      </c>
      <c r="I403" t="s">
        <v>652</v>
      </c>
    </row>
    <row r="404" spans="1:9" x14ac:dyDescent="0.25">
      <c r="A404" t="s">
        <v>8</v>
      </c>
      <c r="B404">
        <v>68973</v>
      </c>
      <c r="C404" t="s">
        <v>653</v>
      </c>
      <c r="D404">
        <v>1</v>
      </c>
      <c r="E404" t="s">
        <v>622</v>
      </c>
      <c r="F404" t="s">
        <v>623</v>
      </c>
      <c r="G404" s="1"/>
      <c r="H404" t="str">
        <f>"3414970449795"</f>
        <v>3414970449795</v>
      </c>
      <c r="I404" t="s">
        <v>626</v>
      </c>
    </row>
    <row r="405" spans="1:9" x14ac:dyDescent="0.25">
      <c r="A405" t="s">
        <v>8</v>
      </c>
      <c r="B405">
        <v>68974</v>
      </c>
      <c r="C405" t="s">
        <v>654</v>
      </c>
      <c r="D405">
        <v>1</v>
      </c>
      <c r="E405" t="s">
        <v>622</v>
      </c>
      <c r="F405" t="s">
        <v>623</v>
      </c>
      <c r="H405" t="str">
        <f>"3414970449818"</f>
        <v>3414970449818</v>
      </c>
      <c r="I405" t="s">
        <v>628</v>
      </c>
    </row>
    <row r="406" spans="1:9" x14ac:dyDescent="0.25">
      <c r="A406" t="s">
        <v>8</v>
      </c>
      <c r="B406">
        <v>68975</v>
      </c>
      <c r="C406" t="s">
        <v>655</v>
      </c>
      <c r="D406">
        <v>1</v>
      </c>
      <c r="E406" t="s">
        <v>622</v>
      </c>
      <c r="F406" t="s">
        <v>623</v>
      </c>
      <c r="G406" s="1"/>
      <c r="H406" t="str">
        <f>"3414970449832"</f>
        <v>3414970449832</v>
      </c>
      <c r="I406" t="s">
        <v>630</v>
      </c>
    </row>
    <row r="407" spans="1:9" x14ac:dyDescent="0.25">
      <c r="A407" t="s">
        <v>8</v>
      </c>
      <c r="B407">
        <v>68976</v>
      </c>
      <c r="C407" t="s">
        <v>656</v>
      </c>
      <c r="D407">
        <v>1</v>
      </c>
      <c r="E407" t="s">
        <v>622</v>
      </c>
      <c r="F407" t="s">
        <v>623</v>
      </c>
      <c r="G407" s="1"/>
      <c r="H407" t="str">
        <f>"3414970449863"</f>
        <v>3414970449863</v>
      </c>
      <c r="I407" t="s">
        <v>643</v>
      </c>
    </row>
    <row r="408" spans="1:9" x14ac:dyDescent="0.25">
      <c r="A408" t="s">
        <v>8</v>
      </c>
      <c r="B408">
        <v>68978</v>
      </c>
      <c r="C408" t="s">
        <v>657</v>
      </c>
      <c r="D408">
        <v>1</v>
      </c>
      <c r="E408" t="s">
        <v>622</v>
      </c>
      <c r="F408" t="s">
        <v>623</v>
      </c>
      <c r="G408" s="1"/>
      <c r="H408" t="str">
        <f>"3414970449887"</f>
        <v>3414970449887</v>
      </c>
      <c r="I408" t="s">
        <v>636</v>
      </c>
    </row>
    <row r="409" spans="1:9" x14ac:dyDescent="0.25">
      <c r="A409" t="s">
        <v>8</v>
      </c>
      <c r="B409">
        <v>68979</v>
      </c>
      <c r="C409" t="s">
        <v>658</v>
      </c>
      <c r="D409">
        <v>1</v>
      </c>
      <c r="E409" t="s">
        <v>622</v>
      </c>
      <c r="F409" t="s">
        <v>623</v>
      </c>
      <c r="G409" s="1"/>
      <c r="H409" t="str">
        <f>"3414970449900"</f>
        <v>3414970449900</v>
      </c>
      <c r="I409" t="s">
        <v>659</v>
      </c>
    </row>
    <row r="410" spans="1:9" x14ac:dyDescent="0.25">
      <c r="A410" t="s">
        <v>8</v>
      </c>
      <c r="B410">
        <v>68981</v>
      </c>
      <c r="C410" t="s">
        <v>660</v>
      </c>
      <c r="D410">
        <v>1</v>
      </c>
      <c r="E410" t="s">
        <v>622</v>
      </c>
      <c r="F410" t="s">
        <v>623</v>
      </c>
      <c r="G410" s="1"/>
      <c r="H410" t="str">
        <f>"3414970449924"</f>
        <v>3414970449924</v>
      </c>
      <c r="I410" t="s">
        <v>661</v>
      </c>
    </row>
    <row r="411" spans="1:9" x14ac:dyDescent="0.25">
      <c r="A411" t="s">
        <v>8</v>
      </c>
      <c r="B411">
        <v>68982</v>
      </c>
      <c r="C411" t="s">
        <v>662</v>
      </c>
      <c r="D411">
        <v>1</v>
      </c>
      <c r="E411" t="s">
        <v>622</v>
      </c>
      <c r="F411" t="s">
        <v>623</v>
      </c>
      <c r="G411" s="1"/>
      <c r="H411" t="str">
        <f>"3414970449955"</f>
        <v>3414970449955</v>
      </c>
      <c r="I411" t="s">
        <v>638</v>
      </c>
    </row>
    <row r="412" spans="1:9" x14ac:dyDescent="0.25">
      <c r="A412" t="s">
        <v>8</v>
      </c>
      <c r="B412">
        <v>68983</v>
      </c>
      <c r="C412" t="s">
        <v>663</v>
      </c>
      <c r="D412">
        <v>1</v>
      </c>
      <c r="E412" t="s">
        <v>622</v>
      </c>
      <c r="F412" t="s">
        <v>623</v>
      </c>
      <c r="G412" s="1"/>
      <c r="H412" t="str">
        <f>"3414970449986"</f>
        <v>3414970449986</v>
      </c>
      <c r="I412" t="s">
        <v>630</v>
      </c>
    </row>
    <row r="413" spans="1:9" x14ac:dyDescent="0.25">
      <c r="A413" t="s">
        <v>8</v>
      </c>
      <c r="B413">
        <v>68984</v>
      </c>
      <c r="C413" t="s">
        <v>664</v>
      </c>
      <c r="D413">
        <v>1</v>
      </c>
      <c r="E413" t="s">
        <v>622</v>
      </c>
      <c r="F413" t="s">
        <v>623</v>
      </c>
      <c r="H413" t="str">
        <f>"3414970450005"</f>
        <v>3414970450005</v>
      </c>
      <c r="I413" t="s">
        <v>665</v>
      </c>
    </row>
    <row r="414" spans="1:9" x14ac:dyDescent="0.25">
      <c r="A414" t="s">
        <v>8</v>
      </c>
      <c r="B414">
        <v>68985</v>
      </c>
      <c r="C414" t="s">
        <v>666</v>
      </c>
      <c r="D414">
        <v>1</v>
      </c>
      <c r="E414" t="s">
        <v>622</v>
      </c>
      <c r="F414" t="s">
        <v>623</v>
      </c>
      <c r="G414" s="1"/>
      <c r="H414" t="str">
        <f>"3414970450029"</f>
        <v>3414970450029</v>
      </c>
      <c r="I414" t="s">
        <v>630</v>
      </c>
    </row>
    <row r="415" spans="1:9" x14ac:dyDescent="0.25">
      <c r="A415" t="s">
        <v>8</v>
      </c>
      <c r="B415">
        <v>68986</v>
      </c>
      <c r="C415" t="s">
        <v>667</v>
      </c>
      <c r="D415">
        <v>1</v>
      </c>
      <c r="E415" t="s">
        <v>622</v>
      </c>
      <c r="F415" t="s">
        <v>623</v>
      </c>
      <c r="G415" s="1"/>
      <c r="H415" t="str">
        <f>"3414970450043"</f>
        <v>3414970450043</v>
      </c>
      <c r="I415" t="s">
        <v>628</v>
      </c>
    </row>
    <row r="416" spans="1:9" x14ac:dyDescent="0.25">
      <c r="A416" t="s">
        <v>8</v>
      </c>
      <c r="B416">
        <v>68988</v>
      </c>
      <c r="C416" t="s">
        <v>668</v>
      </c>
      <c r="D416">
        <v>1</v>
      </c>
      <c r="E416" t="s">
        <v>622</v>
      </c>
      <c r="F416" t="s">
        <v>623</v>
      </c>
      <c r="G416" s="1"/>
      <c r="H416" t="str">
        <f>"3414970450081"</f>
        <v>3414970450081</v>
      </c>
      <c r="I416" t="s">
        <v>636</v>
      </c>
    </row>
    <row r="417" spans="1:9" x14ac:dyDescent="0.25">
      <c r="A417" t="s">
        <v>8</v>
      </c>
      <c r="B417">
        <v>68989</v>
      </c>
      <c r="C417" t="s">
        <v>669</v>
      </c>
      <c r="D417">
        <v>1</v>
      </c>
      <c r="E417" t="s">
        <v>622</v>
      </c>
      <c r="F417" t="s">
        <v>623</v>
      </c>
      <c r="G417" s="1"/>
      <c r="H417" t="str">
        <f>"3414970450111"</f>
        <v>3414970450111</v>
      </c>
      <c r="I417" t="s">
        <v>670</v>
      </c>
    </row>
    <row r="418" spans="1:9" x14ac:dyDescent="0.25">
      <c r="A418" t="s">
        <v>8</v>
      </c>
      <c r="B418">
        <v>68990</v>
      </c>
      <c r="C418" t="s">
        <v>671</v>
      </c>
      <c r="D418">
        <v>1</v>
      </c>
      <c r="E418" t="s">
        <v>622</v>
      </c>
      <c r="F418" t="s">
        <v>623</v>
      </c>
      <c r="G418" s="1"/>
      <c r="H418" t="str">
        <f>"3414970450135"</f>
        <v>3414970450135</v>
      </c>
      <c r="I418" t="s">
        <v>672</v>
      </c>
    </row>
    <row r="419" spans="1:9" x14ac:dyDescent="0.25">
      <c r="A419" t="s">
        <v>8</v>
      </c>
      <c r="B419">
        <v>68991</v>
      </c>
      <c r="C419" t="s">
        <v>673</v>
      </c>
      <c r="D419">
        <v>1</v>
      </c>
      <c r="E419" t="s">
        <v>622</v>
      </c>
      <c r="F419" t="s">
        <v>623</v>
      </c>
      <c r="G419" s="1"/>
      <c r="H419" t="str">
        <f>"3414970450159"</f>
        <v>3414970450159</v>
      </c>
      <c r="I419" t="s">
        <v>652</v>
      </c>
    </row>
    <row r="420" spans="1:9" x14ac:dyDescent="0.25">
      <c r="A420" t="s">
        <v>8</v>
      </c>
      <c r="B420">
        <v>68992</v>
      </c>
      <c r="C420" t="s">
        <v>674</v>
      </c>
      <c r="D420">
        <v>1</v>
      </c>
      <c r="E420" t="s">
        <v>622</v>
      </c>
      <c r="F420" t="s">
        <v>623</v>
      </c>
      <c r="G420" s="1"/>
      <c r="H420" t="str">
        <f>"3414970450180"</f>
        <v>3414970450180</v>
      </c>
      <c r="I420" t="s">
        <v>638</v>
      </c>
    </row>
    <row r="421" spans="1:9" x14ac:dyDescent="0.25">
      <c r="A421" t="s">
        <v>8</v>
      </c>
      <c r="B421">
        <v>68993</v>
      </c>
      <c r="C421" t="s">
        <v>675</v>
      </c>
      <c r="D421">
        <v>1</v>
      </c>
      <c r="E421" t="s">
        <v>622</v>
      </c>
      <c r="F421" t="s">
        <v>623</v>
      </c>
      <c r="G421" s="1"/>
      <c r="H421" t="str">
        <f>"3414970450210"</f>
        <v>3414970450210</v>
      </c>
      <c r="I421" t="s">
        <v>626</v>
      </c>
    </row>
    <row r="422" spans="1:9" x14ac:dyDescent="0.25">
      <c r="A422" t="s">
        <v>8</v>
      </c>
      <c r="B422">
        <v>68994</v>
      </c>
      <c r="C422" t="s">
        <v>676</v>
      </c>
      <c r="D422">
        <v>1</v>
      </c>
      <c r="E422" t="s">
        <v>622</v>
      </c>
      <c r="F422" t="s">
        <v>623</v>
      </c>
      <c r="H422" t="str">
        <f>"3414970450234"</f>
        <v>3414970450234</v>
      </c>
      <c r="I422" t="s">
        <v>628</v>
      </c>
    </row>
    <row r="423" spans="1:9" x14ac:dyDescent="0.25">
      <c r="A423" t="s">
        <v>8</v>
      </c>
      <c r="B423">
        <v>68998</v>
      </c>
      <c r="C423" t="s">
        <v>677</v>
      </c>
      <c r="D423">
        <v>1</v>
      </c>
      <c r="E423" t="s">
        <v>622</v>
      </c>
      <c r="F423" t="s">
        <v>623</v>
      </c>
      <c r="G423" s="1"/>
      <c r="H423" t="str">
        <f>"3414970450258"</f>
        <v>3414970450258</v>
      </c>
      <c r="I423" t="s">
        <v>636</v>
      </c>
    </row>
    <row r="424" spans="1:9" x14ac:dyDescent="0.25">
      <c r="A424" t="s">
        <v>8</v>
      </c>
      <c r="B424">
        <v>68920</v>
      </c>
      <c r="C424" t="s">
        <v>678</v>
      </c>
      <c r="D424">
        <v>1</v>
      </c>
      <c r="E424" t="s">
        <v>622</v>
      </c>
      <c r="F424" t="s">
        <v>623</v>
      </c>
      <c r="G424" s="1"/>
      <c r="H424" t="str">
        <f>"3414970709981"</f>
        <v>3414970709981</v>
      </c>
      <c r="I424" t="s">
        <v>679</v>
      </c>
    </row>
    <row r="425" spans="1:9" x14ac:dyDescent="0.25">
      <c r="A425" t="s">
        <v>8</v>
      </c>
      <c r="B425">
        <v>68963</v>
      </c>
      <c r="C425" t="s">
        <v>680</v>
      </c>
      <c r="D425">
        <v>1</v>
      </c>
      <c r="E425" t="s">
        <v>622</v>
      </c>
      <c r="F425" t="s">
        <v>623</v>
      </c>
      <c r="G425" s="1"/>
      <c r="H425" t="str">
        <f>"3414970709967"</f>
        <v>3414970709967</v>
      </c>
      <c r="I425" t="s">
        <v>681</v>
      </c>
    </row>
    <row r="426" spans="1:9" x14ac:dyDescent="0.25">
      <c r="A426" t="s">
        <v>8</v>
      </c>
      <c r="B426">
        <v>68964</v>
      </c>
      <c r="C426" t="s">
        <v>682</v>
      </c>
      <c r="D426">
        <v>1</v>
      </c>
      <c r="E426" t="s">
        <v>622</v>
      </c>
      <c r="F426" t="s">
        <v>623</v>
      </c>
      <c r="G426" s="1"/>
      <c r="H426" t="str">
        <f>"3414970710024"</f>
        <v>3414970710024</v>
      </c>
      <c r="I426" t="s">
        <v>683</v>
      </c>
    </row>
    <row r="427" spans="1:9" x14ac:dyDescent="0.25">
      <c r="A427" t="s">
        <v>8</v>
      </c>
      <c r="B427">
        <v>68970</v>
      </c>
      <c r="C427" t="s">
        <v>684</v>
      </c>
      <c r="D427">
        <v>1</v>
      </c>
      <c r="E427" t="s">
        <v>622</v>
      </c>
      <c r="F427" t="s">
        <v>623</v>
      </c>
      <c r="G427" s="1"/>
      <c r="H427" t="str">
        <f>"3414970710048"</f>
        <v>3414970710048</v>
      </c>
      <c r="I427" t="s">
        <v>672</v>
      </c>
    </row>
    <row r="428" spans="1:9" x14ac:dyDescent="0.25">
      <c r="A428" t="s">
        <v>8</v>
      </c>
      <c r="B428">
        <v>68999</v>
      </c>
      <c r="C428" t="s">
        <v>685</v>
      </c>
      <c r="D428">
        <v>1</v>
      </c>
      <c r="E428" t="s">
        <v>622</v>
      </c>
      <c r="F428" t="s">
        <v>623</v>
      </c>
      <c r="G428" s="1"/>
      <c r="H428" t="str">
        <f>"3414970709707"</f>
        <v>3414970709707</v>
      </c>
      <c r="I428" t="s">
        <v>659</v>
      </c>
    </row>
    <row r="429" spans="1:9" x14ac:dyDescent="0.25">
      <c r="A429" t="s">
        <v>8</v>
      </c>
      <c r="B429">
        <v>69075</v>
      </c>
      <c r="C429" t="s">
        <v>686</v>
      </c>
      <c r="D429">
        <v>1</v>
      </c>
      <c r="E429" t="s">
        <v>622</v>
      </c>
      <c r="F429" t="s">
        <v>623</v>
      </c>
      <c r="G429" s="1"/>
      <c r="H429" t="str">
        <f>"3414970710208"</f>
        <v>3414970710208</v>
      </c>
      <c r="I429" t="s">
        <v>626</v>
      </c>
    </row>
    <row r="430" spans="1:9" x14ac:dyDescent="0.25">
      <c r="A430" t="s">
        <v>8</v>
      </c>
      <c r="B430">
        <v>69076</v>
      </c>
      <c r="C430" t="s">
        <v>687</v>
      </c>
      <c r="D430">
        <v>1</v>
      </c>
      <c r="E430" t="s">
        <v>622</v>
      </c>
      <c r="F430" t="s">
        <v>623</v>
      </c>
      <c r="G430" s="1"/>
      <c r="H430" t="str">
        <f>"3414970710222"</f>
        <v>3414970710222</v>
      </c>
      <c r="I430" t="s">
        <v>643</v>
      </c>
    </row>
    <row r="431" spans="1:9" x14ac:dyDescent="0.25">
      <c r="A431" t="s">
        <v>8</v>
      </c>
      <c r="B431">
        <v>69078</v>
      </c>
      <c r="C431" t="s">
        <v>688</v>
      </c>
      <c r="D431">
        <v>1</v>
      </c>
      <c r="E431" t="s">
        <v>622</v>
      </c>
      <c r="F431" t="s">
        <v>623</v>
      </c>
      <c r="G431" s="1"/>
      <c r="H431" t="str">
        <f>"3414970710086"</f>
        <v>3414970710086</v>
      </c>
      <c r="I431" t="s">
        <v>689</v>
      </c>
    </row>
    <row r="432" spans="1:9" x14ac:dyDescent="0.25">
      <c r="A432" t="s">
        <v>8</v>
      </c>
      <c r="B432">
        <v>69079</v>
      </c>
      <c r="C432" t="s">
        <v>690</v>
      </c>
      <c r="D432">
        <v>1</v>
      </c>
      <c r="E432" t="s">
        <v>622</v>
      </c>
      <c r="F432" t="s">
        <v>623</v>
      </c>
      <c r="G432" s="1"/>
      <c r="H432" t="str">
        <f>"3414970710109"</f>
        <v>3414970710109</v>
      </c>
      <c r="I432" t="s">
        <v>672</v>
      </c>
    </row>
    <row r="433" spans="1:9" x14ac:dyDescent="0.25">
      <c r="A433" t="s">
        <v>8</v>
      </c>
      <c r="B433">
        <v>68781</v>
      </c>
      <c r="C433" t="s">
        <v>691</v>
      </c>
      <c r="D433">
        <v>1</v>
      </c>
      <c r="E433" t="s">
        <v>622</v>
      </c>
      <c r="F433" t="s">
        <v>623</v>
      </c>
      <c r="G433" s="1"/>
      <c r="H433" t="str">
        <f>"3414971184626"</f>
        <v>3414971184626</v>
      </c>
      <c r="I433" t="s">
        <v>652</v>
      </c>
    </row>
    <row r="434" spans="1:9" x14ac:dyDescent="0.25">
      <c r="A434" t="s">
        <v>8</v>
      </c>
      <c r="B434">
        <v>68782</v>
      </c>
      <c r="C434" t="s">
        <v>692</v>
      </c>
      <c r="D434">
        <v>1</v>
      </c>
      <c r="E434" t="s">
        <v>622</v>
      </c>
      <c r="F434" t="s">
        <v>623</v>
      </c>
      <c r="G434" s="1"/>
      <c r="H434" t="str">
        <f>"3414971184657"</f>
        <v>3414971184657</v>
      </c>
      <c r="I434" t="s">
        <v>638</v>
      </c>
    </row>
    <row r="435" spans="1:9" x14ac:dyDescent="0.25">
      <c r="A435" t="s">
        <v>8</v>
      </c>
      <c r="B435">
        <v>68783</v>
      </c>
      <c r="C435" t="s">
        <v>693</v>
      </c>
      <c r="D435">
        <v>1</v>
      </c>
      <c r="E435" t="s">
        <v>622</v>
      </c>
      <c r="F435" t="s">
        <v>623</v>
      </c>
      <c r="G435" s="1"/>
      <c r="H435" t="str">
        <f>"3414971184688"</f>
        <v>3414971184688</v>
      </c>
      <c r="I435" t="s">
        <v>694</v>
      </c>
    </row>
    <row r="436" spans="1:9" x14ac:dyDescent="0.25">
      <c r="A436" t="s">
        <v>8</v>
      </c>
      <c r="B436">
        <v>68784</v>
      </c>
      <c r="C436" t="s">
        <v>695</v>
      </c>
      <c r="D436">
        <v>1</v>
      </c>
      <c r="E436" t="s">
        <v>622</v>
      </c>
      <c r="F436" t="s">
        <v>623</v>
      </c>
      <c r="G436" s="1"/>
      <c r="H436" t="str">
        <f>"3414971184718"</f>
        <v>3414971184718</v>
      </c>
      <c r="I436" t="s">
        <v>696</v>
      </c>
    </row>
    <row r="437" spans="1:9" x14ac:dyDescent="0.25">
      <c r="A437" t="s">
        <v>8</v>
      </c>
      <c r="B437">
        <v>68792</v>
      </c>
      <c r="C437" t="s">
        <v>697</v>
      </c>
      <c r="D437">
        <v>1</v>
      </c>
      <c r="E437" t="s">
        <v>622</v>
      </c>
      <c r="F437" t="s">
        <v>623</v>
      </c>
      <c r="G437" s="1"/>
      <c r="H437" t="str">
        <f>"3414971184770"</f>
        <v>3414971184770</v>
      </c>
      <c r="I437" t="s">
        <v>638</v>
      </c>
    </row>
    <row r="438" spans="1:9" x14ac:dyDescent="0.25">
      <c r="A438" t="s">
        <v>8</v>
      </c>
      <c r="B438">
        <v>68793</v>
      </c>
      <c r="C438" t="s">
        <v>698</v>
      </c>
      <c r="D438">
        <v>1</v>
      </c>
      <c r="E438" t="s">
        <v>622</v>
      </c>
      <c r="F438" t="s">
        <v>623</v>
      </c>
      <c r="G438" s="1"/>
      <c r="H438" t="str">
        <f>"3414971184800"</f>
        <v>3414971184800</v>
      </c>
      <c r="I438" t="s">
        <v>699</v>
      </c>
    </row>
    <row r="439" spans="1:9" x14ac:dyDescent="0.25">
      <c r="A439" t="s">
        <v>8</v>
      </c>
      <c r="B439">
        <v>68794</v>
      </c>
      <c r="C439" t="s">
        <v>700</v>
      </c>
      <c r="D439">
        <v>1</v>
      </c>
      <c r="E439" t="s">
        <v>622</v>
      </c>
      <c r="F439" t="s">
        <v>623</v>
      </c>
      <c r="G439" s="1"/>
      <c r="H439" t="str">
        <f>"3414971184831"</f>
        <v>3414971184831</v>
      </c>
      <c r="I439" t="s">
        <v>640</v>
      </c>
    </row>
    <row r="440" spans="1:9" x14ac:dyDescent="0.25">
      <c r="A440" t="s">
        <v>8</v>
      </c>
      <c r="B440">
        <v>69102</v>
      </c>
      <c r="C440" t="s">
        <v>701</v>
      </c>
      <c r="D440">
        <v>1</v>
      </c>
      <c r="E440" t="s">
        <v>702</v>
      </c>
      <c r="F440" t="s">
        <v>703</v>
      </c>
      <c r="H440" t="str">
        <f>"3245060691028"</f>
        <v>3245060691028</v>
      </c>
      <c r="I440" t="s">
        <v>704</v>
      </c>
    </row>
    <row r="441" spans="1:9" x14ac:dyDescent="0.25">
      <c r="A441" t="s">
        <v>8</v>
      </c>
      <c r="B441">
        <v>69105</v>
      </c>
      <c r="C441" t="s">
        <v>705</v>
      </c>
      <c r="D441">
        <v>1</v>
      </c>
      <c r="E441" t="s">
        <v>702</v>
      </c>
      <c r="F441" t="s">
        <v>703</v>
      </c>
      <c r="G441" s="1"/>
      <c r="H441" t="str">
        <f>"3245060691059"</f>
        <v>3245060691059</v>
      </c>
      <c r="I441" t="s">
        <v>706</v>
      </c>
    </row>
    <row r="442" spans="1:9" x14ac:dyDescent="0.25">
      <c r="A442" t="s">
        <v>8</v>
      </c>
      <c r="B442">
        <v>69106</v>
      </c>
      <c r="C442" t="s">
        <v>707</v>
      </c>
      <c r="D442">
        <v>1</v>
      </c>
      <c r="E442" t="s">
        <v>702</v>
      </c>
      <c r="F442" t="s">
        <v>703</v>
      </c>
      <c r="G442" s="1"/>
      <c r="H442" t="str">
        <f>"3245060691066"</f>
        <v>3245060691066</v>
      </c>
      <c r="I442" t="s">
        <v>708</v>
      </c>
    </row>
    <row r="443" spans="1:9" x14ac:dyDescent="0.25">
      <c r="A443" t="s">
        <v>8</v>
      </c>
      <c r="B443">
        <v>69109</v>
      </c>
      <c r="C443" t="s">
        <v>709</v>
      </c>
      <c r="D443">
        <v>1</v>
      </c>
      <c r="E443" t="s">
        <v>702</v>
      </c>
      <c r="F443" t="s">
        <v>703</v>
      </c>
      <c r="G443" s="1"/>
      <c r="H443" t="str">
        <f>"3245060691097"</f>
        <v>3245060691097</v>
      </c>
      <c r="I443" t="s">
        <v>710</v>
      </c>
    </row>
    <row r="444" spans="1:9" x14ac:dyDescent="0.25">
      <c r="A444" t="s">
        <v>8</v>
      </c>
      <c r="B444">
        <v>69111</v>
      </c>
      <c r="C444" t="s">
        <v>711</v>
      </c>
      <c r="D444">
        <v>1</v>
      </c>
      <c r="E444" t="s">
        <v>702</v>
      </c>
      <c r="F444" t="s">
        <v>703</v>
      </c>
      <c r="H444" t="str">
        <f>"3245060691110"</f>
        <v>3245060691110</v>
      </c>
      <c r="I444" t="s">
        <v>694</v>
      </c>
    </row>
    <row r="445" spans="1:9" x14ac:dyDescent="0.25">
      <c r="A445" t="s">
        <v>8</v>
      </c>
      <c r="B445">
        <v>69112</v>
      </c>
      <c r="C445" t="s">
        <v>712</v>
      </c>
      <c r="D445">
        <v>1</v>
      </c>
      <c r="E445" t="s">
        <v>702</v>
      </c>
      <c r="F445" t="s">
        <v>703</v>
      </c>
      <c r="H445" t="str">
        <f>"3245060691127"</f>
        <v>3245060691127</v>
      </c>
      <c r="I445" t="s">
        <v>28</v>
      </c>
    </row>
    <row r="446" spans="1:9" x14ac:dyDescent="0.25">
      <c r="A446" t="s">
        <v>8</v>
      </c>
      <c r="B446">
        <v>69114</v>
      </c>
      <c r="C446" t="s">
        <v>713</v>
      </c>
      <c r="D446">
        <v>1</v>
      </c>
      <c r="E446" t="s">
        <v>702</v>
      </c>
      <c r="F446" t="s">
        <v>703</v>
      </c>
      <c r="H446" t="str">
        <f>"3245060691141"</f>
        <v>3245060691141</v>
      </c>
      <c r="I446" t="s">
        <v>714</v>
      </c>
    </row>
    <row r="447" spans="1:9" x14ac:dyDescent="0.25">
      <c r="A447" t="s">
        <v>8</v>
      </c>
      <c r="B447">
        <v>69115</v>
      </c>
      <c r="C447" t="s">
        <v>715</v>
      </c>
      <c r="D447">
        <v>1</v>
      </c>
      <c r="E447" t="s">
        <v>702</v>
      </c>
      <c r="F447" t="s">
        <v>703</v>
      </c>
      <c r="G447" s="1"/>
      <c r="H447" t="str">
        <f>"3245060691158"</f>
        <v>3245060691158</v>
      </c>
      <c r="I447" t="s">
        <v>706</v>
      </c>
    </row>
    <row r="448" spans="1:9" x14ac:dyDescent="0.25">
      <c r="A448" t="s">
        <v>8</v>
      </c>
      <c r="B448">
        <v>69118</v>
      </c>
      <c r="C448" t="s">
        <v>716</v>
      </c>
      <c r="D448">
        <v>1</v>
      </c>
      <c r="E448" t="s">
        <v>702</v>
      </c>
      <c r="F448" t="s">
        <v>703</v>
      </c>
      <c r="G448" s="1"/>
      <c r="H448" t="str">
        <f>"3245060691189"</f>
        <v>3245060691189</v>
      </c>
      <c r="I448" t="s">
        <v>717</v>
      </c>
    </row>
    <row r="449" spans="1:9" x14ac:dyDescent="0.25">
      <c r="A449" t="s">
        <v>8</v>
      </c>
      <c r="B449">
        <v>69119</v>
      </c>
      <c r="C449" t="s">
        <v>718</v>
      </c>
      <c r="D449">
        <v>1</v>
      </c>
      <c r="E449" t="s">
        <v>702</v>
      </c>
      <c r="F449" t="s">
        <v>703</v>
      </c>
      <c r="G449" s="1"/>
      <c r="H449" t="str">
        <f>"3245060691196"</f>
        <v>3245060691196</v>
      </c>
      <c r="I449" t="s">
        <v>710</v>
      </c>
    </row>
    <row r="450" spans="1:9" x14ac:dyDescent="0.25">
      <c r="A450" t="s">
        <v>8</v>
      </c>
      <c r="B450">
        <v>69201</v>
      </c>
      <c r="C450" t="s">
        <v>719</v>
      </c>
      <c r="D450">
        <v>1</v>
      </c>
      <c r="E450" t="s">
        <v>702</v>
      </c>
      <c r="F450" t="s">
        <v>703</v>
      </c>
      <c r="H450" t="str">
        <f>"3245060692018"</f>
        <v>3245060692018</v>
      </c>
      <c r="I450" t="s">
        <v>630</v>
      </c>
    </row>
    <row r="451" spans="1:9" x14ac:dyDescent="0.25">
      <c r="A451" t="s">
        <v>8</v>
      </c>
      <c r="B451">
        <v>69202</v>
      </c>
      <c r="C451" t="s">
        <v>720</v>
      </c>
      <c r="D451">
        <v>1</v>
      </c>
      <c r="E451" t="s">
        <v>702</v>
      </c>
      <c r="F451" t="s">
        <v>703</v>
      </c>
      <c r="H451" t="str">
        <f>"3245060692025"</f>
        <v>3245060692025</v>
      </c>
      <c r="I451" t="s">
        <v>721</v>
      </c>
    </row>
    <row r="452" spans="1:9" x14ac:dyDescent="0.25">
      <c r="A452" t="s">
        <v>8</v>
      </c>
      <c r="B452">
        <v>69203</v>
      </c>
      <c r="C452" t="s">
        <v>722</v>
      </c>
      <c r="D452">
        <v>1</v>
      </c>
      <c r="E452" t="s">
        <v>702</v>
      </c>
      <c r="F452" t="s">
        <v>703</v>
      </c>
      <c r="H452" t="str">
        <f>"3245060692032"</f>
        <v>3245060692032</v>
      </c>
      <c r="I452" t="s">
        <v>723</v>
      </c>
    </row>
    <row r="453" spans="1:9" x14ac:dyDescent="0.25">
      <c r="A453" t="s">
        <v>8</v>
      </c>
      <c r="B453">
        <v>69204</v>
      </c>
      <c r="C453" t="s">
        <v>724</v>
      </c>
      <c r="D453">
        <v>1</v>
      </c>
      <c r="E453" t="s">
        <v>702</v>
      </c>
      <c r="F453" t="s">
        <v>703</v>
      </c>
      <c r="H453" t="str">
        <f>"3245060692049"</f>
        <v>3245060692049</v>
      </c>
      <c r="I453" t="s">
        <v>725</v>
      </c>
    </row>
    <row r="454" spans="1:9" x14ac:dyDescent="0.25">
      <c r="A454" t="s">
        <v>8</v>
      </c>
      <c r="B454">
        <v>69205</v>
      </c>
      <c r="C454" t="s">
        <v>726</v>
      </c>
      <c r="D454">
        <v>1</v>
      </c>
      <c r="E454" t="s">
        <v>702</v>
      </c>
      <c r="F454" t="s">
        <v>703</v>
      </c>
      <c r="G454" s="1"/>
      <c r="H454" t="str">
        <f>"3245060692056"</f>
        <v>3245060692056</v>
      </c>
      <c r="I454" t="s">
        <v>723</v>
      </c>
    </row>
    <row r="455" spans="1:9" x14ac:dyDescent="0.25">
      <c r="A455" t="s">
        <v>8</v>
      </c>
      <c r="B455">
        <v>69208</v>
      </c>
      <c r="C455" t="s">
        <v>727</v>
      </c>
      <c r="D455">
        <v>1</v>
      </c>
      <c r="E455" t="s">
        <v>702</v>
      </c>
      <c r="F455" t="s">
        <v>703</v>
      </c>
      <c r="G455" s="1"/>
      <c r="H455" t="str">
        <f>"3245060692087"</f>
        <v>3245060692087</v>
      </c>
      <c r="I455" t="s">
        <v>717</v>
      </c>
    </row>
    <row r="456" spans="1:9" x14ac:dyDescent="0.25">
      <c r="A456" t="s">
        <v>8</v>
      </c>
      <c r="B456">
        <v>69211</v>
      </c>
      <c r="C456" t="s">
        <v>728</v>
      </c>
      <c r="D456">
        <v>1</v>
      </c>
      <c r="E456" t="s">
        <v>702</v>
      </c>
      <c r="F456" t="s">
        <v>703</v>
      </c>
      <c r="H456" t="str">
        <f>"3245060692117"</f>
        <v>3245060692117</v>
      </c>
      <c r="I456" t="s">
        <v>630</v>
      </c>
    </row>
    <row r="457" spans="1:9" x14ac:dyDescent="0.25">
      <c r="A457" t="s">
        <v>8</v>
      </c>
      <c r="B457">
        <v>69212</v>
      </c>
      <c r="C457" t="s">
        <v>729</v>
      </c>
      <c r="D457">
        <v>1</v>
      </c>
      <c r="E457" t="s">
        <v>702</v>
      </c>
      <c r="F457" t="s">
        <v>703</v>
      </c>
      <c r="H457" t="str">
        <f>"3245060692124"</f>
        <v>3245060692124</v>
      </c>
      <c r="I457" t="s">
        <v>730</v>
      </c>
    </row>
    <row r="458" spans="1:9" x14ac:dyDescent="0.25">
      <c r="A458" t="s">
        <v>8</v>
      </c>
      <c r="B458">
        <v>69213</v>
      </c>
      <c r="C458" t="s">
        <v>731</v>
      </c>
      <c r="D458">
        <v>1</v>
      </c>
      <c r="E458" t="s">
        <v>702</v>
      </c>
      <c r="F458" t="s">
        <v>703</v>
      </c>
      <c r="H458" t="str">
        <f>"3245060692131"</f>
        <v>3245060692131</v>
      </c>
      <c r="I458" t="s">
        <v>723</v>
      </c>
    </row>
    <row r="459" spans="1:9" x14ac:dyDescent="0.25">
      <c r="A459" t="s">
        <v>8</v>
      </c>
      <c r="B459">
        <v>69214</v>
      </c>
      <c r="C459" t="s">
        <v>732</v>
      </c>
      <c r="D459">
        <v>1</v>
      </c>
      <c r="E459" t="s">
        <v>702</v>
      </c>
      <c r="F459" t="s">
        <v>703</v>
      </c>
      <c r="H459" t="str">
        <f>"3245060692148"</f>
        <v>3245060692148</v>
      </c>
      <c r="I459" t="s">
        <v>725</v>
      </c>
    </row>
    <row r="460" spans="1:9" x14ac:dyDescent="0.25">
      <c r="A460" t="s">
        <v>8</v>
      </c>
      <c r="B460">
        <v>69215</v>
      </c>
      <c r="C460" t="s">
        <v>733</v>
      </c>
      <c r="D460">
        <v>1</v>
      </c>
      <c r="E460" t="s">
        <v>702</v>
      </c>
      <c r="F460" t="s">
        <v>703</v>
      </c>
      <c r="G460" s="1"/>
      <c r="H460" t="str">
        <f>"3245060692155"</f>
        <v>3245060692155</v>
      </c>
      <c r="I460" t="s">
        <v>723</v>
      </c>
    </row>
    <row r="461" spans="1:9" x14ac:dyDescent="0.25">
      <c r="A461" t="s">
        <v>8</v>
      </c>
      <c r="B461">
        <v>69218</v>
      </c>
      <c r="C461" t="s">
        <v>734</v>
      </c>
      <c r="D461">
        <v>1</v>
      </c>
      <c r="E461" t="s">
        <v>702</v>
      </c>
      <c r="F461" t="s">
        <v>703</v>
      </c>
      <c r="G461" s="1"/>
      <c r="H461" t="str">
        <f>"3245060692186"</f>
        <v>3245060692186</v>
      </c>
      <c r="I461" t="s">
        <v>672</v>
      </c>
    </row>
    <row r="462" spans="1:9" x14ac:dyDescent="0.25">
      <c r="A462" t="s">
        <v>8</v>
      </c>
      <c r="B462">
        <v>69219</v>
      </c>
      <c r="C462" t="s">
        <v>735</v>
      </c>
      <c r="D462">
        <v>1</v>
      </c>
      <c r="E462" t="s">
        <v>702</v>
      </c>
      <c r="F462" t="s">
        <v>703</v>
      </c>
      <c r="G462" s="1"/>
      <c r="H462" t="str">
        <f>"3245060692193"</f>
        <v>3245060692193</v>
      </c>
      <c r="I462" t="s">
        <v>736</v>
      </c>
    </row>
    <row r="463" spans="1:9" x14ac:dyDescent="0.25">
      <c r="A463" t="s">
        <v>8</v>
      </c>
      <c r="B463">
        <v>69222</v>
      </c>
      <c r="C463" t="s">
        <v>737</v>
      </c>
      <c r="D463">
        <v>1</v>
      </c>
      <c r="E463" t="s">
        <v>702</v>
      </c>
      <c r="F463" t="s">
        <v>703</v>
      </c>
      <c r="H463" t="str">
        <f>"3245060692223"</f>
        <v>3245060692223</v>
      </c>
      <c r="I463" t="s">
        <v>28</v>
      </c>
    </row>
    <row r="464" spans="1:9" x14ac:dyDescent="0.25">
      <c r="A464" t="s">
        <v>8</v>
      </c>
      <c r="B464">
        <v>69223</v>
      </c>
      <c r="C464" t="s">
        <v>738</v>
      </c>
      <c r="D464">
        <v>1</v>
      </c>
      <c r="E464" t="s">
        <v>702</v>
      </c>
      <c r="F464" t="s">
        <v>703</v>
      </c>
      <c r="H464" t="str">
        <f>"3245060692230"</f>
        <v>3245060692230</v>
      </c>
      <c r="I464" t="s">
        <v>706</v>
      </c>
    </row>
    <row r="465" spans="1:9" x14ac:dyDescent="0.25">
      <c r="A465" t="s">
        <v>8</v>
      </c>
      <c r="B465">
        <v>69224</v>
      </c>
      <c r="C465" t="s">
        <v>739</v>
      </c>
      <c r="D465">
        <v>1</v>
      </c>
      <c r="E465" t="s">
        <v>702</v>
      </c>
      <c r="F465" t="s">
        <v>703</v>
      </c>
      <c r="H465" t="str">
        <f>"3245060692247"</f>
        <v>3245060692247</v>
      </c>
      <c r="I465" t="s">
        <v>740</v>
      </c>
    </row>
    <row r="466" spans="1:9" x14ac:dyDescent="0.25">
      <c r="A466" t="s">
        <v>8</v>
      </c>
      <c r="B466">
        <v>69311</v>
      </c>
      <c r="C466" t="s">
        <v>741</v>
      </c>
      <c r="D466">
        <v>1</v>
      </c>
      <c r="E466" t="s">
        <v>702</v>
      </c>
      <c r="F466" t="s">
        <v>703</v>
      </c>
      <c r="H466" t="str">
        <f>"3245060693114"</f>
        <v>3245060693114</v>
      </c>
      <c r="I466" t="s">
        <v>742</v>
      </c>
    </row>
    <row r="467" spans="1:9" x14ac:dyDescent="0.25">
      <c r="A467" t="s">
        <v>8</v>
      </c>
      <c r="B467">
        <v>69312</v>
      </c>
      <c r="C467" t="s">
        <v>743</v>
      </c>
      <c r="D467">
        <v>1</v>
      </c>
      <c r="E467" t="s">
        <v>702</v>
      </c>
      <c r="F467" t="s">
        <v>703</v>
      </c>
      <c r="H467" t="str">
        <f>"3245060693121"</f>
        <v>3245060693121</v>
      </c>
      <c r="I467" t="s">
        <v>744</v>
      </c>
    </row>
    <row r="468" spans="1:9" x14ac:dyDescent="0.25">
      <c r="A468" t="s">
        <v>8</v>
      </c>
      <c r="B468">
        <v>69314</v>
      </c>
      <c r="C468" t="s">
        <v>745</v>
      </c>
      <c r="D468">
        <v>1</v>
      </c>
      <c r="E468" t="s">
        <v>702</v>
      </c>
      <c r="F468" t="s">
        <v>703</v>
      </c>
      <c r="H468" t="str">
        <f>"3245060693145"</f>
        <v>3245060693145</v>
      </c>
      <c r="I468" t="s">
        <v>746</v>
      </c>
    </row>
    <row r="469" spans="1:9" x14ac:dyDescent="0.25">
      <c r="A469" t="s">
        <v>8</v>
      </c>
      <c r="B469">
        <v>69315</v>
      </c>
      <c r="C469" t="s">
        <v>747</v>
      </c>
      <c r="D469">
        <v>1</v>
      </c>
      <c r="E469" t="s">
        <v>702</v>
      </c>
      <c r="F469" t="s">
        <v>703</v>
      </c>
      <c r="G469" s="1"/>
      <c r="H469" t="str">
        <f>"3245060693152"</f>
        <v>3245060693152</v>
      </c>
      <c r="I469" t="s">
        <v>748</v>
      </c>
    </row>
    <row r="470" spans="1:9" x14ac:dyDescent="0.25">
      <c r="A470" t="s">
        <v>8</v>
      </c>
      <c r="B470">
        <v>69301</v>
      </c>
      <c r="C470" t="s">
        <v>749</v>
      </c>
      <c r="D470">
        <v>1</v>
      </c>
      <c r="E470" t="s">
        <v>702</v>
      </c>
      <c r="F470" t="s">
        <v>703</v>
      </c>
      <c r="H470" t="str">
        <f>"3245060693015"</f>
        <v>3245060693015</v>
      </c>
      <c r="I470" t="s">
        <v>750</v>
      </c>
    </row>
    <row r="471" spans="1:9" x14ac:dyDescent="0.25">
      <c r="A471" t="s">
        <v>8</v>
      </c>
      <c r="B471">
        <v>69302</v>
      </c>
      <c r="C471" t="s">
        <v>751</v>
      </c>
      <c r="D471">
        <v>1</v>
      </c>
      <c r="E471" t="s">
        <v>702</v>
      </c>
      <c r="F471" t="s">
        <v>703</v>
      </c>
      <c r="H471" t="str">
        <f>"3245060693022"</f>
        <v>3245060693022</v>
      </c>
      <c r="I471" t="s">
        <v>752</v>
      </c>
    </row>
    <row r="472" spans="1:9" x14ac:dyDescent="0.25">
      <c r="A472" t="s">
        <v>8</v>
      </c>
      <c r="B472">
        <v>69303</v>
      </c>
      <c r="C472" t="s">
        <v>753</v>
      </c>
      <c r="D472">
        <v>1</v>
      </c>
      <c r="E472" t="s">
        <v>702</v>
      </c>
      <c r="F472" t="s">
        <v>703</v>
      </c>
      <c r="H472" t="str">
        <f>"3245060693039"</f>
        <v>3245060693039</v>
      </c>
      <c r="I472" t="s">
        <v>754</v>
      </c>
    </row>
    <row r="473" spans="1:9" x14ac:dyDescent="0.25">
      <c r="A473" t="s">
        <v>8</v>
      </c>
      <c r="B473">
        <v>69304</v>
      </c>
      <c r="C473" t="s">
        <v>755</v>
      </c>
      <c r="D473">
        <v>1</v>
      </c>
      <c r="E473" t="s">
        <v>702</v>
      </c>
      <c r="F473" t="s">
        <v>703</v>
      </c>
      <c r="H473" t="str">
        <f>"3245060693046"</f>
        <v>3245060693046</v>
      </c>
      <c r="I473" t="s">
        <v>756</v>
      </c>
    </row>
    <row r="474" spans="1:9" x14ac:dyDescent="0.25">
      <c r="A474" t="s">
        <v>8</v>
      </c>
      <c r="B474">
        <v>69305</v>
      </c>
      <c r="C474" t="s">
        <v>757</v>
      </c>
      <c r="D474">
        <v>1</v>
      </c>
      <c r="E474" t="s">
        <v>702</v>
      </c>
      <c r="F474" t="s">
        <v>703</v>
      </c>
      <c r="G474" s="1"/>
      <c r="H474" t="str">
        <f>"3245060693053"</f>
        <v>3245060693053</v>
      </c>
      <c r="I474" t="s">
        <v>748</v>
      </c>
    </row>
    <row r="475" spans="1:9" x14ac:dyDescent="0.25">
      <c r="A475" t="s">
        <v>8</v>
      </c>
      <c r="B475">
        <v>69121</v>
      </c>
      <c r="C475" t="s">
        <v>758</v>
      </c>
      <c r="D475">
        <v>1</v>
      </c>
      <c r="E475" t="s">
        <v>702</v>
      </c>
      <c r="F475" t="s">
        <v>703</v>
      </c>
      <c r="H475" t="str">
        <f>"3245060691219"</f>
        <v>3245060691219</v>
      </c>
      <c r="I475" t="s">
        <v>759</v>
      </c>
    </row>
    <row r="476" spans="1:9" x14ac:dyDescent="0.25">
      <c r="A476" t="s">
        <v>8</v>
      </c>
      <c r="B476">
        <v>69122</v>
      </c>
      <c r="C476" t="s">
        <v>760</v>
      </c>
      <c r="D476">
        <v>1</v>
      </c>
      <c r="E476" t="s">
        <v>702</v>
      </c>
      <c r="F476" t="s">
        <v>703</v>
      </c>
      <c r="H476" t="str">
        <f>"3245060691226"</f>
        <v>3245060691226</v>
      </c>
      <c r="I476" t="s">
        <v>752</v>
      </c>
    </row>
    <row r="477" spans="1:9" x14ac:dyDescent="0.25">
      <c r="A477" t="s">
        <v>8</v>
      </c>
      <c r="B477">
        <v>69123</v>
      </c>
      <c r="C477" t="s">
        <v>761</v>
      </c>
      <c r="D477">
        <v>1</v>
      </c>
      <c r="E477" t="s">
        <v>702</v>
      </c>
      <c r="F477" t="s">
        <v>703</v>
      </c>
      <c r="H477" t="str">
        <f>"3245060691233"</f>
        <v>3245060691233</v>
      </c>
      <c r="I477" t="s">
        <v>725</v>
      </c>
    </row>
    <row r="478" spans="1:9" x14ac:dyDescent="0.25">
      <c r="A478" t="s">
        <v>8</v>
      </c>
      <c r="B478">
        <v>69124</v>
      </c>
      <c r="C478" t="s">
        <v>762</v>
      </c>
      <c r="D478">
        <v>1</v>
      </c>
      <c r="E478" t="s">
        <v>702</v>
      </c>
      <c r="F478" t="s">
        <v>703</v>
      </c>
      <c r="H478" t="str">
        <f>"3245060691240"</f>
        <v>3245060691240</v>
      </c>
      <c r="I478" t="s">
        <v>756</v>
      </c>
    </row>
    <row r="479" spans="1:9" x14ac:dyDescent="0.25">
      <c r="A479" t="s">
        <v>8</v>
      </c>
      <c r="B479">
        <v>69125</v>
      </c>
      <c r="C479" t="s">
        <v>763</v>
      </c>
      <c r="D479">
        <v>1</v>
      </c>
      <c r="E479" t="s">
        <v>702</v>
      </c>
      <c r="F479" t="s">
        <v>703</v>
      </c>
      <c r="G479" s="1"/>
      <c r="H479" t="str">
        <f>"3245060691257"</f>
        <v>3245060691257</v>
      </c>
      <c r="I479" t="s">
        <v>748</v>
      </c>
    </row>
    <row r="480" spans="1:9" x14ac:dyDescent="0.25">
      <c r="A480" t="s">
        <v>8</v>
      </c>
      <c r="B480">
        <v>69351</v>
      </c>
      <c r="C480" t="s">
        <v>764</v>
      </c>
      <c r="D480">
        <v>1</v>
      </c>
      <c r="E480" t="s">
        <v>702</v>
      </c>
      <c r="F480" t="s">
        <v>703</v>
      </c>
      <c r="H480" t="str">
        <f>"3245060693510"</f>
        <v>3245060693510</v>
      </c>
      <c r="I480" t="s">
        <v>765</v>
      </c>
    </row>
    <row r="481" spans="1:9" x14ac:dyDescent="0.25">
      <c r="A481" t="s">
        <v>8</v>
      </c>
      <c r="B481">
        <v>69352</v>
      </c>
      <c r="C481" t="s">
        <v>766</v>
      </c>
      <c r="D481">
        <v>1</v>
      </c>
      <c r="E481" t="s">
        <v>702</v>
      </c>
      <c r="F481" t="s">
        <v>703</v>
      </c>
      <c r="H481" t="str">
        <f>"3245060693527"</f>
        <v>3245060693527</v>
      </c>
      <c r="I481" t="s">
        <v>767</v>
      </c>
    </row>
    <row r="482" spans="1:9" x14ac:dyDescent="0.25">
      <c r="A482" t="s">
        <v>8</v>
      </c>
      <c r="B482">
        <v>69372</v>
      </c>
      <c r="C482" t="s">
        <v>768</v>
      </c>
      <c r="D482">
        <v>1</v>
      </c>
      <c r="E482" t="s">
        <v>702</v>
      </c>
      <c r="F482" t="s">
        <v>703</v>
      </c>
      <c r="H482" t="str">
        <f>"3245060693725"</f>
        <v>3245060693725</v>
      </c>
      <c r="I482" t="s">
        <v>769</v>
      </c>
    </row>
    <row r="483" spans="1:9" x14ac:dyDescent="0.25">
      <c r="A483" t="s">
        <v>8</v>
      </c>
      <c r="B483">
        <v>69373</v>
      </c>
      <c r="C483" t="s">
        <v>770</v>
      </c>
      <c r="D483">
        <v>1</v>
      </c>
      <c r="E483" t="s">
        <v>702</v>
      </c>
      <c r="F483" t="s">
        <v>703</v>
      </c>
      <c r="H483" t="str">
        <f>"3245060693732"</f>
        <v>3245060693732</v>
      </c>
      <c r="I483" t="s">
        <v>771</v>
      </c>
    </row>
    <row r="484" spans="1:9" x14ac:dyDescent="0.25">
      <c r="A484" t="s">
        <v>8</v>
      </c>
      <c r="B484">
        <v>69375</v>
      </c>
      <c r="C484" t="s">
        <v>772</v>
      </c>
      <c r="D484">
        <v>1</v>
      </c>
      <c r="E484" t="s">
        <v>702</v>
      </c>
      <c r="F484" t="s">
        <v>703</v>
      </c>
      <c r="G484" s="1"/>
      <c r="H484" t="str">
        <f>"3245060693756"</f>
        <v>3245060693756</v>
      </c>
      <c r="I484" t="s">
        <v>773</v>
      </c>
    </row>
    <row r="485" spans="1:9" x14ac:dyDescent="0.25">
      <c r="A485" t="s">
        <v>8</v>
      </c>
      <c r="B485">
        <v>69132</v>
      </c>
      <c r="C485" t="s">
        <v>774</v>
      </c>
      <c r="D485">
        <v>1</v>
      </c>
      <c r="E485" t="s">
        <v>702</v>
      </c>
      <c r="F485" t="s">
        <v>703</v>
      </c>
      <c r="H485" t="str">
        <f>"3245060691325"</f>
        <v>3245060691325</v>
      </c>
      <c r="I485" t="s">
        <v>704</v>
      </c>
    </row>
    <row r="486" spans="1:9" x14ac:dyDescent="0.25">
      <c r="A486" t="s">
        <v>8</v>
      </c>
      <c r="B486">
        <v>69133</v>
      </c>
      <c r="C486" t="s">
        <v>775</v>
      </c>
      <c r="D486">
        <v>1</v>
      </c>
      <c r="E486" t="s">
        <v>702</v>
      </c>
      <c r="F486" t="s">
        <v>703</v>
      </c>
      <c r="H486" t="str">
        <f>"3245060691332"</f>
        <v>3245060691332</v>
      </c>
      <c r="I486" t="s">
        <v>776</v>
      </c>
    </row>
    <row r="487" spans="1:9" x14ac:dyDescent="0.25">
      <c r="A487" t="s">
        <v>8</v>
      </c>
      <c r="B487">
        <v>69134</v>
      </c>
      <c r="C487" t="s">
        <v>777</v>
      </c>
      <c r="D487">
        <v>1</v>
      </c>
      <c r="E487" t="s">
        <v>702</v>
      </c>
      <c r="F487" t="s">
        <v>703</v>
      </c>
      <c r="H487" t="str">
        <f>"3245060691349"</f>
        <v>3245060691349</v>
      </c>
      <c r="I487" t="s">
        <v>740</v>
      </c>
    </row>
    <row r="488" spans="1:9" x14ac:dyDescent="0.25">
      <c r="A488" t="s">
        <v>8</v>
      </c>
      <c r="B488">
        <v>69135</v>
      </c>
      <c r="C488" t="s">
        <v>778</v>
      </c>
      <c r="D488">
        <v>1</v>
      </c>
      <c r="E488" t="s">
        <v>702</v>
      </c>
      <c r="F488" t="s">
        <v>703</v>
      </c>
      <c r="G488" s="1"/>
      <c r="H488" t="str">
        <f>"3245060691356"</f>
        <v>3245060691356</v>
      </c>
      <c r="I488" t="s">
        <v>779</v>
      </c>
    </row>
    <row r="489" spans="1:9" x14ac:dyDescent="0.25">
      <c r="A489" t="s">
        <v>8</v>
      </c>
      <c r="B489">
        <v>69011</v>
      </c>
      <c r="C489" t="s">
        <v>780</v>
      </c>
      <c r="D489">
        <v>1</v>
      </c>
      <c r="E489" t="s">
        <v>702</v>
      </c>
      <c r="F489" t="s">
        <v>703</v>
      </c>
      <c r="H489" t="str">
        <f>"3414970450272"</f>
        <v>3414970450272</v>
      </c>
      <c r="I489" t="s">
        <v>742</v>
      </c>
    </row>
    <row r="490" spans="1:9" x14ac:dyDescent="0.25">
      <c r="A490" t="s">
        <v>8</v>
      </c>
      <c r="B490">
        <v>69013</v>
      </c>
      <c r="C490" t="s">
        <v>781</v>
      </c>
      <c r="D490">
        <v>1</v>
      </c>
      <c r="E490" t="s">
        <v>702</v>
      </c>
      <c r="F490" t="s">
        <v>703</v>
      </c>
      <c r="H490" t="str">
        <f>"3414970450319"</f>
        <v>3414970450319</v>
      </c>
      <c r="I490" t="s">
        <v>725</v>
      </c>
    </row>
    <row r="491" spans="1:9" x14ac:dyDescent="0.25">
      <c r="A491" t="s">
        <v>8</v>
      </c>
      <c r="B491">
        <v>69014</v>
      </c>
      <c r="C491" t="s">
        <v>782</v>
      </c>
      <c r="D491">
        <v>1</v>
      </c>
      <c r="E491" t="s">
        <v>702</v>
      </c>
      <c r="F491" t="s">
        <v>703</v>
      </c>
      <c r="H491" t="str">
        <f>"3414970450333"</f>
        <v>3414970450333</v>
      </c>
      <c r="I491" t="s">
        <v>783</v>
      </c>
    </row>
    <row r="492" spans="1:9" x14ac:dyDescent="0.25">
      <c r="A492" t="s">
        <v>8</v>
      </c>
      <c r="B492">
        <v>69015</v>
      </c>
      <c r="C492" t="s">
        <v>784</v>
      </c>
      <c r="D492">
        <v>1</v>
      </c>
      <c r="E492" t="s">
        <v>702</v>
      </c>
      <c r="F492" t="s">
        <v>703</v>
      </c>
      <c r="G492" s="1"/>
      <c r="H492" t="str">
        <f>"3414970450357"</f>
        <v>3414970450357</v>
      </c>
      <c r="I492" t="s">
        <v>748</v>
      </c>
    </row>
    <row r="493" spans="1:9" x14ac:dyDescent="0.25">
      <c r="A493" t="s">
        <v>8</v>
      </c>
      <c r="B493">
        <v>69021</v>
      </c>
      <c r="C493" t="s">
        <v>785</v>
      </c>
      <c r="D493">
        <v>1</v>
      </c>
      <c r="E493" t="s">
        <v>702</v>
      </c>
      <c r="F493" t="s">
        <v>703</v>
      </c>
      <c r="H493" t="str">
        <f>"3414970450371"</f>
        <v>3414970450371</v>
      </c>
      <c r="I493" t="s">
        <v>750</v>
      </c>
    </row>
    <row r="494" spans="1:9" x14ac:dyDescent="0.25">
      <c r="A494" t="s">
        <v>8</v>
      </c>
      <c r="B494">
        <v>69022</v>
      </c>
      <c r="C494" t="s">
        <v>786</v>
      </c>
      <c r="D494">
        <v>1</v>
      </c>
      <c r="E494" t="s">
        <v>702</v>
      </c>
      <c r="F494" t="s">
        <v>703</v>
      </c>
      <c r="H494" t="str">
        <f>"3414970450395"</f>
        <v>3414970450395</v>
      </c>
      <c r="I494" t="s">
        <v>744</v>
      </c>
    </row>
    <row r="495" spans="1:9" x14ac:dyDescent="0.25">
      <c r="A495" t="s">
        <v>8</v>
      </c>
      <c r="B495">
        <v>69023</v>
      </c>
      <c r="C495" t="s">
        <v>787</v>
      </c>
      <c r="D495">
        <v>1</v>
      </c>
      <c r="E495" t="s">
        <v>702</v>
      </c>
      <c r="F495" t="s">
        <v>703</v>
      </c>
      <c r="H495" t="str">
        <f>"3414970450418"</f>
        <v>3414970450418</v>
      </c>
      <c r="I495" t="s">
        <v>748</v>
      </c>
    </row>
    <row r="496" spans="1:9" x14ac:dyDescent="0.25">
      <c r="A496" t="s">
        <v>8</v>
      </c>
      <c r="B496">
        <v>69024</v>
      </c>
      <c r="C496" t="s">
        <v>788</v>
      </c>
      <c r="D496">
        <v>1</v>
      </c>
      <c r="E496" t="s">
        <v>702</v>
      </c>
      <c r="F496" t="s">
        <v>703</v>
      </c>
      <c r="H496" t="str">
        <f>"3414970450432"</f>
        <v>3414970450432</v>
      </c>
      <c r="I496" t="s">
        <v>783</v>
      </c>
    </row>
    <row r="497" spans="1:9" x14ac:dyDescent="0.25">
      <c r="A497" t="s">
        <v>8</v>
      </c>
      <c r="B497">
        <v>69025</v>
      </c>
      <c r="C497" t="s">
        <v>789</v>
      </c>
      <c r="D497">
        <v>1</v>
      </c>
      <c r="E497" t="s">
        <v>702</v>
      </c>
      <c r="F497" t="s">
        <v>703</v>
      </c>
      <c r="G497" s="1"/>
      <c r="H497" t="str">
        <f>"3414970450456"</f>
        <v>3414970450456</v>
      </c>
      <c r="I497" t="s">
        <v>748</v>
      </c>
    </row>
    <row r="498" spans="1:9" x14ac:dyDescent="0.25">
      <c r="A498" t="s">
        <v>8</v>
      </c>
      <c r="B498">
        <v>69051</v>
      </c>
      <c r="C498" t="s">
        <v>790</v>
      </c>
      <c r="D498">
        <v>1</v>
      </c>
      <c r="E498" t="s">
        <v>702</v>
      </c>
      <c r="F498" t="s">
        <v>703</v>
      </c>
      <c r="H498" t="str">
        <f>"3414970450692"</f>
        <v>3414970450692</v>
      </c>
      <c r="I498" t="s">
        <v>699</v>
      </c>
    </row>
    <row r="499" spans="1:9" x14ac:dyDescent="0.25">
      <c r="A499" t="s">
        <v>8</v>
      </c>
      <c r="B499">
        <v>69052</v>
      </c>
      <c r="C499" t="s">
        <v>791</v>
      </c>
      <c r="D499">
        <v>1</v>
      </c>
      <c r="E499" t="s">
        <v>702</v>
      </c>
      <c r="F499" t="s">
        <v>703</v>
      </c>
      <c r="H499" t="str">
        <f>"3414970450715"</f>
        <v>3414970450715</v>
      </c>
      <c r="I499" t="s">
        <v>28</v>
      </c>
    </row>
    <row r="500" spans="1:9" x14ac:dyDescent="0.25">
      <c r="A500" t="s">
        <v>8</v>
      </c>
      <c r="B500">
        <v>69053</v>
      </c>
      <c r="C500" t="s">
        <v>792</v>
      </c>
      <c r="D500">
        <v>1</v>
      </c>
      <c r="E500" t="s">
        <v>702</v>
      </c>
      <c r="F500" t="s">
        <v>703</v>
      </c>
      <c r="H500" t="str">
        <f>"3414970450739"</f>
        <v>3414970450739</v>
      </c>
      <c r="I500" t="s">
        <v>793</v>
      </c>
    </row>
    <row r="501" spans="1:9" x14ac:dyDescent="0.25">
      <c r="A501" t="s">
        <v>8</v>
      </c>
      <c r="B501">
        <v>69054</v>
      </c>
      <c r="C501" t="s">
        <v>794</v>
      </c>
      <c r="D501">
        <v>1</v>
      </c>
      <c r="E501" t="s">
        <v>702</v>
      </c>
      <c r="F501" t="s">
        <v>703</v>
      </c>
      <c r="H501" t="str">
        <f>"3414970450753"</f>
        <v>3414970450753</v>
      </c>
      <c r="I501" t="s">
        <v>795</v>
      </c>
    </row>
    <row r="502" spans="1:9" x14ac:dyDescent="0.25">
      <c r="A502" t="s">
        <v>8</v>
      </c>
      <c r="B502">
        <v>69055</v>
      </c>
      <c r="C502" t="s">
        <v>796</v>
      </c>
      <c r="D502">
        <v>1</v>
      </c>
      <c r="E502" t="s">
        <v>702</v>
      </c>
      <c r="F502" t="s">
        <v>703</v>
      </c>
      <c r="G502" s="1"/>
      <c r="H502" t="str">
        <f>"3414970450777"</f>
        <v>3414970450777</v>
      </c>
      <c r="I502" t="s">
        <v>706</v>
      </c>
    </row>
    <row r="503" spans="1:9" x14ac:dyDescent="0.25">
      <c r="A503" t="s">
        <v>8</v>
      </c>
      <c r="B503">
        <v>69058</v>
      </c>
      <c r="C503" t="s">
        <v>797</v>
      </c>
      <c r="D503">
        <v>1</v>
      </c>
      <c r="E503" t="s">
        <v>702</v>
      </c>
      <c r="F503" t="s">
        <v>703</v>
      </c>
      <c r="G503" s="1"/>
      <c r="H503" t="str">
        <f>"3414970450791"</f>
        <v>3414970450791</v>
      </c>
      <c r="I503" t="s">
        <v>798</v>
      </c>
    </row>
    <row r="504" spans="1:9" x14ac:dyDescent="0.25">
      <c r="A504" t="s">
        <v>8</v>
      </c>
      <c r="B504">
        <v>69451</v>
      </c>
      <c r="C504" t="s">
        <v>799</v>
      </c>
      <c r="D504">
        <v>1</v>
      </c>
      <c r="E504" t="s">
        <v>702</v>
      </c>
      <c r="F504" t="s">
        <v>703</v>
      </c>
      <c r="H504" t="str">
        <f>"3414970451071"</f>
        <v>3414970451071</v>
      </c>
      <c r="I504" t="s">
        <v>800</v>
      </c>
    </row>
    <row r="505" spans="1:9" x14ac:dyDescent="0.25">
      <c r="A505" t="s">
        <v>8</v>
      </c>
      <c r="B505">
        <v>69452</v>
      </c>
      <c r="C505" t="s">
        <v>801</v>
      </c>
      <c r="D505">
        <v>1</v>
      </c>
      <c r="E505" t="s">
        <v>702</v>
      </c>
      <c r="F505" t="s">
        <v>703</v>
      </c>
      <c r="H505" t="str">
        <f>"3414970451095"</f>
        <v>3414970451095</v>
      </c>
      <c r="I505" t="s">
        <v>802</v>
      </c>
    </row>
    <row r="506" spans="1:9" x14ac:dyDescent="0.25">
      <c r="A506" t="s">
        <v>8</v>
      </c>
      <c r="B506">
        <v>69453</v>
      </c>
      <c r="C506" t="s">
        <v>803</v>
      </c>
      <c r="D506">
        <v>1</v>
      </c>
      <c r="E506" t="s">
        <v>702</v>
      </c>
      <c r="F506" t="s">
        <v>703</v>
      </c>
      <c r="H506" t="str">
        <f>"3414970451118"</f>
        <v>3414970451118</v>
      </c>
      <c r="I506" t="s">
        <v>748</v>
      </c>
    </row>
    <row r="507" spans="1:9" x14ac:dyDescent="0.25">
      <c r="A507" t="s">
        <v>8</v>
      </c>
      <c r="B507">
        <v>76601</v>
      </c>
      <c r="C507" t="s">
        <v>804</v>
      </c>
      <c r="D507">
        <v>1</v>
      </c>
      <c r="E507" t="s">
        <v>805</v>
      </c>
      <c r="F507" t="s">
        <v>806</v>
      </c>
      <c r="G507" s="1"/>
      <c r="H507" t="str">
        <f>"3245060766016"</f>
        <v>3245060766016</v>
      </c>
      <c r="I507" t="s">
        <v>807</v>
      </c>
    </row>
    <row r="508" spans="1:9" x14ac:dyDescent="0.25">
      <c r="A508" t="s">
        <v>8</v>
      </c>
      <c r="B508">
        <v>76602</v>
      </c>
      <c r="C508" t="s">
        <v>808</v>
      </c>
      <c r="D508">
        <v>1</v>
      </c>
      <c r="E508" t="s">
        <v>805</v>
      </c>
      <c r="F508" t="s">
        <v>806</v>
      </c>
      <c r="G508" s="1"/>
      <c r="H508" t="str">
        <f>"3245060766023"</f>
        <v>3245060766023</v>
      </c>
      <c r="I508" t="s">
        <v>809</v>
      </c>
    </row>
    <row r="509" spans="1:9" x14ac:dyDescent="0.25">
      <c r="A509" t="s">
        <v>8</v>
      </c>
      <c r="B509">
        <v>76630</v>
      </c>
      <c r="C509" t="s">
        <v>810</v>
      </c>
      <c r="D509">
        <v>1</v>
      </c>
      <c r="E509" t="s">
        <v>805</v>
      </c>
      <c r="F509" t="s">
        <v>806</v>
      </c>
      <c r="G509" s="1"/>
      <c r="H509" t="str">
        <f>"3245060766306"</f>
        <v>3245060766306</v>
      </c>
      <c r="I509" t="s">
        <v>811</v>
      </c>
    </row>
    <row r="510" spans="1:9" x14ac:dyDescent="0.25">
      <c r="A510" t="s">
        <v>8</v>
      </c>
      <c r="B510">
        <v>76720</v>
      </c>
      <c r="C510" t="s">
        <v>812</v>
      </c>
      <c r="D510">
        <v>1</v>
      </c>
      <c r="E510" t="s">
        <v>805</v>
      </c>
      <c r="F510" t="s">
        <v>806</v>
      </c>
      <c r="G510" s="1"/>
      <c r="H510" t="str">
        <f>"4010957767204"</f>
        <v>4010957767204</v>
      </c>
      <c r="I510" t="s">
        <v>813</v>
      </c>
    </row>
    <row r="511" spans="1:9" x14ac:dyDescent="0.25">
      <c r="A511" t="s">
        <v>8</v>
      </c>
      <c r="B511">
        <v>77014</v>
      </c>
      <c r="C511" t="s">
        <v>814</v>
      </c>
      <c r="D511">
        <v>1</v>
      </c>
      <c r="E511" t="s">
        <v>805</v>
      </c>
      <c r="F511" t="s">
        <v>806</v>
      </c>
      <c r="G511" s="1"/>
      <c r="H511" t="str">
        <f>"3245060770143"</f>
        <v>3245060770143</v>
      </c>
      <c r="I511" t="s">
        <v>815</v>
      </c>
    </row>
    <row r="512" spans="1:9" x14ac:dyDescent="0.25">
      <c r="A512" t="s">
        <v>8</v>
      </c>
      <c r="B512">
        <v>77025</v>
      </c>
      <c r="C512" t="s">
        <v>816</v>
      </c>
      <c r="D512">
        <v>1</v>
      </c>
      <c r="E512" t="s">
        <v>805</v>
      </c>
      <c r="F512" t="s">
        <v>806</v>
      </c>
      <c r="G512" s="1"/>
      <c r="H512" t="str">
        <f>"3245060770259"</f>
        <v>3245060770259</v>
      </c>
      <c r="I512" t="s">
        <v>817</v>
      </c>
    </row>
    <row r="513" spans="1:9" x14ac:dyDescent="0.25">
      <c r="A513" t="s">
        <v>8</v>
      </c>
      <c r="B513">
        <v>77026</v>
      </c>
      <c r="C513" t="s">
        <v>818</v>
      </c>
      <c r="D513">
        <v>1</v>
      </c>
      <c r="E513" t="s">
        <v>805</v>
      </c>
      <c r="F513" t="s">
        <v>806</v>
      </c>
      <c r="G513" s="1"/>
      <c r="H513" t="str">
        <f>"3245060770266"</f>
        <v>3245060770266</v>
      </c>
      <c r="I513" t="s">
        <v>819</v>
      </c>
    </row>
    <row r="514" spans="1:9" x14ac:dyDescent="0.25">
      <c r="A514" t="s">
        <v>8</v>
      </c>
      <c r="B514">
        <v>77044</v>
      </c>
      <c r="C514" t="s">
        <v>820</v>
      </c>
      <c r="D514">
        <v>1</v>
      </c>
      <c r="E514" t="s">
        <v>805</v>
      </c>
      <c r="F514" t="s">
        <v>806</v>
      </c>
      <c r="G514" s="1"/>
      <c r="H514" t="str">
        <f>"3245060770440"</f>
        <v>3245060770440</v>
      </c>
      <c r="I514" t="s">
        <v>821</v>
      </c>
    </row>
    <row r="515" spans="1:9" x14ac:dyDescent="0.25">
      <c r="A515" t="s">
        <v>8</v>
      </c>
      <c r="B515">
        <v>77072</v>
      </c>
      <c r="C515" t="s">
        <v>822</v>
      </c>
      <c r="D515">
        <v>1</v>
      </c>
      <c r="E515" t="s">
        <v>805</v>
      </c>
      <c r="F515" t="s">
        <v>806</v>
      </c>
      <c r="G515" s="1"/>
      <c r="H515" t="str">
        <f>"3245060770723"</f>
        <v>3245060770723</v>
      </c>
      <c r="I515" t="s">
        <v>823</v>
      </c>
    </row>
    <row r="516" spans="1:9" x14ac:dyDescent="0.25">
      <c r="A516" t="s">
        <v>8</v>
      </c>
      <c r="B516">
        <v>77073</v>
      </c>
      <c r="C516" t="s">
        <v>824</v>
      </c>
      <c r="D516">
        <v>1</v>
      </c>
      <c r="E516" t="s">
        <v>805</v>
      </c>
      <c r="F516" t="s">
        <v>806</v>
      </c>
      <c r="G516" s="1"/>
      <c r="H516" t="str">
        <f>"3245060770730"</f>
        <v>3245060770730</v>
      </c>
      <c r="I516" t="s">
        <v>825</v>
      </c>
    </row>
    <row r="517" spans="1:9" x14ac:dyDescent="0.25">
      <c r="A517" t="s">
        <v>8</v>
      </c>
      <c r="B517">
        <v>77074</v>
      </c>
      <c r="C517" t="s">
        <v>826</v>
      </c>
      <c r="D517">
        <v>1</v>
      </c>
      <c r="E517" t="s">
        <v>805</v>
      </c>
      <c r="F517" t="s">
        <v>806</v>
      </c>
      <c r="G517" s="1"/>
      <c r="H517" t="str">
        <f>"3245060770747"</f>
        <v>3245060770747</v>
      </c>
      <c r="I517" t="s">
        <v>827</v>
      </c>
    </row>
    <row r="518" spans="1:9" x14ac:dyDescent="0.25">
      <c r="A518" t="s">
        <v>8</v>
      </c>
      <c r="B518">
        <v>77075</v>
      </c>
      <c r="C518" t="s">
        <v>828</v>
      </c>
      <c r="D518">
        <v>1</v>
      </c>
      <c r="E518" t="s">
        <v>805</v>
      </c>
      <c r="F518" t="s">
        <v>806</v>
      </c>
      <c r="G518" s="1"/>
      <c r="H518" t="str">
        <f>"3245060770754"</f>
        <v>3245060770754</v>
      </c>
      <c r="I518" t="s">
        <v>829</v>
      </c>
    </row>
    <row r="519" spans="1:9" x14ac:dyDescent="0.25">
      <c r="A519" t="s">
        <v>8</v>
      </c>
      <c r="B519">
        <v>77080</v>
      </c>
      <c r="C519" t="s">
        <v>830</v>
      </c>
      <c r="D519">
        <v>1</v>
      </c>
      <c r="E519" t="s">
        <v>805</v>
      </c>
      <c r="F519" t="s">
        <v>806</v>
      </c>
      <c r="G519" s="1"/>
      <c r="H519" t="str">
        <f>"3245060770808"</f>
        <v>3245060770808</v>
      </c>
      <c r="I519" t="s">
        <v>831</v>
      </c>
    </row>
    <row r="520" spans="1:9" x14ac:dyDescent="0.25">
      <c r="A520" t="s">
        <v>8</v>
      </c>
      <c r="B520">
        <v>77118</v>
      </c>
      <c r="C520" t="s">
        <v>832</v>
      </c>
      <c r="D520">
        <v>1</v>
      </c>
      <c r="E520" t="s">
        <v>805</v>
      </c>
      <c r="F520" t="s">
        <v>806</v>
      </c>
      <c r="G520" s="1"/>
      <c r="H520" t="str">
        <f>"3245060771188"</f>
        <v>3245060771188</v>
      </c>
      <c r="I520" t="s">
        <v>833</v>
      </c>
    </row>
    <row r="521" spans="1:9" x14ac:dyDescent="0.25">
      <c r="A521" t="s">
        <v>8</v>
      </c>
      <c r="B521">
        <v>77150</v>
      </c>
      <c r="C521" t="s">
        <v>834</v>
      </c>
      <c r="D521">
        <v>1</v>
      </c>
      <c r="E521" t="s">
        <v>805</v>
      </c>
      <c r="F521" t="s">
        <v>806</v>
      </c>
      <c r="G521" s="1"/>
      <c r="H521" t="str">
        <f>"3245060771508"</f>
        <v>3245060771508</v>
      </c>
      <c r="I521" t="s">
        <v>835</v>
      </c>
    </row>
    <row r="522" spans="1:9" x14ac:dyDescent="0.25">
      <c r="A522" t="s">
        <v>8</v>
      </c>
      <c r="B522">
        <v>77213</v>
      </c>
      <c r="C522" t="s">
        <v>836</v>
      </c>
      <c r="D522">
        <v>1</v>
      </c>
      <c r="E522" t="s">
        <v>805</v>
      </c>
      <c r="F522" t="s">
        <v>806</v>
      </c>
      <c r="G522" s="1"/>
      <c r="H522" t="str">
        <f>"3245060772130"</f>
        <v>3245060772130</v>
      </c>
      <c r="I522" t="s">
        <v>837</v>
      </c>
    </row>
    <row r="523" spans="1:9" x14ac:dyDescent="0.25">
      <c r="A523" t="s">
        <v>8</v>
      </c>
      <c r="B523">
        <v>77214</v>
      </c>
      <c r="C523" t="s">
        <v>838</v>
      </c>
      <c r="D523">
        <v>1</v>
      </c>
      <c r="E523" t="s">
        <v>805</v>
      </c>
      <c r="F523" t="s">
        <v>806</v>
      </c>
      <c r="G523" s="1"/>
      <c r="H523" t="str">
        <f>"3245060772147"</f>
        <v>3245060772147</v>
      </c>
      <c r="I523" t="s">
        <v>839</v>
      </c>
    </row>
    <row r="524" spans="1:9" x14ac:dyDescent="0.25">
      <c r="A524" t="s">
        <v>8</v>
      </c>
      <c r="B524">
        <v>77503</v>
      </c>
      <c r="C524" t="s">
        <v>840</v>
      </c>
      <c r="D524">
        <v>1</v>
      </c>
      <c r="E524" t="s">
        <v>805</v>
      </c>
      <c r="F524" t="s">
        <v>806</v>
      </c>
      <c r="G524" s="1"/>
      <c r="H524" t="str">
        <f>"3245060775032"</f>
        <v>3245060775032</v>
      </c>
      <c r="I524" t="s">
        <v>841</v>
      </c>
    </row>
    <row r="525" spans="1:9" x14ac:dyDescent="0.25">
      <c r="A525" t="s">
        <v>8</v>
      </c>
      <c r="B525">
        <v>77504</v>
      </c>
      <c r="C525" t="s">
        <v>842</v>
      </c>
      <c r="D525">
        <v>1</v>
      </c>
      <c r="E525" t="s">
        <v>805</v>
      </c>
      <c r="F525" t="s">
        <v>806</v>
      </c>
      <c r="G525" s="1"/>
      <c r="H525" t="str">
        <f>"3245060775049"</f>
        <v>3245060775049</v>
      </c>
      <c r="I525" t="s">
        <v>843</v>
      </c>
    </row>
    <row r="526" spans="1:9" x14ac:dyDescent="0.25">
      <c r="A526" t="s">
        <v>8</v>
      </c>
      <c r="B526">
        <v>77505</v>
      </c>
      <c r="C526" t="s">
        <v>844</v>
      </c>
      <c r="D526">
        <v>1</v>
      </c>
      <c r="E526" t="s">
        <v>805</v>
      </c>
      <c r="F526" t="s">
        <v>806</v>
      </c>
      <c r="G526" s="1"/>
      <c r="H526" t="str">
        <f>"3245060775056"</f>
        <v>3245060775056</v>
      </c>
      <c r="I526" t="s">
        <v>845</v>
      </c>
    </row>
    <row r="527" spans="1:9" x14ac:dyDescent="0.25">
      <c r="A527" t="s">
        <v>8</v>
      </c>
      <c r="B527">
        <v>77506</v>
      </c>
      <c r="C527" t="s">
        <v>846</v>
      </c>
      <c r="D527">
        <v>1</v>
      </c>
      <c r="E527" t="s">
        <v>805</v>
      </c>
      <c r="F527" t="s">
        <v>806</v>
      </c>
      <c r="G527" s="1"/>
      <c r="H527" t="str">
        <f>"3245060775063"</f>
        <v>3245060775063</v>
      </c>
      <c r="I527" t="s">
        <v>847</v>
      </c>
    </row>
    <row r="528" spans="1:9" x14ac:dyDescent="0.25">
      <c r="A528" t="s">
        <v>8</v>
      </c>
      <c r="B528">
        <v>77511</v>
      </c>
      <c r="C528" t="s">
        <v>848</v>
      </c>
      <c r="D528">
        <v>1</v>
      </c>
      <c r="E528" t="s">
        <v>805</v>
      </c>
      <c r="F528" t="s">
        <v>806</v>
      </c>
      <c r="G528" s="1"/>
      <c r="H528" t="str">
        <f>"3245060775117"</f>
        <v>3245060775117</v>
      </c>
      <c r="I528" t="s">
        <v>849</v>
      </c>
    </row>
    <row r="529" spans="1:9" x14ac:dyDescent="0.25">
      <c r="A529" t="s">
        <v>8</v>
      </c>
      <c r="B529">
        <v>77540</v>
      </c>
      <c r="C529" t="s">
        <v>850</v>
      </c>
      <c r="D529">
        <v>1</v>
      </c>
      <c r="E529" t="s">
        <v>805</v>
      </c>
      <c r="F529" t="s">
        <v>806</v>
      </c>
      <c r="G529" s="1"/>
      <c r="H529" t="str">
        <f>"3245060775407"</f>
        <v>3245060775407</v>
      </c>
      <c r="I529" t="s">
        <v>851</v>
      </c>
    </row>
    <row r="530" spans="1:9" x14ac:dyDescent="0.25">
      <c r="A530" t="s">
        <v>8</v>
      </c>
      <c r="B530">
        <v>77541</v>
      </c>
      <c r="C530" t="s">
        <v>852</v>
      </c>
      <c r="D530">
        <v>1</v>
      </c>
      <c r="E530" t="s">
        <v>805</v>
      </c>
      <c r="F530" t="s">
        <v>806</v>
      </c>
      <c r="G530" s="1"/>
      <c r="H530" t="str">
        <f>"3245060775414"</f>
        <v>3245060775414</v>
      </c>
      <c r="I530" t="s">
        <v>798</v>
      </c>
    </row>
    <row r="531" spans="1:9" x14ac:dyDescent="0.25">
      <c r="A531" t="s">
        <v>8</v>
      </c>
      <c r="B531">
        <v>77551</v>
      </c>
      <c r="C531" t="s">
        <v>853</v>
      </c>
      <c r="D531">
        <v>1</v>
      </c>
      <c r="E531" t="s">
        <v>805</v>
      </c>
      <c r="F531" t="s">
        <v>806</v>
      </c>
      <c r="G531" s="1"/>
      <c r="H531" t="str">
        <f>"3245060775513"</f>
        <v>3245060775513</v>
      </c>
      <c r="I531" t="s">
        <v>854</v>
      </c>
    </row>
    <row r="532" spans="1:9" x14ac:dyDescent="0.25">
      <c r="A532" t="s">
        <v>8</v>
      </c>
      <c r="B532">
        <v>77552</v>
      </c>
      <c r="C532" t="s">
        <v>855</v>
      </c>
      <c r="D532">
        <v>1</v>
      </c>
      <c r="E532" t="s">
        <v>805</v>
      </c>
      <c r="F532" t="s">
        <v>806</v>
      </c>
      <c r="G532" s="1"/>
      <c r="H532" t="str">
        <f>"3245060775520"</f>
        <v>3245060775520</v>
      </c>
      <c r="I532" t="s">
        <v>856</v>
      </c>
    </row>
    <row r="533" spans="1:9" x14ac:dyDescent="0.25">
      <c r="A533" t="s">
        <v>8</v>
      </c>
      <c r="B533">
        <v>77553</v>
      </c>
      <c r="C533" t="s">
        <v>857</v>
      </c>
      <c r="D533">
        <v>1</v>
      </c>
      <c r="E533" t="s">
        <v>805</v>
      </c>
      <c r="F533" t="s">
        <v>806</v>
      </c>
      <c r="G533" s="1"/>
      <c r="H533" t="str">
        <f>"3245060775537"</f>
        <v>3245060775537</v>
      </c>
      <c r="I533" t="s">
        <v>858</v>
      </c>
    </row>
    <row r="534" spans="1:9" x14ac:dyDescent="0.25">
      <c r="A534" t="s">
        <v>8</v>
      </c>
      <c r="B534">
        <v>78404</v>
      </c>
      <c r="C534" t="s">
        <v>859</v>
      </c>
      <c r="D534">
        <v>1</v>
      </c>
      <c r="E534" t="s">
        <v>805</v>
      </c>
      <c r="F534" t="s">
        <v>806</v>
      </c>
      <c r="G534" s="1"/>
      <c r="H534" t="str">
        <f>"3245060784041"</f>
        <v>3245060784041</v>
      </c>
      <c r="I534" t="s">
        <v>860</v>
      </c>
    </row>
    <row r="535" spans="1:9" x14ac:dyDescent="0.25">
      <c r="A535" t="s">
        <v>8</v>
      </c>
      <c r="B535">
        <v>78510</v>
      </c>
      <c r="C535" t="s">
        <v>861</v>
      </c>
      <c r="D535">
        <v>1</v>
      </c>
      <c r="E535" t="s">
        <v>805</v>
      </c>
      <c r="F535" t="s">
        <v>806</v>
      </c>
      <c r="G535" s="1"/>
      <c r="H535" t="str">
        <f>"3245060785109"</f>
        <v>3245060785109</v>
      </c>
      <c r="I535" t="s">
        <v>862</v>
      </c>
    </row>
    <row r="536" spans="1:9" x14ac:dyDescent="0.25">
      <c r="A536" t="s">
        <v>8</v>
      </c>
      <c r="B536">
        <v>78602</v>
      </c>
      <c r="C536" t="s">
        <v>863</v>
      </c>
      <c r="D536">
        <v>1</v>
      </c>
      <c r="E536" t="s">
        <v>805</v>
      </c>
      <c r="F536" t="s">
        <v>806</v>
      </c>
      <c r="G536" s="1"/>
      <c r="H536" t="str">
        <f>"3245060786021"</f>
        <v>3245060786021</v>
      </c>
      <c r="I536" t="s">
        <v>864</v>
      </c>
    </row>
    <row r="537" spans="1:9" x14ac:dyDescent="0.25">
      <c r="A537" t="s">
        <v>8</v>
      </c>
      <c r="B537">
        <v>78603</v>
      </c>
      <c r="C537" t="s">
        <v>865</v>
      </c>
      <c r="D537">
        <v>1</v>
      </c>
      <c r="E537" t="s">
        <v>805</v>
      </c>
      <c r="F537" t="s">
        <v>806</v>
      </c>
      <c r="G537" s="1"/>
      <c r="H537" t="str">
        <f>"3245060786038"</f>
        <v>3245060786038</v>
      </c>
      <c r="I537" t="s">
        <v>866</v>
      </c>
    </row>
    <row r="538" spans="1:9" x14ac:dyDescent="0.25">
      <c r="A538" t="s">
        <v>8</v>
      </c>
      <c r="B538">
        <v>78730</v>
      </c>
      <c r="C538" t="s">
        <v>867</v>
      </c>
      <c r="D538">
        <v>1</v>
      </c>
      <c r="E538" t="s">
        <v>805</v>
      </c>
      <c r="F538" t="s">
        <v>806</v>
      </c>
      <c r="G538" s="1"/>
      <c r="H538" t="str">
        <f>"3245060787301"</f>
        <v>3245060787301</v>
      </c>
      <c r="I538" t="s">
        <v>868</v>
      </c>
    </row>
    <row r="539" spans="1:9" x14ac:dyDescent="0.25">
      <c r="A539" t="s">
        <v>8</v>
      </c>
      <c r="B539">
        <v>78731</v>
      </c>
      <c r="C539" t="s">
        <v>869</v>
      </c>
      <c r="D539">
        <v>1</v>
      </c>
      <c r="E539" t="s">
        <v>805</v>
      </c>
      <c r="F539" t="s">
        <v>806</v>
      </c>
      <c r="G539" s="1"/>
      <c r="H539" t="str">
        <f>"3245060787318"</f>
        <v>3245060787318</v>
      </c>
      <c r="I539" t="s">
        <v>870</v>
      </c>
    </row>
    <row r="540" spans="1:9" x14ac:dyDescent="0.25">
      <c r="A540" t="s">
        <v>8</v>
      </c>
      <c r="B540">
        <v>78732</v>
      </c>
      <c r="C540" t="s">
        <v>871</v>
      </c>
      <c r="D540">
        <v>1</v>
      </c>
      <c r="E540" t="s">
        <v>805</v>
      </c>
      <c r="F540" t="s">
        <v>806</v>
      </c>
      <c r="G540" s="1"/>
      <c r="H540" t="str">
        <f>"3245060787325"</f>
        <v>3245060787325</v>
      </c>
      <c r="I540" t="s">
        <v>872</v>
      </c>
    </row>
    <row r="541" spans="1:9" x14ac:dyDescent="0.25">
      <c r="A541" t="s">
        <v>8</v>
      </c>
      <c r="B541">
        <v>78738</v>
      </c>
      <c r="C541" t="s">
        <v>873</v>
      </c>
      <c r="D541">
        <v>1</v>
      </c>
      <c r="E541" t="s">
        <v>805</v>
      </c>
      <c r="F541" t="s">
        <v>806</v>
      </c>
      <c r="G541" s="1"/>
      <c r="H541" t="str">
        <f>"3245060787387"</f>
        <v>3245060787387</v>
      </c>
      <c r="I541" t="s">
        <v>874</v>
      </c>
    </row>
    <row r="542" spans="1:9" x14ac:dyDescent="0.25">
      <c r="A542" t="s">
        <v>8</v>
      </c>
      <c r="B542">
        <v>78751</v>
      </c>
      <c r="C542" t="s">
        <v>875</v>
      </c>
      <c r="D542">
        <v>1</v>
      </c>
      <c r="E542" t="s">
        <v>805</v>
      </c>
      <c r="F542" t="s">
        <v>806</v>
      </c>
      <c r="G542" s="1"/>
      <c r="H542" t="str">
        <f>"3245060787516"</f>
        <v>3245060787516</v>
      </c>
      <c r="I542" t="s">
        <v>876</v>
      </c>
    </row>
    <row r="543" spans="1:9" x14ac:dyDescent="0.25">
      <c r="A543" t="s">
        <v>8</v>
      </c>
      <c r="B543">
        <v>78753</v>
      </c>
      <c r="C543" t="s">
        <v>877</v>
      </c>
      <c r="D543">
        <v>1</v>
      </c>
      <c r="E543" t="s">
        <v>805</v>
      </c>
      <c r="F543" t="s">
        <v>806</v>
      </c>
      <c r="G543" s="1"/>
      <c r="H543" t="str">
        <f>"3245060787530"</f>
        <v>3245060787530</v>
      </c>
      <c r="I543" t="s">
        <v>878</v>
      </c>
    </row>
    <row r="544" spans="1:9" x14ac:dyDescent="0.25">
      <c r="A544" t="s">
        <v>8</v>
      </c>
      <c r="B544">
        <v>78754</v>
      </c>
      <c r="C544" t="s">
        <v>879</v>
      </c>
      <c r="D544">
        <v>1</v>
      </c>
      <c r="E544" t="s">
        <v>805</v>
      </c>
      <c r="F544" t="s">
        <v>806</v>
      </c>
      <c r="G544" s="1"/>
      <c r="H544" t="str">
        <f>"3245060787547"</f>
        <v>3245060787547</v>
      </c>
      <c r="I544" t="s">
        <v>880</v>
      </c>
    </row>
    <row r="545" spans="1:9" x14ac:dyDescent="0.25">
      <c r="A545" t="s">
        <v>8</v>
      </c>
      <c r="B545">
        <v>78755</v>
      </c>
      <c r="C545" t="s">
        <v>881</v>
      </c>
      <c r="D545">
        <v>1</v>
      </c>
      <c r="E545" t="s">
        <v>805</v>
      </c>
      <c r="F545" t="s">
        <v>806</v>
      </c>
      <c r="G545" s="1"/>
      <c r="H545" t="str">
        <f>"3245060787554"</f>
        <v>3245060787554</v>
      </c>
      <c r="I545" t="s">
        <v>882</v>
      </c>
    </row>
    <row r="546" spans="1:9" x14ac:dyDescent="0.25">
      <c r="A546" t="s">
        <v>8</v>
      </c>
      <c r="B546">
        <v>78756</v>
      </c>
      <c r="C546" t="s">
        <v>883</v>
      </c>
      <c r="D546">
        <v>1</v>
      </c>
      <c r="E546" t="s">
        <v>805</v>
      </c>
      <c r="F546" t="s">
        <v>806</v>
      </c>
      <c r="G546" s="1"/>
      <c r="H546" t="str">
        <f>"3245060787561"</f>
        <v>3245060787561</v>
      </c>
      <c r="I546" t="s">
        <v>884</v>
      </c>
    </row>
    <row r="547" spans="1:9" x14ac:dyDescent="0.25">
      <c r="A547" t="s">
        <v>8</v>
      </c>
      <c r="B547">
        <v>78757</v>
      </c>
      <c r="C547" t="s">
        <v>885</v>
      </c>
      <c r="D547">
        <v>1</v>
      </c>
      <c r="E547" t="s">
        <v>805</v>
      </c>
      <c r="F547" t="s">
        <v>806</v>
      </c>
      <c r="G547" s="1"/>
      <c r="H547" t="str">
        <f>"3245060787578"</f>
        <v>3245060787578</v>
      </c>
      <c r="I547" t="s">
        <v>886</v>
      </c>
    </row>
    <row r="548" spans="1:9" x14ac:dyDescent="0.25">
      <c r="A548" t="s">
        <v>8</v>
      </c>
      <c r="B548">
        <v>78758</v>
      </c>
      <c r="C548" t="s">
        <v>887</v>
      </c>
      <c r="D548">
        <v>1</v>
      </c>
      <c r="E548" t="s">
        <v>805</v>
      </c>
      <c r="F548" t="s">
        <v>806</v>
      </c>
      <c r="G548" s="1"/>
      <c r="H548" t="str">
        <f>"3245060787585"</f>
        <v>3245060787585</v>
      </c>
      <c r="I548" t="s">
        <v>888</v>
      </c>
    </row>
    <row r="549" spans="1:9" x14ac:dyDescent="0.25">
      <c r="A549" t="s">
        <v>8</v>
      </c>
      <c r="B549">
        <v>78760</v>
      </c>
      <c r="C549" t="s">
        <v>889</v>
      </c>
      <c r="D549">
        <v>1</v>
      </c>
      <c r="E549" t="s">
        <v>805</v>
      </c>
      <c r="F549" t="s">
        <v>806</v>
      </c>
      <c r="G549" s="1"/>
      <c r="H549" t="str">
        <f>"3245060787608"</f>
        <v>3245060787608</v>
      </c>
      <c r="I549" t="s">
        <v>890</v>
      </c>
    </row>
    <row r="550" spans="1:9" x14ac:dyDescent="0.25">
      <c r="A550" t="s">
        <v>8</v>
      </c>
      <c r="B550">
        <v>78761</v>
      </c>
      <c r="C550" t="s">
        <v>891</v>
      </c>
      <c r="D550">
        <v>1</v>
      </c>
      <c r="E550" t="s">
        <v>805</v>
      </c>
      <c r="F550" t="s">
        <v>806</v>
      </c>
      <c r="G550" s="1"/>
      <c r="H550" t="str">
        <f>"3245060787615"</f>
        <v>3245060787615</v>
      </c>
      <c r="I550" t="s">
        <v>892</v>
      </c>
    </row>
    <row r="551" spans="1:9" x14ac:dyDescent="0.25">
      <c r="A551" t="s">
        <v>8</v>
      </c>
      <c r="B551">
        <v>78764</v>
      </c>
      <c r="C551" t="s">
        <v>893</v>
      </c>
      <c r="D551">
        <v>1</v>
      </c>
      <c r="E551" t="s">
        <v>805</v>
      </c>
      <c r="F551" t="s">
        <v>806</v>
      </c>
      <c r="G551" s="1"/>
      <c r="H551" t="str">
        <f>"3245060787646"</f>
        <v>3245060787646</v>
      </c>
      <c r="I551" t="s">
        <v>894</v>
      </c>
    </row>
    <row r="552" spans="1:9" x14ac:dyDescent="0.25">
      <c r="A552" t="s">
        <v>8</v>
      </c>
      <c r="B552">
        <v>78765</v>
      </c>
      <c r="C552" t="s">
        <v>895</v>
      </c>
      <c r="D552">
        <v>1</v>
      </c>
      <c r="E552" t="s">
        <v>805</v>
      </c>
      <c r="F552" t="s">
        <v>806</v>
      </c>
      <c r="G552" s="1"/>
      <c r="H552" t="str">
        <f>"3245060787653"</f>
        <v>3245060787653</v>
      </c>
      <c r="I552" t="s">
        <v>896</v>
      </c>
    </row>
    <row r="553" spans="1:9" x14ac:dyDescent="0.25">
      <c r="A553" t="s">
        <v>8</v>
      </c>
      <c r="B553">
        <v>78780</v>
      </c>
      <c r="C553" t="s">
        <v>897</v>
      </c>
      <c r="D553">
        <v>1</v>
      </c>
      <c r="E553" t="s">
        <v>805</v>
      </c>
      <c r="F553" t="s">
        <v>806</v>
      </c>
      <c r="G553" s="1"/>
      <c r="H553" t="str">
        <f>"3245060787806"</f>
        <v>3245060787806</v>
      </c>
      <c r="I553" t="s">
        <v>898</v>
      </c>
    </row>
    <row r="554" spans="1:9" x14ac:dyDescent="0.25">
      <c r="A554" t="s">
        <v>8</v>
      </c>
      <c r="B554">
        <v>78786</v>
      </c>
      <c r="C554" t="s">
        <v>899</v>
      </c>
      <c r="D554">
        <v>1</v>
      </c>
      <c r="E554" t="s">
        <v>805</v>
      </c>
      <c r="F554" t="s">
        <v>806</v>
      </c>
      <c r="G554" s="1"/>
      <c r="H554" t="str">
        <f>"3245060787868"</f>
        <v>3245060787868</v>
      </c>
      <c r="I554" t="s">
        <v>900</v>
      </c>
    </row>
    <row r="555" spans="1:9" x14ac:dyDescent="0.25">
      <c r="A555" t="s">
        <v>8</v>
      </c>
      <c r="B555">
        <v>79104</v>
      </c>
      <c r="C555" t="s">
        <v>901</v>
      </c>
      <c r="D555">
        <v>1</v>
      </c>
      <c r="E555" t="s">
        <v>805</v>
      </c>
      <c r="F555" t="s">
        <v>806</v>
      </c>
      <c r="G555" s="1"/>
      <c r="H555" t="str">
        <f>"3245060791049"</f>
        <v>3245060791049</v>
      </c>
      <c r="I555" t="s">
        <v>902</v>
      </c>
    </row>
    <row r="556" spans="1:9" x14ac:dyDescent="0.25">
      <c r="A556" t="s">
        <v>8</v>
      </c>
      <c r="B556">
        <v>79106</v>
      </c>
      <c r="C556" t="s">
        <v>903</v>
      </c>
      <c r="D556">
        <v>1</v>
      </c>
      <c r="E556" t="s">
        <v>805</v>
      </c>
      <c r="F556" t="s">
        <v>806</v>
      </c>
      <c r="G556" s="1"/>
      <c r="H556" t="str">
        <f>"3245060791063"</f>
        <v>3245060791063</v>
      </c>
      <c r="I556" t="s">
        <v>904</v>
      </c>
    </row>
    <row r="557" spans="1:9" x14ac:dyDescent="0.25">
      <c r="A557" t="s">
        <v>8</v>
      </c>
      <c r="B557">
        <v>79110</v>
      </c>
      <c r="C557" t="s">
        <v>905</v>
      </c>
      <c r="D557">
        <v>1</v>
      </c>
      <c r="E557" t="s">
        <v>805</v>
      </c>
      <c r="F557" t="s">
        <v>806</v>
      </c>
      <c r="G557" s="1"/>
      <c r="H557" t="str">
        <f>"3245060791100"</f>
        <v>3245060791100</v>
      </c>
      <c r="I557" t="s">
        <v>906</v>
      </c>
    </row>
    <row r="558" spans="1:9" x14ac:dyDescent="0.25">
      <c r="A558" t="s">
        <v>8</v>
      </c>
      <c r="B558">
        <v>79151</v>
      </c>
      <c r="C558" t="s">
        <v>907</v>
      </c>
      <c r="D558">
        <v>1</v>
      </c>
      <c r="E558" t="s">
        <v>805</v>
      </c>
      <c r="F558" t="s">
        <v>806</v>
      </c>
      <c r="G558" s="1"/>
      <c r="H558" t="str">
        <f>"3245060791513"</f>
        <v>3245060791513</v>
      </c>
      <c r="I558" t="s">
        <v>908</v>
      </c>
    </row>
    <row r="559" spans="1:9" x14ac:dyDescent="0.25">
      <c r="A559" t="s">
        <v>8</v>
      </c>
      <c r="B559">
        <v>79152</v>
      </c>
      <c r="C559" t="s">
        <v>909</v>
      </c>
      <c r="D559">
        <v>1</v>
      </c>
      <c r="E559" t="s">
        <v>805</v>
      </c>
      <c r="F559" t="s">
        <v>806</v>
      </c>
      <c r="G559" s="1"/>
      <c r="H559" t="str">
        <f>"3245060791520"</f>
        <v>3245060791520</v>
      </c>
      <c r="I559" t="s">
        <v>910</v>
      </c>
    </row>
    <row r="560" spans="1:9" x14ac:dyDescent="0.25">
      <c r="A560" t="s">
        <v>8</v>
      </c>
      <c r="B560">
        <v>79225</v>
      </c>
      <c r="C560" t="s">
        <v>911</v>
      </c>
      <c r="D560">
        <v>1</v>
      </c>
      <c r="E560" t="s">
        <v>805</v>
      </c>
      <c r="F560" t="s">
        <v>806</v>
      </c>
      <c r="G560" s="1"/>
      <c r="H560" t="str">
        <f>"3245060792251"</f>
        <v>3245060792251</v>
      </c>
      <c r="I560" t="s">
        <v>912</v>
      </c>
    </row>
    <row r="561" spans="1:9" x14ac:dyDescent="0.25">
      <c r="A561" t="s">
        <v>8</v>
      </c>
      <c r="B561">
        <v>79226</v>
      </c>
      <c r="C561" t="s">
        <v>913</v>
      </c>
      <c r="D561">
        <v>1</v>
      </c>
      <c r="E561" t="s">
        <v>805</v>
      </c>
      <c r="F561" t="s">
        <v>806</v>
      </c>
      <c r="G561" s="1"/>
      <c r="H561" t="str">
        <f>"3245060792268"</f>
        <v>3245060792268</v>
      </c>
      <c r="I561" t="s">
        <v>914</v>
      </c>
    </row>
    <row r="562" spans="1:9" x14ac:dyDescent="0.25">
      <c r="A562" t="s">
        <v>8</v>
      </c>
      <c r="B562">
        <v>79270</v>
      </c>
      <c r="C562" t="s">
        <v>915</v>
      </c>
      <c r="D562">
        <v>1</v>
      </c>
      <c r="E562" t="s">
        <v>805</v>
      </c>
      <c r="F562" t="s">
        <v>806</v>
      </c>
      <c r="G562" s="1"/>
      <c r="H562" t="str">
        <f>"3245060792701"</f>
        <v>3245060792701</v>
      </c>
      <c r="I562" t="s">
        <v>916</v>
      </c>
    </row>
    <row r="563" spans="1:9" x14ac:dyDescent="0.25">
      <c r="A563" t="s">
        <v>8</v>
      </c>
      <c r="B563">
        <v>79280</v>
      </c>
      <c r="C563" t="s">
        <v>917</v>
      </c>
      <c r="D563">
        <v>1</v>
      </c>
      <c r="E563" t="s">
        <v>805</v>
      </c>
      <c r="F563" t="s">
        <v>806</v>
      </c>
      <c r="G563" s="1"/>
      <c r="H563" t="str">
        <f>"3245060792800"</f>
        <v>3245060792800</v>
      </c>
      <c r="I563" t="s">
        <v>918</v>
      </c>
    </row>
    <row r="564" spans="1:9" x14ac:dyDescent="0.25">
      <c r="A564" t="s">
        <v>8</v>
      </c>
      <c r="B564">
        <v>80274</v>
      </c>
      <c r="C564" t="s">
        <v>919</v>
      </c>
      <c r="D564">
        <v>1</v>
      </c>
      <c r="E564" t="s">
        <v>805</v>
      </c>
      <c r="F564" t="s">
        <v>806</v>
      </c>
      <c r="G564" s="1"/>
      <c r="H564" t="str">
        <f>"3245060802745"</f>
        <v>3245060802745</v>
      </c>
      <c r="I564" t="s">
        <v>920</v>
      </c>
    </row>
    <row r="565" spans="1:9" x14ac:dyDescent="0.25">
      <c r="A565" t="s">
        <v>8</v>
      </c>
      <c r="B565">
        <v>80276</v>
      </c>
      <c r="C565" t="s">
        <v>921</v>
      </c>
      <c r="D565">
        <v>1</v>
      </c>
      <c r="E565" t="s">
        <v>805</v>
      </c>
      <c r="F565" t="s">
        <v>806</v>
      </c>
      <c r="G565" s="1"/>
      <c r="H565" t="str">
        <f>"3245060802769"</f>
        <v>3245060802769</v>
      </c>
      <c r="I565" t="s">
        <v>922</v>
      </c>
    </row>
    <row r="566" spans="1:9" x14ac:dyDescent="0.25">
      <c r="A566" t="s">
        <v>8</v>
      </c>
      <c r="B566">
        <v>80283</v>
      </c>
      <c r="C566" t="s">
        <v>923</v>
      </c>
      <c r="D566">
        <v>1</v>
      </c>
      <c r="E566" t="s">
        <v>805</v>
      </c>
      <c r="F566" t="s">
        <v>806</v>
      </c>
      <c r="H566" t="str">
        <f>"3245060802837"</f>
        <v>3245060802837</v>
      </c>
      <c r="I566" t="s">
        <v>924</v>
      </c>
    </row>
    <row r="567" spans="1:9" x14ac:dyDescent="0.25">
      <c r="A567" t="s">
        <v>8</v>
      </c>
      <c r="B567">
        <v>80284</v>
      </c>
      <c r="C567" t="s">
        <v>925</v>
      </c>
      <c r="D567">
        <v>1</v>
      </c>
      <c r="E567" t="s">
        <v>805</v>
      </c>
      <c r="F567" t="s">
        <v>806</v>
      </c>
      <c r="G567" s="1"/>
      <c r="H567" t="str">
        <f>"3245060802844"</f>
        <v>3245060802844</v>
      </c>
      <c r="I567" t="s">
        <v>926</v>
      </c>
    </row>
    <row r="568" spans="1:9" x14ac:dyDescent="0.25">
      <c r="A568" t="s">
        <v>8</v>
      </c>
      <c r="B568">
        <v>80289</v>
      </c>
      <c r="C568" t="s">
        <v>927</v>
      </c>
      <c r="D568">
        <v>1</v>
      </c>
      <c r="E568" t="s">
        <v>805</v>
      </c>
      <c r="F568" t="s">
        <v>806</v>
      </c>
      <c r="G568" s="1"/>
      <c r="H568" t="str">
        <f>"3245060802899"</f>
        <v>3245060802899</v>
      </c>
      <c r="I568" t="s">
        <v>928</v>
      </c>
    </row>
    <row r="569" spans="1:9" x14ac:dyDescent="0.25">
      <c r="A569" t="s">
        <v>8</v>
      </c>
      <c r="B569">
        <v>80290</v>
      </c>
      <c r="C569" t="s">
        <v>929</v>
      </c>
      <c r="D569">
        <v>1</v>
      </c>
      <c r="E569" t="s">
        <v>805</v>
      </c>
      <c r="F569" t="s">
        <v>806</v>
      </c>
      <c r="G569" s="1"/>
      <c r="H569" t="str">
        <f>"3245060802905"</f>
        <v>3245060802905</v>
      </c>
      <c r="I569" t="s">
        <v>930</v>
      </c>
    </row>
    <row r="570" spans="1:9" x14ac:dyDescent="0.25">
      <c r="A570" t="s">
        <v>8</v>
      </c>
      <c r="B570">
        <v>80291</v>
      </c>
      <c r="C570" t="s">
        <v>931</v>
      </c>
      <c r="D570">
        <v>1</v>
      </c>
      <c r="E570" t="s">
        <v>805</v>
      </c>
      <c r="F570" t="s">
        <v>806</v>
      </c>
      <c r="G570" s="1"/>
      <c r="H570" t="str">
        <f>"3245060802912"</f>
        <v>3245060802912</v>
      </c>
      <c r="I570" t="s">
        <v>932</v>
      </c>
    </row>
    <row r="571" spans="1:9" x14ac:dyDescent="0.25">
      <c r="A571" t="s">
        <v>8</v>
      </c>
      <c r="B571">
        <v>80292</v>
      </c>
      <c r="C571" t="s">
        <v>933</v>
      </c>
      <c r="D571">
        <v>1</v>
      </c>
      <c r="E571" t="s">
        <v>805</v>
      </c>
      <c r="F571" t="s">
        <v>806</v>
      </c>
      <c r="G571" s="1"/>
      <c r="H571" t="str">
        <f>"3245060802929"</f>
        <v>3245060802929</v>
      </c>
      <c r="I571" t="s">
        <v>934</v>
      </c>
    </row>
    <row r="572" spans="1:9" x14ac:dyDescent="0.25">
      <c r="A572" t="s">
        <v>8</v>
      </c>
      <c r="B572">
        <v>89806</v>
      </c>
      <c r="C572" t="s">
        <v>935</v>
      </c>
      <c r="D572">
        <v>1</v>
      </c>
      <c r="E572" t="s">
        <v>805</v>
      </c>
      <c r="F572" t="s">
        <v>806</v>
      </c>
      <c r="G572" s="1"/>
      <c r="H572" t="str">
        <f>"3245060898069"</f>
        <v>3245060898069</v>
      </c>
      <c r="I572" t="s">
        <v>936</v>
      </c>
    </row>
    <row r="573" spans="1:9" x14ac:dyDescent="0.25">
      <c r="A573" t="s">
        <v>8</v>
      </c>
      <c r="B573">
        <v>89807</v>
      </c>
      <c r="C573" t="s">
        <v>937</v>
      </c>
      <c r="D573">
        <v>1</v>
      </c>
      <c r="E573" t="s">
        <v>805</v>
      </c>
      <c r="F573" t="s">
        <v>806</v>
      </c>
      <c r="G573" s="1"/>
      <c r="H573" t="str">
        <f>"3245060898076"</f>
        <v>3245060898076</v>
      </c>
      <c r="I573" t="s">
        <v>938</v>
      </c>
    </row>
    <row r="574" spans="1:9" x14ac:dyDescent="0.25">
      <c r="A574" t="s">
        <v>8</v>
      </c>
      <c r="B574">
        <v>89902</v>
      </c>
      <c r="C574" t="s">
        <v>939</v>
      </c>
      <c r="D574">
        <v>1</v>
      </c>
      <c r="E574" t="s">
        <v>805</v>
      </c>
      <c r="F574" t="s">
        <v>806</v>
      </c>
      <c r="G574" s="1"/>
      <c r="H574" t="str">
        <f>"3245060899028"</f>
        <v>3245060899028</v>
      </c>
      <c r="I574" t="s">
        <v>940</v>
      </c>
    </row>
    <row r="575" spans="1:9" x14ac:dyDescent="0.25">
      <c r="A575" t="s">
        <v>8</v>
      </c>
      <c r="B575">
        <v>77131</v>
      </c>
      <c r="C575" t="s">
        <v>941</v>
      </c>
      <c r="D575">
        <v>1</v>
      </c>
      <c r="E575" t="s">
        <v>805</v>
      </c>
      <c r="F575" t="s">
        <v>806</v>
      </c>
      <c r="G575" s="1"/>
      <c r="H575" t="str">
        <f>"3245060771317"</f>
        <v>3245060771317</v>
      </c>
      <c r="I575" t="s">
        <v>942</v>
      </c>
    </row>
    <row r="576" spans="1:9" x14ac:dyDescent="0.25">
      <c r="A576" t="s">
        <v>8</v>
      </c>
      <c r="B576">
        <v>77133</v>
      </c>
      <c r="C576" t="s">
        <v>943</v>
      </c>
      <c r="D576">
        <v>1</v>
      </c>
      <c r="E576" t="s">
        <v>805</v>
      </c>
      <c r="F576" t="s">
        <v>806</v>
      </c>
      <c r="G576" s="1"/>
      <c r="H576" t="str">
        <f>"3245060771331"</f>
        <v>3245060771331</v>
      </c>
      <c r="I576" t="s">
        <v>944</v>
      </c>
    </row>
    <row r="577" spans="1:9" x14ac:dyDescent="0.25">
      <c r="A577" t="s">
        <v>8</v>
      </c>
      <c r="B577">
        <v>78512</v>
      </c>
      <c r="C577" t="s">
        <v>945</v>
      </c>
      <c r="D577">
        <v>1</v>
      </c>
      <c r="E577" t="s">
        <v>805</v>
      </c>
      <c r="F577" t="s">
        <v>806</v>
      </c>
      <c r="G577" s="1"/>
      <c r="H577" t="str">
        <f>"3245060785123"</f>
        <v>3245060785123</v>
      </c>
      <c r="I577" t="s">
        <v>946</v>
      </c>
    </row>
    <row r="578" spans="1:9" x14ac:dyDescent="0.25">
      <c r="A578" t="s">
        <v>8</v>
      </c>
      <c r="B578">
        <v>78609</v>
      </c>
      <c r="C578" t="s">
        <v>947</v>
      </c>
      <c r="D578">
        <v>1</v>
      </c>
      <c r="E578" t="s">
        <v>805</v>
      </c>
      <c r="F578" t="s">
        <v>806</v>
      </c>
      <c r="G578" s="1"/>
      <c r="H578" t="str">
        <f>"3245060786090"</f>
        <v>3245060786090</v>
      </c>
      <c r="I578" t="s">
        <v>948</v>
      </c>
    </row>
    <row r="579" spans="1:9" x14ac:dyDescent="0.25">
      <c r="A579" t="s">
        <v>8</v>
      </c>
      <c r="B579">
        <v>78702</v>
      </c>
      <c r="C579" t="s">
        <v>949</v>
      </c>
      <c r="D579">
        <v>1</v>
      </c>
      <c r="E579" t="s">
        <v>805</v>
      </c>
      <c r="F579" t="s">
        <v>806</v>
      </c>
      <c r="G579" s="1"/>
      <c r="H579" t="str">
        <f>"3245060787028"</f>
        <v>3245060787028</v>
      </c>
      <c r="I579" t="s">
        <v>950</v>
      </c>
    </row>
    <row r="580" spans="1:9" x14ac:dyDescent="0.25">
      <c r="A580" t="s">
        <v>8</v>
      </c>
      <c r="B580">
        <v>78720</v>
      </c>
      <c r="C580" t="s">
        <v>951</v>
      </c>
      <c r="D580">
        <v>1</v>
      </c>
      <c r="E580" t="s">
        <v>805</v>
      </c>
      <c r="F580" t="s">
        <v>806</v>
      </c>
      <c r="G580" s="1"/>
      <c r="H580" t="str">
        <f>"3245060787202"</f>
        <v>3245060787202</v>
      </c>
      <c r="I580" t="s">
        <v>952</v>
      </c>
    </row>
    <row r="581" spans="1:9" x14ac:dyDescent="0.25">
      <c r="A581" t="s">
        <v>8</v>
      </c>
      <c r="B581">
        <v>78721</v>
      </c>
      <c r="C581" t="s">
        <v>953</v>
      </c>
      <c r="D581">
        <v>1</v>
      </c>
      <c r="E581" t="s">
        <v>805</v>
      </c>
      <c r="F581" t="s">
        <v>806</v>
      </c>
      <c r="G581" s="1"/>
      <c r="H581" t="str">
        <f>"3245060787219"</f>
        <v>3245060787219</v>
      </c>
      <c r="I581" t="s">
        <v>918</v>
      </c>
    </row>
    <row r="582" spans="1:9" x14ac:dyDescent="0.25">
      <c r="A582" t="s">
        <v>8</v>
      </c>
      <c r="B582">
        <v>78783</v>
      </c>
      <c r="C582" t="s">
        <v>954</v>
      </c>
      <c r="D582">
        <v>1</v>
      </c>
      <c r="E582" t="s">
        <v>805</v>
      </c>
      <c r="F582" t="s">
        <v>806</v>
      </c>
      <c r="G582" s="1"/>
      <c r="H582" t="str">
        <f>"3245060787837"</f>
        <v>3245060787837</v>
      </c>
      <c r="I582" t="s">
        <v>955</v>
      </c>
    </row>
    <row r="583" spans="1:9" x14ac:dyDescent="0.25">
      <c r="A583" t="s">
        <v>8</v>
      </c>
      <c r="B583">
        <v>79238</v>
      </c>
      <c r="C583" t="s">
        <v>956</v>
      </c>
      <c r="D583">
        <v>1</v>
      </c>
      <c r="E583" t="s">
        <v>805</v>
      </c>
      <c r="F583" t="s">
        <v>806</v>
      </c>
      <c r="G583" s="1"/>
      <c r="H583" t="str">
        <f>"3245060792381"</f>
        <v>3245060792381</v>
      </c>
      <c r="I583" t="s">
        <v>957</v>
      </c>
    </row>
    <row r="584" spans="1:9" x14ac:dyDescent="0.25">
      <c r="A584" t="s">
        <v>8</v>
      </c>
      <c r="B584">
        <v>79254</v>
      </c>
      <c r="C584" t="s">
        <v>958</v>
      </c>
      <c r="D584">
        <v>1</v>
      </c>
      <c r="E584" t="s">
        <v>805</v>
      </c>
      <c r="F584" t="s">
        <v>806</v>
      </c>
      <c r="G584" s="1"/>
      <c r="H584" t="str">
        <f>"3245060792541"</f>
        <v>3245060792541</v>
      </c>
      <c r="I584" t="s">
        <v>959</v>
      </c>
    </row>
    <row r="585" spans="1:9" x14ac:dyDescent="0.25">
      <c r="A585" t="s">
        <v>8</v>
      </c>
      <c r="B585">
        <v>79255</v>
      </c>
      <c r="C585" t="s">
        <v>960</v>
      </c>
      <c r="D585">
        <v>1</v>
      </c>
      <c r="E585" t="s">
        <v>805</v>
      </c>
      <c r="F585" t="s">
        <v>806</v>
      </c>
      <c r="G585" s="1"/>
      <c r="H585" t="str">
        <f>"3245060792558"</f>
        <v>3245060792558</v>
      </c>
      <c r="I585" t="s">
        <v>961</v>
      </c>
    </row>
    <row r="586" spans="1:9" x14ac:dyDescent="0.25">
      <c r="A586" t="s">
        <v>8</v>
      </c>
      <c r="B586">
        <v>79292</v>
      </c>
      <c r="C586" t="s">
        <v>962</v>
      </c>
      <c r="D586">
        <v>1</v>
      </c>
      <c r="E586" t="s">
        <v>805</v>
      </c>
      <c r="F586" t="s">
        <v>806</v>
      </c>
      <c r="G586" s="1"/>
      <c r="H586" t="str">
        <f>"3245060792923"</f>
        <v>3245060792923</v>
      </c>
      <c r="I586" t="s">
        <v>963</v>
      </c>
    </row>
    <row r="587" spans="1:9" x14ac:dyDescent="0.25">
      <c r="A587" t="s">
        <v>8</v>
      </c>
      <c r="B587">
        <v>79296</v>
      </c>
      <c r="C587" t="s">
        <v>964</v>
      </c>
      <c r="D587">
        <v>1</v>
      </c>
      <c r="E587" t="s">
        <v>805</v>
      </c>
      <c r="F587" t="s">
        <v>806</v>
      </c>
      <c r="G587" s="1"/>
      <c r="H587" t="str">
        <f>"3245060792961"</f>
        <v>3245060792961</v>
      </c>
      <c r="I587" t="s">
        <v>965</v>
      </c>
    </row>
    <row r="588" spans="1:9" x14ac:dyDescent="0.25">
      <c r="A588" t="s">
        <v>8</v>
      </c>
      <c r="B588">
        <v>80278</v>
      </c>
      <c r="C588" t="s">
        <v>966</v>
      </c>
      <c r="D588">
        <v>1</v>
      </c>
      <c r="E588" t="s">
        <v>805</v>
      </c>
      <c r="F588" t="s">
        <v>806</v>
      </c>
      <c r="G588" s="1"/>
      <c r="H588" t="str">
        <f>"3245060802783"</f>
        <v>3245060802783</v>
      </c>
      <c r="I588" t="s">
        <v>967</v>
      </c>
    </row>
    <row r="589" spans="1:9" x14ac:dyDescent="0.25">
      <c r="A589" t="s">
        <v>8</v>
      </c>
      <c r="B589">
        <v>80294</v>
      </c>
      <c r="C589" t="s">
        <v>968</v>
      </c>
      <c r="D589">
        <v>1</v>
      </c>
      <c r="E589" t="s">
        <v>805</v>
      </c>
      <c r="F589" t="s">
        <v>806</v>
      </c>
      <c r="G589" s="1"/>
      <c r="H589" t="str">
        <f>"3245060802943"</f>
        <v>3245060802943</v>
      </c>
      <c r="I589" t="s">
        <v>969</v>
      </c>
    </row>
    <row r="590" spans="1:9" x14ac:dyDescent="0.25">
      <c r="A590" t="s">
        <v>8</v>
      </c>
      <c r="B590">
        <v>80295</v>
      </c>
      <c r="C590" t="s">
        <v>970</v>
      </c>
      <c r="D590">
        <v>1</v>
      </c>
      <c r="E590" t="s">
        <v>805</v>
      </c>
      <c r="F590" t="s">
        <v>806</v>
      </c>
      <c r="G590" s="1"/>
      <c r="H590" t="str">
        <f>"3245060802950"</f>
        <v>3245060802950</v>
      </c>
      <c r="I590" t="s">
        <v>352</v>
      </c>
    </row>
    <row r="591" spans="1:9" x14ac:dyDescent="0.25">
      <c r="A591" t="s">
        <v>8</v>
      </c>
      <c r="B591">
        <v>77586</v>
      </c>
      <c r="C591" t="s">
        <v>971</v>
      </c>
      <c r="D591">
        <v>1</v>
      </c>
      <c r="E591" t="s">
        <v>805</v>
      </c>
      <c r="F591" t="s">
        <v>806</v>
      </c>
      <c r="G591" s="1"/>
      <c r="H591" t="str">
        <f>"3245060775865"</f>
        <v>3245060775865</v>
      </c>
      <c r="I591" t="s">
        <v>416</v>
      </c>
    </row>
    <row r="592" spans="1:9" x14ac:dyDescent="0.25">
      <c r="A592" t="s">
        <v>8</v>
      </c>
      <c r="B592">
        <v>78445</v>
      </c>
      <c r="C592" t="s">
        <v>972</v>
      </c>
      <c r="D592">
        <v>1</v>
      </c>
      <c r="E592" t="s">
        <v>805</v>
      </c>
      <c r="F592" t="s">
        <v>806</v>
      </c>
      <c r="G592" s="1"/>
      <c r="H592" t="str">
        <f>"3245060784454"</f>
        <v>3245060784454</v>
      </c>
      <c r="I592" t="s">
        <v>973</v>
      </c>
    </row>
    <row r="593" spans="1:9" x14ac:dyDescent="0.25">
      <c r="A593" t="s">
        <v>8</v>
      </c>
      <c r="B593">
        <v>78750</v>
      </c>
      <c r="C593" t="s">
        <v>974</v>
      </c>
      <c r="D593">
        <v>1</v>
      </c>
      <c r="E593" t="s">
        <v>805</v>
      </c>
      <c r="F593" t="s">
        <v>806</v>
      </c>
      <c r="G593" s="1"/>
      <c r="H593" t="str">
        <f>"3245060787509"</f>
        <v>3245060787509</v>
      </c>
      <c r="I593" t="s">
        <v>938</v>
      </c>
    </row>
    <row r="594" spans="1:9" x14ac:dyDescent="0.25">
      <c r="A594" t="s">
        <v>8</v>
      </c>
      <c r="B594">
        <v>78773</v>
      </c>
      <c r="C594" t="s">
        <v>975</v>
      </c>
      <c r="D594">
        <v>1</v>
      </c>
      <c r="E594" t="s">
        <v>805</v>
      </c>
      <c r="F594" t="s">
        <v>806</v>
      </c>
      <c r="G594" s="1"/>
      <c r="H594" t="str">
        <f>"3245060787738"</f>
        <v>3245060787738</v>
      </c>
      <c r="I594" t="s">
        <v>976</v>
      </c>
    </row>
    <row r="595" spans="1:9" x14ac:dyDescent="0.25">
      <c r="A595" t="s">
        <v>8</v>
      </c>
      <c r="B595">
        <v>78774</v>
      </c>
      <c r="C595" t="s">
        <v>977</v>
      </c>
      <c r="D595">
        <v>1</v>
      </c>
      <c r="E595" t="s">
        <v>805</v>
      </c>
      <c r="F595" t="s">
        <v>806</v>
      </c>
      <c r="G595" s="1"/>
      <c r="H595" t="str">
        <f>"3245060787745"</f>
        <v>3245060787745</v>
      </c>
      <c r="I595" t="s">
        <v>978</v>
      </c>
    </row>
    <row r="596" spans="1:9" x14ac:dyDescent="0.25">
      <c r="A596" t="s">
        <v>8</v>
      </c>
      <c r="B596">
        <v>79231</v>
      </c>
      <c r="C596" t="s">
        <v>979</v>
      </c>
      <c r="D596">
        <v>1</v>
      </c>
      <c r="E596" t="s">
        <v>805</v>
      </c>
      <c r="F596" t="s">
        <v>806</v>
      </c>
      <c r="G596" s="1"/>
      <c r="H596" t="str">
        <f>"3245060792312"</f>
        <v>3245060792312</v>
      </c>
      <c r="I596" t="s">
        <v>980</v>
      </c>
    </row>
    <row r="597" spans="1:9" x14ac:dyDescent="0.25">
      <c r="A597" t="s">
        <v>8</v>
      </c>
      <c r="B597">
        <v>77219</v>
      </c>
      <c r="C597" t="s">
        <v>981</v>
      </c>
      <c r="D597">
        <v>1</v>
      </c>
      <c r="E597" t="s">
        <v>805</v>
      </c>
      <c r="F597" t="s">
        <v>806</v>
      </c>
      <c r="G597" s="1"/>
      <c r="H597" t="str">
        <f>"3245060772192"</f>
        <v>3245060772192</v>
      </c>
      <c r="I597" t="s">
        <v>982</v>
      </c>
    </row>
    <row r="598" spans="1:9" x14ac:dyDescent="0.25">
      <c r="A598" t="s">
        <v>8</v>
      </c>
      <c r="B598">
        <v>77220</v>
      </c>
      <c r="C598" t="s">
        <v>983</v>
      </c>
      <c r="D598">
        <v>1</v>
      </c>
      <c r="E598" t="s">
        <v>805</v>
      </c>
      <c r="F598" t="s">
        <v>806</v>
      </c>
      <c r="G598" s="1"/>
      <c r="H598" t="str">
        <f>"3245060772208"</f>
        <v>3245060772208</v>
      </c>
      <c r="I598" t="s">
        <v>984</v>
      </c>
    </row>
    <row r="599" spans="1:9" x14ac:dyDescent="0.25">
      <c r="A599" t="s">
        <v>8</v>
      </c>
      <c r="B599">
        <v>78700</v>
      </c>
      <c r="C599" t="s">
        <v>985</v>
      </c>
      <c r="D599">
        <v>1</v>
      </c>
      <c r="E599" t="s">
        <v>805</v>
      </c>
      <c r="F599" t="s">
        <v>806</v>
      </c>
      <c r="G599" s="1"/>
      <c r="H599" t="str">
        <f>"3245060787004"</f>
        <v>3245060787004</v>
      </c>
      <c r="I599" t="s">
        <v>862</v>
      </c>
    </row>
    <row r="600" spans="1:9" x14ac:dyDescent="0.25">
      <c r="A600" t="s">
        <v>8</v>
      </c>
      <c r="B600">
        <v>78704</v>
      </c>
      <c r="C600" t="s">
        <v>986</v>
      </c>
      <c r="D600">
        <v>1</v>
      </c>
      <c r="E600" t="s">
        <v>805</v>
      </c>
      <c r="F600" t="s">
        <v>806</v>
      </c>
      <c r="G600" s="1"/>
      <c r="H600" t="str">
        <f>"3245060787042"</f>
        <v>3245060787042</v>
      </c>
      <c r="I600" t="s">
        <v>944</v>
      </c>
    </row>
    <row r="601" spans="1:9" x14ac:dyDescent="0.25">
      <c r="A601" t="s">
        <v>8</v>
      </c>
      <c r="B601">
        <v>78705</v>
      </c>
      <c r="C601" t="s">
        <v>987</v>
      </c>
      <c r="D601">
        <v>1</v>
      </c>
      <c r="E601" t="s">
        <v>805</v>
      </c>
      <c r="F601" t="s">
        <v>806</v>
      </c>
      <c r="G601" s="1"/>
      <c r="H601" t="str">
        <f>"3245060787059"</f>
        <v>3245060787059</v>
      </c>
      <c r="I601" t="s">
        <v>914</v>
      </c>
    </row>
    <row r="602" spans="1:9" x14ac:dyDescent="0.25">
      <c r="A602" t="s">
        <v>8</v>
      </c>
      <c r="B602">
        <v>78709</v>
      </c>
      <c r="C602" t="s">
        <v>988</v>
      </c>
      <c r="D602">
        <v>1</v>
      </c>
      <c r="E602" t="s">
        <v>805</v>
      </c>
      <c r="F602" t="s">
        <v>806</v>
      </c>
      <c r="G602" s="1"/>
      <c r="H602" t="str">
        <f>"3245060787097"</f>
        <v>3245060787097</v>
      </c>
      <c r="I602" t="s">
        <v>989</v>
      </c>
    </row>
    <row r="603" spans="1:9" x14ac:dyDescent="0.25">
      <c r="A603" t="s">
        <v>8</v>
      </c>
      <c r="B603">
        <v>78776</v>
      </c>
      <c r="C603" t="s">
        <v>990</v>
      </c>
      <c r="D603">
        <v>1</v>
      </c>
      <c r="E603" t="s">
        <v>805</v>
      </c>
      <c r="F603" t="s">
        <v>806</v>
      </c>
      <c r="G603" s="1"/>
      <c r="H603" t="str">
        <f>"3245060787769"</f>
        <v>3245060787769</v>
      </c>
      <c r="I603" t="s">
        <v>991</v>
      </c>
    </row>
    <row r="604" spans="1:9" x14ac:dyDescent="0.25">
      <c r="A604" t="s">
        <v>8</v>
      </c>
      <c r="B604">
        <v>79250</v>
      </c>
      <c r="C604" t="s">
        <v>974</v>
      </c>
      <c r="D604">
        <v>1</v>
      </c>
      <c r="E604" t="s">
        <v>805</v>
      </c>
      <c r="F604" t="s">
        <v>806</v>
      </c>
      <c r="G604" s="1"/>
      <c r="H604" t="str">
        <f>"3245060792503"</f>
        <v>3245060792503</v>
      </c>
      <c r="I604" t="s">
        <v>992</v>
      </c>
    </row>
    <row r="605" spans="1:9" x14ac:dyDescent="0.25">
      <c r="A605" t="s">
        <v>8</v>
      </c>
      <c r="B605">
        <v>78840</v>
      </c>
      <c r="C605" t="s">
        <v>993</v>
      </c>
      <c r="D605">
        <v>1</v>
      </c>
      <c r="E605" t="s">
        <v>805</v>
      </c>
      <c r="F605" t="s">
        <v>806</v>
      </c>
      <c r="G605" s="1"/>
      <c r="H605" t="str">
        <f>"3245060788407"</f>
        <v>3245060788407</v>
      </c>
      <c r="I605" t="s">
        <v>994</v>
      </c>
    </row>
    <row r="606" spans="1:9" x14ac:dyDescent="0.25">
      <c r="A606" t="s">
        <v>8</v>
      </c>
      <c r="B606">
        <v>78777</v>
      </c>
      <c r="C606" t="s">
        <v>995</v>
      </c>
      <c r="D606">
        <v>1</v>
      </c>
      <c r="E606" t="s">
        <v>805</v>
      </c>
      <c r="F606" t="s">
        <v>806</v>
      </c>
      <c r="G606" s="1"/>
      <c r="H606" t="str">
        <f>"3245060787776"</f>
        <v>3245060787776</v>
      </c>
      <c r="I606" t="s">
        <v>996</v>
      </c>
    </row>
    <row r="607" spans="1:9" x14ac:dyDescent="0.25">
      <c r="A607" t="s">
        <v>8</v>
      </c>
      <c r="B607">
        <v>79154</v>
      </c>
      <c r="C607" t="s">
        <v>997</v>
      </c>
      <c r="D607">
        <v>1</v>
      </c>
      <c r="E607" t="s">
        <v>805</v>
      </c>
      <c r="F607" t="s">
        <v>806</v>
      </c>
      <c r="G607" s="1"/>
      <c r="H607" t="str">
        <f>"3245060791544"</f>
        <v>3245060791544</v>
      </c>
      <c r="I607" t="s">
        <v>998</v>
      </c>
    </row>
    <row r="608" spans="1:9" x14ac:dyDescent="0.25">
      <c r="A608" t="s">
        <v>8</v>
      </c>
      <c r="B608">
        <v>79153</v>
      </c>
      <c r="C608" t="s">
        <v>999</v>
      </c>
      <c r="D608">
        <v>1</v>
      </c>
      <c r="E608" t="s">
        <v>805</v>
      </c>
      <c r="F608" t="s">
        <v>806</v>
      </c>
      <c r="G608" s="1"/>
      <c r="H608" t="str">
        <f>"3245060791537"</f>
        <v>3245060791537</v>
      </c>
      <c r="I608" t="s">
        <v>1000</v>
      </c>
    </row>
    <row r="609" spans="1:9" x14ac:dyDescent="0.25">
      <c r="A609" t="s">
        <v>8</v>
      </c>
      <c r="B609">
        <v>79391</v>
      </c>
      <c r="C609" t="s">
        <v>1001</v>
      </c>
      <c r="D609">
        <v>1</v>
      </c>
      <c r="E609" t="s">
        <v>805</v>
      </c>
      <c r="F609" t="s">
        <v>806</v>
      </c>
      <c r="G609" s="1"/>
      <c r="H609" t="str">
        <f>"3245060793913"</f>
        <v>3245060793913</v>
      </c>
      <c r="I609" t="s">
        <v>1002</v>
      </c>
    </row>
    <row r="610" spans="1:9" x14ac:dyDescent="0.25">
      <c r="A610" t="s">
        <v>8</v>
      </c>
      <c r="B610">
        <v>79379</v>
      </c>
      <c r="C610" t="s">
        <v>1003</v>
      </c>
      <c r="D610">
        <v>1</v>
      </c>
      <c r="E610" t="s">
        <v>805</v>
      </c>
      <c r="F610" t="s">
        <v>806</v>
      </c>
      <c r="G610" s="1"/>
      <c r="H610" t="str">
        <f>"3245060793791"</f>
        <v>3245060793791</v>
      </c>
      <c r="I610" t="s">
        <v>1004</v>
      </c>
    </row>
    <row r="611" spans="1:9" x14ac:dyDescent="0.25">
      <c r="A611" t="s">
        <v>8</v>
      </c>
      <c r="B611">
        <v>79378</v>
      </c>
      <c r="C611" t="s">
        <v>1005</v>
      </c>
      <c r="D611">
        <v>1</v>
      </c>
      <c r="E611" t="s">
        <v>805</v>
      </c>
      <c r="F611" t="s">
        <v>806</v>
      </c>
      <c r="G611" s="1"/>
      <c r="H611" t="str">
        <f>"3245060793784"</f>
        <v>3245060793784</v>
      </c>
      <c r="I611" t="s">
        <v>1006</v>
      </c>
    </row>
    <row r="612" spans="1:9" x14ac:dyDescent="0.25">
      <c r="A612" t="s">
        <v>8</v>
      </c>
      <c r="B612">
        <v>78791</v>
      </c>
      <c r="C612" t="s">
        <v>1007</v>
      </c>
      <c r="D612">
        <v>1</v>
      </c>
      <c r="E612" t="s">
        <v>805</v>
      </c>
      <c r="F612" t="s">
        <v>806</v>
      </c>
      <c r="G612" s="1"/>
      <c r="H612" t="str">
        <f>"3245060787912"</f>
        <v>3245060787912</v>
      </c>
      <c r="I612" t="s">
        <v>1008</v>
      </c>
    </row>
    <row r="613" spans="1:9" x14ac:dyDescent="0.25">
      <c r="A613" t="s">
        <v>8</v>
      </c>
      <c r="B613">
        <v>79377</v>
      </c>
      <c r="C613" t="s">
        <v>1009</v>
      </c>
      <c r="D613">
        <v>1</v>
      </c>
      <c r="E613" t="s">
        <v>805</v>
      </c>
      <c r="F613" t="s">
        <v>806</v>
      </c>
      <c r="G613" s="1"/>
      <c r="H613" t="str">
        <f>"3245060793777"</f>
        <v>3245060793777</v>
      </c>
      <c r="I613" t="s">
        <v>1010</v>
      </c>
    </row>
    <row r="614" spans="1:9" x14ac:dyDescent="0.25">
      <c r="A614" t="s">
        <v>8</v>
      </c>
      <c r="B614">
        <v>78779</v>
      </c>
      <c r="C614" t="s">
        <v>1011</v>
      </c>
      <c r="D614">
        <v>1</v>
      </c>
      <c r="E614" t="s">
        <v>805</v>
      </c>
      <c r="F614" t="s">
        <v>806</v>
      </c>
      <c r="G614" s="1"/>
      <c r="H614" t="str">
        <f>"3245060787790"</f>
        <v>3245060787790</v>
      </c>
      <c r="I614" t="s">
        <v>1012</v>
      </c>
    </row>
    <row r="615" spans="1:9" x14ac:dyDescent="0.25">
      <c r="A615" t="s">
        <v>8</v>
      </c>
      <c r="B615">
        <v>78778</v>
      </c>
      <c r="C615" t="s">
        <v>1013</v>
      </c>
      <c r="D615">
        <v>1</v>
      </c>
      <c r="E615" t="s">
        <v>805</v>
      </c>
      <c r="F615" t="s">
        <v>806</v>
      </c>
      <c r="G615" s="1"/>
      <c r="H615" t="str">
        <f>"3245060787783"</f>
        <v>3245060787783</v>
      </c>
      <c r="I615" t="s">
        <v>1014</v>
      </c>
    </row>
    <row r="616" spans="1:9" x14ac:dyDescent="0.25">
      <c r="A616" t="s">
        <v>8</v>
      </c>
      <c r="B616">
        <v>77591</v>
      </c>
      <c r="C616" t="s">
        <v>1015</v>
      </c>
      <c r="D616">
        <v>1</v>
      </c>
      <c r="E616" t="s">
        <v>805</v>
      </c>
      <c r="F616" t="s">
        <v>806</v>
      </c>
      <c r="G616" s="1"/>
      <c r="H616" t="str">
        <f>"3245060775919"</f>
        <v>3245060775919</v>
      </c>
      <c r="I616" t="s">
        <v>1016</v>
      </c>
    </row>
    <row r="617" spans="1:9" x14ac:dyDescent="0.25">
      <c r="A617" t="s">
        <v>8</v>
      </c>
      <c r="B617">
        <v>79394</v>
      </c>
      <c r="C617" t="s">
        <v>1017</v>
      </c>
      <c r="D617">
        <v>1</v>
      </c>
      <c r="E617" t="s">
        <v>805</v>
      </c>
      <c r="F617" t="s">
        <v>806</v>
      </c>
      <c r="G617" s="1"/>
      <c r="H617" t="str">
        <f>"3245060793944"</f>
        <v>3245060793944</v>
      </c>
      <c r="I617" t="s">
        <v>1018</v>
      </c>
    </row>
    <row r="618" spans="1:9" x14ac:dyDescent="0.25">
      <c r="A618" t="s">
        <v>8</v>
      </c>
      <c r="B618">
        <v>79228</v>
      </c>
      <c r="C618" t="s">
        <v>1019</v>
      </c>
      <c r="D618">
        <v>1</v>
      </c>
      <c r="E618" t="s">
        <v>805</v>
      </c>
      <c r="F618" t="s">
        <v>806</v>
      </c>
      <c r="G618" s="1"/>
      <c r="H618" t="str">
        <f>"3245060792282"</f>
        <v>3245060792282</v>
      </c>
      <c r="I618" t="s">
        <v>1020</v>
      </c>
    </row>
    <row r="619" spans="1:9" x14ac:dyDescent="0.25">
      <c r="A619" t="s">
        <v>8</v>
      </c>
      <c r="B619">
        <v>77594</v>
      </c>
      <c r="C619" t="s">
        <v>1021</v>
      </c>
      <c r="D619">
        <v>1</v>
      </c>
      <c r="E619" t="s">
        <v>805</v>
      </c>
      <c r="F619" t="s">
        <v>806</v>
      </c>
      <c r="G619" s="1"/>
      <c r="H619" t="str">
        <f>"3245060775940"</f>
        <v>3245060775940</v>
      </c>
      <c r="I619" t="s">
        <v>1022</v>
      </c>
    </row>
    <row r="620" spans="1:9" x14ac:dyDescent="0.25">
      <c r="A620" t="s">
        <v>8</v>
      </c>
      <c r="B620">
        <v>77028</v>
      </c>
      <c r="C620" t="s">
        <v>1023</v>
      </c>
      <c r="D620">
        <v>1</v>
      </c>
      <c r="E620" t="s">
        <v>805</v>
      </c>
      <c r="F620" t="s">
        <v>806</v>
      </c>
      <c r="G620" s="1"/>
      <c r="H620" t="str">
        <f>"3245060770280"</f>
        <v>3245060770280</v>
      </c>
      <c r="I620" t="s">
        <v>1024</v>
      </c>
    </row>
    <row r="621" spans="1:9" x14ac:dyDescent="0.25">
      <c r="A621" t="s">
        <v>8</v>
      </c>
      <c r="B621">
        <v>78403</v>
      </c>
      <c r="C621" t="s">
        <v>1025</v>
      </c>
      <c r="D621">
        <v>1</v>
      </c>
      <c r="E621" t="s">
        <v>805</v>
      </c>
      <c r="F621" t="s">
        <v>806</v>
      </c>
      <c r="G621" s="1"/>
      <c r="H621" t="str">
        <f>"3245060784034"</f>
        <v>3245060784034</v>
      </c>
      <c r="I621" t="s">
        <v>1026</v>
      </c>
    </row>
    <row r="622" spans="1:9" x14ac:dyDescent="0.25">
      <c r="A622" t="s">
        <v>8</v>
      </c>
      <c r="B622">
        <v>78746</v>
      </c>
      <c r="C622" t="s">
        <v>1027</v>
      </c>
      <c r="D622">
        <v>1</v>
      </c>
      <c r="E622" t="s">
        <v>805</v>
      </c>
      <c r="F622" t="s">
        <v>806</v>
      </c>
      <c r="G622" s="1"/>
      <c r="H622" t="str">
        <f>"3414970317087"</f>
        <v>3414970317087</v>
      </c>
      <c r="I622" t="s">
        <v>1028</v>
      </c>
    </row>
    <row r="623" spans="1:9" x14ac:dyDescent="0.25">
      <c r="A623" t="s">
        <v>8</v>
      </c>
      <c r="B623">
        <v>78747</v>
      </c>
      <c r="C623" t="s">
        <v>1029</v>
      </c>
      <c r="D623">
        <v>1</v>
      </c>
      <c r="E623" t="s">
        <v>805</v>
      </c>
      <c r="F623" t="s">
        <v>806</v>
      </c>
      <c r="G623" s="1"/>
      <c r="H623" t="str">
        <f>"3414970317124"</f>
        <v>3414970317124</v>
      </c>
      <c r="I623" t="s">
        <v>1030</v>
      </c>
    </row>
    <row r="624" spans="1:9" x14ac:dyDescent="0.25">
      <c r="A624" t="s">
        <v>8</v>
      </c>
      <c r="B624">
        <v>78793</v>
      </c>
      <c r="C624" t="s">
        <v>1031</v>
      </c>
      <c r="D624">
        <v>1</v>
      </c>
      <c r="E624" t="s">
        <v>805</v>
      </c>
      <c r="F624" t="s">
        <v>806</v>
      </c>
      <c r="G624" s="1"/>
      <c r="H624" t="str">
        <f>"3414970328700"</f>
        <v>3414970328700</v>
      </c>
      <c r="I624" t="s">
        <v>1032</v>
      </c>
    </row>
    <row r="625" spans="1:9" x14ac:dyDescent="0.25">
      <c r="A625" t="s">
        <v>8</v>
      </c>
      <c r="B625">
        <v>77015</v>
      </c>
      <c r="C625" t="s">
        <v>1033</v>
      </c>
      <c r="D625">
        <v>1</v>
      </c>
      <c r="E625" t="s">
        <v>805</v>
      </c>
      <c r="F625" t="s">
        <v>806</v>
      </c>
      <c r="G625" s="1"/>
      <c r="H625" t="str">
        <f>"3414970594907"</f>
        <v>3414970594907</v>
      </c>
      <c r="I625" t="s">
        <v>1034</v>
      </c>
    </row>
    <row r="626" spans="1:9" x14ac:dyDescent="0.25">
      <c r="A626" t="s">
        <v>8</v>
      </c>
      <c r="B626">
        <v>78748</v>
      </c>
      <c r="C626" t="s">
        <v>1035</v>
      </c>
      <c r="D626">
        <v>1</v>
      </c>
      <c r="E626" t="s">
        <v>805</v>
      </c>
      <c r="F626" t="s">
        <v>806</v>
      </c>
      <c r="G626" s="1"/>
      <c r="H626" t="str">
        <f>"3414970317100"</f>
        <v>3414970317100</v>
      </c>
      <c r="I626" t="s">
        <v>1036</v>
      </c>
    </row>
    <row r="627" spans="1:9" x14ac:dyDescent="0.25">
      <c r="A627" t="s">
        <v>8</v>
      </c>
      <c r="B627">
        <v>79215</v>
      </c>
      <c r="C627" t="s">
        <v>1037</v>
      </c>
      <c r="D627">
        <v>1</v>
      </c>
      <c r="E627" t="s">
        <v>805</v>
      </c>
      <c r="F627" t="s">
        <v>806</v>
      </c>
      <c r="G627" s="1"/>
      <c r="H627" t="str">
        <f>"3414970594921"</f>
        <v>3414970594921</v>
      </c>
      <c r="I627" t="s">
        <v>1038</v>
      </c>
    </row>
    <row r="628" spans="1:9" x14ac:dyDescent="0.25">
      <c r="A628" t="s">
        <v>8</v>
      </c>
      <c r="B628">
        <v>77595</v>
      </c>
      <c r="C628" t="s">
        <v>1039</v>
      </c>
      <c r="D628">
        <v>1</v>
      </c>
      <c r="E628" t="s">
        <v>805</v>
      </c>
      <c r="F628" t="s">
        <v>806</v>
      </c>
      <c r="G628" s="1"/>
      <c r="H628" t="str">
        <f>"3414970766083"</f>
        <v>3414970766083</v>
      </c>
      <c r="I628" t="s">
        <v>1040</v>
      </c>
    </row>
    <row r="629" spans="1:9" x14ac:dyDescent="0.25">
      <c r="A629" t="s">
        <v>8</v>
      </c>
      <c r="B629">
        <v>79342</v>
      </c>
      <c r="C629" t="s">
        <v>1041</v>
      </c>
      <c r="D629">
        <v>1</v>
      </c>
      <c r="E629" t="s">
        <v>805</v>
      </c>
      <c r="F629" t="s">
        <v>806</v>
      </c>
      <c r="G629" s="1"/>
      <c r="H629" t="str">
        <f>"3414970752086"</f>
        <v>3414970752086</v>
      </c>
      <c r="I629" t="s">
        <v>944</v>
      </c>
    </row>
    <row r="630" spans="1:9" x14ac:dyDescent="0.25">
      <c r="A630" t="s">
        <v>8</v>
      </c>
      <c r="B630">
        <v>79344</v>
      </c>
      <c r="C630" t="s">
        <v>1042</v>
      </c>
      <c r="D630">
        <v>1</v>
      </c>
      <c r="E630" t="s">
        <v>805</v>
      </c>
      <c r="F630" t="s">
        <v>806</v>
      </c>
      <c r="G630" s="1"/>
      <c r="H630" t="str">
        <f>"3414970752116"</f>
        <v>3414970752116</v>
      </c>
      <c r="I630" t="s">
        <v>1043</v>
      </c>
    </row>
    <row r="631" spans="1:9" x14ac:dyDescent="0.25">
      <c r="A631" t="s">
        <v>8</v>
      </c>
      <c r="B631">
        <v>79346</v>
      </c>
      <c r="C631" t="s">
        <v>1044</v>
      </c>
      <c r="D631">
        <v>1</v>
      </c>
      <c r="E631" t="s">
        <v>805</v>
      </c>
      <c r="F631" t="s">
        <v>806</v>
      </c>
      <c r="G631" s="1"/>
      <c r="H631" t="str">
        <f>"3414970752147"</f>
        <v>3414970752147</v>
      </c>
      <c r="I631" t="s">
        <v>1045</v>
      </c>
    </row>
    <row r="632" spans="1:9" x14ac:dyDescent="0.25">
      <c r="A632" t="s">
        <v>8</v>
      </c>
      <c r="B632">
        <v>79395</v>
      </c>
      <c r="C632" t="s">
        <v>1039</v>
      </c>
      <c r="D632">
        <v>1</v>
      </c>
      <c r="E632" t="s">
        <v>805</v>
      </c>
      <c r="F632" t="s">
        <v>806</v>
      </c>
      <c r="G632" s="1"/>
      <c r="H632" t="str">
        <f>"3414970752178"</f>
        <v>3414970752178</v>
      </c>
      <c r="I632" t="s">
        <v>1046</v>
      </c>
    </row>
    <row r="633" spans="1:9" x14ac:dyDescent="0.25">
      <c r="A633" t="s">
        <v>8</v>
      </c>
      <c r="B633">
        <v>78794</v>
      </c>
      <c r="C633" t="s">
        <v>1047</v>
      </c>
      <c r="D633">
        <v>1</v>
      </c>
      <c r="E633" t="s">
        <v>805</v>
      </c>
      <c r="F633" t="s">
        <v>806</v>
      </c>
      <c r="G633" s="1"/>
      <c r="H633" t="str">
        <f>"3414970764928"</f>
        <v>3414970764928</v>
      </c>
      <c r="I633" t="s">
        <v>1048</v>
      </c>
    </row>
    <row r="634" spans="1:9" x14ac:dyDescent="0.25">
      <c r="A634" t="s">
        <v>8</v>
      </c>
      <c r="B634">
        <v>78795</v>
      </c>
      <c r="C634" t="s">
        <v>1049</v>
      </c>
      <c r="D634">
        <v>1</v>
      </c>
      <c r="E634" t="s">
        <v>805</v>
      </c>
      <c r="F634" t="s">
        <v>806</v>
      </c>
      <c r="G634" s="1"/>
      <c r="H634" t="str">
        <f>"3414970764942"</f>
        <v>3414970764942</v>
      </c>
      <c r="I634" t="s">
        <v>1050</v>
      </c>
    </row>
    <row r="635" spans="1:9" x14ac:dyDescent="0.25">
      <c r="A635" t="s">
        <v>8</v>
      </c>
      <c r="B635">
        <v>78790</v>
      </c>
      <c r="C635" t="s">
        <v>1051</v>
      </c>
      <c r="D635">
        <v>1</v>
      </c>
      <c r="E635" t="s">
        <v>805</v>
      </c>
      <c r="F635" t="s">
        <v>806</v>
      </c>
      <c r="G635" s="1"/>
      <c r="H635" t="str">
        <f>"3414970997975"</f>
        <v>3414970997975</v>
      </c>
      <c r="I635" t="s">
        <v>1052</v>
      </c>
    </row>
    <row r="636" spans="1:9" x14ac:dyDescent="0.25">
      <c r="A636" t="s">
        <v>8</v>
      </c>
      <c r="B636">
        <v>79249</v>
      </c>
      <c r="C636" t="s">
        <v>1053</v>
      </c>
      <c r="D636">
        <v>1</v>
      </c>
      <c r="E636" t="s">
        <v>805</v>
      </c>
      <c r="F636" t="s">
        <v>806</v>
      </c>
      <c r="G636" s="1"/>
      <c r="H636" t="str">
        <f>"3414970961440"</f>
        <v>3414970961440</v>
      </c>
      <c r="I636" t="s">
        <v>1054</v>
      </c>
    </row>
    <row r="637" spans="1:9" x14ac:dyDescent="0.25">
      <c r="A637" t="s">
        <v>8</v>
      </c>
      <c r="B637">
        <v>79390</v>
      </c>
      <c r="C637" t="s">
        <v>1055</v>
      </c>
      <c r="D637">
        <v>1</v>
      </c>
      <c r="E637" t="s">
        <v>805</v>
      </c>
      <c r="F637" t="s">
        <v>806</v>
      </c>
      <c r="G637" s="1"/>
      <c r="H637" t="str">
        <f>"3414971003361"</f>
        <v>3414971003361</v>
      </c>
      <c r="I637" t="s">
        <v>1018</v>
      </c>
    </row>
    <row r="638" spans="1:9" x14ac:dyDescent="0.25">
      <c r="A638" t="s">
        <v>8</v>
      </c>
      <c r="B638">
        <v>79392</v>
      </c>
      <c r="C638" t="s">
        <v>1056</v>
      </c>
      <c r="D638">
        <v>1</v>
      </c>
      <c r="E638" t="s">
        <v>805</v>
      </c>
      <c r="F638" t="s">
        <v>806</v>
      </c>
      <c r="G638" s="1"/>
      <c r="H638" t="str">
        <f>"3414971003385"</f>
        <v>3414971003385</v>
      </c>
      <c r="I638" t="s">
        <v>1018</v>
      </c>
    </row>
    <row r="639" spans="1:9" x14ac:dyDescent="0.25">
      <c r="A639" t="s">
        <v>8</v>
      </c>
      <c r="B639">
        <v>77070</v>
      </c>
      <c r="C639" t="s">
        <v>1057</v>
      </c>
      <c r="D639">
        <v>1</v>
      </c>
      <c r="E639" t="s">
        <v>1058</v>
      </c>
      <c r="F639" t="s">
        <v>1059</v>
      </c>
      <c r="G639" s="1"/>
      <c r="H639" t="str">
        <f>"3245060770709"</f>
        <v>3245060770709</v>
      </c>
      <c r="I639" t="s">
        <v>1060</v>
      </c>
    </row>
    <row r="640" spans="1:9" x14ac:dyDescent="0.25">
      <c r="A640" t="s">
        <v>8</v>
      </c>
      <c r="B640">
        <v>77071</v>
      </c>
      <c r="C640" t="s">
        <v>1061</v>
      </c>
      <c r="D640">
        <v>1</v>
      </c>
      <c r="E640" t="s">
        <v>1058</v>
      </c>
      <c r="F640" t="s">
        <v>1059</v>
      </c>
      <c r="G640" s="1"/>
      <c r="H640" t="str">
        <f>"3245060770716"</f>
        <v>3245060770716</v>
      </c>
      <c r="I640" t="s">
        <v>43</v>
      </c>
    </row>
    <row r="641" spans="1:9" x14ac:dyDescent="0.25">
      <c r="A641" t="s">
        <v>8</v>
      </c>
      <c r="B641">
        <v>77110</v>
      </c>
      <c r="C641" t="s">
        <v>1062</v>
      </c>
      <c r="D641">
        <v>1</v>
      </c>
      <c r="E641" t="s">
        <v>1058</v>
      </c>
      <c r="F641" t="s">
        <v>1059</v>
      </c>
      <c r="G641" s="1"/>
      <c r="H641" t="str">
        <f>"3245060771102"</f>
        <v>3245060771102</v>
      </c>
      <c r="I641" t="s">
        <v>1063</v>
      </c>
    </row>
    <row r="642" spans="1:9" x14ac:dyDescent="0.25">
      <c r="A642" t="s">
        <v>8</v>
      </c>
      <c r="B642">
        <v>77113</v>
      </c>
      <c r="C642" t="s">
        <v>1064</v>
      </c>
      <c r="D642">
        <v>1</v>
      </c>
      <c r="E642" t="s">
        <v>1058</v>
      </c>
      <c r="F642" t="s">
        <v>1059</v>
      </c>
      <c r="G642" s="1"/>
      <c r="H642" t="str">
        <f>"3245060771133"</f>
        <v>3245060771133</v>
      </c>
      <c r="I642" t="s">
        <v>1065</v>
      </c>
    </row>
    <row r="643" spans="1:9" x14ac:dyDescent="0.25">
      <c r="A643" t="s">
        <v>8</v>
      </c>
      <c r="B643">
        <v>77114</v>
      </c>
      <c r="C643" t="s">
        <v>1066</v>
      </c>
      <c r="D643">
        <v>1</v>
      </c>
      <c r="E643" t="s">
        <v>1058</v>
      </c>
      <c r="F643" t="s">
        <v>1059</v>
      </c>
      <c r="G643" s="1"/>
      <c r="H643" t="str">
        <f>"3245060771140"</f>
        <v>3245060771140</v>
      </c>
      <c r="I643" t="s">
        <v>1067</v>
      </c>
    </row>
    <row r="644" spans="1:9" x14ac:dyDescent="0.25">
      <c r="A644" t="s">
        <v>8</v>
      </c>
      <c r="B644">
        <v>77115</v>
      </c>
      <c r="C644" t="s">
        <v>1068</v>
      </c>
      <c r="D644">
        <v>1</v>
      </c>
      <c r="E644" t="s">
        <v>1058</v>
      </c>
      <c r="F644" t="s">
        <v>1059</v>
      </c>
      <c r="G644" s="1"/>
      <c r="H644" t="str">
        <f>"3245060771157"</f>
        <v>3245060771157</v>
      </c>
      <c r="I644" t="s">
        <v>1069</v>
      </c>
    </row>
    <row r="645" spans="1:9" x14ac:dyDescent="0.25">
      <c r="A645" t="s">
        <v>8</v>
      </c>
      <c r="B645">
        <v>77119</v>
      </c>
      <c r="C645" t="s">
        <v>1070</v>
      </c>
      <c r="D645">
        <v>1</v>
      </c>
      <c r="E645" t="s">
        <v>1058</v>
      </c>
      <c r="F645" t="s">
        <v>1059</v>
      </c>
      <c r="G645" s="1"/>
      <c r="H645" t="str">
        <f>"3245060771195"</f>
        <v>3245060771195</v>
      </c>
      <c r="I645" t="s">
        <v>1071</v>
      </c>
    </row>
    <row r="646" spans="1:9" x14ac:dyDescent="0.25">
      <c r="A646" t="s">
        <v>8</v>
      </c>
      <c r="B646">
        <v>77132</v>
      </c>
      <c r="C646" t="s">
        <v>1072</v>
      </c>
      <c r="D646">
        <v>1</v>
      </c>
      <c r="E646" t="s">
        <v>1058</v>
      </c>
      <c r="F646" t="s">
        <v>1059</v>
      </c>
      <c r="G646" s="1"/>
      <c r="H646" t="str">
        <f>"3245060771324"</f>
        <v>3245060771324</v>
      </c>
      <c r="I646" t="s">
        <v>1073</v>
      </c>
    </row>
    <row r="647" spans="1:9" x14ac:dyDescent="0.25">
      <c r="A647" t="s">
        <v>8</v>
      </c>
      <c r="B647">
        <v>77550</v>
      </c>
      <c r="C647" t="s">
        <v>1074</v>
      </c>
      <c r="D647">
        <v>1</v>
      </c>
      <c r="E647" t="s">
        <v>1058</v>
      </c>
      <c r="F647" t="s">
        <v>1059</v>
      </c>
      <c r="G647" s="1"/>
      <c r="H647" t="str">
        <f>"3245060775506"</f>
        <v>3245060775506</v>
      </c>
      <c r="I647" t="s">
        <v>1075</v>
      </c>
    </row>
    <row r="648" spans="1:9" x14ac:dyDescent="0.25">
      <c r="A648" t="s">
        <v>8</v>
      </c>
      <c r="B648">
        <v>78782</v>
      </c>
      <c r="C648" t="s">
        <v>1076</v>
      </c>
      <c r="D648">
        <v>1</v>
      </c>
      <c r="E648" t="s">
        <v>1058</v>
      </c>
      <c r="F648" t="s">
        <v>1059</v>
      </c>
      <c r="G648" s="1"/>
      <c r="H648" t="str">
        <f>"3245060787820"</f>
        <v>3245060787820</v>
      </c>
      <c r="I648" t="s">
        <v>1077</v>
      </c>
    </row>
    <row r="649" spans="1:9" x14ac:dyDescent="0.25">
      <c r="A649" t="s">
        <v>8</v>
      </c>
      <c r="B649">
        <v>78880</v>
      </c>
      <c r="C649" t="s">
        <v>1078</v>
      </c>
      <c r="D649">
        <v>1</v>
      </c>
      <c r="E649" t="s">
        <v>1058</v>
      </c>
      <c r="F649" t="s">
        <v>1059</v>
      </c>
      <c r="G649" s="1"/>
      <c r="H649" t="str">
        <f>"3245060788803"</f>
        <v>3245060788803</v>
      </c>
      <c r="I649" t="s">
        <v>1079</v>
      </c>
    </row>
    <row r="650" spans="1:9" x14ac:dyDescent="0.25">
      <c r="A650" t="s">
        <v>8</v>
      </c>
      <c r="B650">
        <v>80280</v>
      </c>
      <c r="C650" t="s">
        <v>1080</v>
      </c>
      <c r="D650">
        <v>1</v>
      </c>
      <c r="E650" t="s">
        <v>1058</v>
      </c>
      <c r="F650" t="s">
        <v>1059</v>
      </c>
      <c r="G650" s="1"/>
      <c r="H650" t="str">
        <f>"3245060802806"</f>
        <v>3245060802806</v>
      </c>
      <c r="I650" t="s">
        <v>1081</v>
      </c>
    </row>
    <row r="651" spans="1:9" x14ac:dyDescent="0.25">
      <c r="A651" t="s">
        <v>8</v>
      </c>
      <c r="B651">
        <v>80281</v>
      </c>
      <c r="C651" t="s">
        <v>1082</v>
      </c>
      <c r="D651">
        <v>1</v>
      </c>
      <c r="E651" t="s">
        <v>1058</v>
      </c>
      <c r="F651" t="s">
        <v>1059</v>
      </c>
      <c r="G651" s="1"/>
      <c r="H651" t="str">
        <f>"3245060802813"</f>
        <v>3245060802813</v>
      </c>
      <c r="I651" t="s">
        <v>1083</v>
      </c>
    </row>
    <row r="652" spans="1:9" x14ac:dyDescent="0.25">
      <c r="A652" t="s">
        <v>8</v>
      </c>
      <c r="B652">
        <v>80282</v>
      </c>
      <c r="C652" t="s">
        <v>1084</v>
      </c>
      <c r="D652">
        <v>1</v>
      </c>
      <c r="E652" t="s">
        <v>1058</v>
      </c>
      <c r="F652" t="s">
        <v>1059</v>
      </c>
      <c r="H652" t="str">
        <f>"3245060802820"</f>
        <v>3245060802820</v>
      </c>
      <c r="I652" t="s">
        <v>1085</v>
      </c>
    </row>
    <row r="653" spans="1:9" x14ac:dyDescent="0.25">
      <c r="A653" t="s">
        <v>8</v>
      </c>
      <c r="B653">
        <v>80285</v>
      </c>
      <c r="C653" t="s">
        <v>1086</v>
      </c>
      <c r="D653">
        <v>1</v>
      </c>
      <c r="E653" t="s">
        <v>1058</v>
      </c>
      <c r="F653" t="s">
        <v>1059</v>
      </c>
      <c r="G653" s="1"/>
      <c r="H653" t="str">
        <f>"3245060802851"</f>
        <v>3245060802851</v>
      </c>
      <c r="I653" t="s">
        <v>1087</v>
      </c>
    </row>
    <row r="654" spans="1:9" x14ac:dyDescent="0.25">
      <c r="A654" t="s">
        <v>8</v>
      </c>
      <c r="B654">
        <v>80286</v>
      </c>
      <c r="C654" t="s">
        <v>1088</v>
      </c>
      <c r="D654">
        <v>1</v>
      </c>
      <c r="E654" t="s">
        <v>1058</v>
      </c>
      <c r="F654" t="s">
        <v>1059</v>
      </c>
      <c r="H654" t="str">
        <f>"3245060802868"</f>
        <v>3245060802868</v>
      </c>
      <c r="I654" t="s">
        <v>1089</v>
      </c>
    </row>
    <row r="655" spans="1:9" x14ac:dyDescent="0.25">
      <c r="A655" t="s">
        <v>8</v>
      </c>
      <c r="B655">
        <v>50299</v>
      </c>
      <c r="C655" t="s">
        <v>1090</v>
      </c>
      <c r="D655">
        <v>1</v>
      </c>
      <c r="E655" t="s">
        <v>1058</v>
      </c>
      <c r="F655" t="s">
        <v>1059</v>
      </c>
      <c r="G655" s="1"/>
      <c r="H655" t="str">
        <f>"3245060502997"</f>
        <v>3245060502997</v>
      </c>
      <c r="I655" t="s">
        <v>1081</v>
      </c>
    </row>
    <row r="656" spans="1:9" x14ac:dyDescent="0.25">
      <c r="A656" t="s">
        <v>8</v>
      </c>
      <c r="B656">
        <v>78511</v>
      </c>
      <c r="C656" t="s">
        <v>1091</v>
      </c>
      <c r="D656">
        <v>1</v>
      </c>
      <c r="E656" t="s">
        <v>1092</v>
      </c>
      <c r="F656" t="s">
        <v>1093</v>
      </c>
      <c r="G656" s="1"/>
      <c r="H656" t="str">
        <f>"3245060785116"</f>
        <v>3245060785116</v>
      </c>
      <c r="I656" t="s">
        <v>1094</v>
      </c>
    </row>
    <row r="657" spans="1:9" x14ac:dyDescent="0.25">
      <c r="A657" t="s">
        <v>8</v>
      </c>
      <c r="B657">
        <v>78604</v>
      </c>
      <c r="C657" t="s">
        <v>1095</v>
      </c>
      <c r="D657">
        <v>1</v>
      </c>
      <c r="E657" t="s">
        <v>1096</v>
      </c>
      <c r="F657" t="s">
        <v>1097</v>
      </c>
      <c r="G657" s="1"/>
      <c r="H657" t="str">
        <f>"3245060786045"</f>
        <v>3245060786045</v>
      </c>
      <c r="I657" t="s">
        <v>1098</v>
      </c>
    </row>
    <row r="658" spans="1:9" x14ac:dyDescent="0.25">
      <c r="A658" t="s">
        <v>8</v>
      </c>
      <c r="B658">
        <v>78610</v>
      </c>
      <c r="C658" t="s">
        <v>1099</v>
      </c>
      <c r="D658">
        <v>1</v>
      </c>
      <c r="E658" t="s">
        <v>1096</v>
      </c>
      <c r="F658" t="s">
        <v>1097</v>
      </c>
      <c r="G658" s="1"/>
      <c r="H658" t="str">
        <f>"3245060786106"</f>
        <v>3245060786106</v>
      </c>
      <c r="I658" t="s">
        <v>1100</v>
      </c>
    </row>
    <row r="659" spans="1:9" x14ac:dyDescent="0.25">
      <c r="A659" t="s">
        <v>8</v>
      </c>
      <c r="B659">
        <v>80250</v>
      </c>
      <c r="C659" t="s">
        <v>1101</v>
      </c>
      <c r="D659">
        <v>1</v>
      </c>
      <c r="E659" t="s">
        <v>1102</v>
      </c>
      <c r="F659" t="s">
        <v>1103</v>
      </c>
      <c r="H659" t="str">
        <f>"3245060802509"</f>
        <v>3245060802509</v>
      </c>
      <c r="I659" t="s">
        <v>1104</v>
      </c>
    </row>
    <row r="660" spans="1:9" x14ac:dyDescent="0.25">
      <c r="A660" t="s">
        <v>8</v>
      </c>
      <c r="B660">
        <v>80251</v>
      </c>
      <c r="C660" t="s">
        <v>1105</v>
      </c>
      <c r="D660">
        <v>1</v>
      </c>
      <c r="E660" t="s">
        <v>1102</v>
      </c>
      <c r="F660" t="s">
        <v>1103</v>
      </c>
      <c r="G660" s="1"/>
      <c r="H660" t="str">
        <f>"3245060802516"</f>
        <v>3245060802516</v>
      </c>
      <c r="I660" t="s">
        <v>1106</v>
      </c>
    </row>
    <row r="661" spans="1:9" x14ac:dyDescent="0.25">
      <c r="A661" t="s">
        <v>8</v>
      </c>
      <c r="B661">
        <v>80252</v>
      </c>
      <c r="C661" t="s">
        <v>1107</v>
      </c>
      <c r="D661">
        <v>1</v>
      </c>
      <c r="E661" t="s">
        <v>1102</v>
      </c>
      <c r="F661" t="s">
        <v>1103</v>
      </c>
      <c r="G661" s="1"/>
      <c r="H661" t="str">
        <f>"3245060802523"</f>
        <v>3245060802523</v>
      </c>
      <c r="I661" t="s">
        <v>1108</v>
      </c>
    </row>
    <row r="662" spans="1:9" x14ac:dyDescent="0.25">
      <c r="A662" t="s">
        <v>8</v>
      </c>
      <c r="B662">
        <v>80253</v>
      </c>
      <c r="C662" t="s">
        <v>1109</v>
      </c>
      <c r="D662">
        <v>1</v>
      </c>
      <c r="E662" t="s">
        <v>1102</v>
      </c>
      <c r="F662" t="s">
        <v>1103</v>
      </c>
      <c r="G662" s="1"/>
      <c r="H662" t="str">
        <f>"3245060802530"</f>
        <v>3245060802530</v>
      </c>
      <c r="I662" t="s">
        <v>1110</v>
      </c>
    </row>
    <row r="663" spans="1:9" x14ac:dyDescent="0.25">
      <c r="A663" t="s">
        <v>8</v>
      </c>
      <c r="B663">
        <v>80254</v>
      </c>
      <c r="C663" t="s">
        <v>1111</v>
      </c>
      <c r="D663">
        <v>1</v>
      </c>
      <c r="E663" t="s">
        <v>1102</v>
      </c>
      <c r="F663" t="s">
        <v>1103</v>
      </c>
      <c r="G663" s="1"/>
      <c r="H663" t="str">
        <f>"3245060802547"</f>
        <v>3245060802547</v>
      </c>
      <c r="I663" t="s">
        <v>1112</v>
      </c>
    </row>
    <row r="664" spans="1:9" x14ac:dyDescent="0.25">
      <c r="A664" t="s">
        <v>8</v>
      </c>
      <c r="B664">
        <v>80259</v>
      </c>
      <c r="C664" t="s">
        <v>1113</v>
      </c>
      <c r="D664">
        <v>1</v>
      </c>
      <c r="E664" t="s">
        <v>1102</v>
      </c>
      <c r="F664" t="s">
        <v>1103</v>
      </c>
      <c r="G664" s="1"/>
      <c r="H664" t="str">
        <f>"3245060802592"</f>
        <v>3245060802592</v>
      </c>
      <c r="I664" t="s">
        <v>1114</v>
      </c>
    </row>
    <row r="665" spans="1:9" x14ac:dyDescent="0.25">
      <c r="A665" t="s">
        <v>8</v>
      </c>
      <c r="B665">
        <v>80261</v>
      </c>
      <c r="C665" t="s">
        <v>1115</v>
      </c>
      <c r="D665">
        <v>1</v>
      </c>
      <c r="E665" t="s">
        <v>1102</v>
      </c>
      <c r="F665" t="s">
        <v>1103</v>
      </c>
      <c r="G665" s="1"/>
      <c r="H665" t="str">
        <f>"3245060802615"</f>
        <v>3245060802615</v>
      </c>
      <c r="I665" t="s">
        <v>1116</v>
      </c>
    </row>
    <row r="666" spans="1:9" x14ac:dyDescent="0.25">
      <c r="A666" t="s">
        <v>8</v>
      </c>
      <c r="B666">
        <v>80264</v>
      </c>
      <c r="C666" t="s">
        <v>1117</v>
      </c>
      <c r="D666">
        <v>1</v>
      </c>
      <c r="E666" t="s">
        <v>1102</v>
      </c>
      <c r="F666" t="s">
        <v>1103</v>
      </c>
      <c r="G666" s="1"/>
      <c r="H666" t="str">
        <f>"3245060802646"</f>
        <v>3245060802646</v>
      </c>
      <c r="I666" t="s">
        <v>1118</v>
      </c>
    </row>
    <row r="667" spans="1:9" x14ac:dyDescent="0.25">
      <c r="A667" t="s">
        <v>8</v>
      </c>
      <c r="B667">
        <v>80266</v>
      </c>
      <c r="C667" t="s">
        <v>1119</v>
      </c>
      <c r="D667">
        <v>1</v>
      </c>
      <c r="E667" t="s">
        <v>1102</v>
      </c>
      <c r="F667" t="s">
        <v>1103</v>
      </c>
      <c r="G667" s="1"/>
      <c r="H667" t="str">
        <f>"3245060802660"</f>
        <v>3245060802660</v>
      </c>
      <c r="I667" t="s">
        <v>1120</v>
      </c>
    </row>
    <row r="668" spans="1:9" x14ac:dyDescent="0.25">
      <c r="A668" t="s">
        <v>8</v>
      </c>
      <c r="B668">
        <v>80269</v>
      </c>
      <c r="C668" t="s">
        <v>1121</v>
      </c>
      <c r="D668">
        <v>1</v>
      </c>
      <c r="E668" t="s">
        <v>1102</v>
      </c>
      <c r="F668" t="s">
        <v>1103</v>
      </c>
      <c r="G668" s="1"/>
      <c r="H668" t="str">
        <f>"3245060802691"</f>
        <v>3245060802691</v>
      </c>
      <c r="I668" t="s">
        <v>1122</v>
      </c>
    </row>
    <row r="669" spans="1:9" x14ac:dyDescent="0.25">
      <c r="A669" t="s">
        <v>8</v>
      </c>
      <c r="B669">
        <v>80268</v>
      </c>
      <c r="C669" t="s">
        <v>1123</v>
      </c>
      <c r="D669">
        <v>1</v>
      </c>
      <c r="E669" t="s">
        <v>1102</v>
      </c>
      <c r="F669" t="s">
        <v>1103</v>
      </c>
      <c r="G669" s="1"/>
      <c r="H669" t="str">
        <f>"3245060802684"</f>
        <v>3245060802684</v>
      </c>
      <c r="I669" t="s">
        <v>1124</v>
      </c>
    </row>
    <row r="670" spans="1:9" x14ac:dyDescent="0.25">
      <c r="A670" t="s">
        <v>8</v>
      </c>
      <c r="B670">
        <v>80297</v>
      </c>
      <c r="C670" t="s">
        <v>1125</v>
      </c>
      <c r="D670">
        <v>1</v>
      </c>
      <c r="E670" t="s">
        <v>1102</v>
      </c>
      <c r="F670" t="s">
        <v>1103</v>
      </c>
      <c r="G670" s="1"/>
      <c r="H670" t="str">
        <f>"3245060802974"</f>
        <v>3245060802974</v>
      </c>
      <c r="I670" t="s">
        <v>1126</v>
      </c>
    </row>
    <row r="671" spans="1:9" x14ac:dyDescent="0.25">
      <c r="A671" t="s">
        <v>8</v>
      </c>
      <c r="B671">
        <v>80298</v>
      </c>
      <c r="C671" t="s">
        <v>1127</v>
      </c>
      <c r="D671">
        <v>1</v>
      </c>
      <c r="E671" t="s">
        <v>1102</v>
      </c>
      <c r="F671" t="s">
        <v>1103</v>
      </c>
      <c r="G671" s="1"/>
      <c r="H671" t="str">
        <f>"3245060802981"</f>
        <v>3245060802981</v>
      </c>
      <c r="I671" t="s">
        <v>1128</v>
      </c>
    </row>
    <row r="672" spans="1:9" x14ac:dyDescent="0.25">
      <c r="A672" t="s">
        <v>8</v>
      </c>
      <c r="B672">
        <v>80209</v>
      </c>
      <c r="C672" t="s">
        <v>1129</v>
      </c>
      <c r="D672">
        <v>1</v>
      </c>
      <c r="E672" t="s">
        <v>1102</v>
      </c>
      <c r="F672" t="s">
        <v>1103</v>
      </c>
      <c r="G672" s="1"/>
      <c r="H672" t="str">
        <f>"3245060802097"</f>
        <v>3245060802097</v>
      </c>
      <c r="I672" t="s">
        <v>773</v>
      </c>
    </row>
    <row r="673" spans="1:9" x14ac:dyDescent="0.25">
      <c r="A673" t="s">
        <v>8</v>
      </c>
      <c r="B673">
        <v>67685</v>
      </c>
      <c r="C673" t="s">
        <v>1130</v>
      </c>
      <c r="D673">
        <v>1</v>
      </c>
      <c r="E673" t="s">
        <v>1102</v>
      </c>
      <c r="F673" t="s">
        <v>1103</v>
      </c>
      <c r="G673" s="1"/>
      <c r="H673" t="str">
        <f>"3414970426949"</f>
        <v>3414970426949</v>
      </c>
      <c r="I673" t="s">
        <v>1131</v>
      </c>
    </row>
    <row r="674" spans="1:9" x14ac:dyDescent="0.25">
      <c r="A674" t="s">
        <v>8</v>
      </c>
      <c r="B674">
        <v>67686</v>
      </c>
      <c r="C674" t="s">
        <v>1132</v>
      </c>
      <c r="D674">
        <v>1</v>
      </c>
      <c r="E674" t="s">
        <v>1102</v>
      </c>
      <c r="F674" t="s">
        <v>1103</v>
      </c>
      <c r="G674" s="1"/>
      <c r="H674" t="str">
        <f>"3414970426970"</f>
        <v>3414970426970</v>
      </c>
      <c r="I674" t="s">
        <v>1133</v>
      </c>
    </row>
    <row r="675" spans="1:9" x14ac:dyDescent="0.25">
      <c r="A675" t="s">
        <v>8</v>
      </c>
      <c r="B675">
        <v>67687</v>
      </c>
      <c r="C675" t="s">
        <v>1134</v>
      </c>
      <c r="D675">
        <v>1</v>
      </c>
      <c r="E675" t="s">
        <v>1102</v>
      </c>
      <c r="F675" t="s">
        <v>1103</v>
      </c>
      <c r="G675" s="1"/>
      <c r="H675" t="str">
        <f>"3414970427007"</f>
        <v>3414970427007</v>
      </c>
      <c r="I675" t="s">
        <v>1133</v>
      </c>
    </row>
    <row r="676" spans="1:9" x14ac:dyDescent="0.25">
      <c r="A676" t="s">
        <v>8</v>
      </c>
      <c r="B676">
        <v>67688</v>
      </c>
      <c r="C676" t="s">
        <v>1135</v>
      </c>
      <c r="D676">
        <v>1</v>
      </c>
      <c r="E676" t="s">
        <v>1102</v>
      </c>
      <c r="F676" t="s">
        <v>1103</v>
      </c>
      <c r="G676" s="1"/>
      <c r="H676" t="str">
        <f>"3414970427038"</f>
        <v>3414970427038</v>
      </c>
      <c r="I676" t="s">
        <v>1133</v>
      </c>
    </row>
    <row r="677" spans="1:9" x14ac:dyDescent="0.25">
      <c r="A677" t="s">
        <v>8</v>
      </c>
      <c r="B677">
        <v>67663</v>
      </c>
      <c r="C677" t="s">
        <v>1136</v>
      </c>
      <c r="D677">
        <v>1</v>
      </c>
      <c r="E677" t="s">
        <v>1102</v>
      </c>
      <c r="F677" t="s">
        <v>1103</v>
      </c>
      <c r="G677" s="1"/>
      <c r="H677" t="str">
        <f>"3414970810915"</f>
        <v>3414970810915</v>
      </c>
      <c r="I677" t="s">
        <v>1137</v>
      </c>
    </row>
    <row r="678" spans="1:9" x14ac:dyDescent="0.25">
      <c r="A678" t="s">
        <v>8</v>
      </c>
      <c r="B678">
        <v>86027</v>
      </c>
      <c r="C678" t="s">
        <v>1138</v>
      </c>
      <c r="D678">
        <v>1</v>
      </c>
      <c r="E678" t="s">
        <v>1139</v>
      </c>
      <c r="F678" t="s">
        <v>1140</v>
      </c>
      <c r="G678" s="1"/>
      <c r="H678" t="str">
        <f>"3245060860271"</f>
        <v>3245060860271</v>
      </c>
      <c r="I678" t="s">
        <v>1141</v>
      </c>
    </row>
    <row r="679" spans="1:9" x14ac:dyDescent="0.25">
      <c r="A679" t="s">
        <v>8</v>
      </c>
      <c r="B679">
        <v>86038</v>
      </c>
      <c r="C679" t="s">
        <v>1142</v>
      </c>
      <c r="D679">
        <v>1</v>
      </c>
      <c r="E679" t="s">
        <v>1139</v>
      </c>
      <c r="F679" t="s">
        <v>1140</v>
      </c>
      <c r="G679" s="1"/>
      <c r="H679" t="str">
        <f>"3245060860387"</f>
        <v>3245060860387</v>
      </c>
      <c r="I679" t="s">
        <v>1143</v>
      </c>
    </row>
    <row r="680" spans="1:9" x14ac:dyDescent="0.25">
      <c r="A680" t="s">
        <v>8</v>
      </c>
      <c r="B680">
        <v>86040</v>
      </c>
      <c r="C680" t="s">
        <v>1144</v>
      </c>
      <c r="D680">
        <v>1</v>
      </c>
      <c r="E680" t="s">
        <v>1139</v>
      </c>
      <c r="F680" t="s">
        <v>1140</v>
      </c>
      <c r="G680" s="1"/>
      <c r="H680" t="str">
        <f>"3245060860400"</f>
        <v>3245060860400</v>
      </c>
      <c r="I680" t="s">
        <v>1145</v>
      </c>
    </row>
    <row r="681" spans="1:9" x14ac:dyDescent="0.25">
      <c r="A681" t="s">
        <v>8</v>
      </c>
      <c r="B681">
        <v>86057</v>
      </c>
      <c r="C681" t="s">
        <v>1146</v>
      </c>
      <c r="D681">
        <v>1</v>
      </c>
      <c r="E681" t="s">
        <v>1139</v>
      </c>
      <c r="F681" t="s">
        <v>1140</v>
      </c>
      <c r="G681" s="1"/>
      <c r="H681" t="str">
        <f>"3245060860578"</f>
        <v>3245060860578</v>
      </c>
      <c r="I681" t="s">
        <v>1147</v>
      </c>
    </row>
    <row r="682" spans="1:9" x14ac:dyDescent="0.25">
      <c r="A682" t="s">
        <v>8</v>
      </c>
      <c r="B682">
        <v>86091</v>
      </c>
      <c r="C682" t="s">
        <v>1148</v>
      </c>
      <c r="D682">
        <v>1</v>
      </c>
      <c r="E682" t="s">
        <v>1139</v>
      </c>
      <c r="F682" t="s">
        <v>1140</v>
      </c>
      <c r="G682" s="1"/>
      <c r="H682" t="str">
        <f>"3245060860912"</f>
        <v>3245060860912</v>
      </c>
      <c r="I682" t="s">
        <v>1149</v>
      </c>
    </row>
    <row r="683" spans="1:9" x14ac:dyDescent="0.25">
      <c r="A683" t="s">
        <v>8</v>
      </c>
      <c r="B683">
        <v>86092</v>
      </c>
      <c r="C683" t="s">
        <v>1150</v>
      </c>
      <c r="D683">
        <v>1</v>
      </c>
      <c r="E683" t="s">
        <v>1139</v>
      </c>
      <c r="F683" t="s">
        <v>1140</v>
      </c>
      <c r="G683" s="1"/>
      <c r="H683" t="str">
        <f>"3245060860929"</f>
        <v>3245060860929</v>
      </c>
      <c r="I683" t="s">
        <v>1151</v>
      </c>
    </row>
    <row r="684" spans="1:9" x14ac:dyDescent="0.25">
      <c r="A684" t="s">
        <v>8</v>
      </c>
      <c r="B684">
        <v>86138</v>
      </c>
      <c r="C684" t="s">
        <v>1152</v>
      </c>
      <c r="D684">
        <v>1</v>
      </c>
      <c r="E684" t="s">
        <v>1139</v>
      </c>
      <c r="F684" t="s">
        <v>1140</v>
      </c>
      <c r="G684" s="1"/>
      <c r="H684" t="str">
        <f>"3245060861384"</f>
        <v>3245060861384</v>
      </c>
      <c r="I684" t="s">
        <v>1153</v>
      </c>
    </row>
    <row r="685" spans="1:9" x14ac:dyDescent="0.25">
      <c r="A685" t="s">
        <v>8</v>
      </c>
      <c r="B685">
        <v>86140</v>
      </c>
      <c r="C685" t="s">
        <v>1154</v>
      </c>
      <c r="D685">
        <v>1</v>
      </c>
      <c r="E685" t="s">
        <v>1139</v>
      </c>
      <c r="F685" t="s">
        <v>1140</v>
      </c>
      <c r="G685" s="1"/>
      <c r="H685" t="str">
        <f>"3245060861407"</f>
        <v>3245060861407</v>
      </c>
      <c r="I685" t="s">
        <v>1155</v>
      </c>
    </row>
    <row r="686" spans="1:9" x14ac:dyDescent="0.25">
      <c r="A686" t="s">
        <v>8</v>
      </c>
      <c r="B686">
        <v>86157</v>
      </c>
      <c r="C686" t="s">
        <v>1156</v>
      </c>
      <c r="D686">
        <v>1</v>
      </c>
      <c r="E686" t="s">
        <v>1139</v>
      </c>
      <c r="F686" t="s">
        <v>1140</v>
      </c>
      <c r="G686" s="1"/>
      <c r="H686" t="str">
        <f>"3245060861575"</f>
        <v>3245060861575</v>
      </c>
      <c r="I686" t="s">
        <v>1157</v>
      </c>
    </row>
    <row r="687" spans="1:9" x14ac:dyDescent="0.25">
      <c r="A687" t="s">
        <v>8</v>
      </c>
      <c r="B687">
        <v>86042</v>
      </c>
      <c r="C687" t="s">
        <v>1158</v>
      </c>
      <c r="D687">
        <v>1</v>
      </c>
      <c r="E687" t="s">
        <v>1159</v>
      </c>
      <c r="F687" t="s">
        <v>1160</v>
      </c>
      <c r="G687" s="1"/>
      <c r="H687" t="str">
        <f>"3245060860424"</f>
        <v>3245060860424</v>
      </c>
      <c r="I687" t="s">
        <v>1161</v>
      </c>
    </row>
    <row r="688" spans="1:9" x14ac:dyDescent="0.25">
      <c r="A688" t="s">
        <v>8</v>
      </c>
      <c r="B688">
        <v>86049</v>
      </c>
      <c r="C688" t="s">
        <v>1162</v>
      </c>
      <c r="D688">
        <v>1</v>
      </c>
      <c r="E688" t="s">
        <v>1159</v>
      </c>
      <c r="F688" t="s">
        <v>1160</v>
      </c>
      <c r="G688" s="1"/>
      <c r="H688" t="str">
        <f>"3245060860493"</f>
        <v>3245060860493</v>
      </c>
      <c r="I688" t="s">
        <v>1163</v>
      </c>
    </row>
    <row r="689" spans="1:9" x14ac:dyDescent="0.25">
      <c r="A689" t="s">
        <v>8</v>
      </c>
      <c r="B689">
        <v>86062</v>
      </c>
      <c r="C689" t="s">
        <v>1164</v>
      </c>
      <c r="D689">
        <v>1</v>
      </c>
      <c r="E689" t="s">
        <v>1159</v>
      </c>
      <c r="F689" t="s">
        <v>1160</v>
      </c>
      <c r="G689" s="1"/>
      <c r="H689" t="str">
        <f>"3245060860622"</f>
        <v>3245060860622</v>
      </c>
      <c r="I689" t="s">
        <v>1165</v>
      </c>
    </row>
    <row r="690" spans="1:9" x14ac:dyDescent="0.25">
      <c r="A690" t="s">
        <v>8</v>
      </c>
      <c r="B690">
        <v>86078</v>
      </c>
      <c r="C690" t="s">
        <v>1166</v>
      </c>
      <c r="D690">
        <v>1</v>
      </c>
      <c r="E690" t="s">
        <v>1159</v>
      </c>
      <c r="F690" t="s">
        <v>1160</v>
      </c>
      <c r="G690" s="1"/>
      <c r="H690" t="str">
        <f>"3245060860783"</f>
        <v>3245060860783</v>
      </c>
      <c r="I690" t="s">
        <v>1167</v>
      </c>
    </row>
    <row r="691" spans="1:9" x14ac:dyDescent="0.25">
      <c r="A691" t="s">
        <v>8</v>
      </c>
      <c r="B691">
        <v>86084</v>
      </c>
      <c r="C691" t="s">
        <v>1168</v>
      </c>
      <c r="D691">
        <v>1</v>
      </c>
      <c r="E691" t="s">
        <v>1159</v>
      </c>
      <c r="F691" t="s">
        <v>1160</v>
      </c>
      <c r="G691" s="1"/>
      <c r="H691" t="str">
        <f>"3245060860844"</f>
        <v>3245060860844</v>
      </c>
      <c r="I691" t="s">
        <v>1169</v>
      </c>
    </row>
    <row r="692" spans="1:9" x14ac:dyDescent="0.25">
      <c r="A692" t="s">
        <v>8</v>
      </c>
      <c r="B692">
        <v>86085</v>
      </c>
      <c r="C692" t="s">
        <v>1170</v>
      </c>
      <c r="D692">
        <v>1</v>
      </c>
      <c r="E692" t="s">
        <v>1159</v>
      </c>
      <c r="F692" t="s">
        <v>1160</v>
      </c>
      <c r="G692" s="1"/>
      <c r="H692" t="str">
        <f>"3245060860851"</f>
        <v>3245060860851</v>
      </c>
      <c r="I692" t="s">
        <v>1171</v>
      </c>
    </row>
    <row r="693" spans="1:9" x14ac:dyDescent="0.25">
      <c r="A693" t="s">
        <v>8</v>
      </c>
      <c r="B693">
        <v>86087</v>
      </c>
      <c r="C693" t="s">
        <v>1172</v>
      </c>
      <c r="D693">
        <v>1</v>
      </c>
      <c r="E693" t="s">
        <v>1159</v>
      </c>
      <c r="F693" t="s">
        <v>1160</v>
      </c>
      <c r="G693" s="1"/>
      <c r="H693" t="str">
        <f>"3245060860875"</f>
        <v>3245060860875</v>
      </c>
      <c r="I693" t="s">
        <v>1173</v>
      </c>
    </row>
    <row r="694" spans="1:9" x14ac:dyDescent="0.25">
      <c r="A694" t="s">
        <v>8</v>
      </c>
      <c r="B694">
        <v>86088</v>
      </c>
      <c r="C694" t="s">
        <v>1174</v>
      </c>
      <c r="D694">
        <v>1</v>
      </c>
      <c r="E694" t="s">
        <v>1159</v>
      </c>
      <c r="F694" t="s">
        <v>1160</v>
      </c>
      <c r="G694" s="1"/>
      <c r="H694" t="str">
        <f>"3245060860882"</f>
        <v>3245060860882</v>
      </c>
      <c r="I694" t="s">
        <v>1175</v>
      </c>
    </row>
    <row r="695" spans="1:9" x14ac:dyDescent="0.25">
      <c r="A695" t="s">
        <v>8</v>
      </c>
      <c r="B695">
        <v>86093</v>
      </c>
      <c r="C695" t="s">
        <v>1176</v>
      </c>
      <c r="D695">
        <v>1</v>
      </c>
      <c r="E695" t="s">
        <v>1159</v>
      </c>
      <c r="F695" t="s">
        <v>1160</v>
      </c>
      <c r="G695" s="1"/>
      <c r="H695" t="str">
        <f>"3245060860936"</f>
        <v>3245060860936</v>
      </c>
      <c r="I695" t="s">
        <v>1177</v>
      </c>
    </row>
    <row r="696" spans="1:9" x14ac:dyDescent="0.25">
      <c r="A696" t="s">
        <v>8</v>
      </c>
      <c r="B696">
        <v>86104</v>
      </c>
      <c r="C696" t="s">
        <v>1178</v>
      </c>
      <c r="D696">
        <v>1</v>
      </c>
      <c r="E696" t="s">
        <v>1159</v>
      </c>
      <c r="F696" t="s">
        <v>1160</v>
      </c>
      <c r="G696" s="1"/>
      <c r="H696" t="str">
        <f>"3245060861049"</f>
        <v>3245060861049</v>
      </c>
      <c r="I696" t="s">
        <v>1179</v>
      </c>
    </row>
    <row r="697" spans="1:9" x14ac:dyDescent="0.25">
      <c r="A697" t="s">
        <v>8</v>
      </c>
      <c r="B697">
        <v>86122</v>
      </c>
      <c r="C697" t="s">
        <v>1180</v>
      </c>
      <c r="D697">
        <v>1</v>
      </c>
      <c r="E697" t="s">
        <v>1159</v>
      </c>
      <c r="F697" t="s">
        <v>1160</v>
      </c>
      <c r="G697" s="1"/>
      <c r="H697" t="str">
        <f>"3245060861223"</f>
        <v>3245060861223</v>
      </c>
      <c r="I697" t="s">
        <v>1181</v>
      </c>
    </row>
    <row r="698" spans="1:9" x14ac:dyDescent="0.25">
      <c r="A698" t="s">
        <v>8</v>
      </c>
      <c r="B698">
        <v>86142</v>
      </c>
      <c r="C698" t="s">
        <v>1182</v>
      </c>
      <c r="D698">
        <v>1</v>
      </c>
      <c r="E698" t="s">
        <v>1159</v>
      </c>
      <c r="F698" t="s">
        <v>1160</v>
      </c>
      <c r="G698" s="1"/>
      <c r="H698" t="str">
        <f>"3245060861421"</f>
        <v>3245060861421</v>
      </c>
      <c r="I698" t="s">
        <v>1183</v>
      </c>
    </row>
    <row r="699" spans="1:9" x14ac:dyDescent="0.25">
      <c r="A699" t="s">
        <v>8</v>
      </c>
      <c r="B699">
        <v>86148</v>
      </c>
      <c r="C699" t="s">
        <v>1184</v>
      </c>
      <c r="D699">
        <v>1</v>
      </c>
      <c r="E699" t="s">
        <v>1159</v>
      </c>
      <c r="F699" t="s">
        <v>1160</v>
      </c>
      <c r="G699" s="1"/>
      <c r="H699" t="str">
        <f>"3414970763990"</f>
        <v>3414970763990</v>
      </c>
      <c r="I699" t="s">
        <v>1185</v>
      </c>
    </row>
    <row r="700" spans="1:9" x14ac:dyDescent="0.25">
      <c r="A700" t="s">
        <v>8</v>
      </c>
      <c r="B700">
        <v>86149</v>
      </c>
      <c r="C700" t="s">
        <v>1186</v>
      </c>
      <c r="D700">
        <v>1</v>
      </c>
      <c r="E700" t="s">
        <v>1159</v>
      </c>
      <c r="F700" t="s">
        <v>1160</v>
      </c>
      <c r="G700" s="1"/>
      <c r="H700" t="str">
        <f>"3245060861490"</f>
        <v>3245060861490</v>
      </c>
      <c r="I700" t="s">
        <v>1187</v>
      </c>
    </row>
    <row r="701" spans="1:9" x14ac:dyDescent="0.25">
      <c r="A701" t="s">
        <v>8</v>
      </c>
      <c r="B701">
        <v>86178</v>
      </c>
      <c r="C701" t="s">
        <v>1188</v>
      </c>
      <c r="D701">
        <v>1</v>
      </c>
      <c r="E701" t="s">
        <v>1159</v>
      </c>
      <c r="F701" t="s">
        <v>1160</v>
      </c>
      <c r="G701" s="1"/>
      <c r="H701" t="str">
        <f>"3245060861780"</f>
        <v>3245060861780</v>
      </c>
      <c r="I701" t="s">
        <v>1189</v>
      </c>
    </row>
    <row r="702" spans="1:9" x14ac:dyDescent="0.25">
      <c r="A702" t="s">
        <v>8</v>
      </c>
      <c r="B702">
        <v>86181</v>
      </c>
      <c r="C702" t="s">
        <v>1190</v>
      </c>
      <c r="D702">
        <v>1</v>
      </c>
      <c r="E702" t="s">
        <v>1159</v>
      </c>
      <c r="F702" t="s">
        <v>1160</v>
      </c>
      <c r="G702" s="1"/>
      <c r="H702" t="str">
        <f>"3245060861810"</f>
        <v>3245060861810</v>
      </c>
      <c r="I702" t="s">
        <v>1191</v>
      </c>
    </row>
    <row r="703" spans="1:9" x14ac:dyDescent="0.25">
      <c r="A703" t="s">
        <v>8</v>
      </c>
      <c r="B703">
        <v>86183</v>
      </c>
      <c r="C703" t="s">
        <v>1192</v>
      </c>
      <c r="D703">
        <v>1</v>
      </c>
      <c r="E703" t="s">
        <v>1159</v>
      </c>
      <c r="F703" t="s">
        <v>1160</v>
      </c>
      <c r="G703" s="1"/>
      <c r="H703" t="str">
        <f>"3245060861834"</f>
        <v>3245060861834</v>
      </c>
      <c r="I703" t="s">
        <v>1193</v>
      </c>
    </row>
    <row r="704" spans="1:9" x14ac:dyDescent="0.25">
      <c r="A704" t="s">
        <v>8</v>
      </c>
      <c r="B704">
        <v>49898</v>
      </c>
      <c r="C704" t="s">
        <v>1194</v>
      </c>
      <c r="D704">
        <v>1</v>
      </c>
      <c r="E704" t="s">
        <v>1159</v>
      </c>
      <c r="F704" t="s">
        <v>1160</v>
      </c>
      <c r="G704" s="1"/>
      <c r="H704" t="str">
        <f>"3245060498986"</f>
        <v>3245060498986</v>
      </c>
      <c r="I704" t="s">
        <v>1195</v>
      </c>
    </row>
    <row r="705" spans="1:9" x14ac:dyDescent="0.25">
      <c r="A705" t="s">
        <v>8</v>
      </c>
      <c r="B705">
        <v>50897</v>
      </c>
      <c r="C705" t="s">
        <v>1196</v>
      </c>
      <c r="D705">
        <v>1</v>
      </c>
      <c r="E705" t="s">
        <v>1159</v>
      </c>
      <c r="F705" t="s">
        <v>1160</v>
      </c>
      <c r="H705" t="str">
        <f>"3245060508975"</f>
        <v>3245060508975</v>
      </c>
      <c r="I705" t="s">
        <v>1197</v>
      </c>
    </row>
    <row r="706" spans="1:9" x14ac:dyDescent="0.25">
      <c r="A706" t="s">
        <v>8</v>
      </c>
      <c r="B706">
        <v>81073</v>
      </c>
      <c r="C706" t="s">
        <v>1198</v>
      </c>
      <c r="D706">
        <v>1</v>
      </c>
      <c r="E706" t="s">
        <v>1159</v>
      </c>
      <c r="F706" t="s">
        <v>1160</v>
      </c>
      <c r="G706" s="1"/>
      <c r="H706" t="str">
        <f>"3245060810733"</f>
        <v>3245060810733</v>
      </c>
      <c r="I706" t="s">
        <v>1199</v>
      </c>
    </row>
    <row r="707" spans="1:9" x14ac:dyDescent="0.25">
      <c r="A707" t="s">
        <v>8</v>
      </c>
      <c r="B707">
        <v>81074</v>
      </c>
      <c r="C707" t="s">
        <v>1200</v>
      </c>
      <c r="D707">
        <v>1</v>
      </c>
      <c r="E707" t="s">
        <v>1159</v>
      </c>
      <c r="F707" t="s">
        <v>1160</v>
      </c>
      <c r="G707" s="1"/>
      <c r="H707" t="str">
        <f>"3245060810740"</f>
        <v>3245060810740</v>
      </c>
      <c r="I707" t="s">
        <v>1201</v>
      </c>
    </row>
    <row r="708" spans="1:9" x14ac:dyDescent="0.25">
      <c r="A708" t="s">
        <v>8</v>
      </c>
      <c r="B708">
        <v>86053</v>
      </c>
      <c r="C708" t="s">
        <v>1202</v>
      </c>
      <c r="D708">
        <v>1</v>
      </c>
      <c r="E708" t="s">
        <v>1159</v>
      </c>
      <c r="F708" t="s">
        <v>1160</v>
      </c>
      <c r="G708" s="1"/>
      <c r="H708" t="str">
        <f>"3245060860530"</f>
        <v>3245060860530</v>
      </c>
      <c r="I708" t="s">
        <v>1203</v>
      </c>
    </row>
    <row r="709" spans="1:9" x14ac:dyDescent="0.25">
      <c r="A709" t="s">
        <v>8</v>
      </c>
      <c r="B709">
        <v>86153</v>
      </c>
      <c r="C709" t="s">
        <v>1204</v>
      </c>
      <c r="D709">
        <v>1</v>
      </c>
      <c r="E709" t="s">
        <v>1159</v>
      </c>
      <c r="F709" t="s">
        <v>1160</v>
      </c>
      <c r="G709" s="1"/>
      <c r="H709" t="str">
        <f>"3245060861537"</f>
        <v>3245060861537</v>
      </c>
      <c r="I709" t="s">
        <v>1205</v>
      </c>
    </row>
    <row r="710" spans="1:9" x14ac:dyDescent="0.25">
      <c r="A710" t="s">
        <v>8</v>
      </c>
      <c r="B710">
        <v>86155</v>
      </c>
      <c r="C710" t="s">
        <v>1206</v>
      </c>
      <c r="D710">
        <v>1</v>
      </c>
      <c r="E710" t="s">
        <v>1159</v>
      </c>
      <c r="F710" t="s">
        <v>1160</v>
      </c>
      <c r="G710" s="1"/>
      <c r="H710" t="str">
        <f>"3245060861551"</f>
        <v>3245060861551</v>
      </c>
      <c r="I710" t="s">
        <v>1207</v>
      </c>
    </row>
    <row r="711" spans="1:9" x14ac:dyDescent="0.25">
      <c r="A711" t="s">
        <v>8</v>
      </c>
      <c r="B711">
        <v>86146</v>
      </c>
      <c r="C711" t="s">
        <v>1208</v>
      </c>
      <c r="D711">
        <v>1</v>
      </c>
      <c r="E711" t="s">
        <v>1159</v>
      </c>
      <c r="F711" t="s">
        <v>1160</v>
      </c>
      <c r="G711" s="1"/>
      <c r="H711" t="str">
        <f>"3414970764898"</f>
        <v>3414970764898</v>
      </c>
      <c r="I711" t="s">
        <v>1209</v>
      </c>
    </row>
    <row r="712" spans="1:9" x14ac:dyDescent="0.25">
      <c r="A712" t="s">
        <v>8</v>
      </c>
      <c r="B712">
        <v>31490</v>
      </c>
      <c r="C712" t="s">
        <v>1210</v>
      </c>
      <c r="D712">
        <v>1</v>
      </c>
      <c r="E712" t="s">
        <v>1211</v>
      </c>
      <c r="F712" t="s">
        <v>1212</v>
      </c>
      <c r="G712" s="1"/>
      <c r="H712" t="str">
        <f>"3245060314903"</f>
        <v>3245060314903</v>
      </c>
      <c r="I712" t="s">
        <v>1213</v>
      </c>
    </row>
    <row r="713" spans="1:9" x14ac:dyDescent="0.25">
      <c r="A713" t="s">
        <v>8</v>
      </c>
      <c r="B713">
        <v>40185</v>
      </c>
      <c r="C713" t="s">
        <v>1214</v>
      </c>
      <c r="D713">
        <v>1</v>
      </c>
      <c r="E713" t="s">
        <v>1211</v>
      </c>
      <c r="F713" t="s">
        <v>1212</v>
      </c>
      <c r="G713" s="1"/>
      <c r="H713" t="str">
        <f>"3245060401856"</f>
        <v>3245060401856</v>
      </c>
      <c r="I713" t="s">
        <v>1215</v>
      </c>
    </row>
    <row r="714" spans="1:9" x14ac:dyDescent="0.25">
      <c r="A714" t="s">
        <v>8</v>
      </c>
      <c r="B714">
        <v>40187</v>
      </c>
      <c r="C714" t="s">
        <v>1216</v>
      </c>
      <c r="D714">
        <v>1</v>
      </c>
      <c r="E714" t="s">
        <v>1211</v>
      </c>
      <c r="F714" t="s">
        <v>1212</v>
      </c>
      <c r="G714" s="1"/>
      <c r="H714" t="str">
        <f>"3245060401870"</f>
        <v>3245060401870</v>
      </c>
      <c r="I714" t="s">
        <v>1217</v>
      </c>
    </row>
    <row r="715" spans="1:9" x14ac:dyDescent="0.25">
      <c r="A715" t="s">
        <v>8</v>
      </c>
      <c r="B715">
        <v>40189</v>
      </c>
      <c r="C715" t="s">
        <v>1218</v>
      </c>
      <c r="D715">
        <v>1</v>
      </c>
      <c r="E715" t="s">
        <v>1211</v>
      </c>
      <c r="F715" t="s">
        <v>1212</v>
      </c>
      <c r="G715" s="1"/>
      <c r="H715" t="str">
        <f>"3245060401894"</f>
        <v>3245060401894</v>
      </c>
      <c r="I715" t="s">
        <v>1219</v>
      </c>
    </row>
    <row r="716" spans="1:9" x14ac:dyDescent="0.25">
      <c r="A716" t="s">
        <v>8</v>
      </c>
      <c r="B716">
        <v>40193</v>
      </c>
      <c r="C716" t="s">
        <v>1220</v>
      </c>
      <c r="D716">
        <v>1</v>
      </c>
      <c r="E716" t="s">
        <v>1211</v>
      </c>
      <c r="F716" t="s">
        <v>1212</v>
      </c>
      <c r="G716" s="1"/>
      <c r="H716" t="str">
        <f>"3245060401931"</f>
        <v>3245060401931</v>
      </c>
      <c r="I716" t="s">
        <v>1221</v>
      </c>
    </row>
    <row r="717" spans="1:9" x14ac:dyDescent="0.25">
      <c r="A717" t="s">
        <v>8</v>
      </c>
      <c r="B717">
        <v>40194</v>
      </c>
      <c r="C717" t="s">
        <v>1222</v>
      </c>
      <c r="D717">
        <v>1</v>
      </c>
      <c r="E717" t="s">
        <v>1211</v>
      </c>
      <c r="F717" t="s">
        <v>1212</v>
      </c>
      <c r="G717" s="1"/>
      <c r="H717" t="str">
        <f>"3245060401948"</f>
        <v>3245060401948</v>
      </c>
      <c r="I717" t="s">
        <v>1223</v>
      </c>
    </row>
    <row r="718" spans="1:9" x14ac:dyDescent="0.25">
      <c r="A718" t="s">
        <v>8</v>
      </c>
      <c r="B718">
        <v>50806</v>
      </c>
      <c r="C718" t="s">
        <v>1224</v>
      </c>
      <c r="D718">
        <v>1</v>
      </c>
      <c r="E718" t="s">
        <v>1211</v>
      </c>
      <c r="F718" t="s">
        <v>1212</v>
      </c>
      <c r="G718" s="1"/>
      <c r="H718" t="str">
        <f>"3245060508067"</f>
        <v>3245060508067</v>
      </c>
      <c r="I718" t="s">
        <v>1225</v>
      </c>
    </row>
    <row r="719" spans="1:9" x14ac:dyDescent="0.25">
      <c r="A719" t="s">
        <v>8</v>
      </c>
      <c r="B719">
        <v>50860</v>
      </c>
      <c r="C719" t="s">
        <v>1226</v>
      </c>
      <c r="D719">
        <v>1</v>
      </c>
      <c r="E719" t="s">
        <v>1211</v>
      </c>
      <c r="F719" t="s">
        <v>1212</v>
      </c>
      <c r="G719" s="1"/>
      <c r="H719" t="str">
        <f>"3245060508609"</f>
        <v>3245060508609</v>
      </c>
      <c r="I719" t="s">
        <v>1227</v>
      </c>
    </row>
    <row r="720" spans="1:9" x14ac:dyDescent="0.25">
      <c r="A720" t="s">
        <v>8</v>
      </c>
      <c r="B720">
        <v>55422</v>
      </c>
      <c r="C720" t="s">
        <v>1228</v>
      </c>
      <c r="D720">
        <v>1</v>
      </c>
      <c r="E720" t="s">
        <v>1211</v>
      </c>
      <c r="F720" t="s">
        <v>1212</v>
      </c>
      <c r="G720" s="1"/>
      <c r="H720" t="str">
        <f>"3245060554224"</f>
        <v>3245060554224</v>
      </c>
      <c r="I720" t="s">
        <v>1229</v>
      </c>
    </row>
    <row r="721" spans="1:9" x14ac:dyDescent="0.25">
      <c r="A721" t="s">
        <v>8</v>
      </c>
      <c r="B721">
        <v>55425</v>
      </c>
      <c r="C721" t="s">
        <v>1230</v>
      </c>
      <c r="D721">
        <v>1</v>
      </c>
      <c r="E721" t="s">
        <v>1211</v>
      </c>
      <c r="F721" t="s">
        <v>1212</v>
      </c>
      <c r="G721" s="1"/>
      <c r="H721" t="str">
        <f>"3245060554255"</f>
        <v>3245060554255</v>
      </c>
      <c r="I721" t="s">
        <v>1231</v>
      </c>
    </row>
    <row r="722" spans="1:9" x14ac:dyDescent="0.25">
      <c r="A722" t="s">
        <v>8</v>
      </c>
      <c r="B722">
        <v>55427</v>
      </c>
      <c r="C722" t="s">
        <v>1232</v>
      </c>
      <c r="D722">
        <v>1</v>
      </c>
      <c r="E722" t="s">
        <v>1211</v>
      </c>
      <c r="F722" t="s">
        <v>1212</v>
      </c>
      <c r="G722" s="1"/>
      <c r="H722" t="str">
        <f>"3245060554279"</f>
        <v>3245060554279</v>
      </c>
      <c r="I722" t="s">
        <v>1233</v>
      </c>
    </row>
    <row r="723" spans="1:9" x14ac:dyDescent="0.25">
      <c r="A723" t="s">
        <v>8</v>
      </c>
      <c r="B723">
        <v>55432</v>
      </c>
      <c r="C723" t="s">
        <v>1234</v>
      </c>
      <c r="D723">
        <v>1</v>
      </c>
      <c r="E723" t="s">
        <v>1211</v>
      </c>
      <c r="F723" t="s">
        <v>1212</v>
      </c>
      <c r="G723" s="1"/>
      <c r="H723" t="str">
        <f>"3245060554323"</f>
        <v>3245060554323</v>
      </c>
      <c r="I723" t="s">
        <v>1235</v>
      </c>
    </row>
    <row r="724" spans="1:9" x14ac:dyDescent="0.25">
      <c r="A724" t="s">
        <v>8</v>
      </c>
      <c r="B724">
        <v>55439</v>
      </c>
      <c r="C724" t="s">
        <v>1236</v>
      </c>
      <c r="D724">
        <v>1</v>
      </c>
      <c r="E724" t="s">
        <v>1211</v>
      </c>
      <c r="F724" t="s">
        <v>1212</v>
      </c>
      <c r="H724" t="str">
        <f>"3245060554392"</f>
        <v>3245060554392</v>
      </c>
      <c r="I724" t="s">
        <v>1237</v>
      </c>
    </row>
    <row r="725" spans="1:9" x14ac:dyDescent="0.25">
      <c r="A725" t="s">
        <v>8</v>
      </c>
      <c r="B725">
        <v>55452</v>
      </c>
      <c r="C725" t="s">
        <v>1238</v>
      </c>
      <c r="D725">
        <v>1</v>
      </c>
      <c r="E725" t="s">
        <v>1211</v>
      </c>
      <c r="F725" t="s">
        <v>1212</v>
      </c>
      <c r="G725" s="1"/>
      <c r="H725" t="str">
        <f>"3245060554521"</f>
        <v>3245060554521</v>
      </c>
      <c r="I725" t="s">
        <v>1239</v>
      </c>
    </row>
    <row r="726" spans="1:9" x14ac:dyDescent="0.25">
      <c r="A726" t="s">
        <v>8</v>
      </c>
      <c r="B726">
        <v>55455</v>
      </c>
      <c r="C726" t="s">
        <v>1240</v>
      </c>
      <c r="D726">
        <v>1</v>
      </c>
      <c r="E726" t="s">
        <v>1211</v>
      </c>
      <c r="F726" t="s">
        <v>1212</v>
      </c>
      <c r="G726" s="1"/>
      <c r="H726" t="str">
        <f>"3245060554552"</f>
        <v>3245060554552</v>
      </c>
      <c r="I726" t="s">
        <v>1241</v>
      </c>
    </row>
    <row r="727" spans="1:9" x14ac:dyDescent="0.25">
      <c r="A727" t="s">
        <v>8</v>
      </c>
      <c r="B727">
        <v>55457</v>
      </c>
      <c r="C727" t="s">
        <v>1242</v>
      </c>
      <c r="D727">
        <v>1</v>
      </c>
      <c r="E727" t="s">
        <v>1211</v>
      </c>
      <c r="F727" t="s">
        <v>1212</v>
      </c>
      <c r="G727" s="1"/>
      <c r="H727" t="str">
        <f>"3245060554576"</f>
        <v>3245060554576</v>
      </c>
      <c r="I727" t="s">
        <v>1243</v>
      </c>
    </row>
    <row r="728" spans="1:9" x14ac:dyDescent="0.25">
      <c r="A728" t="s">
        <v>8</v>
      </c>
      <c r="B728">
        <v>55812</v>
      </c>
      <c r="C728" t="s">
        <v>1244</v>
      </c>
      <c r="D728">
        <v>1</v>
      </c>
      <c r="E728" t="s">
        <v>1211</v>
      </c>
      <c r="F728" t="s">
        <v>1212</v>
      </c>
      <c r="G728" s="1"/>
      <c r="H728" t="str">
        <f>"3245060558123"</f>
        <v>3245060558123</v>
      </c>
      <c r="I728" t="s">
        <v>1245</v>
      </c>
    </row>
    <row r="729" spans="1:9" x14ac:dyDescent="0.25">
      <c r="A729" t="s">
        <v>8</v>
      </c>
      <c r="B729">
        <v>55815</v>
      </c>
      <c r="C729" t="s">
        <v>1246</v>
      </c>
      <c r="D729">
        <v>1</v>
      </c>
      <c r="E729" t="s">
        <v>1211</v>
      </c>
      <c r="F729" t="s">
        <v>1212</v>
      </c>
      <c r="H729" t="str">
        <f>"3245060558154"</f>
        <v>3245060558154</v>
      </c>
      <c r="I729" t="s">
        <v>1247</v>
      </c>
    </row>
    <row r="730" spans="1:9" x14ac:dyDescent="0.25">
      <c r="A730" t="s">
        <v>8</v>
      </c>
      <c r="B730">
        <v>55817</v>
      </c>
      <c r="C730" t="s">
        <v>1248</v>
      </c>
      <c r="D730">
        <v>1</v>
      </c>
      <c r="E730" t="s">
        <v>1211</v>
      </c>
      <c r="F730" t="s">
        <v>1212</v>
      </c>
      <c r="G730" s="1"/>
      <c r="H730" t="str">
        <f>"3245060558178"</f>
        <v>3245060558178</v>
      </c>
      <c r="I730" t="s">
        <v>1249</v>
      </c>
    </row>
    <row r="731" spans="1:9" x14ac:dyDescent="0.25">
      <c r="A731" t="s">
        <v>8</v>
      </c>
      <c r="B731">
        <v>55849</v>
      </c>
      <c r="C731" t="s">
        <v>1250</v>
      </c>
      <c r="D731">
        <v>1</v>
      </c>
      <c r="E731" t="s">
        <v>1211</v>
      </c>
      <c r="F731" t="s">
        <v>1212</v>
      </c>
      <c r="H731" t="str">
        <f>"3245060558499"</f>
        <v>3245060558499</v>
      </c>
      <c r="I731" t="s">
        <v>1251</v>
      </c>
    </row>
    <row r="732" spans="1:9" x14ac:dyDescent="0.25">
      <c r="A732" t="s">
        <v>8</v>
      </c>
      <c r="B732">
        <v>50670</v>
      </c>
      <c r="C732" t="s">
        <v>1252</v>
      </c>
      <c r="D732">
        <v>1</v>
      </c>
      <c r="E732" t="s">
        <v>1211</v>
      </c>
      <c r="F732" t="s">
        <v>1212</v>
      </c>
      <c r="H732" t="str">
        <f>"3245060506704"</f>
        <v>3245060506704</v>
      </c>
      <c r="I732" t="s">
        <v>1253</v>
      </c>
    </row>
    <row r="733" spans="1:9" x14ac:dyDescent="0.25">
      <c r="A733" t="s">
        <v>8</v>
      </c>
      <c r="B733">
        <v>32752</v>
      </c>
      <c r="C733" t="s">
        <v>1254</v>
      </c>
      <c r="D733">
        <v>1</v>
      </c>
      <c r="E733" t="s">
        <v>1255</v>
      </c>
      <c r="F733" t="s">
        <v>1256</v>
      </c>
      <c r="H733" t="str">
        <f>"3245060327521"</f>
        <v>3245060327521</v>
      </c>
      <c r="I733" t="s">
        <v>1257</v>
      </c>
    </row>
    <row r="734" spans="1:9" x14ac:dyDescent="0.25">
      <c r="A734" t="s">
        <v>8</v>
      </c>
      <c r="B734">
        <v>32783</v>
      </c>
      <c r="C734" t="s">
        <v>1258</v>
      </c>
      <c r="D734">
        <v>1</v>
      </c>
      <c r="E734" t="s">
        <v>1259</v>
      </c>
      <c r="F734" t="s">
        <v>1260</v>
      </c>
      <c r="G734" s="1"/>
      <c r="H734" t="str">
        <f>"3245060327835"</f>
        <v>3245060327835</v>
      </c>
      <c r="I734" t="s">
        <v>1261</v>
      </c>
    </row>
    <row r="735" spans="1:9" x14ac:dyDescent="0.25">
      <c r="A735" t="s">
        <v>8</v>
      </c>
      <c r="B735">
        <v>33184</v>
      </c>
      <c r="C735" t="s">
        <v>1262</v>
      </c>
      <c r="D735">
        <v>1</v>
      </c>
      <c r="E735" t="s">
        <v>1259</v>
      </c>
      <c r="F735" t="s">
        <v>1260</v>
      </c>
      <c r="H735" t="str">
        <f>"3245060331849"</f>
        <v>3245060331849</v>
      </c>
      <c r="I735" t="s">
        <v>1263</v>
      </c>
    </row>
    <row r="736" spans="1:9" x14ac:dyDescent="0.25">
      <c r="A736" t="s">
        <v>8</v>
      </c>
      <c r="B736">
        <v>33187</v>
      </c>
      <c r="C736" t="s">
        <v>1264</v>
      </c>
      <c r="D736">
        <v>1</v>
      </c>
      <c r="E736" t="s">
        <v>1259</v>
      </c>
      <c r="F736" t="s">
        <v>1260</v>
      </c>
      <c r="H736" t="str">
        <f>"3245060331870"</f>
        <v>3245060331870</v>
      </c>
      <c r="I736" t="s">
        <v>1265</v>
      </c>
    </row>
    <row r="737" spans="1:9" x14ac:dyDescent="0.25">
      <c r="A737" t="s">
        <v>8</v>
      </c>
      <c r="B737">
        <v>33194</v>
      </c>
      <c r="C737" t="s">
        <v>1266</v>
      </c>
      <c r="D737">
        <v>100</v>
      </c>
      <c r="E737" t="s">
        <v>1259</v>
      </c>
      <c r="F737" t="s">
        <v>1260</v>
      </c>
      <c r="H737" t="str">
        <f>"3245060331948"</f>
        <v>3245060331948</v>
      </c>
      <c r="I737" t="s">
        <v>1267</v>
      </c>
    </row>
    <row r="738" spans="1:9" x14ac:dyDescent="0.25">
      <c r="A738" t="s">
        <v>8</v>
      </c>
      <c r="B738">
        <v>33195</v>
      </c>
      <c r="C738" t="s">
        <v>1268</v>
      </c>
      <c r="D738">
        <v>1</v>
      </c>
      <c r="E738" t="s">
        <v>1259</v>
      </c>
      <c r="F738" t="s">
        <v>1260</v>
      </c>
      <c r="H738" t="str">
        <f>"3245060331955"</f>
        <v>3245060331955</v>
      </c>
      <c r="I738" t="s">
        <v>1269</v>
      </c>
    </row>
    <row r="739" spans="1:9" x14ac:dyDescent="0.25">
      <c r="A739" t="s">
        <v>8</v>
      </c>
      <c r="B739">
        <v>33196</v>
      </c>
      <c r="C739" t="s">
        <v>1270</v>
      </c>
      <c r="D739">
        <v>1</v>
      </c>
      <c r="E739" t="s">
        <v>1259</v>
      </c>
      <c r="F739" t="s">
        <v>1260</v>
      </c>
      <c r="H739" t="str">
        <f>"3245060331962"</f>
        <v>3245060331962</v>
      </c>
      <c r="I739" t="s">
        <v>1271</v>
      </c>
    </row>
    <row r="740" spans="1:9" x14ac:dyDescent="0.25">
      <c r="A740" t="s">
        <v>8</v>
      </c>
      <c r="B740">
        <v>33262</v>
      </c>
      <c r="C740" t="s">
        <v>1272</v>
      </c>
      <c r="D740">
        <v>1</v>
      </c>
      <c r="E740" t="s">
        <v>1259</v>
      </c>
      <c r="F740" t="s">
        <v>1260</v>
      </c>
      <c r="G740" s="1"/>
      <c r="H740" t="str">
        <f>"3245060332624"</f>
        <v>3245060332624</v>
      </c>
      <c r="I740" t="s">
        <v>1273</v>
      </c>
    </row>
    <row r="741" spans="1:9" x14ac:dyDescent="0.25">
      <c r="A741" t="s">
        <v>8</v>
      </c>
      <c r="B741">
        <v>51701</v>
      </c>
      <c r="C741" t="s">
        <v>1274</v>
      </c>
      <c r="D741">
        <v>1</v>
      </c>
      <c r="E741" t="s">
        <v>1259</v>
      </c>
      <c r="F741" t="s">
        <v>1260</v>
      </c>
      <c r="G741" s="1"/>
      <c r="H741" t="str">
        <f>"3245060517014"</f>
        <v>3245060517014</v>
      </c>
      <c r="I741" t="s">
        <v>1275</v>
      </c>
    </row>
    <row r="742" spans="1:9" x14ac:dyDescent="0.25">
      <c r="A742" t="s">
        <v>8</v>
      </c>
      <c r="B742">
        <v>51702</v>
      </c>
      <c r="C742" t="s">
        <v>1276</v>
      </c>
      <c r="D742">
        <v>1</v>
      </c>
      <c r="E742" t="s">
        <v>1259</v>
      </c>
      <c r="F742" t="s">
        <v>1260</v>
      </c>
      <c r="G742" s="1"/>
      <c r="H742" t="str">
        <f>"3245060517021"</f>
        <v>3245060517021</v>
      </c>
      <c r="I742" t="s">
        <v>1277</v>
      </c>
    </row>
    <row r="743" spans="1:9" x14ac:dyDescent="0.25">
      <c r="A743" t="s">
        <v>8</v>
      </c>
      <c r="B743">
        <v>51703</v>
      </c>
      <c r="C743" t="s">
        <v>1278</v>
      </c>
      <c r="D743">
        <v>1</v>
      </c>
      <c r="E743" t="s">
        <v>1259</v>
      </c>
      <c r="F743" t="s">
        <v>1260</v>
      </c>
      <c r="G743" s="1"/>
      <c r="H743" t="str">
        <f>"3245060517038"</f>
        <v>3245060517038</v>
      </c>
      <c r="I743" t="s">
        <v>1279</v>
      </c>
    </row>
    <row r="744" spans="1:9" x14ac:dyDescent="0.25">
      <c r="A744" t="s">
        <v>8</v>
      </c>
      <c r="B744">
        <v>51704</v>
      </c>
      <c r="C744" t="s">
        <v>1280</v>
      </c>
      <c r="D744">
        <v>1</v>
      </c>
      <c r="E744" t="s">
        <v>1259</v>
      </c>
      <c r="F744" t="s">
        <v>1260</v>
      </c>
      <c r="G744" s="1"/>
      <c r="H744" t="str">
        <f>"3245060517045"</f>
        <v>3245060517045</v>
      </c>
      <c r="I744" t="s">
        <v>1281</v>
      </c>
    </row>
    <row r="745" spans="1:9" x14ac:dyDescent="0.25">
      <c r="A745" t="s">
        <v>8</v>
      </c>
      <c r="B745">
        <v>51706</v>
      </c>
      <c r="C745" t="s">
        <v>1282</v>
      </c>
      <c r="D745">
        <v>1</v>
      </c>
      <c r="E745" t="s">
        <v>1259</v>
      </c>
      <c r="F745" t="s">
        <v>1260</v>
      </c>
      <c r="H745" t="str">
        <f>"3245060517069"</f>
        <v>3245060517069</v>
      </c>
      <c r="I745" t="s">
        <v>1283</v>
      </c>
    </row>
    <row r="746" spans="1:9" x14ac:dyDescent="0.25">
      <c r="A746" t="s">
        <v>8</v>
      </c>
      <c r="B746">
        <v>51707</v>
      </c>
      <c r="C746" t="s">
        <v>1284</v>
      </c>
      <c r="D746">
        <v>1</v>
      </c>
      <c r="E746" t="s">
        <v>1259</v>
      </c>
      <c r="F746" t="s">
        <v>1260</v>
      </c>
      <c r="H746" t="str">
        <f>"3245060517076"</f>
        <v>3245060517076</v>
      </c>
      <c r="I746" t="s">
        <v>1285</v>
      </c>
    </row>
    <row r="747" spans="1:9" x14ac:dyDescent="0.25">
      <c r="A747" t="s">
        <v>8</v>
      </c>
      <c r="B747">
        <v>51709</v>
      </c>
      <c r="C747" t="s">
        <v>1286</v>
      </c>
      <c r="D747">
        <v>1</v>
      </c>
      <c r="E747" t="s">
        <v>1259</v>
      </c>
      <c r="F747" t="s">
        <v>1260</v>
      </c>
      <c r="G747" s="1"/>
      <c r="H747" t="str">
        <f>"3245060517090"</f>
        <v>3245060517090</v>
      </c>
      <c r="I747" t="s">
        <v>1287</v>
      </c>
    </row>
    <row r="748" spans="1:9" x14ac:dyDescent="0.25">
      <c r="A748" t="s">
        <v>8</v>
      </c>
      <c r="B748">
        <v>39598</v>
      </c>
      <c r="C748" t="s">
        <v>1288</v>
      </c>
      <c r="D748">
        <v>1</v>
      </c>
      <c r="E748" t="s">
        <v>1289</v>
      </c>
      <c r="F748" t="s">
        <v>1290</v>
      </c>
      <c r="G748" s="1"/>
      <c r="H748" t="str">
        <f>"3245060395988"</f>
        <v>3245060395988</v>
      </c>
      <c r="I748" t="s">
        <v>1291</v>
      </c>
    </row>
    <row r="749" spans="1:9" x14ac:dyDescent="0.25">
      <c r="A749" t="s">
        <v>8</v>
      </c>
      <c r="B749">
        <v>40175</v>
      </c>
      <c r="C749" t="s">
        <v>1292</v>
      </c>
      <c r="D749">
        <v>1</v>
      </c>
      <c r="E749" t="s">
        <v>1293</v>
      </c>
      <c r="F749" t="s">
        <v>1294</v>
      </c>
      <c r="H749" t="str">
        <f>"3245060401757"</f>
        <v>3245060401757</v>
      </c>
      <c r="I749" t="s">
        <v>1295</v>
      </c>
    </row>
    <row r="750" spans="1:9" x14ac:dyDescent="0.25">
      <c r="A750" t="s">
        <v>8</v>
      </c>
      <c r="B750">
        <v>91480</v>
      </c>
      <c r="C750" t="s">
        <v>1296</v>
      </c>
      <c r="D750">
        <v>1</v>
      </c>
      <c r="E750" t="s">
        <v>1293</v>
      </c>
      <c r="F750" t="s">
        <v>1294</v>
      </c>
      <c r="H750" t="str">
        <f>"3245060914806"</f>
        <v>3245060914806</v>
      </c>
      <c r="I750" t="s">
        <v>1297</v>
      </c>
    </row>
    <row r="751" spans="1:9" x14ac:dyDescent="0.25">
      <c r="A751" t="s">
        <v>8</v>
      </c>
      <c r="B751">
        <v>95840</v>
      </c>
      <c r="C751" t="s">
        <v>1298</v>
      </c>
      <c r="D751">
        <v>1</v>
      </c>
      <c r="E751" t="s">
        <v>1293</v>
      </c>
      <c r="F751" t="s">
        <v>1294</v>
      </c>
      <c r="H751" t="str">
        <f>"3245060958404"</f>
        <v>3245060958404</v>
      </c>
      <c r="I751" t="s">
        <v>1299</v>
      </c>
    </row>
    <row r="752" spans="1:9" x14ac:dyDescent="0.25">
      <c r="A752" t="s">
        <v>8</v>
      </c>
      <c r="B752">
        <v>95841</v>
      </c>
      <c r="C752" t="s">
        <v>1300</v>
      </c>
      <c r="D752">
        <v>1</v>
      </c>
      <c r="E752" t="s">
        <v>1293</v>
      </c>
      <c r="F752" t="s">
        <v>1294</v>
      </c>
      <c r="H752" t="str">
        <f>"3245060958411"</f>
        <v>3245060958411</v>
      </c>
      <c r="I752" t="s">
        <v>1301</v>
      </c>
    </row>
    <row r="753" spans="1:9" x14ac:dyDescent="0.25">
      <c r="A753" t="s">
        <v>8</v>
      </c>
      <c r="B753">
        <v>92111</v>
      </c>
      <c r="C753" t="s">
        <v>1302</v>
      </c>
      <c r="D753">
        <v>1</v>
      </c>
      <c r="E753" t="s">
        <v>1293</v>
      </c>
      <c r="F753" t="s">
        <v>1294</v>
      </c>
      <c r="H753" t="str">
        <f>"3245060921118"</f>
        <v>3245060921118</v>
      </c>
      <c r="I753" t="s">
        <v>1303</v>
      </c>
    </row>
    <row r="754" spans="1:9" x14ac:dyDescent="0.25">
      <c r="A754" t="s">
        <v>8</v>
      </c>
      <c r="B754">
        <v>92110</v>
      </c>
      <c r="C754" t="s">
        <v>1304</v>
      </c>
      <c r="D754">
        <v>1</v>
      </c>
      <c r="E754" t="s">
        <v>1293</v>
      </c>
      <c r="F754" t="s">
        <v>1294</v>
      </c>
      <c r="H754" t="str">
        <f>"3245060921101"</f>
        <v>3245060921101</v>
      </c>
      <c r="I754" t="s">
        <v>1305</v>
      </c>
    </row>
    <row r="755" spans="1:9" x14ac:dyDescent="0.25">
      <c r="A755" t="s">
        <v>8</v>
      </c>
      <c r="B755">
        <v>41645</v>
      </c>
      <c r="C755" t="s">
        <v>1306</v>
      </c>
      <c r="D755">
        <v>1</v>
      </c>
      <c r="E755" t="s">
        <v>1307</v>
      </c>
      <c r="F755" t="s">
        <v>1308</v>
      </c>
      <c r="G755" s="1"/>
      <c r="H755" t="str">
        <f>"3245060416454"</f>
        <v>3245060416454</v>
      </c>
      <c r="I755" t="s">
        <v>1309</v>
      </c>
    </row>
    <row r="756" spans="1:9" x14ac:dyDescent="0.25">
      <c r="A756" t="s">
        <v>8</v>
      </c>
      <c r="B756">
        <v>41646</v>
      </c>
      <c r="C756" t="s">
        <v>1310</v>
      </c>
      <c r="D756">
        <v>1</v>
      </c>
      <c r="E756" t="s">
        <v>1307</v>
      </c>
      <c r="F756" t="s">
        <v>1308</v>
      </c>
      <c r="G756" s="1"/>
      <c r="H756" t="str">
        <f>"3245060416461"</f>
        <v>3245060416461</v>
      </c>
      <c r="I756" t="s">
        <v>1311</v>
      </c>
    </row>
    <row r="757" spans="1:9" x14ac:dyDescent="0.25">
      <c r="A757" t="s">
        <v>8</v>
      </c>
      <c r="B757">
        <v>41647</v>
      </c>
      <c r="C757" t="s">
        <v>1312</v>
      </c>
      <c r="D757">
        <v>1</v>
      </c>
      <c r="E757" t="s">
        <v>1307</v>
      </c>
      <c r="F757" t="s">
        <v>1308</v>
      </c>
      <c r="G757" s="1"/>
      <c r="H757" t="str">
        <f>"3245060416478"</f>
        <v>3245060416478</v>
      </c>
      <c r="I757" t="s">
        <v>1313</v>
      </c>
    </row>
    <row r="758" spans="1:9" x14ac:dyDescent="0.25">
      <c r="A758" t="s">
        <v>8</v>
      </c>
      <c r="B758">
        <v>51219</v>
      </c>
      <c r="C758" t="s">
        <v>1314</v>
      </c>
      <c r="D758">
        <v>1</v>
      </c>
      <c r="E758" t="s">
        <v>1315</v>
      </c>
      <c r="F758" t="s">
        <v>1316</v>
      </c>
      <c r="G758" s="1"/>
      <c r="H758" t="str">
        <f>"3245060512194"</f>
        <v>3245060512194</v>
      </c>
      <c r="I758" t="s">
        <v>1317</v>
      </c>
    </row>
    <row r="759" spans="1:9" x14ac:dyDescent="0.25">
      <c r="A759" t="s">
        <v>8</v>
      </c>
      <c r="B759">
        <v>51640</v>
      </c>
      <c r="C759" t="s">
        <v>1318</v>
      </c>
      <c r="D759">
        <v>1</v>
      </c>
      <c r="E759" t="s">
        <v>1319</v>
      </c>
      <c r="F759" t="s">
        <v>1320</v>
      </c>
      <c r="G759" s="1"/>
      <c r="H759" t="str">
        <f>"3245060516406"</f>
        <v>3245060516406</v>
      </c>
      <c r="I759" t="s">
        <v>1321</v>
      </c>
    </row>
    <row r="760" spans="1:9" x14ac:dyDescent="0.25">
      <c r="A760" t="s">
        <v>8</v>
      </c>
      <c r="B760">
        <v>51641</v>
      </c>
      <c r="C760" t="s">
        <v>1318</v>
      </c>
      <c r="D760">
        <v>1</v>
      </c>
      <c r="E760" t="s">
        <v>1319</v>
      </c>
      <c r="F760" t="s">
        <v>1320</v>
      </c>
      <c r="G760" s="1"/>
      <c r="H760" t="str">
        <f>"3245060516413"</f>
        <v>3245060516413</v>
      </c>
      <c r="I760" t="s">
        <v>1322</v>
      </c>
    </row>
    <row r="761" spans="1:9" x14ac:dyDescent="0.25">
      <c r="A761" t="s">
        <v>8</v>
      </c>
      <c r="B761">
        <v>51642</v>
      </c>
      <c r="C761" t="s">
        <v>1318</v>
      </c>
      <c r="D761">
        <v>1</v>
      </c>
      <c r="E761" t="s">
        <v>1319</v>
      </c>
      <c r="F761" t="s">
        <v>1320</v>
      </c>
      <c r="G761" s="1"/>
      <c r="H761" t="str">
        <f>"3245060516420"</f>
        <v>3245060516420</v>
      </c>
      <c r="I761" t="s">
        <v>1323</v>
      </c>
    </row>
    <row r="762" spans="1:9" x14ac:dyDescent="0.25">
      <c r="A762" t="s">
        <v>8</v>
      </c>
      <c r="B762">
        <v>51643</v>
      </c>
      <c r="C762" t="s">
        <v>1318</v>
      </c>
      <c r="D762">
        <v>1</v>
      </c>
      <c r="E762" t="s">
        <v>1319</v>
      </c>
      <c r="F762" t="s">
        <v>1320</v>
      </c>
      <c r="G762" s="1"/>
      <c r="H762" t="str">
        <f>"3245060516437"</f>
        <v>3245060516437</v>
      </c>
      <c r="I762" t="s">
        <v>1324</v>
      </c>
    </row>
    <row r="763" spans="1:9" x14ac:dyDescent="0.25">
      <c r="A763" t="s">
        <v>8</v>
      </c>
      <c r="B763">
        <v>51753</v>
      </c>
      <c r="C763" t="s">
        <v>1325</v>
      </c>
      <c r="D763">
        <v>1</v>
      </c>
      <c r="E763" t="s">
        <v>1319</v>
      </c>
      <c r="F763" t="s">
        <v>1320</v>
      </c>
      <c r="G763" s="1"/>
      <c r="H763" t="str">
        <f>"3245060517533"</f>
        <v>3245060517533</v>
      </c>
      <c r="I763" t="s">
        <v>1326</v>
      </c>
    </row>
    <row r="764" spans="1:9" x14ac:dyDescent="0.25">
      <c r="A764" t="s">
        <v>8</v>
      </c>
      <c r="B764">
        <v>51754</v>
      </c>
      <c r="C764" t="s">
        <v>1327</v>
      </c>
      <c r="D764">
        <v>1</v>
      </c>
      <c r="E764" t="s">
        <v>1319</v>
      </c>
      <c r="F764" t="s">
        <v>1320</v>
      </c>
      <c r="G764" s="1"/>
      <c r="H764" t="str">
        <f>"3245060517540"</f>
        <v>3245060517540</v>
      </c>
      <c r="I764" t="s">
        <v>1328</v>
      </c>
    </row>
    <row r="765" spans="1:9" x14ac:dyDescent="0.25">
      <c r="A765" t="s">
        <v>8</v>
      </c>
      <c r="B765">
        <v>51755</v>
      </c>
      <c r="C765" t="s">
        <v>1329</v>
      </c>
      <c r="D765">
        <v>1</v>
      </c>
      <c r="E765" t="s">
        <v>1319</v>
      </c>
      <c r="F765" t="s">
        <v>1320</v>
      </c>
      <c r="G765" s="1"/>
      <c r="H765" t="str">
        <f>"3245060517557"</f>
        <v>3245060517557</v>
      </c>
      <c r="I765" t="s">
        <v>1330</v>
      </c>
    </row>
    <row r="766" spans="1:9" x14ac:dyDescent="0.25">
      <c r="A766" t="s">
        <v>8</v>
      </c>
      <c r="B766">
        <v>51757</v>
      </c>
      <c r="C766" t="s">
        <v>1331</v>
      </c>
      <c r="D766">
        <v>1</v>
      </c>
      <c r="E766" t="s">
        <v>1319</v>
      </c>
      <c r="F766" t="s">
        <v>1320</v>
      </c>
      <c r="G766" s="1"/>
      <c r="H766" t="str">
        <f>"3245060517571"</f>
        <v>3245060517571</v>
      </c>
      <c r="I766" t="s">
        <v>1332</v>
      </c>
    </row>
    <row r="767" spans="1:9" x14ac:dyDescent="0.25">
      <c r="A767" t="s">
        <v>8</v>
      </c>
      <c r="B767">
        <v>51758</v>
      </c>
      <c r="C767" t="s">
        <v>1331</v>
      </c>
      <c r="D767">
        <v>1</v>
      </c>
      <c r="E767" t="s">
        <v>1319</v>
      </c>
      <c r="F767" t="s">
        <v>1320</v>
      </c>
      <c r="G767" s="1"/>
      <c r="H767" t="str">
        <f>"3245060517588"</f>
        <v>3245060517588</v>
      </c>
      <c r="I767" t="s">
        <v>1333</v>
      </c>
    </row>
    <row r="768" spans="1:9" x14ac:dyDescent="0.25">
      <c r="A768" t="s">
        <v>8</v>
      </c>
      <c r="B768">
        <v>51759</v>
      </c>
      <c r="C768" t="s">
        <v>1331</v>
      </c>
      <c r="D768">
        <v>1</v>
      </c>
      <c r="E768" t="s">
        <v>1319</v>
      </c>
      <c r="F768" t="s">
        <v>1320</v>
      </c>
      <c r="G768" s="1"/>
      <c r="H768" t="str">
        <f>"3245060517595"</f>
        <v>3245060517595</v>
      </c>
      <c r="I768" t="s">
        <v>1334</v>
      </c>
    </row>
    <row r="769" spans="1:9" x14ac:dyDescent="0.25">
      <c r="A769" t="s">
        <v>8</v>
      </c>
      <c r="B769">
        <v>51765</v>
      </c>
      <c r="C769" t="s">
        <v>1335</v>
      </c>
      <c r="D769">
        <v>1</v>
      </c>
      <c r="E769" t="s">
        <v>1319</v>
      </c>
      <c r="F769" t="s">
        <v>1320</v>
      </c>
      <c r="G769" s="1"/>
      <c r="H769" t="str">
        <f>"3245060517656"</f>
        <v>3245060517656</v>
      </c>
      <c r="I769" t="s">
        <v>1324</v>
      </c>
    </row>
    <row r="770" spans="1:9" x14ac:dyDescent="0.25">
      <c r="A770" t="s">
        <v>8</v>
      </c>
      <c r="B770">
        <v>51775</v>
      </c>
      <c r="C770" t="s">
        <v>1336</v>
      </c>
      <c r="D770">
        <v>1</v>
      </c>
      <c r="E770" t="s">
        <v>1319</v>
      </c>
      <c r="F770" t="s">
        <v>1320</v>
      </c>
      <c r="G770" s="1"/>
      <c r="H770" t="str">
        <f>"3245060517755"</f>
        <v>3245060517755</v>
      </c>
      <c r="I770" t="s">
        <v>1337</v>
      </c>
    </row>
    <row r="771" spans="1:9" x14ac:dyDescent="0.25">
      <c r="A771" t="s">
        <v>8</v>
      </c>
      <c r="B771">
        <v>51780</v>
      </c>
      <c r="C771" t="s">
        <v>1338</v>
      </c>
      <c r="D771">
        <v>1</v>
      </c>
      <c r="E771" t="s">
        <v>1319</v>
      </c>
      <c r="F771" t="s">
        <v>1320</v>
      </c>
      <c r="G771" s="1"/>
      <c r="H771" t="str">
        <f>"3245060517809"</f>
        <v>3245060517809</v>
      </c>
      <c r="I771" t="s">
        <v>1339</v>
      </c>
    </row>
    <row r="772" spans="1:9" x14ac:dyDescent="0.25">
      <c r="A772" t="s">
        <v>8</v>
      </c>
      <c r="B772">
        <v>51781</v>
      </c>
      <c r="C772" t="s">
        <v>1338</v>
      </c>
      <c r="D772">
        <v>1</v>
      </c>
      <c r="E772" t="s">
        <v>1319</v>
      </c>
      <c r="F772" t="s">
        <v>1320</v>
      </c>
      <c r="G772" s="1"/>
      <c r="H772" t="str">
        <f>"3245060517816"</f>
        <v>3245060517816</v>
      </c>
      <c r="I772" t="s">
        <v>1340</v>
      </c>
    </row>
    <row r="773" spans="1:9" x14ac:dyDescent="0.25">
      <c r="A773" t="s">
        <v>8</v>
      </c>
      <c r="B773">
        <v>51782</v>
      </c>
      <c r="C773" t="s">
        <v>1338</v>
      </c>
      <c r="D773">
        <v>1</v>
      </c>
      <c r="E773" t="s">
        <v>1319</v>
      </c>
      <c r="F773" t="s">
        <v>1320</v>
      </c>
      <c r="G773" s="1"/>
      <c r="H773" t="str">
        <f>"3245060517823"</f>
        <v>3245060517823</v>
      </c>
      <c r="I773" t="s">
        <v>1341</v>
      </c>
    </row>
    <row r="774" spans="1:9" x14ac:dyDescent="0.25">
      <c r="A774" t="s">
        <v>8</v>
      </c>
      <c r="B774">
        <v>51783</v>
      </c>
      <c r="C774" t="s">
        <v>1338</v>
      </c>
      <c r="D774">
        <v>1</v>
      </c>
      <c r="E774" t="s">
        <v>1319</v>
      </c>
      <c r="F774" t="s">
        <v>1320</v>
      </c>
      <c r="G774" s="1"/>
      <c r="H774" t="str">
        <f>"3245060517830"</f>
        <v>3245060517830</v>
      </c>
      <c r="I774" t="s">
        <v>1342</v>
      </c>
    </row>
    <row r="775" spans="1:9" x14ac:dyDescent="0.25">
      <c r="A775" t="s">
        <v>8</v>
      </c>
      <c r="B775">
        <v>51796</v>
      </c>
      <c r="C775" t="s">
        <v>1343</v>
      </c>
      <c r="D775">
        <v>1</v>
      </c>
      <c r="E775" t="s">
        <v>1319</v>
      </c>
      <c r="F775" t="s">
        <v>1320</v>
      </c>
      <c r="G775" s="1"/>
      <c r="H775" t="str">
        <f>"3245060517960"</f>
        <v>3245060517960</v>
      </c>
      <c r="I775" t="s">
        <v>1344</v>
      </c>
    </row>
    <row r="776" spans="1:9" x14ac:dyDescent="0.25">
      <c r="A776" t="s">
        <v>8</v>
      </c>
      <c r="B776">
        <v>51797</v>
      </c>
      <c r="C776" t="s">
        <v>1343</v>
      </c>
      <c r="D776">
        <v>1</v>
      </c>
      <c r="E776" t="s">
        <v>1319</v>
      </c>
      <c r="F776" t="s">
        <v>1320</v>
      </c>
      <c r="G776" s="1"/>
      <c r="H776" t="str">
        <f>"3245060517977"</f>
        <v>3245060517977</v>
      </c>
      <c r="I776" t="s">
        <v>1345</v>
      </c>
    </row>
    <row r="777" spans="1:9" x14ac:dyDescent="0.25">
      <c r="A777" t="s">
        <v>8</v>
      </c>
      <c r="B777">
        <v>51798</v>
      </c>
      <c r="C777" t="s">
        <v>1343</v>
      </c>
      <c r="D777">
        <v>1</v>
      </c>
      <c r="E777" t="s">
        <v>1319</v>
      </c>
      <c r="F777" t="s">
        <v>1320</v>
      </c>
      <c r="G777" s="1"/>
      <c r="H777" t="str">
        <f>"3245060517984"</f>
        <v>3245060517984</v>
      </c>
      <c r="I777" t="s">
        <v>1346</v>
      </c>
    </row>
    <row r="778" spans="1:9" x14ac:dyDescent="0.25">
      <c r="A778" t="s">
        <v>8</v>
      </c>
      <c r="B778">
        <v>51510</v>
      </c>
      <c r="C778" t="s">
        <v>1347</v>
      </c>
      <c r="D778">
        <v>1</v>
      </c>
      <c r="E778" t="s">
        <v>1319</v>
      </c>
      <c r="F778" t="s">
        <v>1320</v>
      </c>
      <c r="G778" s="1"/>
      <c r="H778" t="str">
        <f>"3245060515102"</f>
        <v>3245060515102</v>
      </c>
      <c r="I778" t="s">
        <v>1348</v>
      </c>
    </row>
    <row r="779" spans="1:9" x14ac:dyDescent="0.25">
      <c r="A779" t="s">
        <v>8</v>
      </c>
      <c r="B779">
        <v>51511</v>
      </c>
      <c r="C779" t="s">
        <v>1347</v>
      </c>
      <c r="D779">
        <v>1</v>
      </c>
      <c r="E779" t="s">
        <v>1319</v>
      </c>
      <c r="F779" t="s">
        <v>1320</v>
      </c>
      <c r="G779" s="1"/>
      <c r="H779" t="str">
        <f>"3245060515119"</f>
        <v>3245060515119</v>
      </c>
      <c r="I779" t="s">
        <v>1349</v>
      </c>
    </row>
    <row r="780" spans="1:9" x14ac:dyDescent="0.25">
      <c r="A780" t="s">
        <v>8</v>
      </c>
      <c r="B780">
        <v>51512</v>
      </c>
      <c r="C780" t="s">
        <v>1347</v>
      </c>
      <c r="D780">
        <v>1</v>
      </c>
      <c r="E780" t="s">
        <v>1319</v>
      </c>
      <c r="F780" t="s">
        <v>1320</v>
      </c>
      <c r="G780" s="1"/>
      <c r="H780" t="str">
        <f>"3245060515126"</f>
        <v>3245060515126</v>
      </c>
      <c r="I780" t="s">
        <v>1350</v>
      </c>
    </row>
    <row r="781" spans="1:9" x14ac:dyDescent="0.25">
      <c r="A781" t="s">
        <v>8</v>
      </c>
      <c r="B781">
        <v>51513</v>
      </c>
      <c r="C781" t="s">
        <v>1351</v>
      </c>
      <c r="D781">
        <v>1</v>
      </c>
      <c r="E781" t="s">
        <v>1319</v>
      </c>
      <c r="F781" t="s">
        <v>1320</v>
      </c>
      <c r="G781" s="1"/>
      <c r="H781" t="str">
        <f>"3414972628068"</f>
        <v>3414972628068</v>
      </c>
      <c r="I781" t="s">
        <v>1352</v>
      </c>
    </row>
    <row r="782" spans="1:9" x14ac:dyDescent="0.25">
      <c r="A782" t="s">
        <v>8</v>
      </c>
      <c r="B782">
        <v>51514</v>
      </c>
      <c r="C782" t="s">
        <v>1351</v>
      </c>
      <c r="D782">
        <v>1</v>
      </c>
      <c r="E782" t="s">
        <v>1319</v>
      </c>
      <c r="F782" t="s">
        <v>1320</v>
      </c>
      <c r="G782" s="1"/>
      <c r="H782" t="str">
        <f>"3414972628082"</f>
        <v>3414972628082</v>
      </c>
      <c r="I782" t="s">
        <v>1353</v>
      </c>
    </row>
    <row r="783" spans="1:9" x14ac:dyDescent="0.25">
      <c r="A783" t="s">
        <v>8</v>
      </c>
      <c r="B783">
        <v>51515</v>
      </c>
      <c r="C783" t="s">
        <v>1351</v>
      </c>
      <c r="D783">
        <v>1</v>
      </c>
      <c r="E783" t="s">
        <v>1319</v>
      </c>
      <c r="F783" t="s">
        <v>1320</v>
      </c>
      <c r="G783" s="1"/>
      <c r="H783" t="str">
        <f>"3414972628105"</f>
        <v>3414972628105</v>
      </c>
      <c r="I783" t="s">
        <v>1354</v>
      </c>
    </row>
    <row r="784" spans="1:9" x14ac:dyDescent="0.25">
      <c r="A784" t="s">
        <v>8</v>
      </c>
      <c r="B784">
        <v>51720</v>
      </c>
      <c r="C784" t="s">
        <v>1355</v>
      </c>
      <c r="D784">
        <v>1</v>
      </c>
      <c r="E784" t="s">
        <v>1319</v>
      </c>
      <c r="F784" t="s">
        <v>1320</v>
      </c>
      <c r="G784" s="1"/>
      <c r="H784" t="str">
        <f>"3245060517205"</f>
        <v>3245060517205</v>
      </c>
      <c r="I784" t="s">
        <v>1356</v>
      </c>
    </row>
    <row r="785" spans="1:9" x14ac:dyDescent="0.25">
      <c r="A785" t="s">
        <v>8</v>
      </c>
      <c r="B785">
        <v>51860</v>
      </c>
      <c r="C785" t="s">
        <v>1336</v>
      </c>
      <c r="D785">
        <v>1</v>
      </c>
      <c r="E785" t="s">
        <v>1319</v>
      </c>
      <c r="F785" t="s">
        <v>1320</v>
      </c>
      <c r="G785" s="1"/>
      <c r="H785" t="str">
        <f>"3245060518608"</f>
        <v>3245060518608</v>
      </c>
      <c r="I785" t="s">
        <v>1357</v>
      </c>
    </row>
    <row r="786" spans="1:9" x14ac:dyDescent="0.25">
      <c r="A786" t="s">
        <v>8</v>
      </c>
      <c r="B786">
        <v>51866</v>
      </c>
      <c r="C786" t="s">
        <v>1338</v>
      </c>
      <c r="D786">
        <v>1</v>
      </c>
      <c r="E786" t="s">
        <v>1319</v>
      </c>
      <c r="F786" t="s">
        <v>1320</v>
      </c>
      <c r="G786" s="1"/>
      <c r="H786" t="str">
        <f>"3245060518660"</f>
        <v>3245060518660</v>
      </c>
      <c r="I786" t="s">
        <v>1358</v>
      </c>
    </row>
    <row r="787" spans="1:9" x14ac:dyDescent="0.25">
      <c r="A787" t="s">
        <v>8</v>
      </c>
      <c r="B787">
        <v>51873</v>
      </c>
      <c r="C787" t="s">
        <v>1338</v>
      </c>
      <c r="D787">
        <v>1</v>
      </c>
      <c r="E787" t="s">
        <v>1319</v>
      </c>
      <c r="F787" t="s">
        <v>1320</v>
      </c>
      <c r="G787" s="1"/>
      <c r="H787" t="str">
        <f>"3245060518738"</f>
        <v>3245060518738</v>
      </c>
      <c r="I787" t="s">
        <v>1359</v>
      </c>
    </row>
    <row r="788" spans="1:9" x14ac:dyDescent="0.25">
      <c r="A788" t="s">
        <v>8</v>
      </c>
      <c r="B788">
        <v>51859</v>
      </c>
      <c r="C788" t="s">
        <v>1336</v>
      </c>
      <c r="D788">
        <v>1</v>
      </c>
      <c r="E788" t="s">
        <v>1319</v>
      </c>
      <c r="F788" t="s">
        <v>1320</v>
      </c>
      <c r="G788" s="1"/>
      <c r="H788" t="str">
        <f>"3245060518592"</f>
        <v>3245060518592</v>
      </c>
      <c r="I788" t="s">
        <v>1360</v>
      </c>
    </row>
    <row r="789" spans="1:9" x14ac:dyDescent="0.25">
      <c r="A789" t="s">
        <v>8</v>
      </c>
      <c r="B789">
        <v>51853</v>
      </c>
      <c r="C789" t="s">
        <v>1335</v>
      </c>
      <c r="D789">
        <v>1</v>
      </c>
      <c r="E789" t="s">
        <v>1319</v>
      </c>
      <c r="F789" t="s">
        <v>1320</v>
      </c>
      <c r="G789" s="1"/>
      <c r="H789" t="str">
        <f>"3245060518530"</f>
        <v>3245060518530</v>
      </c>
      <c r="I789" t="s">
        <v>1362</v>
      </c>
    </row>
    <row r="790" spans="1:9" x14ac:dyDescent="0.25">
      <c r="A790" t="s">
        <v>8</v>
      </c>
      <c r="B790">
        <v>51872</v>
      </c>
      <c r="C790" t="s">
        <v>1338</v>
      </c>
      <c r="D790">
        <v>1</v>
      </c>
      <c r="E790" t="s">
        <v>1319</v>
      </c>
      <c r="F790" t="s">
        <v>1320</v>
      </c>
      <c r="G790" s="1"/>
      <c r="H790" t="str">
        <f>"3245060518721"</f>
        <v>3245060518721</v>
      </c>
      <c r="I790" t="s">
        <v>1363</v>
      </c>
    </row>
    <row r="791" spans="1:9" x14ac:dyDescent="0.25">
      <c r="A791" t="s">
        <v>8</v>
      </c>
      <c r="B791">
        <v>51858</v>
      </c>
      <c r="C791" t="s">
        <v>1336</v>
      </c>
      <c r="D791">
        <v>1</v>
      </c>
      <c r="E791" t="s">
        <v>1319</v>
      </c>
      <c r="F791" t="s">
        <v>1320</v>
      </c>
      <c r="G791" s="1"/>
      <c r="H791" t="str">
        <f>"3245060518585"</f>
        <v>3245060518585</v>
      </c>
      <c r="I791" t="s">
        <v>1364</v>
      </c>
    </row>
    <row r="792" spans="1:9" x14ac:dyDescent="0.25">
      <c r="A792" t="s">
        <v>8</v>
      </c>
      <c r="B792">
        <v>51852</v>
      </c>
      <c r="C792" t="s">
        <v>1335</v>
      </c>
      <c r="D792">
        <v>1</v>
      </c>
      <c r="E792" t="s">
        <v>1319</v>
      </c>
      <c r="F792" t="s">
        <v>1320</v>
      </c>
      <c r="G792" s="1"/>
      <c r="H792" t="str">
        <f>"3245060518523"</f>
        <v>3245060518523</v>
      </c>
      <c r="I792" t="s">
        <v>1365</v>
      </c>
    </row>
    <row r="793" spans="1:9" x14ac:dyDescent="0.25">
      <c r="A793" t="s">
        <v>8</v>
      </c>
      <c r="B793">
        <v>51871</v>
      </c>
      <c r="C793" t="s">
        <v>1338</v>
      </c>
      <c r="D793">
        <v>1</v>
      </c>
      <c r="E793" t="s">
        <v>1319</v>
      </c>
      <c r="F793" t="s">
        <v>1320</v>
      </c>
      <c r="G793" s="1"/>
      <c r="H793" t="str">
        <f>"3245060518714"</f>
        <v>3245060518714</v>
      </c>
      <c r="I793" t="s">
        <v>1366</v>
      </c>
    </row>
    <row r="794" spans="1:9" x14ac:dyDescent="0.25">
      <c r="A794" t="s">
        <v>8</v>
      </c>
      <c r="B794">
        <v>51851</v>
      </c>
      <c r="C794" t="s">
        <v>1335</v>
      </c>
      <c r="D794">
        <v>1</v>
      </c>
      <c r="E794" t="s">
        <v>1319</v>
      </c>
      <c r="F794" t="s">
        <v>1320</v>
      </c>
      <c r="G794" s="1"/>
      <c r="H794" t="str">
        <f>"3245060518516"</f>
        <v>3245060518516</v>
      </c>
      <c r="I794" t="s">
        <v>1367</v>
      </c>
    </row>
    <row r="795" spans="1:9" x14ac:dyDescent="0.25">
      <c r="A795" t="s">
        <v>8</v>
      </c>
      <c r="B795">
        <v>51865</v>
      </c>
      <c r="C795" t="s">
        <v>1336</v>
      </c>
      <c r="D795">
        <v>1</v>
      </c>
      <c r="E795" t="s">
        <v>1319</v>
      </c>
      <c r="F795" t="s">
        <v>1320</v>
      </c>
      <c r="G795" s="1"/>
      <c r="H795" t="str">
        <f>"3245060518653"</f>
        <v>3245060518653</v>
      </c>
      <c r="I795" t="s">
        <v>1368</v>
      </c>
    </row>
    <row r="796" spans="1:9" x14ac:dyDescent="0.25">
      <c r="A796" t="s">
        <v>8</v>
      </c>
      <c r="B796">
        <v>51870</v>
      </c>
      <c r="C796" t="s">
        <v>1338</v>
      </c>
      <c r="D796">
        <v>1</v>
      </c>
      <c r="E796" t="s">
        <v>1319</v>
      </c>
      <c r="F796" t="s">
        <v>1320</v>
      </c>
      <c r="G796" s="1"/>
      <c r="H796" t="str">
        <f>"3245060518707"</f>
        <v>3245060518707</v>
      </c>
      <c r="I796" t="s">
        <v>1358</v>
      </c>
    </row>
    <row r="797" spans="1:9" x14ac:dyDescent="0.25">
      <c r="A797" t="s">
        <v>8</v>
      </c>
      <c r="B797">
        <v>51864</v>
      </c>
      <c r="C797" t="s">
        <v>1336</v>
      </c>
      <c r="D797">
        <v>1</v>
      </c>
      <c r="E797" t="s">
        <v>1319</v>
      </c>
      <c r="F797" t="s">
        <v>1320</v>
      </c>
      <c r="G797" s="1"/>
      <c r="H797" t="str">
        <f>"3245060518646"</f>
        <v>3245060518646</v>
      </c>
      <c r="I797" t="s">
        <v>1357</v>
      </c>
    </row>
    <row r="798" spans="1:9" x14ac:dyDescent="0.25">
      <c r="A798" t="s">
        <v>8</v>
      </c>
      <c r="B798">
        <v>51850</v>
      </c>
      <c r="C798" t="s">
        <v>1335</v>
      </c>
      <c r="D798">
        <v>1</v>
      </c>
      <c r="E798" t="s">
        <v>1319</v>
      </c>
      <c r="F798" t="s">
        <v>1320</v>
      </c>
      <c r="G798" s="1"/>
      <c r="H798" t="str">
        <f>"3245060518509"</f>
        <v>3245060518509</v>
      </c>
      <c r="I798" t="s">
        <v>1369</v>
      </c>
    </row>
    <row r="799" spans="1:9" x14ac:dyDescent="0.25">
      <c r="A799" t="s">
        <v>8</v>
      </c>
      <c r="B799">
        <v>51857</v>
      </c>
      <c r="C799" t="s">
        <v>1335</v>
      </c>
      <c r="D799">
        <v>1</v>
      </c>
      <c r="E799" t="s">
        <v>1319</v>
      </c>
      <c r="F799" t="s">
        <v>1320</v>
      </c>
      <c r="G799" s="1"/>
      <c r="H799" t="str">
        <f>"3245060518578"</f>
        <v>3245060518578</v>
      </c>
      <c r="I799" t="s">
        <v>1362</v>
      </c>
    </row>
    <row r="800" spans="1:9" x14ac:dyDescent="0.25">
      <c r="A800" t="s">
        <v>8</v>
      </c>
      <c r="B800">
        <v>51863</v>
      </c>
      <c r="C800" t="s">
        <v>1336</v>
      </c>
      <c r="D800">
        <v>1</v>
      </c>
      <c r="E800" t="s">
        <v>1319</v>
      </c>
      <c r="F800" t="s">
        <v>1320</v>
      </c>
      <c r="G800" s="1"/>
      <c r="H800" t="str">
        <f>"3245060518639"</f>
        <v>3245060518639</v>
      </c>
      <c r="I800" t="s">
        <v>1360</v>
      </c>
    </row>
    <row r="801" spans="1:9" x14ac:dyDescent="0.25">
      <c r="A801" t="s">
        <v>8</v>
      </c>
      <c r="B801">
        <v>51856</v>
      </c>
      <c r="C801" t="s">
        <v>1335</v>
      </c>
      <c r="D801">
        <v>1</v>
      </c>
      <c r="E801" t="s">
        <v>1319</v>
      </c>
      <c r="F801" t="s">
        <v>1320</v>
      </c>
      <c r="G801" s="1"/>
      <c r="H801" t="str">
        <f>"3245060518561"</f>
        <v>3245060518561</v>
      </c>
      <c r="I801" t="s">
        <v>1365</v>
      </c>
    </row>
    <row r="802" spans="1:9" x14ac:dyDescent="0.25">
      <c r="A802" t="s">
        <v>8</v>
      </c>
      <c r="B802">
        <v>51862</v>
      </c>
      <c r="C802" t="s">
        <v>1336</v>
      </c>
      <c r="D802">
        <v>1</v>
      </c>
      <c r="E802" t="s">
        <v>1319</v>
      </c>
      <c r="F802" t="s">
        <v>1320</v>
      </c>
      <c r="G802" s="1"/>
      <c r="H802" t="str">
        <f>"3245060518622"</f>
        <v>3245060518622</v>
      </c>
      <c r="I802" t="s">
        <v>1364</v>
      </c>
    </row>
    <row r="803" spans="1:9" x14ac:dyDescent="0.25">
      <c r="A803" t="s">
        <v>8</v>
      </c>
      <c r="B803">
        <v>51855</v>
      </c>
      <c r="C803" t="s">
        <v>1335</v>
      </c>
      <c r="D803">
        <v>1</v>
      </c>
      <c r="E803" t="s">
        <v>1319</v>
      </c>
      <c r="F803" t="s">
        <v>1320</v>
      </c>
      <c r="G803" s="1"/>
      <c r="H803" t="str">
        <f>"3245060518554"</f>
        <v>3245060518554</v>
      </c>
      <c r="I803" t="s">
        <v>1367</v>
      </c>
    </row>
    <row r="804" spans="1:9" x14ac:dyDescent="0.25">
      <c r="A804" t="s">
        <v>8</v>
      </c>
      <c r="B804">
        <v>51869</v>
      </c>
      <c r="C804" t="s">
        <v>1338</v>
      </c>
      <c r="D804">
        <v>1</v>
      </c>
      <c r="E804" t="s">
        <v>1319</v>
      </c>
      <c r="F804" t="s">
        <v>1320</v>
      </c>
      <c r="G804" s="1"/>
      <c r="H804" t="str">
        <f>"3245060518691"</f>
        <v>3245060518691</v>
      </c>
      <c r="I804" t="s">
        <v>1359</v>
      </c>
    </row>
    <row r="805" spans="1:9" x14ac:dyDescent="0.25">
      <c r="A805" t="s">
        <v>8</v>
      </c>
      <c r="B805">
        <v>51868</v>
      </c>
      <c r="C805" t="s">
        <v>1338</v>
      </c>
      <c r="D805">
        <v>1</v>
      </c>
      <c r="E805" t="s">
        <v>1319</v>
      </c>
      <c r="F805" t="s">
        <v>1320</v>
      </c>
      <c r="G805" s="1"/>
      <c r="H805" t="str">
        <f>"3245060518684"</f>
        <v>3245060518684</v>
      </c>
      <c r="I805" t="s">
        <v>1363</v>
      </c>
    </row>
    <row r="806" spans="1:9" x14ac:dyDescent="0.25">
      <c r="A806" t="s">
        <v>8</v>
      </c>
      <c r="B806">
        <v>51854</v>
      </c>
      <c r="C806" t="s">
        <v>1335</v>
      </c>
      <c r="D806">
        <v>1</v>
      </c>
      <c r="E806" t="s">
        <v>1319</v>
      </c>
      <c r="F806" t="s">
        <v>1320</v>
      </c>
      <c r="G806" s="1"/>
      <c r="H806" t="str">
        <f>"3245060518547"</f>
        <v>3245060518547</v>
      </c>
      <c r="I806" t="s">
        <v>1369</v>
      </c>
    </row>
    <row r="807" spans="1:9" x14ac:dyDescent="0.25">
      <c r="A807" t="s">
        <v>8</v>
      </c>
      <c r="B807">
        <v>51861</v>
      </c>
      <c r="C807" t="s">
        <v>1336</v>
      </c>
      <c r="D807">
        <v>1</v>
      </c>
      <c r="E807" t="s">
        <v>1319</v>
      </c>
      <c r="F807" t="s">
        <v>1320</v>
      </c>
      <c r="G807" s="1"/>
      <c r="H807" t="str">
        <f>"3245060518615"</f>
        <v>3245060518615</v>
      </c>
      <c r="I807" t="s">
        <v>1368</v>
      </c>
    </row>
    <row r="808" spans="1:9" x14ac:dyDescent="0.25">
      <c r="A808" t="s">
        <v>8</v>
      </c>
      <c r="B808">
        <v>51867</v>
      </c>
      <c r="C808" t="s">
        <v>1338</v>
      </c>
      <c r="D808">
        <v>1</v>
      </c>
      <c r="E808" t="s">
        <v>1319</v>
      </c>
      <c r="F808" t="s">
        <v>1320</v>
      </c>
      <c r="G808" s="1"/>
      <c r="H808" t="str">
        <f>"3245060518677"</f>
        <v>3245060518677</v>
      </c>
      <c r="I808" t="s">
        <v>1366</v>
      </c>
    </row>
    <row r="809" spans="1:9" x14ac:dyDescent="0.25">
      <c r="A809" t="s">
        <v>8</v>
      </c>
      <c r="B809">
        <v>51890</v>
      </c>
      <c r="C809" t="s">
        <v>1370</v>
      </c>
      <c r="D809">
        <v>1</v>
      </c>
      <c r="E809" t="s">
        <v>1319</v>
      </c>
      <c r="F809" t="s">
        <v>1320</v>
      </c>
      <c r="H809" t="str">
        <f>"3245060518905"</f>
        <v>3245060518905</v>
      </c>
      <c r="I809" t="s">
        <v>1371</v>
      </c>
    </row>
    <row r="810" spans="1:9" x14ac:dyDescent="0.25">
      <c r="A810" t="s">
        <v>8</v>
      </c>
      <c r="B810">
        <v>55702</v>
      </c>
      <c r="C810" t="s">
        <v>1372</v>
      </c>
      <c r="D810">
        <v>1</v>
      </c>
      <c r="E810" t="s">
        <v>1373</v>
      </c>
      <c r="F810" t="s">
        <v>1374</v>
      </c>
      <c r="G810" s="1"/>
      <c r="H810" t="str">
        <f>"3245060557027"</f>
        <v>3245060557027</v>
      </c>
      <c r="I810" t="s">
        <v>1375</v>
      </c>
    </row>
    <row r="811" spans="1:9" x14ac:dyDescent="0.25">
      <c r="A811" t="s">
        <v>8</v>
      </c>
      <c r="B811">
        <v>55703</v>
      </c>
      <c r="C811" t="s">
        <v>1376</v>
      </c>
      <c r="D811">
        <v>1</v>
      </c>
      <c r="E811" t="s">
        <v>1373</v>
      </c>
      <c r="F811" t="s">
        <v>1374</v>
      </c>
      <c r="G811" s="1"/>
      <c r="H811" t="str">
        <f>"3245060557034"</f>
        <v>3245060557034</v>
      </c>
      <c r="I811" t="s">
        <v>1377</v>
      </c>
    </row>
    <row r="812" spans="1:9" x14ac:dyDescent="0.25">
      <c r="A812" t="s">
        <v>8</v>
      </c>
      <c r="B812">
        <v>55705</v>
      </c>
      <c r="C812" t="s">
        <v>1378</v>
      </c>
      <c r="D812">
        <v>1</v>
      </c>
      <c r="E812" t="s">
        <v>1373</v>
      </c>
      <c r="F812" t="s">
        <v>1374</v>
      </c>
      <c r="G812" s="1"/>
      <c r="H812" t="str">
        <f>"3245060557058"</f>
        <v>3245060557058</v>
      </c>
      <c r="I812" t="s">
        <v>1379</v>
      </c>
    </row>
    <row r="813" spans="1:9" x14ac:dyDescent="0.25">
      <c r="A813" t="s">
        <v>8</v>
      </c>
      <c r="B813">
        <v>55706</v>
      </c>
      <c r="C813" t="s">
        <v>1380</v>
      </c>
      <c r="D813">
        <v>1</v>
      </c>
      <c r="E813" t="s">
        <v>1373</v>
      </c>
      <c r="F813" t="s">
        <v>1374</v>
      </c>
      <c r="G813" s="1"/>
      <c r="H813" t="str">
        <f>"3245060557065"</f>
        <v>3245060557065</v>
      </c>
      <c r="I813" t="s">
        <v>1381</v>
      </c>
    </row>
    <row r="814" spans="1:9" x14ac:dyDescent="0.25">
      <c r="A814" t="s">
        <v>8</v>
      </c>
      <c r="B814">
        <v>55707</v>
      </c>
      <c r="C814" t="s">
        <v>1382</v>
      </c>
      <c r="D814">
        <v>1</v>
      </c>
      <c r="E814" t="s">
        <v>1373</v>
      </c>
      <c r="F814" t="s">
        <v>1374</v>
      </c>
      <c r="G814" s="1"/>
      <c r="H814" t="str">
        <f>"3245060557072"</f>
        <v>3245060557072</v>
      </c>
      <c r="I814" t="s">
        <v>1383</v>
      </c>
    </row>
    <row r="815" spans="1:9" x14ac:dyDescent="0.25">
      <c r="A815" t="s">
        <v>8</v>
      </c>
      <c r="B815">
        <v>55708</v>
      </c>
      <c r="C815" t="s">
        <v>1384</v>
      </c>
      <c r="D815">
        <v>1</v>
      </c>
      <c r="E815" t="s">
        <v>1373</v>
      </c>
      <c r="F815" t="s">
        <v>1374</v>
      </c>
      <c r="G815" s="1"/>
      <c r="H815" t="str">
        <f>"3245060557089"</f>
        <v>3245060557089</v>
      </c>
      <c r="I815" t="s">
        <v>1385</v>
      </c>
    </row>
    <row r="816" spans="1:9" x14ac:dyDescent="0.25">
      <c r="A816" t="s">
        <v>8</v>
      </c>
      <c r="B816">
        <v>55872</v>
      </c>
      <c r="C816" t="s">
        <v>1386</v>
      </c>
      <c r="D816">
        <v>1</v>
      </c>
      <c r="E816" t="s">
        <v>1373</v>
      </c>
      <c r="F816" t="s">
        <v>1374</v>
      </c>
      <c r="G816" s="1"/>
      <c r="H816" t="str">
        <f>"3245060558727"</f>
        <v>3245060558727</v>
      </c>
      <c r="I816" t="s">
        <v>1387</v>
      </c>
    </row>
    <row r="817" spans="1:9" x14ac:dyDescent="0.25">
      <c r="A817" t="s">
        <v>8</v>
      </c>
      <c r="B817">
        <v>55875</v>
      </c>
      <c r="C817" t="s">
        <v>1388</v>
      </c>
      <c r="D817">
        <v>1</v>
      </c>
      <c r="E817" t="s">
        <v>1373</v>
      </c>
      <c r="F817" t="s">
        <v>1374</v>
      </c>
      <c r="G817" s="1"/>
      <c r="H817" t="str">
        <f>"3245060558758"</f>
        <v>3245060558758</v>
      </c>
      <c r="I817" t="s">
        <v>1389</v>
      </c>
    </row>
    <row r="818" spans="1:9" x14ac:dyDescent="0.25">
      <c r="A818" t="s">
        <v>8</v>
      </c>
      <c r="B818">
        <v>55877</v>
      </c>
      <c r="C818" t="s">
        <v>1390</v>
      </c>
      <c r="D818">
        <v>1</v>
      </c>
      <c r="E818" t="s">
        <v>1373</v>
      </c>
      <c r="F818" t="s">
        <v>1374</v>
      </c>
      <c r="G818" s="1"/>
      <c r="H818" t="str">
        <f>"3245060558772"</f>
        <v>3245060558772</v>
      </c>
      <c r="I818" t="s">
        <v>1391</v>
      </c>
    </row>
    <row r="819" spans="1:9" x14ac:dyDescent="0.25">
      <c r="A819" t="s">
        <v>8</v>
      </c>
      <c r="B819">
        <v>90335</v>
      </c>
      <c r="C819" t="s">
        <v>1392</v>
      </c>
      <c r="D819">
        <v>1</v>
      </c>
      <c r="E819" t="s">
        <v>1373</v>
      </c>
      <c r="F819" t="s">
        <v>1374</v>
      </c>
      <c r="G819" s="1"/>
      <c r="H819" t="str">
        <f>"3245060903350"</f>
        <v>3245060903350</v>
      </c>
      <c r="I819" t="s">
        <v>1393</v>
      </c>
    </row>
    <row r="820" spans="1:9" x14ac:dyDescent="0.25">
      <c r="A820" t="s">
        <v>8</v>
      </c>
      <c r="B820">
        <v>90359</v>
      </c>
      <c r="C820" t="s">
        <v>1394</v>
      </c>
      <c r="D820">
        <v>1</v>
      </c>
      <c r="E820" t="s">
        <v>1373</v>
      </c>
      <c r="F820" t="s">
        <v>1374</v>
      </c>
      <c r="G820" s="1"/>
      <c r="H820" t="str">
        <f>"3245060903596"</f>
        <v>3245060903596</v>
      </c>
      <c r="I820" t="s">
        <v>1395</v>
      </c>
    </row>
    <row r="821" spans="1:9" x14ac:dyDescent="0.25">
      <c r="A821" t="s">
        <v>8</v>
      </c>
      <c r="B821">
        <v>90456</v>
      </c>
      <c r="C821" t="s">
        <v>1396</v>
      </c>
      <c r="D821">
        <v>1</v>
      </c>
      <c r="E821" t="s">
        <v>1373</v>
      </c>
      <c r="F821" t="s">
        <v>1374</v>
      </c>
      <c r="G821" s="1"/>
      <c r="H821" t="str">
        <f>"3245060904562"</f>
        <v>3245060904562</v>
      </c>
      <c r="I821" t="s">
        <v>1397</v>
      </c>
    </row>
    <row r="822" spans="1:9" x14ac:dyDescent="0.25">
      <c r="A822" t="s">
        <v>8</v>
      </c>
      <c r="B822">
        <v>90457</v>
      </c>
      <c r="C822" t="s">
        <v>1398</v>
      </c>
      <c r="D822">
        <v>1</v>
      </c>
      <c r="E822" t="s">
        <v>1373</v>
      </c>
      <c r="F822" t="s">
        <v>1374</v>
      </c>
      <c r="G822" s="1"/>
      <c r="H822" t="str">
        <f>"3245060904579"</f>
        <v>3245060904579</v>
      </c>
      <c r="I822" t="s">
        <v>1399</v>
      </c>
    </row>
    <row r="823" spans="1:9" x14ac:dyDescent="0.25">
      <c r="A823" t="s">
        <v>8</v>
      </c>
      <c r="B823">
        <v>90460</v>
      </c>
      <c r="C823" t="s">
        <v>1400</v>
      </c>
      <c r="D823">
        <v>1</v>
      </c>
      <c r="E823" t="s">
        <v>1373</v>
      </c>
      <c r="F823" t="s">
        <v>1374</v>
      </c>
      <c r="G823" s="1"/>
      <c r="H823" t="str">
        <f>"3245060904609"</f>
        <v>3245060904609</v>
      </c>
      <c r="I823" t="s">
        <v>1401</v>
      </c>
    </row>
    <row r="824" spans="1:9" x14ac:dyDescent="0.25">
      <c r="A824" t="s">
        <v>8</v>
      </c>
      <c r="B824">
        <v>90462</v>
      </c>
      <c r="C824" t="s">
        <v>1402</v>
      </c>
      <c r="D824">
        <v>1</v>
      </c>
      <c r="E824" t="s">
        <v>1373</v>
      </c>
      <c r="F824" t="s">
        <v>1374</v>
      </c>
      <c r="G824" s="1"/>
      <c r="H824" t="str">
        <f>"3245060904623"</f>
        <v>3245060904623</v>
      </c>
      <c r="I824" t="s">
        <v>1403</v>
      </c>
    </row>
    <row r="825" spans="1:9" x14ac:dyDescent="0.25">
      <c r="A825" t="s">
        <v>8</v>
      </c>
      <c r="B825">
        <v>90464</v>
      </c>
      <c r="C825" t="s">
        <v>1404</v>
      </c>
      <c r="D825">
        <v>1</v>
      </c>
      <c r="E825" t="s">
        <v>1373</v>
      </c>
      <c r="F825" t="s">
        <v>1374</v>
      </c>
      <c r="G825" s="1"/>
      <c r="H825" t="str">
        <f>"3245060904647"</f>
        <v>3245060904647</v>
      </c>
      <c r="I825" t="s">
        <v>1405</v>
      </c>
    </row>
    <row r="826" spans="1:9" x14ac:dyDescent="0.25">
      <c r="A826" t="s">
        <v>8</v>
      </c>
      <c r="B826">
        <v>90465</v>
      </c>
      <c r="C826" t="s">
        <v>1406</v>
      </c>
      <c r="D826">
        <v>1</v>
      </c>
      <c r="E826" t="s">
        <v>1373</v>
      </c>
      <c r="F826" t="s">
        <v>1374</v>
      </c>
      <c r="G826" s="1"/>
      <c r="H826" t="str">
        <f>"3245060904654"</f>
        <v>3245060904654</v>
      </c>
      <c r="I826" t="s">
        <v>1407</v>
      </c>
    </row>
    <row r="827" spans="1:9" x14ac:dyDescent="0.25">
      <c r="A827" t="s">
        <v>8</v>
      </c>
      <c r="B827">
        <v>90466</v>
      </c>
      <c r="C827" t="s">
        <v>1408</v>
      </c>
      <c r="D827">
        <v>1</v>
      </c>
      <c r="E827" t="s">
        <v>1373</v>
      </c>
      <c r="F827" t="s">
        <v>1374</v>
      </c>
      <c r="G827" s="1"/>
      <c r="H827" t="str">
        <f>"3245060904661"</f>
        <v>3245060904661</v>
      </c>
      <c r="I827" t="s">
        <v>1409</v>
      </c>
    </row>
    <row r="828" spans="1:9" x14ac:dyDescent="0.25">
      <c r="A828" t="s">
        <v>8</v>
      </c>
      <c r="B828">
        <v>90480</v>
      </c>
      <c r="C828" t="s">
        <v>1410</v>
      </c>
      <c r="D828">
        <v>1</v>
      </c>
      <c r="E828" t="s">
        <v>1373</v>
      </c>
      <c r="F828" t="s">
        <v>1374</v>
      </c>
      <c r="G828" s="1"/>
      <c r="H828" t="str">
        <f>"3245060904807"</f>
        <v>3245060904807</v>
      </c>
      <c r="I828" t="s">
        <v>1411</v>
      </c>
    </row>
    <row r="829" spans="1:9" x14ac:dyDescent="0.25">
      <c r="A829" t="s">
        <v>8</v>
      </c>
      <c r="B829">
        <v>90482</v>
      </c>
      <c r="C829" t="s">
        <v>1412</v>
      </c>
      <c r="D829">
        <v>1</v>
      </c>
      <c r="E829" t="s">
        <v>1373</v>
      </c>
      <c r="F829" t="s">
        <v>1374</v>
      </c>
      <c r="G829" s="1"/>
      <c r="H829" t="str">
        <f>"3245060904821"</f>
        <v>3245060904821</v>
      </c>
      <c r="I829" t="s">
        <v>1413</v>
      </c>
    </row>
    <row r="830" spans="1:9" x14ac:dyDescent="0.25">
      <c r="A830" t="s">
        <v>8</v>
      </c>
      <c r="B830">
        <v>90484</v>
      </c>
      <c r="C830" t="s">
        <v>1414</v>
      </c>
      <c r="D830">
        <v>1</v>
      </c>
      <c r="E830" t="s">
        <v>1373</v>
      </c>
      <c r="F830" t="s">
        <v>1374</v>
      </c>
      <c r="G830" s="1"/>
      <c r="H830" t="str">
        <f>"3245060904845"</f>
        <v>3245060904845</v>
      </c>
      <c r="I830" t="s">
        <v>1415</v>
      </c>
    </row>
    <row r="831" spans="1:9" x14ac:dyDescent="0.25">
      <c r="A831" t="s">
        <v>8</v>
      </c>
      <c r="B831">
        <v>90485</v>
      </c>
      <c r="C831" t="s">
        <v>1416</v>
      </c>
      <c r="D831">
        <v>1</v>
      </c>
      <c r="E831" t="s">
        <v>1373</v>
      </c>
      <c r="F831" t="s">
        <v>1374</v>
      </c>
      <c r="G831" s="1"/>
      <c r="H831" t="str">
        <f>"3245060904852"</f>
        <v>3245060904852</v>
      </c>
      <c r="I831" t="s">
        <v>696</v>
      </c>
    </row>
    <row r="832" spans="1:9" x14ac:dyDescent="0.25">
      <c r="A832" t="s">
        <v>8</v>
      </c>
      <c r="B832">
        <v>90486</v>
      </c>
      <c r="C832" t="s">
        <v>1417</v>
      </c>
      <c r="D832">
        <v>1</v>
      </c>
      <c r="E832" t="s">
        <v>1373</v>
      </c>
      <c r="F832" t="s">
        <v>1374</v>
      </c>
      <c r="G832" s="1"/>
      <c r="H832" t="str">
        <f>"3245060904869"</f>
        <v>3245060904869</v>
      </c>
      <c r="I832" t="s">
        <v>1418</v>
      </c>
    </row>
    <row r="833" spans="1:9" x14ac:dyDescent="0.25">
      <c r="A833" t="s">
        <v>8</v>
      </c>
      <c r="B833">
        <v>90490</v>
      </c>
      <c r="C833" t="s">
        <v>1419</v>
      </c>
      <c r="D833">
        <v>1</v>
      </c>
      <c r="E833" t="s">
        <v>1373</v>
      </c>
      <c r="F833" t="s">
        <v>1374</v>
      </c>
      <c r="G833" s="1"/>
      <c r="H833" t="str">
        <f>"3245060904906"</f>
        <v>3245060904906</v>
      </c>
      <c r="I833" t="s">
        <v>1420</v>
      </c>
    </row>
    <row r="834" spans="1:9" x14ac:dyDescent="0.25">
      <c r="A834" t="s">
        <v>8</v>
      </c>
      <c r="B834">
        <v>90491</v>
      </c>
      <c r="C834" t="s">
        <v>1421</v>
      </c>
      <c r="D834">
        <v>1</v>
      </c>
      <c r="E834" t="s">
        <v>1373</v>
      </c>
      <c r="F834" t="s">
        <v>1374</v>
      </c>
      <c r="G834" s="1"/>
      <c r="H834" t="str">
        <f>"3245060904913"</f>
        <v>3245060904913</v>
      </c>
      <c r="I834" t="s">
        <v>1422</v>
      </c>
    </row>
    <row r="835" spans="1:9" x14ac:dyDescent="0.25">
      <c r="A835" t="s">
        <v>8</v>
      </c>
      <c r="B835">
        <v>90492</v>
      </c>
      <c r="C835" t="s">
        <v>1423</v>
      </c>
      <c r="D835">
        <v>1</v>
      </c>
      <c r="E835" t="s">
        <v>1373</v>
      </c>
      <c r="F835" t="s">
        <v>1374</v>
      </c>
      <c r="G835" s="1"/>
      <c r="H835" t="str">
        <f>"3245060904920"</f>
        <v>3245060904920</v>
      </c>
      <c r="I835" t="s">
        <v>1424</v>
      </c>
    </row>
    <row r="836" spans="1:9" x14ac:dyDescent="0.25">
      <c r="A836" t="s">
        <v>8</v>
      </c>
      <c r="B836">
        <v>90493</v>
      </c>
      <c r="C836" t="s">
        <v>1425</v>
      </c>
      <c r="D836">
        <v>1</v>
      </c>
      <c r="E836" t="s">
        <v>1373</v>
      </c>
      <c r="F836" t="s">
        <v>1374</v>
      </c>
      <c r="G836" s="1"/>
      <c r="H836" t="str">
        <f>"3245060904937"</f>
        <v>3245060904937</v>
      </c>
      <c r="I836" t="s">
        <v>1426</v>
      </c>
    </row>
    <row r="837" spans="1:9" x14ac:dyDescent="0.25">
      <c r="A837" t="s">
        <v>8</v>
      </c>
      <c r="B837">
        <v>91655</v>
      </c>
      <c r="C837" t="s">
        <v>1427</v>
      </c>
      <c r="D837">
        <v>1</v>
      </c>
      <c r="E837" t="s">
        <v>1373</v>
      </c>
      <c r="F837" t="s">
        <v>1374</v>
      </c>
      <c r="G837" s="1"/>
      <c r="H837" t="str">
        <f>"3245060916558"</f>
        <v>3245060916558</v>
      </c>
      <c r="I837" t="s">
        <v>1428</v>
      </c>
    </row>
    <row r="838" spans="1:9" x14ac:dyDescent="0.25">
      <c r="A838" t="s">
        <v>8</v>
      </c>
      <c r="B838">
        <v>91656</v>
      </c>
      <c r="C838" t="s">
        <v>1429</v>
      </c>
      <c r="D838">
        <v>1</v>
      </c>
      <c r="E838" t="s">
        <v>1373</v>
      </c>
      <c r="F838" t="s">
        <v>1374</v>
      </c>
      <c r="G838" s="1"/>
      <c r="H838" t="str">
        <f>"3245060916565"</f>
        <v>3245060916565</v>
      </c>
      <c r="I838" t="s">
        <v>1430</v>
      </c>
    </row>
    <row r="839" spans="1:9" x14ac:dyDescent="0.25">
      <c r="A839" t="s">
        <v>8</v>
      </c>
      <c r="B839">
        <v>91657</v>
      </c>
      <c r="C839" t="s">
        <v>1431</v>
      </c>
      <c r="D839">
        <v>1</v>
      </c>
      <c r="E839" t="s">
        <v>1373</v>
      </c>
      <c r="F839" t="s">
        <v>1374</v>
      </c>
      <c r="G839" s="1"/>
      <c r="H839" t="str">
        <f>"3245060916572"</f>
        <v>3245060916572</v>
      </c>
      <c r="I839" t="s">
        <v>1432</v>
      </c>
    </row>
    <row r="840" spans="1:9" x14ac:dyDescent="0.25">
      <c r="A840" t="s">
        <v>8</v>
      </c>
      <c r="B840">
        <v>69795</v>
      </c>
      <c r="C840" t="s">
        <v>1433</v>
      </c>
      <c r="D840">
        <v>1</v>
      </c>
      <c r="E840" t="s">
        <v>1434</v>
      </c>
      <c r="F840" t="s">
        <v>1435</v>
      </c>
      <c r="G840" s="1"/>
      <c r="H840" t="str">
        <f>"3245060697952"</f>
        <v>3245060697952</v>
      </c>
      <c r="I840" t="s">
        <v>1436</v>
      </c>
    </row>
    <row r="841" spans="1:9" x14ac:dyDescent="0.25">
      <c r="A841" t="s">
        <v>8</v>
      </c>
      <c r="B841">
        <v>86047</v>
      </c>
      <c r="C841" t="s">
        <v>1437</v>
      </c>
      <c r="D841">
        <v>1</v>
      </c>
      <c r="E841" t="s">
        <v>1438</v>
      </c>
      <c r="F841" t="s">
        <v>1439</v>
      </c>
      <c r="G841" s="1"/>
      <c r="H841" t="str">
        <f>"3245060860479"</f>
        <v>3245060860479</v>
      </c>
      <c r="I841" t="s">
        <v>1440</v>
      </c>
    </row>
    <row r="842" spans="1:9" x14ac:dyDescent="0.25">
      <c r="A842" t="s">
        <v>8</v>
      </c>
      <c r="B842">
        <v>86059</v>
      </c>
      <c r="C842" t="s">
        <v>1441</v>
      </c>
      <c r="D842">
        <v>1</v>
      </c>
      <c r="E842" t="s">
        <v>1438</v>
      </c>
      <c r="F842" t="s">
        <v>1439</v>
      </c>
      <c r="G842" s="1"/>
      <c r="H842" t="str">
        <f>"3245060860592"</f>
        <v>3245060860592</v>
      </c>
      <c r="I842" t="s">
        <v>1442</v>
      </c>
    </row>
    <row r="843" spans="1:9" x14ac:dyDescent="0.25">
      <c r="A843" t="s">
        <v>8</v>
      </c>
      <c r="B843">
        <v>86061</v>
      </c>
      <c r="C843" t="s">
        <v>1443</v>
      </c>
      <c r="D843">
        <v>1</v>
      </c>
      <c r="E843" t="s">
        <v>1438</v>
      </c>
      <c r="F843" t="s">
        <v>1439</v>
      </c>
      <c r="G843" s="1"/>
      <c r="H843" t="str">
        <f>"3245060860615"</f>
        <v>3245060860615</v>
      </c>
      <c r="I843" t="s">
        <v>1444</v>
      </c>
    </row>
    <row r="844" spans="1:9" x14ac:dyDescent="0.25">
      <c r="A844" t="s">
        <v>8</v>
      </c>
      <c r="B844">
        <v>86144</v>
      </c>
      <c r="C844" t="s">
        <v>1445</v>
      </c>
      <c r="D844">
        <v>1</v>
      </c>
      <c r="E844" t="s">
        <v>1438</v>
      </c>
      <c r="F844" t="s">
        <v>1439</v>
      </c>
      <c r="G844" s="1"/>
      <c r="H844" t="str">
        <f>"3245060861445"</f>
        <v>3245060861445</v>
      </c>
      <c r="I844" t="s">
        <v>1446</v>
      </c>
    </row>
    <row r="845" spans="1:9" x14ac:dyDescent="0.25">
      <c r="A845" t="s">
        <v>8</v>
      </c>
      <c r="B845">
        <v>86147</v>
      </c>
      <c r="C845" t="s">
        <v>1447</v>
      </c>
      <c r="D845">
        <v>1</v>
      </c>
      <c r="E845" t="s">
        <v>1438</v>
      </c>
      <c r="F845" t="s">
        <v>1439</v>
      </c>
      <c r="G845" s="1"/>
      <c r="H845" t="str">
        <f>"3245060861476"</f>
        <v>3245060861476</v>
      </c>
      <c r="I845" t="s">
        <v>1448</v>
      </c>
    </row>
    <row r="846" spans="1:9" x14ac:dyDescent="0.25">
      <c r="A846" t="s">
        <v>8</v>
      </c>
      <c r="B846">
        <v>86159</v>
      </c>
      <c r="C846" t="s">
        <v>1449</v>
      </c>
      <c r="D846">
        <v>1</v>
      </c>
      <c r="E846" t="s">
        <v>1438</v>
      </c>
      <c r="F846" t="s">
        <v>1439</v>
      </c>
      <c r="G846" s="1"/>
      <c r="H846" t="str">
        <f>"3245060861599"</f>
        <v>3245060861599</v>
      </c>
      <c r="I846" t="s">
        <v>523</v>
      </c>
    </row>
    <row r="847" spans="1:9" x14ac:dyDescent="0.25">
      <c r="A847" t="s">
        <v>8</v>
      </c>
      <c r="B847">
        <v>86161</v>
      </c>
      <c r="C847" t="s">
        <v>1450</v>
      </c>
      <c r="D847">
        <v>1</v>
      </c>
      <c r="E847" t="s">
        <v>1438</v>
      </c>
      <c r="F847" t="s">
        <v>1439</v>
      </c>
      <c r="G847" s="1"/>
      <c r="H847" t="str">
        <f>"3245060861612"</f>
        <v>3245060861612</v>
      </c>
      <c r="I847" t="s">
        <v>1451</v>
      </c>
    </row>
    <row r="848" spans="1:9" x14ac:dyDescent="0.25">
      <c r="A848" t="s">
        <v>8</v>
      </c>
      <c r="B848">
        <v>90135</v>
      </c>
      <c r="C848" t="s">
        <v>1452</v>
      </c>
      <c r="D848">
        <v>1</v>
      </c>
      <c r="E848" t="s">
        <v>1453</v>
      </c>
      <c r="F848" t="s">
        <v>1454</v>
      </c>
      <c r="H848" t="str">
        <f>"3245060901356"</f>
        <v>3245060901356</v>
      </c>
      <c r="I848" t="s">
        <v>1455</v>
      </c>
    </row>
    <row r="849" spans="1:9" x14ac:dyDescent="0.25">
      <c r="A849" t="s">
        <v>8</v>
      </c>
      <c r="B849">
        <v>90136</v>
      </c>
      <c r="C849" t="s">
        <v>1456</v>
      </c>
      <c r="D849">
        <v>1</v>
      </c>
      <c r="E849" t="s">
        <v>1453</v>
      </c>
      <c r="F849" t="s">
        <v>1454</v>
      </c>
      <c r="H849" t="str">
        <f>"3245060901363"</f>
        <v>3245060901363</v>
      </c>
      <c r="I849" t="s">
        <v>1457</v>
      </c>
    </row>
    <row r="850" spans="1:9" x14ac:dyDescent="0.25">
      <c r="A850" t="s">
        <v>8</v>
      </c>
      <c r="B850">
        <v>90138</v>
      </c>
      <c r="C850" t="s">
        <v>1458</v>
      </c>
      <c r="D850">
        <v>1</v>
      </c>
      <c r="E850" t="s">
        <v>1453</v>
      </c>
      <c r="F850" t="s">
        <v>1454</v>
      </c>
      <c r="H850" t="str">
        <f>"3245060901387"</f>
        <v>3245060901387</v>
      </c>
      <c r="I850" t="s">
        <v>1459</v>
      </c>
    </row>
    <row r="851" spans="1:9" x14ac:dyDescent="0.25">
      <c r="A851" t="s">
        <v>8</v>
      </c>
      <c r="B851">
        <v>91435</v>
      </c>
      <c r="C851" t="s">
        <v>1460</v>
      </c>
      <c r="D851">
        <v>1</v>
      </c>
      <c r="E851" t="s">
        <v>1461</v>
      </c>
      <c r="F851" t="s">
        <v>1462</v>
      </c>
      <c r="H851" t="str">
        <f>"3245060914356"</f>
        <v>3245060914356</v>
      </c>
      <c r="I851" t="s">
        <v>1463</v>
      </c>
    </row>
    <row r="852" spans="1:9" x14ac:dyDescent="0.25">
      <c r="A852" t="s">
        <v>8</v>
      </c>
      <c r="B852">
        <v>91436</v>
      </c>
      <c r="C852" t="s">
        <v>1464</v>
      </c>
      <c r="D852">
        <v>1</v>
      </c>
      <c r="E852" t="s">
        <v>1461</v>
      </c>
      <c r="F852" t="s">
        <v>1462</v>
      </c>
      <c r="H852" t="str">
        <f>"3245060914363"</f>
        <v>3245060914363</v>
      </c>
      <c r="I852" t="s">
        <v>1465</v>
      </c>
    </row>
    <row r="853" spans="1:9" x14ac:dyDescent="0.25">
      <c r="A853" t="s">
        <v>8</v>
      </c>
      <c r="B853">
        <v>91437</v>
      </c>
      <c r="C853" t="s">
        <v>1466</v>
      </c>
      <c r="D853">
        <v>1</v>
      </c>
      <c r="E853" t="s">
        <v>1461</v>
      </c>
      <c r="F853" t="s">
        <v>1462</v>
      </c>
      <c r="H853" t="str">
        <f>"3245060914370"</f>
        <v>3245060914370</v>
      </c>
      <c r="I853" t="s">
        <v>1467</v>
      </c>
    </row>
    <row r="854" spans="1:9" x14ac:dyDescent="0.25">
      <c r="A854" t="s">
        <v>8</v>
      </c>
      <c r="B854">
        <v>91945</v>
      </c>
      <c r="C854" t="s">
        <v>1468</v>
      </c>
      <c r="D854">
        <v>1</v>
      </c>
      <c r="E854" t="s">
        <v>1469</v>
      </c>
      <c r="F854" t="s">
        <v>1470</v>
      </c>
      <c r="G854" s="1"/>
      <c r="H854" t="str">
        <f>"3245060919450"</f>
        <v>3245060919450</v>
      </c>
      <c r="I854" t="s">
        <v>1471</v>
      </c>
    </row>
    <row r="855" spans="1:9" x14ac:dyDescent="0.25">
      <c r="A855" t="s">
        <v>8</v>
      </c>
      <c r="B855">
        <v>33048</v>
      </c>
      <c r="C855" t="s">
        <v>1472</v>
      </c>
      <c r="D855">
        <v>1</v>
      </c>
      <c r="E855" t="s">
        <v>1473</v>
      </c>
      <c r="F855" t="s">
        <v>1474</v>
      </c>
      <c r="H855" t="str">
        <f>"3245060330484"</f>
        <v>3245060330484</v>
      </c>
      <c r="I855" t="s">
        <v>1475</v>
      </c>
    </row>
    <row r="856" spans="1:9" x14ac:dyDescent="0.25">
      <c r="A856" t="s">
        <v>8</v>
      </c>
      <c r="B856">
        <v>33049</v>
      </c>
      <c r="C856" t="s">
        <v>1476</v>
      </c>
      <c r="D856">
        <v>1</v>
      </c>
      <c r="E856" t="s">
        <v>1473</v>
      </c>
      <c r="F856" t="s">
        <v>1474</v>
      </c>
      <c r="H856" t="str">
        <f>"3245060330491"</f>
        <v>3245060330491</v>
      </c>
      <c r="I856" t="s">
        <v>1334</v>
      </c>
    </row>
    <row r="857" spans="1:9" x14ac:dyDescent="0.25">
      <c r="A857" t="s">
        <v>8</v>
      </c>
      <c r="B857">
        <v>32744</v>
      </c>
      <c r="C857" t="s">
        <v>1477</v>
      </c>
      <c r="D857">
        <v>1</v>
      </c>
      <c r="E857" t="s">
        <v>1473</v>
      </c>
      <c r="F857" t="s">
        <v>1474</v>
      </c>
      <c r="H857" t="str">
        <f>"3245060327446"</f>
        <v>3245060327446</v>
      </c>
      <c r="I857" t="s">
        <v>1478</v>
      </c>
    </row>
    <row r="858" spans="1:9" x14ac:dyDescent="0.25">
      <c r="A858" t="s">
        <v>8</v>
      </c>
      <c r="B858">
        <v>32618</v>
      </c>
      <c r="C858" t="s">
        <v>1479</v>
      </c>
      <c r="D858">
        <v>1</v>
      </c>
      <c r="E858" t="s">
        <v>1473</v>
      </c>
      <c r="F858" t="s">
        <v>1474</v>
      </c>
      <c r="G858" s="1"/>
      <c r="H858" t="str">
        <f>"3245060326180"</f>
        <v>3245060326180</v>
      </c>
      <c r="I858" t="s">
        <v>1480</v>
      </c>
    </row>
    <row r="859" spans="1:9" x14ac:dyDescent="0.25">
      <c r="A859" t="s">
        <v>8</v>
      </c>
      <c r="B859">
        <v>78616</v>
      </c>
      <c r="C859" t="s">
        <v>1481</v>
      </c>
      <c r="D859">
        <v>1</v>
      </c>
      <c r="E859" t="s">
        <v>1482</v>
      </c>
      <c r="F859" t="s">
        <v>1483</v>
      </c>
      <c r="G859" s="1"/>
      <c r="H859" t="str">
        <f>"3245060786168"</f>
        <v>3245060786168</v>
      </c>
      <c r="I859" t="s">
        <v>1484</v>
      </c>
    </row>
    <row r="860" spans="1:9" x14ac:dyDescent="0.25">
      <c r="A860" t="s">
        <v>8</v>
      </c>
      <c r="B860">
        <v>78617</v>
      </c>
      <c r="C860" t="s">
        <v>1485</v>
      </c>
      <c r="D860">
        <v>1</v>
      </c>
      <c r="E860" t="s">
        <v>1482</v>
      </c>
      <c r="F860" t="s">
        <v>1483</v>
      </c>
      <c r="G860" s="1"/>
      <c r="H860" t="str">
        <f>"3245060786175"</f>
        <v>3245060786175</v>
      </c>
      <c r="I860" t="s">
        <v>1486</v>
      </c>
    </row>
    <row r="861" spans="1:9" x14ac:dyDescent="0.25">
      <c r="A861" t="s">
        <v>8</v>
      </c>
      <c r="B861">
        <v>78618</v>
      </c>
      <c r="C861" t="s">
        <v>1487</v>
      </c>
      <c r="D861">
        <v>1</v>
      </c>
      <c r="E861" t="s">
        <v>1482</v>
      </c>
      <c r="F861" t="s">
        <v>1483</v>
      </c>
      <c r="G861" s="1"/>
      <c r="H861" t="str">
        <f>"3245060786182"</f>
        <v>3245060786182</v>
      </c>
      <c r="I861" t="s">
        <v>1488</v>
      </c>
    </row>
    <row r="862" spans="1:9" x14ac:dyDescent="0.25">
      <c r="A862" t="s">
        <v>8</v>
      </c>
      <c r="B862">
        <v>67395</v>
      </c>
      <c r="C862" t="s">
        <v>1489</v>
      </c>
      <c r="D862">
        <v>1</v>
      </c>
      <c r="E862" t="s">
        <v>1482</v>
      </c>
      <c r="F862" t="s">
        <v>1483</v>
      </c>
      <c r="G862" s="1"/>
      <c r="H862" t="str">
        <f>"3245060673956"</f>
        <v>3245060673956</v>
      </c>
      <c r="I862" t="s">
        <v>1490</v>
      </c>
    </row>
    <row r="863" spans="1:9" x14ac:dyDescent="0.25">
      <c r="A863" t="s">
        <v>8</v>
      </c>
      <c r="B863">
        <v>664779</v>
      </c>
      <c r="C863" t="s">
        <v>1491</v>
      </c>
      <c r="D863">
        <v>1</v>
      </c>
      <c r="E863" t="s">
        <v>1482</v>
      </c>
      <c r="F863" t="s">
        <v>1483</v>
      </c>
      <c r="G863" s="1"/>
      <c r="H863" t="str">
        <f>"3245066647791"</f>
        <v>3245066647791</v>
      </c>
      <c r="I863" t="s">
        <v>1492</v>
      </c>
    </row>
    <row r="864" spans="1:9" x14ac:dyDescent="0.25">
      <c r="A864" t="s">
        <v>8</v>
      </c>
      <c r="B864">
        <v>78622</v>
      </c>
      <c r="C864" t="s">
        <v>1493</v>
      </c>
      <c r="D864">
        <v>1</v>
      </c>
      <c r="E864" t="s">
        <v>1494</v>
      </c>
      <c r="F864" t="s">
        <v>1495</v>
      </c>
      <c r="G864" s="1"/>
      <c r="H864" t="str">
        <f>"3245060786229"</f>
        <v>3245060786229</v>
      </c>
      <c r="I864" t="s">
        <v>1496</v>
      </c>
    </row>
    <row r="865" spans="1:9" x14ac:dyDescent="0.25">
      <c r="A865" t="s">
        <v>8</v>
      </c>
      <c r="B865">
        <v>78623</v>
      </c>
      <c r="C865" t="s">
        <v>1497</v>
      </c>
      <c r="D865">
        <v>1</v>
      </c>
      <c r="E865" t="s">
        <v>1494</v>
      </c>
      <c r="F865" t="s">
        <v>1495</v>
      </c>
      <c r="G865" s="1"/>
      <c r="H865" t="str">
        <f>"3245060786236"</f>
        <v>3245060786236</v>
      </c>
      <c r="I865" t="s">
        <v>1498</v>
      </c>
    </row>
    <row r="866" spans="1:9" x14ac:dyDescent="0.25">
      <c r="A866" t="s">
        <v>8</v>
      </c>
      <c r="B866">
        <v>78626</v>
      </c>
      <c r="C866" t="s">
        <v>1499</v>
      </c>
      <c r="D866">
        <v>1</v>
      </c>
      <c r="E866" t="s">
        <v>1494</v>
      </c>
      <c r="F866" t="s">
        <v>1495</v>
      </c>
      <c r="G866" s="1"/>
      <c r="H866" t="str">
        <f>"3245060786267"</f>
        <v>3245060786267</v>
      </c>
      <c r="I866" t="s">
        <v>1500</v>
      </c>
    </row>
    <row r="867" spans="1:9" x14ac:dyDescent="0.25">
      <c r="A867" t="s">
        <v>8</v>
      </c>
      <c r="B867">
        <v>78627</v>
      </c>
      <c r="C867" t="s">
        <v>1501</v>
      </c>
      <c r="D867">
        <v>1</v>
      </c>
      <c r="E867" t="s">
        <v>1494</v>
      </c>
      <c r="F867" t="s">
        <v>1495</v>
      </c>
      <c r="G867" s="1"/>
      <c r="H867" t="str">
        <f>"3245060786274"</f>
        <v>3245060786274</v>
      </c>
      <c r="I867" t="s">
        <v>1502</v>
      </c>
    </row>
    <row r="868" spans="1:9" x14ac:dyDescent="0.25">
      <c r="A868" t="s">
        <v>8</v>
      </c>
      <c r="B868">
        <v>77891</v>
      </c>
      <c r="C868" t="s">
        <v>1503</v>
      </c>
      <c r="D868">
        <v>1</v>
      </c>
      <c r="E868" t="s">
        <v>1494</v>
      </c>
      <c r="F868" t="s">
        <v>1495</v>
      </c>
      <c r="G868" s="1"/>
      <c r="H868" t="str">
        <f>"3245060778910"</f>
        <v>3245060778910</v>
      </c>
      <c r="I868" t="s">
        <v>1504</v>
      </c>
    </row>
    <row r="869" spans="1:9" x14ac:dyDescent="0.25">
      <c r="A869" t="s">
        <v>8</v>
      </c>
      <c r="B869">
        <v>76522</v>
      </c>
      <c r="C869" t="s">
        <v>1505</v>
      </c>
      <c r="D869">
        <v>1</v>
      </c>
      <c r="E869" t="s">
        <v>1494</v>
      </c>
      <c r="F869" t="s">
        <v>1495</v>
      </c>
      <c r="G869" s="1"/>
      <c r="H869" t="str">
        <f>"3245060765224"</f>
        <v>3245060765224</v>
      </c>
      <c r="I869" t="s">
        <v>1506</v>
      </c>
    </row>
    <row r="870" spans="1:9" x14ac:dyDescent="0.25">
      <c r="A870" t="s">
        <v>8</v>
      </c>
      <c r="B870">
        <v>76523</v>
      </c>
      <c r="C870" t="s">
        <v>1507</v>
      </c>
      <c r="D870">
        <v>1</v>
      </c>
      <c r="E870" t="s">
        <v>1494</v>
      </c>
      <c r="F870" t="s">
        <v>1495</v>
      </c>
      <c r="G870" s="1"/>
      <c r="H870" t="str">
        <f>"3245060765231"</f>
        <v>3245060765231</v>
      </c>
      <c r="I870" t="s">
        <v>1508</v>
      </c>
    </row>
    <row r="871" spans="1:9" x14ac:dyDescent="0.25">
      <c r="A871" t="s">
        <v>8</v>
      </c>
      <c r="B871">
        <v>76542</v>
      </c>
      <c r="C871" t="s">
        <v>1509</v>
      </c>
      <c r="D871">
        <v>1</v>
      </c>
      <c r="E871" t="s">
        <v>1494</v>
      </c>
      <c r="F871" t="s">
        <v>1495</v>
      </c>
      <c r="G871" s="1"/>
      <c r="H871" t="str">
        <f>"3245060765422"</f>
        <v>3245060765422</v>
      </c>
      <c r="I871" t="s">
        <v>1510</v>
      </c>
    </row>
    <row r="872" spans="1:9" x14ac:dyDescent="0.25">
      <c r="A872" t="s">
        <v>8</v>
      </c>
      <c r="B872">
        <v>76546</v>
      </c>
      <c r="C872" t="s">
        <v>1511</v>
      </c>
      <c r="D872">
        <v>1</v>
      </c>
      <c r="E872" t="s">
        <v>1494</v>
      </c>
      <c r="F872" t="s">
        <v>1495</v>
      </c>
      <c r="G872" s="1"/>
      <c r="H872" t="str">
        <f>"3245060765460"</f>
        <v>3245060765460</v>
      </c>
      <c r="I872" t="s">
        <v>1512</v>
      </c>
    </row>
    <row r="873" spans="1:9" x14ac:dyDescent="0.25">
      <c r="A873" t="s">
        <v>8</v>
      </c>
      <c r="B873">
        <v>76551</v>
      </c>
      <c r="C873" t="s">
        <v>1513</v>
      </c>
      <c r="D873">
        <v>1</v>
      </c>
      <c r="E873" t="s">
        <v>1494</v>
      </c>
      <c r="F873" t="s">
        <v>1495</v>
      </c>
      <c r="G873" s="1"/>
      <c r="H873" t="str">
        <f>"3245060765514"</f>
        <v>3245060765514</v>
      </c>
      <c r="I873" t="s">
        <v>1514</v>
      </c>
    </row>
    <row r="874" spans="1:9" x14ac:dyDescent="0.25">
      <c r="A874" t="s">
        <v>8</v>
      </c>
      <c r="B874">
        <v>76552</v>
      </c>
      <c r="C874" t="s">
        <v>1515</v>
      </c>
      <c r="D874">
        <v>1</v>
      </c>
      <c r="E874" t="s">
        <v>1494</v>
      </c>
      <c r="F874" t="s">
        <v>1495</v>
      </c>
      <c r="G874" s="1"/>
      <c r="H874" t="str">
        <f>"3245060765521"</f>
        <v>3245060765521</v>
      </c>
      <c r="I874" t="s">
        <v>1516</v>
      </c>
    </row>
    <row r="875" spans="1:9" x14ac:dyDescent="0.25">
      <c r="A875" t="s">
        <v>8</v>
      </c>
      <c r="B875">
        <v>76554</v>
      </c>
      <c r="C875" t="s">
        <v>1517</v>
      </c>
      <c r="D875">
        <v>1</v>
      </c>
      <c r="E875" t="s">
        <v>1494</v>
      </c>
      <c r="F875" t="s">
        <v>1495</v>
      </c>
      <c r="G875" s="1"/>
      <c r="H875" t="str">
        <f>"3245060765545"</f>
        <v>3245060765545</v>
      </c>
      <c r="I875" t="s">
        <v>1518</v>
      </c>
    </row>
    <row r="876" spans="1:9" x14ac:dyDescent="0.25">
      <c r="A876" t="s">
        <v>8</v>
      </c>
      <c r="B876">
        <v>76555</v>
      </c>
      <c r="C876" t="s">
        <v>1519</v>
      </c>
      <c r="D876">
        <v>1</v>
      </c>
      <c r="E876" t="s">
        <v>1494</v>
      </c>
      <c r="F876" t="s">
        <v>1495</v>
      </c>
      <c r="G876" s="1"/>
      <c r="H876" t="str">
        <f>"3245060765552"</f>
        <v>3245060765552</v>
      </c>
      <c r="I876" t="s">
        <v>1520</v>
      </c>
    </row>
    <row r="877" spans="1:9" x14ac:dyDescent="0.25">
      <c r="A877" t="s">
        <v>8</v>
      </c>
      <c r="B877">
        <v>76561</v>
      </c>
      <c r="C877" t="s">
        <v>1521</v>
      </c>
      <c r="D877">
        <v>1</v>
      </c>
      <c r="E877" t="s">
        <v>1494</v>
      </c>
      <c r="F877" t="s">
        <v>1495</v>
      </c>
      <c r="G877" s="1"/>
      <c r="H877" t="str">
        <f>"3245060765613"</f>
        <v>3245060765613</v>
      </c>
      <c r="I877" t="s">
        <v>215</v>
      </c>
    </row>
    <row r="878" spans="1:9" x14ac:dyDescent="0.25">
      <c r="A878" t="s">
        <v>8</v>
      </c>
      <c r="B878">
        <v>76562</v>
      </c>
      <c r="C878" t="s">
        <v>1522</v>
      </c>
      <c r="D878">
        <v>1</v>
      </c>
      <c r="E878" t="s">
        <v>1494</v>
      </c>
      <c r="F878" t="s">
        <v>1495</v>
      </c>
      <c r="G878" s="1"/>
      <c r="H878" t="str">
        <f>"3245060765620"</f>
        <v>3245060765620</v>
      </c>
      <c r="I878" t="s">
        <v>1523</v>
      </c>
    </row>
    <row r="879" spans="1:9" x14ac:dyDescent="0.25">
      <c r="A879" t="s">
        <v>8</v>
      </c>
      <c r="B879">
        <v>76563</v>
      </c>
      <c r="C879" t="s">
        <v>1524</v>
      </c>
      <c r="D879">
        <v>1</v>
      </c>
      <c r="E879" t="s">
        <v>1494</v>
      </c>
      <c r="F879" t="s">
        <v>1495</v>
      </c>
      <c r="G879" s="1"/>
      <c r="H879" t="str">
        <f>"3245060765637"</f>
        <v>3245060765637</v>
      </c>
      <c r="I879" t="s">
        <v>1525</v>
      </c>
    </row>
    <row r="880" spans="1:9" x14ac:dyDescent="0.25">
      <c r="A880" t="s">
        <v>8</v>
      </c>
      <c r="B880">
        <v>76564</v>
      </c>
      <c r="C880" t="s">
        <v>1526</v>
      </c>
      <c r="D880">
        <v>1</v>
      </c>
      <c r="E880" t="s">
        <v>1494</v>
      </c>
      <c r="F880" t="s">
        <v>1495</v>
      </c>
      <c r="G880" s="1"/>
      <c r="H880" t="str">
        <f>"3245060765644"</f>
        <v>3245060765644</v>
      </c>
      <c r="I880" t="s">
        <v>1527</v>
      </c>
    </row>
    <row r="881" spans="1:9" x14ac:dyDescent="0.25">
      <c r="A881" t="s">
        <v>8</v>
      </c>
      <c r="B881">
        <v>76565</v>
      </c>
      <c r="C881" t="s">
        <v>1528</v>
      </c>
      <c r="D881">
        <v>1</v>
      </c>
      <c r="E881" t="s">
        <v>1494</v>
      </c>
      <c r="F881" t="s">
        <v>1495</v>
      </c>
      <c r="G881" s="1"/>
      <c r="H881" t="str">
        <f>"3245060765651"</f>
        <v>3245060765651</v>
      </c>
      <c r="I881" t="s">
        <v>1529</v>
      </c>
    </row>
    <row r="882" spans="1:9" x14ac:dyDescent="0.25">
      <c r="A882" t="s">
        <v>8</v>
      </c>
      <c r="B882">
        <v>76566</v>
      </c>
      <c r="C882" t="s">
        <v>1530</v>
      </c>
      <c r="D882">
        <v>1</v>
      </c>
      <c r="E882" t="s">
        <v>1494</v>
      </c>
      <c r="F882" t="s">
        <v>1495</v>
      </c>
      <c r="G882" s="1"/>
      <c r="H882" t="str">
        <f>"3245060765668"</f>
        <v>3245060765668</v>
      </c>
      <c r="I882" t="s">
        <v>1531</v>
      </c>
    </row>
    <row r="883" spans="1:9" x14ac:dyDescent="0.25">
      <c r="A883" t="s">
        <v>8</v>
      </c>
      <c r="B883">
        <v>76581</v>
      </c>
      <c r="C883" t="s">
        <v>1532</v>
      </c>
      <c r="D883">
        <v>1</v>
      </c>
      <c r="E883" t="s">
        <v>1494</v>
      </c>
      <c r="F883" t="s">
        <v>1495</v>
      </c>
      <c r="G883" s="1"/>
      <c r="H883" t="str">
        <f>"3245060765811"</f>
        <v>3245060765811</v>
      </c>
      <c r="I883" t="s">
        <v>1533</v>
      </c>
    </row>
    <row r="884" spans="1:9" x14ac:dyDescent="0.25">
      <c r="A884" t="s">
        <v>8</v>
      </c>
      <c r="B884">
        <v>76582</v>
      </c>
      <c r="C884" t="s">
        <v>1534</v>
      </c>
      <c r="D884">
        <v>1</v>
      </c>
      <c r="E884" t="s">
        <v>1494</v>
      </c>
      <c r="F884" t="s">
        <v>1495</v>
      </c>
      <c r="G884" s="1"/>
      <c r="H884" t="str">
        <f>"3245060765828"</f>
        <v>3245060765828</v>
      </c>
      <c r="I884" t="s">
        <v>1535</v>
      </c>
    </row>
    <row r="885" spans="1:9" x14ac:dyDescent="0.25">
      <c r="A885" t="s">
        <v>8</v>
      </c>
      <c r="B885">
        <v>76583</v>
      </c>
      <c r="C885" t="s">
        <v>1536</v>
      </c>
      <c r="D885">
        <v>1</v>
      </c>
      <c r="E885" t="s">
        <v>1494</v>
      </c>
      <c r="F885" t="s">
        <v>1495</v>
      </c>
      <c r="G885" s="1"/>
      <c r="H885" t="str">
        <f>"3245060765835"</f>
        <v>3245060765835</v>
      </c>
      <c r="I885" t="s">
        <v>1537</v>
      </c>
    </row>
    <row r="886" spans="1:9" x14ac:dyDescent="0.25">
      <c r="A886" t="s">
        <v>8</v>
      </c>
      <c r="B886">
        <v>76591</v>
      </c>
      <c r="C886" t="s">
        <v>1538</v>
      </c>
      <c r="D886">
        <v>1</v>
      </c>
      <c r="E886" t="s">
        <v>1494</v>
      </c>
      <c r="F886" t="s">
        <v>1495</v>
      </c>
      <c r="G886" s="1"/>
      <c r="H886" t="str">
        <f>"3245060765910"</f>
        <v>3245060765910</v>
      </c>
      <c r="I886" t="s">
        <v>1539</v>
      </c>
    </row>
    <row r="887" spans="1:9" x14ac:dyDescent="0.25">
      <c r="A887" t="s">
        <v>8</v>
      </c>
      <c r="B887">
        <v>76592</v>
      </c>
      <c r="C887" t="s">
        <v>1540</v>
      </c>
      <c r="D887">
        <v>1</v>
      </c>
      <c r="E887" t="s">
        <v>1494</v>
      </c>
      <c r="F887" t="s">
        <v>1495</v>
      </c>
      <c r="G887" s="1"/>
      <c r="H887" t="str">
        <f>"3245060765927"</f>
        <v>3245060765927</v>
      </c>
      <c r="I887" t="s">
        <v>1541</v>
      </c>
    </row>
    <row r="888" spans="1:9" x14ac:dyDescent="0.25">
      <c r="A888" t="s">
        <v>8</v>
      </c>
      <c r="B888">
        <v>76593</v>
      </c>
      <c r="C888" t="s">
        <v>1542</v>
      </c>
      <c r="D888">
        <v>1</v>
      </c>
      <c r="E888" t="s">
        <v>1494</v>
      </c>
      <c r="F888" t="s">
        <v>1495</v>
      </c>
      <c r="G888" s="1"/>
      <c r="H888" t="str">
        <f>"3245060765934"</f>
        <v>3245060765934</v>
      </c>
      <c r="I888" t="s">
        <v>1510</v>
      </c>
    </row>
    <row r="889" spans="1:9" x14ac:dyDescent="0.25">
      <c r="A889" t="s">
        <v>8</v>
      </c>
      <c r="B889">
        <v>76594</v>
      </c>
      <c r="C889" t="s">
        <v>1543</v>
      </c>
      <c r="D889">
        <v>1</v>
      </c>
      <c r="E889" t="s">
        <v>1494</v>
      </c>
      <c r="F889" t="s">
        <v>1495</v>
      </c>
      <c r="G889" s="1"/>
      <c r="H889" t="str">
        <f>"3245060765941"</f>
        <v>3245060765941</v>
      </c>
      <c r="I889" t="s">
        <v>1544</v>
      </c>
    </row>
    <row r="890" spans="1:9" x14ac:dyDescent="0.25">
      <c r="A890" t="s">
        <v>8</v>
      </c>
      <c r="B890">
        <v>76595</v>
      </c>
      <c r="C890" t="s">
        <v>1545</v>
      </c>
      <c r="D890">
        <v>1</v>
      </c>
      <c r="E890" t="s">
        <v>1494</v>
      </c>
      <c r="F890" t="s">
        <v>1495</v>
      </c>
      <c r="G890" s="1"/>
      <c r="H890" t="str">
        <f>"3245060765958"</f>
        <v>3245060765958</v>
      </c>
      <c r="I890" t="s">
        <v>1546</v>
      </c>
    </row>
    <row r="891" spans="1:9" x14ac:dyDescent="0.25">
      <c r="A891" t="s">
        <v>8</v>
      </c>
      <c r="B891">
        <v>76596</v>
      </c>
      <c r="C891" t="s">
        <v>1547</v>
      </c>
      <c r="D891">
        <v>1</v>
      </c>
      <c r="E891" t="s">
        <v>1494</v>
      </c>
      <c r="F891" t="s">
        <v>1495</v>
      </c>
      <c r="G891" s="1"/>
      <c r="H891" t="str">
        <f>"3245060765965"</f>
        <v>3245060765965</v>
      </c>
      <c r="I891" t="s">
        <v>1548</v>
      </c>
    </row>
    <row r="892" spans="1:9" x14ac:dyDescent="0.25">
      <c r="A892" t="s">
        <v>8</v>
      </c>
      <c r="B892">
        <v>79452</v>
      </c>
      <c r="C892" t="s">
        <v>1549</v>
      </c>
      <c r="D892">
        <v>1</v>
      </c>
      <c r="E892" t="s">
        <v>1494</v>
      </c>
      <c r="F892" t="s">
        <v>1495</v>
      </c>
      <c r="G892" s="1"/>
      <c r="H892" t="str">
        <f>"3245060794521"</f>
        <v>3245060794521</v>
      </c>
      <c r="I892" t="s">
        <v>1550</v>
      </c>
    </row>
    <row r="893" spans="1:9" x14ac:dyDescent="0.25">
      <c r="A893" t="s">
        <v>8</v>
      </c>
      <c r="B893">
        <v>79455</v>
      </c>
      <c r="C893" t="s">
        <v>1551</v>
      </c>
      <c r="D893">
        <v>1</v>
      </c>
      <c r="E893" t="s">
        <v>1494</v>
      </c>
      <c r="F893" t="s">
        <v>1495</v>
      </c>
      <c r="G893" s="1"/>
      <c r="H893" t="str">
        <f>"3245060794552"</f>
        <v>3245060794552</v>
      </c>
      <c r="I893" t="s">
        <v>1552</v>
      </c>
    </row>
    <row r="894" spans="1:9" x14ac:dyDescent="0.25">
      <c r="A894" t="s">
        <v>8</v>
      </c>
      <c r="B894">
        <v>79461</v>
      </c>
      <c r="C894" t="s">
        <v>1553</v>
      </c>
      <c r="D894">
        <v>1</v>
      </c>
      <c r="E894" t="s">
        <v>1494</v>
      </c>
      <c r="F894" t="s">
        <v>1495</v>
      </c>
      <c r="G894" s="1"/>
      <c r="H894" t="str">
        <f>"3245060794613"</f>
        <v>3245060794613</v>
      </c>
      <c r="I894" t="s">
        <v>1554</v>
      </c>
    </row>
    <row r="895" spans="1:9" x14ac:dyDescent="0.25">
      <c r="A895" t="s">
        <v>8</v>
      </c>
      <c r="B895">
        <v>79462</v>
      </c>
      <c r="C895" t="s">
        <v>1555</v>
      </c>
      <c r="D895">
        <v>1</v>
      </c>
      <c r="E895" t="s">
        <v>1494</v>
      </c>
      <c r="F895" t="s">
        <v>1495</v>
      </c>
      <c r="G895" s="1"/>
      <c r="H895" t="str">
        <f>"3245060794620"</f>
        <v>3245060794620</v>
      </c>
      <c r="I895" t="s">
        <v>1556</v>
      </c>
    </row>
    <row r="896" spans="1:9" x14ac:dyDescent="0.25">
      <c r="A896" t="s">
        <v>8</v>
      </c>
      <c r="B896">
        <v>79464</v>
      </c>
      <c r="C896" t="s">
        <v>1557</v>
      </c>
      <c r="D896">
        <v>1</v>
      </c>
      <c r="E896" t="s">
        <v>1494</v>
      </c>
      <c r="F896" t="s">
        <v>1495</v>
      </c>
      <c r="G896" s="1"/>
      <c r="H896" t="str">
        <f>"3245060794644"</f>
        <v>3245060794644</v>
      </c>
      <c r="I896" t="s">
        <v>1558</v>
      </c>
    </row>
    <row r="897" spans="1:9" x14ac:dyDescent="0.25">
      <c r="A897" t="s">
        <v>8</v>
      </c>
      <c r="B897">
        <v>79465</v>
      </c>
      <c r="C897" t="s">
        <v>1559</v>
      </c>
      <c r="D897">
        <v>1</v>
      </c>
      <c r="E897" t="s">
        <v>1494</v>
      </c>
      <c r="F897" t="s">
        <v>1495</v>
      </c>
      <c r="G897" s="1"/>
      <c r="H897" t="str">
        <f>"3245060794651"</f>
        <v>3245060794651</v>
      </c>
      <c r="I897" t="s">
        <v>1560</v>
      </c>
    </row>
    <row r="898" spans="1:9" x14ac:dyDescent="0.25">
      <c r="A898" t="s">
        <v>8</v>
      </c>
      <c r="B898">
        <v>79492</v>
      </c>
      <c r="C898" t="s">
        <v>1561</v>
      </c>
      <c r="D898">
        <v>1</v>
      </c>
      <c r="E898" t="s">
        <v>1494</v>
      </c>
      <c r="F898" t="s">
        <v>1495</v>
      </c>
      <c r="G898" s="1"/>
      <c r="H898" t="str">
        <f>"3245060794927"</f>
        <v>3245060794927</v>
      </c>
      <c r="I898" t="s">
        <v>1562</v>
      </c>
    </row>
    <row r="899" spans="1:9" x14ac:dyDescent="0.25">
      <c r="A899" t="s">
        <v>8</v>
      </c>
      <c r="B899">
        <v>76505</v>
      </c>
      <c r="C899" t="s">
        <v>1563</v>
      </c>
      <c r="D899">
        <v>1</v>
      </c>
      <c r="E899" t="s">
        <v>1494</v>
      </c>
      <c r="F899" t="s">
        <v>1495</v>
      </c>
      <c r="G899" s="1"/>
      <c r="H899" t="str">
        <f>"3245060765057"</f>
        <v>3245060765057</v>
      </c>
      <c r="I899" t="s">
        <v>1564</v>
      </c>
    </row>
    <row r="900" spans="1:9" x14ac:dyDescent="0.25">
      <c r="A900" t="s">
        <v>8</v>
      </c>
      <c r="B900">
        <v>76506</v>
      </c>
      <c r="C900" t="s">
        <v>1565</v>
      </c>
      <c r="D900">
        <v>1</v>
      </c>
      <c r="E900" t="s">
        <v>1494</v>
      </c>
      <c r="F900" t="s">
        <v>1495</v>
      </c>
      <c r="G900" s="1"/>
      <c r="H900" t="str">
        <f>"3245060765064"</f>
        <v>3245060765064</v>
      </c>
      <c r="I900" t="s">
        <v>1566</v>
      </c>
    </row>
    <row r="901" spans="1:9" x14ac:dyDescent="0.25">
      <c r="A901" t="s">
        <v>8</v>
      </c>
      <c r="B901">
        <v>76533</v>
      </c>
      <c r="C901" t="s">
        <v>1567</v>
      </c>
      <c r="D901">
        <v>1</v>
      </c>
      <c r="E901" t="s">
        <v>1494</v>
      </c>
      <c r="F901" t="s">
        <v>1495</v>
      </c>
      <c r="G901" s="1"/>
      <c r="H901" t="str">
        <f>"3245060765330"</f>
        <v>3245060765330</v>
      </c>
      <c r="I901" t="s">
        <v>1568</v>
      </c>
    </row>
    <row r="902" spans="1:9" x14ac:dyDescent="0.25">
      <c r="A902" t="s">
        <v>8</v>
      </c>
      <c r="B902">
        <v>79433</v>
      </c>
      <c r="C902" t="s">
        <v>1569</v>
      </c>
      <c r="D902">
        <v>1</v>
      </c>
      <c r="E902" t="s">
        <v>1494</v>
      </c>
      <c r="F902" t="s">
        <v>1495</v>
      </c>
      <c r="G902" s="1"/>
      <c r="H902" t="str">
        <f>"3245060794330"</f>
        <v>3245060794330</v>
      </c>
      <c r="I902" t="s">
        <v>1570</v>
      </c>
    </row>
    <row r="903" spans="1:9" x14ac:dyDescent="0.25">
      <c r="A903" t="s">
        <v>8</v>
      </c>
      <c r="B903">
        <v>76507</v>
      </c>
      <c r="C903" t="s">
        <v>1571</v>
      </c>
      <c r="D903">
        <v>1</v>
      </c>
      <c r="E903" t="s">
        <v>1494</v>
      </c>
      <c r="F903" t="s">
        <v>1495</v>
      </c>
      <c r="G903" s="1"/>
      <c r="H903" t="str">
        <f>"3245060765071"</f>
        <v>3245060765071</v>
      </c>
      <c r="I903" t="s">
        <v>1572</v>
      </c>
    </row>
    <row r="904" spans="1:9" x14ac:dyDescent="0.25">
      <c r="A904" t="s">
        <v>8</v>
      </c>
      <c r="B904">
        <v>90590</v>
      </c>
      <c r="C904" t="s">
        <v>1573</v>
      </c>
      <c r="D904">
        <v>1</v>
      </c>
      <c r="E904" t="s">
        <v>1574</v>
      </c>
      <c r="F904" t="s">
        <v>1575</v>
      </c>
      <c r="H904" t="str">
        <f>"3245060905903"</f>
        <v>3245060905903</v>
      </c>
      <c r="I904" t="s">
        <v>1576</v>
      </c>
    </row>
    <row r="905" spans="1:9" x14ac:dyDescent="0.25">
      <c r="A905" t="s">
        <v>8</v>
      </c>
      <c r="B905">
        <v>90591</v>
      </c>
      <c r="C905" t="s">
        <v>1577</v>
      </c>
      <c r="D905">
        <v>1</v>
      </c>
      <c r="E905" t="s">
        <v>1574</v>
      </c>
      <c r="F905" t="s">
        <v>1575</v>
      </c>
      <c r="H905" t="str">
        <f>"3245060905910"</f>
        <v>3245060905910</v>
      </c>
      <c r="I905" t="s">
        <v>1578</v>
      </c>
    </row>
    <row r="906" spans="1:9" x14ac:dyDescent="0.25">
      <c r="A906" t="s">
        <v>8</v>
      </c>
      <c r="B906">
        <v>90592</v>
      </c>
      <c r="C906" t="s">
        <v>1579</v>
      </c>
      <c r="D906">
        <v>1</v>
      </c>
      <c r="E906" t="s">
        <v>1574</v>
      </c>
      <c r="F906" t="s">
        <v>1575</v>
      </c>
      <c r="H906" t="str">
        <f>"3245060905927"</f>
        <v>3245060905927</v>
      </c>
      <c r="I906" t="s">
        <v>1580</v>
      </c>
    </row>
    <row r="907" spans="1:9" x14ac:dyDescent="0.25">
      <c r="A907" t="s">
        <v>8</v>
      </c>
      <c r="B907">
        <v>99640</v>
      </c>
      <c r="C907" t="s">
        <v>1581</v>
      </c>
      <c r="D907">
        <v>1</v>
      </c>
      <c r="E907" t="s">
        <v>1574</v>
      </c>
      <c r="F907" t="s">
        <v>1575</v>
      </c>
      <c r="H907" t="str">
        <f>"3245060996406"</f>
        <v>3245060996406</v>
      </c>
      <c r="I907" t="s">
        <v>1582</v>
      </c>
    </row>
    <row r="908" spans="1:9" x14ac:dyDescent="0.25">
      <c r="A908" t="s">
        <v>8</v>
      </c>
      <c r="B908">
        <v>99641</v>
      </c>
      <c r="C908" t="s">
        <v>1583</v>
      </c>
      <c r="D908">
        <v>1</v>
      </c>
      <c r="E908" t="s">
        <v>1574</v>
      </c>
      <c r="F908" t="s">
        <v>1575</v>
      </c>
      <c r="H908" t="str">
        <f>"3245060996413"</f>
        <v>3245060996413</v>
      </c>
      <c r="I908" t="s">
        <v>1584</v>
      </c>
    </row>
    <row r="909" spans="1:9" x14ac:dyDescent="0.25">
      <c r="A909" t="s">
        <v>8</v>
      </c>
      <c r="B909">
        <v>99644</v>
      </c>
      <c r="C909" t="s">
        <v>1585</v>
      </c>
      <c r="D909">
        <v>1</v>
      </c>
      <c r="E909" t="s">
        <v>1574</v>
      </c>
      <c r="F909" t="s">
        <v>1575</v>
      </c>
      <c r="H909" t="str">
        <f>"3245060996444"</f>
        <v>3245060996444</v>
      </c>
      <c r="I909" t="s">
        <v>1586</v>
      </c>
    </row>
    <row r="910" spans="1:9" x14ac:dyDescent="0.25">
      <c r="A910" t="s">
        <v>8</v>
      </c>
      <c r="B910">
        <v>99645</v>
      </c>
      <c r="C910" t="s">
        <v>1587</v>
      </c>
      <c r="D910">
        <v>1</v>
      </c>
      <c r="E910" t="s">
        <v>1574</v>
      </c>
      <c r="F910" t="s">
        <v>1575</v>
      </c>
      <c r="H910" t="str">
        <f>"3245060996451"</f>
        <v>3245060996451</v>
      </c>
      <c r="I910" t="s">
        <v>1588</v>
      </c>
    </row>
    <row r="911" spans="1:9" x14ac:dyDescent="0.25">
      <c r="A911" t="s">
        <v>8</v>
      </c>
      <c r="B911">
        <v>99646</v>
      </c>
      <c r="C911" t="s">
        <v>1589</v>
      </c>
      <c r="D911">
        <v>1</v>
      </c>
      <c r="E911" t="s">
        <v>1574</v>
      </c>
      <c r="F911" t="s">
        <v>1575</v>
      </c>
      <c r="H911" t="str">
        <f>"3245060996468"</f>
        <v>3245060996468</v>
      </c>
      <c r="I911" t="s">
        <v>1590</v>
      </c>
    </row>
    <row r="912" spans="1:9" x14ac:dyDescent="0.25">
      <c r="A912" t="s">
        <v>8</v>
      </c>
      <c r="B912">
        <v>99647</v>
      </c>
      <c r="C912" t="s">
        <v>1591</v>
      </c>
      <c r="D912">
        <v>1</v>
      </c>
      <c r="E912" t="s">
        <v>1574</v>
      </c>
      <c r="F912" t="s">
        <v>1575</v>
      </c>
      <c r="H912" t="str">
        <f>"3245060996475"</f>
        <v>3245060996475</v>
      </c>
      <c r="I912" t="s">
        <v>1592</v>
      </c>
    </row>
    <row r="913" spans="1:9" x14ac:dyDescent="0.25">
      <c r="A913" t="s">
        <v>8</v>
      </c>
      <c r="B913">
        <v>99648</v>
      </c>
      <c r="C913" t="s">
        <v>1593</v>
      </c>
      <c r="D913">
        <v>1</v>
      </c>
      <c r="E913" t="s">
        <v>1574</v>
      </c>
      <c r="F913" t="s">
        <v>1575</v>
      </c>
      <c r="H913" t="str">
        <f>"3245060996482"</f>
        <v>3245060996482</v>
      </c>
      <c r="I913" t="s">
        <v>1594</v>
      </c>
    </row>
    <row r="914" spans="1:9" x14ac:dyDescent="0.25">
      <c r="A914" t="s">
        <v>8</v>
      </c>
      <c r="B914">
        <v>99649</v>
      </c>
      <c r="C914" t="s">
        <v>1595</v>
      </c>
      <c r="D914">
        <v>1</v>
      </c>
      <c r="E914" t="s">
        <v>1574</v>
      </c>
      <c r="F914" t="s">
        <v>1575</v>
      </c>
      <c r="H914" t="str">
        <f>"3245060996499"</f>
        <v>3245060996499</v>
      </c>
      <c r="I914" t="s">
        <v>1596</v>
      </c>
    </row>
    <row r="915" spans="1:9" x14ac:dyDescent="0.25">
      <c r="A915" t="s">
        <v>8</v>
      </c>
      <c r="B915">
        <v>99656</v>
      </c>
      <c r="C915" t="s">
        <v>1597</v>
      </c>
      <c r="D915">
        <v>1</v>
      </c>
      <c r="E915" t="s">
        <v>1574</v>
      </c>
      <c r="F915" t="s">
        <v>1575</v>
      </c>
      <c r="H915" t="str">
        <f>"3245060996567"</f>
        <v>3245060996567</v>
      </c>
      <c r="I915" t="s">
        <v>1598</v>
      </c>
    </row>
    <row r="916" spans="1:9" x14ac:dyDescent="0.25">
      <c r="A916" t="s">
        <v>8</v>
      </c>
      <c r="B916">
        <v>99670</v>
      </c>
      <c r="C916" t="s">
        <v>1599</v>
      </c>
      <c r="D916">
        <v>1</v>
      </c>
      <c r="E916" t="s">
        <v>1574</v>
      </c>
      <c r="F916" t="s">
        <v>1575</v>
      </c>
      <c r="H916" t="str">
        <f>"3245060996703"</f>
        <v>3245060996703</v>
      </c>
      <c r="I916" t="s">
        <v>1600</v>
      </c>
    </row>
    <row r="917" spans="1:9" x14ac:dyDescent="0.25">
      <c r="A917" t="s">
        <v>8</v>
      </c>
      <c r="B917">
        <v>99671</v>
      </c>
      <c r="C917" t="s">
        <v>1601</v>
      </c>
      <c r="D917">
        <v>1</v>
      </c>
      <c r="E917" t="s">
        <v>1574</v>
      </c>
      <c r="F917" t="s">
        <v>1575</v>
      </c>
      <c r="H917" t="str">
        <f>"3245060996710"</f>
        <v>3245060996710</v>
      </c>
      <c r="I917" t="s">
        <v>1602</v>
      </c>
    </row>
    <row r="918" spans="1:9" x14ac:dyDescent="0.25">
      <c r="A918" t="s">
        <v>8</v>
      </c>
      <c r="B918">
        <v>99623</v>
      </c>
      <c r="C918" t="s">
        <v>1603</v>
      </c>
      <c r="D918">
        <v>1</v>
      </c>
      <c r="E918" t="s">
        <v>1574</v>
      </c>
      <c r="F918" t="s">
        <v>1575</v>
      </c>
      <c r="H918" t="str">
        <f>"3245060996239"</f>
        <v>3245060996239</v>
      </c>
      <c r="I918" t="s">
        <v>1604</v>
      </c>
    </row>
    <row r="919" spans="1:9" x14ac:dyDescent="0.25">
      <c r="A919" t="s">
        <v>8</v>
      </c>
      <c r="B919">
        <v>99624</v>
      </c>
      <c r="C919" t="s">
        <v>1605</v>
      </c>
      <c r="D919">
        <v>1</v>
      </c>
      <c r="E919" t="s">
        <v>1574</v>
      </c>
      <c r="F919" t="s">
        <v>1575</v>
      </c>
      <c r="H919" t="str">
        <f>"3245060996246"</f>
        <v>3245060996246</v>
      </c>
      <c r="I919" t="s">
        <v>1606</v>
      </c>
    </row>
    <row r="920" spans="1:9" x14ac:dyDescent="0.25">
      <c r="A920" t="s">
        <v>8</v>
      </c>
      <c r="B920">
        <v>99632</v>
      </c>
      <c r="C920" t="s">
        <v>1607</v>
      </c>
      <c r="D920">
        <v>1</v>
      </c>
      <c r="E920" t="s">
        <v>1574</v>
      </c>
      <c r="F920" t="s">
        <v>1575</v>
      </c>
      <c r="H920" t="str">
        <f>"3245060996321"</f>
        <v>3245060996321</v>
      </c>
      <c r="I920" t="s">
        <v>1608</v>
      </c>
    </row>
    <row r="921" spans="1:9" x14ac:dyDescent="0.25">
      <c r="A921" t="s">
        <v>8</v>
      </c>
      <c r="B921">
        <v>99635</v>
      </c>
      <c r="C921" t="s">
        <v>1609</v>
      </c>
      <c r="D921">
        <v>1</v>
      </c>
      <c r="E921" t="s">
        <v>1574</v>
      </c>
      <c r="F921" t="s">
        <v>1575</v>
      </c>
      <c r="H921" t="str">
        <f>"3245060996352"</f>
        <v>3245060996352</v>
      </c>
      <c r="I921" t="s">
        <v>1610</v>
      </c>
    </row>
    <row r="922" spans="1:9" x14ac:dyDescent="0.25">
      <c r="A922" t="s">
        <v>8</v>
      </c>
      <c r="B922">
        <v>99682</v>
      </c>
      <c r="C922" t="s">
        <v>1611</v>
      </c>
      <c r="D922">
        <v>1</v>
      </c>
      <c r="E922" t="s">
        <v>1574</v>
      </c>
      <c r="F922" t="s">
        <v>1575</v>
      </c>
      <c r="H922" t="str">
        <f>"3245060996826"</f>
        <v>3245060996826</v>
      </c>
      <c r="I922" t="s">
        <v>1612</v>
      </c>
    </row>
    <row r="923" spans="1:9" x14ac:dyDescent="0.25">
      <c r="A923" t="s">
        <v>8</v>
      </c>
      <c r="B923">
        <v>99604</v>
      </c>
      <c r="C923" t="s">
        <v>1613</v>
      </c>
      <c r="D923">
        <v>1</v>
      </c>
      <c r="E923" t="s">
        <v>1574</v>
      </c>
      <c r="F923" t="s">
        <v>1575</v>
      </c>
      <c r="H923" t="str">
        <f>"3245060996048"</f>
        <v>3245060996048</v>
      </c>
      <c r="I923" t="s">
        <v>1614</v>
      </c>
    </row>
    <row r="924" spans="1:9" x14ac:dyDescent="0.25">
      <c r="A924" t="s">
        <v>8</v>
      </c>
      <c r="B924">
        <v>98192</v>
      </c>
      <c r="C924" t="s">
        <v>1615</v>
      </c>
      <c r="D924">
        <v>1</v>
      </c>
      <c r="E924" t="s">
        <v>1574</v>
      </c>
      <c r="F924" t="s">
        <v>1575</v>
      </c>
      <c r="H924" t="str">
        <f>"3414970337283"</f>
        <v>3414970337283</v>
      </c>
      <c r="I924" t="s">
        <v>1616</v>
      </c>
    </row>
    <row r="925" spans="1:9" x14ac:dyDescent="0.25">
      <c r="A925" t="s">
        <v>8</v>
      </c>
      <c r="B925">
        <v>98193</v>
      </c>
      <c r="C925" t="s">
        <v>1617</v>
      </c>
      <c r="D925">
        <v>1</v>
      </c>
      <c r="E925" t="s">
        <v>1574</v>
      </c>
      <c r="F925" t="s">
        <v>1575</v>
      </c>
      <c r="H925" t="str">
        <f>"3414970337313"</f>
        <v>3414970337313</v>
      </c>
      <c r="I925" t="s">
        <v>1361</v>
      </c>
    </row>
    <row r="926" spans="1:9" x14ac:dyDescent="0.25">
      <c r="A926" t="s">
        <v>8</v>
      </c>
      <c r="B926">
        <v>99711</v>
      </c>
      <c r="C926" t="s">
        <v>1618</v>
      </c>
      <c r="D926">
        <v>1</v>
      </c>
      <c r="E926" t="s">
        <v>1619</v>
      </c>
      <c r="F926" t="s">
        <v>1620</v>
      </c>
      <c r="H926" t="str">
        <f>"3245060997113"</f>
        <v>3245060997113</v>
      </c>
      <c r="I926" t="s">
        <v>1621</v>
      </c>
    </row>
    <row r="927" spans="1:9" x14ac:dyDescent="0.25">
      <c r="A927" t="s">
        <v>8</v>
      </c>
      <c r="B927">
        <v>99761</v>
      </c>
      <c r="C927" t="s">
        <v>1622</v>
      </c>
      <c r="D927">
        <v>1</v>
      </c>
      <c r="E927" t="s">
        <v>1619</v>
      </c>
      <c r="F927" t="s">
        <v>1620</v>
      </c>
      <c r="H927" t="str">
        <f>"3245060997618"</f>
        <v>3245060997618</v>
      </c>
      <c r="I927" t="s">
        <v>1623</v>
      </c>
    </row>
    <row r="928" spans="1:9" x14ac:dyDescent="0.25">
      <c r="A928" t="s">
        <v>8</v>
      </c>
      <c r="B928">
        <v>99544</v>
      </c>
      <c r="C928" t="s">
        <v>1624</v>
      </c>
      <c r="D928">
        <v>1</v>
      </c>
      <c r="E928" t="s">
        <v>1619</v>
      </c>
      <c r="F928" t="s">
        <v>1620</v>
      </c>
      <c r="H928" t="str">
        <f>"3414970467874"</f>
        <v>3414970467874</v>
      </c>
      <c r="I928" t="s">
        <v>1623</v>
      </c>
    </row>
    <row r="929" spans="1:9" x14ac:dyDescent="0.25">
      <c r="A929" t="s">
        <v>8</v>
      </c>
      <c r="B929">
        <v>99564</v>
      </c>
      <c r="C929" t="s">
        <v>1625</v>
      </c>
      <c r="D929">
        <v>1</v>
      </c>
      <c r="E929" t="s">
        <v>1619</v>
      </c>
      <c r="F929" t="s">
        <v>1620</v>
      </c>
      <c r="H929" t="str">
        <f>"3414970525581"</f>
        <v>3414970525581</v>
      </c>
      <c r="I929" t="s">
        <v>1626</v>
      </c>
    </row>
    <row r="930" spans="1:9" x14ac:dyDescent="0.25">
      <c r="A930" t="s">
        <v>8</v>
      </c>
      <c r="B930">
        <v>77811</v>
      </c>
      <c r="C930" t="s">
        <v>1627</v>
      </c>
      <c r="D930">
        <v>1</v>
      </c>
      <c r="E930" t="s">
        <v>1628</v>
      </c>
      <c r="F930" t="s">
        <v>1629</v>
      </c>
      <c r="G930" s="1"/>
      <c r="H930" t="str">
        <f>"3245060778118"</f>
        <v>3245060778118</v>
      </c>
      <c r="I930" t="s">
        <v>1630</v>
      </c>
    </row>
    <row r="931" spans="1:9" x14ac:dyDescent="0.25">
      <c r="A931" t="s">
        <v>8</v>
      </c>
      <c r="B931">
        <v>77812</v>
      </c>
      <c r="C931" t="s">
        <v>1631</v>
      </c>
      <c r="D931">
        <v>1</v>
      </c>
      <c r="E931" t="s">
        <v>1628</v>
      </c>
      <c r="F931" t="s">
        <v>1629</v>
      </c>
      <c r="G931" s="1"/>
      <c r="H931" t="str">
        <f>"3245060778125"</f>
        <v>3245060778125</v>
      </c>
      <c r="I931" t="s">
        <v>1632</v>
      </c>
    </row>
    <row r="932" spans="1:9" x14ac:dyDescent="0.25">
      <c r="A932" t="s">
        <v>8</v>
      </c>
      <c r="B932">
        <v>77813</v>
      </c>
      <c r="C932" t="s">
        <v>1633</v>
      </c>
      <c r="D932">
        <v>1</v>
      </c>
      <c r="E932" t="s">
        <v>1628</v>
      </c>
      <c r="F932" t="s">
        <v>1629</v>
      </c>
      <c r="G932" s="1"/>
      <c r="H932" t="str">
        <f>"3245060778132"</f>
        <v>3245060778132</v>
      </c>
      <c r="I932" t="s">
        <v>1634</v>
      </c>
    </row>
    <row r="933" spans="1:9" x14ac:dyDescent="0.25">
      <c r="A933" t="s">
        <v>8</v>
      </c>
      <c r="B933">
        <v>77814</v>
      </c>
      <c r="C933" t="s">
        <v>1635</v>
      </c>
      <c r="D933">
        <v>1</v>
      </c>
      <c r="E933" t="s">
        <v>1628</v>
      </c>
      <c r="F933" t="s">
        <v>1629</v>
      </c>
      <c r="G933" s="1"/>
      <c r="H933" t="str">
        <f>"3245060778149"</f>
        <v>3245060778149</v>
      </c>
      <c r="I933" t="s">
        <v>1636</v>
      </c>
    </row>
    <row r="934" spans="1:9" x14ac:dyDescent="0.25">
      <c r="A934" t="s">
        <v>8</v>
      </c>
      <c r="B934">
        <v>77821</v>
      </c>
      <c r="C934" t="s">
        <v>1637</v>
      </c>
      <c r="D934">
        <v>1</v>
      </c>
      <c r="E934" t="s">
        <v>1628</v>
      </c>
      <c r="F934" t="s">
        <v>1629</v>
      </c>
      <c r="G934" s="1"/>
      <c r="H934" t="str">
        <f>"3245060778217"</f>
        <v>3245060778217</v>
      </c>
      <c r="I934" t="s">
        <v>1638</v>
      </c>
    </row>
    <row r="935" spans="1:9" x14ac:dyDescent="0.25">
      <c r="A935" t="s">
        <v>8</v>
      </c>
      <c r="B935">
        <v>77822</v>
      </c>
      <c r="C935" t="s">
        <v>1639</v>
      </c>
      <c r="D935">
        <v>1</v>
      </c>
      <c r="E935" t="s">
        <v>1628</v>
      </c>
      <c r="F935" t="s">
        <v>1629</v>
      </c>
      <c r="G935" s="1"/>
      <c r="H935" t="str">
        <f>"3245060778224"</f>
        <v>3245060778224</v>
      </c>
      <c r="I935" t="s">
        <v>1640</v>
      </c>
    </row>
    <row r="936" spans="1:9" x14ac:dyDescent="0.25">
      <c r="A936" t="s">
        <v>8</v>
      </c>
      <c r="B936">
        <v>77823</v>
      </c>
      <c r="C936" t="s">
        <v>1641</v>
      </c>
      <c r="D936">
        <v>1</v>
      </c>
      <c r="E936" t="s">
        <v>1628</v>
      </c>
      <c r="F936" t="s">
        <v>1629</v>
      </c>
      <c r="G936" s="1"/>
      <c r="H936" t="str">
        <f>"3245060778231"</f>
        <v>3245060778231</v>
      </c>
      <c r="I936" t="s">
        <v>1642</v>
      </c>
    </row>
    <row r="937" spans="1:9" x14ac:dyDescent="0.25">
      <c r="A937" t="s">
        <v>8</v>
      </c>
      <c r="B937">
        <v>77831</v>
      </c>
      <c r="C937" t="s">
        <v>1643</v>
      </c>
      <c r="D937">
        <v>1</v>
      </c>
      <c r="E937" t="s">
        <v>1628</v>
      </c>
      <c r="F937" t="s">
        <v>1629</v>
      </c>
      <c r="G937" s="1"/>
      <c r="H937" t="str">
        <f>"3245060778316"</f>
        <v>3245060778316</v>
      </c>
      <c r="I937" t="s">
        <v>1644</v>
      </c>
    </row>
    <row r="938" spans="1:9" x14ac:dyDescent="0.25">
      <c r="A938" t="s">
        <v>8</v>
      </c>
      <c r="B938">
        <v>77832</v>
      </c>
      <c r="C938" t="s">
        <v>1645</v>
      </c>
      <c r="D938">
        <v>1</v>
      </c>
      <c r="E938" t="s">
        <v>1628</v>
      </c>
      <c r="F938" t="s">
        <v>1629</v>
      </c>
      <c r="G938" s="1"/>
      <c r="H938" t="str">
        <f>"3245060778323"</f>
        <v>3245060778323</v>
      </c>
      <c r="I938" t="s">
        <v>1646</v>
      </c>
    </row>
    <row r="939" spans="1:9" x14ac:dyDescent="0.25">
      <c r="A939" t="s">
        <v>8</v>
      </c>
      <c r="B939">
        <v>77833</v>
      </c>
      <c r="C939" t="s">
        <v>1647</v>
      </c>
      <c r="D939">
        <v>1</v>
      </c>
      <c r="E939" t="s">
        <v>1628</v>
      </c>
      <c r="F939" t="s">
        <v>1629</v>
      </c>
      <c r="G939" s="1"/>
      <c r="H939" t="str">
        <f>"3245060778330"</f>
        <v>3245060778330</v>
      </c>
      <c r="I939" t="s">
        <v>1648</v>
      </c>
    </row>
    <row r="940" spans="1:9" x14ac:dyDescent="0.25">
      <c r="A940" t="s">
        <v>8</v>
      </c>
      <c r="B940">
        <v>77837</v>
      </c>
      <c r="C940" t="s">
        <v>1649</v>
      </c>
      <c r="D940">
        <v>1</v>
      </c>
      <c r="E940" t="s">
        <v>1628</v>
      </c>
      <c r="F940" t="s">
        <v>1629</v>
      </c>
      <c r="G940" s="1"/>
      <c r="H940" t="str">
        <f>"3245060778378"</f>
        <v>3245060778378</v>
      </c>
      <c r="I940" t="s">
        <v>1650</v>
      </c>
    </row>
    <row r="941" spans="1:9" x14ac:dyDescent="0.25">
      <c r="A941" t="s">
        <v>8</v>
      </c>
      <c r="B941">
        <v>77841</v>
      </c>
      <c r="C941" t="s">
        <v>1651</v>
      </c>
      <c r="D941">
        <v>1</v>
      </c>
      <c r="E941" t="s">
        <v>1628</v>
      </c>
      <c r="F941" t="s">
        <v>1629</v>
      </c>
      <c r="G941" s="1"/>
      <c r="H941" t="str">
        <f>"3245060778415"</f>
        <v>3245060778415</v>
      </c>
      <c r="I941" t="s">
        <v>1652</v>
      </c>
    </row>
    <row r="942" spans="1:9" x14ac:dyDescent="0.25">
      <c r="A942" t="s">
        <v>8</v>
      </c>
      <c r="B942">
        <v>77842</v>
      </c>
      <c r="C942" t="s">
        <v>1653</v>
      </c>
      <c r="D942">
        <v>1</v>
      </c>
      <c r="E942" t="s">
        <v>1628</v>
      </c>
      <c r="F942" t="s">
        <v>1629</v>
      </c>
      <c r="G942" s="1"/>
      <c r="H942" t="str">
        <f>"3245060778422"</f>
        <v>3245060778422</v>
      </c>
      <c r="I942" t="s">
        <v>1654</v>
      </c>
    </row>
    <row r="943" spans="1:9" x14ac:dyDescent="0.25">
      <c r="A943" t="s">
        <v>8</v>
      </c>
      <c r="B943">
        <v>77843</v>
      </c>
      <c r="C943" t="s">
        <v>1655</v>
      </c>
      <c r="D943">
        <v>1</v>
      </c>
      <c r="E943" t="s">
        <v>1628</v>
      </c>
      <c r="F943" t="s">
        <v>1629</v>
      </c>
      <c r="G943" s="1"/>
      <c r="H943" t="str">
        <f>"3245060778439"</f>
        <v>3245060778439</v>
      </c>
      <c r="I943" t="s">
        <v>1656</v>
      </c>
    </row>
    <row r="944" spans="1:9" x14ac:dyDescent="0.25">
      <c r="A944" t="s">
        <v>8</v>
      </c>
      <c r="B944">
        <v>77844</v>
      </c>
      <c r="C944" t="s">
        <v>1657</v>
      </c>
      <c r="D944">
        <v>1</v>
      </c>
      <c r="E944" t="s">
        <v>1628</v>
      </c>
      <c r="F944" t="s">
        <v>1629</v>
      </c>
      <c r="G944" s="1"/>
      <c r="H944" t="str">
        <f>"3245060778446"</f>
        <v>3245060778446</v>
      </c>
      <c r="I944" t="s">
        <v>1658</v>
      </c>
    </row>
    <row r="945" spans="1:9" x14ac:dyDescent="0.25">
      <c r="A945" t="s">
        <v>8</v>
      </c>
      <c r="B945">
        <v>77850</v>
      </c>
      <c r="C945" t="s">
        <v>1659</v>
      </c>
      <c r="D945">
        <v>1</v>
      </c>
      <c r="E945" t="s">
        <v>1628</v>
      </c>
      <c r="F945" t="s">
        <v>1629</v>
      </c>
      <c r="G945" s="1"/>
      <c r="H945" t="str">
        <f>"3245060778507"</f>
        <v>3245060778507</v>
      </c>
      <c r="I945" t="s">
        <v>1660</v>
      </c>
    </row>
    <row r="946" spans="1:9" x14ac:dyDescent="0.25">
      <c r="A946" t="s">
        <v>8</v>
      </c>
      <c r="B946">
        <v>77851</v>
      </c>
      <c r="C946" t="s">
        <v>1661</v>
      </c>
      <c r="D946">
        <v>1</v>
      </c>
      <c r="E946" t="s">
        <v>1628</v>
      </c>
      <c r="F946" t="s">
        <v>1629</v>
      </c>
      <c r="G946" s="1"/>
      <c r="H946" t="str">
        <f>"3245060778514"</f>
        <v>3245060778514</v>
      </c>
      <c r="I946" t="s">
        <v>1662</v>
      </c>
    </row>
    <row r="947" spans="1:9" x14ac:dyDescent="0.25">
      <c r="A947" t="s">
        <v>8</v>
      </c>
      <c r="B947">
        <v>77852</v>
      </c>
      <c r="C947" t="s">
        <v>1663</v>
      </c>
      <c r="D947">
        <v>1</v>
      </c>
      <c r="E947" t="s">
        <v>1628</v>
      </c>
      <c r="F947" t="s">
        <v>1629</v>
      </c>
      <c r="G947" s="1"/>
      <c r="H947" t="str">
        <f>"3245060778521"</f>
        <v>3245060778521</v>
      </c>
      <c r="I947" t="s">
        <v>1664</v>
      </c>
    </row>
    <row r="948" spans="1:9" x14ac:dyDescent="0.25">
      <c r="A948" t="s">
        <v>8</v>
      </c>
      <c r="B948">
        <v>77853</v>
      </c>
      <c r="C948" t="s">
        <v>1665</v>
      </c>
      <c r="D948">
        <v>1</v>
      </c>
      <c r="E948" t="s">
        <v>1628</v>
      </c>
      <c r="F948" t="s">
        <v>1629</v>
      </c>
      <c r="G948" s="1"/>
      <c r="H948" t="str">
        <f>"3245060778538"</f>
        <v>3245060778538</v>
      </c>
      <c r="I948" t="s">
        <v>1666</v>
      </c>
    </row>
    <row r="949" spans="1:9" x14ac:dyDescent="0.25">
      <c r="A949" t="s">
        <v>8</v>
      </c>
      <c r="B949">
        <v>77866</v>
      </c>
      <c r="C949" t="s">
        <v>1667</v>
      </c>
      <c r="D949">
        <v>1</v>
      </c>
      <c r="E949" t="s">
        <v>1628</v>
      </c>
      <c r="F949" t="s">
        <v>1629</v>
      </c>
      <c r="G949" s="1"/>
      <c r="H949" t="str">
        <f>"3245060778668"</f>
        <v>3245060778668</v>
      </c>
      <c r="I949" t="s">
        <v>1668</v>
      </c>
    </row>
    <row r="950" spans="1:9" x14ac:dyDescent="0.25">
      <c r="A950" t="s">
        <v>8</v>
      </c>
      <c r="B950">
        <v>77867</v>
      </c>
      <c r="C950" t="s">
        <v>1669</v>
      </c>
      <c r="D950">
        <v>1</v>
      </c>
      <c r="E950" t="s">
        <v>1628</v>
      </c>
      <c r="F950" t="s">
        <v>1629</v>
      </c>
      <c r="G950" s="1"/>
      <c r="H950" t="str">
        <f>"3245060778675"</f>
        <v>3245060778675</v>
      </c>
      <c r="I950" t="s">
        <v>1670</v>
      </c>
    </row>
    <row r="951" spans="1:9" x14ac:dyDescent="0.25">
      <c r="A951" t="s">
        <v>8</v>
      </c>
      <c r="B951">
        <v>77868</v>
      </c>
      <c r="C951" t="s">
        <v>1671</v>
      </c>
      <c r="D951">
        <v>1</v>
      </c>
      <c r="E951" t="s">
        <v>1628</v>
      </c>
      <c r="F951" t="s">
        <v>1629</v>
      </c>
      <c r="G951" s="1"/>
      <c r="H951" t="str">
        <f>"3245060778682"</f>
        <v>3245060778682</v>
      </c>
      <c r="I951" t="s">
        <v>1672</v>
      </c>
    </row>
    <row r="952" spans="1:9" x14ac:dyDescent="0.25">
      <c r="A952" t="s">
        <v>8</v>
      </c>
      <c r="B952">
        <v>77874</v>
      </c>
      <c r="C952" t="s">
        <v>1673</v>
      </c>
      <c r="D952">
        <v>1</v>
      </c>
      <c r="E952" t="s">
        <v>1628</v>
      </c>
      <c r="F952" t="s">
        <v>1629</v>
      </c>
      <c r="G952" s="1"/>
      <c r="H952" t="str">
        <f>"3245060778743"</f>
        <v>3245060778743</v>
      </c>
      <c r="I952" t="s">
        <v>1674</v>
      </c>
    </row>
    <row r="953" spans="1:9" x14ac:dyDescent="0.25">
      <c r="A953" t="s">
        <v>8</v>
      </c>
      <c r="B953">
        <v>77875</v>
      </c>
      <c r="C953" t="s">
        <v>1675</v>
      </c>
      <c r="D953">
        <v>1</v>
      </c>
      <c r="E953" t="s">
        <v>1628</v>
      </c>
      <c r="F953" t="s">
        <v>1629</v>
      </c>
      <c r="G953" s="1"/>
      <c r="H953" t="str">
        <f>"3245060778750"</f>
        <v>3245060778750</v>
      </c>
      <c r="I953" t="s">
        <v>1676</v>
      </c>
    </row>
    <row r="954" spans="1:9" x14ac:dyDescent="0.25">
      <c r="A954" t="s">
        <v>8</v>
      </c>
      <c r="B954">
        <v>77880</v>
      </c>
      <c r="C954" t="s">
        <v>1677</v>
      </c>
      <c r="D954">
        <v>1</v>
      </c>
      <c r="E954" t="s">
        <v>1628</v>
      </c>
      <c r="F954" t="s">
        <v>1629</v>
      </c>
      <c r="G954" s="1"/>
      <c r="H954" t="str">
        <f>"3245060778804"</f>
        <v>3245060778804</v>
      </c>
      <c r="I954" t="s">
        <v>1678</v>
      </c>
    </row>
    <row r="955" spans="1:9" x14ac:dyDescent="0.25">
      <c r="A955" t="s">
        <v>8</v>
      </c>
      <c r="B955">
        <v>77881</v>
      </c>
      <c r="C955" t="s">
        <v>1679</v>
      </c>
      <c r="D955">
        <v>1</v>
      </c>
      <c r="E955" t="s">
        <v>1628</v>
      </c>
      <c r="F955" t="s">
        <v>1629</v>
      </c>
      <c r="G955" s="1"/>
      <c r="H955" t="str">
        <f>"3245060778811"</f>
        <v>3245060778811</v>
      </c>
      <c r="I955" t="s">
        <v>1680</v>
      </c>
    </row>
    <row r="956" spans="1:9" x14ac:dyDescent="0.25">
      <c r="A956" t="s">
        <v>8</v>
      </c>
      <c r="B956">
        <v>77882</v>
      </c>
      <c r="C956" t="s">
        <v>1681</v>
      </c>
      <c r="D956">
        <v>1</v>
      </c>
      <c r="E956" t="s">
        <v>1628</v>
      </c>
      <c r="F956" t="s">
        <v>1629</v>
      </c>
      <c r="G956" s="1"/>
      <c r="H956" t="str">
        <f>"3245060778828"</f>
        <v>3245060778828</v>
      </c>
      <c r="I956" t="s">
        <v>1682</v>
      </c>
    </row>
    <row r="957" spans="1:9" x14ac:dyDescent="0.25">
      <c r="A957" t="s">
        <v>8</v>
      </c>
      <c r="B957">
        <v>77885</v>
      </c>
      <c r="C957" t="s">
        <v>1683</v>
      </c>
      <c r="D957">
        <v>1</v>
      </c>
      <c r="E957" t="s">
        <v>1628</v>
      </c>
      <c r="F957" t="s">
        <v>1629</v>
      </c>
      <c r="G957" s="1"/>
      <c r="H957" t="str">
        <f>"3245060778859"</f>
        <v>3245060778859</v>
      </c>
      <c r="I957" t="s">
        <v>1684</v>
      </c>
    </row>
    <row r="958" spans="1:9" x14ac:dyDescent="0.25">
      <c r="A958" t="s">
        <v>8</v>
      </c>
      <c r="B958">
        <v>77886</v>
      </c>
      <c r="C958" t="s">
        <v>1685</v>
      </c>
      <c r="D958">
        <v>1</v>
      </c>
      <c r="E958" t="s">
        <v>1628</v>
      </c>
      <c r="F958" t="s">
        <v>1629</v>
      </c>
      <c r="G958" s="1"/>
      <c r="H958" t="str">
        <f>"3245060778866"</f>
        <v>3245060778866</v>
      </c>
      <c r="I958" t="s">
        <v>1686</v>
      </c>
    </row>
    <row r="959" spans="1:9" x14ac:dyDescent="0.25">
      <c r="A959" t="s">
        <v>8</v>
      </c>
      <c r="B959">
        <v>77887</v>
      </c>
      <c r="C959" t="s">
        <v>1687</v>
      </c>
      <c r="D959">
        <v>1</v>
      </c>
      <c r="E959" t="s">
        <v>1628</v>
      </c>
      <c r="F959" t="s">
        <v>1629</v>
      </c>
      <c r="G959" s="1"/>
      <c r="H959" t="str">
        <f>"3245060778873"</f>
        <v>3245060778873</v>
      </c>
      <c r="I959" t="s">
        <v>1225</v>
      </c>
    </row>
    <row r="960" spans="1:9" x14ac:dyDescent="0.25">
      <c r="A960" t="s">
        <v>8</v>
      </c>
      <c r="B960">
        <v>77890</v>
      </c>
      <c r="C960" t="s">
        <v>1688</v>
      </c>
      <c r="D960">
        <v>1</v>
      </c>
      <c r="E960" t="s">
        <v>1628</v>
      </c>
      <c r="F960" t="s">
        <v>1629</v>
      </c>
      <c r="G960" s="1"/>
      <c r="H960" t="str">
        <f>"3245060778903"</f>
        <v>3245060778903</v>
      </c>
      <c r="I960" t="s">
        <v>1689</v>
      </c>
    </row>
    <row r="961" spans="1:9" x14ac:dyDescent="0.25">
      <c r="A961" t="s">
        <v>8</v>
      </c>
      <c r="B961">
        <v>77892</v>
      </c>
      <c r="C961" t="s">
        <v>1690</v>
      </c>
      <c r="D961">
        <v>1</v>
      </c>
      <c r="E961" t="s">
        <v>1628</v>
      </c>
      <c r="F961" t="s">
        <v>1629</v>
      </c>
      <c r="G961" s="1"/>
      <c r="H961" t="str">
        <f>"3245060778927"</f>
        <v>3245060778927</v>
      </c>
      <c r="I961" t="s">
        <v>1691</v>
      </c>
    </row>
    <row r="962" spans="1:9" x14ac:dyDescent="0.25">
      <c r="A962" t="s">
        <v>8</v>
      </c>
      <c r="B962">
        <v>77896</v>
      </c>
      <c r="C962" t="s">
        <v>1692</v>
      </c>
      <c r="D962">
        <v>1</v>
      </c>
      <c r="E962" t="s">
        <v>1628</v>
      </c>
      <c r="F962" t="s">
        <v>1629</v>
      </c>
      <c r="G962" s="1"/>
      <c r="H962" t="str">
        <f>"3245060778965"</f>
        <v>3245060778965</v>
      </c>
      <c r="I962" t="s">
        <v>1693</v>
      </c>
    </row>
    <row r="963" spans="1:9" x14ac:dyDescent="0.25">
      <c r="A963" t="s">
        <v>8</v>
      </c>
      <c r="B963">
        <v>77883</v>
      </c>
      <c r="C963" t="s">
        <v>1694</v>
      </c>
      <c r="D963">
        <v>1</v>
      </c>
      <c r="E963" t="s">
        <v>1628</v>
      </c>
      <c r="F963" t="s">
        <v>1629</v>
      </c>
      <c r="G963" s="1"/>
      <c r="H963" t="str">
        <f>"3245060778835"</f>
        <v>3245060778835</v>
      </c>
      <c r="I963" t="s">
        <v>1695</v>
      </c>
    </row>
    <row r="964" spans="1:9" x14ac:dyDescent="0.25">
      <c r="A964" t="s">
        <v>8</v>
      </c>
      <c r="B964">
        <v>77884</v>
      </c>
      <c r="C964" t="s">
        <v>1696</v>
      </c>
      <c r="D964">
        <v>1</v>
      </c>
      <c r="E964" t="s">
        <v>1628</v>
      </c>
      <c r="F964" t="s">
        <v>1629</v>
      </c>
      <c r="G964" s="1"/>
      <c r="H964" t="str">
        <f>"3245060778842"</f>
        <v>3245060778842</v>
      </c>
      <c r="I964" t="s">
        <v>1697</v>
      </c>
    </row>
    <row r="965" spans="1:9" x14ac:dyDescent="0.25">
      <c r="A965" t="s">
        <v>8</v>
      </c>
      <c r="B965">
        <v>88231</v>
      </c>
      <c r="C965" t="s">
        <v>1698</v>
      </c>
      <c r="D965">
        <v>1</v>
      </c>
      <c r="E965" t="s">
        <v>1699</v>
      </c>
      <c r="F965" t="s">
        <v>1700</v>
      </c>
      <c r="G965" s="1"/>
      <c r="H965" t="str">
        <f>"3245060882310"</f>
        <v>3245060882310</v>
      </c>
      <c r="I965" t="s">
        <v>1701</v>
      </c>
    </row>
    <row r="966" spans="1:9" x14ac:dyDescent="0.25">
      <c r="A966" t="s">
        <v>8</v>
      </c>
      <c r="B966">
        <v>67344</v>
      </c>
      <c r="C966" t="s">
        <v>1702</v>
      </c>
      <c r="D966">
        <v>1</v>
      </c>
      <c r="E966" t="s">
        <v>1703</v>
      </c>
      <c r="F966" t="s">
        <v>1704</v>
      </c>
      <c r="G966" s="1"/>
      <c r="H966" t="str">
        <f>"3245060673444"</f>
        <v>3245060673444</v>
      </c>
      <c r="I966" t="s">
        <v>1705</v>
      </c>
    </row>
    <row r="967" spans="1:9" x14ac:dyDescent="0.25">
      <c r="A967" t="s">
        <v>8</v>
      </c>
      <c r="B967">
        <v>67346</v>
      </c>
      <c r="C967" t="s">
        <v>1706</v>
      </c>
      <c r="D967">
        <v>1</v>
      </c>
      <c r="E967" t="s">
        <v>1703</v>
      </c>
      <c r="F967" t="s">
        <v>1704</v>
      </c>
      <c r="G967" s="1"/>
      <c r="H967" t="str">
        <f>"3245060673468"</f>
        <v>3245060673468</v>
      </c>
      <c r="I967" t="s">
        <v>1163</v>
      </c>
    </row>
    <row r="968" spans="1:9" x14ac:dyDescent="0.25">
      <c r="A968" t="s">
        <v>8</v>
      </c>
      <c r="B968">
        <v>67355</v>
      </c>
      <c r="C968" t="s">
        <v>1707</v>
      </c>
      <c r="D968">
        <v>1</v>
      </c>
      <c r="E968" t="s">
        <v>1703</v>
      </c>
      <c r="F968" t="s">
        <v>1704</v>
      </c>
      <c r="G968" s="1"/>
      <c r="H968" t="str">
        <f>"3245060673550"</f>
        <v>3245060673550</v>
      </c>
      <c r="I968" t="s">
        <v>1708</v>
      </c>
    </row>
    <row r="969" spans="1:9" x14ac:dyDescent="0.25">
      <c r="A969" t="s">
        <v>8</v>
      </c>
      <c r="B969">
        <v>67739</v>
      </c>
      <c r="C969" t="s">
        <v>1709</v>
      </c>
      <c r="D969">
        <v>1</v>
      </c>
      <c r="E969" t="s">
        <v>1703</v>
      </c>
      <c r="F969" t="s">
        <v>1704</v>
      </c>
      <c r="G969" s="1"/>
      <c r="H969" t="str">
        <f>"3414971099203"</f>
        <v>3414971099203</v>
      </c>
      <c r="I969" t="s">
        <v>1710</v>
      </c>
    </row>
    <row r="970" spans="1:9" x14ac:dyDescent="0.25">
      <c r="A970" t="s">
        <v>8</v>
      </c>
      <c r="B970">
        <v>76524</v>
      </c>
      <c r="C970" t="s">
        <v>1711</v>
      </c>
      <c r="D970">
        <v>1</v>
      </c>
      <c r="E970" t="s">
        <v>1712</v>
      </c>
      <c r="F970" t="s">
        <v>1713</v>
      </c>
      <c r="G970" s="1"/>
      <c r="H970" t="str">
        <f>"3245060765248"</f>
        <v>3245060765248</v>
      </c>
      <c r="I970" t="s">
        <v>1714</v>
      </c>
    </row>
    <row r="971" spans="1:9" x14ac:dyDescent="0.25">
      <c r="A971" t="s">
        <v>8</v>
      </c>
      <c r="B971">
        <v>76525</v>
      </c>
      <c r="C971" t="s">
        <v>1715</v>
      </c>
      <c r="D971">
        <v>1</v>
      </c>
      <c r="E971" t="s">
        <v>1712</v>
      </c>
      <c r="F971" t="s">
        <v>1713</v>
      </c>
      <c r="G971" s="1"/>
      <c r="H971" t="str">
        <f>"3245060765255"</f>
        <v>3245060765255</v>
      </c>
      <c r="I971" t="s">
        <v>1716</v>
      </c>
    </row>
    <row r="972" spans="1:9" x14ac:dyDescent="0.25">
      <c r="A972" t="s">
        <v>8</v>
      </c>
      <c r="B972">
        <v>76573</v>
      </c>
      <c r="C972" t="s">
        <v>1717</v>
      </c>
      <c r="D972">
        <v>1</v>
      </c>
      <c r="E972" t="s">
        <v>1712</v>
      </c>
      <c r="F972" t="s">
        <v>1713</v>
      </c>
      <c r="G972" s="1"/>
      <c r="H972" t="str">
        <f>"3245060765736"</f>
        <v>3245060765736</v>
      </c>
      <c r="I972" t="s">
        <v>1718</v>
      </c>
    </row>
    <row r="973" spans="1:9" x14ac:dyDescent="0.25">
      <c r="A973" t="s">
        <v>8</v>
      </c>
      <c r="B973">
        <v>76576</v>
      </c>
      <c r="C973" t="s">
        <v>1719</v>
      </c>
      <c r="D973">
        <v>1</v>
      </c>
      <c r="E973" t="s">
        <v>1712</v>
      </c>
      <c r="F973" t="s">
        <v>1713</v>
      </c>
      <c r="G973" s="1"/>
      <c r="H973" t="str">
        <f>"3245060765767"</f>
        <v>3245060765767</v>
      </c>
      <c r="I973" t="s">
        <v>1720</v>
      </c>
    </row>
    <row r="974" spans="1:9" x14ac:dyDescent="0.25">
      <c r="A974" t="s">
        <v>8</v>
      </c>
      <c r="B974">
        <v>76599</v>
      </c>
      <c r="C974" t="s">
        <v>1721</v>
      </c>
      <c r="D974">
        <v>1</v>
      </c>
      <c r="E974" t="s">
        <v>1712</v>
      </c>
      <c r="F974" t="s">
        <v>1713</v>
      </c>
      <c r="G974" s="1"/>
      <c r="H974" t="str">
        <f>"3245060765996"</f>
        <v>3245060765996</v>
      </c>
      <c r="I974" t="s">
        <v>1722</v>
      </c>
    </row>
    <row r="975" spans="1:9" x14ac:dyDescent="0.25">
      <c r="A975" t="s">
        <v>8</v>
      </c>
      <c r="B975">
        <v>79473</v>
      </c>
      <c r="C975" t="s">
        <v>1723</v>
      </c>
      <c r="D975">
        <v>1</v>
      </c>
      <c r="E975" t="s">
        <v>1712</v>
      </c>
      <c r="F975" t="s">
        <v>1713</v>
      </c>
      <c r="G975" s="1"/>
      <c r="H975" t="str">
        <f>"3245060794736"</f>
        <v>3245060794736</v>
      </c>
      <c r="I975" t="s">
        <v>1720</v>
      </c>
    </row>
    <row r="976" spans="1:9" x14ac:dyDescent="0.25">
      <c r="A976" t="s">
        <v>8</v>
      </c>
      <c r="B976">
        <v>79476</v>
      </c>
      <c r="C976" t="s">
        <v>1724</v>
      </c>
      <c r="D976">
        <v>1</v>
      </c>
      <c r="E976" t="s">
        <v>1712</v>
      </c>
      <c r="F976" t="s">
        <v>1713</v>
      </c>
      <c r="G976" s="1"/>
      <c r="H976" t="str">
        <f>"3245060794767"</f>
        <v>3245060794767</v>
      </c>
      <c r="I976" t="s">
        <v>1725</v>
      </c>
    </row>
    <row r="977" spans="1:9" x14ac:dyDescent="0.25">
      <c r="A977" t="s">
        <v>8</v>
      </c>
      <c r="B977">
        <v>76508</v>
      </c>
      <c r="C977" t="s">
        <v>1726</v>
      </c>
      <c r="D977">
        <v>1</v>
      </c>
      <c r="E977" t="s">
        <v>1712</v>
      </c>
      <c r="F977" t="s">
        <v>1713</v>
      </c>
      <c r="G977" s="1"/>
      <c r="H977" t="str">
        <f>"3245060765088"</f>
        <v>3245060765088</v>
      </c>
      <c r="I977" t="s">
        <v>1727</v>
      </c>
    </row>
    <row r="978" spans="1:9" x14ac:dyDescent="0.25">
      <c r="A978" t="s">
        <v>8</v>
      </c>
      <c r="B978">
        <v>76584</v>
      </c>
      <c r="C978" t="s">
        <v>1728</v>
      </c>
      <c r="D978">
        <v>1</v>
      </c>
      <c r="E978" t="s">
        <v>1712</v>
      </c>
      <c r="F978" t="s">
        <v>1713</v>
      </c>
      <c r="G978" s="1"/>
      <c r="H978" t="str">
        <f>"3245060765842"</f>
        <v>3245060765842</v>
      </c>
      <c r="I978" t="s">
        <v>1729</v>
      </c>
    </row>
    <row r="979" spans="1:9" x14ac:dyDescent="0.25">
      <c r="A979" t="s">
        <v>8</v>
      </c>
      <c r="B979">
        <v>77899</v>
      </c>
      <c r="C979" t="s">
        <v>1730</v>
      </c>
      <c r="D979">
        <v>1</v>
      </c>
      <c r="E979" t="s">
        <v>1712</v>
      </c>
      <c r="F979" t="s">
        <v>1713</v>
      </c>
      <c r="G979" s="1"/>
      <c r="H979" t="str">
        <f>"3414970995575"</f>
        <v>3414970995575</v>
      </c>
      <c r="I979" t="s">
        <v>1731</v>
      </c>
    </row>
    <row r="980" spans="1:9" x14ac:dyDescent="0.25">
      <c r="A980" t="s">
        <v>8</v>
      </c>
      <c r="B980">
        <v>69556</v>
      </c>
      <c r="C980" t="s">
        <v>1732</v>
      </c>
      <c r="D980">
        <v>1</v>
      </c>
      <c r="E980" t="s">
        <v>1733</v>
      </c>
      <c r="F980" t="s">
        <v>1734</v>
      </c>
      <c r="G980" s="1"/>
      <c r="H980" t="str">
        <f>"3245060695569"</f>
        <v>3245060695569</v>
      </c>
      <c r="I980" t="s">
        <v>1735</v>
      </c>
    </row>
    <row r="981" spans="1:9" x14ac:dyDescent="0.25">
      <c r="A981" t="s">
        <v>8</v>
      </c>
      <c r="B981">
        <v>69557</v>
      </c>
      <c r="C981" t="s">
        <v>1736</v>
      </c>
      <c r="D981">
        <v>1</v>
      </c>
      <c r="E981" t="s">
        <v>1733</v>
      </c>
      <c r="F981" t="s">
        <v>1734</v>
      </c>
      <c r="G981" s="1"/>
      <c r="H981" t="str">
        <f>"3245060695576"</f>
        <v>3245060695576</v>
      </c>
      <c r="I981" t="s">
        <v>1737</v>
      </c>
    </row>
    <row r="982" spans="1:9" x14ac:dyDescent="0.25">
      <c r="A982" t="s">
        <v>8</v>
      </c>
      <c r="B982">
        <v>69561</v>
      </c>
      <c r="C982" t="s">
        <v>1738</v>
      </c>
      <c r="D982">
        <v>1</v>
      </c>
      <c r="E982" t="s">
        <v>1733</v>
      </c>
      <c r="F982" t="s">
        <v>1734</v>
      </c>
      <c r="G982" s="1"/>
      <c r="H982" t="str">
        <f>"3245060695613"</f>
        <v>3245060695613</v>
      </c>
      <c r="I982" t="s">
        <v>1739</v>
      </c>
    </row>
    <row r="983" spans="1:9" x14ac:dyDescent="0.25">
      <c r="A983" t="s">
        <v>8</v>
      </c>
      <c r="B983">
        <v>69569</v>
      </c>
      <c r="C983" t="s">
        <v>1740</v>
      </c>
      <c r="D983">
        <v>1</v>
      </c>
      <c r="E983" t="s">
        <v>1733</v>
      </c>
      <c r="F983" t="s">
        <v>1734</v>
      </c>
      <c r="G983" s="1"/>
      <c r="H983" t="str">
        <f>"3245060695699"</f>
        <v>3245060695699</v>
      </c>
      <c r="I983" t="s">
        <v>1741</v>
      </c>
    </row>
    <row r="984" spans="1:9" x14ac:dyDescent="0.25">
      <c r="A984" t="s">
        <v>8</v>
      </c>
      <c r="B984">
        <v>90467</v>
      </c>
      <c r="C984" t="s">
        <v>1742</v>
      </c>
      <c r="D984">
        <v>1</v>
      </c>
      <c r="E984" t="s">
        <v>1733</v>
      </c>
      <c r="F984" t="s">
        <v>1734</v>
      </c>
      <c r="G984" s="1"/>
      <c r="H984" t="str">
        <f>"3245060904678"</f>
        <v>3245060904678</v>
      </c>
      <c r="I984" t="s">
        <v>1743</v>
      </c>
    </row>
    <row r="985" spans="1:9" x14ac:dyDescent="0.25">
      <c r="A985" t="s">
        <v>8</v>
      </c>
      <c r="B985">
        <v>67216</v>
      </c>
      <c r="C985" t="s">
        <v>1744</v>
      </c>
      <c r="D985">
        <v>1</v>
      </c>
      <c r="E985" t="s">
        <v>1745</v>
      </c>
      <c r="F985" t="s">
        <v>1746</v>
      </c>
      <c r="G985" s="1"/>
      <c r="H985" t="str">
        <f>"3245060672164"</f>
        <v>3245060672164</v>
      </c>
      <c r="I985" t="s">
        <v>1747</v>
      </c>
    </row>
    <row r="986" spans="1:9" x14ac:dyDescent="0.25">
      <c r="A986" t="s">
        <v>8</v>
      </c>
      <c r="B986">
        <v>67217</v>
      </c>
      <c r="C986" t="s">
        <v>1748</v>
      </c>
      <c r="D986">
        <v>1</v>
      </c>
      <c r="E986" t="s">
        <v>1745</v>
      </c>
      <c r="F986" t="s">
        <v>1746</v>
      </c>
      <c r="G986" s="1"/>
      <c r="H986" t="str">
        <f>"3245060672171"</f>
        <v>3245060672171</v>
      </c>
      <c r="I986" t="s">
        <v>1749</v>
      </c>
    </row>
    <row r="987" spans="1:9" x14ac:dyDescent="0.25">
      <c r="A987" t="s">
        <v>8</v>
      </c>
      <c r="B987">
        <v>67218</v>
      </c>
      <c r="C987" t="s">
        <v>1750</v>
      </c>
      <c r="D987">
        <v>1</v>
      </c>
      <c r="E987" t="s">
        <v>1745</v>
      </c>
      <c r="F987" t="s">
        <v>1746</v>
      </c>
      <c r="G987" s="1"/>
      <c r="H987" t="str">
        <f>"3245060672188"</f>
        <v>3245060672188</v>
      </c>
      <c r="I987" t="s">
        <v>1751</v>
      </c>
    </row>
    <row r="988" spans="1:9" x14ac:dyDescent="0.25">
      <c r="A988" t="s">
        <v>8</v>
      </c>
      <c r="B988">
        <v>67457</v>
      </c>
      <c r="C988" t="s">
        <v>1752</v>
      </c>
      <c r="D988">
        <v>1</v>
      </c>
      <c r="E988" t="s">
        <v>1745</v>
      </c>
      <c r="F988" t="s">
        <v>1746</v>
      </c>
      <c r="G988" s="1"/>
      <c r="H988" t="str">
        <f>"3245060674571"</f>
        <v>3245060674571</v>
      </c>
      <c r="I988" t="s">
        <v>1753</v>
      </c>
    </row>
    <row r="989" spans="1:9" x14ac:dyDescent="0.25">
      <c r="A989" t="s">
        <v>8</v>
      </c>
      <c r="B989">
        <v>67458</v>
      </c>
      <c r="C989" t="s">
        <v>1754</v>
      </c>
      <c r="D989">
        <v>1</v>
      </c>
      <c r="E989" t="s">
        <v>1745</v>
      </c>
      <c r="F989" t="s">
        <v>1746</v>
      </c>
      <c r="G989" s="1"/>
      <c r="H989" t="str">
        <f>"3245060674588"</f>
        <v>3245060674588</v>
      </c>
      <c r="I989" t="s">
        <v>1755</v>
      </c>
    </row>
    <row r="990" spans="1:9" x14ac:dyDescent="0.25">
      <c r="A990" t="s">
        <v>8</v>
      </c>
      <c r="B990">
        <v>68266</v>
      </c>
      <c r="C990" t="s">
        <v>1756</v>
      </c>
      <c r="D990">
        <v>1</v>
      </c>
      <c r="E990" t="s">
        <v>1745</v>
      </c>
      <c r="F990" t="s">
        <v>1746</v>
      </c>
      <c r="G990" s="1"/>
      <c r="H990" t="str">
        <f>"3245060682668"</f>
        <v>3245060682668</v>
      </c>
      <c r="I990" t="s">
        <v>1757</v>
      </c>
    </row>
    <row r="991" spans="1:9" x14ac:dyDescent="0.25">
      <c r="A991" t="s">
        <v>8</v>
      </c>
      <c r="B991">
        <v>68566</v>
      </c>
      <c r="C991" t="s">
        <v>1758</v>
      </c>
      <c r="D991">
        <v>1</v>
      </c>
      <c r="E991" t="s">
        <v>1745</v>
      </c>
      <c r="F991" t="s">
        <v>1746</v>
      </c>
      <c r="G991" s="1"/>
      <c r="H991" t="str">
        <f>"3245060685669"</f>
        <v>3245060685669</v>
      </c>
      <c r="I991" t="s">
        <v>1759</v>
      </c>
    </row>
    <row r="992" spans="1:9" x14ac:dyDescent="0.25">
      <c r="A992" t="s">
        <v>8</v>
      </c>
      <c r="B992">
        <v>67566</v>
      </c>
      <c r="C992" t="s">
        <v>1760</v>
      </c>
      <c r="D992">
        <v>1</v>
      </c>
      <c r="E992" t="s">
        <v>1745</v>
      </c>
      <c r="F992" t="s">
        <v>1746</v>
      </c>
      <c r="G992" s="1"/>
      <c r="H992" t="str">
        <f>"3245060675660"</f>
        <v>3245060675660</v>
      </c>
      <c r="I992" t="s">
        <v>1761</v>
      </c>
    </row>
    <row r="993" spans="1:9" x14ac:dyDescent="0.25">
      <c r="A993" t="s">
        <v>8</v>
      </c>
      <c r="B993">
        <v>67565</v>
      </c>
      <c r="C993" t="s">
        <v>1762</v>
      </c>
      <c r="D993">
        <v>1</v>
      </c>
      <c r="E993" t="s">
        <v>1745</v>
      </c>
      <c r="F993" t="s">
        <v>1746</v>
      </c>
      <c r="G993" s="1"/>
      <c r="H993" t="str">
        <f>"3245060675653"</f>
        <v>3245060675653</v>
      </c>
      <c r="I993" s="1">
        <v>99</v>
      </c>
    </row>
    <row r="994" spans="1:9" x14ac:dyDescent="0.25">
      <c r="A994" t="s">
        <v>8</v>
      </c>
      <c r="B994">
        <v>67226</v>
      </c>
      <c r="C994" t="s">
        <v>1763</v>
      </c>
      <c r="D994">
        <v>1</v>
      </c>
      <c r="E994" t="s">
        <v>1745</v>
      </c>
      <c r="F994" t="s">
        <v>1746</v>
      </c>
      <c r="G994" s="1"/>
      <c r="H994" t="str">
        <f>"3245060672263"</f>
        <v>3245060672263</v>
      </c>
      <c r="I994" t="s">
        <v>1764</v>
      </c>
    </row>
    <row r="995" spans="1:9" x14ac:dyDescent="0.25">
      <c r="A995" t="s">
        <v>8</v>
      </c>
      <c r="B995">
        <v>68144</v>
      </c>
      <c r="C995" t="s">
        <v>1765</v>
      </c>
      <c r="D995">
        <v>1</v>
      </c>
      <c r="E995" t="s">
        <v>1745</v>
      </c>
      <c r="F995" t="s">
        <v>1746</v>
      </c>
      <c r="G995" s="1"/>
      <c r="H995" t="str">
        <f>"3245060681449"</f>
        <v>3245060681449</v>
      </c>
      <c r="I995" t="s">
        <v>1766</v>
      </c>
    </row>
    <row r="996" spans="1:9" x14ac:dyDescent="0.25">
      <c r="A996" t="s">
        <v>8</v>
      </c>
      <c r="B996">
        <v>68177</v>
      </c>
      <c r="C996" t="s">
        <v>1767</v>
      </c>
      <c r="D996">
        <v>1</v>
      </c>
      <c r="E996" t="s">
        <v>1745</v>
      </c>
      <c r="F996" t="s">
        <v>1746</v>
      </c>
      <c r="G996" s="1"/>
      <c r="H996" t="str">
        <f>"3245060681777"</f>
        <v>3245060681777</v>
      </c>
      <c r="I996" t="s">
        <v>1768</v>
      </c>
    </row>
    <row r="997" spans="1:9" x14ac:dyDescent="0.25">
      <c r="A997" t="s">
        <v>8</v>
      </c>
      <c r="B997">
        <v>68448</v>
      </c>
      <c r="C997" t="s">
        <v>1769</v>
      </c>
      <c r="D997">
        <v>1</v>
      </c>
      <c r="E997" t="s">
        <v>1745</v>
      </c>
      <c r="F997" t="s">
        <v>1746</v>
      </c>
      <c r="G997" s="1"/>
      <c r="H997" t="str">
        <f>"3245060684488"</f>
        <v>3245060684488</v>
      </c>
      <c r="I997" t="s">
        <v>1770</v>
      </c>
    </row>
    <row r="998" spans="1:9" x14ac:dyDescent="0.25">
      <c r="A998" t="s">
        <v>8</v>
      </c>
      <c r="B998">
        <v>68478</v>
      </c>
      <c r="C998" t="s">
        <v>1771</v>
      </c>
      <c r="D998">
        <v>1</v>
      </c>
      <c r="E998" t="s">
        <v>1745</v>
      </c>
      <c r="F998" t="s">
        <v>1746</v>
      </c>
      <c r="G998" s="1"/>
      <c r="H998" t="str">
        <f>"3245060684785"</f>
        <v>3245060684785</v>
      </c>
      <c r="I998" t="s">
        <v>1770</v>
      </c>
    </row>
    <row r="999" spans="1:9" x14ac:dyDescent="0.25">
      <c r="A999" t="s">
        <v>8</v>
      </c>
      <c r="B999">
        <v>68504</v>
      </c>
      <c r="C999" t="s">
        <v>1772</v>
      </c>
      <c r="D999">
        <v>1</v>
      </c>
      <c r="E999" t="s">
        <v>1745</v>
      </c>
      <c r="F999" t="s">
        <v>1746</v>
      </c>
      <c r="G999" s="1"/>
      <c r="H999" t="str">
        <f>"3245060685041"</f>
        <v>3245060685041</v>
      </c>
      <c r="I999" t="s">
        <v>1770</v>
      </c>
    </row>
    <row r="1000" spans="1:9" x14ac:dyDescent="0.25">
      <c r="A1000" t="s">
        <v>8</v>
      </c>
      <c r="B1000">
        <v>68158</v>
      </c>
      <c r="C1000" t="s">
        <v>1773</v>
      </c>
      <c r="D1000">
        <v>1</v>
      </c>
      <c r="E1000" t="s">
        <v>1745</v>
      </c>
      <c r="F1000" t="s">
        <v>1746</v>
      </c>
      <c r="G1000" s="1"/>
      <c r="H1000" t="str">
        <f>"3245060681586"</f>
        <v>3245060681586</v>
      </c>
      <c r="I1000" t="s">
        <v>1774</v>
      </c>
    </row>
    <row r="1001" spans="1:9" x14ac:dyDescent="0.25">
      <c r="A1001" t="s">
        <v>8</v>
      </c>
      <c r="B1001">
        <v>68176</v>
      </c>
      <c r="C1001" t="s">
        <v>1775</v>
      </c>
      <c r="D1001">
        <v>1</v>
      </c>
      <c r="E1001" t="s">
        <v>1745</v>
      </c>
      <c r="F1001" t="s">
        <v>1746</v>
      </c>
      <c r="G1001" s="1"/>
      <c r="H1001" t="str">
        <f>"3245060681760"</f>
        <v>3245060681760</v>
      </c>
      <c r="I1001" t="s">
        <v>1766</v>
      </c>
    </row>
    <row r="1002" spans="1:9" x14ac:dyDescent="0.25">
      <c r="A1002" t="s">
        <v>8</v>
      </c>
      <c r="B1002">
        <v>68444</v>
      </c>
      <c r="C1002" t="s">
        <v>1776</v>
      </c>
      <c r="D1002">
        <v>1</v>
      </c>
      <c r="E1002" t="s">
        <v>1745</v>
      </c>
      <c r="F1002" t="s">
        <v>1746</v>
      </c>
      <c r="G1002" s="1"/>
      <c r="H1002" t="str">
        <f>"3245060684440"</f>
        <v>3245060684440</v>
      </c>
      <c r="I1002" t="s">
        <v>1777</v>
      </c>
    </row>
    <row r="1003" spans="1:9" x14ac:dyDescent="0.25">
      <c r="A1003" t="s">
        <v>8</v>
      </c>
      <c r="B1003">
        <v>68477</v>
      </c>
      <c r="C1003" t="s">
        <v>1778</v>
      </c>
      <c r="D1003">
        <v>1</v>
      </c>
      <c r="E1003" t="s">
        <v>1745</v>
      </c>
      <c r="F1003" t="s">
        <v>1746</v>
      </c>
      <c r="G1003" s="1"/>
      <c r="H1003" t="str">
        <f>"3245060684778"</f>
        <v>3245060684778</v>
      </c>
      <c r="I1003" t="s">
        <v>1770</v>
      </c>
    </row>
    <row r="1004" spans="1:9" x14ac:dyDescent="0.25">
      <c r="A1004" t="s">
        <v>8</v>
      </c>
      <c r="B1004">
        <v>68156</v>
      </c>
      <c r="C1004" t="s">
        <v>1779</v>
      </c>
      <c r="D1004">
        <v>1</v>
      </c>
      <c r="E1004" t="s">
        <v>1745</v>
      </c>
      <c r="F1004" t="s">
        <v>1746</v>
      </c>
      <c r="G1004" s="1"/>
      <c r="H1004" t="str">
        <f>"3245060681562"</f>
        <v>3245060681562</v>
      </c>
      <c r="I1004" t="s">
        <v>1780</v>
      </c>
    </row>
    <row r="1005" spans="1:9" x14ac:dyDescent="0.25">
      <c r="A1005" t="s">
        <v>8</v>
      </c>
      <c r="B1005">
        <v>68458</v>
      </c>
      <c r="C1005" t="s">
        <v>1781</v>
      </c>
      <c r="D1005">
        <v>1</v>
      </c>
      <c r="E1005" t="s">
        <v>1745</v>
      </c>
      <c r="F1005" t="s">
        <v>1746</v>
      </c>
      <c r="G1005" s="1"/>
      <c r="H1005" t="str">
        <f>"3245060684587"</f>
        <v>3245060684587</v>
      </c>
      <c r="I1005" t="s">
        <v>1782</v>
      </c>
    </row>
    <row r="1006" spans="1:9" x14ac:dyDescent="0.25">
      <c r="A1006" t="s">
        <v>8</v>
      </c>
      <c r="B1006">
        <v>68476</v>
      </c>
      <c r="C1006" t="s">
        <v>1783</v>
      </c>
      <c r="D1006">
        <v>1</v>
      </c>
      <c r="E1006" t="s">
        <v>1745</v>
      </c>
      <c r="F1006" t="s">
        <v>1746</v>
      </c>
      <c r="G1006" s="1"/>
      <c r="H1006" t="str">
        <f>"3245060684761"</f>
        <v>3245060684761</v>
      </c>
      <c r="I1006" t="s">
        <v>1784</v>
      </c>
    </row>
    <row r="1007" spans="1:9" x14ac:dyDescent="0.25">
      <c r="A1007" t="s">
        <v>8</v>
      </c>
      <c r="B1007">
        <v>68142</v>
      </c>
      <c r="C1007" t="s">
        <v>1785</v>
      </c>
      <c r="D1007">
        <v>1</v>
      </c>
      <c r="E1007" t="s">
        <v>1745</v>
      </c>
      <c r="F1007" t="s">
        <v>1746</v>
      </c>
      <c r="G1007" s="1"/>
      <c r="H1007" t="str">
        <f>"3245060681425"</f>
        <v>3245060681425</v>
      </c>
      <c r="I1007" t="s">
        <v>1786</v>
      </c>
    </row>
    <row r="1008" spans="1:9" x14ac:dyDescent="0.25">
      <c r="A1008" t="s">
        <v>8</v>
      </c>
      <c r="B1008">
        <v>68155</v>
      </c>
      <c r="C1008" t="s">
        <v>1787</v>
      </c>
      <c r="D1008">
        <v>1</v>
      </c>
      <c r="E1008" t="s">
        <v>1745</v>
      </c>
      <c r="F1008" t="s">
        <v>1746</v>
      </c>
      <c r="G1008" s="1"/>
      <c r="H1008" t="str">
        <f>"3245060681555"</f>
        <v>3245060681555</v>
      </c>
      <c r="I1008" t="s">
        <v>1788</v>
      </c>
    </row>
    <row r="1009" spans="1:9" x14ac:dyDescent="0.25">
      <c r="A1009" t="s">
        <v>8</v>
      </c>
      <c r="B1009">
        <v>68203</v>
      </c>
      <c r="C1009" t="s">
        <v>1789</v>
      </c>
      <c r="D1009">
        <v>1</v>
      </c>
      <c r="E1009" t="s">
        <v>1745</v>
      </c>
      <c r="F1009" t="s">
        <v>1746</v>
      </c>
      <c r="G1009" s="1"/>
      <c r="H1009" t="str">
        <f>"3245060682033"</f>
        <v>3245060682033</v>
      </c>
      <c r="I1009" t="s">
        <v>1768</v>
      </c>
    </row>
    <row r="1010" spans="1:9" x14ac:dyDescent="0.25">
      <c r="A1010" t="s">
        <v>8</v>
      </c>
      <c r="B1010">
        <v>68281</v>
      </c>
      <c r="C1010" t="s">
        <v>1790</v>
      </c>
      <c r="D1010">
        <v>1</v>
      </c>
      <c r="E1010" t="s">
        <v>1745</v>
      </c>
      <c r="F1010" t="s">
        <v>1746</v>
      </c>
      <c r="G1010" s="1"/>
      <c r="H1010" t="str">
        <f>"3245060682811"</f>
        <v>3245060682811</v>
      </c>
      <c r="I1010" t="s">
        <v>1791</v>
      </c>
    </row>
    <row r="1011" spans="1:9" x14ac:dyDescent="0.25">
      <c r="A1011" t="s">
        <v>8</v>
      </c>
      <c r="B1011">
        <v>68456</v>
      </c>
      <c r="C1011" t="s">
        <v>1792</v>
      </c>
      <c r="D1011">
        <v>1</v>
      </c>
      <c r="E1011" t="s">
        <v>1745</v>
      </c>
      <c r="F1011" t="s">
        <v>1746</v>
      </c>
      <c r="G1011" s="1"/>
      <c r="H1011" t="str">
        <f>"3245060684563"</f>
        <v>3245060684563</v>
      </c>
      <c r="I1011" t="s">
        <v>1793</v>
      </c>
    </row>
    <row r="1012" spans="1:9" x14ac:dyDescent="0.25">
      <c r="A1012" t="s">
        <v>8</v>
      </c>
      <c r="B1012">
        <v>68152</v>
      </c>
      <c r="C1012" t="s">
        <v>1794</v>
      </c>
      <c r="D1012">
        <v>1</v>
      </c>
      <c r="E1012" t="s">
        <v>1745</v>
      </c>
      <c r="F1012" t="s">
        <v>1746</v>
      </c>
      <c r="G1012" s="1"/>
      <c r="H1012" t="str">
        <f>"3245060681524"</f>
        <v>3245060681524</v>
      </c>
      <c r="I1012" t="s">
        <v>1795</v>
      </c>
    </row>
    <row r="1013" spans="1:9" x14ac:dyDescent="0.25">
      <c r="A1013" t="s">
        <v>8</v>
      </c>
      <c r="B1013">
        <v>68202</v>
      </c>
      <c r="C1013" t="s">
        <v>1796</v>
      </c>
      <c r="D1013">
        <v>1</v>
      </c>
      <c r="E1013" t="s">
        <v>1745</v>
      </c>
      <c r="F1013" t="s">
        <v>1746</v>
      </c>
      <c r="G1013" s="1"/>
      <c r="H1013" t="str">
        <f>"3245060682026"</f>
        <v>3245060682026</v>
      </c>
      <c r="I1013" t="s">
        <v>1797</v>
      </c>
    </row>
    <row r="1014" spans="1:9" x14ac:dyDescent="0.25">
      <c r="A1014" t="s">
        <v>8</v>
      </c>
      <c r="B1014">
        <v>68442</v>
      </c>
      <c r="C1014" t="s">
        <v>1798</v>
      </c>
      <c r="D1014">
        <v>1</v>
      </c>
      <c r="E1014" t="s">
        <v>1745</v>
      </c>
      <c r="F1014" t="s">
        <v>1746</v>
      </c>
      <c r="G1014" s="1"/>
      <c r="H1014" t="str">
        <f>"3245060684426"</f>
        <v>3245060684426</v>
      </c>
      <c r="I1014" t="s">
        <v>1799</v>
      </c>
    </row>
    <row r="1015" spans="1:9" x14ac:dyDescent="0.25">
      <c r="A1015" t="s">
        <v>8</v>
      </c>
      <c r="B1015">
        <v>68455</v>
      </c>
      <c r="C1015" t="s">
        <v>1800</v>
      </c>
      <c r="D1015">
        <v>1</v>
      </c>
      <c r="E1015" t="s">
        <v>1745</v>
      </c>
      <c r="F1015" t="s">
        <v>1746</v>
      </c>
      <c r="G1015" s="1"/>
      <c r="H1015" t="str">
        <f>"3245060684556"</f>
        <v>3245060684556</v>
      </c>
      <c r="I1015" t="s">
        <v>1801</v>
      </c>
    </row>
    <row r="1016" spans="1:9" x14ac:dyDescent="0.25">
      <c r="A1016" t="s">
        <v>8</v>
      </c>
      <c r="B1016">
        <v>68503</v>
      </c>
      <c r="C1016" t="s">
        <v>1802</v>
      </c>
      <c r="D1016">
        <v>1</v>
      </c>
      <c r="E1016" t="s">
        <v>1745</v>
      </c>
      <c r="F1016" t="s">
        <v>1746</v>
      </c>
      <c r="G1016" s="1"/>
      <c r="H1016" t="str">
        <f>"3245060685034"</f>
        <v>3245060685034</v>
      </c>
      <c r="I1016" t="s">
        <v>1803</v>
      </c>
    </row>
    <row r="1017" spans="1:9" x14ac:dyDescent="0.25">
      <c r="A1017" t="s">
        <v>8</v>
      </c>
      <c r="B1017">
        <v>68581</v>
      </c>
      <c r="C1017" t="s">
        <v>1804</v>
      </c>
      <c r="D1017">
        <v>1</v>
      </c>
      <c r="E1017" t="s">
        <v>1745</v>
      </c>
      <c r="F1017" t="s">
        <v>1746</v>
      </c>
      <c r="G1017" s="1"/>
      <c r="H1017" t="str">
        <f>"3245060685812"</f>
        <v>3245060685812</v>
      </c>
      <c r="I1017" t="s">
        <v>1805</v>
      </c>
    </row>
    <row r="1018" spans="1:9" x14ac:dyDescent="0.25">
      <c r="A1018" t="s">
        <v>8</v>
      </c>
      <c r="B1018">
        <v>68452</v>
      </c>
      <c r="C1018" t="s">
        <v>1806</v>
      </c>
      <c r="D1018">
        <v>1</v>
      </c>
      <c r="E1018" t="s">
        <v>1745</v>
      </c>
      <c r="F1018" t="s">
        <v>1746</v>
      </c>
      <c r="G1018" s="1"/>
      <c r="H1018" t="str">
        <f>"3245060684525"</f>
        <v>3245060684525</v>
      </c>
      <c r="I1018" t="s">
        <v>1770</v>
      </c>
    </row>
    <row r="1019" spans="1:9" x14ac:dyDescent="0.25">
      <c r="A1019" t="s">
        <v>8</v>
      </c>
      <c r="B1019">
        <v>68502</v>
      </c>
      <c r="C1019" t="s">
        <v>1807</v>
      </c>
      <c r="D1019">
        <v>1</v>
      </c>
      <c r="E1019" t="s">
        <v>1745</v>
      </c>
      <c r="F1019" t="s">
        <v>1746</v>
      </c>
      <c r="G1019" s="1"/>
      <c r="H1019" t="str">
        <f>"3245060685027"</f>
        <v>3245060685027</v>
      </c>
      <c r="I1019" t="s">
        <v>1808</v>
      </c>
    </row>
    <row r="1020" spans="1:9" x14ac:dyDescent="0.25">
      <c r="A1020" t="s">
        <v>8</v>
      </c>
      <c r="B1020">
        <v>68000</v>
      </c>
      <c r="C1020" t="s">
        <v>1809</v>
      </c>
      <c r="D1020">
        <v>1</v>
      </c>
      <c r="E1020" t="s">
        <v>1745</v>
      </c>
      <c r="F1020" t="s">
        <v>1746</v>
      </c>
      <c r="G1020" s="1"/>
      <c r="H1020" t="str">
        <f>"3245060680008"</f>
        <v>3245060680008</v>
      </c>
      <c r="I1020" t="s">
        <v>1810</v>
      </c>
    </row>
    <row r="1021" spans="1:9" x14ac:dyDescent="0.25">
      <c r="A1021" t="s">
        <v>8</v>
      </c>
      <c r="B1021">
        <v>68188</v>
      </c>
      <c r="C1021" t="s">
        <v>1811</v>
      </c>
      <c r="D1021">
        <v>1</v>
      </c>
      <c r="E1021" t="s">
        <v>1745</v>
      </c>
      <c r="F1021" t="s">
        <v>1746</v>
      </c>
      <c r="G1021" s="1"/>
      <c r="H1021" t="str">
        <f>"3245060681883"</f>
        <v>3245060681883</v>
      </c>
      <c r="I1021" t="s">
        <v>1812</v>
      </c>
    </row>
    <row r="1022" spans="1:9" x14ac:dyDescent="0.25">
      <c r="A1022" t="s">
        <v>8</v>
      </c>
      <c r="B1022">
        <v>67558</v>
      </c>
      <c r="C1022" t="s">
        <v>1813</v>
      </c>
      <c r="D1022">
        <v>1</v>
      </c>
      <c r="E1022" t="s">
        <v>1745</v>
      </c>
      <c r="F1022" t="s">
        <v>1746</v>
      </c>
      <c r="G1022" s="1"/>
      <c r="H1022" t="str">
        <f>"3245060675585"</f>
        <v>3245060675585</v>
      </c>
      <c r="I1022" t="s">
        <v>1814</v>
      </c>
    </row>
    <row r="1023" spans="1:9" x14ac:dyDescent="0.25">
      <c r="A1023" t="s">
        <v>8</v>
      </c>
      <c r="B1023">
        <v>68280</v>
      </c>
      <c r="C1023" t="s">
        <v>1815</v>
      </c>
      <c r="D1023">
        <v>1</v>
      </c>
      <c r="E1023" t="s">
        <v>1745</v>
      </c>
      <c r="F1023" t="s">
        <v>1746</v>
      </c>
      <c r="G1023" s="1"/>
      <c r="H1023" t="str">
        <f>"3245060682804"</f>
        <v>3245060682804</v>
      </c>
      <c r="I1023" t="s">
        <v>1791</v>
      </c>
    </row>
    <row r="1024" spans="1:9" x14ac:dyDescent="0.25">
      <c r="A1024" t="s">
        <v>8</v>
      </c>
      <c r="B1024">
        <v>68300</v>
      </c>
      <c r="C1024" t="s">
        <v>1816</v>
      </c>
      <c r="D1024">
        <v>1</v>
      </c>
      <c r="E1024" t="s">
        <v>1745</v>
      </c>
      <c r="F1024" t="s">
        <v>1746</v>
      </c>
      <c r="G1024" s="1"/>
      <c r="H1024" t="str">
        <f>"3245060683009"</f>
        <v>3245060683009</v>
      </c>
      <c r="I1024" t="s">
        <v>1817</v>
      </c>
    </row>
    <row r="1025" spans="1:9" x14ac:dyDescent="0.25">
      <c r="A1025" t="s">
        <v>8</v>
      </c>
      <c r="B1025">
        <v>68488</v>
      </c>
      <c r="C1025" t="s">
        <v>1818</v>
      </c>
      <c r="D1025">
        <v>1</v>
      </c>
      <c r="E1025" t="s">
        <v>1745</v>
      </c>
      <c r="F1025" t="s">
        <v>1746</v>
      </c>
      <c r="G1025" s="1"/>
      <c r="H1025" t="str">
        <f>"3245060684884"</f>
        <v>3245060684884</v>
      </c>
      <c r="I1025" t="s">
        <v>1819</v>
      </c>
    </row>
    <row r="1026" spans="1:9" x14ac:dyDescent="0.25">
      <c r="A1026" t="s">
        <v>8</v>
      </c>
      <c r="B1026">
        <v>67557</v>
      </c>
      <c r="C1026" t="s">
        <v>1820</v>
      </c>
      <c r="D1026">
        <v>1</v>
      </c>
      <c r="E1026" t="s">
        <v>1745</v>
      </c>
      <c r="F1026" t="s">
        <v>1746</v>
      </c>
      <c r="G1026" s="1"/>
      <c r="H1026" t="str">
        <f>"3245060675578"</f>
        <v>3245060675578</v>
      </c>
      <c r="I1026" t="s">
        <v>1821</v>
      </c>
    </row>
    <row r="1027" spans="1:9" x14ac:dyDescent="0.25">
      <c r="A1027" t="s">
        <v>8</v>
      </c>
      <c r="B1027">
        <v>68150</v>
      </c>
      <c r="C1027" t="s">
        <v>1822</v>
      </c>
      <c r="D1027">
        <v>1</v>
      </c>
      <c r="E1027" t="s">
        <v>1745</v>
      </c>
      <c r="F1027" t="s">
        <v>1746</v>
      </c>
      <c r="G1027" s="1"/>
      <c r="H1027" t="str">
        <f>"3245060681500"</f>
        <v>3245060681500</v>
      </c>
      <c r="I1027" t="s">
        <v>1788</v>
      </c>
    </row>
    <row r="1028" spans="1:9" x14ac:dyDescent="0.25">
      <c r="A1028" t="s">
        <v>8</v>
      </c>
      <c r="B1028">
        <v>68269</v>
      </c>
      <c r="C1028" t="s">
        <v>1823</v>
      </c>
      <c r="D1028">
        <v>1</v>
      </c>
      <c r="E1028" t="s">
        <v>1745</v>
      </c>
      <c r="F1028" t="s">
        <v>1746</v>
      </c>
      <c r="G1028" s="1"/>
      <c r="H1028" t="str">
        <f>"3245060682699"</f>
        <v>3245060682699</v>
      </c>
      <c r="I1028" t="s">
        <v>1824</v>
      </c>
    </row>
    <row r="1029" spans="1:9" x14ac:dyDescent="0.25">
      <c r="A1029" t="s">
        <v>8</v>
      </c>
      <c r="B1029">
        <v>68580</v>
      </c>
      <c r="C1029" t="s">
        <v>1825</v>
      </c>
      <c r="D1029">
        <v>1</v>
      </c>
      <c r="E1029" t="s">
        <v>1745</v>
      </c>
      <c r="F1029" t="s">
        <v>1746</v>
      </c>
      <c r="G1029" s="1"/>
      <c r="H1029" t="str">
        <f>"3245060685805"</f>
        <v>3245060685805</v>
      </c>
      <c r="I1029" t="s">
        <v>1805</v>
      </c>
    </row>
    <row r="1030" spans="1:9" x14ac:dyDescent="0.25">
      <c r="A1030" t="s">
        <v>8</v>
      </c>
      <c r="B1030">
        <v>68149</v>
      </c>
      <c r="C1030" t="s">
        <v>1826</v>
      </c>
      <c r="D1030">
        <v>1</v>
      </c>
      <c r="E1030" t="s">
        <v>1745</v>
      </c>
      <c r="F1030" t="s">
        <v>1746</v>
      </c>
      <c r="G1030" s="1"/>
      <c r="H1030" t="str">
        <f>"3245060681494"</f>
        <v>3245060681494</v>
      </c>
      <c r="I1030" t="s">
        <v>1824</v>
      </c>
    </row>
    <row r="1031" spans="1:9" x14ac:dyDescent="0.25">
      <c r="A1031" t="s">
        <v>8</v>
      </c>
      <c r="B1031">
        <v>68180</v>
      </c>
      <c r="C1031" t="s">
        <v>1827</v>
      </c>
      <c r="D1031">
        <v>1</v>
      </c>
      <c r="E1031" t="s">
        <v>1745</v>
      </c>
      <c r="F1031" t="s">
        <v>1746</v>
      </c>
      <c r="G1031" s="1"/>
      <c r="H1031" t="str">
        <f>"3245060681807"</f>
        <v>3245060681807</v>
      </c>
      <c r="I1031" t="s">
        <v>1828</v>
      </c>
    </row>
    <row r="1032" spans="1:9" x14ac:dyDescent="0.25">
      <c r="A1032" t="s">
        <v>8</v>
      </c>
      <c r="B1032">
        <v>68259</v>
      </c>
      <c r="C1032" t="s">
        <v>1829</v>
      </c>
      <c r="D1032">
        <v>1</v>
      </c>
      <c r="E1032" t="s">
        <v>1745</v>
      </c>
      <c r="F1032" t="s">
        <v>1746</v>
      </c>
      <c r="G1032" s="1"/>
      <c r="H1032" t="str">
        <f>"3245060682590"</f>
        <v>3245060682590</v>
      </c>
      <c r="I1032" t="s">
        <v>1766</v>
      </c>
    </row>
    <row r="1033" spans="1:9" x14ac:dyDescent="0.25">
      <c r="A1033" t="s">
        <v>8</v>
      </c>
      <c r="B1033">
        <v>68450</v>
      </c>
      <c r="C1033" t="s">
        <v>1830</v>
      </c>
      <c r="D1033">
        <v>1</v>
      </c>
      <c r="E1033" t="s">
        <v>1745</v>
      </c>
      <c r="F1033" t="s">
        <v>1746</v>
      </c>
      <c r="G1033" s="1"/>
      <c r="H1033" t="str">
        <f>"3245060684501"</f>
        <v>3245060684501</v>
      </c>
      <c r="I1033" t="s">
        <v>1831</v>
      </c>
    </row>
    <row r="1034" spans="1:9" x14ac:dyDescent="0.25">
      <c r="A1034" t="s">
        <v>8</v>
      </c>
      <c r="B1034">
        <v>68569</v>
      </c>
      <c r="C1034" t="s">
        <v>1832</v>
      </c>
      <c r="D1034">
        <v>1</v>
      </c>
      <c r="E1034" t="s">
        <v>1745</v>
      </c>
      <c r="F1034" t="s">
        <v>1746</v>
      </c>
      <c r="G1034" s="1"/>
      <c r="H1034" t="str">
        <f>"3245060685690"</f>
        <v>3245060685690</v>
      </c>
      <c r="I1034" t="s">
        <v>1833</v>
      </c>
    </row>
    <row r="1035" spans="1:9" x14ac:dyDescent="0.25">
      <c r="A1035" t="s">
        <v>8</v>
      </c>
      <c r="B1035">
        <v>68148</v>
      </c>
      <c r="C1035" t="s">
        <v>1834</v>
      </c>
      <c r="D1035">
        <v>1</v>
      </c>
      <c r="E1035" t="s">
        <v>1745</v>
      </c>
      <c r="F1035" t="s">
        <v>1746</v>
      </c>
      <c r="G1035" s="1"/>
      <c r="H1035" t="str">
        <f>"3245060681487"</f>
        <v>3245060681487</v>
      </c>
      <c r="I1035" t="s">
        <v>1768</v>
      </c>
    </row>
    <row r="1036" spans="1:9" x14ac:dyDescent="0.25">
      <c r="A1036" t="s">
        <v>8</v>
      </c>
      <c r="B1036">
        <v>68178</v>
      </c>
      <c r="C1036" t="s">
        <v>1835</v>
      </c>
      <c r="D1036">
        <v>1</v>
      </c>
      <c r="E1036" t="s">
        <v>1745</v>
      </c>
      <c r="F1036" t="s">
        <v>1746</v>
      </c>
      <c r="G1036" s="1"/>
      <c r="H1036" t="str">
        <f>"3245060681784"</f>
        <v>3245060681784</v>
      </c>
      <c r="I1036" t="s">
        <v>1788</v>
      </c>
    </row>
    <row r="1037" spans="1:9" x14ac:dyDescent="0.25">
      <c r="A1037" t="s">
        <v>8</v>
      </c>
      <c r="B1037">
        <v>68204</v>
      </c>
      <c r="C1037" t="s">
        <v>1836</v>
      </c>
      <c r="D1037">
        <v>1</v>
      </c>
      <c r="E1037" t="s">
        <v>1745</v>
      </c>
      <c r="F1037" t="s">
        <v>1746</v>
      </c>
      <c r="G1037" s="1"/>
      <c r="H1037" t="str">
        <f>"3245060682040"</f>
        <v>3245060682040</v>
      </c>
      <c r="I1037" t="s">
        <v>1824</v>
      </c>
    </row>
    <row r="1038" spans="1:9" x14ac:dyDescent="0.25">
      <c r="A1038" t="s">
        <v>8</v>
      </c>
      <c r="B1038">
        <v>68449</v>
      </c>
      <c r="C1038" t="s">
        <v>1837</v>
      </c>
      <c r="D1038">
        <v>1</v>
      </c>
      <c r="E1038" t="s">
        <v>1745</v>
      </c>
      <c r="F1038" t="s">
        <v>1746</v>
      </c>
      <c r="G1038" s="1"/>
      <c r="H1038" t="str">
        <f>"3245060684495"</f>
        <v>3245060684495</v>
      </c>
      <c r="I1038" t="s">
        <v>1803</v>
      </c>
    </row>
    <row r="1039" spans="1:9" x14ac:dyDescent="0.25">
      <c r="A1039" t="s">
        <v>8</v>
      </c>
      <c r="B1039">
        <v>68480</v>
      </c>
      <c r="C1039" t="s">
        <v>1838</v>
      </c>
      <c r="D1039">
        <v>1</v>
      </c>
      <c r="E1039" t="s">
        <v>1745</v>
      </c>
      <c r="F1039" t="s">
        <v>1746</v>
      </c>
      <c r="G1039" s="1"/>
      <c r="H1039" t="str">
        <f>"3245060684808"</f>
        <v>3245060684808</v>
      </c>
      <c r="I1039" t="s">
        <v>1839</v>
      </c>
    </row>
    <row r="1040" spans="1:9" x14ac:dyDescent="0.25">
      <c r="A1040" t="s">
        <v>8</v>
      </c>
      <c r="B1040">
        <v>67988</v>
      </c>
      <c r="C1040" t="s">
        <v>1840</v>
      </c>
      <c r="D1040">
        <v>1</v>
      </c>
      <c r="E1040" t="s">
        <v>1745</v>
      </c>
      <c r="F1040" t="s">
        <v>1746</v>
      </c>
      <c r="G1040" s="1"/>
      <c r="H1040" t="str">
        <f>"3414970673503"</f>
        <v>3414970673503</v>
      </c>
      <c r="I1040" t="s">
        <v>1841</v>
      </c>
    </row>
    <row r="1041" spans="1:9" x14ac:dyDescent="0.25">
      <c r="A1041" t="s">
        <v>8</v>
      </c>
      <c r="B1041">
        <v>64948</v>
      </c>
      <c r="C1041" t="s">
        <v>1842</v>
      </c>
      <c r="D1041">
        <v>1</v>
      </c>
      <c r="E1041" t="s">
        <v>1745</v>
      </c>
      <c r="F1041" t="s">
        <v>1746</v>
      </c>
      <c r="G1041" s="1"/>
      <c r="H1041" t="str">
        <f>"3414970685544"</f>
        <v>3414970685544</v>
      </c>
      <c r="I1041" t="s">
        <v>1843</v>
      </c>
    </row>
    <row r="1042" spans="1:9" x14ac:dyDescent="0.25">
      <c r="A1042" t="s">
        <v>8</v>
      </c>
      <c r="B1042">
        <v>67561</v>
      </c>
      <c r="C1042" t="s">
        <v>1844</v>
      </c>
      <c r="D1042">
        <v>1</v>
      </c>
      <c r="E1042" t="s">
        <v>1745</v>
      </c>
      <c r="F1042" t="s">
        <v>1746</v>
      </c>
      <c r="G1042" s="1"/>
      <c r="H1042" t="str">
        <f>"3414970736895"</f>
        <v>3414970736895</v>
      </c>
      <c r="I1042" t="s">
        <v>1845</v>
      </c>
    </row>
    <row r="1043" spans="1:9" x14ac:dyDescent="0.25">
      <c r="A1043" t="s">
        <v>8</v>
      </c>
      <c r="B1043">
        <v>664749</v>
      </c>
      <c r="C1043" t="s">
        <v>1846</v>
      </c>
      <c r="D1043">
        <v>1</v>
      </c>
      <c r="E1043" t="s">
        <v>1847</v>
      </c>
      <c r="F1043" t="s">
        <v>1848</v>
      </c>
      <c r="G1043" s="1"/>
      <c r="H1043" t="str">
        <f>"3245066647494"</f>
        <v>3245066647494</v>
      </c>
      <c r="I1043" t="s">
        <v>1849</v>
      </c>
    </row>
    <row r="1044" spans="1:9" x14ac:dyDescent="0.25">
      <c r="A1044" t="s">
        <v>8</v>
      </c>
      <c r="B1044">
        <v>665091</v>
      </c>
      <c r="C1044" t="s">
        <v>1850</v>
      </c>
      <c r="D1044">
        <v>1</v>
      </c>
      <c r="E1044" t="s">
        <v>1847</v>
      </c>
      <c r="F1044" t="s">
        <v>1848</v>
      </c>
      <c r="G1044" s="1"/>
      <c r="H1044" t="str">
        <f>"3245066650913"</f>
        <v>3245066650913</v>
      </c>
      <c r="I1044" t="s">
        <v>1851</v>
      </c>
    </row>
    <row r="1045" spans="1:9" x14ac:dyDescent="0.25">
      <c r="A1045" t="s">
        <v>8</v>
      </c>
      <c r="B1045">
        <v>664713</v>
      </c>
      <c r="C1045" t="s">
        <v>1852</v>
      </c>
      <c r="D1045">
        <v>1</v>
      </c>
      <c r="E1045" t="s">
        <v>1847</v>
      </c>
      <c r="F1045" t="s">
        <v>1848</v>
      </c>
      <c r="G1045" s="1"/>
      <c r="H1045" t="str">
        <f>"3245066647135"</f>
        <v>3245066647135</v>
      </c>
      <c r="I1045" t="s">
        <v>1853</v>
      </c>
    </row>
    <row r="1046" spans="1:9" x14ac:dyDescent="0.25">
      <c r="A1046" t="s">
        <v>8</v>
      </c>
      <c r="B1046">
        <v>665090</v>
      </c>
      <c r="C1046" t="s">
        <v>1854</v>
      </c>
      <c r="D1046">
        <v>1</v>
      </c>
      <c r="E1046" t="s">
        <v>1847</v>
      </c>
      <c r="F1046" t="s">
        <v>1848</v>
      </c>
      <c r="G1046" s="1"/>
      <c r="H1046" t="str">
        <f>"3245066650906"</f>
        <v>3245066650906</v>
      </c>
      <c r="I1046" t="s">
        <v>1855</v>
      </c>
    </row>
    <row r="1047" spans="1:9" x14ac:dyDescent="0.25">
      <c r="A1047" t="s">
        <v>8</v>
      </c>
      <c r="B1047">
        <v>89712</v>
      </c>
      <c r="C1047" t="s">
        <v>1856</v>
      </c>
      <c r="D1047">
        <v>1</v>
      </c>
      <c r="E1047" t="s">
        <v>1857</v>
      </c>
      <c r="F1047" t="s">
        <v>1858</v>
      </c>
      <c r="G1047" s="1"/>
      <c r="H1047" t="str">
        <f>"3245060897123"</f>
        <v>3245060897123</v>
      </c>
      <c r="I1047" t="s">
        <v>1859</v>
      </c>
    </row>
    <row r="1048" spans="1:9" x14ac:dyDescent="0.25">
      <c r="A1048" t="s">
        <v>8</v>
      </c>
      <c r="B1048">
        <v>89710</v>
      </c>
      <c r="C1048" t="s">
        <v>1860</v>
      </c>
      <c r="D1048">
        <v>1</v>
      </c>
      <c r="E1048" t="s">
        <v>1857</v>
      </c>
      <c r="F1048" t="s">
        <v>1858</v>
      </c>
      <c r="G1048" s="1"/>
      <c r="H1048" t="str">
        <f>"3245060897109"</f>
        <v>3245060897109</v>
      </c>
      <c r="I1048" t="s">
        <v>1861</v>
      </c>
    </row>
    <row r="1049" spans="1:9" x14ac:dyDescent="0.25">
      <c r="A1049" t="s">
        <v>8</v>
      </c>
      <c r="B1049">
        <v>89702</v>
      </c>
      <c r="C1049" t="s">
        <v>1862</v>
      </c>
      <c r="D1049">
        <v>1</v>
      </c>
      <c r="E1049" t="s">
        <v>1857</v>
      </c>
      <c r="F1049" t="s">
        <v>1858</v>
      </c>
      <c r="G1049" s="1"/>
      <c r="H1049" t="str">
        <f>"3245060897024"</f>
        <v>3245060897024</v>
      </c>
      <c r="I1049" t="s">
        <v>1863</v>
      </c>
    </row>
    <row r="1050" spans="1:9" x14ac:dyDescent="0.25">
      <c r="A1050" t="s">
        <v>8</v>
      </c>
      <c r="B1050">
        <v>89700</v>
      </c>
      <c r="C1050" t="s">
        <v>1864</v>
      </c>
      <c r="D1050">
        <v>1</v>
      </c>
      <c r="E1050" t="s">
        <v>1857</v>
      </c>
      <c r="F1050" t="s">
        <v>1858</v>
      </c>
      <c r="G1050" s="1"/>
      <c r="H1050" t="str">
        <f>"3245060897000"</f>
        <v>3245060897000</v>
      </c>
      <c r="I1050" t="s">
        <v>1865</v>
      </c>
    </row>
    <row r="1051" spans="1:9" x14ac:dyDescent="0.25">
      <c r="A1051" t="s">
        <v>8</v>
      </c>
      <c r="B1051">
        <v>89768</v>
      </c>
      <c r="C1051" t="s">
        <v>1866</v>
      </c>
      <c r="D1051">
        <v>1</v>
      </c>
      <c r="E1051" t="s">
        <v>1857</v>
      </c>
      <c r="F1051" t="s">
        <v>1858</v>
      </c>
      <c r="G1051" s="1"/>
      <c r="H1051" t="str">
        <f>"3414971496460"</f>
        <v>3414971496460</v>
      </c>
      <c r="I1051" t="s">
        <v>1867</v>
      </c>
    </row>
    <row r="1052" spans="1:9" x14ac:dyDescent="0.25">
      <c r="A1052" t="s">
        <v>8</v>
      </c>
      <c r="B1052">
        <v>77898</v>
      </c>
      <c r="C1052" t="s">
        <v>1868</v>
      </c>
      <c r="D1052">
        <v>1</v>
      </c>
      <c r="E1052" t="s">
        <v>1869</v>
      </c>
      <c r="F1052" t="s">
        <v>1870</v>
      </c>
      <c r="G1052" s="1"/>
      <c r="H1052" t="str">
        <f>"3245060778989"</f>
        <v>3245060778989</v>
      </c>
      <c r="I1052" t="s">
        <v>1871</v>
      </c>
    </row>
    <row r="1053" spans="1:9" x14ac:dyDescent="0.25">
      <c r="A1053" t="s">
        <v>8</v>
      </c>
      <c r="B1053">
        <v>98178</v>
      </c>
      <c r="C1053" t="s">
        <v>1872</v>
      </c>
      <c r="D1053">
        <v>1</v>
      </c>
      <c r="E1053" t="s">
        <v>1873</v>
      </c>
      <c r="F1053" t="s">
        <v>1874</v>
      </c>
      <c r="H1053" t="str">
        <f>"3414970008251"</f>
        <v>3414970008251</v>
      </c>
      <c r="I1053" t="s">
        <v>1875</v>
      </c>
    </row>
    <row r="1054" spans="1:9" x14ac:dyDescent="0.25">
      <c r="A1054" t="s">
        <v>8</v>
      </c>
      <c r="B1054">
        <v>98179</v>
      </c>
      <c r="C1054" t="s">
        <v>1876</v>
      </c>
      <c r="D1054">
        <v>1</v>
      </c>
      <c r="E1054" t="s">
        <v>1873</v>
      </c>
      <c r="F1054" t="s">
        <v>1874</v>
      </c>
      <c r="H1054" t="str">
        <f>"3414970008268"</f>
        <v>3414970008268</v>
      </c>
      <c r="I1054" t="s">
        <v>1877</v>
      </c>
    </row>
    <row r="1055" spans="1:9" x14ac:dyDescent="0.25">
      <c r="A1055" t="s">
        <v>8</v>
      </c>
      <c r="B1055">
        <v>98186</v>
      </c>
      <c r="C1055" t="s">
        <v>1878</v>
      </c>
      <c r="D1055">
        <v>1</v>
      </c>
      <c r="E1055" t="s">
        <v>1873</v>
      </c>
      <c r="F1055" t="s">
        <v>1874</v>
      </c>
      <c r="H1055" t="str">
        <f>"3414970008275"</f>
        <v>3414970008275</v>
      </c>
      <c r="I1055" t="s">
        <v>1879</v>
      </c>
    </row>
    <row r="1056" spans="1:9" x14ac:dyDescent="0.25">
      <c r="A1056" t="s">
        <v>8</v>
      </c>
      <c r="B1056">
        <v>98187</v>
      </c>
      <c r="C1056" t="s">
        <v>1880</v>
      </c>
      <c r="D1056">
        <v>1</v>
      </c>
      <c r="E1056" t="s">
        <v>1873</v>
      </c>
      <c r="F1056" t="s">
        <v>1874</v>
      </c>
      <c r="H1056" t="str">
        <f>"3414970008282"</f>
        <v>3414970008282</v>
      </c>
      <c r="I1056" t="s">
        <v>1881</v>
      </c>
    </row>
    <row r="1057" spans="1:9" x14ac:dyDescent="0.25">
      <c r="A1057" t="s">
        <v>8</v>
      </c>
      <c r="B1057">
        <v>98188</v>
      </c>
      <c r="C1057" t="s">
        <v>1882</v>
      </c>
      <c r="D1057">
        <v>1</v>
      </c>
      <c r="E1057" t="s">
        <v>1873</v>
      </c>
      <c r="F1057" t="s">
        <v>1874</v>
      </c>
      <c r="H1057" t="str">
        <f>"3414970008299"</f>
        <v>3414970008299</v>
      </c>
      <c r="I1057" t="s">
        <v>1883</v>
      </c>
    </row>
    <row r="1058" spans="1:9" x14ac:dyDescent="0.25">
      <c r="A1058" t="s">
        <v>8</v>
      </c>
      <c r="B1058">
        <v>98189</v>
      </c>
      <c r="C1058" t="s">
        <v>1884</v>
      </c>
      <c r="D1058">
        <v>1</v>
      </c>
      <c r="E1058" t="s">
        <v>1873</v>
      </c>
      <c r="F1058" t="s">
        <v>1874</v>
      </c>
      <c r="H1058" t="str">
        <f>"3414970008305"</f>
        <v>3414970008305</v>
      </c>
      <c r="I1058" t="s">
        <v>1885</v>
      </c>
    </row>
    <row r="1059" spans="1:9" x14ac:dyDescent="0.25">
      <c r="A1059" t="s">
        <v>8</v>
      </c>
      <c r="B1059">
        <v>98985</v>
      </c>
      <c r="C1059" t="s">
        <v>1886</v>
      </c>
      <c r="D1059">
        <v>1</v>
      </c>
      <c r="E1059" t="s">
        <v>1873</v>
      </c>
      <c r="F1059" t="s">
        <v>1874</v>
      </c>
      <c r="H1059" t="str">
        <f>"3414970008749"</f>
        <v>3414970008749</v>
      </c>
      <c r="I1059" t="s">
        <v>1887</v>
      </c>
    </row>
    <row r="1060" spans="1:9" x14ac:dyDescent="0.25">
      <c r="A1060" t="s">
        <v>8</v>
      </c>
      <c r="B1060">
        <v>98987</v>
      </c>
      <c r="C1060" t="s">
        <v>1888</v>
      </c>
      <c r="D1060">
        <v>1</v>
      </c>
      <c r="E1060" t="s">
        <v>1873</v>
      </c>
      <c r="F1060" t="s">
        <v>1874</v>
      </c>
      <c r="H1060" t="str">
        <f>"3414970008763"</f>
        <v>3414970008763</v>
      </c>
      <c r="I1060" t="s">
        <v>1889</v>
      </c>
    </row>
    <row r="1061" spans="1:9" x14ac:dyDescent="0.25">
      <c r="A1061" t="s">
        <v>8</v>
      </c>
      <c r="B1061">
        <v>98989</v>
      </c>
      <c r="C1061" t="s">
        <v>1890</v>
      </c>
      <c r="D1061">
        <v>1</v>
      </c>
      <c r="E1061" t="s">
        <v>1873</v>
      </c>
      <c r="F1061" t="s">
        <v>1874</v>
      </c>
      <c r="H1061" t="str">
        <f>"3414970008770"</f>
        <v>3414970008770</v>
      </c>
      <c r="I1061" t="s">
        <v>1891</v>
      </c>
    </row>
    <row r="1062" spans="1:9" x14ac:dyDescent="0.25">
      <c r="A1062" t="s">
        <v>8</v>
      </c>
      <c r="B1062">
        <v>98991</v>
      </c>
      <c r="C1062" t="s">
        <v>1892</v>
      </c>
      <c r="D1062">
        <v>1</v>
      </c>
      <c r="E1062" t="s">
        <v>1873</v>
      </c>
      <c r="F1062" t="s">
        <v>1874</v>
      </c>
      <c r="H1062" t="str">
        <f>"3414970008794"</f>
        <v>3414970008794</v>
      </c>
      <c r="I1062" t="s">
        <v>1893</v>
      </c>
    </row>
    <row r="1063" spans="1:9" x14ac:dyDescent="0.25">
      <c r="A1063" t="s">
        <v>8</v>
      </c>
      <c r="B1063">
        <v>98992</v>
      </c>
      <c r="C1063" t="s">
        <v>1894</v>
      </c>
      <c r="D1063">
        <v>1</v>
      </c>
      <c r="E1063" t="s">
        <v>1873</v>
      </c>
      <c r="F1063" t="s">
        <v>1874</v>
      </c>
      <c r="H1063" t="str">
        <f>"3414970008800"</f>
        <v>3414970008800</v>
      </c>
      <c r="I1063" t="s">
        <v>1895</v>
      </c>
    </row>
    <row r="1064" spans="1:9" x14ac:dyDescent="0.25">
      <c r="A1064" t="s">
        <v>8</v>
      </c>
      <c r="B1064">
        <v>98993</v>
      </c>
      <c r="C1064" t="s">
        <v>1896</v>
      </c>
      <c r="D1064">
        <v>1</v>
      </c>
      <c r="E1064" t="s">
        <v>1873</v>
      </c>
      <c r="F1064" t="s">
        <v>1874</v>
      </c>
      <c r="H1064" t="str">
        <f>"3414970008817"</f>
        <v>3414970008817</v>
      </c>
      <c r="I1064" t="s">
        <v>1897</v>
      </c>
    </row>
    <row r="1065" spans="1:9" x14ac:dyDescent="0.25">
      <c r="A1065" t="s">
        <v>8</v>
      </c>
      <c r="B1065">
        <v>66701</v>
      </c>
      <c r="C1065" t="s">
        <v>1898</v>
      </c>
      <c r="D1065">
        <v>1</v>
      </c>
      <c r="E1065" t="s">
        <v>1899</v>
      </c>
      <c r="F1065" t="s">
        <v>1900</v>
      </c>
      <c r="G1065" s="1"/>
      <c r="H1065" t="str">
        <f>"3414970448132"</f>
        <v>3414970448132</v>
      </c>
      <c r="I1065" t="s">
        <v>1901</v>
      </c>
    </row>
    <row r="1066" spans="1:9" x14ac:dyDescent="0.25">
      <c r="A1066" t="s">
        <v>8</v>
      </c>
      <c r="B1066">
        <v>66702</v>
      </c>
      <c r="C1066" t="s">
        <v>1902</v>
      </c>
      <c r="D1066">
        <v>1</v>
      </c>
      <c r="E1066" t="s">
        <v>1899</v>
      </c>
      <c r="F1066" t="s">
        <v>1900</v>
      </c>
      <c r="G1066" s="1"/>
      <c r="H1066" t="str">
        <f>"3414970448163"</f>
        <v>3414970448163</v>
      </c>
      <c r="I1066" t="s">
        <v>1903</v>
      </c>
    </row>
    <row r="1067" spans="1:9" x14ac:dyDescent="0.25">
      <c r="A1067" t="s">
        <v>8</v>
      </c>
      <c r="B1067">
        <v>66703</v>
      </c>
      <c r="C1067" t="s">
        <v>1904</v>
      </c>
      <c r="D1067">
        <v>1</v>
      </c>
      <c r="E1067" t="s">
        <v>1899</v>
      </c>
      <c r="F1067" t="s">
        <v>1900</v>
      </c>
      <c r="G1067" s="1"/>
      <c r="H1067" t="str">
        <f>"3414970448194"</f>
        <v>3414970448194</v>
      </c>
      <c r="I1067" t="s">
        <v>1905</v>
      </c>
    </row>
    <row r="1068" spans="1:9" x14ac:dyDescent="0.25">
      <c r="A1068" t="s">
        <v>8</v>
      </c>
      <c r="B1068">
        <v>66704</v>
      </c>
      <c r="C1068" t="s">
        <v>1906</v>
      </c>
      <c r="D1068">
        <v>1</v>
      </c>
      <c r="E1068" t="s">
        <v>1899</v>
      </c>
      <c r="F1068" t="s">
        <v>1900</v>
      </c>
      <c r="H1068" t="str">
        <f>"3414970448224"</f>
        <v>3414970448224</v>
      </c>
      <c r="I1068" t="s">
        <v>1907</v>
      </c>
    </row>
    <row r="1069" spans="1:9" x14ac:dyDescent="0.25">
      <c r="A1069" t="s">
        <v>8</v>
      </c>
      <c r="B1069">
        <v>66705</v>
      </c>
      <c r="C1069" t="s">
        <v>1908</v>
      </c>
      <c r="D1069">
        <v>1</v>
      </c>
      <c r="E1069" t="s">
        <v>1899</v>
      </c>
      <c r="F1069" t="s">
        <v>1900</v>
      </c>
      <c r="G1069" s="1"/>
      <c r="H1069" t="str">
        <f>"3414970448255"</f>
        <v>3414970448255</v>
      </c>
      <c r="I1069" t="s">
        <v>1905</v>
      </c>
    </row>
    <row r="1070" spans="1:9" x14ac:dyDescent="0.25">
      <c r="A1070" t="s">
        <v>8</v>
      </c>
      <c r="B1070">
        <v>66706</v>
      </c>
      <c r="C1070" t="s">
        <v>1909</v>
      </c>
      <c r="D1070">
        <v>1</v>
      </c>
      <c r="E1070" t="s">
        <v>1899</v>
      </c>
      <c r="F1070" t="s">
        <v>1900</v>
      </c>
      <c r="G1070" s="1"/>
      <c r="H1070" t="str">
        <f>"3414970448279"</f>
        <v>3414970448279</v>
      </c>
      <c r="I1070" t="s">
        <v>1910</v>
      </c>
    </row>
    <row r="1071" spans="1:9" x14ac:dyDescent="0.25">
      <c r="A1071" t="s">
        <v>8</v>
      </c>
      <c r="B1071">
        <v>66708</v>
      </c>
      <c r="C1071" t="s">
        <v>1911</v>
      </c>
      <c r="D1071">
        <v>1</v>
      </c>
      <c r="E1071" t="s">
        <v>1899</v>
      </c>
      <c r="F1071" t="s">
        <v>1900</v>
      </c>
      <c r="G1071" s="1"/>
      <c r="H1071" t="str">
        <f>"3414970448293"</f>
        <v>3414970448293</v>
      </c>
      <c r="I1071" t="s">
        <v>1912</v>
      </c>
    </row>
    <row r="1072" spans="1:9" x14ac:dyDescent="0.25">
      <c r="A1072" t="s">
        <v>8</v>
      </c>
      <c r="B1072">
        <v>66709</v>
      </c>
      <c r="C1072" t="s">
        <v>1913</v>
      </c>
      <c r="D1072">
        <v>1</v>
      </c>
      <c r="E1072" t="s">
        <v>1899</v>
      </c>
      <c r="F1072" t="s">
        <v>1900</v>
      </c>
      <c r="G1072" s="1"/>
      <c r="H1072" t="str">
        <f>"3414970448316"</f>
        <v>3414970448316</v>
      </c>
      <c r="I1072" t="s">
        <v>1914</v>
      </c>
    </row>
    <row r="1073" spans="1:9" x14ac:dyDescent="0.25">
      <c r="A1073" t="s">
        <v>8</v>
      </c>
      <c r="B1073">
        <v>66711</v>
      </c>
      <c r="C1073" t="s">
        <v>1915</v>
      </c>
      <c r="D1073">
        <v>1</v>
      </c>
      <c r="E1073" t="s">
        <v>1899</v>
      </c>
      <c r="F1073" t="s">
        <v>1900</v>
      </c>
      <c r="G1073" s="1"/>
      <c r="H1073" t="str">
        <f>"3414970448330"</f>
        <v>3414970448330</v>
      </c>
      <c r="I1073" t="s">
        <v>1901</v>
      </c>
    </row>
    <row r="1074" spans="1:9" x14ac:dyDescent="0.25">
      <c r="A1074" t="s">
        <v>8</v>
      </c>
      <c r="B1074">
        <v>66712</v>
      </c>
      <c r="C1074" t="s">
        <v>1916</v>
      </c>
      <c r="D1074">
        <v>1</v>
      </c>
      <c r="E1074" t="s">
        <v>1899</v>
      </c>
      <c r="F1074" t="s">
        <v>1900</v>
      </c>
      <c r="G1074" s="1"/>
      <c r="H1074" t="str">
        <f>"3414970448361"</f>
        <v>3414970448361</v>
      </c>
      <c r="I1074" t="s">
        <v>1903</v>
      </c>
    </row>
    <row r="1075" spans="1:9" x14ac:dyDescent="0.25">
      <c r="A1075" t="s">
        <v>8</v>
      </c>
      <c r="B1075">
        <v>66713</v>
      </c>
      <c r="C1075" t="s">
        <v>1917</v>
      </c>
      <c r="D1075">
        <v>1</v>
      </c>
      <c r="E1075" t="s">
        <v>1899</v>
      </c>
      <c r="F1075" t="s">
        <v>1900</v>
      </c>
      <c r="G1075" s="1"/>
      <c r="H1075" t="str">
        <f>"3414970448392"</f>
        <v>3414970448392</v>
      </c>
      <c r="I1075" t="s">
        <v>1905</v>
      </c>
    </row>
    <row r="1076" spans="1:9" x14ac:dyDescent="0.25">
      <c r="A1076" t="s">
        <v>8</v>
      </c>
      <c r="B1076">
        <v>66714</v>
      </c>
      <c r="C1076" t="s">
        <v>1918</v>
      </c>
      <c r="D1076">
        <v>1</v>
      </c>
      <c r="E1076" t="s">
        <v>1899</v>
      </c>
      <c r="F1076" t="s">
        <v>1900</v>
      </c>
      <c r="G1076" s="1"/>
      <c r="H1076" t="str">
        <f>"3414970448422"</f>
        <v>3414970448422</v>
      </c>
      <c r="I1076" t="s">
        <v>1907</v>
      </c>
    </row>
    <row r="1077" spans="1:9" x14ac:dyDescent="0.25">
      <c r="A1077" t="s">
        <v>8</v>
      </c>
      <c r="B1077">
        <v>66716</v>
      </c>
      <c r="C1077" t="s">
        <v>1919</v>
      </c>
      <c r="D1077">
        <v>1</v>
      </c>
      <c r="E1077" t="s">
        <v>1899</v>
      </c>
      <c r="F1077" t="s">
        <v>1900</v>
      </c>
      <c r="G1077" s="1"/>
      <c r="H1077" t="str">
        <f>"3414970448477"</f>
        <v>3414970448477</v>
      </c>
      <c r="I1077" t="s">
        <v>1910</v>
      </c>
    </row>
    <row r="1078" spans="1:9" x14ac:dyDescent="0.25">
      <c r="A1078" t="s">
        <v>8</v>
      </c>
      <c r="B1078">
        <v>66718</v>
      </c>
      <c r="C1078" t="s">
        <v>1920</v>
      </c>
      <c r="D1078">
        <v>1</v>
      </c>
      <c r="E1078" t="s">
        <v>1899</v>
      </c>
      <c r="F1078" t="s">
        <v>1900</v>
      </c>
      <c r="G1078" s="1"/>
      <c r="H1078" t="str">
        <f>"3414970448491"</f>
        <v>3414970448491</v>
      </c>
      <c r="I1078" t="s">
        <v>1912</v>
      </c>
    </row>
    <row r="1079" spans="1:9" x14ac:dyDescent="0.25">
      <c r="A1079" t="s">
        <v>8</v>
      </c>
      <c r="B1079">
        <v>66719</v>
      </c>
      <c r="C1079" t="s">
        <v>1921</v>
      </c>
      <c r="D1079">
        <v>1</v>
      </c>
      <c r="E1079" t="s">
        <v>1899</v>
      </c>
      <c r="F1079" t="s">
        <v>1900</v>
      </c>
      <c r="G1079" s="1"/>
      <c r="H1079" t="str">
        <f>"3414970448514"</f>
        <v>3414970448514</v>
      </c>
      <c r="I1079" t="s">
        <v>1914</v>
      </c>
    </row>
    <row r="1080" spans="1:9" x14ac:dyDescent="0.25">
      <c r="A1080" t="s">
        <v>8</v>
      </c>
      <c r="B1080">
        <v>66721</v>
      </c>
      <c r="C1080" t="s">
        <v>1922</v>
      </c>
      <c r="D1080">
        <v>1</v>
      </c>
      <c r="E1080" t="s">
        <v>1899</v>
      </c>
      <c r="F1080" t="s">
        <v>1900</v>
      </c>
      <c r="G1080" s="1"/>
      <c r="H1080" t="str">
        <f>"3414970448538"</f>
        <v>3414970448538</v>
      </c>
      <c r="I1080" t="s">
        <v>1901</v>
      </c>
    </row>
    <row r="1081" spans="1:9" x14ac:dyDescent="0.25">
      <c r="A1081" t="s">
        <v>8</v>
      </c>
      <c r="B1081">
        <v>66722</v>
      </c>
      <c r="C1081" t="s">
        <v>1923</v>
      </c>
      <c r="D1081">
        <v>1</v>
      </c>
      <c r="E1081" t="s">
        <v>1899</v>
      </c>
      <c r="F1081" t="s">
        <v>1900</v>
      </c>
      <c r="G1081" s="1"/>
      <c r="H1081" t="str">
        <f>"3414970448569"</f>
        <v>3414970448569</v>
      </c>
      <c r="I1081" t="s">
        <v>1903</v>
      </c>
    </row>
    <row r="1082" spans="1:9" x14ac:dyDescent="0.25">
      <c r="A1082" t="s">
        <v>8</v>
      </c>
      <c r="B1082">
        <v>66723</v>
      </c>
      <c r="C1082" t="s">
        <v>1924</v>
      </c>
      <c r="D1082">
        <v>1</v>
      </c>
      <c r="E1082" t="s">
        <v>1899</v>
      </c>
      <c r="F1082" t="s">
        <v>1900</v>
      </c>
      <c r="G1082" s="1"/>
      <c r="H1082" t="str">
        <f>"3414970448590"</f>
        <v>3414970448590</v>
      </c>
      <c r="I1082" t="s">
        <v>1905</v>
      </c>
    </row>
    <row r="1083" spans="1:9" x14ac:dyDescent="0.25">
      <c r="A1083" t="s">
        <v>8</v>
      </c>
      <c r="B1083">
        <v>66725</v>
      </c>
      <c r="C1083" t="s">
        <v>1925</v>
      </c>
      <c r="D1083">
        <v>1</v>
      </c>
      <c r="E1083" t="s">
        <v>1899</v>
      </c>
      <c r="F1083" t="s">
        <v>1900</v>
      </c>
      <c r="G1083" s="1"/>
      <c r="H1083" t="str">
        <f>"3414970448651"</f>
        <v>3414970448651</v>
      </c>
      <c r="I1083" t="s">
        <v>1905</v>
      </c>
    </row>
    <row r="1084" spans="1:9" x14ac:dyDescent="0.25">
      <c r="A1084" t="s">
        <v>8</v>
      </c>
      <c r="B1084">
        <v>66726</v>
      </c>
      <c r="C1084" t="s">
        <v>1926</v>
      </c>
      <c r="D1084">
        <v>1</v>
      </c>
      <c r="E1084" t="s">
        <v>1899</v>
      </c>
      <c r="F1084" t="s">
        <v>1900</v>
      </c>
      <c r="G1084" s="1"/>
      <c r="H1084" t="str">
        <f>"3414970448675"</f>
        <v>3414970448675</v>
      </c>
      <c r="I1084" t="s">
        <v>1910</v>
      </c>
    </row>
    <row r="1085" spans="1:9" x14ac:dyDescent="0.25">
      <c r="A1085" t="s">
        <v>8</v>
      </c>
      <c r="B1085">
        <v>66728</v>
      </c>
      <c r="C1085" t="s">
        <v>1927</v>
      </c>
      <c r="D1085">
        <v>1</v>
      </c>
      <c r="E1085" t="s">
        <v>1899</v>
      </c>
      <c r="F1085" t="s">
        <v>1900</v>
      </c>
      <c r="G1085" s="1"/>
      <c r="H1085" t="str">
        <f>"3414970448699"</f>
        <v>3414970448699</v>
      </c>
      <c r="I1085" t="s">
        <v>1912</v>
      </c>
    </row>
    <row r="1086" spans="1:9" x14ac:dyDescent="0.25">
      <c r="A1086" t="s">
        <v>8</v>
      </c>
      <c r="B1086">
        <v>66729</v>
      </c>
      <c r="C1086" t="s">
        <v>1928</v>
      </c>
      <c r="D1086">
        <v>1</v>
      </c>
      <c r="E1086" t="s">
        <v>1899</v>
      </c>
      <c r="F1086" t="s">
        <v>1900</v>
      </c>
      <c r="G1086" s="1"/>
      <c r="H1086" t="str">
        <f>"3414970448712"</f>
        <v>3414970448712</v>
      </c>
      <c r="I1086" t="s">
        <v>1914</v>
      </c>
    </row>
    <row r="1087" spans="1:9" x14ac:dyDescent="0.25">
      <c r="A1087" t="s">
        <v>8</v>
      </c>
      <c r="B1087">
        <v>66731</v>
      </c>
      <c r="C1087" t="s">
        <v>1929</v>
      </c>
      <c r="D1087">
        <v>1</v>
      </c>
      <c r="E1087" t="s">
        <v>1899</v>
      </c>
      <c r="F1087" t="s">
        <v>1900</v>
      </c>
      <c r="G1087" s="1"/>
      <c r="H1087" t="str">
        <f>"3414970448736"</f>
        <v>3414970448736</v>
      </c>
      <c r="I1087" t="s">
        <v>1901</v>
      </c>
    </row>
    <row r="1088" spans="1:9" x14ac:dyDescent="0.25">
      <c r="A1088" t="s">
        <v>8</v>
      </c>
      <c r="B1088">
        <v>66732</v>
      </c>
      <c r="C1088" t="s">
        <v>1930</v>
      </c>
      <c r="D1088">
        <v>1</v>
      </c>
      <c r="E1088" t="s">
        <v>1899</v>
      </c>
      <c r="F1088" t="s">
        <v>1900</v>
      </c>
      <c r="G1088" s="1"/>
      <c r="H1088" t="str">
        <f>"3414970448767"</f>
        <v>3414970448767</v>
      </c>
      <c r="I1088" t="s">
        <v>1903</v>
      </c>
    </row>
    <row r="1089" spans="1:9" x14ac:dyDescent="0.25">
      <c r="A1089" t="s">
        <v>8</v>
      </c>
      <c r="B1089">
        <v>66733</v>
      </c>
      <c r="C1089" t="s">
        <v>1931</v>
      </c>
      <c r="D1089">
        <v>1</v>
      </c>
      <c r="E1089" t="s">
        <v>1899</v>
      </c>
      <c r="F1089" t="s">
        <v>1900</v>
      </c>
      <c r="G1089" s="1"/>
      <c r="H1089" t="str">
        <f>"3414970448798"</f>
        <v>3414970448798</v>
      </c>
      <c r="I1089" t="s">
        <v>1905</v>
      </c>
    </row>
    <row r="1090" spans="1:9" x14ac:dyDescent="0.25">
      <c r="A1090" t="s">
        <v>8</v>
      </c>
      <c r="B1090">
        <v>66734</v>
      </c>
      <c r="C1090" t="s">
        <v>1932</v>
      </c>
      <c r="D1090">
        <v>1</v>
      </c>
      <c r="E1090" t="s">
        <v>1899</v>
      </c>
      <c r="F1090" t="s">
        <v>1900</v>
      </c>
      <c r="H1090" t="str">
        <f>"3414970448828"</f>
        <v>3414970448828</v>
      </c>
      <c r="I1090" t="s">
        <v>1907</v>
      </c>
    </row>
    <row r="1091" spans="1:9" x14ac:dyDescent="0.25">
      <c r="A1091" t="s">
        <v>8</v>
      </c>
      <c r="B1091">
        <v>66735</v>
      </c>
      <c r="C1091" t="s">
        <v>1933</v>
      </c>
      <c r="D1091">
        <v>1</v>
      </c>
      <c r="E1091" t="s">
        <v>1899</v>
      </c>
      <c r="F1091" t="s">
        <v>1900</v>
      </c>
      <c r="G1091" s="1"/>
      <c r="H1091" t="str">
        <f>"3414970448859"</f>
        <v>3414970448859</v>
      </c>
      <c r="I1091" t="s">
        <v>1905</v>
      </c>
    </row>
    <row r="1092" spans="1:9" x14ac:dyDescent="0.25">
      <c r="A1092" t="s">
        <v>8</v>
      </c>
      <c r="B1092">
        <v>66736</v>
      </c>
      <c r="C1092" t="s">
        <v>1934</v>
      </c>
      <c r="D1092">
        <v>1</v>
      </c>
      <c r="E1092" t="s">
        <v>1899</v>
      </c>
      <c r="F1092" t="s">
        <v>1900</v>
      </c>
      <c r="G1092" s="1"/>
      <c r="H1092" t="str">
        <f>"3414970448873"</f>
        <v>3414970448873</v>
      </c>
      <c r="I1092" t="s">
        <v>1910</v>
      </c>
    </row>
    <row r="1093" spans="1:9" x14ac:dyDescent="0.25">
      <c r="A1093" t="s">
        <v>8</v>
      </c>
      <c r="B1093">
        <v>66738</v>
      </c>
      <c r="C1093" t="s">
        <v>1935</v>
      </c>
      <c r="D1093">
        <v>1</v>
      </c>
      <c r="E1093" t="s">
        <v>1899</v>
      </c>
      <c r="F1093" t="s">
        <v>1900</v>
      </c>
      <c r="G1093" s="1"/>
      <c r="H1093" t="str">
        <f>"3414970448897"</f>
        <v>3414970448897</v>
      </c>
      <c r="I1093" t="s">
        <v>1912</v>
      </c>
    </row>
    <row r="1094" spans="1:9" x14ac:dyDescent="0.25">
      <c r="A1094" t="s">
        <v>8</v>
      </c>
      <c r="B1094">
        <v>66739</v>
      </c>
      <c r="C1094" t="s">
        <v>1936</v>
      </c>
      <c r="D1094">
        <v>1</v>
      </c>
      <c r="E1094" t="s">
        <v>1899</v>
      </c>
      <c r="F1094" t="s">
        <v>1900</v>
      </c>
      <c r="G1094" s="1"/>
      <c r="H1094" t="str">
        <f>"3414970448910"</f>
        <v>3414970448910</v>
      </c>
      <c r="I1094" t="s">
        <v>1914</v>
      </c>
    </row>
    <row r="1095" spans="1:9" x14ac:dyDescent="0.25">
      <c r="A1095" t="s">
        <v>8</v>
      </c>
      <c r="B1095">
        <v>66741</v>
      </c>
      <c r="C1095" t="s">
        <v>1937</v>
      </c>
      <c r="D1095">
        <v>1</v>
      </c>
      <c r="E1095" t="s">
        <v>1899</v>
      </c>
      <c r="F1095" t="s">
        <v>1900</v>
      </c>
      <c r="G1095" s="1"/>
      <c r="H1095" t="str">
        <f>"3414970448965"</f>
        <v>3414970448965</v>
      </c>
      <c r="I1095" t="s">
        <v>1901</v>
      </c>
    </row>
    <row r="1096" spans="1:9" x14ac:dyDescent="0.25">
      <c r="A1096" t="s">
        <v>8</v>
      </c>
      <c r="B1096">
        <v>66742</v>
      </c>
      <c r="C1096" t="s">
        <v>1938</v>
      </c>
      <c r="D1096">
        <v>1</v>
      </c>
      <c r="E1096" t="s">
        <v>1899</v>
      </c>
      <c r="F1096" t="s">
        <v>1900</v>
      </c>
      <c r="G1096" s="1"/>
      <c r="H1096" t="str">
        <f>"3414970448996"</f>
        <v>3414970448996</v>
      </c>
      <c r="I1096" t="s">
        <v>1903</v>
      </c>
    </row>
    <row r="1097" spans="1:9" x14ac:dyDescent="0.25">
      <c r="A1097" t="s">
        <v>8</v>
      </c>
      <c r="B1097">
        <v>66743</v>
      </c>
      <c r="C1097" t="s">
        <v>1939</v>
      </c>
      <c r="D1097">
        <v>1</v>
      </c>
      <c r="E1097" t="s">
        <v>1899</v>
      </c>
      <c r="F1097" t="s">
        <v>1900</v>
      </c>
      <c r="G1097" s="1"/>
      <c r="H1097" t="str">
        <f>"3414970449023"</f>
        <v>3414970449023</v>
      </c>
      <c r="I1097" t="s">
        <v>1905</v>
      </c>
    </row>
    <row r="1098" spans="1:9" x14ac:dyDescent="0.25">
      <c r="A1098" t="s">
        <v>8</v>
      </c>
      <c r="B1098">
        <v>66744</v>
      </c>
      <c r="C1098" t="s">
        <v>1940</v>
      </c>
      <c r="D1098">
        <v>1</v>
      </c>
      <c r="E1098" t="s">
        <v>1899</v>
      </c>
      <c r="F1098" t="s">
        <v>1900</v>
      </c>
      <c r="H1098" t="str">
        <f>"3414970449054"</f>
        <v>3414970449054</v>
      </c>
      <c r="I1098" t="s">
        <v>1907</v>
      </c>
    </row>
    <row r="1099" spans="1:9" x14ac:dyDescent="0.25">
      <c r="A1099" t="s">
        <v>8</v>
      </c>
      <c r="B1099">
        <v>66745</v>
      </c>
      <c r="C1099" t="s">
        <v>1941</v>
      </c>
      <c r="D1099">
        <v>1</v>
      </c>
      <c r="E1099" t="s">
        <v>1899</v>
      </c>
      <c r="F1099" t="s">
        <v>1900</v>
      </c>
      <c r="G1099" s="1"/>
      <c r="H1099" t="str">
        <f>"3414970449085"</f>
        <v>3414970449085</v>
      </c>
      <c r="I1099" t="s">
        <v>1905</v>
      </c>
    </row>
    <row r="1100" spans="1:9" x14ac:dyDescent="0.25">
      <c r="A1100" t="s">
        <v>8</v>
      </c>
      <c r="B1100">
        <v>66746</v>
      </c>
      <c r="C1100" t="s">
        <v>1942</v>
      </c>
      <c r="D1100">
        <v>1</v>
      </c>
      <c r="E1100" t="s">
        <v>1899</v>
      </c>
      <c r="F1100" t="s">
        <v>1900</v>
      </c>
      <c r="G1100" s="1"/>
      <c r="H1100" t="str">
        <f>"3414970449108"</f>
        <v>3414970449108</v>
      </c>
      <c r="I1100" t="s">
        <v>1910</v>
      </c>
    </row>
    <row r="1101" spans="1:9" x14ac:dyDescent="0.25">
      <c r="A1101" t="s">
        <v>8</v>
      </c>
      <c r="B1101">
        <v>66748</v>
      </c>
      <c r="C1101" t="s">
        <v>1943</v>
      </c>
      <c r="D1101">
        <v>1</v>
      </c>
      <c r="E1101" t="s">
        <v>1899</v>
      </c>
      <c r="F1101" t="s">
        <v>1900</v>
      </c>
      <c r="G1101" s="1"/>
      <c r="H1101" t="str">
        <f>"3414970449122"</f>
        <v>3414970449122</v>
      </c>
      <c r="I1101" t="s">
        <v>1912</v>
      </c>
    </row>
    <row r="1102" spans="1:9" x14ac:dyDescent="0.25">
      <c r="A1102" t="s">
        <v>8</v>
      </c>
      <c r="B1102">
        <v>66749</v>
      </c>
      <c r="C1102" t="s">
        <v>1944</v>
      </c>
      <c r="D1102">
        <v>1</v>
      </c>
      <c r="E1102" t="s">
        <v>1899</v>
      </c>
      <c r="F1102" t="s">
        <v>1900</v>
      </c>
      <c r="G1102" s="1"/>
      <c r="H1102" t="str">
        <f>"3414970449146"</f>
        <v>3414970449146</v>
      </c>
      <c r="I1102" t="s">
        <v>1914</v>
      </c>
    </row>
    <row r="1103" spans="1:9" x14ac:dyDescent="0.25">
      <c r="A1103" t="s">
        <v>8</v>
      </c>
      <c r="B1103">
        <v>66751</v>
      </c>
      <c r="C1103" t="s">
        <v>1945</v>
      </c>
      <c r="D1103">
        <v>1</v>
      </c>
      <c r="E1103" t="s">
        <v>1899</v>
      </c>
      <c r="F1103" t="s">
        <v>1900</v>
      </c>
      <c r="G1103" s="1"/>
      <c r="H1103" t="str">
        <f>"3414971184381"</f>
        <v>3414971184381</v>
      </c>
      <c r="I1103" t="s">
        <v>1901</v>
      </c>
    </row>
    <row r="1104" spans="1:9" x14ac:dyDescent="0.25">
      <c r="A1104" t="s">
        <v>8</v>
      </c>
      <c r="B1104">
        <v>66752</v>
      </c>
      <c r="C1104" t="s">
        <v>1946</v>
      </c>
      <c r="D1104">
        <v>1</v>
      </c>
      <c r="E1104" t="s">
        <v>1899</v>
      </c>
      <c r="F1104" t="s">
        <v>1900</v>
      </c>
      <c r="G1104" s="1"/>
      <c r="H1104" t="str">
        <f>"3414971184411"</f>
        <v>3414971184411</v>
      </c>
      <c r="I1104" t="s">
        <v>1903</v>
      </c>
    </row>
    <row r="1105" spans="1:9" x14ac:dyDescent="0.25">
      <c r="A1105" t="s">
        <v>8</v>
      </c>
      <c r="B1105">
        <v>66753</v>
      </c>
      <c r="C1105" t="s">
        <v>1947</v>
      </c>
      <c r="D1105">
        <v>1</v>
      </c>
      <c r="E1105" t="s">
        <v>1899</v>
      </c>
      <c r="F1105" t="s">
        <v>1900</v>
      </c>
      <c r="G1105" s="1"/>
      <c r="H1105" t="str">
        <f>"3414971184442"</f>
        <v>3414971184442</v>
      </c>
      <c r="I1105" t="s">
        <v>1905</v>
      </c>
    </row>
    <row r="1106" spans="1:9" x14ac:dyDescent="0.25">
      <c r="A1106" t="s">
        <v>8</v>
      </c>
      <c r="B1106">
        <v>66754</v>
      </c>
      <c r="C1106" t="s">
        <v>1948</v>
      </c>
      <c r="D1106">
        <v>1</v>
      </c>
      <c r="E1106" t="s">
        <v>1899</v>
      </c>
      <c r="F1106" t="s">
        <v>1900</v>
      </c>
      <c r="G1106" s="1"/>
      <c r="H1106" t="str">
        <f>"3414971184473"</f>
        <v>3414971184473</v>
      </c>
      <c r="I1106" t="s">
        <v>1907</v>
      </c>
    </row>
    <row r="1107" spans="1:9" x14ac:dyDescent="0.25">
      <c r="A1107" t="s">
        <v>8</v>
      </c>
      <c r="B1107">
        <v>66761</v>
      </c>
      <c r="C1107" t="s">
        <v>1949</v>
      </c>
      <c r="D1107">
        <v>1</v>
      </c>
      <c r="E1107" t="s">
        <v>1899</v>
      </c>
      <c r="F1107" t="s">
        <v>1900</v>
      </c>
      <c r="G1107" s="1"/>
      <c r="H1107" t="str">
        <f>"3414971184503"</f>
        <v>3414971184503</v>
      </c>
      <c r="I1107" t="s">
        <v>1901</v>
      </c>
    </row>
    <row r="1108" spans="1:9" x14ac:dyDescent="0.25">
      <c r="A1108" t="s">
        <v>8</v>
      </c>
      <c r="B1108">
        <v>66762</v>
      </c>
      <c r="C1108" t="s">
        <v>1950</v>
      </c>
      <c r="D1108">
        <v>1</v>
      </c>
      <c r="E1108" t="s">
        <v>1899</v>
      </c>
      <c r="F1108" t="s">
        <v>1900</v>
      </c>
      <c r="G1108" s="1"/>
      <c r="H1108" t="str">
        <f>"3414971184534"</f>
        <v>3414971184534</v>
      </c>
      <c r="I1108" t="s">
        <v>1903</v>
      </c>
    </row>
    <row r="1109" spans="1:9" x14ac:dyDescent="0.25">
      <c r="A1109" t="s">
        <v>8</v>
      </c>
      <c r="B1109">
        <v>66763</v>
      </c>
      <c r="C1109" t="s">
        <v>1951</v>
      </c>
      <c r="D1109">
        <v>1</v>
      </c>
      <c r="E1109" t="s">
        <v>1899</v>
      </c>
      <c r="F1109" t="s">
        <v>1900</v>
      </c>
      <c r="G1109" s="1"/>
      <c r="H1109" t="str">
        <f>"3414971184565"</f>
        <v>3414971184565</v>
      </c>
      <c r="I1109" t="s">
        <v>1905</v>
      </c>
    </row>
    <row r="1110" spans="1:9" x14ac:dyDescent="0.25">
      <c r="A1110" t="s">
        <v>8</v>
      </c>
      <c r="B1110">
        <v>67623</v>
      </c>
      <c r="C1110" t="s">
        <v>1952</v>
      </c>
      <c r="D1110">
        <v>1</v>
      </c>
      <c r="E1110" t="s">
        <v>1953</v>
      </c>
      <c r="F1110" t="s">
        <v>1954</v>
      </c>
      <c r="G1110" s="1"/>
      <c r="H1110" t="str">
        <f>"3414971014992"</f>
        <v>3414971014992</v>
      </c>
      <c r="I1110" t="s">
        <v>1955</v>
      </c>
    </row>
    <row r="1111" spans="1:9" x14ac:dyDescent="0.25">
      <c r="A1111" t="s">
        <v>8</v>
      </c>
      <c r="B1111">
        <v>67624</v>
      </c>
      <c r="C1111" t="s">
        <v>1956</v>
      </c>
      <c r="D1111">
        <v>1</v>
      </c>
      <c r="E1111" t="s">
        <v>1953</v>
      </c>
      <c r="F1111" t="s">
        <v>1954</v>
      </c>
      <c r="G1111" s="1"/>
      <c r="H1111" t="str">
        <f>"3414971015012"</f>
        <v>3414971015012</v>
      </c>
      <c r="I1111" t="s">
        <v>1957</v>
      </c>
    </row>
    <row r="1112" spans="1:9" x14ac:dyDescent="0.25">
      <c r="A1112" t="s">
        <v>8</v>
      </c>
      <c r="B1112">
        <v>67627</v>
      </c>
      <c r="C1112" t="s">
        <v>1958</v>
      </c>
      <c r="D1112">
        <v>1</v>
      </c>
      <c r="E1112" t="s">
        <v>1953</v>
      </c>
      <c r="F1112" t="s">
        <v>1954</v>
      </c>
      <c r="G1112" s="1"/>
      <c r="H1112" t="str">
        <f>"3414971015074"</f>
        <v>3414971015074</v>
      </c>
      <c r="I1112" t="s">
        <v>1955</v>
      </c>
    </row>
    <row r="1113" spans="1:9" x14ac:dyDescent="0.25">
      <c r="A1113" t="s">
        <v>8</v>
      </c>
      <c r="B1113">
        <v>67632</v>
      </c>
      <c r="C1113" t="s">
        <v>1959</v>
      </c>
      <c r="D1113">
        <v>1</v>
      </c>
      <c r="E1113" t="s">
        <v>1953</v>
      </c>
      <c r="F1113" t="s">
        <v>1954</v>
      </c>
      <c r="G1113" s="1"/>
      <c r="H1113" t="str">
        <f>"3414971015159"</f>
        <v>3414971015159</v>
      </c>
      <c r="I1113" t="s">
        <v>1960</v>
      </c>
    </row>
    <row r="1114" spans="1:9" x14ac:dyDescent="0.25">
      <c r="A1114" t="s">
        <v>8</v>
      </c>
      <c r="B1114">
        <v>67633</v>
      </c>
      <c r="C1114" t="s">
        <v>1952</v>
      </c>
      <c r="D1114">
        <v>1</v>
      </c>
      <c r="E1114" t="s">
        <v>1953</v>
      </c>
      <c r="F1114" t="s">
        <v>1954</v>
      </c>
      <c r="G1114" s="1"/>
      <c r="H1114" t="str">
        <f>"3414971015173"</f>
        <v>3414971015173</v>
      </c>
      <c r="I1114" t="s">
        <v>1955</v>
      </c>
    </row>
    <row r="1115" spans="1:9" x14ac:dyDescent="0.25">
      <c r="A1115" t="s">
        <v>8</v>
      </c>
      <c r="B1115">
        <v>67634</v>
      </c>
      <c r="C1115" t="s">
        <v>1956</v>
      </c>
      <c r="D1115">
        <v>1</v>
      </c>
      <c r="E1115" t="s">
        <v>1953</v>
      </c>
      <c r="F1115" t="s">
        <v>1954</v>
      </c>
      <c r="G1115" s="1"/>
      <c r="H1115" t="str">
        <f>"3414971015197"</f>
        <v>3414971015197</v>
      </c>
      <c r="I1115" t="s">
        <v>1961</v>
      </c>
    </row>
    <row r="1116" spans="1:9" x14ac:dyDescent="0.25">
      <c r="A1116" t="s">
        <v>8</v>
      </c>
      <c r="B1116">
        <v>67635</v>
      </c>
      <c r="C1116" t="s">
        <v>1956</v>
      </c>
      <c r="D1116">
        <v>1</v>
      </c>
      <c r="E1116" t="s">
        <v>1953</v>
      </c>
      <c r="F1116" t="s">
        <v>1954</v>
      </c>
      <c r="G1116" s="1"/>
      <c r="H1116" t="str">
        <f>"3414971015210"</f>
        <v>3414971015210</v>
      </c>
      <c r="I1116" t="s">
        <v>1957</v>
      </c>
    </row>
    <row r="1117" spans="1:9" x14ac:dyDescent="0.25">
      <c r="A1117" t="s">
        <v>8</v>
      </c>
      <c r="B1117">
        <v>67778</v>
      </c>
      <c r="C1117" t="s">
        <v>1958</v>
      </c>
      <c r="D1117">
        <v>1</v>
      </c>
      <c r="E1117" t="s">
        <v>1953</v>
      </c>
      <c r="F1117" t="s">
        <v>1954</v>
      </c>
      <c r="G1117" s="1"/>
      <c r="H1117" t="str">
        <f>"3414971015937"</f>
        <v>3414971015937</v>
      </c>
      <c r="I1117" t="s">
        <v>1962</v>
      </c>
    </row>
    <row r="1118" spans="1:9" x14ac:dyDescent="0.25">
      <c r="A1118" t="s">
        <v>8</v>
      </c>
      <c r="B1118">
        <v>67630</v>
      </c>
      <c r="C1118" t="s">
        <v>1963</v>
      </c>
      <c r="D1118">
        <v>1</v>
      </c>
      <c r="E1118" t="s">
        <v>1964</v>
      </c>
      <c r="F1118" t="s">
        <v>1965</v>
      </c>
      <c r="H1118" t="str">
        <f>"3414971015111"</f>
        <v>3414971015111</v>
      </c>
      <c r="I1118" t="s">
        <v>1966</v>
      </c>
    </row>
    <row r="1119" spans="1:9" x14ac:dyDescent="0.25">
      <c r="A1119" t="s">
        <v>8</v>
      </c>
      <c r="B1119">
        <v>67631</v>
      </c>
      <c r="C1119" t="s">
        <v>1967</v>
      </c>
      <c r="D1119">
        <v>1</v>
      </c>
      <c r="E1119" t="s">
        <v>1964</v>
      </c>
      <c r="F1119" t="s">
        <v>1965</v>
      </c>
      <c r="H1119" t="str">
        <f>"3414971015135"</f>
        <v>3414971015135</v>
      </c>
      <c r="I1119" t="s">
        <v>1968</v>
      </c>
    </row>
    <row r="1120" spans="1:9" x14ac:dyDescent="0.25">
      <c r="A1120" t="s">
        <v>8</v>
      </c>
      <c r="B1120">
        <v>600001</v>
      </c>
      <c r="C1120" t="s">
        <v>1969</v>
      </c>
      <c r="D1120">
        <v>1</v>
      </c>
      <c r="E1120" t="s">
        <v>1970</v>
      </c>
      <c r="F1120" t="s">
        <v>1971</v>
      </c>
      <c r="G1120" s="1"/>
      <c r="H1120" t="str">
        <f>"3414971004252"</f>
        <v>3414971004252</v>
      </c>
      <c r="I1120" t="s">
        <v>1972</v>
      </c>
    </row>
    <row r="1121" spans="1:9" x14ac:dyDescent="0.25">
      <c r="A1121" t="s">
        <v>8</v>
      </c>
      <c r="B1121">
        <v>600002</v>
      </c>
      <c r="C1121" t="s">
        <v>1973</v>
      </c>
      <c r="D1121">
        <v>1</v>
      </c>
      <c r="E1121" t="s">
        <v>1970</v>
      </c>
      <c r="F1121" t="s">
        <v>1971</v>
      </c>
      <c r="G1121" s="1"/>
      <c r="H1121" t="str">
        <f>"3414971004283"</f>
        <v>3414971004283</v>
      </c>
      <c r="I1121" t="s">
        <v>1974</v>
      </c>
    </row>
    <row r="1122" spans="1:9" x14ac:dyDescent="0.25">
      <c r="A1122" t="s">
        <v>8</v>
      </c>
      <c r="B1122">
        <v>600004</v>
      </c>
      <c r="C1122" t="s">
        <v>1975</v>
      </c>
      <c r="D1122">
        <v>1</v>
      </c>
      <c r="E1122" t="s">
        <v>1970</v>
      </c>
      <c r="F1122" t="s">
        <v>1971</v>
      </c>
      <c r="G1122" s="1"/>
      <c r="H1122" t="str">
        <f>"3414971004313"</f>
        <v>3414971004313</v>
      </c>
      <c r="I1122" t="s">
        <v>1976</v>
      </c>
    </row>
    <row r="1123" spans="1:9" x14ac:dyDescent="0.25">
      <c r="A1123" t="s">
        <v>8</v>
      </c>
      <c r="B1123">
        <v>600008</v>
      </c>
      <c r="C1123" t="s">
        <v>1977</v>
      </c>
      <c r="D1123">
        <v>1</v>
      </c>
      <c r="E1123" t="s">
        <v>1970</v>
      </c>
      <c r="F1123" t="s">
        <v>1971</v>
      </c>
      <c r="G1123" s="1"/>
      <c r="H1123" t="str">
        <f>"3414971004382"</f>
        <v>3414971004382</v>
      </c>
      <c r="I1123" t="s">
        <v>1978</v>
      </c>
    </row>
    <row r="1124" spans="1:9" x14ac:dyDescent="0.25">
      <c r="A1124" t="s">
        <v>8</v>
      </c>
      <c r="B1124">
        <v>600016</v>
      </c>
      <c r="C1124" t="s">
        <v>1979</v>
      </c>
      <c r="D1124">
        <v>1</v>
      </c>
      <c r="E1124" t="s">
        <v>1970</v>
      </c>
      <c r="F1124" t="s">
        <v>1971</v>
      </c>
      <c r="G1124" s="1"/>
      <c r="H1124" t="str">
        <f>"3414971004511"</f>
        <v>3414971004511</v>
      </c>
      <c r="I1124" t="s">
        <v>1980</v>
      </c>
    </row>
    <row r="1125" spans="1:9" x14ac:dyDescent="0.25">
      <c r="A1125" t="s">
        <v>8</v>
      </c>
      <c r="B1125">
        <v>600041</v>
      </c>
      <c r="C1125" t="s">
        <v>1981</v>
      </c>
      <c r="D1125">
        <v>1</v>
      </c>
      <c r="E1125" t="s">
        <v>1970</v>
      </c>
      <c r="F1125" t="s">
        <v>1971</v>
      </c>
      <c r="G1125" s="1"/>
      <c r="H1125" t="str">
        <f>"3414971004689"</f>
        <v>3414971004689</v>
      </c>
      <c r="I1125" t="s">
        <v>1982</v>
      </c>
    </row>
    <row r="1126" spans="1:9" x14ac:dyDescent="0.25">
      <c r="A1126" t="s">
        <v>8</v>
      </c>
      <c r="B1126">
        <v>600042</v>
      </c>
      <c r="C1126" t="s">
        <v>1983</v>
      </c>
      <c r="D1126">
        <v>1</v>
      </c>
      <c r="E1126" t="s">
        <v>1970</v>
      </c>
      <c r="F1126" t="s">
        <v>1971</v>
      </c>
      <c r="G1126" s="1"/>
      <c r="H1126" t="str">
        <f>"3414971004719"</f>
        <v>3414971004719</v>
      </c>
      <c r="I1126" t="s">
        <v>1984</v>
      </c>
    </row>
    <row r="1127" spans="1:9" x14ac:dyDescent="0.25">
      <c r="A1127" t="s">
        <v>8</v>
      </c>
      <c r="B1127">
        <v>600047</v>
      </c>
      <c r="C1127" t="s">
        <v>1985</v>
      </c>
      <c r="D1127">
        <v>1</v>
      </c>
      <c r="E1127" t="s">
        <v>1970</v>
      </c>
      <c r="F1127" t="s">
        <v>1971</v>
      </c>
      <c r="G1127" s="1"/>
      <c r="H1127" t="str">
        <f>"3414971096318"</f>
        <v>3414971096318</v>
      </c>
      <c r="I1127" t="s">
        <v>1986</v>
      </c>
    </row>
    <row r="1128" spans="1:9" x14ac:dyDescent="0.25">
      <c r="A1128" t="s">
        <v>8</v>
      </c>
      <c r="B1128">
        <v>600323</v>
      </c>
      <c r="C1128" t="s">
        <v>1987</v>
      </c>
      <c r="D1128">
        <v>1</v>
      </c>
      <c r="E1128" t="s">
        <v>1970</v>
      </c>
      <c r="F1128" t="s">
        <v>1971</v>
      </c>
      <c r="G1128" s="1"/>
      <c r="H1128" t="str">
        <f>"3414971096424"</f>
        <v>3414971096424</v>
      </c>
      <c r="I1128" t="s">
        <v>1988</v>
      </c>
    </row>
    <row r="1129" spans="1:9" x14ac:dyDescent="0.25">
      <c r="A1129" t="s">
        <v>8</v>
      </c>
      <c r="B1129">
        <v>600328</v>
      </c>
      <c r="C1129" t="s">
        <v>1989</v>
      </c>
      <c r="D1129">
        <v>1</v>
      </c>
      <c r="E1129" t="s">
        <v>1970</v>
      </c>
      <c r="F1129" t="s">
        <v>1971</v>
      </c>
      <c r="G1129" s="1"/>
      <c r="H1129" t="str">
        <f>"3414971005983"</f>
        <v>3414971005983</v>
      </c>
      <c r="I1129" t="s">
        <v>1990</v>
      </c>
    </row>
    <row r="1130" spans="1:9" x14ac:dyDescent="0.25">
      <c r="A1130" t="s">
        <v>8</v>
      </c>
      <c r="B1130">
        <v>600332</v>
      </c>
      <c r="C1130" t="s">
        <v>1991</v>
      </c>
      <c r="D1130">
        <v>1</v>
      </c>
      <c r="E1130" t="s">
        <v>1970</v>
      </c>
      <c r="F1130" t="s">
        <v>1971</v>
      </c>
      <c r="G1130" s="1"/>
      <c r="H1130" t="str">
        <f>"3414971006010"</f>
        <v>3414971006010</v>
      </c>
      <c r="I1130" t="s">
        <v>1992</v>
      </c>
    </row>
    <row r="1131" spans="1:9" x14ac:dyDescent="0.25">
      <c r="A1131" t="s">
        <v>8</v>
      </c>
      <c r="B1131">
        <v>600335</v>
      </c>
      <c r="C1131" t="s">
        <v>1993</v>
      </c>
      <c r="D1131">
        <v>1</v>
      </c>
      <c r="E1131" t="s">
        <v>1970</v>
      </c>
      <c r="F1131" t="s">
        <v>1971</v>
      </c>
      <c r="G1131" s="1"/>
      <c r="H1131" t="str">
        <f>"3414971006102"</f>
        <v>3414971006102</v>
      </c>
      <c r="I1131" t="s">
        <v>1990</v>
      </c>
    </row>
    <row r="1132" spans="1:9" x14ac:dyDescent="0.25">
      <c r="A1132" t="s">
        <v>8</v>
      </c>
      <c r="B1132">
        <v>600801</v>
      </c>
      <c r="C1132" t="s">
        <v>1994</v>
      </c>
      <c r="D1132">
        <v>1</v>
      </c>
      <c r="E1132" t="s">
        <v>1970</v>
      </c>
      <c r="F1132" t="s">
        <v>1971</v>
      </c>
      <c r="G1132" s="1"/>
      <c r="H1132" t="str">
        <f>"3414971019539"</f>
        <v>3414971019539</v>
      </c>
      <c r="I1132" t="s">
        <v>1995</v>
      </c>
    </row>
    <row r="1133" spans="1:9" x14ac:dyDescent="0.25">
      <c r="A1133" t="s">
        <v>8</v>
      </c>
      <c r="B1133">
        <v>600802</v>
      </c>
      <c r="C1133" t="s">
        <v>1996</v>
      </c>
      <c r="D1133">
        <v>1</v>
      </c>
      <c r="E1133" t="s">
        <v>1970</v>
      </c>
      <c r="F1133" t="s">
        <v>1971</v>
      </c>
      <c r="G1133" s="1"/>
      <c r="H1133" t="str">
        <f>"3414971019560"</f>
        <v>3414971019560</v>
      </c>
      <c r="I1133" t="s">
        <v>1997</v>
      </c>
    </row>
    <row r="1134" spans="1:9" x14ac:dyDescent="0.25">
      <c r="A1134" t="s">
        <v>8</v>
      </c>
      <c r="B1134">
        <v>600803</v>
      </c>
      <c r="C1134" t="s">
        <v>1998</v>
      </c>
      <c r="D1134">
        <v>1</v>
      </c>
      <c r="E1134" t="s">
        <v>1970</v>
      </c>
      <c r="F1134" t="s">
        <v>1971</v>
      </c>
      <c r="G1134" s="1"/>
      <c r="H1134" t="str">
        <f>"3414971019591"</f>
        <v>3414971019591</v>
      </c>
      <c r="I1134" t="s">
        <v>1999</v>
      </c>
    </row>
    <row r="1135" spans="1:9" x14ac:dyDescent="0.25">
      <c r="A1135" t="s">
        <v>8</v>
      </c>
      <c r="B1135">
        <v>600804</v>
      </c>
      <c r="C1135" t="s">
        <v>2000</v>
      </c>
      <c r="D1135">
        <v>1</v>
      </c>
      <c r="E1135" t="s">
        <v>1970</v>
      </c>
      <c r="F1135" t="s">
        <v>1971</v>
      </c>
      <c r="G1135" s="1"/>
      <c r="H1135" t="str">
        <f>"3414971019621"</f>
        <v>3414971019621</v>
      </c>
      <c r="I1135" t="s">
        <v>2001</v>
      </c>
    </row>
    <row r="1136" spans="1:9" x14ac:dyDescent="0.25">
      <c r="A1136" t="s">
        <v>8</v>
      </c>
      <c r="B1136">
        <v>600807</v>
      </c>
      <c r="C1136" t="s">
        <v>2002</v>
      </c>
      <c r="D1136">
        <v>1</v>
      </c>
      <c r="E1136" t="s">
        <v>1970</v>
      </c>
      <c r="F1136" t="s">
        <v>1971</v>
      </c>
      <c r="G1136" s="1"/>
      <c r="H1136" t="str">
        <f>"3414971129146"</f>
        <v>3414971129146</v>
      </c>
      <c r="I1136" t="s">
        <v>2003</v>
      </c>
    </row>
    <row r="1137" spans="1:9" x14ac:dyDescent="0.25">
      <c r="A1137" t="s">
        <v>8</v>
      </c>
      <c r="B1137">
        <v>600942</v>
      </c>
      <c r="C1137" t="s">
        <v>2004</v>
      </c>
      <c r="D1137">
        <v>1</v>
      </c>
      <c r="E1137" t="s">
        <v>1970</v>
      </c>
      <c r="F1137" t="s">
        <v>1971</v>
      </c>
      <c r="G1137" s="1"/>
      <c r="H1137" t="str">
        <f>"3414971020887"</f>
        <v>3414971020887</v>
      </c>
      <c r="I1137" t="s">
        <v>2005</v>
      </c>
    </row>
    <row r="1138" spans="1:9" x14ac:dyDescent="0.25">
      <c r="A1138" t="s">
        <v>8</v>
      </c>
      <c r="B1138">
        <v>600980</v>
      </c>
      <c r="C1138" t="s">
        <v>2006</v>
      </c>
      <c r="D1138">
        <v>1</v>
      </c>
      <c r="E1138" t="s">
        <v>1970</v>
      </c>
      <c r="F1138" t="s">
        <v>1971</v>
      </c>
      <c r="H1138" t="str">
        <f>"3414971021242"</f>
        <v>3414971021242</v>
      </c>
      <c r="I1138" t="s">
        <v>2007</v>
      </c>
    </row>
    <row r="1139" spans="1:9" x14ac:dyDescent="0.25">
      <c r="A1139" t="s">
        <v>8</v>
      </c>
      <c r="B1139">
        <v>600006</v>
      </c>
      <c r="C1139" t="s">
        <v>2008</v>
      </c>
      <c r="D1139">
        <v>1</v>
      </c>
      <c r="E1139" t="s">
        <v>2009</v>
      </c>
      <c r="F1139" t="s">
        <v>2010</v>
      </c>
      <c r="G1139" s="1"/>
      <c r="H1139" t="str">
        <f>"3414971004344"</f>
        <v>3414971004344</v>
      </c>
      <c r="I1139" t="s">
        <v>2011</v>
      </c>
    </row>
    <row r="1140" spans="1:9" x14ac:dyDescent="0.25">
      <c r="A1140" t="s">
        <v>8</v>
      </c>
      <c r="B1140">
        <v>600007</v>
      </c>
      <c r="C1140" t="s">
        <v>2012</v>
      </c>
      <c r="D1140">
        <v>1</v>
      </c>
      <c r="E1140" t="s">
        <v>2009</v>
      </c>
      <c r="F1140" t="s">
        <v>2010</v>
      </c>
      <c r="G1140" s="1"/>
      <c r="H1140" t="str">
        <f>"3414971004368"</f>
        <v>3414971004368</v>
      </c>
      <c r="I1140" t="s">
        <v>2011</v>
      </c>
    </row>
    <row r="1141" spans="1:9" x14ac:dyDescent="0.25">
      <c r="A1141" t="s">
        <v>8</v>
      </c>
      <c r="B1141">
        <v>600009</v>
      </c>
      <c r="C1141" t="s">
        <v>2013</v>
      </c>
      <c r="D1141">
        <v>1</v>
      </c>
      <c r="E1141" t="s">
        <v>2009</v>
      </c>
      <c r="F1141" t="s">
        <v>2010</v>
      </c>
      <c r="G1141" s="1"/>
      <c r="H1141" t="str">
        <f>"3414971004412"</f>
        <v>3414971004412</v>
      </c>
      <c r="I1141" t="s">
        <v>2014</v>
      </c>
    </row>
    <row r="1142" spans="1:9" x14ac:dyDescent="0.25">
      <c r="A1142" t="s">
        <v>8</v>
      </c>
      <c r="B1142">
        <v>600011</v>
      </c>
      <c r="C1142" t="s">
        <v>2015</v>
      </c>
      <c r="D1142">
        <v>1</v>
      </c>
      <c r="E1142" t="s">
        <v>2009</v>
      </c>
      <c r="F1142" t="s">
        <v>2010</v>
      </c>
      <c r="G1142" s="1"/>
      <c r="H1142" t="str">
        <f>"3414971004436"</f>
        <v>3414971004436</v>
      </c>
      <c r="I1142" t="s">
        <v>2014</v>
      </c>
    </row>
    <row r="1143" spans="1:9" x14ac:dyDescent="0.25">
      <c r="A1143" t="s">
        <v>8</v>
      </c>
      <c r="B1143">
        <v>600013</v>
      </c>
      <c r="C1143" t="s">
        <v>2016</v>
      </c>
      <c r="D1143">
        <v>1</v>
      </c>
      <c r="E1143" t="s">
        <v>2009</v>
      </c>
      <c r="F1143" t="s">
        <v>2010</v>
      </c>
      <c r="G1143" s="1"/>
      <c r="H1143" t="str">
        <f>"3414971004450"</f>
        <v>3414971004450</v>
      </c>
      <c r="I1143" t="s">
        <v>2017</v>
      </c>
    </row>
    <row r="1144" spans="1:9" x14ac:dyDescent="0.25">
      <c r="A1144" t="s">
        <v>8</v>
      </c>
      <c r="B1144">
        <v>600014</v>
      </c>
      <c r="C1144" t="s">
        <v>2018</v>
      </c>
      <c r="D1144">
        <v>1</v>
      </c>
      <c r="E1144" t="s">
        <v>2009</v>
      </c>
      <c r="F1144" t="s">
        <v>2010</v>
      </c>
      <c r="G1144" s="1"/>
      <c r="H1144" t="str">
        <f>"3414971004474"</f>
        <v>3414971004474</v>
      </c>
      <c r="I1144" t="s">
        <v>2019</v>
      </c>
    </row>
    <row r="1145" spans="1:9" x14ac:dyDescent="0.25">
      <c r="A1145" t="s">
        <v>8</v>
      </c>
      <c r="B1145">
        <v>600017</v>
      </c>
      <c r="C1145" t="s">
        <v>2020</v>
      </c>
      <c r="D1145">
        <v>1</v>
      </c>
      <c r="E1145" t="s">
        <v>2009</v>
      </c>
      <c r="F1145" t="s">
        <v>2010</v>
      </c>
      <c r="G1145" s="1"/>
      <c r="H1145" t="str">
        <f>"3414971096233"</f>
        <v>3414971096233</v>
      </c>
      <c r="I1145" t="s">
        <v>2021</v>
      </c>
    </row>
    <row r="1146" spans="1:9" x14ac:dyDescent="0.25">
      <c r="A1146" t="s">
        <v>8</v>
      </c>
      <c r="B1146">
        <v>600018</v>
      </c>
      <c r="C1146" t="s">
        <v>2022</v>
      </c>
      <c r="D1146">
        <v>1</v>
      </c>
      <c r="E1146" t="s">
        <v>2009</v>
      </c>
      <c r="F1146" t="s">
        <v>2010</v>
      </c>
      <c r="G1146" s="1"/>
      <c r="H1146" t="str">
        <f>"3414971096264"</f>
        <v>3414971096264</v>
      </c>
      <c r="I1146" t="s">
        <v>2021</v>
      </c>
    </row>
    <row r="1147" spans="1:9" x14ac:dyDescent="0.25">
      <c r="A1147" t="s">
        <v>8</v>
      </c>
      <c r="B1147">
        <v>600021</v>
      </c>
      <c r="C1147" t="s">
        <v>2023</v>
      </c>
      <c r="D1147">
        <v>1</v>
      </c>
      <c r="E1147" t="s">
        <v>2009</v>
      </c>
      <c r="F1147" t="s">
        <v>2010</v>
      </c>
      <c r="G1147" s="1"/>
      <c r="H1147" t="str">
        <f>"3414971004535"</f>
        <v>3414971004535</v>
      </c>
      <c r="I1147" t="s">
        <v>2024</v>
      </c>
    </row>
    <row r="1148" spans="1:9" x14ac:dyDescent="0.25">
      <c r="A1148" t="s">
        <v>8</v>
      </c>
      <c r="B1148">
        <v>600033</v>
      </c>
      <c r="C1148" t="s">
        <v>2025</v>
      </c>
      <c r="D1148">
        <v>1</v>
      </c>
      <c r="E1148" t="s">
        <v>2009</v>
      </c>
      <c r="F1148" t="s">
        <v>2010</v>
      </c>
      <c r="G1148" s="1"/>
      <c r="H1148" t="str">
        <f>"3414971004597"</f>
        <v>3414971004597</v>
      </c>
      <c r="I1148" t="s">
        <v>2026</v>
      </c>
    </row>
    <row r="1149" spans="1:9" x14ac:dyDescent="0.25">
      <c r="A1149" t="s">
        <v>8</v>
      </c>
      <c r="B1149">
        <v>600037</v>
      </c>
      <c r="C1149" t="s">
        <v>2027</v>
      </c>
      <c r="D1149">
        <v>1</v>
      </c>
      <c r="E1149" t="s">
        <v>2009</v>
      </c>
      <c r="F1149" t="s">
        <v>2010</v>
      </c>
      <c r="G1149" s="1"/>
      <c r="H1149" t="str">
        <f>"3414971004634"</f>
        <v>3414971004634</v>
      </c>
      <c r="I1149" t="s">
        <v>2028</v>
      </c>
    </row>
    <row r="1150" spans="1:9" x14ac:dyDescent="0.25">
      <c r="A1150" t="s">
        <v>8</v>
      </c>
      <c r="B1150">
        <v>600043</v>
      </c>
      <c r="C1150" t="s">
        <v>2029</v>
      </c>
      <c r="D1150">
        <v>1</v>
      </c>
      <c r="E1150" t="s">
        <v>2009</v>
      </c>
      <c r="F1150" t="s">
        <v>2010</v>
      </c>
      <c r="H1150" t="str">
        <f>"3414971004665"</f>
        <v>3414971004665</v>
      </c>
      <c r="I1150" t="s">
        <v>2030</v>
      </c>
    </row>
    <row r="1151" spans="1:9" x14ac:dyDescent="0.25">
      <c r="A1151" t="s">
        <v>8</v>
      </c>
      <c r="B1151">
        <v>600044</v>
      </c>
      <c r="C1151" t="s">
        <v>2031</v>
      </c>
      <c r="D1151">
        <v>1</v>
      </c>
      <c r="E1151" t="s">
        <v>2009</v>
      </c>
      <c r="F1151" t="s">
        <v>2010</v>
      </c>
      <c r="G1151" s="1"/>
      <c r="H1151" t="str">
        <f>"3414971093010"</f>
        <v>3414971093010</v>
      </c>
      <c r="I1151" t="s">
        <v>2032</v>
      </c>
    </row>
    <row r="1152" spans="1:9" x14ac:dyDescent="0.25">
      <c r="A1152" t="s">
        <v>8</v>
      </c>
      <c r="B1152">
        <v>600045</v>
      </c>
      <c r="C1152" t="s">
        <v>2033</v>
      </c>
      <c r="D1152">
        <v>1</v>
      </c>
      <c r="E1152" t="s">
        <v>2009</v>
      </c>
      <c r="F1152" t="s">
        <v>2010</v>
      </c>
      <c r="G1152" s="1"/>
      <c r="H1152" t="str">
        <f>"3414971093171"</f>
        <v>3414971093171</v>
      </c>
      <c r="I1152" t="s">
        <v>2034</v>
      </c>
    </row>
    <row r="1153" spans="1:9" x14ac:dyDescent="0.25">
      <c r="A1153" t="s">
        <v>8</v>
      </c>
      <c r="B1153">
        <v>600048</v>
      </c>
      <c r="C1153" t="s">
        <v>2035</v>
      </c>
      <c r="D1153">
        <v>1</v>
      </c>
      <c r="E1153" t="s">
        <v>2009</v>
      </c>
      <c r="F1153" t="s">
        <v>2010</v>
      </c>
      <c r="G1153" s="1"/>
      <c r="H1153" t="str">
        <f>"3414971162570"</f>
        <v>3414971162570</v>
      </c>
      <c r="I1153" t="s">
        <v>2036</v>
      </c>
    </row>
    <row r="1154" spans="1:9" x14ac:dyDescent="0.25">
      <c r="A1154" t="s">
        <v>8</v>
      </c>
      <c r="B1154">
        <v>600049</v>
      </c>
      <c r="C1154" t="s">
        <v>2037</v>
      </c>
      <c r="D1154">
        <v>1</v>
      </c>
      <c r="E1154" t="s">
        <v>2009</v>
      </c>
      <c r="F1154" t="s">
        <v>2010</v>
      </c>
      <c r="G1154" s="1"/>
      <c r="H1154" t="str">
        <f>"3414971093195"</f>
        <v>3414971093195</v>
      </c>
      <c r="I1154" t="s">
        <v>2038</v>
      </c>
    </row>
    <row r="1155" spans="1:9" x14ac:dyDescent="0.25">
      <c r="A1155" t="s">
        <v>8</v>
      </c>
      <c r="B1155">
        <v>600101</v>
      </c>
      <c r="C1155" t="s">
        <v>2039</v>
      </c>
      <c r="D1155">
        <v>1</v>
      </c>
      <c r="E1155" t="s">
        <v>2009</v>
      </c>
      <c r="F1155" t="s">
        <v>2010</v>
      </c>
      <c r="G1155" s="1"/>
      <c r="H1155" t="str">
        <f>"3414971004894"</f>
        <v>3414971004894</v>
      </c>
      <c r="I1155" t="s">
        <v>1901</v>
      </c>
    </row>
    <row r="1156" spans="1:9" x14ac:dyDescent="0.25">
      <c r="A1156" t="s">
        <v>8</v>
      </c>
      <c r="B1156">
        <v>600102</v>
      </c>
      <c r="C1156" t="s">
        <v>2040</v>
      </c>
      <c r="D1156">
        <v>1</v>
      </c>
      <c r="E1156" t="s">
        <v>2009</v>
      </c>
      <c r="F1156" t="s">
        <v>2010</v>
      </c>
      <c r="G1156" s="1"/>
      <c r="H1156" t="str">
        <f>"3414971004924"</f>
        <v>3414971004924</v>
      </c>
      <c r="I1156" t="s">
        <v>2041</v>
      </c>
    </row>
    <row r="1157" spans="1:9" x14ac:dyDescent="0.25">
      <c r="A1157" t="s">
        <v>8</v>
      </c>
      <c r="B1157">
        <v>600104</v>
      </c>
      <c r="C1157" t="s">
        <v>2042</v>
      </c>
      <c r="D1157">
        <v>1</v>
      </c>
      <c r="E1157" t="s">
        <v>2009</v>
      </c>
      <c r="F1157" t="s">
        <v>2010</v>
      </c>
      <c r="G1157" s="1"/>
      <c r="H1157" t="str">
        <f>"3414971004955"</f>
        <v>3414971004955</v>
      </c>
      <c r="I1157" t="s">
        <v>2043</v>
      </c>
    </row>
    <row r="1158" spans="1:9" x14ac:dyDescent="0.25">
      <c r="A1158" t="s">
        <v>8</v>
      </c>
      <c r="B1158">
        <v>600106</v>
      </c>
      <c r="C1158" t="s">
        <v>2044</v>
      </c>
      <c r="D1158">
        <v>1</v>
      </c>
      <c r="E1158" t="s">
        <v>2009</v>
      </c>
      <c r="F1158" t="s">
        <v>2010</v>
      </c>
      <c r="G1158" s="1"/>
      <c r="H1158" t="str">
        <f>"3414971004979"</f>
        <v>3414971004979</v>
      </c>
      <c r="I1158" t="s">
        <v>2045</v>
      </c>
    </row>
    <row r="1159" spans="1:9" x14ac:dyDescent="0.25">
      <c r="A1159" t="s">
        <v>8</v>
      </c>
      <c r="B1159">
        <v>600107</v>
      </c>
      <c r="C1159" t="s">
        <v>2046</v>
      </c>
      <c r="D1159">
        <v>1</v>
      </c>
      <c r="E1159" t="s">
        <v>2009</v>
      </c>
      <c r="F1159" t="s">
        <v>2010</v>
      </c>
      <c r="G1159" s="1"/>
      <c r="H1159" t="str">
        <f>"3414971004993"</f>
        <v>3414971004993</v>
      </c>
      <c r="I1159" t="s">
        <v>2045</v>
      </c>
    </row>
    <row r="1160" spans="1:9" x14ac:dyDescent="0.25">
      <c r="A1160" t="s">
        <v>8</v>
      </c>
      <c r="B1160">
        <v>600108</v>
      </c>
      <c r="C1160" t="s">
        <v>2047</v>
      </c>
      <c r="D1160">
        <v>1</v>
      </c>
      <c r="E1160" t="s">
        <v>2009</v>
      </c>
      <c r="F1160" t="s">
        <v>2010</v>
      </c>
      <c r="G1160" s="1"/>
      <c r="H1160" t="str">
        <f>"3414971005013"</f>
        <v>3414971005013</v>
      </c>
      <c r="I1160" t="s">
        <v>2048</v>
      </c>
    </row>
    <row r="1161" spans="1:9" x14ac:dyDescent="0.25">
      <c r="A1161" t="s">
        <v>8</v>
      </c>
      <c r="B1161">
        <v>600109</v>
      </c>
      <c r="C1161" t="s">
        <v>2049</v>
      </c>
      <c r="D1161">
        <v>1</v>
      </c>
      <c r="E1161" t="s">
        <v>2009</v>
      </c>
      <c r="F1161" t="s">
        <v>2010</v>
      </c>
      <c r="G1161" s="1"/>
      <c r="H1161" t="str">
        <f>"3414971005037"</f>
        <v>3414971005037</v>
      </c>
      <c r="I1161" t="s">
        <v>2050</v>
      </c>
    </row>
    <row r="1162" spans="1:9" x14ac:dyDescent="0.25">
      <c r="A1162" t="s">
        <v>8</v>
      </c>
      <c r="B1162">
        <v>600111</v>
      </c>
      <c r="C1162" t="s">
        <v>2051</v>
      </c>
      <c r="D1162">
        <v>1</v>
      </c>
      <c r="E1162" t="s">
        <v>2009</v>
      </c>
      <c r="F1162" t="s">
        <v>2010</v>
      </c>
      <c r="G1162" s="1"/>
      <c r="H1162" t="str">
        <f>"3414971005051"</f>
        <v>3414971005051</v>
      </c>
      <c r="I1162" t="s">
        <v>2050</v>
      </c>
    </row>
    <row r="1163" spans="1:9" x14ac:dyDescent="0.25">
      <c r="A1163" t="s">
        <v>8</v>
      </c>
      <c r="B1163">
        <v>600116</v>
      </c>
      <c r="C1163" t="s">
        <v>2052</v>
      </c>
      <c r="D1163">
        <v>1</v>
      </c>
      <c r="E1163" t="s">
        <v>2009</v>
      </c>
      <c r="F1163" t="s">
        <v>2010</v>
      </c>
      <c r="G1163" s="1"/>
      <c r="H1163" t="str">
        <f>"3414971005099"</f>
        <v>3414971005099</v>
      </c>
      <c r="I1163" t="s">
        <v>2053</v>
      </c>
    </row>
    <row r="1164" spans="1:9" x14ac:dyDescent="0.25">
      <c r="A1164" t="s">
        <v>8</v>
      </c>
      <c r="B1164">
        <v>600117</v>
      </c>
      <c r="C1164" t="s">
        <v>2054</v>
      </c>
      <c r="D1164">
        <v>1</v>
      </c>
      <c r="E1164" t="s">
        <v>2009</v>
      </c>
      <c r="F1164" t="s">
        <v>2010</v>
      </c>
      <c r="G1164" s="1"/>
      <c r="H1164" t="str">
        <f>"3414971096349"</f>
        <v>3414971096349</v>
      </c>
      <c r="I1164" t="s">
        <v>2055</v>
      </c>
    </row>
    <row r="1165" spans="1:9" x14ac:dyDescent="0.25">
      <c r="A1165" t="s">
        <v>8</v>
      </c>
      <c r="B1165">
        <v>600118</v>
      </c>
      <c r="C1165" t="s">
        <v>2056</v>
      </c>
      <c r="D1165">
        <v>1</v>
      </c>
      <c r="E1165" t="s">
        <v>2009</v>
      </c>
      <c r="F1165" t="s">
        <v>2010</v>
      </c>
      <c r="G1165" s="1"/>
      <c r="H1165" t="str">
        <f>"3414971096370"</f>
        <v>3414971096370</v>
      </c>
      <c r="I1165" t="s">
        <v>2055</v>
      </c>
    </row>
    <row r="1166" spans="1:9" x14ac:dyDescent="0.25">
      <c r="A1166" t="s">
        <v>8</v>
      </c>
      <c r="B1166">
        <v>600121</v>
      </c>
      <c r="C1166" t="s">
        <v>2057</v>
      </c>
      <c r="D1166">
        <v>1</v>
      </c>
      <c r="E1166" t="s">
        <v>2009</v>
      </c>
      <c r="F1166" t="s">
        <v>2010</v>
      </c>
      <c r="G1166" s="1"/>
      <c r="H1166" t="str">
        <f>"3414971005112"</f>
        <v>3414971005112</v>
      </c>
      <c r="I1166" t="s">
        <v>2058</v>
      </c>
    </row>
    <row r="1167" spans="1:9" x14ac:dyDescent="0.25">
      <c r="A1167" t="s">
        <v>8</v>
      </c>
      <c r="B1167">
        <v>600133</v>
      </c>
      <c r="C1167" t="s">
        <v>2059</v>
      </c>
      <c r="D1167">
        <v>1</v>
      </c>
      <c r="E1167" t="s">
        <v>2009</v>
      </c>
      <c r="F1167" t="s">
        <v>2010</v>
      </c>
      <c r="G1167" s="1"/>
      <c r="H1167" t="str">
        <f>"3414971005150"</f>
        <v>3414971005150</v>
      </c>
      <c r="I1167" t="s">
        <v>2060</v>
      </c>
    </row>
    <row r="1168" spans="1:9" x14ac:dyDescent="0.25">
      <c r="A1168" t="s">
        <v>8</v>
      </c>
      <c r="B1168">
        <v>600137</v>
      </c>
      <c r="C1168" t="s">
        <v>2061</v>
      </c>
      <c r="D1168">
        <v>1</v>
      </c>
      <c r="E1168" t="s">
        <v>2009</v>
      </c>
      <c r="F1168" t="s">
        <v>2010</v>
      </c>
      <c r="G1168" s="1"/>
      <c r="H1168" t="str">
        <f>"3414971005198"</f>
        <v>3414971005198</v>
      </c>
      <c r="I1168" t="s">
        <v>2062</v>
      </c>
    </row>
    <row r="1169" spans="1:9" x14ac:dyDescent="0.25">
      <c r="A1169" t="s">
        <v>8</v>
      </c>
      <c r="B1169">
        <v>600141</v>
      </c>
      <c r="C1169" t="s">
        <v>2063</v>
      </c>
      <c r="D1169">
        <v>1</v>
      </c>
      <c r="E1169" t="s">
        <v>2009</v>
      </c>
      <c r="F1169" t="s">
        <v>2010</v>
      </c>
      <c r="G1169" s="1"/>
      <c r="H1169" t="str">
        <f>"3414971005235"</f>
        <v>3414971005235</v>
      </c>
      <c r="I1169" t="s">
        <v>2064</v>
      </c>
    </row>
    <row r="1170" spans="1:9" x14ac:dyDescent="0.25">
      <c r="A1170" t="s">
        <v>8</v>
      </c>
      <c r="B1170">
        <v>600142</v>
      </c>
      <c r="C1170" t="s">
        <v>2065</v>
      </c>
      <c r="D1170">
        <v>1</v>
      </c>
      <c r="E1170" t="s">
        <v>2009</v>
      </c>
      <c r="F1170" t="s">
        <v>2010</v>
      </c>
      <c r="G1170" s="1"/>
      <c r="H1170" t="str">
        <f>"3414971005259"</f>
        <v>3414971005259</v>
      </c>
      <c r="I1170" t="s">
        <v>1114</v>
      </c>
    </row>
    <row r="1171" spans="1:9" x14ac:dyDescent="0.25">
      <c r="A1171" t="s">
        <v>8</v>
      </c>
      <c r="B1171">
        <v>600144</v>
      </c>
      <c r="C1171" t="s">
        <v>2066</v>
      </c>
      <c r="D1171">
        <v>1</v>
      </c>
      <c r="E1171" t="s">
        <v>2009</v>
      </c>
      <c r="F1171" t="s">
        <v>2010</v>
      </c>
      <c r="G1171" s="1"/>
      <c r="H1171" t="str">
        <f>"3414971093041"</f>
        <v>3414971093041</v>
      </c>
      <c r="I1171" t="s">
        <v>2067</v>
      </c>
    </row>
    <row r="1172" spans="1:9" x14ac:dyDescent="0.25">
      <c r="A1172" t="s">
        <v>8</v>
      </c>
      <c r="B1172">
        <v>600243</v>
      </c>
      <c r="C1172" t="s">
        <v>2068</v>
      </c>
      <c r="D1172">
        <v>1</v>
      </c>
      <c r="E1172" t="s">
        <v>2009</v>
      </c>
      <c r="F1172" t="s">
        <v>2010</v>
      </c>
      <c r="H1172" t="str">
        <f>"3414971005754"</f>
        <v>3414971005754</v>
      </c>
      <c r="I1172" t="s">
        <v>2069</v>
      </c>
    </row>
    <row r="1173" spans="1:9" x14ac:dyDescent="0.25">
      <c r="A1173" t="s">
        <v>8</v>
      </c>
      <c r="B1173">
        <v>600320</v>
      </c>
      <c r="C1173" t="s">
        <v>2070</v>
      </c>
      <c r="D1173">
        <v>1</v>
      </c>
      <c r="E1173" t="s">
        <v>2009</v>
      </c>
      <c r="F1173" t="s">
        <v>2010</v>
      </c>
      <c r="G1173" s="1"/>
      <c r="H1173" t="str">
        <f>"3414971005877"</f>
        <v>3414971005877</v>
      </c>
      <c r="I1173" t="s">
        <v>2071</v>
      </c>
    </row>
    <row r="1174" spans="1:9" x14ac:dyDescent="0.25">
      <c r="A1174" t="s">
        <v>8</v>
      </c>
      <c r="B1174">
        <v>600321</v>
      </c>
      <c r="C1174" t="s">
        <v>2072</v>
      </c>
      <c r="D1174">
        <v>1</v>
      </c>
      <c r="E1174" t="s">
        <v>2009</v>
      </c>
      <c r="F1174" t="s">
        <v>2010</v>
      </c>
      <c r="G1174" s="1"/>
      <c r="H1174" t="str">
        <f>"3414971005891"</f>
        <v>3414971005891</v>
      </c>
      <c r="I1174" t="s">
        <v>2073</v>
      </c>
    </row>
    <row r="1175" spans="1:9" x14ac:dyDescent="0.25">
      <c r="A1175" t="s">
        <v>8</v>
      </c>
      <c r="B1175">
        <v>600324</v>
      </c>
      <c r="C1175" t="s">
        <v>2074</v>
      </c>
      <c r="D1175">
        <v>1</v>
      </c>
      <c r="E1175" t="s">
        <v>2009</v>
      </c>
      <c r="F1175" t="s">
        <v>2010</v>
      </c>
      <c r="G1175" s="1"/>
      <c r="H1175" t="str">
        <f>"3414971005921"</f>
        <v>3414971005921</v>
      </c>
      <c r="I1175" t="s">
        <v>2075</v>
      </c>
    </row>
    <row r="1176" spans="1:9" x14ac:dyDescent="0.25">
      <c r="A1176" t="s">
        <v>8</v>
      </c>
      <c r="B1176">
        <v>600325</v>
      </c>
      <c r="C1176" t="s">
        <v>2076</v>
      </c>
      <c r="D1176">
        <v>1</v>
      </c>
      <c r="E1176" t="s">
        <v>2009</v>
      </c>
      <c r="F1176" t="s">
        <v>2010</v>
      </c>
      <c r="G1176" s="1"/>
      <c r="H1176" t="str">
        <f>"3414971005952"</f>
        <v>3414971005952</v>
      </c>
      <c r="I1176" t="s">
        <v>2077</v>
      </c>
    </row>
    <row r="1177" spans="1:9" x14ac:dyDescent="0.25">
      <c r="A1177" t="s">
        <v>8</v>
      </c>
      <c r="B1177">
        <v>600333</v>
      </c>
      <c r="C1177" t="s">
        <v>2078</v>
      </c>
      <c r="D1177">
        <v>1</v>
      </c>
      <c r="E1177" t="s">
        <v>2009</v>
      </c>
      <c r="F1177" t="s">
        <v>2010</v>
      </c>
      <c r="G1177" s="1"/>
      <c r="H1177" t="str">
        <f>"3414971006041"</f>
        <v>3414971006041</v>
      </c>
      <c r="I1177" t="s">
        <v>2079</v>
      </c>
    </row>
    <row r="1178" spans="1:9" x14ac:dyDescent="0.25">
      <c r="A1178" t="s">
        <v>8</v>
      </c>
      <c r="B1178">
        <v>600334</v>
      </c>
      <c r="C1178" t="s">
        <v>2080</v>
      </c>
      <c r="D1178">
        <v>1</v>
      </c>
      <c r="E1178" t="s">
        <v>2009</v>
      </c>
      <c r="F1178" t="s">
        <v>2010</v>
      </c>
      <c r="G1178" s="1"/>
      <c r="H1178" t="str">
        <f>"3414971006072"</f>
        <v>3414971006072</v>
      </c>
      <c r="I1178" t="s">
        <v>2081</v>
      </c>
    </row>
    <row r="1179" spans="1:9" x14ac:dyDescent="0.25">
      <c r="A1179" t="s">
        <v>8</v>
      </c>
      <c r="B1179">
        <v>600337</v>
      </c>
      <c r="C1179" t="s">
        <v>2082</v>
      </c>
      <c r="D1179">
        <v>1</v>
      </c>
      <c r="E1179" t="s">
        <v>2009</v>
      </c>
      <c r="F1179" t="s">
        <v>2010</v>
      </c>
      <c r="G1179" s="1"/>
      <c r="H1179" t="str">
        <f>"3414971006133"</f>
        <v>3414971006133</v>
      </c>
      <c r="I1179" t="s">
        <v>2083</v>
      </c>
    </row>
    <row r="1180" spans="1:9" x14ac:dyDescent="0.25">
      <c r="A1180" t="s">
        <v>8</v>
      </c>
      <c r="B1180">
        <v>600342</v>
      </c>
      <c r="C1180" t="s">
        <v>2084</v>
      </c>
      <c r="D1180">
        <v>1</v>
      </c>
      <c r="E1180" t="s">
        <v>2009</v>
      </c>
      <c r="F1180" t="s">
        <v>2010</v>
      </c>
      <c r="G1180" s="1"/>
      <c r="H1180" t="str">
        <f>"3414971006188"</f>
        <v>3414971006188</v>
      </c>
      <c r="I1180" t="s">
        <v>2085</v>
      </c>
    </row>
    <row r="1181" spans="1:9" x14ac:dyDescent="0.25">
      <c r="A1181" t="s">
        <v>8</v>
      </c>
      <c r="B1181">
        <v>600343</v>
      </c>
      <c r="C1181" t="s">
        <v>2086</v>
      </c>
      <c r="D1181">
        <v>1</v>
      </c>
      <c r="E1181" t="s">
        <v>2009</v>
      </c>
      <c r="F1181" t="s">
        <v>2010</v>
      </c>
      <c r="G1181" s="1"/>
      <c r="H1181" t="str">
        <f>"3414971006201"</f>
        <v>3414971006201</v>
      </c>
      <c r="I1181" t="s">
        <v>2087</v>
      </c>
    </row>
    <row r="1182" spans="1:9" x14ac:dyDescent="0.25">
      <c r="A1182" t="s">
        <v>8</v>
      </c>
      <c r="B1182">
        <v>600344</v>
      </c>
      <c r="C1182" t="s">
        <v>2088</v>
      </c>
      <c r="D1182">
        <v>1</v>
      </c>
      <c r="E1182" t="s">
        <v>2009</v>
      </c>
      <c r="F1182" t="s">
        <v>2010</v>
      </c>
      <c r="G1182" s="1"/>
      <c r="H1182" t="str">
        <f>"3414971006225"</f>
        <v>3414971006225</v>
      </c>
      <c r="I1182" t="s">
        <v>2089</v>
      </c>
    </row>
    <row r="1183" spans="1:9" x14ac:dyDescent="0.25">
      <c r="A1183" t="s">
        <v>8</v>
      </c>
      <c r="B1183">
        <v>600349</v>
      </c>
      <c r="C1183" t="s">
        <v>2090</v>
      </c>
      <c r="D1183">
        <v>1</v>
      </c>
      <c r="E1183" t="s">
        <v>2009</v>
      </c>
      <c r="F1183" t="s">
        <v>2010</v>
      </c>
      <c r="G1183" s="1"/>
      <c r="H1183" t="str">
        <f>"3414971006263"</f>
        <v>3414971006263</v>
      </c>
      <c r="I1183" t="s">
        <v>2087</v>
      </c>
    </row>
    <row r="1184" spans="1:9" x14ac:dyDescent="0.25">
      <c r="A1184" t="s">
        <v>8</v>
      </c>
      <c r="B1184">
        <v>600350</v>
      </c>
      <c r="C1184" t="s">
        <v>2091</v>
      </c>
      <c r="D1184">
        <v>1</v>
      </c>
      <c r="E1184" t="s">
        <v>2009</v>
      </c>
      <c r="F1184" t="s">
        <v>2010</v>
      </c>
      <c r="G1184" s="1"/>
      <c r="H1184" t="str">
        <f>"3414971093225"</f>
        <v>3414971093225</v>
      </c>
      <c r="I1184" t="s">
        <v>2092</v>
      </c>
    </row>
    <row r="1185" spans="1:9" x14ac:dyDescent="0.25">
      <c r="A1185" t="s">
        <v>8</v>
      </c>
      <c r="B1185">
        <v>600351</v>
      </c>
      <c r="C1185" t="s">
        <v>2093</v>
      </c>
      <c r="D1185">
        <v>1</v>
      </c>
      <c r="E1185" t="s">
        <v>2009</v>
      </c>
      <c r="F1185" t="s">
        <v>2010</v>
      </c>
      <c r="G1185" s="1"/>
      <c r="H1185" t="str">
        <f>"3414971093256"</f>
        <v>3414971093256</v>
      </c>
      <c r="I1185" t="s">
        <v>2094</v>
      </c>
    </row>
    <row r="1186" spans="1:9" x14ac:dyDescent="0.25">
      <c r="A1186" t="s">
        <v>8</v>
      </c>
      <c r="B1186">
        <v>600352</v>
      </c>
      <c r="C1186" t="s">
        <v>2095</v>
      </c>
      <c r="D1186">
        <v>1</v>
      </c>
      <c r="E1186" t="s">
        <v>2009</v>
      </c>
      <c r="F1186" t="s">
        <v>2010</v>
      </c>
      <c r="G1186" s="1"/>
      <c r="H1186" t="str">
        <f>"3414971093287"</f>
        <v>3414971093287</v>
      </c>
      <c r="I1186" t="s">
        <v>2096</v>
      </c>
    </row>
    <row r="1187" spans="1:9" x14ac:dyDescent="0.25">
      <c r="A1187" t="s">
        <v>8</v>
      </c>
      <c r="B1187">
        <v>600353</v>
      </c>
      <c r="C1187" t="s">
        <v>2097</v>
      </c>
      <c r="D1187">
        <v>1</v>
      </c>
      <c r="E1187" t="s">
        <v>2009</v>
      </c>
      <c r="F1187" t="s">
        <v>2010</v>
      </c>
      <c r="G1187" s="1"/>
      <c r="H1187" t="str">
        <f>"3414971093317"</f>
        <v>3414971093317</v>
      </c>
      <c r="I1187" t="s">
        <v>2098</v>
      </c>
    </row>
    <row r="1188" spans="1:9" x14ac:dyDescent="0.25">
      <c r="A1188" t="s">
        <v>8</v>
      </c>
      <c r="B1188">
        <v>600354</v>
      </c>
      <c r="C1188" t="s">
        <v>2099</v>
      </c>
      <c r="D1188">
        <v>1</v>
      </c>
      <c r="E1188" t="s">
        <v>2009</v>
      </c>
      <c r="F1188" t="s">
        <v>2010</v>
      </c>
      <c r="G1188" s="1"/>
      <c r="H1188" t="str">
        <f>"3414971093348"</f>
        <v>3414971093348</v>
      </c>
      <c r="I1188" t="s">
        <v>2100</v>
      </c>
    </row>
    <row r="1189" spans="1:9" x14ac:dyDescent="0.25">
      <c r="A1189" t="s">
        <v>8</v>
      </c>
      <c r="B1189">
        <v>600356</v>
      </c>
      <c r="C1189" t="s">
        <v>2101</v>
      </c>
      <c r="D1189">
        <v>1</v>
      </c>
      <c r="E1189" t="s">
        <v>2009</v>
      </c>
      <c r="F1189" t="s">
        <v>2010</v>
      </c>
      <c r="G1189" s="1"/>
      <c r="H1189" t="str">
        <f>"3414971093362"</f>
        <v>3414971093362</v>
      </c>
      <c r="I1189" t="s">
        <v>2100</v>
      </c>
    </row>
    <row r="1190" spans="1:9" x14ac:dyDescent="0.25">
      <c r="A1190" t="s">
        <v>8</v>
      </c>
      <c r="B1190">
        <v>600357</v>
      </c>
      <c r="C1190" t="s">
        <v>2102</v>
      </c>
      <c r="D1190">
        <v>1</v>
      </c>
      <c r="E1190" t="s">
        <v>2009</v>
      </c>
      <c r="F1190" t="s">
        <v>2010</v>
      </c>
      <c r="G1190" s="1"/>
      <c r="H1190" t="str">
        <f>"3414971093386"</f>
        <v>3414971093386</v>
      </c>
      <c r="I1190" t="s">
        <v>2103</v>
      </c>
    </row>
    <row r="1191" spans="1:9" x14ac:dyDescent="0.25">
      <c r="A1191" t="s">
        <v>8</v>
      </c>
      <c r="B1191">
        <v>600358</v>
      </c>
      <c r="C1191" t="s">
        <v>2104</v>
      </c>
      <c r="D1191">
        <v>1</v>
      </c>
      <c r="E1191" t="s">
        <v>2009</v>
      </c>
      <c r="F1191" t="s">
        <v>2010</v>
      </c>
      <c r="G1191" s="1"/>
      <c r="H1191" t="str">
        <f>"3414971093409"</f>
        <v>3414971093409</v>
      </c>
      <c r="I1191" t="s">
        <v>2105</v>
      </c>
    </row>
    <row r="1192" spans="1:9" x14ac:dyDescent="0.25">
      <c r="A1192" t="s">
        <v>8</v>
      </c>
      <c r="B1192">
        <v>600368</v>
      </c>
      <c r="C1192" t="s">
        <v>2106</v>
      </c>
      <c r="D1192">
        <v>1</v>
      </c>
      <c r="E1192" t="s">
        <v>2009</v>
      </c>
      <c r="F1192" t="s">
        <v>2010</v>
      </c>
      <c r="G1192" s="1"/>
      <c r="H1192" t="str">
        <f>"3414971093430"</f>
        <v>3414971093430</v>
      </c>
      <c r="I1192" t="s">
        <v>2107</v>
      </c>
    </row>
    <row r="1193" spans="1:9" x14ac:dyDescent="0.25">
      <c r="A1193" t="s">
        <v>8</v>
      </c>
      <c r="B1193">
        <v>600381</v>
      </c>
      <c r="C1193" t="s">
        <v>2108</v>
      </c>
      <c r="D1193">
        <v>1</v>
      </c>
      <c r="E1193" t="s">
        <v>2009</v>
      </c>
      <c r="F1193" t="s">
        <v>2010</v>
      </c>
      <c r="G1193" s="1"/>
      <c r="H1193" t="str">
        <f>"3414971093546"</f>
        <v>3414971093546</v>
      </c>
      <c r="I1193" t="s">
        <v>2109</v>
      </c>
    </row>
    <row r="1194" spans="1:9" x14ac:dyDescent="0.25">
      <c r="A1194" t="s">
        <v>8</v>
      </c>
      <c r="B1194">
        <v>600382</v>
      </c>
      <c r="C1194" t="s">
        <v>2110</v>
      </c>
      <c r="D1194">
        <v>1</v>
      </c>
      <c r="E1194" t="s">
        <v>2009</v>
      </c>
      <c r="F1194" t="s">
        <v>2010</v>
      </c>
      <c r="G1194" s="1"/>
      <c r="H1194" t="str">
        <f>"3414971093560"</f>
        <v>3414971093560</v>
      </c>
      <c r="I1194" t="s">
        <v>2111</v>
      </c>
    </row>
    <row r="1195" spans="1:9" x14ac:dyDescent="0.25">
      <c r="A1195" t="s">
        <v>8</v>
      </c>
      <c r="B1195">
        <v>600385</v>
      </c>
      <c r="C1195" t="s">
        <v>2112</v>
      </c>
      <c r="D1195">
        <v>1</v>
      </c>
      <c r="E1195" t="s">
        <v>2009</v>
      </c>
      <c r="F1195" t="s">
        <v>2010</v>
      </c>
      <c r="G1195" s="1"/>
      <c r="H1195" t="str">
        <f>"3414971093584"</f>
        <v>3414971093584</v>
      </c>
      <c r="I1195" t="s">
        <v>2113</v>
      </c>
    </row>
    <row r="1196" spans="1:9" x14ac:dyDescent="0.25">
      <c r="A1196" t="s">
        <v>8</v>
      </c>
      <c r="B1196">
        <v>600420</v>
      </c>
      <c r="C1196" t="s">
        <v>2114</v>
      </c>
      <c r="D1196">
        <v>1</v>
      </c>
      <c r="E1196" t="s">
        <v>2009</v>
      </c>
      <c r="F1196" t="s">
        <v>2010</v>
      </c>
      <c r="G1196" s="1"/>
      <c r="H1196" t="str">
        <f>"3414971006287"</f>
        <v>3414971006287</v>
      </c>
      <c r="I1196" t="s">
        <v>2115</v>
      </c>
    </row>
    <row r="1197" spans="1:9" x14ac:dyDescent="0.25">
      <c r="A1197" t="s">
        <v>8</v>
      </c>
      <c r="B1197">
        <v>600425</v>
      </c>
      <c r="C1197" t="s">
        <v>2116</v>
      </c>
      <c r="D1197">
        <v>1</v>
      </c>
      <c r="E1197" t="s">
        <v>2009</v>
      </c>
      <c r="F1197" t="s">
        <v>2010</v>
      </c>
      <c r="G1197" s="1"/>
      <c r="H1197" t="str">
        <f>"3414971006348"</f>
        <v>3414971006348</v>
      </c>
      <c r="I1197" t="s">
        <v>2117</v>
      </c>
    </row>
    <row r="1198" spans="1:9" x14ac:dyDescent="0.25">
      <c r="A1198" t="s">
        <v>8</v>
      </c>
      <c r="B1198">
        <v>600428</v>
      </c>
      <c r="C1198" t="s">
        <v>2118</v>
      </c>
      <c r="D1198">
        <v>1</v>
      </c>
      <c r="E1198" t="s">
        <v>2009</v>
      </c>
      <c r="F1198" t="s">
        <v>2010</v>
      </c>
      <c r="G1198" s="1"/>
      <c r="H1198" t="str">
        <f>"3414971006362"</f>
        <v>3414971006362</v>
      </c>
      <c r="I1198" t="s">
        <v>2119</v>
      </c>
    </row>
    <row r="1199" spans="1:9" x14ac:dyDescent="0.25">
      <c r="A1199" t="s">
        <v>8</v>
      </c>
      <c r="B1199">
        <v>600432</v>
      </c>
      <c r="C1199" t="s">
        <v>2120</v>
      </c>
      <c r="D1199">
        <v>1</v>
      </c>
      <c r="E1199" t="s">
        <v>2009</v>
      </c>
      <c r="F1199" t="s">
        <v>2010</v>
      </c>
      <c r="G1199" s="1"/>
      <c r="H1199" t="str">
        <f>"3414971006386"</f>
        <v>3414971006386</v>
      </c>
      <c r="I1199" t="s">
        <v>2121</v>
      </c>
    </row>
    <row r="1200" spans="1:9" x14ac:dyDescent="0.25">
      <c r="A1200" t="s">
        <v>8</v>
      </c>
      <c r="B1200">
        <v>600433</v>
      </c>
      <c r="C1200" t="s">
        <v>2122</v>
      </c>
      <c r="D1200">
        <v>1</v>
      </c>
      <c r="E1200" t="s">
        <v>2009</v>
      </c>
      <c r="F1200" t="s">
        <v>2010</v>
      </c>
      <c r="G1200" s="1"/>
      <c r="H1200" t="str">
        <f>"3414971006409"</f>
        <v>3414971006409</v>
      </c>
      <c r="I1200" t="s">
        <v>2123</v>
      </c>
    </row>
    <row r="1201" spans="1:9" x14ac:dyDescent="0.25">
      <c r="A1201" t="s">
        <v>8</v>
      </c>
      <c r="B1201">
        <v>600434</v>
      </c>
      <c r="C1201" t="s">
        <v>2124</v>
      </c>
      <c r="D1201">
        <v>1</v>
      </c>
      <c r="E1201" t="s">
        <v>2009</v>
      </c>
      <c r="F1201" t="s">
        <v>2010</v>
      </c>
      <c r="G1201" s="1"/>
      <c r="H1201" t="str">
        <f>"3414971006423"</f>
        <v>3414971006423</v>
      </c>
      <c r="I1201" t="s">
        <v>2125</v>
      </c>
    </row>
    <row r="1202" spans="1:9" x14ac:dyDescent="0.25">
      <c r="A1202" t="s">
        <v>8</v>
      </c>
      <c r="B1202">
        <v>600435</v>
      </c>
      <c r="C1202" t="s">
        <v>2126</v>
      </c>
      <c r="D1202">
        <v>1</v>
      </c>
      <c r="E1202" t="s">
        <v>2009</v>
      </c>
      <c r="F1202" t="s">
        <v>2010</v>
      </c>
      <c r="G1202" s="1"/>
      <c r="H1202" t="str">
        <f>"3414971006447"</f>
        <v>3414971006447</v>
      </c>
      <c r="I1202" t="s">
        <v>2119</v>
      </c>
    </row>
    <row r="1203" spans="1:9" x14ac:dyDescent="0.25">
      <c r="A1203" t="s">
        <v>8</v>
      </c>
      <c r="B1203">
        <v>600437</v>
      </c>
      <c r="C1203" t="s">
        <v>2127</v>
      </c>
      <c r="D1203">
        <v>1</v>
      </c>
      <c r="E1203" t="s">
        <v>2009</v>
      </c>
      <c r="F1203" t="s">
        <v>2010</v>
      </c>
      <c r="G1203" s="1"/>
      <c r="H1203" t="str">
        <f>"3414971006478"</f>
        <v>3414971006478</v>
      </c>
      <c r="I1203" t="s">
        <v>2128</v>
      </c>
    </row>
    <row r="1204" spans="1:9" x14ac:dyDescent="0.25">
      <c r="A1204" t="s">
        <v>8</v>
      </c>
      <c r="B1204">
        <v>600442</v>
      </c>
      <c r="C1204" t="s">
        <v>2129</v>
      </c>
      <c r="D1204">
        <v>1</v>
      </c>
      <c r="E1204" t="s">
        <v>2009</v>
      </c>
      <c r="F1204" t="s">
        <v>2010</v>
      </c>
      <c r="G1204" s="1"/>
      <c r="H1204" t="str">
        <f>"3414971006515"</f>
        <v>3414971006515</v>
      </c>
      <c r="I1204" t="s">
        <v>2130</v>
      </c>
    </row>
    <row r="1205" spans="1:9" x14ac:dyDescent="0.25">
      <c r="A1205" t="s">
        <v>8</v>
      </c>
      <c r="B1205">
        <v>600443</v>
      </c>
      <c r="C1205" t="s">
        <v>2131</v>
      </c>
      <c r="D1205">
        <v>1</v>
      </c>
      <c r="E1205" t="s">
        <v>2009</v>
      </c>
      <c r="F1205" t="s">
        <v>2010</v>
      </c>
      <c r="G1205" s="1"/>
      <c r="H1205" t="str">
        <f>"3414971006539"</f>
        <v>3414971006539</v>
      </c>
      <c r="I1205" t="s">
        <v>2132</v>
      </c>
    </row>
    <row r="1206" spans="1:9" x14ac:dyDescent="0.25">
      <c r="A1206" t="s">
        <v>8</v>
      </c>
      <c r="B1206">
        <v>600449</v>
      </c>
      <c r="C1206" t="s">
        <v>2133</v>
      </c>
      <c r="D1206">
        <v>1</v>
      </c>
      <c r="E1206" t="s">
        <v>2009</v>
      </c>
      <c r="F1206" t="s">
        <v>2010</v>
      </c>
      <c r="G1206" s="1"/>
      <c r="H1206" t="str">
        <f>"3414971006591"</f>
        <v>3414971006591</v>
      </c>
      <c r="I1206" t="s">
        <v>2132</v>
      </c>
    </row>
    <row r="1207" spans="1:9" x14ac:dyDescent="0.25">
      <c r="A1207" t="s">
        <v>8</v>
      </c>
      <c r="B1207">
        <v>600450</v>
      </c>
      <c r="C1207" t="s">
        <v>2134</v>
      </c>
      <c r="D1207">
        <v>1</v>
      </c>
      <c r="E1207" t="s">
        <v>2009</v>
      </c>
      <c r="F1207" t="s">
        <v>2010</v>
      </c>
      <c r="G1207" s="1"/>
      <c r="H1207" t="str">
        <f>"3414971093607"</f>
        <v>3414971093607</v>
      </c>
      <c r="I1207" t="s">
        <v>2135</v>
      </c>
    </row>
    <row r="1208" spans="1:9" x14ac:dyDescent="0.25">
      <c r="A1208" t="s">
        <v>8</v>
      </c>
      <c r="B1208">
        <v>600451</v>
      </c>
      <c r="C1208" t="s">
        <v>2136</v>
      </c>
      <c r="D1208">
        <v>1</v>
      </c>
      <c r="E1208" t="s">
        <v>2009</v>
      </c>
      <c r="F1208" t="s">
        <v>2010</v>
      </c>
      <c r="G1208" s="1"/>
      <c r="H1208" t="str">
        <f>"3414971093621"</f>
        <v>3414971093621</v>
      </c>
      <c r="I1208" t="s">
        <v>2137</v>
      </c>
    </row>
    <row r="1209" spans="1:9" x14ac:dyDescent="0.25">
      <c r="A1209" t="s">
        <v>8</v>
      </c>
      <c r="B1209">
        <v>600452</v>
      </c>
      <c r="C1209" t="s">
        <v>2138</v>
      </c>
      <c r="D1209">
        <v>1</v>
      </c>
      <c r="E1209" t="s">
        <v>2009</v>
      </c>
      <c r="F1209" t="s">
        <v>2010</v>
      </c>
      <c r="G1209" s="1"/>
      <c r="H1209" t="str">
        <f>"3414971093652"</f>
        <v>3414971093652</v>
      </c>
      <c r="I1209" t="s">
        <v>2139</v>
      </c>
    </row>
    <row r="1210" spans="1:9" x14ac:dyDescent="0.25">
      <c r="A1210" t="s">
        <v>8</v>
      </c>
      <c r="B1210">
        <v>600453</v>
      </c>
      <c r="C1210" t="s">
        <v>2140</v>
      </c>
      <c r="D1210">
        <v>1</v>
      </c>
      <c r="E1210" t="s">
        <v>2009</v>
      </c>
      <c r="F1210" t="s">
        <v>2010</v>
      </c>
      <c r="G1210" s="1"/>
      <c r="H1210" t="str">
        <f>"3414971093676"</f>
        <v>3414971093676</v>
      </c>
      <c r="I1210" t="s">
        <v>2141</v>
      </c>
    </row>
    <row r="1211" spans="1:9" x14ac:dyDescent="0.25">
      <c r="A1211" t="s">
        <v>8</v>
      </c>
      <c r="B1211">
        <v>600454</v>
      </c>
      <c r="C1211" t="s">
        <v>2142</v>
      </c>
      <c r="D1211">
        <v>1</v>
      </c>
      <c r="E1211" t="s">
        <v>2009</v>
      </c>
      <c r="F1211" t="s">
        <v>2010</v>
      </c>
      <c r="G1211" s="1"/>
      <c r="H1211" t="str">
        <f>"3414971093690"</f>
        <v>3414971093690</v>
      </c>
      <c r="I1211" t="s">
        <v>2143</v>
      </c>
    </row>
    <row r="1212" spans="1:9" x14ac:dyDescent="0.25">
      <c r="A1212" t="s">
        <v>8</v>
      </c>
      <c r="B1212">
        <v>600456</v>
      </c>
      <c r="C1212" t="s">
        <v>2144</v>
      </c>
      <c r="D1212">
        <v>1</v>
      </c>
      <c r="E1212" t="s">
        <v>2009</v>
      </c>
      <c r="F1212" t="s">
        <v>2010</v>
      </c>
      <c r="G1212" s="1"/>
      <c r="H1212" t="str">
        <f>"3414971093713"</f>
        <v>3414971093713</v>
      </c>
      <c r="I1212" t="s">
        <v>2143</v>
      </c>
    </row>
    <row r="1213" spans="1:9" x14ac:dyDescent="0.25">
      <c r="A1213" t="s">
        <v>8</v>
      </c>
      <c r="B1213">
        <v>600457</v>
      </c>
      <c r="C1213" t="s">
        <v>2145</v>
      </c>
      <c r="D1213">
        <v>1</v>
      </c>
      <c r="E1213" t="s">
        <v>2009</v>
      </c>
      <c r="F1213" t="s">
        <v>2010</v>
      </c>
      <c r="G1213" s="1"/>
      <c r="H1213" t="str">
        <f>"3414971093737"</f>
        <v>3414971093737</v>
      </c>
      <c r="I1213" t="s">
        <v>2146</v>
      </c>
    </row>
    <row r="1214" spans="1:9" x14ac:dyDescent="0.25">
      <c r="A1214" t="s">
        <v>8</v>
      </c>
      <c r="B1214">
        <v>600458</v>
      </c>
      <c r="C1214" t="s">
        <v>2147</v>
      </c>
      <c r="D1214">
        <v>1</v>
      </c>
      <c r="E1214" t="s">
        <v>2009</v>
      </c>
      <c r="F1214" t="s">
        <v>2010</v>
      </c>
      <c r="G1214" s="1"/>
      <c r="H1214" t="str">
        <f>"3414971093751"</f>
        <v>3414971093751</v>
      </c>
      <c r="I1214" t="s">
        <v>2148</v>
      </c>
    </row>
    <row r="1215" spans="1:9" x14ac:dyDescent="0.25">
      <c r="A1215" t="s">
        <v>8</v>
      </c>
      <c r="B1215">
        <v>600468</v>
      </c>
      <c r="C1215" t="s">
        <v>2149</v>
      </c>
      <c r="D1215">
        <v>1</v>
      </c>
      <c r="E1215" t="s">
        <v>2009</v>
      </c>
      <c r="F1215" t="s">
        <v>2010</v>
      </c>
      <c r="G1215" s="1"/>
      <c r="H1215" t="str">
        <f>"3414971093775"</f>
        <v>3414971093775</v>
      </c>
      <c r="I1215" t="s">
        <v>2150</v>
      </c>
    </row>
    <row r="1216" spans="1:9" x14ac:dyDescent="0.25">
      <c r="A1216" t="s">
        <v>8</v>
      </c>
      <c r="B1216">
        <v>600481</v>
      </c>
      <c r="C1216" t="s">
        <v>2151</v>
      </c>
      <c r="D1216">
        <v>1</v>
      </c>
      <c r="E1216" t="s">
        <v>2009</v>
      </c>
      <c r="F1216" t="s">
        <v>2010</v>
      </c>
      <c r="G1216" s="1"/>
      <c r="H1216" t="str">
        <f>"3414971093850"</f>
        <v>3414971093850</v>
      </c>
      <c r="I1216" t="s">
        <v>149</v>
      </c>
    </row>
    <row r="1217" spans="1:9" x14ac:dyDescent="0.25">
      <c r="A1217" t="s">
        <v>8</v>
      </c>
      <c r="B1217">
        <v>600482</v>
      </c>
      <c r="C1217" t="s">
        <v>2152</v>
      </c>
      <c r="D1217">
        <v>1</v>
      </c>
      <c r="E1217" t="s">
        <v>2009</v>
      </c>
      <c r="F1217" t="s">
        <v>2010</v>
      </c>
      <c r="G1217" s="1"/>
      <c r="H1217" t="str">
        <f>"3414971093874"</f>
        <v>3414971093874</v>
      </c>
      <c r="I1217" t="s">
        <v>2153</v>
      </c>
    </row>
    <row r="1218" spans="1:9" x14ac:dyDescent="0.25">
      <c r="A1218" t="s">
        <v>8</v>
      </c>
      <c r="B1218">
        <v>600485</v>
      </c>
      <c r="C1218" t="s">
        <v>2154</v>
      </c>
      <c r="D1218">
        <v>1</v>
      </c>
      <c r="E1218" t="s">
        <v>2009</v>
      </c>
      <c r="F1218" t="s">
        <v>2010</v>
      </c>
      <c r="G1218" s="1"/>
      <c r="H1218" t="str">
        <f>"3414971093898"</f>
        <v>3414971093898</v>
      </c>
      <c r="I1218" t="s">
        <v>2155</v>
      </c>
    </row>
    <row r="1219" spans="1:9" x14ac:dyDescent="0.25">
      <c r="A1219" t="s">
        <v>8</v>
      </c>
      <c r="B1219">
        <v>600375</v>
      </c>
      <c r="C1219" t="s">
        <v>2156</v>
      </c>
      <c r="D1219">
        <v>1</v>
      </c>
      <c r="E1219" t="s">
        <v>2157</v>
      </c>
      <c r="F1219" t="s">
        <v>2158</v>
      </c>
      <c r="G1219" s="1"/>
      <c r="H1219" t="str">
        <f>"3414971093454"</f>
        <v>3414971093454</v>
      </c>
      <c r="I1219" t="s">
        <v>2159</v>
      </c>
    </row>
    <row r="1220" spans="1:9" x14ac:dyDescent="0.25">
      <c r="A1220" t="s">
        <v>8</v>
      </c>
      <c r="B1220">
        <v>600376</v>
      </c>
      <c r="C1220" t="s">
        <v>2160</v>
      </c>
      <c r="D1220">
        <v>1</v>
      </c>
      <c r="E1220" t="s">
        <v>2157</v>
      </c>
      <c r="F1220" t="s">
        <v>2158</v>
      </c>
      <c r="G1220" s="1"/>
      <c r="H1220" t="str">
        <f>"3414971093485"</f>
        <v>3414971093485</v>
      </c>
      <c r="I1220" t="s">
        <v>2161</v>
      </c>
    </row>
    <row r="1221" spans="1:9" x14ac:dyDescent="0.25">
      <c r="A1221" t="s">
        <v>8</v>
      </c>
      <c r="B1221">
        <v>600377</v>
      </c>
      <c r="C1221" t="s">
        <v>2162</v>
      </c>
      <c r="D1221">
        <v>1</v>
      </c>
      <c r="E1221" t="s">
        <v>2157</v>
      </c>
      <c r="F1221" t="s">
        <v>2158</v>
      </c>
      <c r="G1221" s="1"/>
      <c r="H1221" t="str">
        <f>"3414971093515"</f>
        <v>3414971093515</v>
      </c>
      <c r="I1221" t="s">
        <v>2163</v>
      </c>
    </row>
    <row r="1222" spans="1:9" x14ac:dyDescent="0.25">
      <c r="A1222" t="s">
        <v>8</v>
      </c>
      <c r="B1222">
        <v>600475</v>
      </c>
      <c r="C1222" t="s">
        <v>2164</v>
      </c>
      <c r="D1222">
        <v>1</v>
      </c>
      <c r="E1222" t="s">
        <v>2157</v>
      </c>
      <c r="F1222" t="s">
        <v>2158</v>
      </c>
      <c r="G1222" s="1"/>
      <c r="H1222" t="str">
        <f>"3414971093799"</f>
        <v>3414971093799</v>
      </c>
      <c r="I1222" t="s">
        <v>2165</v>
      </c>
    </row>
    <row r="1223" spans="1:9" x14ac:dyDescent="0.25">
      <c r="A1223" t="s">
        <v>8</v>
      </c>
      <c r="B1223">
        <v>600476</v>
      </c>
      <c r="C1223" t="s">
        <v>2166</v>
      </c>
      <c r="D1223">
        <v>1</v>
      </c>
      <c r="E1223" t="s">
        <v>2157</v>
      </c>
      <c r="F1223" t="s">
        <v>2158</v>
      </c>
      <c r="G1223" s="1"/>
      <c r="H1223" t="str">
        <f>"3414971093812"</f>
        <v>3414971093812</v>
      </c>
      <c r="I1223" t="s">
        <v>2167</v>
      </c>
    </row>
    <row r="1224" spans="1:9" x14ac:dyDescent="0.25">
      <c r="A1224" t="s">
        <v>8</v>
      </c>
      <c r="B1224">
        <v>600477</v>
      </c>
      <c r="C1224" t="s">
        <v>2168</v>
      </c>
      <c r="D1224">
        <v>1</v>
      </c>
      <c r="E1224" t="s">
        <v>2157</v>
      </c>
      <c r="F1224" t="s">
        <v>2158</v>
      </c>
      <c r="G1224" s="1"/>
      <c r="H1224" t="str">
        <f>"3414971093836"</f>
        <v>3414971093836</v>
      </c>
      <c r="I1224" t="s">
        <v>2169</v>
      </c>
    </row>
    <row r="1225" spans="1:9" x14ac:dyDescent="0.25">
      <c r="A1225" t="s">
        <v>8</v>
      </c>
      <c r="B1225">
        <v>600378</v>
      </c>
      <c r="C1225" t="s">
        <v>2170</v>
      </c>
      <c r="D1225">
        <v>1</v>
      </c>
      <c r="E1225" t="s">
        <v>2157</v>
      </c>
      <c r="F1225" t="s">
        <v>2158</v>
      </c>
      <c r="G1225" s="1"/>
      <c r="H1225" t="str">
        <f>"3414971270329"</f>
        <v>3414971270329</v>
      </c>
      <c r="I1225" t="s">
        <v>2171</v>
      </c>
    </row>
    <row r="1226" spans="1:9" x14ac:dyDescent="0.25">
      <c r="A1226" t="s">
        <v>8</v>
      </c>
      <c r="B1226">
        <v>600776</v>
      </c>
      <c r="C1226" t="s">
        <v>2172</v>
      </c>
      <c r="D1226">
        <v>1</v>
      </c>
      <c r="E1226" t="s">
        <v>2157</v>
      </c>
      <c r="F1226" t="s">
        <v>2158</v>
      </c>
      <c r="G1226" s="1"/>
      <c r="H1226" t="str">
        <f>"3414971093973"</f>
        <v>3414971093973</v>
      </c>
      <c r="I1226" t="s">
        <v>2173</v>
      </c>
    </row>
    <row r="1227" spans="1:9" x14ac:dyDescent="0.25">
      <c r="A1227" t="s">
        <v>8</v>
      </c>
      <c r="B1227">
        <v>600777</v>
      </c>
      <c r="C1227" t="s">
        <v>2174</v>
      </c>
      <c r="D1227">
        <v>1</v>
      </c>
      <c r="E1227" t="s">
        <v>2157</v>
      </c>
      <c r="F1227" t="s">
        <v>2158</v>
      </c>
      <c r="G1227" s="1"/>
      <c r="H1227" t="str">
        <f>"3414971093997"</f>
        <v>3414971093997</v>
      </c>
      <c r="I1227" t="s">
        <v>2175</v>
      </c>
    </row>
    <row r="1228" spans="1:9" x14ac:dyDescent="0.25">
      <c r="A1228" t="s">
        <v>8</v>
      </c>
      <c r="B1228">
        <v>600601</v>
      </c>
      <c r="C1228" t="s">
        <v>2176</v>
      </c>
      <c r="D1228">
        <v>1</v>
      </c>
      <c r="E1228" t="s">
        <v>2177</v>
      </c>
      <c r="F1228" t="s">
        <v>2178</v>
      </c>
      <c r="G1228" s="1"/>
      <c r="H1228" t="str">
        <f>"3414971006928"</f>
        <v>3414971006928</v>
      </c>
      <c r="I1228" t="s">
        <v>2179</v>
      </c>
    </row>
    <row r="1229" spans="1:9" x14ac:dyDescent="0.25">
      <c r="A1229" t="s">
        <v>8</v>
      </c>
      <c r="B1229">
        <v>600635</v>
      </c>
      <c r="C1229" t="s">
        <v>2180</v>
      </c>
      <c r="D1229">
        <v>1</v>
      </c>
      <c r="E1229" t="s">
        <v>2177</v>
      </c>
      <c r="F1229" t="s">
        <v>2178</v>
      </c>
      <c r="G1229" s="1"/>
      <c r="H1229" t="str">
        <f>"3414971006966"</f>
        <v>3414971006966</v>
      </c>
      <c r="I1229" t="s">
        <v>2181</v>
      </c>
    </row>
    <row r="1230" spans="1:9" x14ac:dyDescent="0.25">
      <c r="A1230" t="s">
        <v>8</v>
      </c>
      <c r="B1230">
        <v>600941</v>
      </c>
      <c r="C1230" t="s">
        <v>2182</v>
      </c>
      <c r="D1230">
        <v>1</v>
      </c>
      <c r="E1230" t="s">
        <v>2177</v>
      </c>
      <c r="F1230" t="s">
        <v>2178</v>
      </c>
      <c r="G1230" s="1"/>
      <c r="H1230" t="str">
        <f>"3414971020856"</f>
        <v>3414971020856</v>
      </c>
      <c r="I1230" t="s">
        <v>2183</v>
      </c>
    </row>
    <row r="1231" spans="1:9" x14ac:dyDescent="0.25">
      <c r="A1231" t="s">
        <v>8</v>
      </c>
      <c r="B1231">
        <v>600692</v>
      </c>
      <c r="C1231" t="s">
        <v>2184</v>
      </c>
      <c r="D1231">
        <v>1</v>
      </c>
      <c r="E1231" t="s">
        <v>2185</v>
      </c>
      <c r="F1231" t="s">
        <v>2186</v>
      </c>
      <c r="G1231" s="1"/>
      <c r="H1231" t="str">
        <f>"3414971044302"</f>
        <v>3414971044302</v>
      </c>
      <c r="I1231" t="s">
        <v>2187</v>
      </c>
    </row>
    <row r="1232" spans="1:9" x14ac:dyDescent="0.25">
      <c r="A1232" t="s">
        <v>8</v>
      </c>
      <c r="B1232">
        <v>600694</v>
      </c>
      <c r="C1232" t="s">
        <v>2188</v>
      </c>
      <c r="D1232">
        <v>1</v>
      </c>
      <c r="E1232" t="s">
        <v>2185</v>
      </c>
      <c r="F1232" t="s">
        <v>2186</v>
      </c>
      <c r="G1232" s="1"/>
      <c r="H1232" t="str">
        <f>"3414971044326"</f>
        <v>3414971044326</v>
      </c>
      <c r="I1232" t="s">
        <v>2189</v>
      </c>
    </row>
    <row r="1233" spans="1:9" x14ac:dyDescent="0.25">
      <c r="A1233" t="s">
        <v>8</v>
      </c>
      <c r="B1233">
        <v>600696</v>
      </c>
      <c r="C1233" t="s">
        <v>2190</v>
      </c>
      <c r="D1233">
        <v>1</v>
      </c>
      <c r="E1233" t="s">
        <v>2185</v>
      </c>
      <c r="F1233" t="s">
        <v>2186</v>
      </c>
      <c r="G1233" s="1"/>
      <c r="H1233" t="str">
        <f>"3414971044340"</f>
        <v>3414971044340</v>
      </c>
      <c r="I1233" t="s">
        <v>2191</v>
      </c>
    </row>
    <row r="1234" spans="1:9" x14ac:dyDescent="0.25">
      <c r="A1234" t="s">
        <v>8</v>
      </c>
      <c r="B1234">
        <v>600699</v>
      </c>
      <c r="C1234" t="s">
        <v>2192</v>
      </c>
      <c r="D1234">
        <v>1</v>
      </c>
      <c r="E1234" t="s">
        <v>2185</v>
      </c>
      <c r="F1234" t="s">
        <v>2186</v>
      </c>
      <c r="G1234" s="1"/>
      <c r="H1234" t="str">
        <f>"3414971044289"</f>
        <v>3414971044289</v>
      </c>
      <c r="I1234" t="s">
        <v>2193</v>
      </c>
    </row>
    <row r="1235" spans="1:9" x14ac:dyDescent="0.25">
      <c r="A1235" t="s">
        <v>8</v>
      </c>
      <c r="B1235">
        <v>600701</v>
      </c>
      <c r="C1235" t="s">
        <v>2194</v>
      </c>
      <c r="D1235">
        <v>1</v>
      </c>
      <c r="E1235" t="s">
        <v>2195</v>
      </c>
      <c r="F1235" t="s">
        <v>2196</v>
      </c>
      <c r="G1235" s="1"/>
      <c r="H1235" t="str">
        <f>"3414971007000"</f>
        <v>3414971007000</v>
      </c>
      <c r="I1235" t="s">
        <v>2197</v>
      </c>
    </row>
    <row r="1236" spans="1:9" x14ac:dyDescent="0.25">
      <c r="A1236" t="s">
        <v>8</v>
      </c>
      <c r="B1236">
        <v>600705</v>
      </c>
      <c r="C1236" t="s">
        <v>2198</v>
      </c>
      <c r="D1236">
        <v>1</v>
      </c>
      <c r="E1236" t="s">
        <v>2195</v>
      </c>
      <c r="F1236" t="s">
        <v>2196</v>
      </c>
      <c r="G1236" s="1"/>
      <c r="H1236" t="str">
        <f>"3414971007024"</f>
        <v>3414971007024</v>
      </c>
      <c r="I1236" t="s">
        <v>2199</v>
      </c>
    </row>
    <row r="1237" spans="1:9" x14ac:dyDescent="0.25">
      <c r="A1237" t="s">
        <v>8</v>
      </c>
      <c r="B1237">
        <v>600710</v>
      </c>
      <c r="C1237" t="s">
        <v>2200</v>
      </c>
      <c r="D1237">
        <v>1</v>
      </c>
      <c r="E1237" t="s">
        <v>2195</v>
      </c>
      <c r="F1237" t="s">
        <v>2196</v>
      </c>
      <c r="G1237" s="1"/>
      <c r="H1237" t="str">
        <f>"3414971007048"</f>
        <v>3414971007048</v>
      </c>
      <c r="I1237" t="s">
        <v>2201</v>
      </c>
    </row>
    <row r="1238" spans="1:9" x14ac:dyDescent="0.25">
      <c r="A1238" t="s">
        <v>8</v>
      </c>
      <c r="B1238">
        <v>600716</v>
      </c>
      <c r="C1238" t="s">
        <v>2202</v>
      </c>
      <c r="D1238">
        <v>1</v>
      </c>
      <c r="E1238" t="s">
        <v>2195</v>
      </c>
      <c r="F1238" t="s">
        <v>2196</v>
      </c>
      <c r="G1238" s="1"/>
      <c r="H1238" t="str">
        <f>"3414971007062"</f>
        <v>3414971007062</v>
      </c>
      <c r="I1238" t="s">
        <v>58</v>
      </c>
    </row>
    <row r="1239" spans="1:9" x14ac:dyDescent="0.25">
      <c r="A1239" t="s">
        <v>8</v>
      </c>
      <c r="B1239">
        <v>600721</v>
      </c>
      <c r="C1239" t="s">
        <v>2203</v>
      </c>
      <c r="D1239">
        <v>1</v>
      </c>
      <c r="E1239" t="s">
        <v>2195</v>
      </c>
      <c r="F1239" t="s">
        <v>2196</v>
      </c>
      <c r="G1239" s="1"/>
      <c r="H1239" t="str">
        <f>"3414971007086"</f>
        <v>3414971007086</v>
      </c>
      <c r="I1239" t="s">
        <v>2204</v>
      </c>
    </row>
    <row r="1240" spans="1:9" x14ac:dyDescent="0.25">
      <c r="A1240" t="s">
        <v>8</v>
      </c>
      <c r="B1240">
        <v>600724</v>
      </c>
      <c r="C1240" t="s">
        <v>2205</v>
      </c>
      <c r="D1240">
        <v>1</v>
      </c>
      <c r="E1240" t="s">
        <v>2195</v>
      </c>
      <c r="F1240" t="s">
        <v>2196</v>
      </c>
      <c r="G1240" s="1"/>
      <c r="H1240" t="str">
        <f>"3414971007109"</f>
        <v>3414971007109</v>
      </c>
      <c r="I1240" t="s">
        <v>2206</v>
      </c>
    </row>
    <row r="1241" spans="1:9" x14ac:dyDescent="0.25">
      <c r="A1241" t="s">
        <v>8</v>
      </c>
      <c r="B1241">
        <v>600728</v>
      </c>
      <c r="C1241" t="s">
        <v>2207</v>
      </c>
      <c r="D1241">
        <v>1</v>
      </c>
      <c r="E1241" t="s">
        <v>2195</v>
      </c>
      <c r="F1241" t="s">
        <v>2196</v>
      </c>
      <c r="G1241" s="1"/>
      <c r="H1241" t="str">
        <f>"3414971007123"</f>
        <v>3414971007123</v>
      </c>
      <c r="I1241" t="s">
        <v>2208</v>
      </c>
    </row>
    <row r="1242" spans="1:9" x14ac:dyDescent="0.25">
      <c r="A1242" t="s">
        <v>8</v>
      </c>
      <c r="B1242">
        <v>600734</v>
      </c>
      <c r="C1242" t="s">
        <v>2209</v>
      </c>
      <c r="D1242">
        <v>1</v>
      </c>
      <c r="E1242" t="s">
        <v>2195</v>
      </c>
      <c r="F1242" t="s">
        <v>2196</v>
      </c>
      <c r="G1242" s="1"/>
      <c r="H1242" t="str">
        <f>"3414971007161"</f>
        <v>3414971007161</v>
      </c>
      <c r="I1242" t="s">
        <v>2208</v>
      </c>
    </row>
    <row r="1243" spans="1:9" x14ac:dyDescent="0.25">
      <c r="A1243" t="s">
        <v>8</v>
      </c>
      <c r="B1243">
        <v>600735</v>
      </c>
      <c r="C1243" t="s">
        <v>2210</v>
      </c>
      <c r="D1243">
        <v>1</v>
      </c>
      <c r="E1243" t="s">
        <v>2195</v>
      </c>
      <c r="F1243" t="s">
        <v>2196</v>
      </c>
      <c r="G1243" s="1"/>
      <c r="H1243" t="str">
        <f>"3414971007185"</f>
        <v>3414971007185</v>
      </c>
      <c r="I1243" t="s">
        <v>2211</v>
      </c>
    </row>
    <row r="1244" spans="1:9" x14ac:dyDescent="0.25">
      <c r="A1244" t="s">
        <v>8</v>
      </c>
      <c r="B1244">
        <v>600751</v>
      </c>
      <c r="C1244" t="s">
        <v>2212</v>
      </c>
      <c r="D1244">
        <v>1</v>
      </c>
      <c r="E1244" t="s">
        <v>2195</v>
      </c>
      <c r="F1244" t="s">
        <v>2196</v>
      </c>
      <c r="G1244" s="1"/>
      <c r="H1244" t="str">
        <f>"3414971093911"</f>
        <v>3414971093911</v>
      </c>
      <c r="I1244" t="s">
        <v>2213</v>
      </c>
    </row>
    <row r="1245" spans="1:9" x14ac:dyDescent="0.25">
      <c r="A1245" t="s">
        <v>8</v>
      </c>
      <c r="B1245">
        <v>600753</v>
      </c>
      <c r="C1245" t="s">
        <v>2214</v>
      </c>
      <c r="D1245">
        <v>1</v>
      </c>
      <c r="E1245" t="s">
        <v>2195</v>
      </c>
      <c r="F1245" t="s">
        <v>2196</v>
      </c>
      <c r="G1245" s="1"/>
      <c r="H1245" t="str">
        <f>"3414971093935"</f>
        <v>3414971093935</v>
      </c>
      <c r="I1245" t="s">
        <v>2215</v>
      </c>
    </row>
    <row r="1246" spans="1:9" x14ac:dyDescent="0.25">
      <c r="A1246" t="s">
        <v>8</v>
      </c>
      <c r="B1246">
        <v>600768</v>
      </c>
      <c r="C1246" t="s">
        <v>2216</v>
      </c>
      <c r="D1246">
        <v>1</v>
      </c>
      <c r="E1246" t="s">
        <v>2195</v>
      </c>
      <c r="F1246" t="s">
        <v>2196</v>
      </c>
      <c r="G1246" s="1"/>
      <c r="H1246" t="str">
        <f>"3414971093959"</f>
        <v>3414971093959</v>
      </c>
      <c r="I1246" t="s">
        <v>2217</v>
      </c>
    </row>
    <row r="1247" spans="1:9" x14ac:dyDescent="0.25">
      <c r="A1247" t="s">
        <v>8</v>
      </c>
      <c r="B1247">
        <v>600811</v>
      </c>
      <c r="C1247" t="s">
        <v>2218</v>
      </c>
      <c r="D1247">
        <v>1</v>
      </c>
      <c r="E1247" t="s">
        <v>2219</v>
      </c>
      <c r="F1247" t="s">
        <v>2220</v>
      </c>
      <c r="H1247" t="str">
        <f>"3414971019652"</f>
        <v>3414971019652</v>
      </c>
      <c r="I1247" t="s">
        <v>2221</v>
      </c>
    </row>
    <row r="1248" spans="1:9" x14ac:dyDescent="0.25">
      <c r="A1248" t="s">
        <v>8</v>
      </c>
      <c r="B1248">
        <v>600812</v>
      </c>
      <c r="C1248" t="s">
        <v>2222</v>
      </c>
      <c r="D1248">
        <v>1</v>
      </c>
      <c r="E1248" t="s">
        <v>2219</v>
      </c>
      <c r="F1248" t="s">
        <v>2220</v>
      </c>
      <c r="H1248" t="str">
        <f>"3414971019683"</f>
        <v>3414971019683</v>
      </c>
      <c r="I1248" t="s">
        <v>2223</v>
      </c>
    </row>
    <row r="1249" spans="1:9" x14ac:dyDescent="0.25">
      <c r="A1249" t="s">
        <v>8</v>
      </c>
      <c r="B1249">
        <v>600813</v>
      </c>
      <c r="C1249" t="s">
        <v>2224</v>
      </c>
      <c r="D1249">
        <v>1</v>
      </c>
      <c r="E1249" t="s">
        <v>2219</v>
      </c>
      <c r="F1249" t="s">
        <v>2220</v>
      </c>
      <c r="H1249" t="str">
        <f>"3414971019713"</f>
        <v>3414971019713</v>
      </c>
      <c r="I1249" t="s">
        <v>2225</v>
      </c>
    </row>
    <row r="1250" spans="1:9" x14ac:dyDescent="0.25">
      <c r="A1250" t="s">
        <v>8</v>
      </c>
      <c r="B1250">
        <v>600814</v>
      </c>
      <c r="C1250" t="s">
        <v>2226</v>
      </c>
      <c r="D1250">
        <v>1</v>
      </c>
      <c r="E1250" t="s">
        <v>2219</v>
      </c>
      <c r="F1250" t="s">
        <v>2220</v>
      </c>
      <c r="H1250" t="str">
        <f>"3414971019744"</f>
        <v>3414971019744</v>
      </c>
      <c r="I1250" t="s">
        <v>2227</v>
      </c>
    </row>
    <row r="1251" spans="1:9" x14ac:dyDescent="0.25">
      <c r="A1251" t="s">
        <v>8</v>
      </c>
      <c r="B1251">
        <v>600821</v>
      </c>
      <c r="C1251" t="s">
        <v>2228</v>
      </c>
      <c r="D1251">
        <v>1</v>
      </c>
      <c r="E1251" t="s">
        <v>2219</v>
      </c>
      <c r="F1251" t="s">
        <v>2220</v>
      </c>
      <c r="H1251" t="str">
        <f>"3414971019805"</f>
        <v>3414971019805</v>
      </c>
      <c r="I1251" t="s">
        <v>2221</v>
      </c>
    </row>
    <row r="1252" spans="1:9" x14ac:dyDescent="0.25">
      <c r="A1252" t="s">
        <v>8</v>
      </c>
      <c r="B1252">
        <v>600822</v>
      </c>
      <c r="C1252" t="s">
        <v>2229</v>
      </c>
      <c r="D1252">
        <v>1</v>
      </c>
      <c r="E1252" t="s">
        <v>2219</v>
      </c>
      <c r="F1252" t="s">
        <v>2220</v>
      </c>
      <c r="H1252" t="str">
        <f>"3414971019836"</f>
        <v>3414971019836</v>
      </c>
      <c r="I1252" t="s">
        <v>2223</v>
      </c>
    </row>
    <row r="1253" spans="1:9" x14ac:dyDescent="0.25">
      <c r="A1253" t="s">
        <v>8</v>
      </c>
      <c r="B1253">
        <v>600823</v>
      </c>
      <c r="C1253" t="s">
        <v>2230</v>
      </c>
      <c r="D1253">
        <v>1</v>
      </c>
      <c r="E1253" t="s">
        <v>2219</v>
      </c>
      <c r="F1253" t="s">
        <v>2220</v>
      </c>
      <c r="H1253" t="str">
        <f>"3414971019867"</f>
        <v>3414971019867</v>
      </c>
      <c r="I1253" t="s">
        <v>2225</v>
      </c>
    </row>
    <row r="1254" spans="1:9" x14ac:dyDescent="0.25">
      <c r="A1254" t="s">
        <v>8</v>
      </c>
      <c r="B1254">
        <v>600824</v>
      </c>
      <c r="C1254" t="s">
        <v>2231</v>
      </c>
      <c r="D1254">
        <v>1</v>
      </c>
      <c r="E1254" t="s">
        <v>2219</v>
      </c>
      <c r="F1254" t="s">
        <v>2220</v>
      </c>
      <c r="H1254" t="str">
        <f>"3414971019898"</f>
        <v>3414971019898</v>
      </c>
      <c r="I1254" t="s">
        <v>2227</v>
      </c>
    </row>
    <row r="1255" spans="1:9" x14ac:dyDescent="0.25">
      <c r="A1255" t="s">
        <v>8</v>
      </c>
      <c r="B1255">
        <v>600841</v>
      </c>
      <c r="C1255" t="s">
        <v>2232</v>
      </c>
      <c r="D1255">
        <v>1</v>
      </c>
      <c r="E1255" t="s">
        <v>2219</v>
      </c>
      <c r="F1255" t="s">
        <v>2220</v>
      </c>
      <c r="H1255" t="str">
        <f>"3414971020108"</f>
        <v>3414971020108</v>
      </c>
      <c r="I1255" t="s">
        <v>2233</v>
      </c>
    </row>
    <row r="1256" spans="1:9" x14ac:dyDescent="0.25">
      <c r="A1256" t="s">
        <v>8</v>
      </c>
      <c r="B1256">
        <v>600842</v>
      </c>
      <c r="C1256" t="s">
        <v>2234</v>
      </c>
      <c r="D1256">
        <v>1</v>
      </c>
      <c r="E1256" t="s">
        <v>2219</v>
      </c>
      <c r="F1256" t="s">
        <v>2220</v>
      </c>
      <c r="H1256" t="str">
        <f>"3414971020139"</f>
        <v>3414971020139</v>
      </c>
      <c r="I1256" t="s">
        <v>2069</v>
      </c>
    </row>
    <row r="1257" spans="1:9" x14ac:dyDescent="0.25">
      <c r="A1257" t="s">
        <v>8</v>
      </c>
      <c r="B1257">
        <v>600843</v>
      </c>
      <c r="C1257" t="s">
        <v>2235</v>
      </c>
      <c r="D1257">
        <v>1</v>
      </c>
      <c r="E1257" t="s">
        <v>2219</v>
      </c>
      <c r="F1257" t="s">
        <v>2220</v>
      </c>
      <c r="H1257" t="str">
        <f>"3414971020160"</f>
        <v>3414971020160</v>
      </c>
      <c r="I1257" t="s">
        <v>2236</v>
      </c>
    </row>
    <row r="1258" spans="1:9" x14ac:dyDescent="0.25">
      <c r="A1258" t="s">
        <v>8</v>
      </c>
      <c r="B1258">
        <v>600851</v>
      </c>
      <c r="C1258" t="s">
        <v>2237</v>
      </c>
      <c r="D1258">
        <v>1</v>
      </c>
      <c r="E1258" t="s">
        <v>2219</v>
      </c>
      <c r="F1258" t="s">
        <v>2220</v>
      </c>
      <c r="H1258" t="str">
        <f>"3414971020252"</f>
        <v>3414971020252</v>
      </c>
      <c r="I1258" t="s">
        <v>2233</v>
      </c>
    </row>
    <row r="1259" spans="1:9" x14ac:dyDescent="0.25">
      <c r="A1259" t="s">
        <v>8</v>
      </c>
      <c r="B1259">
        <v>600852</v>
      </c>
      <c r="C1259" t="s">
        <v>2238</v>
      </c>
      <c r="D1259">
        <v>1</v>
      </c>
      <c r="E1259" t="s">
        <v>2219</v>
      </c>
      <c r="F1259" t="s">
        <v>2220</v>
      </c>
      <c r="H1259" t="str">
        <f>"3414971020283"</f>
        <v>3414971020283</v>
      </c>
      <c r="I1259" t="s">
        <v>2069</v>
      </c>
    </row>
    <row r="1260" spans="1:9" x14ac:dyDescent="0.25">
      <c r="A1260" t="s">
        <v>8</v>
      </c>
      <c r="B1260">
        <v>600853</v>
      </c>
      <c r="C1260" t="s">
        <v>2239</v>
      </c>
      <c r="D1260">
        <v>1</v>
      </c>
      <c r="E1260" t="s">
        <v>2219</v>
      </c>
      <c r="F1260" t="s">
        <v>2220</v>
      </c>
      <c r="H1260" t="str">
        <f>"3414971020313"</f>
        <v>3414971020313</v>
      </c>
      <c r="I1260" t="s">
        <v>2236</v>
      </c>
    </row>
    <row r="1261" spans="1:9" x14ac:dyDescent="0.25">
      <c r="A1261" t="s">
        <v>8</v>
      </c>
      <c r="B1261">
        <v>600854</v>
      </c>
      <c r="C1261" t="s">
        <v>2240</v>
      </c>
      <c r="D1261">
        <v>1</v>
      </c>
      <c r="E1261" t="s">
        <v>2219</v>
      </c>
      <c r="F1261" t="s">
        <v>2220</v>
      </c>
      <c r="H1261" t="str">
        <f>"3414971020344"</f>
        <v>3414971020344</v>
      </c>
      <c r="I1261" t="s">
        <v>2241</v>
      </c>
    </row>
    <row r="1262" spans="1:9" x14ac:dyDescent="0.25">
      <c r="A1262" t="s">
        <v>8</v>
      </c>
      <c r="B1262">
        <v>600871</v>
      </c>
      <c r="C1262" t="s">
        <v>2242</v>
      </c>
      <c r="D1262">
        <v>1</v>
      </c>
      <c r="E1262" t="s">
        <v>2219</v>
      </c>
      <c r="F1262" t="s">
        <v>2220</v>
      </c>
      <c r="H1262" t="str">
        <f>"3414971020559"</f>
        <v>3414971020559</v>
      </c>
      <c r="I1262" t="s">
        <v>2243</v>
      </c>
    </row>
    <row r="1263" spans="1:9" x14ac:dyDescent="0.25">
      <c r="A1263" t="s">
        <v>8</v>
      </c>
      <c r="B1263">
        <v>600872</v>
      </c>
      <c r="C1263" t="s">
        <v>2244</v>
      </c>
      <c r="D1263">
        <v>1</v>
      </c>
      <c r="E1263" t="s">
        <v>2219</v>
      </c>
      <c r="F1263" t="s">
        <v>2220</v>
      </c>
      <c r="H1263" t="str">
        <f>"3414971020580"</f>
        <v>3414971020580</v>
      </c>
      <c r="I1263" t="s">
        <v>2245</v>
      </c>
    </row>
    <row r="1264" spans="1:9" x14ac:dyDescent="0.25">
      <c r="A1264" t="s">
        <v>8</v>
      </c>
      <c r="B1264">
        <v>600873</v>
      </c>
      <c r="C1264" t="s">
        <v>2246</v>
      </c>
      <c r="D1264">
        <v>1</v>
      </c>
      <c r="E1264" t="s">
        <v>2219</v>
      </c>
      <c r="F1264" t="s">
        <v>2220</v>
      </c>
      <c r="H1264" t="str">
        <f>"3414971020610"</f>
        <v>3414971020610</v>
      </c>
      <c r="I1264" t="s">
        <v>2247</v>
      </c>
    </row>
    <row r="1265" spans="1:9" x14ac:dyDescent="0.25">
      <c r="A1265" t="s">
        <v>8</v>
      </c>
      <c r="B1265">
        <v>600881</v>
      </c>
      <c r="C1265" t="s">
        <v>2248</v>
      </c>
      <c r="D1265">
        <v>1</v>
      </c>
      <c r="E1265" t="s">
        <v>2219</v>
      </c>
      <c r="F1265" t="s">
        <v>2220</v>
      </c>
      <c r="H1265" t="str">
        <f>"3414971020702"</f>
        <v>3414971020702</v>
      </c>
      <c r="I1265" t="s">
        <v>2243</v>
      </c>
    </row>
    <row r="1266" spans="1:9" x14ac:dyDescent="0.25">
      <c r="A1266" t="s">
        <v>8</v>
      </c>
      <c r="B1266">
        <v>600882</v>
      </c>
      <c r="C1266" t="s">
        <v>2249</v>
      </c>
      <c r="D1266">
        <v>1</v>
      </c>
      <c r="E1266" t="s">
        <v>2219</v>
      </c>
      <c r="F1266" t="s">
        <v>2220</v>
      </c>
      <c r="H1266" t="str">
        <f>"3414971020733"</f>
        <v>3414971020733</v>
      </c>
      <c r="I1266" t="s">
        <v>2245</v>
      </c>
    </row>
    <row r="1267" spans="1:9" x14ac:dyDescent="0.25">
      <c r="A1267" t="s">
        <v>8</v>
      </c>
      <c r="B1267">
        <v>600883</v>
      </c>
      <c r="C1267" t="s">
        <v>2250</v>
      </c>
      <c r="D1267">
        <v>1</v>
      </c>
      <c r="E1267" t="s">
        <v>2219</v>
      </c>
      <c r="F1267" t="s">
        <v>2220</v>
      </c>
      <c r="H1267" t="str">
        <f>"3414971020764"</f>
        <v>3414971020764</v>
      </c>
      <c r="I1267" t="s">
        <v>2247</v>
      </c>
    </row>
    <row r="1268" spans="1:9" x14ac:dyDescent="0.25">
      <c r="A1268" t="s">
        <v>8</v>
      </c>
      <c r="B1268">
        <v>600943</v>
      </c>
      <c r="C1268" t="s">
        <v>2251</v>
      </c>
      <c r="D1268">
        <v>1</v>
      </c>
      <c r="E1268" t="s">
        <v>2219</v>
      </c>
      <c r="F1268" t="s">
        <v>2220</v>
      </c>
      <c r="G1268" s="1"/>
      <c r="H1268" t="str">
        <f>"3414971096455"</f>
        <v>3414971096455</v>
      </c>
      <c r="I1268" t="s">
        <v>2252</v>
      </c>
    </row>
    <row r="1269" spans="1:9" x14ac:dyDescent="0.25">
      <c r="A1269" t="s">
        <v>8</v>
      </c>
      <c r="B1269">
        <v>600944</v>
      </c>
      <c r="C1269" t="s">
        <v>2253</v>
      </c>
      <c r="D1269">
        <v>1</v>
      </c>
      <c r="E1269" t="s">
        <v>2219</v>
      </c>
      <c r="F1269" t="s">
        <v>2220</v>
      </c>
      <c r="G1269" s="1"/>
      <c r="H1269" t="str">
        <f>"3414971020917"</f>
        <v>3414971020917</v>
      </c>
      <c r="I1269" t="s">
        <v>553</v>
      </c>
    </row>
    <row r="1270" spans="1:9" x14ac:dyDescent="0.25">
      <c r="A1270" t="s">
        <v>8</v>
      </c>
      <c r="B1270">
        <v>600970</v>
      </c>
      <c r="C1270" t="s">
        <v>2254</v>
      </c>
      <c r="D1270">
        <v>1</v>
      </c>
      <c r="E1270" t="s">
        <v>2219</v>
      </c>
      <c r="F1270" t="s">
        <v>2220</v>
      </c>
      <c r="H1270" t="str">
        <f>"3414971021006"</f>
        <v>3414971021006</v>
      </c>
      <c r="I1270" t="s">
        <v>2221</v>
      </c>
    </row>
    <row r="1271" spans="1:9" x14ac:dyDescent="0.25">
      <c r="A1271" t="s">
        <v>8</v>
      </c>
      <c r="B1271">
        <v>600971</v>
      </c>
      <c r="C1271" t="s">
        <v>2255</v>
      </c>
      <c r="D1271">
        <v>1</v>
      </c>
      <c r="E1271" t="s">
        <v>2219</v>
      </c>
      <c r="F1271" t="s">
        <v>2220</v>
      </c>
      <c r="H1271" t="str">
        <f>"3414971021037"</f>
        <v>3414971021037</v>
      </c>
      <c r="I1271" t="s">
        <v>2221</v>
      </c>
    </row>
    <row r="1272" spans="1:9" x14ac:dyDescent="0.25">
      <c r="A1272" t="s">
        <v>8</v>
      </c>
      <c r="B1272">
        <v>600973</v>
      </c>
      <c r="C1272" t="s">
        <v>2256</v>
      </c>
      <c r="D1272">
        <v>1</v>
      </c>
      <c r="E1272" t="s">
        <v>2219</v>
      </c>
      <c r="F1272" t="s">
        <v>2220</v>
      </c>
      <c r="H1272" t="str">
        <f>"3414971021099"</f>
        <v>3414971021099</v>
      </c>
      <c r="I1272" t="s">
        <v>2233</v>
      </c>
    </row>
    <row r="1273" spans="1:9" x14ac:dyDescent="0.25">
      <c r="A1273" t="s">
        <v>8</v>
      </c>
      <c r="B1273">
        <v>600975</v>
      </c>
      <c r="C1273" t="s">
        <v>2257</v>
      </c>
      <c r="D1273">
        <v>1</v>
      </c>
      <c r="E1273" t="s">
        <v>2219</v>
      </c>
      <c r="F1273" t="s">
        <v>2220</v>
      </c>
      <c r="H1273" t="str">
        <f>"3414971021129"</f>
        <v>3414971021129</v>
      </c>
      <c r="I1273" t="s">
        <v>2233</v>
      </c>
    </row>
    <row r="1274" spans="1:9" x14ac:dyDescent="0.25">
      <c r="A1274" t="s">
        <v>8</v>
      </c>
      <c r="B1274">
        <v>600976</v>
      </c>
      <c r="C1274" t="s">
        <v>2258</v>
      </c>
      <c r="D1274">
        <v>1</v>
      </c>
      <c r="E1274" t="s">
        <v>2219</v>
      </c>
      <c r="F1274" t="s">
        <v>2220</v>
      </c>
      <c r="H1274" t="str">
        <f>"3414971021150"</f>
        <v>3414971021150</v>
      </c>
      <c r="I1274" t="s">
        <v>2233</v>
      </c>
    </row>
    <row r="1275" spans="1:9" x14ac:dyDescent="0.25">
      <c r="A1275" t="s">
        <v>8</v>
      </c>
      <c r="B1275">
        <v>600978</v>
      </c>
      <c r="C1275" t="s">
        <v>2259</v>
      </c>
      <c r="D1275">
        <v>1</v>
      </c>
      <c r="E1275" t="s">
        <v>2219</v>
      </c>
      <c r="F1275" t="s">
        <v>2220</v>
      </c>
      <c r="H1275" t="str">
        <f>"3414971021181"</f>
        <v>3414971021181</v>
      </c>
      <c r="I1275" t="s">
        <v>2243</v>
      </c>
    </row>
    <row r="1276" spans="1:9" x14ac:dyDescent="0.25">
      <c r="A1276" t="s">
        <v>8</v>
      </c>
      <c r="B1276">
        <v>600979</v>
      </c>
      <c r="C1276" t="s">
        <v>2260</v>
      </c>
      <c r="D1276">
        <v>1</v>
      </c>
      <c r="E1276" t="s">
        <v>2219</v>
      </c>
      <c r="F1276" t="s">
        <v>2220</v>
      </c>
      <c r="H1276" t="str">
        <f>"3414971021211"</f>
        <v>3414971021211</v>
      </c>
      <c r="I1276" t="s">
        <v>2243</v>
      </c>
    </row>
    <row r="1277" spans="1:9" x14ac:dyDescent="0.25">
      <c r="A1277" t="s">
        <v>8</v>
      </c>
      <c r="B1277">
        <v>600861</v>
      </c>
      <c r="C1277" t="s">
        <v>2261</v>
      </c>
      <c r="D1277">
        <v>1</v>
      </c>
      <c r="E1277" t="s">
        <v>2262</v>
      </c>
      <c r="F1277" t="s">
        <v>2263</v>
      </c>
      <c r="H1277" t="str">
        <f>"3414971020405"</f>
        <v>3414971020405</v>
      </c>
      <c r="I1277" t="s">
        <v>1299</v>
      </c>
    </row>
    <row r="1278" spans="1:9" x14ac:dyDescent="0.25">
      <c r="A1278" t="s">
        <v>8</v>
      </c>
      <c r="B1278">
        <v>600862</v>
      </c>
      <c r="C1278" t="s">
        <v>2264</v>
      </c>
      <c r="D1278">
        <v>1</v>
      </c>
      <c r="E1278" t="s">
        <v>2262</v>
      </c>
      <c r="F1278" t="s">
        <v>2263</v>
      </c>
      <c r="H1278" t="str">
        <f>"3414971020436"</f>
        <v>3414971020436</v>
      </c>
      <c r="I1278" t="s">
        <v>2265</v>
      </c>
    </row>
    <row r="1279" spans="1:9" x14ac:dyDescent="0.25">
      <c r="A1279" t="s">
        <v>8</v>
      </c>
      <c r="B1279">
        <v>600863</v>
      </c>
      <c r="C1279" t="s">
        <v>2266</v>
      </c>
      <c r="D1279">
        <v>1</v>
      </c>
      <c r="E1279" t="s">
        <v>2262</v>
      </c>
      <c r="F1279" t="s">
        <v>2263</v>
      </c>
      <c r="H1279" t="str">
        <f>"3414971020467"</f>
        <v>3414971020467</v>
      </c>
      <c r="I1279" t="s">
        <v>2267</v>
      </c>
    </row>
    <row r="1280" spans="1:9" x14ac:dyDescent="0.25">
      <c r="A1280" t="s">
        <v>8</v>
      </c>
      <c r="B1280">
        <v>600864</v>
      </c>
      <c r="C1280" t="s">
        <v>2268</v>
      </c>
      <c r="D1280">
        <v>1</v>
      </c>
      <c r="E1280" t="s">
        <v>2262</v>
      </c>
      <c r="F1280" t="s">
        <v>2263</v>
      </c>
      <c r="H1280" t="str">
        <f>"3414971020498"</f>
        <v>3414971020498</v>
      </c>
      <c r="I1280" t="s">
        <v>2269</v>
      </c>
    </row>
    <row r="1281" spans="1:9" x14ac:dyDescent="0.25">
      <c r="A1281" t="s">
        <v>8</v>
      </c>
      <c r="B1281">
        <v>600901</v>
      </c>
      <c r="C1281" t="s">
        <v>1994</v>
      </c>
      <c r="D1281">
        <v>1</v>
      </c>
      <c r="E1281" t="s">
        <v>2262</v>
      </c>
      <c r="F1281" t="s">
        <v>2263</v>
      </c>
      <c r="H1281" t="str">
        <f>"3414971090040"</f>
        <v>3414971090040</v>
      </c>
      <c r="I1281" t="s">
        <v>2270</v>
      </c>
    </row>
    <row r="1282" spans="1:9" x14ac:dyDescent="0.25">
      <c r="A1282" t="s">
        <v>8</v>
      </c>
      <c r="B1282">
        <v>600902</v>
      </c>
      <c r="C1282" t="s">
        <v>1996</v>
      </c>
      <c r="D1282">
        <v>1</v>
      </c>
      <c r="E1282" t="s">
        <v>2262</v>
      </c>
      <c r="F1282" t="s">
        <v>2263</v>
      </c>
      <c r="H1282" t="str">
        <f>"3414971090071"</f>
        <v>3414971090071</v>
      </c>
      <c r="I1282" t="s">
        <v>2271</v>
      </c>
    </row>
    <row r="1283" spans="1:9" x14ac:dyDescent="0.25">
      <c r="A1283" t="s">
        <v>8</v>
      </c>
      <c r="B1283">
        <v>600903</v>
      </c>
      <c r="C1283" t="s">
        <v>1998</v>
      </c>
      <c r="D1283">
        <v>1</v>
      </c>
      <c r="E1283" t="s">
        <v>2262</v>
      </c>
      <c r="F1283" t="s">
        <v>2263</v>
      </c>
      <c r="H1283" t="str">
        <f>"3414971090101"</f>
        <v>3414971090101</v>
      </c>
      <c r="I1283" t="s">
        <v>2272</v>
      </c>
    </row>
    <row r="1284" spans="1:9" x14ac:dyDescent="0.25">
      <c r="A1284" t="s">
        <v>8</v>
      </c>
      <c r="B1284">
        <v>600904</v>
      </c>
      <c r="C1284" t="s">
        <v>2000</v>
      </c>
      <c r="D1284">
        <v>1</v>
      </c>
      <c r="E1284" t="s">
        <v>2262</v>
      </c>
      <c r="F1284" t="s">
        <v>2263</v>
      </c>
      <c r="H1284" t="str">
        <f>"3414971090132"</f>
        <v>3414971090132</v>
      </c>
      <c r="I1284" t="s">
        <v>2273</v>
      </c>
    </row>
    <row r="1285" spans="1:9" x14ac:dyDescent="0.25">
      <c r="A1285" t="s">
        <v>8</v>
      </c>
      <c r="B1285">
        <v>5916</v>
      </c>
      <c r="C1285" t="s">
        <v>2274</v>
      </c>
      <c r="D1285">
        <v>100</v>
      </c>
      <c r="E1285" t="s">
        <v>2275</v>
      </c>
      <c r="F1285" t="s">
        <v>2276</v>
      </c>
      <c r="H1285" t="str">
        <f>"3414971492738"</f>
        <v>3414971492738</v>
      </c>
      <c r="I1285" t="s">
        <v>2277</v>
      </c>
    </row>
    <row r="1286" spans="1:9" x14ac:dyDescent="0.25">
      <c r="A1286" t="s">
        <v>8</v>
      </c>
      <c r="B1286">
        <v>5917</v>
      </c>
      <c r="C1286" t="s">
        <v>2278</v>
      </c>
      <c r="D1286">
        <v>100</v>
      </c>
      <c r="E1286" t="s">
        <v>2275</v>
      </c>
      <c r="F1286" t="s">
        <v>2276</v>
      </c>
      <c r="H1286" t="str">
        <f>"3414971492653"</f>
        <v>3414971492653</v>
      </c>
      <c r="I1286" t="s">
        <v>2279</v>
      </c>
    </row>
    <row r="1287" spans="1:9" x14ac:dyDescent="0.25">
      <c r="A1287" t="s">
        <v>8</v>
      </c>
      <c r="B1287">
        <v>5920</v>
      </c>
      <c r="C1287" t="s">
        <v>2280</v>
      </c>
      <c r="D1287">
        <v>100</v>
      </c>
      <c r="E1287" t="s">
        <v>2275</v>
      </c>
      <c r="F1287" t="s">
        <v>2276</v>
      </c>
      <c r="H1287" t="str">
        <f>"3414971492004"</f>
        <v>3414971492004</v>
      </c>
      <c r="I1287" t="s">
        <v>2281</v>
      </c>
    </row>
    <row r="1288" spans="1:9" x14ac:dyDescent="0.25">
      <c r="A1288" t="s">
        <v>8</v>
      </c>
      <c r="B1288">
        <v>5921</v>
      </c>
      <c r="C1288" t="s">
        <v>2282</v>
      </c>
      <c r="D1288">
        <v>100</v>
      </c>
      <c r="E1288" t="s">
        <v>2275</v>
      </c>
      <c r="F1288" t="s">
        <v>2276</v>
      </c>
      <c r="H1288" t="str">
        <f>"3414971491861"</f>
        <v>3414971491861</v>
      </c>
      <c r="I1288" t="s">
        <v>2283</v>
      </c>
    </row>
    <row r="1289" spans="1:9" x14ac:dyDescent="0.25">
      <c r="A1289" t="s">
        <v>8</v>
      </c>
      <c r="B1289">
        <v>5925</v>
      </c>
      <c r="C1289" t="s">
        <v>2284</v>
      </c>
      <c r="D1289">
        <v>100</v>
      </c>
      <c r="E1289" t="s">
        <v>2275</v>
      </c>
      <c r="F1289" t="s">
        <v>2276</v>
      </c>
      <c r="H1289" t="str">
        <f>"3414971494435"</f>
        <v>3414971494435</v>
      </c>
      <c r="I1289" t="s">
        <v>2285</v>
      </c>
    </row>
    <row r="1290" spans="1:9" x14ac:dyDescent="0.25">
      <c r="A1290" t="s">
        <v>8</v>
      </c>
      <c r="B1290">
        <v>5932</v>
      </c>
      <c r="C1290" t="s">
        <v>2286</v>
      </c>
      <c r="D1290">
        <v>100</v>
      </c>
      <c r="E1290" t="s">
        <v>2275</v>
      </c>
      <c r="F1290" t="s">
        <v>2276</v>
      </c>
      <c r="H1290" t="str">
        <f>"3414971491472"</f>
        <v>3414971491472</v>
      </c>
      <c r="I1290" t="s">
        <v>2287</v>
      </c>
    </row>
    <row r="1291" spans="1:9" x14ac:dyDescent="0.25">
      <c r="A1291" t="s">
        <v>8</v>
      </c>
      <c r="B1291">
        <v>5933</v>
      </c>
      <c r="C1291" t="s">
        <v>2288</v>
      </c>
      <c r="D1291">
        <v>100</v>
      </c>
      <c r="E1291" t="s">
        <v>2275</v>
      </c>
      <c r="F1291" t="s">
        <v>2276</v>
      </c>
      <c r="H1291" t="str">
        <f>"3414971494831"</f>
        <v>3414971494831</v>
      </c>
      <c r="I1291" t="s">
        <v>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Export_Tarifs_YESSS_15-34-13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martinez</dc:creator>
  <cp:lastModifiedBy>quentin martinez</cp:lastModifiedBy>
  <dcterms:created xsi:type="dcterms:W3CDTF">2026-10-22T13:34:23Z</dcterms:created>
  <dcterms:modified xsi:type="dcterms:W3CDTF">2026-10-22T13:44:15Z</dcterms:modified>
</cp:coreProperties>
</file>